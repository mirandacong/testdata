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5" yWindow="-15" windowWidth="19230" windowHeight="11610" tabRatio="902"/>
  </bookViews>
  <sheets>
    <sheet name="ImportantDisclosures" sheetId="59" r:id="rId1"/>
    <sheet name="IS" sheetId="1" r:id="rId2"/>
    <sheet name="BS" sheetId="2" r:id="rId3"/>
    <sheet name="CFS" sheetId="3" r:id="rId4"/>
    <sheet name="New Segment Results" sheetId="43" r:id="rId5"/>
    <sheet name="Segment Detail" sheetId="50" r:id="rId6"/>
    <sheet name="IndexInformation" sheetId="60" r:id="rId7"/>
    <sheet name="ModPubIndex" sheetId="61" r:id="rId8"/>
    <sheet name="MW-Cache" sheetId="40" state="veryHidden" r:id="rId9"/>
  </sheets>
  <externalReferences>
    <externalReference r:id="rId10"/>
    <externalReference r:id="rId11"/>
    <externalReference r:id="rId12"/>
  </externalReferences>
  <definedNames>
    <definedName name="__FDS_HYPERLINK_TOGGLE_STATE__" hidden="1">"ON"</definedName>
    <definedName name="__FDS_UNIQUE_RANGE_ID_GENERATOR_COUNTER" hidden="1">18</definedName>
    <definedName name="_1__FDSAUDITLINK__" localSheetId="5" hidden="1">{"fdsup://Directions/FactSet Auditing Viewer?action=AUDIT_VALUE&amp;DB=129&amp;ID1=03265410&amp;VALUEID=02001&amp;SDATE=201103&amp;PERIODTYPE=QTR_STD&amp;SCFT=3&amp;window=popup_no_bar&amp;width=385&amp;height=120&amp;START_MAXIMIZED=FALSE&amp;creator=factset&amp;display_string=Audit"}</definedName>
    <definedName name="_1__FDSAUDITLINK__" hidden="1">{"fdsup://Directions/FactSet Auditing Viewer?action=AUDIT_VALUE&amp;DB=129&amp;ID1=03265410&amp;VALUEID=02001&amp;SDATE=201103&amp;PERIODTYPE=QTR_STD&amp;SCFT=3&amp;window=popup_no_bar&amp;width=385&amp;height=120&amp;START_MAXIMIZED=FALSE&amp;creator=factset&amp;display_string=Audit"}</definedName>
    <definedName name="_10__FDSAUDITLINK__" localSheetId="5" hidden="1">{"fdsup://Directions/FactSet Auditing Viewer?action=AUDIT_VALUE&amp;DB=129&amp;ID1=74752510&amp;VALUEID=05194&amp;SDATE=201103&amp;PERIODTYPE=QTR_STD&amp;SCFT=3&amp;window=popup_no_bar&amp;width=385&amp;height=120&amp;START_MAXIMIZED=FALSE&amp;creator=factset&amp;display_string=Audit"}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Viewer?action=AUDIT_VALUE&amp;DB=129&amp;ID1=74752510&amp;VALUEID=05194&amp;SDATE=201103&amp;PERIODTYPE=QTR_STD&amp;SCFT=3&amp;window=popup_no_bar&amp;width=385&amp;height=120&amp;START_MAXIMIZED=FALSE&amp;creator=factset&amp;display_string=Audit"}</definedName>
    <definedName name="_100__FDSAUDITLINK__" localSheetId="5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localSheetId="5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localSheetId="5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localSheetId="5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localSheetId="5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localSheetId="5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localSheetId="5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localSheetId="5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localSheetId="5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localSheetId="5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localSheetId="5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localSheetId="5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localSheetId="5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localSheetId="5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localSheetId="5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localSheetId="5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localSheetId="5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localSheetId="5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localSheetId="5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localSheetId="5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localSheetId="5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localSheetId="5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localSheetId="5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localSheetId="5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localSheetId="5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localSheetId="5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localSheetId="5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localSheetId="5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localSheetId="5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localSheetId="5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localSheetId="5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localSheetId="5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localSheetId="5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localSheetId="5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localSheetId="5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localSheetId="5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localSheetId="5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localSheetId="5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localSheetId="5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localSheetId="5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localSheetId="5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localSheetId="5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localSheetId="5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localSheetId="5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localSheetId="5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localSheetId="5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localSheetId="5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localSheetId="5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localSheetId="5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localSheetId="5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localSheetId="5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localSheetId="5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localSheetId="5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localSheetId="5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localSheetId="5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localSheetId="5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localSheetId="5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localSheetId="5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localSheetId="5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localSheetId="5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localSheetId="5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localSheetId="5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localSheetId="5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localSheetId="5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localSheetId="5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localSheetId="5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localSheetId="5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localSheetId="5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localSheetId="5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localSheetId="5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localSheetId="5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localSheetId="5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localSheetId="5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localSheetId="5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localSheetId="5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localSheetId="5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localSheetId="5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localSheetId="5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localSheetId="5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localSheetId="5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localSheetId="5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localSheetId="5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localSheetId="5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localSheetId="5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localSheetId="5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localSheetId="5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localSheetId="5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localSheetId="5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localSheetId="5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localSheetId="5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localSheetId="5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localSheetId="5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localSheetId="5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localSheetId="5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localSheetId="5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localSheetId="5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localSheetId="5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localSheetId="5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localSheetId="5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localSheetId="5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localSheetId="5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localSheetId="5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localSheetId="5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localSheetId="5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localSheetId="5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localSheetId="5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localSheetId="5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localSheetId="5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localSheetId="5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localSheetId="5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localSheetId="5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10__FDSAUDITLINK__" localSheetId="5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localSheetId="5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localSheetId="5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localSheetId="5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localSheetId="5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localSheetId="5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localSheetId="5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localSheetId="5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localSheetId="5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localSheetId="5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localSheetId="5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localSheetId="5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localSheetId="5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localSheetId="5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localSheetId="5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localSheetId="5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localSheetId="5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localSheetId="5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localSheetId="5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localSheetId="5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localSheetId="5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localSheetId="5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localSheetId="5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localSheetId="5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localSheetId="5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localSheetId="5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localSheetId="5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localSheetId="5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localSheetId="5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localSheetId="5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localSheetId="5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localSheetId="5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localSheetId="5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localSheetId="5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localSheetId="5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localSheetId="5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localSheetId="5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localSheetId="5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localSheetId="5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localSheetId="5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localSheetId="5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localSheetId="5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localSheetId="5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localSheetId="5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localSheetId="5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localSheetId="5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localSheetId="5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localSheetId="5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localSheetId="5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localSheetId="5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localSheetId="5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localSheetId="5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localSheetId="5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localSheetId="5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localSheetId="5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localSheetId="5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localSheetId="5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localSheetId="5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localSheetId="5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localSheetId="5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localSheetId="5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localSheetId="5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localSheetId="5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localSheetId="5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localSheetId="5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localSheetId="5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localSheetId="5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localSheetId="5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localSheetId="5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localSheetId="5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localSheetId="5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localSheetId="5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localSheetId="5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localSheetId="5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localSheetId="5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localSheetId="5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localSheetId="5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localSheetId="5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localSheetId="5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localSheetId="5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localSheetId="5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localSheetId="5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localSheetId="5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localSheetId="5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localSheetId="5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localSheetId="5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localSheetId="5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localSheetId="5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localSheetId="5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localSheetId="5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localSheetId="5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localSheetId="5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localSheetId="5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localSheetId="5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localSheetId="5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localSheetId="5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localSheetId="5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localSheetId="5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localSheetId="5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localSheetId="5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localSheetId="5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localSheetId="5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localSheetId="5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localSheetId="5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localSheetId="5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localSheetId="5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localSheetId="5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localSheetId="5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localSheetId="5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localSheetId="5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localSheetId="5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localSheetId="5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localSheetId="5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localSheetId="5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localSheetId="5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localSheetId="5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localSheetId="5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localSheetId="5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localSheetId="5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localSheetId="5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localSheetId="5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localSheetId="5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localSheetId="5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localSheetId="5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localSheetId="5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localSheetId="5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localSheetId="5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localSheetId="5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localSheetId="5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localSheetId="5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localSheetId="5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localSheetId="5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localSheetId="5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localSheetId="5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localSheetId="5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localSheetId="5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localSheetId="5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localSheetId="5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localSheetId="5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localSheetId="5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localSheetId="5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localSheetId="5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localSheetId="5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localSheetId="5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localSheetId="5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localSheetId="5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localSheetId="5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localSheetId="5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localSheetId="5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localSheetId="5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localSheetId="5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localSheetId="5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localSheetId="5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localSheetId="5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localSheetId="5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localSheetId="5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localSheetId="5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localSheetId="5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localSheetId="5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localSheetId="5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localSheetId="5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localSheetId="5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localSheetId="5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localSheetId="5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localSheetId="5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localSheetId="5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localSheetId="5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localSheetId="5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localSheetId="5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localSheetId="5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localSheetId="5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localSheetId="5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localSheetId="5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localSheetId="5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localSheetId="5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localSheetId="5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localSheetId="5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localSheetId="5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localSheetId="5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localSheetId="5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localSheetId="5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localSheetId="5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localSheetId="5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localSheetId="5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localSheetId="5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localSheetId="5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localSheetId="5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localSheetId="5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localSheetId="5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localSheetId="5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localSheetId="5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localSheetId="5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localSheetId="5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localSheetId="5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localSheetId="5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localSheetId="5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localSheetId="5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localSheetId="5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localSheetId="5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localSheetId="5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localSheetId="5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localSheetId="5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localSheetId="5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localSheetId="5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localSheetId="5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localSheetId="5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localSheetId="5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localSheetId="5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localSheetId="5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localSheetId="5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localSheetId="5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localSheetId="5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localSheetId="5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localSheetId="5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localSheetId="5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localSheetId="5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localSheetId="5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localSheetId="5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localSheetId="5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localSheetId="5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localSheetId="5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localSheetId="5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localSheetId="5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localSheetId="5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localSheetId="5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localSheetId="5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localSheetId="5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localSheetId="5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localSheetId="5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localSheetId="5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localSheetId="5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localSheetId="5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localSheetId="5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localSheetId="5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localSheetId="5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localSheetId="5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localSheetId="5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localSheetId="5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localSheetId="5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localSheetId="5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localSheetId="5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localSheetId="5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localSheetId="5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localSheetId="5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localSheetId="5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localSheetId="5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localSheetId="5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localSheetId="5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localSheetId="5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localSheetId="5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localSheetId="5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localSheetId="5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localSheetId="5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localSheetId="5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localSheetId="5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localSheetId="5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localSheetId="5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localSheetId="5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localSheetId="5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localSheetId="5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localSheetId="5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localSheetId="5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localSheetId="5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localSheetId="5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localSheetId="5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localSheetId="5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localSheetId="5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localSheetId="5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localSheetId="5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localSheetId="5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localSheetId="5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localSheetId="5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localSheetId="5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localSheetId="5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localSheetId="5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localSheetId="5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localSheetId="5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localSheetId="5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localSheetId="5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localSheetId="5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localSheetId="5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localSheetId="5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localSheetId="5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localSheetId="5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localSheetId="5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localSheetId="5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localSheetId="5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localSheetId="5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localSheetId="5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localSheetId="5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localSheetId="5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localSheetId="5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localSheetId="5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localSheetId="5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localSheetId="5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localSheetId="5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localSheetId="5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localSheetId="5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localSheetId="5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localSheetId="5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localSheetId="5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localSheetId="5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localSheetId="5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localSheetId="5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localSheetId="5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localSheetId="5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localSheetId="5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localSheetId="5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localSheetId="5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localSheetId="5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localSheetId="5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localSheetId="5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localSheetId="5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localSheetId="5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localSheetId="5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localSheetId="5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localSheetId="5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localSheetId="5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localSheetId="5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localSheetId="5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localSheetId="5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localSheetId="5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localSheetId="5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localSheetId="5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localSheetId="5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localSheetId="5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localSheetId="5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localSheetId="5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localSheetId="5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localSheetId="5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localSheetId="5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localSheetId="5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localSheetId="5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localSheetId="5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localSheetId="5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localSheetId="5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localSheetId="5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localSheetId="5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localSheetId="5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localSheetId="5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localSheetId="5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localSheetId="5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localSheetId="5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localSheetId="5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localSheetId="5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localSheetId="5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localSheetId="5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localSheetId="5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localSheetId="5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localSheetId="5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localSheetId="5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localSheetId="5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localSheetId="5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localSheetId="5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localSheetId="5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localSheetId="5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localSheetId="5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localSheetId="5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localSheetId="5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localSheetId="5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localSheetId="5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localSheetId="5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localSheetId="5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localSheetId="5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localSheetId="5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localSheetId="5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localSheetId="5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localSheetId="5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localSheetId="5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localSheetId="5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localSheetId="5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localSheetId="5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localSheetId="5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localSheetId="5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localSheetId="5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localSheetId="5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localSheetId="5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localSheetId="5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localSheetId="5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localSheetId="5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localSheetId="5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localSheetId="5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localSheetId="5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localSheetId="5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localSheetId="5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localSheetId="5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localSheetId="5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localSheetId="5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localSheetId="5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localSheetId="5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localSheetId="5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localSheetId="5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localSheetId="5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localSheetId="5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localSheetId="5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localSheetId="5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localSheetId="5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localSheetId="5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localSheetId="5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localSheetId="5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localSheetId="5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localSheetId="5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localSheetId="5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localSheetId="5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localSheetId="5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localSheetId="5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localSheetId="5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localSheetId="5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localSheetId="5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localSheetId="5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localSheetId="5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localSheetId="5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localSheetId="5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localSheetId="5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localSheetId="5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localSheetId="5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localSheetId="5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localSheetId="5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localSheetId="5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localSheetId="5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localSheetId="5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localSheetId="5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localSheetId="5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localSheetId="5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localSheetId="5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localSheetId="5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localSheetId="5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localSheetId="5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localSheetId="5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localSheetId="5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localSheetId="5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localSheetId="5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localSheetId="5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localSheetId="5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localSheetId="5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localSheetId="5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localSheetId="5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localSheetId="5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localSheetId="5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localSheetId="5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localSheetId="5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localSheetId="5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localSheetId="5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localSheetId="5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localSheetId="5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localSheetId="5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localSheetId="5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localSheetId="5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localSheetId="5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localSheetId="5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localSheetId="5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localSheetId="5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localSheetId="5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localSheetId="5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localSheetId="5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localSheetId="5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localSheetId="5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localSheetId="5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localSheetId="5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localSheetId="5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localSheetId="5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localSheetId="5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localSheetId="5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localSheetId="5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localSheetId="5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localSheetId="5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localSheetId="5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localSheetId="5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localSheetId="5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localSheetId="5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localSheetId="5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localSheetId="5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localSheetId="5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localSheetId="5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localSheetId="5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localSheetId="5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localSheetId="5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localSheetId="5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localSheetId="5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localSheetId="5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localSheetId="5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localSheetId="5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localSheetId="5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localSheetId="5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localSheetId="5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localSheetId="5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localSheetId="5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localSheetId="5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localSheetId="5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localSheetId="5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localSheetId="5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localSheetId="5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localSheetId="5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localSheetId="5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localSheetId="5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localSheetId="5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localSheetId="5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localSheetId="5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localSheetId="5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localSheetId="5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localSheetId="5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localSheetId="5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localSheetId="5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localSheetId="5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localSheetId="5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localSheetId="5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localSheetId="5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localSheetId="5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localSheetId="5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localSheetId="5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localSheetId="5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localSheetId="5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localSheetId="5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localSheetId="5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localSheetId="5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localSheetId="5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localSheetId="5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localSheetId="5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localSheetId="5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localSheetId="5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localSheetId="5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localSheetId="5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localSheetId="5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localSheetId="5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localSheetId="5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localSheetId="5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localSheetId="5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localSheetId="5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localSheetId="5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localSheetId="5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localSheetId="5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localSheetId="5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localSheetId="5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localSheetId="5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localSheetId="5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localSheetId="5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localSheetId="5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localSheetId="5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localSheetId="5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localSheetId="5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localSheetId="5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localSheetId="5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localSheetId="5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localSheetId="5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localSheetId="5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localSheetId="5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localSheetId="5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localSheetId="5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localSheetId="5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localSheetId="5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localSheetId="5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localSheetId="5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localSheetId="5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localSheetId="5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localSheetId="5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localSheetId="5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localSheetId="5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localSheetId="5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localSheetId="5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localSheetId="5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localSheetId="5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localSheetId="5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localSheetId="5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localSheetId="5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localSheetId="5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localSheetId="5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localSheetId="5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localSheetId="5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localSheetId="5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localSheetId="5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localSheetId="5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localSheetId="5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localSheetId="5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localSheetId="5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localSheetId="5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localSheetId="5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localSheetId="5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localSheetId="5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localSheetId="5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localSheetId="5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localSheetId="5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localSheetId="5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localSheetId="5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localSheetId="5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localSheetId="5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localSheetId="5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localSheetId="5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localSheetId="5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localSheetId="5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localSheetId="5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localSheetId="5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localSheetId="5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localSheetId="5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localSheetId="5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localSheetId="5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localSheetId="5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localSheetId="5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localSheetId="5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localSheetId="5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localSheetId="5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localSheetId="5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localSheetId="5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localSheetId="5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localSheetId="5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localSheetId="5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localSheetId="5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localSheetId="5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localSheetId="5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localSheetId="5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localSheetId="5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localSheetId="5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localSheetId="5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localSheetId="5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localSheetId="5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localSheetId="5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localSheetId="5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localSheetId="5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localSheetId="5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localSheetId="5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localSheetId="5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localSheetId="5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localSheetId="5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localSheetId="5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localSheetId="5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localSheetId="5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localSheetId="5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localSheetId="5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localSheetId="5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localSheetId="5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localSheetId="5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localSheetId="5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localSheetId="5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localSheetId="5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localSheetId="5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localSheetId="5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localSheetId="5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localSheetId="5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localSheetId="5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localSheetId="5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localSheetId="5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localSheetId="5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localSheetId="5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localSheetId="5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localSheetId="5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localSheetId="5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localSheetId="5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localSheetId="5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localSheetId="5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localSheetId="5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localSheetId="5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localSheetId="5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localSheetId="5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localSheetId="5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localSheetId="5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localSheetId="5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localSheetId="5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localSheetId="5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localSheetId="5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localSheetId="5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localSheetId="5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localSheetId="5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localSheetId="5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localSheetId="5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localSheetId="5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localSheetId="5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localSheetId="5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localSheetId="5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localSheetId="5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localSheetId="5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localSheetId="5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localSheetId="5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localSheetId="5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localSheetId="5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localSheetId="5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localSheetId="5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localSheetId="5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localSheetId="5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localSheetId="5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localSheetId="5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localSheetId="5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localSheetId="5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localSheetId="5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localSheetId="5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localSheetId="5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localSheetId="5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localSheetId="5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localSheetId="5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localSheetId="5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localSheetId="5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localSheetId="5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localSheetId="5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localSheetId="5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localSheetId="5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localSheetId="5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localSheetId="5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localSheetId="5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localSheetId="5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localSheetId="5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localSheetId="5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localSheetId="5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localSheetId="5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localSheetId="5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localSheetId="5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localSheetId="5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localSheetId="5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localSheetId="5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localSheetId="5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localSheetId="5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localSheetId="5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localSheetId="5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localSheetId="5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localSheetId="5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localSheetId="5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localSheetId="5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localSheetId="5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localSheetId="5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localSheetId="5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localSheetId="5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localSheetId="5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localSheetId="5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localSheetId="5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localSheetId="5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localSheetId="5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localSheetId="5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localSheetId="5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localSheetId="5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localSheetId="5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localSheetId="5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localSheetId="5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localSheetId="5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localSheetId="5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localSheetId="5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localSheetId="5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localSheetId="5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localSheetId="5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localSheetId="5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localSheetId="5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localSheetId="5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localSheetId="5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localSheetId="5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localSheetId="5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localSheetId="5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localSheetId="5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localSheetId="5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localSheetId="5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localSheetId="5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localSheetId="5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localSheetId="5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localSheetId="5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localSheetId="5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localSheetId="5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localSheetId="5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localSheetId="5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localSheetId="5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localSheetId="5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localSheetId="5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localSheetId="5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localSheetId="5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localSheetId="5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localSheetId="5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localSheetId="5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localSheetId="5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localSheetId="5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localSheetId="5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localSheetId="5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localSheetId="5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localSheetId="5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localSheetId="5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localSheetId="5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localSheetId="5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localSheetId="5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localSheetId="5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localSheetId="5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localSheetId="5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localSheetId="5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localSheetId="5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localSheetId="5" hidden="1">{"fdsup://Directions/FactSet Auditing Viewer?action=AUDIT_VALUE&amp;DB=129&amp;ID1=89674K10&amp;VALUEID=02001&amp;SDATE=201101&amp;PERIODTYPE=QTR_STD&amp;SCFT=3&amp;window=popup_no_bar&amp;width=385&amp;height=120&amp;START_MAXIMIZED=FALSE&amp;creator=factset&amp;display_string=Audit"}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Viewer?action=AUDIT_VALUE&amp;DB=129&amp;ID1=89674K10&amp;VALUEID=02001&amp;SDATE=201101&amp;PERIODTYPE=QTR_STD&amp;SCFT=3&amp;window=popup_no_bar&amp;width=385&amp;height=120&amp;START_MAXIMIZED=FALSE&amp;creator=factset&amp;display_string=Audit"}</definedName>
    <definedName name="_180__FDSAUDITLINK__" localSheetId="5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localSheetId="5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localSheetId="5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localSheetId="5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localSheetId="5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localSheetId="5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localSheetId="5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localSheetId="5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localSheetId="5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localSheetId="5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localSheetId="5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localSheetId="5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localSheetId="5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localSheetId="5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localSheetId="5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localSheetId="5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localSheetId="5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localSheetId="5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localSheetId="5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localSheetId="5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localSheetId="5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localSheetId="5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localSheetId="5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localSheetId="5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localSheetId="5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localSheetId="5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localSheetId="5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localSheetId="5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localSheetId="5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localSheetId="5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localSheetId="5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localSheetId="5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localSheetId="5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localSheetId="5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localSheetId="5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localSheetId="5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localSheetId="5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localSheetId="5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localSheetId="5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localSheetId="5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localSheetId="5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localSheetId="5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localSheetId="5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localSheetId="5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localSheetId="5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localSheetId="5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localSheetId="5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localSheetId="5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localSheetId="5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localSheetId="5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localSheetId="5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localSheetId="5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localSheetId="5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localSheetId="5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localSheetId="5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localSheetId="5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localSheetId="5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localSheetId="5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localSheetId="5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localSheetId="5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localSheetId="5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localSheetId="5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localSheetId="5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localSheetId="5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localSheetId="5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localSheetId="5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localSheetId="5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localSheetId="5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localSheetId="5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localSheetId="5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localSheetId="5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localSheetId="5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localSheetId="5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localSheetId="5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localSheetId="5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localSheetId="5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localSheetId="5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localSheetId="5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localSheetId="5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localSheetId="5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localSheetId="5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localSheetId="5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localSheetId="5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localSheetId="5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localSheetId="5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localSheetId="5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localSheetId="5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localSheetId="5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localSheetId="5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localSheetId="5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localSheetId="5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localSheetId="5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localSheetId="5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localSheetId="5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localSheetId="5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localSheetId="5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localSheetId="5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localSheetId="5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localSheetId="5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localSheetId="5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localSheetId="5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localSheetId="5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localSheetId="5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localSheetId="5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localSheetId="5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localSheetId="5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localSheetId="5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localSheetId="5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localSheetId="5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localSheetId="5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localSheetId="5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190__FDSAUDITLINK__" localSheetId="5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localSheetId="5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localSheetId="5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localSheetId="5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localSheetId="5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localSheetId="5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localSheetId="5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localSheetId="5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localSheetId="5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localSheetId="5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localSheetId="5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localSheetId="5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localSheetId="5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localSheetId="5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localSheetId="5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localSheetId="5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localSheetId="5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localSheetId="5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localSheetId="5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localSheetId="5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localSheetId="5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localSheetId="5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localSheetId="5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localSheetId="5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localSheetId="5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localSheetId="5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localSheetId="5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localSheetId="5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localSheetId="5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localSheetId="5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localSheetId="5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localSheetId="5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localSheetId="5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localSheetId="5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localSheetId="5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localSheetId="5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localSheetId="5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localSheetId="5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localSheetId="5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localSheetId="5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localSheetId="5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localSheetId="5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localSheetId="5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localSheetId="5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localSheetId="5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localSheetId="5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localSheetId="5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localSheetId="5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localSheetId="5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localSheetId="5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localSheetId="5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localSheetId="5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localSheetId="5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localSheetId="5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localSheetId="5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localSheetId="5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localSheetId="5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localSheetId="5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localSheetId="5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localSheetId="5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localSheetId="5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localSheetId="5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localSheetId="5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localSheetId="5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localSheetId="5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localSheetId="5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localSheetId="5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localSheetId="5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localSheetId="5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localSheetId="5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localSheetId="5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localSheetId="5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localSheetId="5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localSheetId="5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localSheetId="5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localSheetId="5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localSheetId="5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localSheetId="5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localSheetId="5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localSheetId="5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localSheetId="5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localSheetId="5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localSheetId="5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localSheetId="5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localSheetId="5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localSheetId="5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localSheetId="5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localSheetId="5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localSheetId="5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localSheetId="5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localSheetId="5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localSheetId="5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localSheetId="5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localSheetId="5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localSheetId="5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localSheetId="5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localSheetId="5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localSheetId="5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localSheetId="5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localSheetId="5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localSheetId="5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localSheetId="5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localSheetId="5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localSheetId="5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localSheetId="5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localSheetId="5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localSheetId="5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localSheetId="5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localSheetId="5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localSheetId="5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localSheetId="5" hidden="1">{"fdsup://Directions/FactSet Auditing Viewer?action=AUDIT_VALUE&amp;DB=129&amp;ID1=03265410&amp;VALUEID=05194&amp;SDATE=201103&amp;PERIODTYPE=QTR_STD&amp;SCFT=3&amp;window=popup_no_bar&amp;width=385&amp;height=120&amp;START_MAXIMIZED=FALSE&amp;creator=factset&amp;display_string=Audit"}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Viewer?action=AUDIT_VALUE&amp;DB=129&amp;ID1=03265410&amp;VALUEID=05194&amp;SDATE=201103&amp;PERIODTYPE=QTR_STD&amp;SCFT=3&amp;window=popup_no_bar&amp;width=385&amp;height=120&amp;START_MAXIMIZED=FALSE&amp;creator=factset&amp;display_string=Audit"}</definedName>
    <definedName name="_20__FDSAUDITLINK__" localSheetId="5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localSheetId="5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localSheetId="5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localSheetId="5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localSheetId="5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localSheetId="5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localSheetId="5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localSheetId="5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localSheetId="5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localSheetId="5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localSheetId="5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localSheetId="5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localSheetId="5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localSheetId="5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localSheetId="5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localSheetId="5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localSheetId="5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localSheetId="5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localSheetId="5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localSheetId="5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localSheetId="5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localSheetId="5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localSheetId="5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localSheetId="5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localSheetId="5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localSheetId="5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localSheetId="5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localSheetId="5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localSheetId="5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localSheetId="5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localSheetId="5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localSheetId="5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localSheetId="5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localSheetId="5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localSheetId="5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localSheetId="5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localSheetId="5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localSheetId="5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localSheetId="5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localSheetId="5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localSheetId="5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localSheetId="5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localSheetId="5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localSheetId="5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localSheetId="5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localSheetId="5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localSheetId="5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localSheetId="5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localSheetId="5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localSheetId="5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localSheetId="5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localSheetId="5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localSheetId="5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localSheetId="5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localSheetId="5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localSheetId="5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localSheetId="5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localSheetId="5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localSheetId="5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localSheetId="5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localSheetId="5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localSheetId="5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localSheetId="5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localSheetId="5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localSheetId="5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localSheetId="5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localSheetId="5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localSheetId="5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localSheetId="5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localSheetId="5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localSheetId="5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localSheetId="5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localSheetId="5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localSheetId="5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localSheetId="5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localSheetId="5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localSheetId="5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localSheetId="5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localSheetId="5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localSheetId="5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localSheetId="5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localSheetId="5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localSheetId="5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localSheetId="5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localSheetId="5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localSheetId="5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localSheetId="5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localSheetId="5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localSheetId="5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localSheetId="5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localSheetId="5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localSheetId="5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localSheetId="5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localSheetId="5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localSheetId="5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localSheetId="5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localSheetId="5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localSheetId="5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localSheetId="5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localSheetId="5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localSheetId="5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localSheetId="5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localSheetId="5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localSheetId="5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localSheetId="5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localSheetId="5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localSheetId="5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localSheetId="5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localSheetId="5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localSheetId="5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localSheetId="5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localSheetId="5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localSheetId="5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localSheetId="5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localSheetId="5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localSheetId="5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localSheetId="5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localSheetId="5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localSheetId="5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localSheetId="5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localSheetId="5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localSheetId="5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localSheetId="5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localSheetId="5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localSheetId="5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localSheetId="5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localSheetId="5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localSheetId="5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localSheetId="5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localSheetId="5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localSheetId="5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localSheetId="5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localSheetId="5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localSheetId="5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localSheetId="5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localSheetId="5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localSheetId="5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localSheetId="5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localSheetId="5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localSheetId="5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localSheetId="5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localSheetId="5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localSheetId="5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localSheetId="5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localSheetId="5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localSheetId="5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localSheetId="5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localSheetId="5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localSheetId="5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localSheetId="5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localSheetId="5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localSheetId="5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localSheetId="5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localSheetId="5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localSheetId="5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localSheetId="5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localSheetId="5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localSheetId="5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localSheetId="5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localSheetId="5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localSheetId="5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localSheetId="5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localSheetId="5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localSheetId="5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localSheetId="5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localSheetId="5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localSheetId="5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localSheetId="5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localSheetId="5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localSheetId="5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localSheetId="5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localSheetId="5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localSheetId="5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localSheetId="5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localSheetId="5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localSheetId="5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localSheetId="5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localSheetId="5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localSheetId="5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localSheetId="5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localSheetId="5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localSheetId="5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localSheetId="5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localSheetId="5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localSheetId="5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localSheetId="5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localSheetId="5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localSheetId="5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localSheetId="5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localSheetId="5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localSheetId="5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localSheetId="5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localSheetId="5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localSheetId="5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localSheetId="5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localSheetId="5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localSheetId="5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localSheetId="5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localSheetId="5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localSheetId="5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localSheetId="5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localSheetId="5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localSheetId="5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localSheetId="5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localSheetId="5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localSheetId="5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localSheetId="5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localSheetId="5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localSheetId="5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localSheetId="5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localSheetId="5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localSheetId="5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localSheetId="5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localSheetId="5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localSheetId="5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localSheetId="5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localSheetId="5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localSheetId="5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localSheetId="5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localSheetId="5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localSheetId="5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localSheetId="5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localSheetId="5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localSheetId="5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localSheetId="5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localSheetId="5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localSheetId="5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localSheetId="5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localSheetId="5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localSheetId="5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localSheetId="5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localSheetId="5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localSheetId="5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localSheetId="5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localSheetId="5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localSheetId="5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localSheetId="5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localSheetId="5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localSheetId="5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localSheetId="5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localSheetId="5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localSheetId="5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localSheetId="5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localSheetId="5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localSheetId="5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localSheetId="5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localSheetId="5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localSheetId="5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localSheetId="5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localSheetId="5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localSheetId="5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localSheetId="5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localSheetId="5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localSheetId="5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localSheetId="5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localSheetId="5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localSheetId="5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localSheetId="5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localSheetId="5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localSheetId="5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localSheetId="5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localSheetId="5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localSheetId="5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localSheetId="5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localSheetId="5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localSheetId="5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localSheetId="5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localSheetId="5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localSheetId="5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localSheetId="5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localSheetId="5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localSheetId="5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localSheetId="5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localSheetId="5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localSheetId="5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localSheetId="5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localSheetId="5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localSheetId="5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localSheetId="5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localSheetId="5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localSheetId="5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localSheetId="5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localSheetId="5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localSheetId="5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localSheetId="5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localSheetId="5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localSheetId="5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localSheetId="5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localSheetId="5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localSheetId="5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localSheetId="5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localSheetId="5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localSheetId="5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localSheetId="5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localSheetId="5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localSheetId="5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localSheetId="5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localSheetId="5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localSheetId="5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localSheetId="5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localSheetId="5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localSheetId="5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localSheetId="5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localSheetId="5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localSheetId="5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localSheetId="5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localSheetId="5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localSheetId="5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localSheetId="5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localSheetId="5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localSheetId="5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localSheetId="5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localSheetId="5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localSheetId="5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localSheetId="5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localSheetId="5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localSheetId="5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localSheetId="5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localSheetId="5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localSheetId="5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localSheetId="5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localSheetId="5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localSheetId="5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localSheetId="5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localSheetId="5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localSheetId="5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localSheetId="5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localSheetId="5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localSheetId="5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localSheetId="5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localSheetId="5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localSheetId="5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localSheetId="5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localSheetId="5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localSheetId="5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localSheetId="5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localSheetId="5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localSheetId="5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localSheetId="5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localSheetId="5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localSheetId="5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localSheetId="5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localSheetId="5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localSheetId="5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localSheetId="5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localSheetId="5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localSheetId="5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localSheetId="5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localSheetId="5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localSheetId="5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localSheetId="5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localSheetId="5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localSheetId="5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localSheetId="5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localSheetId="5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localSheetId="5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localSheetId="5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localSheetId="5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localSheetId="5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localSheetId="5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localSheetId="5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localSheetId="5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localSheetId="5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localSheetId="5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localSheetId="5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localSheetId="5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localSheetId="5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localSheetId="5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localSheetId="5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localSheetId="5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localSheetId="5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localSheetId="5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localSheetId="5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localSheetId="5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localSheetId="5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localSheetId="5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localSheetId="5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localSheetId="5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localSheetId="5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localSheetId="5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localSheetId="5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localSheetId="5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localSheetId="5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localSheetId="5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localSheetId="5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localSheetId="5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localSheetId="5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localSheetId="5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localSheetId="5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localSheetId="5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localSheetId="5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localSheetId="5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localSheetId="5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localSheetId="5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localSheetId="5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localSheetId="5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localSheetId="5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localSheetId="5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localSheetId="5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localSheetId="5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localSheetId="5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localSheetId="5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localSheetId="5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localSheetId="5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localSheetId="5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localSheetId="5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localSheetId="5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localSheetId="5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localSheetId="5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localSheetId="5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localSheetId="5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localSheetId="5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localSheetId="5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localSheetId="5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localSheetId="5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localSheetId="5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localSheetId="5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localSheetId="5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localSheetId="5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localSheetId="5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localSheetId="5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localSheetId="5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localSheetId="5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localSheetId="5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localSheetId="5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localSheetId="5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localSheetId="5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localSheetId="5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localSheetId="5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localSheetId="5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localSheetId="5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localSheetId="5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localSheetId="5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localSheetId="5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localSheetId="5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localSheetId="5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localSheetId="5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localSheetId="5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localSheetId="5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localSheetId="5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localSheetId="5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localSheetId="5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localSheetId="5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localSheetId="5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localSheetId="5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localSheetId="5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localSheetId="5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localSheetId="5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localSheetId="5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localSheetId="5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localSheetId="5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localSheetId="5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localSheetId="5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localSheetId="5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localSheetId="5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localSheetId="5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localSheetId="5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localSheetId="5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localSheetId="5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localSheetId="5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localSheetId="5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localSheetId="5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localSheetId="5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localSheetId="5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localSheetId="5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localSheetId="5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localSheetId="5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localSheetId="5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localSheetId="5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localSheetId="5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localSheetId="5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localSheetId="5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localSheetId="5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localSheetId="5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localSheetId="5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localSheetId="5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localSheetId="5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localSheetId="5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localSheetId="5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localSheetId="5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localSheetId="5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localSheetId="5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localSheetId="5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localSheetId="5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localSheetId="5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localSheetId="5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localSheetId="5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localSheetId="5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localSheetId="5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localSheetId="5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localSheetId="5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localSheetId="5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localSheetId="5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localSheetId="5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localSheetId="5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localSheetId="5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localSheetId="5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localSheetId="5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localSheetId="5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localSheetId="5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localSheetId="5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localSheetId="5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localSheetId="5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localSheetId="5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localSheetId="5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localSheetId="5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localSheetId="5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localSheetId="5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localSheetId="5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localSheetId="5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localSheetId="5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localSheetId="5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localSheetId="5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localSheetId="5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localSheetId="5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localSheetId="5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localSheetId="5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localSheetId="5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localSheetId="5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localSheetId="5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localSheetId="5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localSheetId="5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localSheetId="5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localSheetId="5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localSheetId="5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localSheetId="5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localSheetId="5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localSheetId="5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localSheetId="5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localSheetId="5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localSheetId="5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localSheetId="5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localSheetId="5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localSheetId="5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localSheetId="5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localSheetId="5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localSheetId="5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localSheetId="5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localSheetId="5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localSheetId="5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localSheetId="5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localSheetId="5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localSheetId="5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localSheetId="5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localSheetId="5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localSheetId="5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localSheetId="5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localSheetId="5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localSheetId="5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localSheetId="5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localSheetId="5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localSheetId="5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localSheetId="5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localSheetId="5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localSheetId="5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localSheetId="5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localSheetId="5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localSheetId="5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localSheetId="5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localSheetId="5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localSheetId="5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localSheetId="5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localSheetId="5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localSheetId="5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localSheetId="5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localSheetId="5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localSheetId="5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localSheetId="5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localSheetId="5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localSheetId="5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localSheetId="5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localSheetId="5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localSheetId="5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localSheetId="5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localSheetId="5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localSheetId="5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localSheetId="5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localSheetId="5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localSheetId="5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localSheetId="5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localSheetId="5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localSheetId="5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localSheetId="5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localSheetId="5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localSheetId="5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localSheetId="5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localSheetId="5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localSheetId="5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localSheetId="5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localSheetId="5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localSheetId="5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localSheetId="5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localSheetId="5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localSheetId="5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localSheetId="5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localSheetId="5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localSheetId="5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localSheetId="5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localSheetId="5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localSheetId="5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localSheetId="5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localSheetId="5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localSheetId="5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localSheetId="5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localSheetId="5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localSheetId="5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localSheetId="5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localSheetId="5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localSheetId="5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localSheetId="5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localSheetId="5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localSheetId="5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localSheetId="5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localSheetId="5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localSheetId="5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localSheetId="5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localSheetId="5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localSheetId="5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localSheetId="5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localSheetId="5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localSheetId="5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localSheetId="5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localSheetId="5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localSheetId="5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localSheetId="5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localSheetId="5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localSheetId="5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localSheetId="5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localSheetId="5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localSheetId="5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localSheetId="5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localSheetId="5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localSheetId="5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localSheetId="5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localSheetId="5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localSheetId="5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localSheetId="5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localSheetId="5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localSheetId="5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localSheetId="5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localSheetId="5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localSheetId="5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localSheetId="5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localSheetId="5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localSheetId="5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localSheetId="5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localSheetId="5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localSheetId="5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localSheetId="5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localSheetId="5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localSheetId="5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localSheetId="5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localSheetId="5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localSheetId="5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localSheetId="5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localSheetId="5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localSheetId="5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localSheetId="5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localSheetId="5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localSheetId="5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localSheetId="5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localSheetId="5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localSheetId="5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localSheetId="5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localSheetId="5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localSheetId="5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localSheetId="5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localSheetId="5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localSheetId="5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localSheetId="5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localSheetId="5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localSheetId="5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localSheetId="5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localSheetId="5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localSheetId="5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localSheetId="5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localSheetId="5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localSheetId="5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localSheetId="5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localSheetId="5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localSheetId="5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localSheetId="5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localSheetId="5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localSheetId="5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localSheetId="5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localSheetId="5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localSheetId="5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localSheetId="5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localSheetId="5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localSheetId="5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localSheetId="5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localSheetId="5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localSheetId="5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localSheetId="5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localSheetId="5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localSheetId="5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localSheetId="5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localSheetId="5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localSheetId="5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localSheetId="5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localSheetId="5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localSheetId="5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localSheetId="5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localSheetId="5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localSheetId="5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localSheetId="5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localSheetId="5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localSheetId="5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localSheetId="5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localSheetId="5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localSheetId="5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localSheetId="5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localSheetId="5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localSheetId="5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localSheetId="5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localSheetId="5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localSheetId="5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localSheetId="5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localSheetId="5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localSheetId="5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localSheetId="5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localSheetId="5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localSheetId="5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localSheetId="5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localSheetId="5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localSheetId="5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localSheetId="5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localSheetId="5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localSheetId="5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localSheetId="5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localSheetId="5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localSheetId="5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localSheetId="5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localSheetId="5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localSheetId="5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localSheetId="5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localSheetId="5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localSheetId="5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localSheetId="5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localSheetId="5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localSheetId="5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localSheetId="5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localSheetId="5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localSheetId="5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localSheetId="5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localSheetId="5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localSheetId="5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localSheetId="5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localSheetId="5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localSheetId="5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localSheetId="5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localSheetId="5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localSheetId="5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localSheetId="5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localSheetId="5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localSheetId="5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localSheetId="5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localSheetId="5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localSheetId="5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localSheetId="5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localSheetId="5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localSheetId="5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localSheetId="5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localSheetId="5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localSheetId="5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localSheetId="5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localSheetId="5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localSheetId="5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localSheetId="5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localSheetId="5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localSheetId="5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localSheetId="5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localSheetId="5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localSheetId="5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localSheetId="5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localSheetId="5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localSheetId="5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localSheetId="5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localSheetId="5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localSheetId="5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localSheetId="5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localSheetId="5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localSheetId="5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localSheetId="5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localSheetId="5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localSheetId="5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localSheetId="5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localSheetId="5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localSheetId="5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localSheetId="5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localSheetId="5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localSheetId="5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localSheetId="5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localSheetId="5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localSheetId="5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localSheetId="5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localSheetId="5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localSheetId="5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localSheetId="5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localSheetId="5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localSheetId="5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localSheetId="5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localSheetId="5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localSheetId="5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localSheetId="5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localSheetId="5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localSheetId="5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localSheetId="5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localSheetId="5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localSheetId="5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localSheetId="5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localSheetId="5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localSheetId="5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localSheetId="5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localSheetId="5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localSheetId="5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localSheetId="5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localSheetId="5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localSheetId="5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localSheetId="5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localSheetId="5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localSheetId="5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localSheetId="5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localSheetId="5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localSheetId="5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localSheetId="5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localSheetId="5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localSheetId="5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localSheetId="5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localSheetId="5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localSheetId="5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localSheetId="5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localSheetId="5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localSheetId="5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localSheetId="5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localSheetId="5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localSheetId="5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localSheetId="5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localSheetId="5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localSheetId="5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localSheetId="5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localSheetId="5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localSheetId="5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localSheetId="5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localSheetId="5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localSheetId="5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localSheetId="5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localSheetId="5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localSheetId="5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localSheetId="5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localSheetId="5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localSheetId="5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localSheetId="5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localSheetId="5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localSheetId="5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localSheetId="5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localSheetId="5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localSheetId="5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localSheetId="5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localSheetId="5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localSheetId="5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localSheetId="5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localSheetId="5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localSheetId="5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localSheetId="5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localSheetId="5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localSheetId="5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localSheetId="5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localSheetId="5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localSheetId="5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localSheetId="5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localSheetId="5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localSheetId="5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localSheetId="5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localSheetId="5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localSheetId="5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localSheetId="5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localSheetId="5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localSheetId="5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localSheetId="5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localSheetId="5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localSheetId="5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localSheetId="5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localSheetId="5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localSheetId="5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localSheetId="5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localSheetId="5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localSheetId="5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localSheetId="5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localSheetId="5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localSheetId="5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localSheetId="5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localSheetId="5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localSheetId="5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localSheetId="5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localSheetId="5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localSheetId="5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localSheetId="5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localSheetId="5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localSheetId="5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localSheetId="5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localSheetId="5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localSheetId="5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localSheetId="5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localSheetId="5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localSheetId="5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localSheetId="5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localSheetId="5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localSheetId="5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localSheetId="5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localSheetId="5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localSheetId="5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localSheetId="5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localSheetId="5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localSheetId="5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localSheetId="5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localSheetId="5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localSheetId="5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localSheetId="5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localSheetId="5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localSheetId="5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localSheetId="5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localSheetId="5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localSheetId="5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localSheetId="5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localSheetId="5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localSheetId="5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localSheetId="5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localSheetId="5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localSheetId="5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localSheetId="5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localSheetId="5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localSheetId="5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localSheetId="5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localSheetId="5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localSheetId="5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localSheetId="5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localSheetId="5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localSheetId="5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localSheetId="5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localSheetId="5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localSheetId="5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localSheetId="5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localSheetId="5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localSheetId="5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localSheetId="5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localSheetId="5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localSheetId="5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localSheetId="5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localSheetId="5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localSheetId="5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localSheetId="5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localSheetId="5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localSheetId="5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localSheetId="5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localSheetId="5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localSheetId="5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localSheetId="5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localSheetId="5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localSheetId="5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localSheetId="5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localSheetId="5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localSheetId="5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localSheetId="5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localSheetId="5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localSheetId="5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localSheetId="5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localSheetId="5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localSheetId="5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localSheetId="5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localSheetId="5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localSheetId="5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localSheetId="5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localSheetId="5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localSheetId="5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localSheetId="5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localSheetId="5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localSheetId="5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localSheetId="5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localSheetId="5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localSheetId="5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localSheetId="5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localSheetId="5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localSheetId="5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localSheetId="5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localSheetId="5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localSheetId="5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localSheetId="5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localSheetId="5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localSheetId="5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localSheetId="5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localSheetId="5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localSheetId="5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localSheetId="5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localSheetId="5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localSheetId="5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localSheetId="5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localSheetId="5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localSheetId="5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localSheetId="5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localSheetId="5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localSheetId="5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localSheetId="5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localSheetId="5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localSheetId="5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localSheetId="5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localSheetId="5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localSheetId="5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localSheetId="5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localSheetId="5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localSheetId="5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localSheetId="5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localSheetId="5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localSheetId="5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localSheetId="5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localSheetId="5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localSheetId="5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localSheetId="5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localSheetId="5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localSheetId="5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localSheetId="5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localSheetId="5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localSheetId="5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localSheetId="5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localSheetId="5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localSheetId="5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localSheetId="5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localSheetId="5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localSheetId="5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localSheetId="5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localSheetId="5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localSheetId="5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localSheetId="5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localSheetId="5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localSheetId="5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localSheetId="5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localSheetId="5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localSheetId="5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localSheetId="5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localSheetId="5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localSheetId="5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localSheetId="5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localSheetId="5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localSheetId="5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localSheetId="5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localSheetId="5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localSheetId="5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localSheetId="5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localSheetId="5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localSheetId="5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localSheetId="5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localSheetId="5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localSheetId="5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localSheetId="5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localSheetId="5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localSheetId="5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localSheetId="5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localSheetId="5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localSheetId="5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localSheetId="5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localSheetId="5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localSheetId="5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localSheetId="5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localSheetId="5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localSheetId="5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localSheetId="5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localSheetId="5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localSheetId="5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localSheetId="5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localSheetId="5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localSheetId="5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localSheetId="5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localSheetId="5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localSheetId="5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localSheetId="5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localSheetId="5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localSheetId="5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localSheetId="5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localSheetId="5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localSheetId="5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localSheetId="5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localSheetId="5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localSheetId="5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localSheetId="5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localSheetId="5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localSheetId="5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localSheetId="5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localSheetId="5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localSheetId="5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localSheetId="5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localSheetId="5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localSheetId="5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localSheetId="5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localSheetId="5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localSheetId="5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localSheetId="5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localSheetId="5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localSheetId="5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localSheetId="5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localSheetId="5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localSheetId="5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localSheetId="5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localSheetId="5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localSheetId="5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localSheetId="5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localSheetId="5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localSheetId="5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localSheetId="5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localSheetId="5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localSheetId="5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localSheetId="5" hidden="1">{"fdsup://Directions/FactSet Auditing Viewer?action=AUDIT_VALUE&amp;DB=129&amp;ID1=67066G10&amp;VALUEID=02001&amp;SDATE=201102&amp;PERIODTYPE=QTR_STD&amp;SCFT=3&amp;window=popup_no_bar&amp;width=385&amp;height=120&amp;START_MAXIMIZED=FALSE&amp;creator=factset&amp;display_string=Audit"}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Viewer?action=AUDIT_VALUE&amp;DB=129&amp;ID1=67066G10&amp;VALUEID=02001&amp;SDATE=201102&amp;PERIODTYPE=QTR_STD&amp;SCFT=3&amp;window=popup_no_bar&amp;width=385&amp;height=120&amp;START_MAXIMIZED=FALSE&amp;creator=factset&amp;display_string=Audit"}</definedName>
    <definedName name="_30__FDSAUDITLINK__" localSheetId="5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localSheetId="5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localSheetId="5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localSheetId="5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localSheetId="5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localSheetId="5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localSheetId="5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localSheetId="5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localSheetId="5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localSheetId="5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localSheetId="5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localSheetId="5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localSheetId="5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localSheetId="5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localSheetId="5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localSheetId="5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localSheetId="5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localSheetId="5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localSheetId="5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localSheetId="5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localSheetId="5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localSheetId="5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localSheetId="5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localSheetId="5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localSheetId="5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localSheetId="5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localSheetId="5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localSheetId="5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localSheetId="5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localSheetId="5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localSheetId="5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localSheetId="5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localSheetId="5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localSheetId="5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localSheetId="5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localSheetId="5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localSheetId="5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localSheetId="5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localSheetId="5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localSheetId="5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localSheetId="5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localSheetId="5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localSheetId="5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localSheetId="5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localSheetId="5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localSheetId="5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localSheetId="5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localSheetId="5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localSheetId="5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localSheetId="5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localSheetId="5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localSheetId="5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localSheetId="5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localSheetId="5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localSheetId="5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localSheetId="5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localSheetId="5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localSheetId="5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localSheetId="5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localSheetId="5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localSheetId="5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localSheetId="5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localSheetId="5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localSheetId="5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localSheetId="5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localSheetId="5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localSheetId="5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localSheetId="5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localSheetId="5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localSheetId="5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localSheetId="5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localSheetId="5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localSheetId="5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localSheetId="5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localSheetId="5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localSheetId="5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localSheetId="5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localSheetId="5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localSheetId="5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localSheetId="5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localSheetId="5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localSheetId="5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localSheetId="5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localSheetId="5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localSheetId="5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localSheetId="5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localSheetId="5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localSheetId="5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localSheetId="5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localSheetId="5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localSheetId="5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localSheetId="5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localSheetId="5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localSheetId="5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localSheetId="5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localSheetId="5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localSheetId="5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localSheetId="5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localSheetId="5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localSheetId="5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localSheetId="5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localSheetId="5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localSheetId="5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localSheetId="5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localSheetId="5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localSheetId="5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localSheetId="5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localSheetId="5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localSheetId="5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localSheetId="5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localSheetId="5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localSheetId="5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localSheetId="5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localSheetId="5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localSheetId="5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localSheetId="5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localSheetId="5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localSheetId="5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localSheetId="5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localSheetId="5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localSheetId="5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localSheetId="5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localSheetId="5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localSheetId="5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localSheetId="5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localSheetId="5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localSheetId="5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localSheetId="5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localSheetId="5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localSheetId="5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localSheetId="5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localSheetId="5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localSheetId="5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localSheetId="5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localSheetId="5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localSheetId="5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localSheetId="5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localSheetId="5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localSheetId="5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localSheetId="5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localSheetId="5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localSheetId="5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localSheetId="5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localSheetId="5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localSheetId="5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localSheetId="5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localSheetId="5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localSheetId="5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localSheetId="5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localSheetId="5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localSheetId="5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localSheetId="5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localSheetId="5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localSheetId="5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localSheetId="5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localSheetId="5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localSheetId="5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localSheetId="5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localSheetId="5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localSheetId="5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localSheetId="5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localSheetId="5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localSheetId="5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localSheetId="5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localSheetId="5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localSheetId="5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localSheetId="5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localSheetId="5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localSheetId="5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localSheetId="5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localSheetId="5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localSheetId="5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localSheetId="5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localSheetId="5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localSheetId="5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localSheetId="5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localSheetId="5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localSheetId="5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localSheetId="5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localSheetId="5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localSheetId="5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localSheetId="5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localSheetId="5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localSheetId="5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localSheetId="5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localSheetId="5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localSheetId="5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localSheetId="5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localSheetId="5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localSheetId="5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localSheetId="5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localSheetId="5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localSheetId="5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localSheetId="5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localSheetId="5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localSheetId="5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localSheetId="5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localSheetId="5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localSheetId="5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localSheetId="5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localSheetId="5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localSheetId="5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localSheetId="5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localSheetId="5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localSheetId="5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localSheetId="5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localSheetId="5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localSheetId="5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localSheetId="5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localSheetId="5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localSheetId="5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localSheetId="5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localSheetId="5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localSheetId="5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localSheetId="5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localSheetId="5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localSheetId="5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localSheetId="5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localSheetId="5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localSheetId="5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localSheetId="5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localSheetId="5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localSheetId="5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localSheetId="5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localSheetId="5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localSheetId="5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localSheetId="5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localSheetId="5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localSheetId="5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localSheetId="5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localSheetId="5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localSheetId="5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localSheetId="5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localSheetId="5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localSheetId="5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localSheetId="5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localSheetId="5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localSheetId="5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localSheetId="5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localSheetId="5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localSheetId="5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localSheetId="5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localSheetId="5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localSheetId="5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localSheetId="5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localSheetId="5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localSheetId="5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localSheetId="5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localSheetId="5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localSheetId="5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localSheetId="5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localSheetId="5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localSheetId="5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localSheetId="5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localSheetId="5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localSheetId="5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localSheetId="5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localSheetId="5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localSheetId="5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localSheetId="5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localSheetId="5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localSheetId="5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localSheetId="5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localSheetId="5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localSheetId="5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localSheetId="5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localSheetId="5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localSheetId="5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localSheetId="5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localSheetId="5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localSheetId="5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localSheetId="5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localSheetId="5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localSheetId="5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localSheetId="5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localSheetId="5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localSheetId="5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localSheetId="5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localSheetId="5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localSheetId="5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localSheetId="5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localSheetId="5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localSheetId="5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localSheetId="5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localSheetId="5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localSheetId="5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localSheetId="5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localSheetId="5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localSheetId="5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localSheetId="5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localSheetId="5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localSheetId="5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localSheetId="5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localSheetId="5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localSheetId="5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localSheetId="5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localSheetId="5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localSheetId="5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localSheetId="5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localSheetId="5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localSheetId="5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localSheetId="5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localSheetId="5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localSheetId="5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localSheetId="5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localSheetId="5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localSheetId="5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localSheetId="5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localSheetId="5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localSheetId="5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localSheetId="5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localSheetId="5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localSheetId="5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localSheetId="5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localSheetId="5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localSheetId="5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localSheetId="5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localSheetId="5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localSheetId="5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localSheetId="5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localSheetId="5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localSheetId="5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localSheetId="5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localSheetId="5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localSheetId="5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localSheetId="5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localSheetId="5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localSheetId="5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localSheetId="5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localSheetId="5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localSheetId="5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localSheetId="5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localSheetId="5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localSheetId="5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localSheetId="5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localSheetId="5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localSheetId="5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localSheetId="5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localSheetId="5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localSheetId="5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localSheetId="5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localSheetId="5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localSheetId="5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localSheetId="5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localSheetId="5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localSheetId="5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localSheetId="5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localSheetId="5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localSheetId="5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localSheetId="5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localSheetId="5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localSheetId="5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localSheetId="5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localSheetId="5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localSheetId="5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localSheetId="5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localSheetId="5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localSheetId="5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localSheetId="5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localSheetId="5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localSheetId="5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localSheetId="5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localSheetId="5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localSheetId="5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localSheetId="5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localSheetId="5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localSheetId="5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localSheetId="5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localSheetId="5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localSheetId="5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localSheetId="5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localSheetId="5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localSheetId="5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localSheetId="5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localSheetId="5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localSheetId="5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localSheetId="5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localSheetId="5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localSheetId="5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localSheetId="5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localSheetId="5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localSheetId="5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localSheetId="5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localSheetId="5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localSheetId="5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localSheetId="5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localSheetId="5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localSheetId="5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localSheetId="5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localSheetId="5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localSheetId="5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localSheetId="5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localSheetId="5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localSheetId="5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localSheetId="5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localSheetId="5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localSheetId="5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localSheetId="5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localSheetId="5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localSheetId="5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localSheetId="5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localSheetId="5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localSheetId="5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localSheetId="5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localSheetId="5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localSheetId="5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localSheetId="5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localSheetId="5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localSheetId="5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localSheetId="5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localSheetId="5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localSheetId="5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localSheetId="5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localSheetId="5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localSheetId="5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localSheetId="5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localSheetId="5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localSheetId="5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localSheetId="5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localSheetId="5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localSheetId="5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localSheetId="5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localSheetId="5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localSheetId="5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localSheetId="5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localSheetId="5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localSheetId="5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localSheetId="5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localSheetId="5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localSheetId="5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localSheetId="5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localSheetId="5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localSheetId="5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localSheetId="5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localSheetId="5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localSheetId="5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localSheetId="5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localSheetId="5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localSheetId="5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localSheetId="5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localSheetId="5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localSheetId="5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localSheetId="5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localSheetId="5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localSheetId="5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localSheetId="5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localSheetId="5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localSheetId="5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localSheetId="5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localSheetId="5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localSheetId="5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localSheetId="5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localSheetId="5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localSheetId="5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localSheetId="5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localSheetId="5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localSheetId="5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localSheetId="5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localSheetId="5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localSheetId="5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localSheetId="5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localSheetId="5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localSheetId="5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localSheetId="5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localSheetId="5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localSheetId="5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localSheetId="5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localSheetId="5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localSheetId="5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localSheetId="5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localSheetId="5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localSheetId="5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localSheetId="5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localSheetId="5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localSheetId="5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localSheetId="5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localSheetId="5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localSheetId="5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localSheetId="5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localSheetId="5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localSheetId="5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localSheetId="5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localSheetId="5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localSheetId="5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localSheetId="5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localSheetId="5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localSheetId="5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localSheetId="5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localSheetId="5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localSheetId="5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localSheetId="5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localSheetId="5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localSheetId="5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localSheetId="5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localSheetId="5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localSheetId="5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localSheetId="5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localSheetId="5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localSheetId="5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localSheetId="5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localSheetId="5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localSheetId="5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localSheetId="5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localSheetId="5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localSheetId="5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localSheetId="5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localSheetId="5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localSheetId="5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localSheetId="5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localSheetId="5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localSheetId="5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localSheetId="5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localSheetId="5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localSheetId="5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localSheetId="5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localSheetId="5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localSheetId="5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localSheetId="5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localSheetId="5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localSheetId="5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localSheetId="5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localSheetId="5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localSheetId="5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localSheetId="5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localSheetId="5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localSheetId="5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localSheetId="5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localSheetId="5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localSheetId="5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localSheetId="5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localSheetId="5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localSheetId="5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localSheetId="5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localSheetId="5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localSheetId="5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localSheetId="5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localSheetId="5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localSheetId="5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localSheetId="5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localSheetId="5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localSheetId="5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localSheetId="5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localSheetId="5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localSheetId="5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localSheetId="5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localSheetId="5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localSheetId="5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localSheetId="5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localSheetId="5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localSheetId="5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localSheetId="5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localSheetId="5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localSheetId="5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localSheetId="5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localSheetId="5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localSheetId="5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localSheetId="5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localSheetId="5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localSheetId="5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localSheetId="5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localSheetId="5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localSheetId="5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localSheetId="5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localSheetId="5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localSheetId="5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localSheetId="5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localSheetId="5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localSheetId="5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localSheetId="5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localSheetId="5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localSheetId="5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localSheetId="5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localSheetId="5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localSheetId="5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localSheetId="5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localSheetId="5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localSheetId="5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localSheetId="5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localSheetId="5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localSheetId="5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localSheetId="5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localSheetId="5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localSheetId="5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localSheetId="5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localSheetId="5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localSheetId="5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localSheetId="5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localSheetId="5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localSheetId="5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localSheetId="5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localSheetId="5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localSheetId="5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localSheetId="5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localSheetId="5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localSheetId="5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localSheetId="5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localSheetId="5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localSheetId="5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localSheetId="5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localSheetId="5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localSheetId="5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localSheetId="5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localSheetId="5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localSheetId="5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localSheetId="5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localSheetId="5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localSheetId="5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localSheetId="5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localSheetId="5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localSheetId="5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localSheetId="5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localSheetId="5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localSheetId="5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localSheetId="5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localSheetId="5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localSheetId="5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localSheetId="5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localSheetId="5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localSheetId="5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localSheetId="5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localSheetId="5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localSheetId="5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localSheetId="5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localSheetId="5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localSheetId="5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localSheetId="5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localSheetId="5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localSheetId="5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localSheetId="5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localSheetId="5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localSheetId="5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localSheetId="5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localSheetId="5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localSheetId="5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localSheetId="5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localSheetId="5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localSheetId="5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localSheetId="5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localSheetId="5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localSheetId="5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localSheetId="5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localSheetId="5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localSheetId="5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localSheetId="5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localSheetId="5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localSheetId="5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localSheetId="5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localSheetId="5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localSheetId="5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localSheetId="5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localSheetId="5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localSheetId="5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localSheetId="5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localSheetId="5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localSheetId="5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localSheetId="5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localSheetId="5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localSheetId="5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localSheetId="5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localSheetId="5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localSheetId="5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localSheetId="5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localSheetId="5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localSheetId="5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localSheetId="5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localSheetId="5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localSheetId="5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localSheetId="5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localSheetId="5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localSheetId="5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localSheetId="5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localSheetId="5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localSheetId="5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localSheetId="5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localSheetId="5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localSheetId="5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localSheetId="5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localSheetId="5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localSheetId="5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localSheetId="5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localSheetId="5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localSheetId="5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localSheetId="5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localSheetId="5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localSheetId="5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localSheetId="5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localSheetId="5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localSheetId="5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localSheetId="5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localSheetId="5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localSheetId="5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localSheetId="5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localSheetId="5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localSheetId="5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localSheetId="5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localSheetId="5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localSheetId="5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localSheetId="5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localSheetId="5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localSheetId="5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localSheetId="5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localSheetId="5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localSheetId="5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localSheetId="5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localSheetId="5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localSheetId="5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localSheetId="5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localSheetId="5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localSheetId="5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localSheetId="5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localSheetId="5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localSheetId="5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localSheetId="5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localSheetId="5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localSheetId="5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localSheetId="5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localSheetId="5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localSheetId="5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localSheetId="5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localSheetId="5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localSheetId="5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localSheetId="5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localSheetId="5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localSheetId="5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localSheetId="5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localSheetId="5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localSheetId="5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localSheetId="5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localSheetId="5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localSheetId="5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localSheetId="5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localSheetId="5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localSheetId="5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localSheetId="5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localSheetId="5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localSheetId="5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localSheetId="5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localSheetId="5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localSheetId="5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localSheetId="5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localSheetId="5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localSheetId="5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localSheetId="5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localSheetId="5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localSheetId="5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localSheetId="5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localSheetId="5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localSheetId="5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localSheetId="5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localSheetId="5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localSheetId="5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localSheetId="5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localSheetId="5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localSheetId="5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localSheetId="5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localSheetId="5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localSheetId="5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localSheetId="5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localSheetId="5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localSheetId="5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localSheetId="5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localSheetId="5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localSheetId="5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localSheetId="5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localSheetId="5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localSheetId="5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localSheetId="5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localSheetId="5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localSheetId="5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localSheetId="5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localSheetId="5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localSheetId="5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localSheetId="5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localSheetId="5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localSheetId="5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localSheetId="5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localSheetId="5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localSheetId="5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localSheetId="5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localSheetId="5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localSheetId="5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localSheetId="5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localSheetId="5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localSheetId="5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localSheetId="5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localSheetId="5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localSheetId="5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localSheetId="5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localSheetId="5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localSheetId="5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localSheetId="5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localSheetId="5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localSheetId="5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localSheetId="5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localSheetId="5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localSheetId="5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localSheetId="5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localSheetId="5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localSheetId="5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localSheetId="5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localSheetId="5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localSheetId="5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localSheetId="5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localSheetId="5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localSheetId="5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localSheetId="5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localSheetId="5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localSheetId="5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localSheetId="5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localSheetId="5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localSheetId="5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localSheetId="5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localSheetId="5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localSheetId="5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localSheetId="5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localSheetId="5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localSheetId="5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localSheetId="5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localSheetId="5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localSheetId="5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localSheetId="5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localSheetId="5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localSheetId="5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localSheetId="5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localSheetId="5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localSheetId="5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localSheetId="5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localSheetId="5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localSheetId="5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localSheetId="5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localSheetId="5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localSheetId="5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localSheetId="5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localSheetId="5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localSheetId="5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localSheetId="5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localSheetId="5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localSheetId="5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localSheetId="5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localSheetId="5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localSheetId="5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localSheetId="5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localSheetId="5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localSheetId="5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localSheetId="5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localSheetId="5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localSheetId="5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localSheetId="5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localSheetId="5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localSheetId="5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localSheetId="5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localSheetId="5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localSheetId="5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localSheetId="5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localSheetId="5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localSheetId="5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localSheetId="5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localSheetId="5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localSheetId="5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localSheetId="5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localSheetId="5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localSheetId="5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localSheetId="5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localSheetId="5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localSheetId="5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localSheetId="5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localSheetId="5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localSheetId="5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localSheetId="5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localSheetId="5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localSheetId="5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localSheetId="5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localSheetId="5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localSheetId="5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localSheetId="5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localSheetId="5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localSheetId="5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localSheetId="5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localSheetId="5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localSheetId="5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localSheetId="5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localSheetId="5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localSheetId="5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localSheetId="5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localSheetId="5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localSheetId="5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localSheetId="5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localSheetId="5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localSheetId="5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localSheetId="5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localSheetId="5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localSheetId="5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localSheetId="5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localSheetId="5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localSheetId="5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localSheetId="5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localSheetId="5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localSheetId="5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localSheetId="5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localSheetId="5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localSheetId="5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localSheetId="5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localSheetId="5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localSheetId="5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localSheetId="5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localSheetId="5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localSheetId="5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localSheetId="5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localSheetId="5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localSheetId="5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localSheetId="5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localSheetId="5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localSheetId="5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localSheetId="5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localSheetId="5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localSheetId="5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localSheetId="5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localSheetId="5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localSheetId="5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localSheetId="5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localSheetId="5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localSheetId="5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localSheetId="5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localSheetId="5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localSheetId="5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localSheetId="5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localSheetId="5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localSheetId="5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localSheetId="5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localSheetId="5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localSheetId="5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localSheetId="5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localSheetId="5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localSheetId="5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localSheetId="5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localSheetId="5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localSheetId="5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localSheetId="5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localSheetId="5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localSheetId="5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localSheetId="5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localSheetId="5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localSheetId="5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localSheetId="5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localSheetId="5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localSheetId="5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localSheetId="5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localSheetId="5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localSheetId="5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localSheetId="5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localSheetId="5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localSheetId="5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localSheetId="5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localSheetId="5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localSheetId="5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localSheetId="5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localSheetId="5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localSheetId="5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localSheetId="5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localSheetId="5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localSheetId="5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localSheetId="5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localSheetId="5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localSheetId="5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localSheetId="5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localSheetId="5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localSheetId="5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localSheetId="5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localSheetId="5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localSheetId="5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localSheetId="5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localSheetId="5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localSheetId="5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localSheetId="5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localSheetId="5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localSheetId="5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localSheetId="5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localSheetId="5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localSheetId="5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localSheetId="5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localSheetId="5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localSheetId="5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localSheetId="5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localSheetId="5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localSheetId="5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localSheetId="5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localSheetId="5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localSheetId="5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localSheetId="5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localSheetId="5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localSheetId="5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localSheetId="5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localSheetId="5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localSheetId="5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localSheetId="5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localSheetId="5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localSheetId="5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localSheetId="5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localSheetId="5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localSheetId="5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localSheetId="5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localSheetId="5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localSheetId="5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localSheetId="5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localSheetId="5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localSheetId="5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localSheetId="5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localSheetId="5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localSheetId="5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localSheetId="5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localSheetId="5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localSheetId="5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localSheetId="5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localSheetId="5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localSheetId="5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localSheetId="5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localSheetId="5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localSheetId="5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localSheetId="5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localSheetId="5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localSheetId="5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localSheetId="5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localSheetId="5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localSheetId="5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localSheetId="5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localSheetId="5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localSheetId="5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localSheetId="5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localSheetId="5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localSheetId="5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localSheetId="5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localSheetId="5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localSheetId="5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localSheetId="5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localSheetId="5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localSheetId="5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localSheetId="5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localSheetId="5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localSheetId="5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localSheetId="5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localSheetId="5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localSheetId="5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localSheetId="5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localSheetId="5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localSheetId="5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localSheetId="5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localSheetId="5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localSheetId="5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localSheetId="5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localSheetId="5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localSheetId="5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localSheetId="5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localSheetId="5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localSheetId="5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localSheetId="5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localSheetId="5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localSheetId="5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localSheetId="5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localSheetId="5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localSheetId="5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localSheetId="5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localSheetId="5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localSheetId="5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localSheetId="5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localSheetId="5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localSheetId="5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localSheetId="5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localSheetId="5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localSheetId="5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localSheetId="5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localSheetId="5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localSheetId="5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localSheetId="5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localSheetId="5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localSheetId="5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localSheetId="5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localSheetId="5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localSheetId="5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localSheetId="5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localSheetId="5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localSheetId="5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localSheetId="5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localSheetId="5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localSheetId="5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localSheetId="5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localSheetId="5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localSheetId="5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localSheetId="5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localSheetId="5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localSheetId="5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localSheetId="5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localSheetId="5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localSheetId="5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localSheetId="5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localSheetId="5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localSheetId="5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localSheetId="5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localSheetId="5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localSheetId="5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localSheetId="5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localSheetId="5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localSheetId="5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localSheetId="5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localSheetId="5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localSheetId="5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localSheetId="5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localSheetId="5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localSheetId="5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localSheetId="5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localSheetId="5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localSheetId="5" hidden="1">{"fdsup://Directions/FactSet Auditing Viewer?action=AUDIT_VALUE&amp;DB=129&amp;ID1=67066G10&amp;VALUEID=05194&amp;SDATE=201102&amp;PERIODTYPE=QTR_STD&amp;SCFT=3&amp;window=popup_no_bar&amp;width=385&amp;height=120&amp;START_MAXIMIZED=FALSE&amp;creator=factset&amp;display_string=Audit"}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Viewer?action=AUDIT_VALUE&amp;DB=129&amp;ID1=67066G10&amp;VALUEID=05194&amp;SDATE=201102&amp;PERIODTYPE=QTR_STD&amp;SCFT=3&amp;window=popup_no_bar&amp;width=385&amp;height=120&amp;START_MAXIMIZED=FALSE&amp;creator=factset&amp;display_string=Audit"}</definedName>
    <definedName name="_40__FDSAUDITLINK__" localSheetId="5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localSheetId="5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localSheetId="5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localSheetId="5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localSheetId="5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localSheetId="5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localSheetId="5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localSheetId="5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localSheetId="5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localSheetId="5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localSheetId="5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localSheetId="5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localSheetId="5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localSheetId="5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localSheetId="5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localSheetId="5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localSheetId="5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localSheetId="5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localSheetId="5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localSheetId="5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localSheetId="5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localSheetId="5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localSheetId="5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localSheetId="5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localSheetId="5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localSheetId="5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localSheetId="5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localSheetId="5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localSheetId="5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localSheetId="5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localSheetId="5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localSheetId="5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localSheetId="5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localSheetId="5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localSheetId="5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localSheetId="5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localSheetId="5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localSheetId="5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localSheetId="5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localSheetId="5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localSheetId="5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localSheetId="5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localSheetId="5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localSheetId="5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localSheetId="5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localSheetId="5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localSheetId="5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localSheetId="5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localSheetId="5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localSheetId="5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localSheetId="5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localSheetId="5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localSheetId="5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localSheetId="5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localSheetId="5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localSheetId="5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localSheetId="5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localSheetId="5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localSheetId="5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localSheetId="5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localSheetId="5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localSheetId="5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localSheetId="5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localSheetId="5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localSheetId="5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localSheetId="5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localSheetId="5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localSheetId="5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localSheetId="5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localSheetId="5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localSheetId="5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localSheetId="5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localSheetId="5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localSheetId="5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localSheetId="5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localSheetId="5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localSheetId="5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localSheetId="5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localSheetId="5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localSheetId="5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localSheetId="5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localSheetId="5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localSheetId="5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localSheetId="5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localSheetId="5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localSheetId="5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localSheetId="5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localSheetId="5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localSheetId="5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localSheetId="5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localSheetId="5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localSheetId="5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localSheetId="5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localSheetId="5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localSheetId="5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localSheetId="5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localSheetId="5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localSheetId="5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localSheetId="5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localSheetId="5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localSheetId="5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localSheetId="5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localSheetId="5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localSheetId="5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localSheetId="5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localSheetId="5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localSheetId="5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localSheetId="5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localSheetId="5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localSheetId="5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localSheetId="5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localSheetId="5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localSheetId="5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localSheetId="5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localSheetId="5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localSheetId="5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localSheetId="5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localSheetId="5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localSheetId="5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localSheetId="5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localSheetId="5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localSheetId="5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localSheetId="5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localSheetId="5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localSheetId="5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localSheetId="5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localSheetId="5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localSheetId="5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localSheetId="5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localSheetId="5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localSheetId="5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localSheetId="5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localSheetId="5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localSheetId="5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localSheetId="5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localSheetId="5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localSheetId="5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localSheetId="5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localSheetId="5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localSheetId="5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localSheetId="5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localSheetId="5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localSheetId="5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localSheetId="5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localSheetId="5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localSheetId="5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localSheetId="5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localSheetId="5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localSheetId="5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localSheetId="5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localSheetId="5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localSheetId="5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localSheetId="5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localSheetId="5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localSheetId="5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localSheetId="5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localSheetId="5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localSheetId="5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localSheetId="5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localSheetId="5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localSheetId="5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localSheetId="5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localSheetId="5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localSheetId="5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localSheetId="5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localSheetId="5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localSheetId="5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localSheetId="5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localSheetId="5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localSheetId="5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localSheetId="5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localSheetId="5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localSheetId="5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localSheetId="5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localSheetId="5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localSheetId="5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localSheetId="5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localSheetId="5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localSheetId="5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localSheetId="5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localSheetId="5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localSheetId="5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localSheetId="5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localSheetId="5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localSheetId="5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localSheetId="5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localSheetId="5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localSheetId="5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localSheetId="5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localSheetId="5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localSheetId="5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localSheetId="5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localSheetId="5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localSheetId="5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localSheetId="5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localSheetId="5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localSheetId="5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localSheetId="5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localSheetId="5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localSheetId="5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localSheetId="5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localSheetId="5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localSheetId="5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localSheetId="5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localSheetId="5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localSheetId="5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localSheetId="5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localSheetId="5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localSheetId="5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localSheetId="5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localSheetId="5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localSheetId="5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localSheetId="5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localSheetId="5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localSheetId="5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localSheetId="5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localSheetId="5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localSheetId="5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localSheetId="5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localSheetId="5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localSheetId="5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localSheetId="5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localSheetId="5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localSheetId="5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localSheetId="5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localSheetId="5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localSheetId="5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localSheetId="5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localSheetId="5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localSheetId="5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localSheetId="5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localSheetId="5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localSheetId="5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localSheetId="5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localSheetId="5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localSheetId="5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localSheetId="5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localSheetId="5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localSheetId="5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localSheetId="5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localSheetId="5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localSheetId="5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localSheetId="5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localSheetId="5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localSheetId="5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localSheetId="5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localSheetId="5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localSheetId="5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localSheetId="5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localSheetId="5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localSheetId="5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localSheetId="5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localSheetId="5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localSheetId="5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localSheetId="5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localSheetId="5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localSheetId="5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localSheetId="5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localSheetId="5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localSheetId="5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localSheetId="5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localSheetId="5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localSheetId="5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localSheetId="5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localSheetId="5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localSheetId="5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localSheetId="5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localSheetId="5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localSheetId="5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localSheetId="5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localSheetId="5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localSheetId="5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localSheetId="5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localSheetId="5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localSheetId="5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localSheetId="5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localSheetId="5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localSheetId="5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localSheetId="5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localSheetId="5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localSheetId="5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localSheetId="5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localSheetId="5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localSheetId="5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localSheetId="5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localSheetId="5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localSheetId="5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localSheetId="5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localSheetId="5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localSheetId="5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localSheetId="5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localSheetId="5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localSheetId="5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localSheetId="5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localSheetId="5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localSheetId="5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localSheetId="5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localSheetId="5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localSheetId="5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localSheetId="5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localSheetId="5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localSheetId="5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localSheetId="5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localSheetId="5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localSheetId="5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localSheetId="5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localSheetId="5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localSheetId="5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localSheetId="5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localSheetId="5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localSheetId="5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localSheetId="5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localSheetId="5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localSheetId="5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localSheetId="5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localSheetId="5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localSheetId="5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localSheetId="5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localSheetId="5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localSheetId="5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localSheetId="5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localSheetId="5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localSheetId="5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localSheetId="5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localSheetId="5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localSheetId="5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localSheetId="5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localSheetId="5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localSheetId="5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localSheetId="5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localSheetId="5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localSheetId="5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localSheetId="5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localSheetId="5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localSheetId="5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localSheetId="5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localSheetId="5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localSheetId="5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localSheetId="5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localSheetId="5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localSheetId="5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localSheetId="5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localSheetId="5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localSheetId="5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localSheetId="5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localSheetId="5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localSheetId="5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localSheetId="5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localSheetId="5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localSheetId="5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localSheetId="5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localSheetId="5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localSheetId="5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localSheetId="5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localSheetId="5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localSheetId="5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localSheetId="5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localSheetId="5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localSheetId="5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localSheetId="5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localSheetId="5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localSheetId="5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localSheetId="5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localSheetId="5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localSheetId="5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localSheetId="5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localSheetId="5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localSheetId="5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localSheetId="5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localSheetId="5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localSheetId="5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localSheetId="5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localSheetId="5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localSheetId="5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localSheetId="5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localSheetId="5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localSheetId="5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localSheetId="5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localSheetId="5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localSheetId="5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localSheetId="5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localSheetId="5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localSheetId="5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localSheetId="5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localSheetId="5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localSheetId="5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localSheetId="5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localSheetId="5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localSheetId="5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localSheetId="5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localSheetId="5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localSheetId="5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localSheetId="5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localSheetId="5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localSheetId="5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localSheetId="5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localSheetId="5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localSheetId="5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localSheetId="5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localSheetId="5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localSheetId="5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localSheetId="5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localSheetId="5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localSheetId="5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localSheetId="5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localSheetId="5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localSheetId="5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localSheetId="5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localSheetId="5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localSheetId="5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localSheetId="5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localSheetId="5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localSheetId="5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localSheetId="5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localSheetId="5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localSheetId="5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localSheetId="5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localSheetId="5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localSheetId="5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localSheetId="5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localSheetId="5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localSheetId="5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localSheetId="5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localSheetId="5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localSheetId="5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localSheetId="5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localSheetId="5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localSheetId="5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localSheetId="5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localSheetId="5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localSheetId="5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localSheetId="5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localSheetId="5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localSheetId="5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localSheetId="5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localSheetId="5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localSheetId="5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localSheetId="5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localSheetId="5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localSheetId="5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localSheetId="5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localSheetId="5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localSheetId="5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localSheetId="5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localSheetId="5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localSheetId="5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localSheetId="5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localSheetId="5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localSheetId="5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localSheetId="5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localSheetId="5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localSheetId="5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localSheetId="5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localSheetId="5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localSheetId="5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localSheetId="5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localSheetId="5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localSheetId="5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localSheetId="5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localSheetId="5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localSheetId="5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localSheetId="5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localSheetId="5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localSheetId="5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localSheetId="5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localSheetId="5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localSheetId="5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localSheetId="5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localSheetId="5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localSheetId="5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localSheetId="5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localSheetId="5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localSheetId="5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localSheetId="5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localSheetId="5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localSheetId="5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localSheetId="5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localSheetId="5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localSheetId="5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localSheetId="5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localSheetId="5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localSheetId="5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localSheetId="5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localSheetId="5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localSheetId="5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localSheetId="5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localSheetId="5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localSheetId="5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localSheetId="5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localSheetId="5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localSheetId="5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localSheetId="5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localSheetId="5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localSheetId="5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localSheetId="5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localSheetId="5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localSheetId="5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localSheetId="5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localSheetId="5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localSheetId="5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localSheetId="5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localSheetId="5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localSheetId="5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localSheetId="5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localSheetId="5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localSheetId="5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localSheetId="5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localSheetId="5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localSheetId="5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localSheetId="5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localSheetId="5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localSheetId="5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localSheetId="5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localSheetId="5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localSheetId="5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localSheetId="5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localSheetId="5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localSheetId="5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localSheetId="5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localSheetId="5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localSheetId="5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localSheetId="5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localSheetId="5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localSheetId="5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localSheetId="5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localSheetId="5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localSheetId="5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localSheetId="5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localSheetId="5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localSheetId="5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localSheetId="5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localSheetId="5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localSheetId="5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localSheetId="5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localSheetId="5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localSheetId="5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localSheetId="5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localSheetId="5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localSheetId="5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localSheetId="5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localSheetId="5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localSheetId="5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localSheetId="5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localSheetId="5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localSheetId="5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localSheetId="5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localSheetId="5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localSheetId="5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localSheetId="5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localSheetId="5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localSheetId="5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localSheetId="5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localSheetId="5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localSheetId="5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localSheetId="5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localSheetId="5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localSheetId="5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localSheetId="5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localSheetId="5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localSheetId="5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localSheetId="5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localSheetId="5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localSheetId="5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localSheetId="5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localSheetId="5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localSheetId="5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localSheetId="5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localSheetId="5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localSheetId="5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localSheetId="5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localSheetId="5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localSheetId="5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localSheetId="5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localSheetId="5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localSheetId="5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localSheetId="5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localSheetId="5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localSheetId="5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localSheetId="5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localSheetId="5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localSheetId="5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localSheetId="5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localSheetId="5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localSheetId="5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localSheetId="5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localSheetId="5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localSheetId="5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localSheetId="5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localSheetId="5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localSheetId="5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localSheetId="5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localSheetId="5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localSheetId="5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localSheetId="5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localSheetId="5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localSheetId="5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localSheetId="5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localSheetId="5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localSheetId="5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localSheetId="5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localSheetId="5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localSheetId="5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localSheetId="5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localSheetId="5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localSheetId="5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localSheetId="5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localSheetId="5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localSheetId="5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localSheetId="5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localSheetId="5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localSheetId="5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localSheetId="5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localSheetId="5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localSheetId="5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localSheetId="5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localSheetId="5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localSheetId="5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localSheetId="5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localSheetId="5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localSheetId="5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localSheetId="5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localSheetId="5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localSheetId="5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localSheetId="5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localSheetId="5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localSheetId="5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localSheetId="5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localSheetId="5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localSheetId="5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localSheetId="5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localSheetId="5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localSheetId="5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localSheetId="5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localSheetId="5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localSheetId="5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localSheetId="5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localSheetId="5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localSheetId="5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localSheetId="5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localSheetId="5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localSheetId="5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localSheetId="5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localSheetId="5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localSheetId="5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localSheetId="5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localSheetId="5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localSheetId="5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localSheetId="5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localSheetId="5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localSheetId="5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localSheetId="5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localSheetId="5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localSheetId="5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localSheetId="5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localSheetId="5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localSheetId="5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localSheetId="5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localSheetId="5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localSheetId="5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localSheetId="5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localSheetId="5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localSheetId="5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localSheetId="5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localSheetId="5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localSheetId="5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localSheetId="5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localSheetId="5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localSheetId="5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localSheetId="5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localSheetId="5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localSheetId="5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localSheetId="5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localSheetId="5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localSheetId="5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localSheetId="5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localSheetId="5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localSheetId="5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localSheetId="5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localSheetId="5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localSheetId="5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localSheetId="5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localSheetId="5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localSheetId="5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localSheetId="5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localSheetId="5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localSheetId="5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localSheetId="5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localSheetId="5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localSheetId="5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localSheetId="5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localSheetId="5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localSheetId="5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localSheetId="5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localSheetId="5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localSheetId="5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localSheetId="5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localSheetId="5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localSheetId="5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localSheetId="5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localSheetId="5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localSheetId="5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localSheetId="5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localSheetId="5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localSheetId="5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localSheetId="5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localSheetId="5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localSheetId="5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localSheetId="5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localSheetId="5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localSheetId="5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localSheetId="5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localSheetId="5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localSheetId="5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localSheetId="5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localSheetId="5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localSheetId="5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localSheetId="5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localSheetId="5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localSheetId="5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localSheetId="5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localSheetId="5" hidden="1">{"fdsup://Directions/FactSet Auditing Viewer?action=AUDIT_VALUE&amp;DB=129&amp;ID1=637248&amp;VALUEID=02001&amp;SDATE=201102&amp;PERIODTYPE=QTR_STD&amp;SCFT=3&amp;window=popup_no_bar&amp;width=385&amp;height=120&amp;START_MAXIMIZED=FALSE&amp;creator=factset&amp;display_string=Audit"}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Viewer?action=AUDIT_VALUE&amp;DB=129&amp;ID1=637248&amp;VALUEID=02001&amp;SDATE=201102&amp;PERIODTYPE=QTR_STD&amp;SCFT=3&amp;window=popup_no_bar&amp;width=385&amp;height=120&amp;START_MAXIMIZED=FALSE&amp;creator=factset&amp;display_string=Audit"}</definedName>
    <definedName name="_50__FDSAUDITLINK__" localSheetId="5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localSheetId="5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localSheetId="5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localSheetId="5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localSheetId="5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localSheetId="5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localSheetId="5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localSheetId="5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localSheetId="5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localSheetId="5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localSheetId="5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localSheetId="5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localSheetId="5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localSheetId="5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localSheetId="5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localSheetId="5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localSheetId="5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localSheetId="5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localSheetId="5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localSheetId="5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localSheetId="5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localSheetId="5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localSheetId="5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localSheetId="5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localSheetId="5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localSheetId="5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localSheetId="5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localSheetId="5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localSheetId="5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localSheetId="5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localSheetId="5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localSheetId="5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localSheetId="5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localSheetId="5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localSheetId="5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localSheetId="5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localSheetId="5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localSheetId="5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localSheetId="5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localSheetId="5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localSheetId="5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localSheetId="5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localSheetId="5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localSheetId="5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localSheetId="5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localSheetId="5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localSheetId="5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localSheetId="5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localSheetId="5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localSheetId="5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localSheetId="5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localSheetId="5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localSheetId="5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localSheetId="5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localSheetId="5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localSheetId="5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localSheetId="5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localSheetId="5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localSheetId="5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localSheetId="5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localSheetId="5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localSheetId="5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localSheetId="5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localSheetId="5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localSheetId="5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localSheetId="5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localSheetId="5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localSheetId="5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localSheetId="5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localSheetId="5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localSheetId="5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localSheetId="5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localSheetId="5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localSheetId="5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localSheetId="5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localSheetId="5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localSheetId="5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localSheetId="5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localSheetId="5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localSheetId="5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localSheetId="5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localSheetId="5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localSheetId="5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localSheetId="5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localSheetId="5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localSheetId="5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localSheetId="5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localSheetId="5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localSheetId="5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localSheetId="5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localSheetId="5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localSheetId="5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localSheetId="5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localSheetId="5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localSheetId="5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localSheetId="5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localSheetId="5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localSheetId="5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localSheetId="5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localSheetId="5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localSheetId="5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localSheetId="5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localSheetId="5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localSheetId="5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localSheetId="5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localSheetId="5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localSheetId="5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localSheetId="5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localSheetId="5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localSheetId="5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localSheetId="5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60__FDSAUDITLINK__" localSheetId="5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localSheetId="5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localSheetId="5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localSheetId="5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localSheetId="5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localSheetId="5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localSheetId="5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localSheetId="5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localSheetId="5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localSheetId="5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localSheetId="5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localSheetId="5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localSheetId="5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localSheetId="5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localSheetId="5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localSheetId="5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localSheetId="5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localSheetId="5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localSheetId="5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localSheetId="5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localSheetId="5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localSheetId="5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localSheetId="5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localSheetId="5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localSheetId="5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localSheetId="5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localSheetId="5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localSheetId="5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localSheetId="5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localSheetId="5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localSheetId="5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localSheetId="5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localSheetId="5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localSheetId="5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localSheetId="5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localSheetId="5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localSheetId="5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localSheetId="5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localSheetId="5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localSheetId="5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localSheetId="5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localSheetId="5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localSheetId="5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localSheetId="5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localSheetId="5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localSheetId="5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localSheetId="5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localSheetId="5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localSheetId="5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localSheetId="5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localSheetId="5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localSheetId="5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localSheetId="5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localSheetId="5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localSheetId="5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localSheetId="5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localSheetId="5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localSheetId="5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localSheetId="5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localSheetId="5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localSheetId="5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localSheetId="5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localSheetId="5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localSheetId="5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localSheetId="5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localSheetId="5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localSheetId="5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localSheetId="5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localSheetId="5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localSheetId="5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localSheetId="5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localSheetId="5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localSheetId="5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localSheetId="5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localSheetId="5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localSheetId="5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localSheetId="5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localSheetId="5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localSheetId="5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localSheetId="5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localSheetId="5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localSheetId="5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localSheetId="5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localSheetId="5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localSheetId="5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localSheetId="5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localSheetId="5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localSheetId="5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localSheetId="5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localSheetId="5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localSheetId="5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localSheetId="5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localSheetId="5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localSheetId="5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localSheetId="5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localSheetId="5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localSheetId="5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localSheetId="5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localSheetId="5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localSheetId="5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localSheetId="5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localSheetId="5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localSheetId="5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localSheetId="5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localSheetId="5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localSheetId="5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localSheetId="5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localSheetId="5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localSheetId="5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localSheetId="5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localSheetId="5" hidden="1">{"fdsup://Directions/FactSet Auditing Viewer?action=AUDIT_VALUE&amp;DB=129&amp;ID1=637248&amp;VALUEID=05194&amp;SDATE=201102&amp;PERIODTYPE=QTR_STD&amp;SCFT=3&amp;window=popup_no_bar&amp;width=385&amp;height=120&amp;START_MAXIMIZED=FALSE&amp;creator=factset&amp;display_string=Audit"}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Viewer?action=AUDIT_VALUE&amp;DB=129&amp;ID1=637248&amp;VALUEID=05194&amp;SDATE=201102&amp;PERIODTYPE=QTR_STD&amp;SCFT=3&amp;window=popup_no_bar&amp;width=385&amp;height=120&amp;START_MAXIMIZED=FALSE&amp;creator=factset&amp;display_string=Audit"}</definedName>
    <definedName name="_70__FDSAUDITLINK__" localSheetId="5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localSheetId="5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localSheetId="5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localSheetId="5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localSheetId="5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localSheetId="5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localSheetId="5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localSheetId="5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localSheetId="5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localSheetId="5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localSheetId="5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localSheetId="5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localSheetId="5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localSheetId="5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localSheetId="5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localSheetId="5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localSheetId="5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localSheetId="5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localSheetId="5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localSheetId="5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localSheetId="5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localSheetId="5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localSheetId="5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localSheetId="5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localSheetId="5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localSheetId="5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localSheetId="5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localSheetId="5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localSheetId="5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localSheetId="5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localSheetId="5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localSheetId="5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localSheetId="5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localSheetId="5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localSheetId="5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localSheetId="5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localSheetId="5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localSheetId="5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localSheetId="5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localSheetId="5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localSheetId="5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localSheetId="5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localSheetId="5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localSheetId="5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localSheetId="5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localSheetId="5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localSheetId="5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localSheetId="5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localSheetId="5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localSheetId="5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localSheetId="5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localSheetId="5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localSheetId="5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localSheetId="5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localSheetId="5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localSheetId="5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localSheetId="5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localSheetId="5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localSheetId="5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localSheetId="5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localSheetId="5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localSheetId="5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localSheetId="5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localSheetId="5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localSheetId="5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localSheetId="5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localSheetId="5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localSheetId="5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localSheetId="5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localSheetId="5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localSheetId="5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localSheetId="5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localSheetId="5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localSheetId="5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localSheetId="5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localSheetId="5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localSheetId="5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localSheetId="5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localSheetId="5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localSheetId="5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localSheetId="5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localSheetId="5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localSheetId="5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localSheetId="5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localSheetId="5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localSheetId="5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localSheetId="5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localSheetId="5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localSheetId="5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localSheetId="5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localSheetId="5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localSheetId="5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localSheetId="5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localSheetId="5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localSheetId="5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localSheetId="5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localSheetId="5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localSheetId="5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localSheetId="5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localSheetId="5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localSheetId="5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localSheetId="5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localSheetId="5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localSheetId="5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localSheetId="5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localSheetId="5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localSheetId="5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localSheetId="5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localSheetId="5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localSheetId="5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localSheetId="5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80__FDSAUDITLINK__" localSheetId="5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localSheetId="5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localSheetId="5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localSheetId="5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localSheetId="5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localSheetId="5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localSheetId="5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localSheetId="5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localSheetId="5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localSheetId="5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localSheetId="5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localSheetId="5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localSheetId="5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localSheetId="5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localSheetId="5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localSheetId="5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localSheetId="5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localSheetId="5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localSheetId="5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localSheetId="5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localSheetId="5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localSheetId="5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localSheetId="5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localSheetId="5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localSheetId="5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localSheetId="5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localSheetId="5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localSheetId="5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localSheetId="5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localSheetId="5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localSheetId="5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localSheetId="5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localSheetId="5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localSheetId="5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localSheetId="5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localSheetId="5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localSheetId="5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localSheetId="5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localSheetId="5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localSheetId="5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localSheetId="5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localSheetId="5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localSheetId="5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localSheetId="5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localSheetId="5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localSheetId="5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localSheetId="5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localSheetId="5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localSheetId="5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localSheetId="5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localSheetId="5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localSheetId="5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localSheetId="5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localSheetId="5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localSheetId="5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localSheetId="5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localSheetId="5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localSheetId="5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localSheetId="5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localSheetId="5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localSheetId="5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localSheetId="5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localSheetId="5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localSheetId="5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localSheetId="5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localSheetId="5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localSheetId="5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localSheetId="5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localSheetId="5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localSheetId="5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localSheetId="5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localSheetId="5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localSheetId="5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localSheetId="5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localSheetId="5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localSheetId="5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localSheetId="5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localSheetId="5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localSheetId="5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localSheetId="5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localSheetId="5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localSheetId="5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localSheetId="5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localSheetId="5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localSheetId="5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localSheetId="5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localSheetId="5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localSheetId="5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localSheetId="5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localSheetId="5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localSheetId="5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localSheetId="5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localSheetId="5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localSheetId="5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localSheetId="5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localSheetId="5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localSheetId="5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localSheetId="5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localSheetId="5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localSheetId="5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localSheetId="5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localSheetId="5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localSheetId="5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localSheetId="5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localSheetId="5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localSheetId="5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localSheetId="5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localSheetId="5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localSheetId="5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localSheetId="5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localSheetId="5" hidden="1">{"fdsup://Directions/FactSet Auditing Viewer?action=AUDIT_VALUE&amp;DB=129&amp;ID1=74752510&amp;VALUEID=02001&amp;SDATE=201103&amp;PERIODTYPE=QTR_STD&amp;SCFT=3&amp;window=popup_no_bar&amp;width=385&amp;height=120&amp;START_MAXIMIZED=FALSE&amp;creator=factset&amp;display_string=Audit"}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Viewer?action=AUDIT_VALUE&amp;DB=129&amp;ID1=74752510&amp;VALUEID=02001&amp;SDATE=201103&amp;PERIODTYPE=QTR_STD&amp;SCFT=3&amp;window=popup_no_bar&amp;width=385&amp;height=120&amp;START_MAXIMIZED=FALSE&amp;creator=factset&amp;display_string=Audit"}</definedName>
    <definedName name="_90__FDSAUDITLINK__" localSheetId="5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localSheetId="5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localSheetId="5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localSheetId="5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localSheetId="5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localSheetId="5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localSheetId="5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localSheetId="5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localSheetId="5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localSheetId="5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localSheetId="5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localSheetId="5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localSheetId="5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localSheetId="5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localSheetId="5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localSheetId="5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localSheetId="5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localSheetId="5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localSheetId="5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localSheetId="5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localSheetId="5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localSheetId="5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localSheetId="5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localSheetId="5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localSheetId="5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localSheetId="5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localSheetId="5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localSheetId="5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localSheetId="5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localSheetId="5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localSheetId="5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localSheetId="5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localSheetId="5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localSheetId="5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localSheetId="5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localSheetId="5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localSheetId="5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localSheetId="5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localSheetId="5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localSheetId="5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localSheetId="5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localSheetId="5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localSheetId="5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localSheetId="5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localSheetId="5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localSheetId="5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localSheetId="5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localSheetId="5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localSheetId="5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localSheetId="5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localSheetId="5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localSheetId="5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localSheetId="5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localSheetId="5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localSheetId="5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localSheetId="5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localSheetId="5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localSheetId="5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localSheetId="5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localSheetId="5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localSheetId="5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localSheetId="5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localSheetId="5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localSheetId="5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localSheetId="5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localSheetId="5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localSheetId="5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localSheetId="5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localSheetId="5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localSheetId="5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localSheetId="5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localSheetId="5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localSheetId="5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localSheetId="5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localSheetId="5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localSheetId="5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localSheetId="5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localSheetId="5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localSheetId="5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localSheetId="5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localSheetId="5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localSheetId="5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localSheetId="5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localSheetId="5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localSheetId="5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localSheetId="5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localSheetId="5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localSheetId="5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localSheetId="5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localSheetId="5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localSheetId="5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localSheetId="5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localSheetId="5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localSheetId="5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localSheetId="5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localSheetId="5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localSheetId="5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localSheetId="5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localSheetId="5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localSheetId="5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localSheetId="5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localSheetId="5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localSheetId="5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localSheetId="5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localSheetId="5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localSheetId="5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localSheetId="5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localSheetId="5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localSheetId="5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localSheetId="5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286F36F53C7C409EA9772B14169B7864.edm" hidden="1">IS!$1:$1048576</definedName>
    <definedName name="_bdm.72992B73BB9C496690C7A8995EECEAEA.edm" localSheetId="1" hidden="1">IS!$B$5:$CB$93</definedName>
    <definedName name="_bdm.8949CA62BFE94AD2B1AF20C73D2FB203.edm" localSheetId="1" hidden="1">IS!$A$5:$CB$93</definedName>
    <definedName name="_bdm.A0A92BDCCA17485D9FFD842F6AD6598F.edm" hidden="1">BS!$1:$1048576</definedName>
    <definedName name="_bdm.AC7CCE2D50AD4CCCA71D1A3BAF07D94D.edm" localSheetId="2" hidden="1">BS!$B$5:$CD$44</definedName>
    <definedName name="_bdm.B6C14E1DF2B6432EB01E007A19C4AE5B.edm" hidden="1">CFS!$1:$1048576</definedName>
    <definedName name="_bdm.C2DEECB236ED4B70BE058ED50C8D1C30.edm" localSheetId="3" hidden="1">CFS!$B$5:$CB$57</definedName>
    <definedName name="_bdm.E1FA59610312481F98399947F0B24C64.edm" localSheetId="1" hidden="1">IS!$B$5:$AI$93</definedName>
    <definedName name="_Order1" hidden="1">255</definedName>
    <definedName name="AdditionalInstructions">IndexInformation!$B$42</definedName>
    <definedName name="Address" localSheetId="0">ImportantDisclosures!$A$2:$A$2</definedName>
    <definedName name="ANA" localSheetId="7">ModPubIndex!$A$7</definedName>
    <definedName name="anscount" hidden="1">1</definedName>
    <definedName name="Authors" localSheetId="0">ImportantDisclosures!$A$7</definedName>
    <definedName name="Authors" localSheetId="6">IndexInformation!$B$18</definedName>
    <definedName name="BRO" localSheetId="7">ModPubIndex!$A$1</definedName>
    <definedName name="BS" localSheetId="5">[2]BS!$B$45:$BR$45</definedName>
    <definedName name="BS">BS!$B$46:$CD$46</definedName>
    <definedName name="CopyrightStamp">ImportantDisclosures!$A$27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aseries4">OFFSET([3]c1!$G$12,0,0,COUNTA([3]c1!$G$12:$G$31),1)</definedName>
    <definedName name="Date" localSheetId="0">ImportantDisclosures!$A$8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0">ImportantDisclosures!#REF!</definedName>
    <definedName name="DistTablePreamble" localSheetId="0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EMAIL_ALERT" localSheetId="7">ModPubIndex!$A$10</definedName>
    <definedName name="EmailAlert" localSheetId="6">IndexInformation!$B$28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HL" localSheetId="7">ModPubIndex!$A$8</definedName>
    <definedName name="IND" localSheetId="7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KeepVersions" localSheetId="6">IndexInformation!$B$8</definedName>
    <definedName name="LanguageCode">IndexInformation!$B$38</definedName>
    <definedName name="LastCell" localSheetId="0">ImportantDisclosures!$A$22</definedName>
    <definedName name="Linking_10">BS!$B$5:$BY$44</definedName>
    <definedName name="Linking_11">CFS!$B$5:$BY$57</definedName>
    <definedName name="Linking_13">BS!$B$5:$BC$44</definedName>
    <definedName name="Linking_16">IS!$B$5:$BZ$93</definedName>
    <definedName name="Linking_17">BS!$B$5:$BG$44</definedName>
    <definedName name="Linking_18">CFS!$B$4:$BZ$57</definedName>
    <definedName name="Linking_20">CFS!$B$5:$BZ$57</definedName>
    <definedName name="Linking_21">IS!$B$5:$CA$93</definedName>
    <definedName name="Linking_22">CFS!$B$5:$CA$57</definedName>
    <definedName name="Linking_23">BS!$B$5:$BK$44</definedName>
    <definedName name="Linking_6">IS!$B$5:$BX$91</definedName>
    <definedName name="Linking_9">IS!$B$5:$BY$93</definedName>
    <definedName name="Linking_Range_1">IS!$B$5:$AM$93</definedName>
    <definedName name="Linking_Range_13">CFS!$B$5:$BU$57</definedName>
    <definedName name="Linking_Range_14">IS!$B$5:$BV$106</definedName>
    <definedName name="Linking_Range_15">IS!$B$5:$BV$101</definedName>
    <definedName name="Linking_Range_17">CFS!$B$5:$BV$57</definedName>
    <definedName name="Linking_Range_18">CFS!$B$5:$BW$57</definedName>
    <definedName name="Linking_Range_19">BS!$B$5:$BW$44</definedName>
    <definedName name="Linking_Range_2">IS!$B$5:$BV$93</definedName>
    <definedName name="Linking_Range_3">IS!$B$5:$BV$101</definedName>
    <definedName name="Linking_Range_32">IS!$B$5:$BW$93</definedName>
    <definedName name="Linking_Range_33">BS!$B$4:$BW$44</definedName>
    <definedName name="Linking_Range_34">CFS!$B$4:$BW$57</definedName>
    <definedName name="Linking_Range_35">CFS!$B$5:$AU$57</definedName>
    <definedName name="Linking_Range_4">BS!$B$5:$AM$44</definedName>
    <definedName name="Linking_Range_51">IS!$B$5:$BX$93</definedName>
    <definedName name="Linking_Range_52">IS!$A$2:$CB$94</definedName>
    <definedName name="Linking_Range_53">IS!$A$3:$CB$94</definedName>
    <definedName name="Linking_Range_58">IS!$A$4:$CB$94</definedName>
    <definedName name="Linking_Range_61">BS!$B$5:$BX$44</definedName>
    <definedName name="Linking_Range_62">CFS!$B$5:$BX$57</definedName>
    <definedName name="Linking_Range_63">BS!$B$5:$AY$44</definedName>
    <definedName name="Linking_Text_1">"x"</definedName>
    <definedName name="MacroVersion" localSheetId="6">IndexInformation!$B$1</definedName>
    <definedName name="ModelPrice" localSheetId="0">ImportantDisclosures!$A$14</definedName>
    <definedName name="Multiplier" localSheetId="6">IndexInformation!$B$35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PANA" localSheetId="7">ModPubIndex!$A$11</definedName>
    <definedName name="PathName" localSheetId="6">IndexInformation!$B$25</definedName>
    <definedName name="_xlnm.Print_Area" localSheetId="2">BS!$B$4:$BW$102</definedName>
    <definedName name="_xlnm.Print_Area" localSheetId="3">CFS!$B$4:$CA$72</definedName>
    <definedName name="_xlnm.Print_Area" localSheetId="1">IS!$B$5:$BY$106</definedName>
    <definedName name="PRODUCT" localSheetId="7">ModPubIndex!$A$6</definedName>
    <definedName name="PSYM" localSheetId="7">ModPubIndex!$A$4</definedName>
    <definedName name="PublishDate" localSheetId="6">IndexInformation!$B$2</definedName>
    <definedName name="Rating" localSheetId="6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6">IndexInformation!$B$4</definedName>
    <definedName name="RIC" localSheetId="6">IndexInformation!$B$21</definedName>
    <definedName name="SECSettlement" localSheetId="0">ImportantDisclosures!#REF!</definedName>
    <definedName name="SEDOL" localSheetId="6">IndexInformation!$B$22</definedName>
    <definedName name="sencount" hidden="1">1</definedName>
    <definedName name="solver_adj" localSheetId="5" hidden="1">'Segment Detail'!$J$35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'Segment Detail'!$J$242</definedName>
    <definedName name="solver_pre" localSheetId="5" hidden="1">0.000001</definedName>
    <definedName name="solver_rbv" localSheetId="5" hidden="1">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SourceDefined" localSheetId="0">ImportantDisclosures!$A$19</definedName>
    <definedName name="StockRating" localSheetId="0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6">IndexInformation!$B$19</definedName>
    <definedName name="UpdateReason" localSheetId="6">IndexInformation!$B$17</definedName>
    <definedName name="USRegDisclosures" localSheetId="0">ImportantDisclosures!#REF!</definedName>
    <definedName name="ValidDateTable" localSheetId="5">[2]mwareDates!$B$2:$E$81</definedName>
  </definedNames>
  <calcPr calcId="145621" calcMode="autoNoTable" calcOnSave="0"/>
</workbook>
</file>

<file path=xl/calcChain.xml><?xml version="1.0" encoding="utf-8"?>
<calcChain xmlns="http://schemas.openxmlformats.org/spreadsheetml/2006/main">
  <c r="CB53" i="2" l="1"/>
  <c r="CB52" i="2"/>
  <c r="CB50" i="2"/>
  <c r="BH52" i="2"/>
  <c r="BK50" i="2"/>
  <c r="BJ50" i="2"/>
  <c r="BI50" i="2"/>
  <c r="BG65" i="1" l="1"/>
  <c r="BH65" i="1" s="1"/>
  <c r="BI65" i="1" s="1"/>
  <c r="BJ65" i="1" s="1"/>
  <c r="BK65" i="1" s="1"/>
  <c r="AI15" i="50" l="1"/>
  <c r="AH15" i="50"/>
  <c r="AI233" i="50"/>
  <c r="AI223" i="50"/>
  <c r="AI218" i="50"/>
  <c r="AI214" i="50"/>
  <c r="AI213" i="50"/>
  <c r="AI217" i="50" s="1"/>
  <c r="AI210" i="50"/>
  <c r="AI207" i="50"/>
  <c r="AI208" i="50" s="1"/>
  <c r="AI186" i="50"/>
  <c r="AI185" i="50"/>
  <c r="AI176" i="50" s="1"/>
  <c r="AI177" i="50" s="1"/>
  <c r="AI179" i="50"/>
  <c r="AI180" i="50" s="1"/>
  <c r="AI173" i="50"/>
  <c r="AI182" i="50" s="1"/>
  <c r="AI162" i="50"/>
  <c r="AM116" i="50"/>
  <c r="AN116" i="50" s="1"/>
  <c r="AO116" i="50" s="1"/>
  <c r="AP116" i="50" s="1"/>
  <c r="AK116" i="50"/>
  <c r="AL116" i="50"/>
  <c r="AJ116" i="50"/>
  <c r="AI156" i="50"/>
  <c r="AI117" i="50"/>
  <c r="AI113" i="50"/>
  <c r="AI108" i="50"/>
  <c r="AI106" i="50"/>
  <c r="AI104" i="50"/>
  <c r="AI102" i="50"/>
  <c r="AI98" i="50" s="1"/>
  <c r="AI93" i="50"/>
  <c r="AI92" i="50"/>
  <c r="AI91" i="50"/>
  <c r="AI86" i="50"/>
  <c r="AI85" i="50"/>
  <c r="AI80" i="50"/>
  <c r="AI75" i="50"/>
  <c r="AI88" i="50" s="1"/>
  <c r="AI6" i="50" s="1"/>
  <c r="AI39" i="50"/>
  <c r="AI40" i="50" s="1"/>
  <c r="AI35" i="50"/>
  <c r="AI36" i="50" s="1"/>
  <c r="AI28" i="50"/>
  <c r="AI27" i="50"/>
  <c r="AI23" i="50"/>
  <c r="AI10" i="50"/>
  <c r="AI9" i="50"/>
  <c r="AI60" i="50"/>
  <c r="AI58" i="50"/>
  <c r="AI57" i="50" s="1"/>
  <c r="AI244" i="50"/>
  <c r="AF247" i="50"/>
  <c r="AI300" i="50"/>
  <c r="AI276" i="50"/>
  <c r="AI274" i="50"/>
  <c r="AI273" i="50"/>
  <c r="AI271" i="50"/>
  <c r="AI266" i="50"/>
  <c r="AI265" i="50"/>
  <c r="AI261" i="50"/>
  <c r="AI254" i="50"/>
  <c r="AI219" i="50" l="1"/>
  <c r="AI211" i="50"/>
  <c r="AI275" i="50"/>
  <c r="AI209" i="50"/>
  <c r="AI222" i="50"/>
  <c r="AI184" i="50"/>
  <c r="AI8" i="50"/>
  <c r="AI183" i="50"/>
  <c r="AI174" i="50"/>
  <c r="AI119" i="50"/>
  <c r="AI110" i="50"/>
  <c r="AI77" i="50"/>
  <c r="AI76" i="50"/>
  <c r="AI47" i="50"/>
  <c r="AI49" i="50"/>
  <c r="AI48" i="50"/>
  <c r="AI31" i="50"/>
  <c r="AI19" i="50"/>
  <c r="AI24" i="50"/>
  <c r="AI277" i="50"/>
  <c r="BD83" i="1"/>
  <c r="AI122" i="50" l="1"/>
  <c r="AI153" i="50" s="1"/>
  <c r="AI120" i="50"/>
  <c r="AI20" i="50"/>
  <c r="AI43" i="50"/>
  <c r="AI51" i="50"/>
  <c r="AI21" i="50"/>
  <c r="AI33" i="50"/>
  <c r="AI32" i="50"/>
  <c r="AI66" i="50"/>
  <c r="AI5" i="50" s="1"/>
  <c r="BZ67" i="1"/>
  <c r="BD68" i="1"/>
  <c r="AI123" i="50" l="1"/>
  <c r="AI125" i="50"/>
  <c r="AI4" i="50"/>
  <c r="AI52" i="50"/>
  <c r="AI53" i="50"/>
  <c r="AI45" i="50"/>
  <c r="AI44" i="50"/>
  <c r="AI155" i="50" l="1"/>
  <c r="AI154" i="50"/>
  <c r="BD78" i="43"/>
  <c r="BD76" i="43"/>
  <c r="BD58" i="43" s="1"/>
  <c r="BD72" i="43"/>
  <c r="BD71" i="43"/>
  <c r="BD68" i="43"/>
  <c r="BD67" i="43"/>
  <c r="BD66" i="43"/>
  <c r="BD63" i="43"/>
  <c r="BD62" i="43"/>
  <c r="BD61" i="43"/>
  <c r="BD57" i="43"/>
  <c r="BD56" i="43"/>
  <c r="BD43" i="43"/>
  <c r="BD42" i="43"/>
  <c r="BD41" i="43"/>
  <c r="BD38" i="43"/>
  <c r="BD37" i="43"/>
  <c r="BD36" i="43"/>
  <c r="BD33" i="43"/>
  <c r="BD32" i="43"/>
  <c r="BD31" i="43"/>
  <c r="BD28" i="43"/>
  <c r="BD27" i="43"/>
  <c r="BD26" i="43"/>
  <c r="BD23" i="43"/>
  <c r="BD22" i="43"/>
  <c r="BD21" i="43"/>
  <c r="BD18" i="43"/>
  <c r="BD17" i="43"/>
  <c r="BD16" i="43"/>
  <c r="BD13" i="43"/>
  <c r="BD12" i="43"/>
  <c r="BD11" i="43"/>
  <c r="BD8" i="43"/>
  <c r="BD7" i="43"/>
  <c r="BD6" i="43"/>
  <c r="BD82" i="3"/>
  <c r="BD83" i="3" s="1"/>
  <c r="BD79" i="3"/>
  <c r="BD55" i="3"/>
  <c r="BD48" i="3"/>
  <c r="BD47" i="3"/>
  <c r="BD30" i="3"/>
  <c r="BD15" i="3"/>
  <c r="BD12" i="3"/>
  <c r="BD11" i="3"/>
  <c r="BD62" i="2"/>
  <c r="BD65" i="2"/>
  <c r="BD57" i="2"/>
  <c r="BD53" i="2" s="1"/>
  <c r="BD56" i="2"/>
  <c r="BD54" i="2" s="1"/>
  <c r="BD52" i="2"/>
  <c r="BD51" i="2" s="1"/>
  <c r="BD42" i="2"/>
  <c r="BD40" i="2"/>
  <c r="BD36" i="2"/>
  <c r="BD17" i="2"/>
  <c r="BD26" i="2" s="1"/>
  <c r="BD85" i="1"/>
  <c r="BD76" i="1"/>
  <c r="BD77" i="1" s="1"/>
  <c r="BD62" i="1"/>
  <c r="BD45" i="1"/>
  <c r="BD52" i="1" s="1"/>
  <c r="BD42" i="1"/>
  <c r="BD43" i="1" s="1"/>
  <c r="BD38" i="1"/>
  <c r="BD34" i="1"/>
  <c r="BD35" i="1" s="1"/>
  <c r="BD30" i="1"/>
  <c r="BD23" i="1"/>
  <c r="BD21" i="1"/>
  <c r="BD26" i="1" s="1"/>
  <c r="BD11" i="1"/>
  <c r="BD10" i="1"/>
  <c r="BD39" i="1" s="1"/>
  <c r="BD9" i="1"/>
  <c r="BD92" i="1"/>
  <c r="BD50" i="2" l="1"/>
  <c r="BD55" i="1"/>
  <c r="BD53" i="1"/>
  <c r="BD24" i="1"/>
  <c r="BD27" i="1"/>
  <c r="BD31" i="1"/>
  <c r="BD70" i="1" l="1"/>
  <c r="BD74" i="1" s="1"/>
  <c r="BD79" i="43"/>
  <c r="BD59" i="1"/>
  <c r="BD71" i="1" s="1"/>
  <c r="BD54" i="1"/>
  <c r="BD56" i="1"/>
  <c r="BD80" i="1"/>
  <c r="BD60" i="1" l="1"/>
  <c r="BD89" i="1"/>
  <c r="BD91" i="1" s="1"/>
  <c r="BD81" i="1"/>
  <c r="BD87" i="1"/>
  <c r="BD93" i="1" s="1"/>
  <c r="BD78" i="1"/>
  <c r="BC59" i="3" l="1"/>
  <c r="BC67" i="3"/>
  <c r="BC132" i="3"/>
  <c r="BC121" i="3"/>
  <c r="BC105" i="3"/>
  <c r="BC146" i="3"/>
  <c r="BC137" i="3"/>
  <c r="BC128" i="3"/>
  <c r="BC102" i="1" l="1"/>
  <c r="BI27" i="1" l="1"/>
  <c r="CD51" i="1" l="1"/>
  <c r="BW84" i="43" l="1"/>
  <c r="BV83" i="43"/>
  <c r="BX84" i="43"/>
  <c r="BW83" i="43"/>
  <c r="BY84" i="43"/>
  <c r="BX83" i="43"/>
  <c r="BY83" i="43"/>
  <c r="BE25" i="2" l="1"/>
  <c r="BF25" i="2" s="1"/>
  <c r="BG25" i="2" s="1"/>
  <c r="BH25" i="2" s="1"/>
  <c r="BI25" i="2" s="1"/>
  <c r="BJ25" i="2" s="1"/>
  <c r="BK25" i="2" s="1"/>
  <c r="BE63" i="2" l="1"/>
  <c r="BF63" i="2" s="1"/>
  <c r="BG63" i="2" s="1"/>
  <c r="BF53" i="2"/>
  <c r="BG53" i="2" s="1"/>
  <c r="BG79" i="3"/>
  <c r="BE79" i="3"/>
  <c r="BF52" i="2"/>
  <c r="BG52" i="2" s="1"/>
  <c r="BI52" i="2" s="1"/>
  <c r="BJ52" i="2" s="1"/>
  <c r="BK52" i="2" s="1"/>
  <c r="BE99" i="1"/>
  <c r="BE102" i="1" s="1"/>
  <c r="BD99" i="1"/>
  <c r="BD102" i="1" s="1"/>
  <c r="BI74" i="1"/>
  <c r="BJ74" i="1" s="1"/>
  <c r="BK74" i="1" s="1"/>
  <c r="AH300" i="50"/>
  <c r="AH276" i="50"/>
  <c r="AH274" i="50"/>
  <c r="AH273" i="50"/>
  <c r="AH271" i="50"/>
  <c r="AH266" i="50"/>
  <c r="AH265" i="50"/>
  <c r="AH261" i="50"/>
  <c r="AH254" i="50"/>
  <c r="AH156" i="50" s="1"/>
  <c r="AH244" i="50"/>
  <c r="AH277" i="50" s="1"/>
  <c r="AH233" i="50"/>
  <c r="AH231" i="50"/>
  <c r="AH229" i="50"/>
  <c r="AH227" i="50"/>
  <c r="AH218" i="50"/>
  <c r="AH214" i="50"/>
  <c r="AH210" i="50"/>
  <c r="AH209" i="50"/>
  <c r="AH208" i="50"/>
  <c r="AH207" i="50"/>
  <c r="AH275" i="50" s="1"/>
  <c r="AH200" i="50"/>
  <c r="AH203" i="50" s="1"/>
  <c r="AH204" i="50" s="1"/>
  <c r="AH193" i="50"/>
  <c r="AH185" i="50"/>
  <c r="AH179" i="50"/>
  <c r="AH176" i="50" s="1"/>
  <c r="AH177" i="50" s="1"/>
  <c r="AH173" i="50"/>
  <c r="AH182" i="50" s="1"/>
  <c r="AH117" i="50"/>
  <c r="AH113" i="50"/>
  <c r="AH106" i="50"/>
  <c r="AH108" i="50" s="1"/>
  <c r="AH102" i="50"/>
  <c r="AH98" i="50" s="1"/>
  <c r="AH88" i="50"/>
  <c r="AH264" i="50" s="1"/>
  <c r="AH86" i="50"/>
  <c r="AH85" i="50"/>
  <c r="AH80" i="50"/>
  <c r="AH77" i="50"/>
  <c r="AH75" i="50"/>
  <c r="AH76" i="50" s="1"/>
  <c r="AH71" i="50"/>
  <c r="AH60" i="50"/>
  <c r="AH58" i="50"/>
  <c r="AH56" i="50"/>
  <c r="AH57" i="50" s="1"/>
  <c r="AH40" i="50"/>
  <c r="AH39" i="50"/>
  <c r="AH36" i="50"/>
  <c r="AH35" i="50"/>
  <c r="AH31" i="50"/>
  <c r="AH32" i="50" s="1"/>
  <c r="AH27" i="50"/>
  <c r="AH28" i="50" s="1"/>
  <c r="AH23" i="50"/>
  <c r="AH24" i="50" s="1"/>
  <c r="AH12" i="50"/>
  <c r="AH10" i="50"/>
  <c r="AH9" i="50"/>
  <c r="AH6" i="50"/>
  <c r="BF99" i="1" l="1"/>
  <c r="AH236" i="50"/>
  <c r="AH239" i="50" s="1"/>
  <c r="AH237" i="50"/>
  <c r="AH110" i="50"/>
  <c r="AH186" i="50"/>
  <c r="AH184" i="50"/>
  <c r="AH183" i="50"/>
  <c r="AH8" i="50"/>
  <c r="AH119" i="50"/>
  <c r="AH33" i="50"/>
  <c r="AH47" i="50"/>
  <c r="AH92" i="50"/>
  <c r="AH104" i="50"/>
  <c r="AH162" i="50"/>
  <c r="AH213" i="50" s="1"/>
  <c r="AH19" i="50"/>
  <c r="AH174" i="50"/>
  <c r="AH180" i="50"/>
  <c r="BF102" i="1" l="1"/>
  <c r="BG99" i="1"/>
  <c r="AH238" i="50"/>
  <c r="AH11" i="50"/>
  <c r="AH240" i="50"/>
  <c r="AH217" i="50"/>
  <c r="AH219" i="50" s="1"/>
  <c r="AH222" i="50"/>
  <c r="AH223" i="50" s="1"/>
  <c r="AH224" i="50" s="1"/>
  <c r="AH20" i="50"/>
  <c r="AH66" i="50"/>
  <c r="AH51" i="50"/>
  <c r="AH43" i="50"/>
  <c r="AH21" i="50"/>
  <c r="AH120" i="50"/>
  <c r="AH122" i="50"/>
  <c r="AH272" i="50"/>
  <c r="AH48" i="50"/>
  <c r="AH49" i="50"/>
  <c r="BG102" i="1" l="1"/>
  <c r="BH99" i="1"/>
  <c r="AH45" i="50"/>
  <c r="AH44" i="50"/>
  <c r="AH125" i="50"/>
  <c r="AH123" i="50"/>
  <c r="AH153" i="50"/>
  <c r="AH52" i="50"/>
  <c r="AH53" i="50"/>
  <c r="AH247" i="50"/>
  <c r="AH91" i="50"/>
  <c r="AH5" i="50"/>
  <c r="BH102" i="1" l="1"/>
  <c r="BI99" i="1"/>
  <c r="AH4" i="50"/>
  <c r="AH93" i="50" s="1"/>
  <c r="AH94" i="50" s="1"/>
  <c r="AH7" i="50"/>
  <c r="AH14" i="50" s="1"/>
  <c r="AH155" i="50"/>
  <c r="AH154" i="50"/>
  <c r="AH157" i="50"/>
  <c r="BI102" i="1" l="1"/>
  <c r="BJ99" i="1"/>
  <c r="BY97" i="1"/>
  <c r="BZ99" i="1"/>
  <c r="BB99" i="1"/>
  <c r="BA99" i="1"/>
  <c r="AZ99" i="1"/>
  <c r="BY99" i="1" s="1"/>
  <c r="BY102" i="1" s="1"/>
  <c r="AY99" i="1"/>
  <c r="AX99" i="1"/>
  <c r="AW99" i="1"/>
  <c r="AV99" i="1"/>
  <c r="BX99" i="1" s="1"/>
  <c r="AU99" i="1"/>
  <c r="AT99" i="1"/>
  <c r="AS99" i="1"/>
  <c r="AR99" i="1"/>
  <c r="BW99" i="1" s="1"/>
  <c r="AQ99" i="1"/>
  <c r="AP99" i="1"/>
  <c r="AO99" i="1"/>
  <c r="AN99" i="1"/>
  <c r="BV99" i="1" s="1"/>
  <c r="AM99" i="1"/>
  <c r="AL99" i="1"/>
  <c r="AK99" i="1"/>
  <c r="AJ99" i="1"/>
  <c r="BU99" i="1" s="1"/>
  <c r="AI99" i="1"/>
  <c r="AH99" i="1"/>
  <c r="AG99" i="1"/>
  <c r="AF99" i="1"/>
  <c r="BT99" i="1" s="1"/>
  <c r="AE99" i="1"/>
  <c r="AD99" i="1"/>
  <c r="AC99" i="1"/>
  <c r="AB99" i="1"/>
  <c r="BS99" i="1" s="1"/>
  <c r="AA99" i="1"/>
  <c r="Z99" i="1"/>
  <c r="Y99" i="1"/>
  <c r="X99" i="1"/>
  <c r="BR99" i="1" s="1"/>
  <c r="W99" i="1"/>
  <c r="V99" i="1"/>
  <c r="U99" i="1"/>
  <c r="T99" i="1"/>
  <c r="BQ99" i="1" s="1"/>
  <c r="S99" i="1"/>
  <c r="R99" i="1"/>
  <c r="Q99" i="1"/>
  <c r="P99" i="1"/>
  <c r="BP99" i="1" s="1"/>
  <c r="O99" i="1"/>
  <c r="N99" i="1"/>
  <c r="M99" i="1"/>
  <c r="L99" i="1"/>
  <c r="BO99" i="1" s="1"/>
  <c r="K99" i="1"/>
  <c r="J99" i="1"/>
  <c r="I99" i="1"/>
  <c r="H99" i="1"/>
  <c r="BN99" i="1" s="1"/>
  <c r="G99" i="1"/>
  <c r="F99" i="1"/>
  <c r="E99" i="1"/>
  <c r="D99" i="1"/>
  <c r="BM99" i="1" s="1"/>
  <c r="BC72" i="43"/>
  <c r="BC71" i="43"/>
  <c r="BC67" i="43"/>
  <c r="BC66" i="43"/>
  <c r="BC62" i="43"/>
  <c r="BB62" i="43"/>
  <c r="BA62" i="43"/>
  <c r="AZ62" i="43"/>
  <c r="BC57" i="43"/>
  <c r="BC63" i="43"/>
  <c r="BC61" i="43"/>
  <c r="BC56" i="43"/>
  <c r="BC43" i="43"/>
  <c r="BC42" i="43"/>
  <c r="BC41" i="43"/>
  <c r="BC37" i="43"/>
  <c r="BC36" i="43"/>
  <c r="BC33" i="43"/>
  <c r="BC32" i="43"/>
  <c r="BC31" i="43"/>
  <c r="BC27" i="43"/>
  <c r="BC26" i="43"/>
  <c r="BC23" i="43"/>
  <c r="BC22" i="43"/>
  <c r="BC21" i="43"/>
  <c r="BC17" i="43"/>
  <c r="BC16" i="43"/>
  <c r="BC12" i="43"/>
  <c r="AY12" i="43"/>
  <c r="BC13" i="43"/>
  <c r="BC11" i="43"/>
  <c r="BC7" i="43"/>
  <c r="BC6" i="43"/>
  <c r="BC62" i="2"/>
  <c r="BC72" i="2"/>
  <c r="BC65" i="2"/>
  <c r="BC70" i="2" s="1"/>
  <c r="BC57" i="2"/>
  <c r="BC53" i="2" s="1"/>
  <c r="BC56" i="2"/>
  <c r="BC54" i="2"/>
  <c r="BC50" i="2"/>
  <c r="BC42" i="2"/>
  <c r="BC36" i="2"/>
  <c r="BC17" i="2"/>
  <c r="BC26" i="2" s="1"/>
  <c r="BC70" i="3" s="1"/>
  <c r="BC84" i="1"/>
  <c r="CB116" i="1"/>
  <c r="CA116" i="1"/>
  <c r="BZ116" i="1"/>
  <c r="BY116" i="1"/>
  <c r="BX116" i="1"/>
  <c r="BW116" i="1"/>
  <c r="BV116" i="1"/>
  <c r="BU116" i="1"/>
  <c r="BT116" i="1"/>
  <c r="BS116" i="1"/>
  <c r="BR116" i="1"/>
  <c r="BQ116" i="1"/>
  <c r="BP116" i="1"/>
  <c r="BO116" i="1"/>
  <c r="BN116" i="1"/>
  <c r="BM116" i="1"/>
  <c r="BK116" i="1"/>
  <c r="BJ116" i="1"/>
  <c r="BI116" i="1"/>
  <c r="BH116" i="1"/>
  <c r="BG116" i="1"/>
  <c r="BF116" i="1"/>
  <c r="BE116" i="1"/>
  <c r="BD116" i="1"/>
  <c r="BC116" i="1"/>
  <c r="BB116" i="1"/>
  <c r="BA116" i="1"/>
  <c r="AZ116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BS104" i="1"/>
  <c r="BR104" i="1"/>
  <c r="BQ104" i="1"/>
  <c r="BP104" i="1"/>
  <c r="BO104" i="1"/>
  <c r="BN104" i="1"/>
  <c r="BM104" i="1"/>
  <c r="BD104" i="1"/>
  <c r="AW104" i="1"/>
  <c r="AT104" i="1"/>
  <c r="AU104" i="1" s="1"/>
  <c r="AS104" i="1"/>
  <c r="AI104" i="1"/>
  <c r="BT104" i="1" s="1"/>
  <c r="BP102" i="1"/>
  <c r="BO102" i="1"/>
  <c r="BN102" i="1"/>
  <c r="BM102" i="1"/>
  <c r="BB102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BW102" i="1" s="1"/>
  <c r="AN102" i="1"/>
  <c r="BV102" i="1" s="1"/>
  <c r="AM102" i="1"/>
  <c r="BU102" i="1" s="1"/>
  <c r="AL102" i="1"/>
  <c r="AK102" i="1"/>
  <c r="AJ102" i="1"/>
  <c r="AI102" i="1"/>
  <c r="BT102" i="1" s="1"/>
  <c r="AH102" i="1"/>
  <c r="BS102" i="1" s="1"/>
  <c r="AG102" i="1"/>
  <c r="BR102" i="1" s="1"/>
  <c r="AF102" i="1"/>
  <c r="BQ102" i="1" s="1"/>
  <c r="BX98" i="1"/>
  <c r="BX102" i="1" s="1"/>
  <c r="BW98" i="1"/>
  <c r="BV98" i="1"/>
  <c r="BU98" i="1"/>
  <c r="BT98" i="1"/>
  <c r="BS98" i="1"/>
  <c r="BR98" i="1"/>
  <c r="BQ98" i="1"/>
  <c r="BP98" i="1"/>
  <c r="BO98" i="1"/>
  <c r="BN98" i="1"/>
  <c r="BM98" i="1"/>
  <c r="BX97" i="1"/>
  <c r="BW97" i="1"/>
  <c r="BV97" i="1"/>
  <c r="BU97" i="1"/>
  <c r="BT97" i="1"/>
  <c r="BS97" i="1"/>
  <c r="BR97" i="1"/>
  <c r="BQ97" i="1"/>
  <c r="BP97" i="1"/>
  <c r="BO97" i="1"/>
  <c r="BN97" i="1"/>
  <c r="BM97" i="1"/>
  <c r="CB96" i="1"/>
  <c r="CA96" i="1"/>
  <c r="BZ96" i="1"/>
  <c r="BY96" i="1"/>
  <c r="BX96" i="1"/>
  <c r="BW96" i="1"/>
  <c r="BV96" i="1"/>
  <c r="BU96" i="1"/>
  <c r="BT96" i="1"/>
  <c r="BS96" i="1"/>
  <c r="BR96" i="1"/>
  <c r="BQ96" i="1"/>
  <c r="BP96" i="1"/>
  <c r="BO96" i="1"/>
  <c r="BN96" i="1"/>
  <c r="BM96" i="1"/>
  <c r="BY98" i="1"/>
  <c r="BK96" i="1"/>
  <c r="BJ96" i="1"/>
  <c r="BI96" i="1"/>
  <c r="BH96" i="1"/>
  <c r="BG96" i="1"/>
  <c r="BF96" i="1"/>
  <c r="BE96" i="1"/>
  <c r="BD96" i="1"/>
  <c r="BC96" i="1"/>
  <c r="BB96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AY92" i="1"/>
  <c r="BB92" i="1"/>
  <c r="AZ92" i="1"/>
  <c r="AR92" i="1"/>
  <c r="AM92" i="1"/>
  <c r="AH92" i="1"/>
  <c r="AG92" i="1"/>
  <c r="BA92" i="1"/>
  <c r="AW92" i="1"/>
  <c r="AX92" i="1"/>
  <c r="AN92" i="1"/>
  <c r="AL92" i="1"/>
  <c r="BG92" i="1"/>
  <c r="BJ92" i="1"/>
  <c r="AI92" i="1"/>
  <c r="BK92" i="1"/>
  <c r="BI92" i="1"/>
  <c r="BE92" i="1"/>
  <c r="BF92" i="1"/>
  <c r="AO92" i="1"/>
  <c r="AJ92" i="1"/>
  <c r="AP92" i="1"/>
  <c r="AQ92" i="1"/>
  <c r="AV92" i="1"/>
  <c r="AT92" i="1"/>
  <c r="BH92" i="1"/>
  <c r="AS92" i="1"/>
  <c r="BC92" i="1"/>
  <c r="AK92" i="1"/>
  <c r="AU92" i="1"/>
  <c r="BC52" i="2" l="1"/>
  <c r="BC51" i="2" s="1"/>
  <c r="BC73" i="2"/>
  <c r="BW104" i="1"/>
  <c r="BZ102" i="1"/>
  <c r="BJ102" i="1"/>
  <c r="BK99" i="1"/>
  <c r="BC44" i="2"/>
  <c r="BC46" i="2" s="1"/>
  <c r="BU92" i="1"/>
  <c r="BV92" i="1"/>
  <c r="BW92" i="1"/>
  <c r="BX92" i="1"/>
  <c r="BY92" i="1"/>
  <c r="BZ92" i="1"/>
  <c r="CA92" i="1"/>
  <c r="BY104" i="1"/>
  <c r="BE104" i="1"/>
  <c r="BF104" i="1" s="1"/>
  <c r="BG104" i="1" s="1"/>
  <c r="BH104" i="1" s="1"/>
  <c r="BE98" i="1"/>
  <c r="AJ104" i="1"/>
  <c r="AX104" i="1"/>
  <c r="AY104" i="1" s="1"/>
  <c r="BA84" i="1"/>
  <c r="BY84" i="1" s="1"/>
  <c r="BA83" i="1"/>
  <c r="BA85" i="1" s="1"/>
  <c r="AI84" i="1"/>
  <c r="AH84" i="1"/>
  <c r="AG84" i="1"/>
  <c r="AF84" i="1"/>
  <c r="AE84" i="1"/>
  <c r="AD84" i="1"/>
  <c r="AC84" i="1"/>
  <c r="AB84" i="1"/>
  <c r="AA84" i="1"/>
  <c r="Z84" i="1"/>
  <c r="Y84" i="1"/>
  <c r="X84" i="1"/>
  <c r="BR84" i="1" s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BN84" i="1" s="1"/>
  <c r="J84" i="1"/>
  <c r="I84" i="1"/>
  <c r="H84" i="1"/>
  <c r="G84" i="1"/>
  <c r="F84" i="1"/>
  <c r="E84" i="1"/>
  <c r="D84" i="1"/>
  <c r="BX84" i="1"/>
  <c r="BW84" i="1"/>
  <c r="BK83" i="1"/>
  <c r="BJ83" i="1"/>
  <c r="BI83" i="1"/>
  <c r="BH83" i="1"/>
  <c r="BG83" i="1"/>
  <c r="BF83" i="1"/>
  <c r="BE83" i="1"/>
  <c r="BC83" i="1"/>
  <c r="BC85" i="1" s="1"/>
  <c r="BB83" i="1"/>
  <c r="BB85" i="1" s="1"/>
  <c r="AZ83" i="1"/>
  <c r="AZ85" i="1" s="1"/>
  <c r="AY83" i="1"/>
  <c r="AY85" i="1" s="1"/>
  <c r="AX83" i="1"/>
  <c r="AX85" i="1" s="1"/>
  <c r="AW83" i="1"/>
  <c r="AW85" i="1" s="1"/>
  <c r="AU83" i="1"/>
  <c r="AU85" i="1" s="1"/>
  <c r="AT83" i="1"/>
  <c r="AT85" i="1" s="1"/>
  <c r="AS83" i="1"/>
  <c r="AS85" i="1" s="1"/>
  <c r="AR83" i="1"/>
  <c r="AR85" i="1" s="1"/>
  <c r="AI83" i="1"/>
  <c r="AH83" i="1"/>
  <c r="AH85" i="1" s="1"/>
  <c r="AG83" i="1"/>
  <c r="AG85" i="1" s="1"/>
  <c r="AF83" i="1"/>
  <c r="AF85" i="1" s="1"/>
  <c r="N83" i="1"/>
  <c r="N85" i="1" s="1"/>
  <c r="M83" i="1"/>
  <c r="M85" i="1" s="1"/>
  <c r="L83" i="1"/>
  <c r="L85" i="1" s="1"/>
  <c r="J83" i="1"/>
  <c r="J85" i="1" s="1"/>
  <c r="I83" i="1"/>
  <c r="I85" i="1" s="1"/>
  <c r="H83" i="1"/>
  <c r="H85" i="1" s="1"/>
  <c r="F83" i="1"/>
  <c r="F85" i="1" s="1"/>
  <c r="E83" i="1"/>
  <c r="E85" i="1" s="1"/>
  <c r="D83" i="1"/>
  <c r="D85" i="1" s="1"/>
  <c r="AI77" i="1"/>
  <c r="AH77" i="1"/>
  <c r="AG77" i="1"/>
  <c r="AF77" i="1"/>
  <c r="AE77" i="1"/>
  <c r="AD77" i="1"/>
  <c r="AC77" i="1"/>
  <c r="AB77" i="1"/>
  <c r="Z77" i="1"/>
  <c r="Y77" i="1"/>
  <c r="X77" i="1"/>
  <c r="V77" i="1"/>
  <c r="U77" i="1"/>
  <c r="T77" i="1"/>
  <c r="R77" i="1"/>
  <c r="Q77" i="1"/>
  <c r="P77" i="1"/>
  <c r="N77" i="1"/>
  <c r="M77" i="1"/>
  <c r="L77" i="1"/>
  <c r="J77" i="1"/>
  <c r="I77" i="1"/>
  <c r="H77" i="1"/>
  <c r="F77" i="1"/>
  <c r="E77" i="1"/>
  <c r="D77" i="1"/>
  <c r="BT76" i="1"/>
  <c r="BS76" i="1"/>
  <c r="BR76" i="1"/>
  <c r="BQ76" i="1"/>
  <c r="BP76" i="1"/>
  <c r="BO76" i="1"/>
  <c r="BN76" i="1"/>
  <c r="BM76" i="1"/>
  <c r="BC76" i="1"/>
  <c r="BC77" i="1" s="1"/>
  <c r="BB76" i="1"/>
  <c r="BB77" i="1" s="1"/>
  <c r="BA76" i="1"/>
  <c r="BA77" i="1" s="1"/>
  <c r="AZ76" i="1"/>
  <c r="AZ77" i="1" s="1"/>
  <c r="AY76" i="1"/>
  <c r="AY77" i="1" s="1"/>
  <c r="AX76" i="1"/>
  <c r="AX77" i="1" s="1"/>
  <c r="AW76" i="1"/>
  <c r="AW77" i="1" s="1"/>
  <c r="AV76" i="1"/>
  <c r="AV77" i="1" s="1"/>
  <c r="AU76" i="1"/>
  <c r="AU77" i="1" s="1"/>
  <c r="AT76" i="1"/>
  <c r="AT77" i="1" s="1"/>
  <c r="AS76" i="1"/>
  <c r="AS77" i="1" s="1"/>
  <c r="AR76" i="1"/>
  <c r="AR77" i="1" s="1"/>
  <c r="BY73" i="1"/>
  <c r="BX73" i="1"/>
  <c r="BW73" i="1"/>
  <c r="BV73" i="1"/>
  <c r="BU73" i="1"/>
  <c r="BT73" i="1"/>
  <c r="BS73" i="1"/>
  <c r="BS77" i="1" s="1"/>
  <c r="AA73" i="1"/>
  <c r="W73" i="1"/>
  <c r="W77" i="1" s="1"/>
  <c r="S73" i="1"/>
  <c r="O73" i="1"/>
  <c r="O77" i="1" s="1"/>
  <c r="K73" i="1"/>
  <c r="G73" i="1"/>
  <c r="G77" i="1" s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Z68" i="1"/>
  <c r="Y68" i="1"/>
  <c r="X68" i="1"/>
  <c r="V68" i="1"/>
  <c r="U68" i="1"/>
  <c r="T68" i="1"/>
  <c r="R68" i="1"/>
  <c r="Q68" i="1"/>
  <c r="P68" i="1"/>
  <c r="N68" i="1"/>
  <c r="M68" i="1"/>
  <c r="L68" i="1"/>
  <c r="J68" i="1"/>
  <c r="I68" i="1"/>
  <c r="H68" i="1"/>
  <c r="F68" i="1"/>
  <c r="E68" i="1"/>
  <c r="D68" i="1"/>
  <c r="AD65" i="1"/>
  <c r="AC65" i="1"/>
  <c r="AB65" i="1"/>
  <c r="Z65" i="1"/>
  <c r="Z83" i="1" s="1"/>
  <c r="Z85" i="1" s="1"/>
  <c r="Y65" i="1"/>
  <c r="Y83" i="1" s="1"/>
  <c r="Y85" i="1" s="1"/>
  <c r="X65" i="1"/>
  <c r="X83" i="1" s="1"/>
  <c r="X85" i="1" s="1"/>
  <c r="V65" i="1"/>
  <c r="V83" i="1" s="1"/>
  <c r="V85" i="1" s="1"/>
  <c r="U65" i="1"/>
  <c r="U83" i="1" s="1"/>
  <c r="U85" i="1" s="1"/>
  <c r="T65" i="1"/>
  <c r="T83" i="1" s="1"/>
  <c r="T85" i="1" s="1"/>
  <c r="R65" i="1"/>
  <c r="R83" i="1" s="1"/>
  <c r="R85" i="1" s="1"/>
  <c r="Q65" i="1"/>
  <c r="Q83" i="1" s="1"/>
  <c r="Q85" i="1" s="1"/>
  <c r="P65" i="1"/>
  <c r="P83" i="1" s="1"/>
  <c r="P85" i="1" s="1"/>
  <c r="O65" i="1"/>
  <c r="K65" i="1"/>
  <c r="BN65" i="1" s="1"/>
  <c r="G65" i="1"/>
  <c r="BE64" i="1"/>
  <c r="BF64" i="1" s="1"/>
  <c r="BG64" i="1" s="1"/>
  <c r="BH64" i="1" s="1"/>
  <c r="BI64" i="1" s="1"/>
  <c r="BJ64" i="1" s="1"/>
  <c r="BK64" i="1" s="1"/>
  <c r="AA63" i="1"/>
  <c r="AA68" i="1" s="1"/>
  <c r="W63" i="1"/>
  <c r="W68" i="1" s="1"/>
  <c r="S63" i="1"/>
  <c r="S68" i="1" s="1"/>
  <c r="O63" i="1"/>
  <c r="O68" i="1" s="1"/>
  <c r="K63" i="1"/>
  <c r="K68" i="1" s="1"/>
  <c r="G63" i="1"/>
  <c r="G68" i="1" s="1"/>
  <c r="CA66" i="1"/>
  <c r="CB66" i="1" s="1"/>
  <c r="BZ66" i="1"/>
  <c r="BY66" i="1"/>
  <c r="BX66" i="1"/>
  <c r="BW66" i="1"/>
  <c r="BV66" i="1"/>
  <c r="BU66" i="1"/>
  <c r="BT66" i="1"/>
  <c r="BS66" i="1"/>
  <c r="CA65" i="1"/>
  <c r="CB65" i="1" s="1"/>
  <c r="BZ65" i="1"/>
  <c r="BY65" i="1"/>
  <c r="BX65" i="1"/>
  <c r="BW65" i="1"/>
  <c r="BV65" i="1"/>
  <c r="BU65" i="1"/>
  <c r="BT65" i="1"/>
  <c r="BS65" i="1"/>
  <c r="BY64" i="1"/>
  <c r="BX64" i="1"/>
  <c r="BW64" i="1"/>
  <c r="BV64" i="1"/>
  <c r="BU64" i="1"/>
  <c r="BT64" i="1"/>
  <c r="BS64" i="1"/>
  <c r="BY63" i="1"/>
  <c r="BX63" i="1"/>
  <c r="BW63" i="1"/>
  <c r="BW62" i="1" s="1"/>
  <c r="BV63" i="1"/>
  <c r="BU63" i="1"/>
  <c r="BT63" i="1"/>
  <c r="BS63" i="1"/>
  <c r="BS62" i="1" s="1"/>
  <c r="BO65" i="1"/>
  <c r="BM65" i="1"/>
  <c r="BR64" i="1"/>
  <c r="BQ64" i="1"/>
  <c r="BP64" i="1"/>
  <c r="BO64" i="1"/>
  <c r="BN64" i="1"/>
  <c r="BM64" i="1"/>
  <c r="BR63" i="1"/>
  <c r="BQ63" i="1"/>
  <c r="BQ68" i="1" s="1"/>
  <c r="BP63" i="1"/>
  <c r="BP68" i="1" s="1"/>
  <c r="BN63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Z62" i="1"/>
  <c r="Y62" i="1"/>
  <c r="X62" i="1"/>
  <c r="V62" i="1"/>
  <c r="U62" i="1"/>
  <c r="T62" i="1"/>
  <c r="R62" i="1"/>
  <c r="Q62" i="1"/>
  <c r="P62" i="1"/>
  <c r="N62" i="1"/>
  <c r="M62" i="1"/>
  <c r="L62" i="1"/>
  <c r="J62" i="1"/>
  <c r="I62" i="1"/>
  <c r="H62" i="1"/>
  <c r="F62" i="1"/>
  <c r="E62" i="1"/>
  <c r="D62" i="1"/>
  <c r="CA49" i="1"/>
  <c r="BZ49" i="1"/>
  <c r="BY49" i="1"/>
  <c r="BX49" i="1"/>
  <c r="BW49" i="1"/>
  <c r="BV49" i="1"/>
  <c r="BU49" i="1"/>
  <c r="BT49" i="1"/>
  <c r="BS49" i="1"/>
  <c r="BR49" i="1"/>
  <c r="BQ49" i="1"/>
  <c r="BP49" i="1"/>
  <c r="BO49" i="1"/>
  <c r="BN49" i="1"/>
  <c r="BM49" i="1"/>
  <c r="AA48" i="1"/>
  <c r="BR48" i="1" s="1"/>
  <c r="AA47" i="1"/>
  <c r="BR47" i="1" s="1"/>
  <c r="AA46" i="1"/>
  <c r="W48" i="1"/>
  <c r="BQ48" i="1" s="1"/>
  <c r="W47" i="1"/>
  <c r="W46" i="1"/>
  <c r="BQ46" i="1" s="1"/>
  <c r="S47" i="1"/>
  <c r="BP47" i="1" s="1"/>
  <c r="S46" i="1"/>
  <c r="O47" i="1"/>
  <c r="O46" i="1"/>
  <c r="K47" i="1"/>
  <c r="BN47" i="1" s="1"/>
  <c r="K46" i="1"/>
  <c r="G46" i="1"/>
  <c r="BM46" i="1" s="1"/>
  <c r="CA48" i="1"/>
  <c r="CB48" i="1" s="1"/>
  <c r="BZ48" i="1"/>
  <c r="BY48" i="1"/>
  <c r="BX48" i="1"/>
  <c r="BW48" i="1"/>
  <c r="BV48" i="1"/>
  <c r="BU48" i="1"/>
  <c r="BT48" i="1"/>
  <c r="BS48" i="1"/>
  <c r="BP48" i="1"/>
  <c r="BO48" i="1"/>
  <c r="BN48" i="1"/>
  <c r="BM48" i="1"/>
  <c r="CA47" i="1"/>
  <c r="CB47" i="1" s="1"/>
  <c r="BZ47" i="1"/>
  <c r="BY47" i="1"/>
  <c r="BX47" i="1"/>
  <c r="BW47" i="1"/>
  <c r="BV47" i="1"/>
  <c r="BU47" i="1"/>
  <c r="BT47" i="1"/>
  <c r="BS47" i="1"/>
  <c r="BQ47" i="1"/>
  <c r="BO47" i="1"/>
  <c r="BM47" i="1"/>
  <c r="CA46" i="1"/>
  <c r="CB46" i="1" s="1"/>
  <c r="BZ46" i="1"/>
  <c r="BY46" i="1"/>
  <c r="BX46" i="1"/>
  <c r="BW46" i="1"/>
  <c r="BV46" i="1"/>
  <c r="BU46" i="1"/>
  <c r="BT46" i="1"/>
  <c r="BS46" i="1"/>
  <c r="BO46" i="1"/>
  <c r="BN46" i="1"/>
  <c r="BK45" i="1"/>
  <c r="BJ45" i="1"/>
  <c r="BI45" i="1"/>
  <c r="BI52" i="1" s="1"/>
  <c r="BH45" i="1"/>
  <c r="BG45" i="1"/>
  <c r="BG52" i="1" s="1"/>
  <c r="BF45" i="1"/>
  <c r="BF52" i="1" s="1"/>
  <c r="BE45" i="1"/>
  <c r="BE52" i="1" s="1"/>
  <c r="BC45" i="1"/>
  <c r="BC52" i="1" s="1"/>
  <c r="BB45" i="1"/>
  <c r="BB52" i="1" s="1"/>
  <c r="BA45" i="1"/>
  <c r="BA52" i="1" s="1"/>
  <c r="AZ45" i="1"/>
  <c r="AZ52" i="1" s="1"/>
  <c r="AY45" i="1"/>
  <c r="AY52" i="1" s="1"/>
  <c r="AX45" i="1"/>
  <c r="AX52" i="1" s="1"/>
  <c r="AW45" i="1"/>
  <c r="AW52" i="1" s="1"/>
  <c r="AV45" i="1"/>
  <c r="AU45" i="1"/>
  <c r="AU52" i="1" s="1"/>
  <c r="AT45" i="1"/>
  <c r="AT52" i="1" s="1"/>
  <c r="AS45" i="1"/>
  <c r="AS52" i="1" s="1"/>
  <c r="AR45" i="1"/>
  <c r="AR52" i="1" s="1"/>
  <c r="AQ45" i="1"/>
  <c r="AQ52" i="1" s="1"/>
  <c r="AP45" i="1"/>
  <c r="AP52" i="1" s="1"/>
  <c r="AO45" i="1"/>
  <c r="AO52" i="1" s="1"/>
  <c r="AN45" i="1"/>
  <c r="AM45" i="1"/>
  <c r="AM52" i="1" s="1"/>
  <c r="AL45" i="1"/>
  <c r="AL52" i="1" s="1"/>
  <c r="AK45" i="1"/>
  <c r="AK52" i="1" s="1"/>
  <c r="AJ45" i="1"/>
  <c r="AJ52" i="1" s="1"/>
  <c r="AI45" i="1"/>
  <c r="AI52" i="1" s="1"/>
  <c r="AH45" i="1"/>
  <c r="AH52" i="1" s="1"/>
  <c r="AG45" i="1"/>
  <c r="AG52" i="1" s="1"/>
  <c r="AF45" i="1"/>
  <c r="AE45" i="1"/>
  <c r="AE52" i="1" s="1"/>
  <c r="AD45" i="1"/>
  <c r="AD52" i="1" s="1"/>
  <c r="AC45" i="1"/>
  <c r="AC52" i="1" s="1"/>
  <c r="AB45" i="1"/>
  <c r="AB52" i="1" s="1"/>
  <c r="Z45" i="1"/>
  <c r="Z52" i="1" s="1"/>
  <c r="Y45" i="1"/>
  <c r="Y52" i="1" s="1"/>
  <c r="X45" i="1"/>
  <c r="V45" i="1"/>
  <c r="V52" i="1" s="1"/>
  <c r="U45" i="1"/>
  <c r="U52" i="1" s="1"/>
  <c r="T45" i="1"/>
  <c r="T52" i="1" s="1"/>
  <c r="R45" i="1"/>
  <c r="R52" i="1" s="1"/>
  <c r="Q45" i="1"/>
  <c r="Q52" i="1" s="1"/>
  <c r="P45" i="1"/>
  <c r="N45" i="1"/>
  <c r="N52" i="1" s="1"/>
  <c r="M45" i="1"/>
  <c r="M52" i="1" s="1"/>
  <c r="L45" i="1"/>
  <c r="L52" i="1" s="1"/>
  <c r="J45" i="1"/>
  <c r="J52" i="1" s="1"/>
  <c r="I45" i="1"/>
  <c r="I52" i="1" s="1"/>
  <c r="H45" i="1"/>
  <c r="F45" i="1"/>
  <c r="F52" i="1" s="1"/>
  <c r="E45" i="1"/>
  <c r="E52" i="1" s="1"/>
  <c r="D45" i="1"/>
  <c r="D52" i="1" s="1"/>
  <c r="BG42" i="1"/>
  <c r="BF42" i="1"/>
  <c r="BE42" i="1"/>
  <c r="BC42" i="1"/>
  <c r="BC43" i="1" s="1"/>
  <c r="BB42" i="1"/>
  <c r="BB43" i="1" s="1"/>
  <c r="BA42" i="1"/>
  <c r="BA43" i="1" s="1"/>
  <c r="AZ42" i="1"/>
  <c r="AZ43" i="1" s="1"/>
  <c r="AY42" i="1"/>
  <c r="AY43" i="1" s="1"/>
  <c r="AX42" i="1"/>
  <c r="AX43" i="1" s="1"/>
  <c r="AW42" i="1"/>
  <c r="AW43" i="1" s="1"/>
  <c r="AV42" i="1"/>
  <c r="AV43" i="1" s="1"/>
  <c r="AU42" i="1"/>
  <c r="AU43" i="1" s="1"/>
  <c r="AT42" i="1"/>
  <c r="AT43" i="1" s="1"/>
  <c r="AS42" i="1"/>
  <c r="AS43" i="1" s="1"/>
  <c r="AR42" i="1"/>
  <c r="AR43" i="1" s="1"/>
  <c r="AQ42" i="1"/>
  <c r="AQ43" i="1" s="1"/>
  <c r="AP42" i="1"/>
  <c r="AP43" i="1" s="1"/>
  <c r="AO42" i="1"/>
  <c r="AO43" i="1" s="1"/>
  <c r="AN42" i="1"/>
  <c r="AN43" i="1" s="1"/>
  <c r="AM42" i="1"/>
  <c r="AM43" i="1" s="1"/>
  <c r="AL42" i="1"/>
  <c r="AL43" i="1" s="1"/>
  <c r="AK42" i="1"/>
  <c r="AK43" i="1" s="1"/>
  <c r="AJ42" i="1"/>
  <c r="AJ43" i="1" s="1"/>
  <c r="AI42" i="1"/>
  <c r="AI43" i="1" s="1"/>
  <c r="AH42" i="1"/>
  <c r="AH43" i="1" s="1"/>
  <c r="AG42" i="1"/>
  <c r="AG43" i="1" s="1"/>
  <c r="AF42" i="1"/>
  <c r="AF43" i="1" s="1"/>
  <c r="AE42" i="1"/>
  <c r="AE43" i="1" s="1"/>
  <c r="AD42" i="1"/>
  <c r="AD43" i="1" s="1"/>
  <c r="AC42" i="1"/>
  <c r="AC43" i="1" s="1"/>
  <c r="AB42" i="1"/>
  <c r="AB43" i="1" s="1"/>
  <c r="Z42" i="1"/>
  <c r="Z43" i="1" s="1"/>
  <c r="Y42" i="1"/>
  <c r="Y43" i="1" s="1"/>
  <c r="X42" i="1"/>
  <c r="X43" i="1" s="1"/>
  <c r="V42" i="1"/>
  <c r="V43" i="1" s="1"/>
  <c r="U42" i="1"/>
  <c r="U43" i="1" s="1"/>
  <c r="T42" i="1"/>
  <c r="T43" i="1" s="1"/>
  <c r="R42" i="1"/>
  <c r="R43" i="1" s="1"/>
  <c r="Q42" i="1"/>
  <c r="Q43" i="1" s="1"/>
  <c r="P42" i="1"/>
  <c r="P43" i="1" s="1"/>
  <c r="N42" i="1"/>
  <c r="N43" i="1" s="1"/>
  <c r="M42" i="1"/>
  <c r="M43" i="1" s="1"/>
  <c r="L42" i="1"/>
  <c r="L43" i="1" s="1"/>
  <c r="J42" i="1"/>
  <c r="J43" i="1" s="1"/>
  <c r="I42" i="1"/>
  <c r="I43" i="1" s="1"/>
  <c r="H42" i="1"/>
  <c r="H43" i="1" s="1"/>
  <c r="F42" i="1"/>
  <c r="F43" i="1" s="1"/>
  <c r="E42" i="1"/>
  <c r="E43" i="1" s="1"/>
  <c r="D42" i="1"/>
  <c r="D43" i="1" s="1"/>
  <c r="CA41" i="1"/>
  <c r="BZ41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Z38" i="1"/>
  <c r="Y38" i="1"/>
  <c r="X38" i="1"/>
  <c r="V38" i="1"/>
  <c r="U38" i="1"/>
  <c r="T38" i="1"/>
  <c r="R38" i="1"/>
  <c r="Q38" i="1"/>
  <c r="P38" i="1"/>
  <c r="N38" i="1"/>
  <c r="M38" i="1"/>
  <c r="L38" i="1"/>
  <c r="J38" i="1"/>
  <c r="I38" i="1"/>
  <c r="H38" i="1"/>
  <c r="F38" i="1"/>
  <c r="E38" i="1"/>
  <c r="D38" i="1"/>
  <c r="BZ37" i="1"/>
  <c r="BZ42" i="1" s="1"/>
  <c r="BY37" i="1"/>
  <c r="BX37" i="1"/>
  <c r="BX42" i="1" s="1"/>
  <c r="BW37" i="1"/>
  <c r="BW42" i="1" s="1"/>
  <c r="BV37" i="1"/>
  <c r="BV42" i="1" s="1"/>
  <c r="BU37" i="1"/>
  <c r="BT37" i="1"/>
  <c r="BT42" i="1" s="1"/>
  <c r="BS37" i="1"/>
  <c r="BS42" i="1" s="1"/>
  <c r="BJ42" i="1"/>
  <c r="BH42" i="1"/>
  <c r="AA37" i="1"/>
  <c r="W37" i="1"/>
  <c r="S37" i="1"/>
  <c r="O37" i="1"/>
  <c r="K37" i="1"/>
  <c r="G37" i="1"/>
  <c r="BG34" i="1"/>
  <c r="BF34" i="1"/>
  <c r="BE34" i="1"/>
  <c r="BC34" i="1"/>
  <c r="BC53" i="1" s="1"/>
  <c r="BB34" i="1"/>
  <c r="BA34" i="1"/>
  <c r="BA53" i="1" s="1"/>
  <c r="AZ34" i="1"/>
  <c r="AZ53" i="1" s="1"/>
  <c r="AY34" i="1"/>
  <c r="AY53" i="1" s="1"/>
  <c r="AX34" i="1"/>
  <c r="AW34" i="1"/>
  <c r="AW53" i="1" s="1"/>
  <c r="AV34" i="1"/>
  <c r="AV53" i="1" s="1"/>
  <c r="AU34" i="1"/>
  <c r="AU53" i="1" s="1"/>
  <c r="AT34" i="1"/>
  <c r="AS34" i="1"/>
  <c r="AS53" i="1" s="1"/>
  <c r="AR34" i="1"/>
  <c r="AR53" i="1" s="1"/>
  <c r="AQ34" i="1"/>
  <c r="AQ53" i="1" s="1"/>
  <c r="AP34" i="1"/>
  <c r="AO34" i="1"/>
  <c r="AO53" i="1" s="1"/>
  <c r="AN34" i="1"/>
  <c r="AN53" i="1" s="1"/>
  <c r="AM34" i="1"/>
  <c r="AM53" i="1" s="1"/>
  <c r="AL34" i="1"/>
  <c r="AK34" i="1"/>
  <c r="AK53" i="1" s="1"/>
  <c r="AJ34" i="1"/>
  <c r="AJ53" i="1" s="1"/>
  <c r="AI34" i="1"/>
  <c r="AI53" i="1" s="1"/>
  <c r="AH34" i="1"/>
  <c r="AG34" i="1"/>
  <c r="AG53" i="1" s="1"/>
  <c r="AF34" i="1"/>
  <c r="AF53" i="1" s="1"/>
  <c r="AE34" i="1"/>
  <c r="AE53" i="1" s="1"/>
  <c r="AD34" i="1"/>
  <c r="AC34" i="1"/>
  <c r="AC53" i="1" s="1"/>
  <c r="AB34" i="1"/>
  <c r="AB53" i="1" s="1"/>
  <c r="Z34" i="1"/>
  <c r="Z53" i="1" s="1"/>
  <c r="Y34" i="1"/>
  <c r="X34" i="1"/>
  <c r="X53" i="1" s="1"/>
  <c r="V34" i="1"/>
  <c r="V53" i="1" s="1"/>
  <c r="U34" i="1"/>
  <c r="U53" i="1" s="1"/>
  <c r="T34" i="1"/>
  <c r="R34" i="1"/>
  <c r="R53" i="1" s="1"/>
  <c r="Q34" i="1"/>
  <c r="Q53" i="1" s="1"/>
  <c r="P34" i="1"/>
  <c r="P53" i="1" s="1"/>
  <c r="N34" i="1"/>
  <c r="M34" i="1"/>
  <c r="M53" i="1" s="1"/>
  <c r="L34" i="1"/>
  <c r="L53" i="1" s="1"/>
  <c r="J34" i="1"/>
  <c r="J53" i="1" s="1"/>
  <c r="I34" i="1"/>
  <c r="H34" i="1"/>
  <c r="H53" i="1" s="1"/>
  <c r="F34" i="1"/>
  <c r="F53" i="1" s="1"/>
  <c r="E34" i="1"/>
  <c r="E53" i="1" s="1"/>
  <c r="D34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Z30" i="1"/>
  <c r="Y30" i="1"/>
  <c r="X30" i="1"/>
  <c r="V30" i="1"/>
  <c r="U30" i="1"/>
  <c r="T30" i="1"/>
  <c r="R30" i="1"/>
  <c r="Q30" i="1"/>
  <c r="P30" i="1"/>
  <c r="N30" i="1"/>
  <c r="M30" i="1"/>
  <c r="L30" i="1"/>
  <c r="J30" i="1"/>
  <c r="I30" i="1"/>
  <c r="H30" i="1"/>
  <c r="F30" i="1"/>
  <c r="E30" i="1"/>
  <c r="D30" i="1"/>
  <c r="BZ29" i="1"/>
  <c r="BY29" i="1"/>
  <c r="BX29" i="1"/>
  <c r="BW29" i="1"/>
  <c r="BV29" i="1"/>
  <c r="BU29" i="1"/>
  <c r="BT29" i="1"/>
  <c r="BS29" i="1"/>
  <c r="BK52" i="1"/>
  <c r="BJ29" i="1"/>
  <c r="BJ52" i="1" s="1"/>
  <c r="BH52" i="1"/>
  <c r="AA29" i="1"/>
  <c r="W29" i="1"/>
  <c r="S29" i="1"/>
  <c r="O29" i="1"/>
  <c r="K29" i="1"/>
  <c r="G29" i="1"/>
  <c r="BC23" i="1"/>
  <c r="BB23" i="1"/>
  <c r="BA23" i="1"/>
  <c r="BA55" i="1" s="1"/>
  <c r="AZ23" i="1"/>
  <c r="AY23" i="1"/>
  <c r="AX23" i="1"/>
  <c r="AW23" i="1"/>
  <c r="AW55" i="1" s="1"/>
  <c r="AV23" i="1"/>
  <c r="AU23" i="1"/>
  <c r="AT23" i="1"/>
  <c r="AS23" i="1"/>
  <c r="AS55" i="1" s="1"/>
  <c r="AR23" i="1"/>
  <c r="AQ23" i="1"/>
  <c r="AP23" i="1"/>
  <c r="AO23" i="1"/>
  <c r="AO55" i="1" s="1"/>
  <c r="AN23" i="1"/>
  <c r="AM23" i="1"/>
  <c r="AL23" i="1"/>
  <c r="AK23" i="1"/>
  <c r="AK55" i="1" s="1"/>
  <c r="AJ23" i="1"/>
  <c r="AI23" i="1"/>
  <c r="AH23" i="1"/>
  <c r="AG23" i="1"/>
  <c r="AG55" i="1" s="1"/>
  <c r="AF23" i="1"/>
  <c r="AE23" i="1"/>
  <c r="AD23" i="1"/>
  <c r="AC23" i="1"/>
  <c r="AC55" i="1" s="1"/>
  <c r="AB23" i="1"/>
  <c r="Z23" i="1"/>
  <c r="Y23" i="1"/>
  <c r="X23" i="1"/>
  <c r="V23" i="1"/>
  <c r="U23" i="1"/>
  <c r="T23" i="1"/>
  <c r="R23" i="1"/>
  <c r="Q23" i="1"/>
  <c r="P23" i="1"/>
  <c r="N23" i="1"/>
  <c r="M23" i="1"/>
  <c r="L23" i="1"/>
  <c r="L55" i="1" s="1"/>
  <c r="J23" i="1"/>
  <c r="I23" i="1"/>
  <c r="H23" i="1"/>
  <c r="F23" i="1"/>
  <c r="F55" i="1" s="1"/>
  <c r="E23" i="1"/>
  <c r="D23" i="1"/>
  <c r="BC21" i="1"/>
  <c r="BC26" i="1" s="1"/>
  <c r="BB21" i="1"/>
  <c r="BB26" i="1" s="1"/>
  <c r="BA21" i="1"/>
  <c r="BA26" i="1" s="1"/>
  <c r="AZ21" i="1"/>
  <c r="AZ26" i="1" s="1"/>
  <c r="AY21" i="1"/>
  <c r="AY26" i="1" s="1"/>
  <c r="AX21" i="1"/>
  <c r="AX26" i="1" s="1"/>
  <c r="AW21" i="1"/>
  <c r="AW26" i="1" s="1"/>
  <c r="AU21" i="1"/>
  <c r="AU26" i="1" s="1"/>
  <c r="AT21" i="1"/>
  <c r="AT26" i="1" s="1"/>
  <c r="AS21" i="1"/>
  <c r="AS26" i="1" s="1"/>
  <c r="AR21" i="1"/>
  <c r="AR26" i="1" s="1"/>
  <c r="AI21" i="1"/>
  <c r="AI26" i="1" s="1"/>
  <c r="AH21" i="1"/>
  <c r="AH26" i="1" s="1"/>
  <c r="AG21" i="1"/>
  <c r="AG26" i="1" s="1"/>
  <c r="AF21" i="1"/>
  <c r="AF26" i="1" s="1"/>
  <c r="Z21" i="1"/>
  <c r="Z26" i="1" s="1"/>
  <c r="Y21" i="1"/>
  <c r="Y26" i="1" s="1"/>
  <c r="X21" i="1"/>
  <c r="X26" i="1" s="1"/>
  <c r="V21" i="1"/>
  <c r="V26" i="1" s="1"/>
  <c r="U21" i="1"/>
  <c r="U26" i="1" s="1"/>
  <c r="T21" i="1"/>
  <c r="T26" i="1" s="1"/>
  <c r="R21" i="1"/>
  <c r="R26" i="1" s="1"/>
  <c r="Q21" i="1"/>
  <c r="Q26" i="1" s="1"/>
  <c r="P21" i="1"/>
  <c r="P26" i="1" s="1"/>
  <c r="N21" i="1"/>
  <c r="N26" i="1" s="1"/>
  <c r="M21" i="1"/>
  <c r="M26" i="1" s="1"/>
  <c r="L21" i="1"/>
  <c r="L26" i="1" s="1"/>
  <c r="J21" i="1"/>
  <c r="J26" i="1" s="1"/>
  <c r="I21" i="1"/>
  <c r="I26" i="1" s="1"/>
  <c r="H21" i="1"/>
  <c r="H26" i="1" s="1"/>
  <c r="F21" i="1"/>
  <c r="F26" i="1" s="1"/>
  <c r="E21" i="1"/>
  <c r="E26" i="1" s="1"/>
  <c r="D21" i="1"/>
  <c r="D26" i="1" s="1"/>
  <c r="CA20" i="1"/>
  <c r="BZ20" i="1"/>
  <c r="BY20" i="1"/>
  <c r="BW20" i="1"/>
  <c r="BV20" i="1"/>
  <c r="BU20" i="1"/>
  <c r="BT20" i="1"/>
  <c r="BS20" i="1"/>
  <c r="BR20" i="1"/>
  <c r="BQ20" i="1"/>
  <c r="BP20" i="1"/>
  <c r="BO20" i="1"/>
  <c r="BN20" i="1"/>
  <c r="BM20" i="1"/>
  <c r="AV20" i="1"/>
  <c r="AV83" i="1" s="1"/>
  <c r="AV85" i="1" s="1"/>
  <c r="CA19" i="1"/>
  <c r="BZ19" i="1"/>
  <c r="BZ83" i="1" s="1"/>
  <c r="BY19" i="1"/>
  <c r="BX19" i="1"/>
  <c r="BW19" i="1"/>
  <c r="BT19" i="1"/>
  <c r="BR19" i="1"/>
  <c r="BQ19" i="1"/>
  <c r="BP19" i="1"/>
  <c r="BO19" i="1"/>
  <c r="BN19" i="1"/>
  <c r="BM19" i="1"/>
  <c r="AQ83" i="1"/>
  <c r="AP83" i="1"/>
  <c r="AO83" i="1"/>
  <c r="AN83" i="1"/>
  <c r="AM83" i="1"/>
  <c r="AL83" i="1"/>
  <c r="AK83" i="1"/>
  <c r="AJ83" i="1"/>
  <c r="AE19" i="1"/>
  <c r="AE83" i="1" s="1"/>
  <c r="AE85" i="1" s="1"/>
  <c r="AD19" i="1"/>
  <c r="AD83" i="1" s="1"/>
  <c r="AD85" i="1" s="1"/>
  <c r="AC19" i="1"/>
  <c r="AC83" i="1" s="1"/>
  <c r="AC85" i="1" s="1"/>
  <c r="AB19" i="1"/>
  <c r="AB83" i="1" s="1"/>
  <c r="AB85" i="1" s="1"/>
  <c r="BY13" i="1"/>
  <c r="BX13" i="1"/>
  <c r="BW13" i="1"/>
  <c r="BV13" i="1"/>
  <c r="BU13" i="1"/>
  <c r="BT13" i="1"/>
  <c r="BT21" i="1" s="1"/>
  <c r="BS13" i="1"/>
  <c r="AA13" i="1"/>
  <c r="AA21" i="1" s="1"/>
  <c r="W13" i="1"/>
  <c r="W21" i="1" s="1"/>
  <c r="S13" i="1"/>
  <c r="S21" i="1" s="1"/>
  <c r="O13" i="1"/>
  <c r="O21" i="1" s="1"/>
  <c r="K13" i="1"/>
  <c r="K21" i="1" s="1"/>
  <c r="G13" i="1"/>
  <c r="G21" i="1" s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D11" i="1"/>
  <c r="AC11" i="1"/>
  <c r="AB11" i="1"/>
  <c r="Z11" i="1"/>
  <c r="Y11" i="1"/>
  <c r="X11" i="1"/>
  <c r="V11" i="1"/>
  <c r="U11" i="1"/>
  <c r="T11" i="1"/>
  <c r="R11" i="1"/>
  <c r="Q11" i="1"/>
  <c r="P11" i="1"/>
  <c r="N11" i="1"/>
  <c r="M11" i="1"/>
  <c r="L11" i="1"/>
  <c r="J11" i="1"/>
  <c r="I11" i="1"/>
  <c r="H11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Z10" i="1"/>
  <c r="Y10" i="1"/>
  <c r="V10" i="1"/>
  <c r="U10" i="1"/>
  <c r="R10" i="1"/>
  <c r="Q10" i="1"/>
  <c r="N10" i="1"/>
  <c r="M10" i="1"/>
  <c r="J10" i="1"/>
  <c r="I10" i="1"/>
  <c r="F10" i="1"/>
  <c r="E10" i="1"/>
  <c r="BR9" i="1"/>
  <c r="BQ9" i="1"/>
  <c r="BP9" i="1"/>
  <c r="BO9" i="1"/>
  <c r="BN9" i="1"/>
  <c r="BM9" i="1"/>
  <c r="BG9" i="1"/>
  <c r="BA9" i="1"/>
  <c r="AQ9" i="1"/>
  <c r="AM9" i="1"/>
  <c r="BI9" i="1"/>
  <c r="AU9" i="1"/>
  <c r="AL9" i="1"/>
  <c r="BF9" i="1"/>
  <c r="AR9" i="1"/>
  <c r="BJ9" i="1"/>
  <c r="BE9" i="1"/>
  <c r="AV9" i="1"/>
  <c r="AP9" i="1"/>
  <c r="AX9" i="1"/>
  <c r="AH9" i="1"/>
  <c r="AN9" i="1"/>
  <c r="AT9" i="1"/>
  <c r="AS9" i="1"/>
  <c r="BH9" i="1"/>
  <c r="BC9" i="1"/>
  <c r="AO9" i="1"/>
  <c r="AI9" i="1"/>
  <c r="AW9" i="1"/>
  <c r="AY9" i="1"/>
  <c r="BK9" i="1"/>
  <c r="BB9" i="1"/>
  <c r="AZ9" i="1"/>
  <c r="AK9" i="1"/>
  <c r="AG9" i="1"/>
  <c r="AJ9" i="1"/>
  <c r="AI85" i="1" l="1"/>
  <c r="BP84" i="1"/>
  <c r="BT84" i="1"/>
  <c r="BW83" i="1"/>
  <c r="BW85" i="1" s="1"/>
  <c r="AA45" i="1"/>
  <c r="AA52" i="1" s="1"/>
  <c r="D53" i="1"/>
  <c r="I53" i="1"/>
  <c r="I59" i="1" s="1"/>
  <c r="N53" i="1"/>
  <c r="T53" i="1"/>
  <c r="T59" i="1" s="1"/>
  <c r="Y53" i="1"/>
  <c r="AD53" i="1"/>
  <c r="AH53" i="1"/>
  <c r="AH59" i="1" s="1"/>
  <c r="AL53" i="1"/>
  <c r="AP53" i="1"/>
  <c r="AT53" i="1"/>
  <c r="AT59" i="1" s="1"/>
  <c r="AX53" i="1"/>
  <c r="AX59" i="1" s="1"/>
  <c r="BB53" i="1"/>
  <c r="BB59" i="1" s="1"/>
  <c r="BO83" i="1"/>
  <c r="BW21" i="1"/>
  <c r="BG53" i="1"/>
  <c r="S45" i="1"/>
  <c r="BP45" i="1" s="1"/>
  <c r="BN62" i="1"/>
  <c r="BT68" i="1"/>
  <c r="BV62" i="1"/>
  <c r="BX68" i="1"/>
  <c r="BU62" i="1"/>
  <c r="BY62" i="1"/>
  <c r="BK102" i="1"/>
  <c r="CA99" i="1"/>
  <c r="O45" i="1"/>
  <c r="O52" i="1" s="1"/>
  <c r="K45" i="1"/>
  <c r="BN45" i="1" s="1"/>
  <c r="BM84" i="1"/>
  <c r="BO84" i="1"/>
  <c r="BO85" i="1" s="1"/>
  <c r="BQ84" i="1"/>
  <c r="BS84" i="1"/>
  <c r="BO63" i="1"/>
  <c r="BS68" i="1"/>
  <c r="BW68" i="1"/>
  <c r="G62" i="1"/>
  <c r="O62" i="1"/>
  <c r="BM63" i="1"/>
  <c r="BT62" i="1"/>
  <c r="BX62" i="1"/>
  <c r="BU68" i="1"/>
  <c r="K62" i="1"/>
  <c r="BN68" i="1"/>
  <c r="BR68" i="1"/>
  <c r="BV68" i="1"/>
  <c r="G45" i="1"/>
  <c r="G52" i="1" s="1"/>
  <c r="D55" i="1"/>
  <c r="D70" i="1" s="1"/>
  <c r="N55" i="1"/>
  <c r="N70" i="1" s="1"/>
  <c r="CA45" i="1"/>
  <c r="CB45" i="1" s="1"/>
  <c r="BW45" i="1"/>
  <c r="BW52" i="1" s="1"/>
  <c r="BP46" i="1"/>
  <c r="W45" i="1"/>
  <c r="W52" i="1" s="1"/>
  <c r="J55" i="1"/>
  <c r="J70" i="1" s="1"/>
  <c r="AE55" i="1"/>
  <c r="AE56" i="1" s="1"/>
  <c r="AI55" i="1"/>
  <c r="AI70" i="1" s="1"/>
  <c r="AM55" i="1"/>
  <c r="AM70" i="1" s="1"/>
  <c r="AQ55" i="1"/>
  <c r="AQ56" i="1" s="1"/>
  <c r="AU55" i="1"/>
  <c r="AU70" i="1" s="1"/>
  <c r="AY55" i="1"/>
  <c r="AY70" i="1" s="1"/>
  <c r="BC55" i="1"/>
  <c r="BC56" i="1" s="1"/>
  <c r="S52" i="1"/>
  <c r="BM83" i="1"/>
  <c r="BY83" i="1"/>
  <c r="BY85" i="1" s="1"/>
  <c r="CA83" i="1"/>
  <c r="BF53" i="1"/>
  <c r="BE53" i="1"/>
  <c r="BE54" i="1" s="1"/>
  <c r="BY21" i="1"/>
  <c r="BY68" i="1"/>
  <c r="F39" i="1"/>
  <c r="F31" i="1"/>
  <c r="J39" i="1"/>
  <c r="J31" i="1"/>
  <c r="N39" i="1"/>
  <c r="N31" i="1"/>
  <c r="R39" i="1"/>
  <c r="R31" i="1"/>
  <c r="V39" i="1"/>
  <c r="V31" i="1"/>
  <c r="Z39" i="1"/>
  <c r="Z31" i="1"/>
  <c r="AD39" i="1"/>
  <c r="AD31" i="1"/>
  <c r="AF39" i="1"/>
  <c r="AF31" i="1"/>
  <c r="AH39" i="1"/>
  <c r="AH31" i="1"/>
  <c r="AJ39" i="1"/>
  <c r="AJ31" i="1"/>
  <c r="AL39" i="1"/>
  <c r="AL31" i="1"/>
  <c r="AN39" i="1"/>
  <c r="AN31" i="1"/>
  <c r="AP39" i="1"/>
  <c r="AP31" i="1"/>
  <c r="AR39" i="1"/>
  <c r="AR31" i="1"/>
  <c r="AT39" i="1"/>
  <c r="AT31" i="1"/>
  <c r="AV39" i="1"/>
  <c r="AV31" i="1"/>
  <c r="AX39" i="1"/>
  <c r="AX31" i="1"/>
  <c r="AZ39" i="1"/>
  <c r="AZ31" i="1"/>
  <c r="BB39" i="1"/>
  <c r="BB31" i="1"/>
  <c r="BM13" i="1"/>
  <c r="BM21" i="1" s="1"/>
  <c r="BO13" i="1"/>
  <c r="BO21" i="1" s="1"/>
  <c r="BQ13" i="1"/>
  <c r="BQ21" i="1" s="1"/>
  <c r="BS19" i="1"/>
  <c r="BS83" i="1" s="1"/>
  <c r="BS85" i="1" s="1"/>
  <c r="BU19" i="1"/>
  <c r="BU83" i="1" s="1"/>
  <c r="BX20" i="1"/>
  <c r="BX83" i="1" s="1"/>
  <c r="BX85" i="1" s="1"/>
  <c r="D59" i="1"/>
  <c r="D27" i="1"/>
  <c r="F59" i="1"/>
  <c r="F27" i="1"/>
  <c r="H59" i="1"/>
  <c r="H27" i="1"/>
  <c r="J59" i="1"/>
  <c r="J27" i="1"/>
  <c r="L59" i="1"/>
  <c r="L27" i="1"/>
  <c r="N59" i="1"/>
  <c r="N27" i="1"/>
  <c r="P59" i="1"/>
  <c r="P27" i="1"/>
  <c r="R59" i="1"/>
  <c r="R27" i="1"/>
  <c r="T27" i="1"/>
  <c r="V59" i="1"/>
  <c r="V27" i="1"/>
  <c r="X59" i="1"/>
  <c r="X27" i="1"/>
  <c r="Z59" i="1"/>
  <c r="Z27" i="1"/>
  <c r="AB21" i="1"/>
  <c r="AB26" i="1" s="1"/>
  <c r="AD21" i="1"/>
  <c r="AD26" i="1" s="1"/>
  <c r="AF59" i="1"/>
  <c r="AF27" i="1"/>
  <c r="AH27" i="1"/>
  <c r="AJ21" i="1"/>
  <c r="AJ26" i="1" s="1"/>
  <c r="AL21" i="1"/>
  <c r="AL26" i="1" s="1"/>
  <c r="AN21" i="1"/>
  <c r="AN26" i="1" s="1"/>
  <c r="AP21" i="1"/>
  <c r="AP26" i="1" s="1"/>
  <c r="AR59" i="1"/>
  <c r="AR27" i="1"/>
  <c r="AT27" i="1"/>
  <c r="AV21" i="1"/>
  <c r="AV26" i="1" s="1"/>
  <c r="AX27" i="1"/>
  <c r="AZ59" i="1"/>
  <c r="AZ27" i="1"/>
  <c r="BB27" i="1"/>
  <c r="F70" i="1"/>
  <c r="F56" i="1"/>
  <c r="L70" i="1"/>
  <c r="L56" i="1"/>
  <c r="N56" i="1"/>
  <c r="P24" i="1"/>
  <c r="R55" i="1"/>
  <c r="R24" i="1"/>
  <c r="T55" i="1"/>
  <c r="T24" i="1"/>
  <c r="V55" i="1"/>
  <c r="V24" i="1"/>
  <c r="X24" i="1"/>
  <c r="Z55" i="1"/>
  <c r="Z24" i="1"/>
  <c r="F24" i="1"/>
  <c r="J24" i="1"/>
  <c r="N24" i="1"/>
  <c r="E39" i="1"/>
  <c r="E31" i="1"/>
  <c r="I39" i="1"/>
  <c r="I31" i="1"/>
  <c r="M39" i="1"/>
  <c r="M31" i="1"/>
  <c r="Q39" i="1"/>
  <c r="Q31" i="1"/>
  <c r="U39" i="1"/>
  <c r="U31" i="1"/>
  <c r="Y39" i="1"/>
  <c r="Y31" i="1"/>
  <c r="AC39" i="1"/>
  <c r="AC31" i="1"/>
  <c r="AE39" i="1"/>
  <c r="AE31" i="1"/>
  <c r="AG39" i="1"/>
  <c r="AG31" i="1"/>
  <c r="AI39" i="1"/>
  <c r="AI31" i="1"/>
  <c r="AK39" i="1"/>
  <c r="AK31" i="1"/>
  <c r="AM39" i="1"/>
  <c r="AM31" i="1"/>
  <c r="AO39" i="1"/>
  <c r="AO31" i="1"/>
  <c r="AQ39" i="1"/>
  <c r="AQ31" i="1"/>
  <c r="AS39" i="1"/>
  <c r="AS31" i="1"/>
  <c r="AU39" i="1"/>
  <c r="AU31" i="1"/>
  <c r="AW39" i="1"/>
  <c r="AW31" i="1"/>
  <c r="AY39" i="1"/>
  <c r="AY31" i="1"/>
  <c r="BA39" i="1"/>
  <c r="BA31" i="1"/>
  <c r="BC39" i="1"/>
  <c r="BC31" i="1"/>
  <c r="BN13" i="1"/>
  <c r="BN21" i="1" s="1"/>
  <c r="BP13" i="1"/>
  <c r="BP21" i="1" s="1"/>
  <c r="BR13" i="1"/>
  <c r="BR21" i="1" s="1"/>
  <c r="BN83" i="1"/>
  <c r="BN85" i="1" s="1"/>
  <c r="BT83" i="1"/>
  <c r="BT85" i="1" s="1"/>
  <c r="BV19" i="1"/>
  <c r="BV83" i="1" s="1"/>
  <c r="CB19" i="1"/>
  <c r="CB83" i="1" s="1"/>
  <c r="E59" i="1"/>
  <c r="E27" i="1"/>
  <c r="I27" i="1"/>
  <c r="M59" i="1"/>
  <c r="M27" i="1"/>
  <c r="Q59" i="1"/>
  <c r="Q27" i="1"/>
  <c r="U59" i="1"/>
  <c r="U27" i="1"/>
  <c r="Y59" i="1"/>
  <c r="Y27" i="1"/>
  <c r="AC21" i="1"/>
  <c r="AC26" i="1" s="1"/>
  <c r="AE21" i="1"/>
  <c r="AE26" i="1" s="1"/>
  <c r="AG59" i="1"/>
  <c r="AG27" i="1"/>
  <c r="AI59" i="1"/>
  <c r="AI27" i="1"/>
  <c r="AK21" i="1"/>
  <c r="AK26" i="1" s="1"/>
  <c r="AM21" i="1"/>
  <c r="AM26" i="1" s="1"/>
  <c r="AO21" i="1"/>
  <c r="AO26" i="1" s="1"/>
  <c r="AQ21" i="1"/>
  <c r="AQ26" i="1" s="1"/>
  <c r="AS59" i="1"/>
  <c r="AS27" i="1"/>
  <c r="AU59" i="1"/>
  <c r="AU27" i="1"/>
  <c r="AW59" i="1"/>
  <c r="AW27" i="1"/>
  <c r="AY59" i="1"/>
  <c r="AY27" i="1"/>
  <c r="BA59" i="1"/>
  <c r="BA27" i="1"/>
  <c r="BC59" i="1"/>
  <c r="BC27" i="1"/>
  <c r="E55" i="1"/>
  <c r="E24" i="1"/>
  <c r="I55" i="1"/>
  <c r="I24" i="1"/>
  <c r="M55" i="1"/>
  <c r="M24" i="1"/>
  <c r="Q55" i="1"/>
  <c r="Q24" i="1"/>
  <c r="U55" i="1"/>
  <c r="U24" i="1"/>
  <c r="Y55" i="1"/>
  <c r="Y24" i="1"/>
  <c r="AB55" i="1"/>
  <c r="AB24" i="1"/>
  <c r="AD55" i="1"/>
  <c r="AD24" i="1"/>
  <c r="AF24" i="1"/>
  <c r="AH55" i="1"/>
  <c r="AH24" i="1"/>
  <c r="AJ55" i="1"/>
  <c r="AJ24" i="1"/>
  <c r="AL55" i="1"/>
  <c r="AL24" i="1"/>
  <c r="AN24" i="1"/>
  <c r="AP55" i="1"/>
  <c r="AP24" i="1"/>
  <c r="AR55" i="1"/>
  <c r="AR24" i="1"/>
  <c r="AT55" i="1"/>
  <c r="AT24" i="1"/>
  <c r="AV24" i="1"/>
  <c r="AX55" i="1"/>
  <c r="AX24" i="1"/>
  <c r="AZ55" i="1"/>
  <c r="AZ24" i="1"/>
  <c r="BB55" i="1"/>
  <c r="BB24" i="1"/>
  <c r="D24" i="1"/>
  <c r="H24" i="1"/>
  <c r="L24" i="1"/>
  <c r="BN29" i="1"/>
  <c r="BP29" i="1"/>
  <c r="BR29" i="1"/>
  <c r="BV30" i="1"/>
  <c r="G34" i="1"/>
  <c r="K34" i="1"/>
  <c r="O34" i="1"/>
  <c r="S34" i="1"/>
  <c r="W34" i="1"/>
  <c r="AA34" i="1"/>
  <c r="BI34" i="1"/>
  <c r="BK34" i="1"/>
  <c r="E35" i="1"/>
  <c r="I35" i="1"/>
  <c r="M35" i="1"/>
  <c r="Q35" i="1"/>
  <c r="U35" i="1"/>
  <c r="Y35" i="1"/>
  <c r="AC35" i="1"/>
  <c r="AE35" i="1"/>
  <c r="AG35" i="1"/>
  <c r="AI35" i="1"/>
  <c r="AK35" i="1"/>
  <c r="AM35" i="1"/>
  <c r="AO35" i="1"/>
  <c r="AQ35" i="1"/>
  <c r="AS35" i="1"/>
  <c r="AU35" i="1"/>
  <c r="AW35" i="1"/>
  <c r="AY35" i="1"/>
  <c r="BA35" i="1"/>
  <c r="BC35" i="1"/>
  <c r="BT34" i="1"/>
  <c r="BV34" i="1"/>
  <c r="BX34" i="1"/>
  <c r="BZ34" i="1"/>
  <c r="BN37" i="1"/>
  <c r="BP37" i="1"/>
  <c r="BR37" i="1"/>
  <c r="BV38" i="1"/>
  <c r="G42" i="1"/>
  <c r="K42" i="1"/>
  <c r="O42" i="1"/>
  <c r="S42" i="1"/>
  <c r="W42" i="1"/>
  <c r="AA42" i="1"/>
  <c r="BI42" i="1"/>
  <c r="BK42" i="1"/>
  <c r="BU42" i="1"/>
  <c r="BY42" i="1"/>
  <c r="BT45" i="1"/>
  <c r="BT52" i="1" s="1"/>
  <c r="AF52" i="1"/>
  <c r="AF55" i="1" s="1"/>
  <c r="BV45" i="1"/>
  <c r="BV52" i="1" s="1"/>
  <c r="AN52" i="1"/>
  <c r="AN55" i="1" s="1"/>
  <c r="BX45" i="1"/>
  <c r="BX52" i="1" s="1"/>
  <c r="AV52" i="1"/>
  <c r="AV55" i="1" s="1"/>
  <c r="BZ45" i="1"/>
  <c r="BZ52" i="1" s="1"/>
  <c r="BQ45" i="1"/>
  <c r="BU45" i="1"/>
  <c r="BU52" i="1" s="1"/>
  <c r="BY45" i="1"/>
  <c r="BY52" i="1" s="1"/>
  <c r="CA64" i="1"/>
  <c r="CB64" i="1" s="1"/>
  <c r="AC70" i="1"/>
  <c r="AC56" i="1"/>
  <c r="AG70" i="1"/>
  <c r="AG56" i="1"/>
  <c r="AI56" i="1"/>
  <c r="AK70" i="1"/>
  <c r="AK56" i="1"/>
  <c r="AM56" i="1"/>
  <c r="AO70" i="1"/>
  <c r="AO56" i="1"/>
  <c r="AS70" i="1"/>
  <c r="AS56" i="1"/>
  <c r="AW70" i="1"/>
  <c r="AW56" i="1"/>
  <c r="AY56" i="1"/>
  <c r="BA70" i="1"/>
  <c r="BA56" i="1"/>
  <c r="BC70" i="1"/>
  <c r="AC24" i="1"/>
  <c r="AE24" i="1"/>
  <c r="AG24" i="1"/>
  <c r="AI24" i="1"/>
  <c r="AK24" i="1"/>
  <c r="AM24" i="1"/>
  <c r="AO24" i="1"/>
  <c r="AQ24" i="1"/>
  <c r="AS24" i="1"/>
  <c r="AU24" i="1"/>
  <c r="AW24" i="1"/>
  <c r="AY24" i="1"/>
  <c r="BA24" i="1"/>
  <c r="BC24" i="1"/>
  <c r="BM29" i="1"/>
  <c r="BO29" i="1"/>
  <c r="BQ29" i="1"/>
  <c r="CA29" i="1"/>
  <c r="BH34" i="1"/>
  <c r="BJ34" i="1"/>
  <c r="D35" i="1"/>
  <c r="F35" i="1"/>
  <c r="H35" i="1"/>
  <c r="J35" i="1"/>
  <c r="L35" i="1"/>
  <c r="N35" i="1"/>
  <c r="P35" i="1"/>
  <c r="R35" i="1"/>
  <c r="T35" i="1"/>
  <c r="V35" i="1"/>
  <c r="X35" i="1"/>
  <c r="Z35" i="1"/>
  <c r="AB35" i="1"/>
  <c r="AD35" i="1"/>
  <c r="AF35" i="1"/>
  <c r="AH35" i="1"/>
  <c r="AJ35" i="1"/>
  <c r="AL35" i="1"/>
  <c r="AN35" i="1"/>
  <c r="AP35" i="1"/>
  <c r="AR35" i="1"/>
  <c r="AT35" i="1"/>
  <c r="AV35" i="1"/>
  <c r="AX35" i="1"/>
  <c r="AZ35" i="1"/>
  <c r="BB35" i="1"/>
  <c r="BS34" i="1"/>
  <c r="BU34" i="1"/>
  <c r="BW34" i="1"/>
  <c r="BY34" i="1"/>
  <c r="BM37" i="1"/>
  <c r="BO37" i="1"/>
  <c r="BQ37" i="1"/>
  <c r="CA37" i="1"/>
  <c r="BO45" i="1"/>
  <c r="BS45" i="1"/>
  <c r="BS52" i="1" s="1"/>
  <c r="H52" i="1"/>
  <c r="H55" i="1" s="1"/>
  <c r="P52" i="1"/>
  <c r="P55" i="1" s="1"/>
  <c r="X52" i="1"/>
  <c r="X55" i="1" s="1"/>
  <c r="BE63" i="1"/>
  <c r="BZ64" i="1"/>
  <c r="G83" i="1"/>
  <c r="G85" i="1" s="1"/>
  <c r="O83" i="1"/>
  <c r="O85" i="1" s="1"/>
  <c r="S65" i="1"/>
  <c r="W65" i="1"/>
  <c r="AA65" i="1"/>
  <c r="BR46" i="1"/>
  <c r="K83" i="1"/>
  <c r="K85" i="1" s="1"/>
  <c r="BW77" i="1"/>
  <c r="BX77" i="1"/>
  <c r="BY77" i="1"/>
  <c r="BM73" i="1"/>
  <c r="BO73" i="1"/>
  <c r="BQ73" i="1"/>
  <c r="BX76" i="1"/>
  <c r="BT77" i="1"/>
  <c r="K77" i="1"/>
  <c r="S77" i="1"/>
  <c r="AA77" i="1"/>
  <c r="BN73" i="1"/>
  <c r="BP73" i="1"/>
  <c r="BR73" i="1"/>
  <c r="BW76" i="1"/>
  <c r="BY76" i="1"/>
  <c r="BF84" i="1"/>
  <c r="BF76" i="1" s="1"/>
  <c r="BH84" i="1"/>
  <c r="BJ84" i="1"/>
  <c r="BJ76" i="1" s="1"/>
  <c r="BE84" i="1"/>
  <c r="BE76" i="1" s="1"/>
  <c r="BG84" i="1"/>
  <c r="BG76" i="1" s="1"/>
  <c r="BI84" i="1"/>
  <c r="BI76" i="1" s="1"/>
  <c r="BK84" i="1"/>
  <c r="BK76" i="1" s="1"/>
  <c r="AK104" i="1"/>
  <c r="AL104" i="1" s="1"/>
  <c r="AM104" i="1" s="1"/>
  <c r="AN104" i="1" s="1"/>
  <c r="BE97" i="1"/>
  <c r="BF97" i="1" s="1"/>
  <c r="BG97" i="1" s="1"/>
  <c r="BH97" i="1" s="1"/>
  <c r="BZ104" i="1"/>
  <c r="BF98" i="1"/>
  <c r="BI104" i="1"/>
  <c r="BJ104" i="1" s="1"/>
  <c r="BK104" i="1" s="1"/>
  <c r="BX104" i="1"/>
  <c r="AE9" i="1"/>
  <c r="AB9" i="1"/>
  <c r="CA9" i="1"/>
  <c r="CB9" i="1" s="1"/>
  <c r="BZ9" i="1"/>
  <c r="BY9" i="1"/>
  <c r="BX9" i="1"/>
  <c r="BW9" i="1"/>
  <c r="BV9" i="1"/>
  <c r="BU9" i="1"/>
  <c r="BY8" i="1"/>
  <c r="BX8" i="1"/>
  <c r="BW8" i="1"/>
  <c r="BV8" i="1"/>
  <c r="BV43" i="1" s="1"/>
  <c r="BU8" i="1"/>
  <c r="BT8" i="1"/>
  <c r="BS8" i="1"/>
  <c r="AA8" i="1"/>
  <c r="W8" i="1"/>
  <c r="S8" i="1"/>
  <c r="S30" i="1" s="1"/>
  <c r="O8" i="1"/>
  <c r="K8" i="1"/>
  <c r="G8" i="1"/>
  <c r="AU2" i="1"/>
  <c r="AT2" i="1"/>
  <c r="AS2" i="1"/>
  <c r="AR2" i="1"/>
  <c r="AI2" i="1"/>
  <c r="AH2" i="1"/>
  <c r="AG2" i="1"/>
  <c r="AF2" i="1"/>
  <c r="AN2" i="1" l="1"/>
  <c r="AK2" i="1"/>
  <c r="BM85" i="1"/>
  <c r="BR45" i="1"/>
  <c r="BR52" i="1" s="1"/>
  <c r="D56" i="1"/>
  <c r="AJ2" i="1"/>
  <c r="AM2" i="1"/>
  <c r="AQ2" i="1"/>
  <c r="AR3" i="1" s="1"/>
  <c r="CB99" i="1"/>
  <c r="CB102" i="1" s="1"/>
  <c r="CA102" i="1"/>
  <c r="AP2" i="1"/>
  <c r="AQ70" i="1"/>
  <c r="AQ74" i="1" s="1"/>
  <c r="AQ84" i="1" s="1"/>
  <c r="S38" i="1"/>
  <c r="CA104" i="1"/>
  <c r="CB104" i="1" s="1"/>
  <c r="J56" i="1"/>
  <c r="K52" i="1"/>
  <c r="BM68" i="1"/>
  <c r="BM62" i="1"/>
  <c r="BO68" i="1"/>
  <c r="BO62" i="1"/>
  <c r="BM45" i="1"/>
  <c r="BM52" i="1" s="1"/>
  <c r="AU56" i="1"/>
  <c r="AE70" i="1"/>
  <c r="AE74" i="1" s="1"/>
  <c r="AS3" i="1"/>
  <c r="BS9" i="1"/>
  <c r="BJ85" i="1"/>
  <c r="BF85" i="1"/>
  <c r="BZ97" i="1"/>
  <c r="X70" i="1"/>
  <c r="X56" i="1"/>
  <c r="H70" i="1"/>
  <c r="H56" i="1"/>
  <c r="P70" i="1"/>
  <c r="P56" i="1"/>
  <c r="G26" i="1"/>
  <c r="G38" i="1"/>
  <c r="G30" i="1"/>
  <c r="G23" i="1"/>
  <c r="G10" i="1"/>
  <c r="H10" i="1"/>
  <c r="O26" i="1"/>
  <c r="O38" i="1"/>
  <c r="O30" i="1"/>
  <c r="O23" i="1"/>
  <c r="O11" i="1"/>
  <c r="O10" i="1"/>
  <c r="P10" i="1"/>
  <c r="W26" i="1"/>
  <c r="W38" i="1"/>
  <c r="W30" i="1"/>
  <c r="W23" i="1"/>
  <c r="W11" i="1"/>
  <c r="W10" i="1"/>
  <c r="X10" i="1"/>
  <c r="BM8" i="1"/>
  <c r="BO8" i="1"/>
  <c r="BQ8" i="1"/>
  <c r="BS23" i="1"/>
  <c r="BU23" i="1"/>
  <c r="BU11" i="1"/>
  <c r="BW26" i="1"/>
  <c r="BW23" i="1"/>
  <c r="BW11" i="1"/>
  <c r="BY26" i="1"/>
  <c r="BY23" i="1"/>
  <c r="BY11" i="1"/>
  <c r="BG98" i="1"/>
  <c r="AO104" i="1"/>
  <c r="AP104" i="1" s="1"/>
  <c r="AQ104" i="1" s="1"/>
  <c r="BZ98" i="1"/>
  <c r="CA84" i="1"/>
  <c r="CA85" i="1" s="1"/>
  <c r="BH76" i="1"/>
  <c r="CA76" i="1" s="1"/>
  <c r="BZ84" i="1"/>
  <c r="BZ85" i="1" s="1"/>
  <c r="BZ76" i="1"/>
  <c r="BI85" i="1"/>
  <c r="BE85" i="1"/>
  <c r="BP77" i="1"/>
  <c r="BQ77" i="1"/>
  <c r="BM77" i="1"/>
  <c r="W83" i="1"/>
  <c r="W85" i="1" s="1"/>
  <c r="W62" i="1"/>
  <c r="BQ65" i="1"/>
  <c r="BE68" i="1"/>
  <c r="BF63" i="1"/>
  <c r="BE62" i="1"/>
  <c r="BW38" i="1"/>
  <c r="BS38" i="1"/>
  <c r="BQ38" i="1"/>
  <c r="BQ42" i="1"/>
  <c r="BM38" i="1"/>
  <c r="BM42" i="1"/>
  <c r="BW53" i="1"/>
  <c r="BW35" i="1"/>
  <c r="BS53" i="1"/>
  <c r="BS35" i="1"/>
  <c r="BH53" i="1"/>
  <c r="BW30" i="1"/>
  <c r="BS30" i="1"/>
  <c r="BO52" i="1"/>
  <c r="BO34" i="1"/>
  <c r="BO30" i="1"/>
  <c r="BC80" i="1"/>
  <c r="BC9" i="3" s="1"/>
  <c r="BC74" i="1"/>
  <c r="AY80" i="1"/>
  <c r="AY74" i="1"/>
  <c r="AU80" i="1"/>
  <c r="AU74" i="1"/>
  <c r="AQ80" i="1"/>
  <c r="AM80" i="1"/>
  <c r="AM74" i="1"/>
  <c r="AM84" i="1" s="1"/>
  <c r="AI80" i="1"/>
  <c r="AI74" i="1"/>
  <c r="BU43" i="1"/>
  <c r="W43" i="1"/>
  <c r="O43" i="1"/>
  <c r="G43" i="1"/>
  <c r="BR42" i="1"/>
  <c r="BN42" i="1"/>
  <c r="BX53" i="1"/>
  <c r="BX54" i="1" s="1"/>
  <c r="BX35" i="1"/>
  <c r="BT53" i="1"/>
  <c r="BT35" i="1"/>
  <c r="BI53" i="1"/>
  <c r="W53" i="1"/>
  <c r="W35" i="1"/>
  <c r="O53" i="1"/>
  <c r="O35" i="1"/>
  <c r="G53" i="1"/>
  <c r="G35" i="1"/>
  <c r="BR34" i="1"/>
  <c r="BN52" i="1"/>
  <c r="BN34" i="1"/>
  <c r="BW43" i="1"/>
  <c r="BS43" i="1"/>
  <c r="BB70" i="1"/>
  <c r="BB56" i="1"/>
  <c r="AZ70" i="1"/>
  <c r="AZ56" i="1"/>
  <c r="AX70" i="1"/>
  <c r="AX56" i="1"/>
  <c r="AV70" i="1"/>
  <c r="AV56" i="1"/>
  <c r="AT70" i="1"/>
  <c r="AT56" i="1"/>
  <c r="AR70" i="1"/>
  <c r="AR56" i="1"/>
  <c r="AP70" i="1"/>
  <c r="AP56" i="1"/>
  <c r="AN70" i="1"/>
  <c r="AN56" i="1"/>
  <c r="AL70" i="1"/>
  <c r="AL56" i="1"/>
  <c r="AJ70" i="1"/>
  <c r="AJ56" i="1"/>
  <c r="AH70" i="1"/>
  <c r="AH56" i="1"/>
  <c r="AF70" i="1"/>
  <c r="AF56" i="1"/>
  <c r="AD70" i="1"/>
  <c r="AD56" i="1"/>
  <c r="AB70" i="1"/>
  <c r="AB56" i="1"/>
  <c r="Y70" i="1"/>
  <c r="Y56" i="1"/>
  <c r="U70" i="1"/>
  <c r="U56" i="1"/>
  <c r="Q70" i="1"/>
  <c r="Q56" i="1"/>
  <c r="M70" i="1"/>
  <c r="M56" i="1"/>
  <c r="I70" i="1"/>
  <c r="I56" i="1"/>
  <c r="E70" i="1"/>
  <c r="E56" i="1"/>
  <c r="BC71" i="1"/>
  <c r="BC60" i="1"/>
  <c r="BA71" i="1"/>
  <c r="BA60" i="1"/>
  <c r="AY71" i="1"/>
  <c r="AY60" i="1"/>
  <c r="AW71" i="1"/>
  <c r="AW60" i="1"/>
  <c r="AU71" i="1"/>
  <c r="AU60" i="1"/>
  <c r="AS71" i="1"/>
  <c r="AS60" i="1"/>
  <c r="AO59" i="1"/>
  <c r="AO27" i="1"/>
  <c r="AK59" i="1"/>
  <c r="AK27" i="1"/>
  <c r="AI71" i="1"/>
  <c r="AI60" i="1"/>
  <c r="AG71" i="1"/>
  <c r="AG60" i="1"/>
  <c r="AC59" i="1"/>
  <c r="AC27" i="1"/>
  <c r="Y71" i="1"/>
  <c r="Y60" i="1"/>
  <c r="U71" i="1"/>
  <c r="U60" i="1"/>
  <c r="Q71" i="1"/>
  <c r="Q60" i="1"/>
  <c r="M71" i="1"/>
  <c r="M60" i="1"/>
  <c r="I71" i="1"/>
  <c r="I60" i="1"/>
  <c r="E71" i="1"/>
  <c r="E60" i="1"/>
  <c r="F80" i="1"/>
  <c r="F74" i="1"/>
  <c r="D80" i="1"/>
  <c r="D74" i="1"/>
  <c r="BB71" i="1"/>
  <c r="BB60" i="1"/>
  <c r="AZ71" i="1"/>
  <c r="AZ60" i="1"/>
  <c r="AX71" i="1"/>
  <c r="AX60" i="1"/>
  <c r="AP59" i="1"/>
  <c r="AP27" i="1"/>
  <c r="AL59" i="1"/>
  <c r="AL27" i="1"/>
  <c r="AD59" i="1"/>
  <c r="AD27" i="1"/>
  <c r="BX21" i="1"/>
  <c r="BX26" i="1" s="1"/>
  <c r="BU21" i="1"/>
  <c r="BU26" i="1" s="1"/>
  <c r="AL2" i="1"/>
  <c r="AO2" i="1"/>
  <c r="K26" i="1"/>
  <c r="K23" i="1"/>
  <c r="K11" i="1"/>
  <c r="K10" i="1"/>
  <c r="L10" i="1"/>
  <c r="S26" i="1"/>
  <c r="S23" i="1"/>
  <c r="S11" i="1"/>
  <c r="S10" i="1"/>
  <c r="T10" i="1"/>
  <c r="AA26" i="1"/>
  <c r="AA23" i="1"/>
  <c r="AE11" i="1"/>
  <c r="AA11" i="1"/>
  <c r="AA10" i="1"/>
  <c r="AB10" i="1"/>
  <c r="BN8" i="1"/>
  <c r="BP8" i="1"/>
  <c r="BP30" i="1" s="1"/>
  <c r="BR8" i="1"/>
  <c r="BT23" i="1"/>
  <c r="BT26" i="1"/>
  <c r="BT11" i="1"/>
  <c r="BV23" i="1"/>
  <c r="BV11" i="1"/>
  <c r="BX23" i="1"/>
  <c r="BX11" i="1"/>
  <c r="BI97" i="1"/>
  <c r="BJ97" i="1" s="1"/>
  <c r="BK97" i="1" s="1"/>
  <c r="BU104" i="1"/>
  <c r="BK85" i="1"/>
  <c r="BG85" i="1"/>
  <c r="BR77" i="1"/>
  <c r="BN77" i="1"/>
  <c r="BH85" i="1"/>
  <c r="BO77" i="1"/>
  <c r="AA83" i="1"/>
  <c r="AA85" i="1" s="1"/>
  <c r="AA62" i="1"/>
  <c r="BR65" i="1"/>
  <c r="S83" i="1"/>
  <c r="S85" i="1" s="1"/>
  <c r="S62" i="1"/>
  <c r="BP65" i="1"/>
  <c r="BY38" i="1"/>
  <c r="BU38" i="1"/>
  <c r="CA42" i="1"/>
  <c r="CB37" i="1"/>
  <c r="BO42" i="1"/>
  <c r="BO43" i="1" s="1"/>
  <c r="BO38" i="1"/>
  <c r="BY53" i="1"/>
  <c r="BY54" i="1" s="1"/>
  <c r="BY35" i="1"/>
  <c r="BU53" i="1"/>
  <c r="BU35" i="1"/>
  <c r="BJ53" i="1"/>
  <c r="BY30" i="1"/>
  <c r="BU30" i="1"/>
  <c r="CA52" i="1"/>
  <c r="CA34" i="1"/>
  <c r="CB29" i="1"/>
  <c r="BQ52" i="1"/>
  <c r="BQ34" i="1"/>
  <c r="BQ30" i="1"/>
  <c r="BM34" i="1"/>
  <c r="BM30" i="1"/>
  <c r="BA80" i="1"/>
  <c r="BA74" i="1"/>
  <c r="AW80" i="1"/>
  <c r="AW74" i="1"/>
  <c r="AS80" i="1"/>
  <c r="AS74" i="1"/>
  <c r="AO80" i="1"/>
  <c r="AO74" i="1"/>
  <c r="AO84" i="1" s="1"/>
  <c r="AK80" i="1"/>
  <c r="AK74" i="1"/>
  <c r="AK84" i="1" s="1"/>
  <c r="AG80" i="1"/>
  <c r="AG74" i="1"/>
  <c r="AC80" i="1"/>
  <c r="AC74" i="1"/>
  <c r="BY43" i="1"/>
  <c r="AA43" i="1"/>
  <c r="S43" i="1"/>
  <c r="K43" i="1"/>
  <c r="AA38" i="1"/>
  <c r="K38" i="1"/>
  <c r="BX38" i="1"/>
  <c r="BT38" i="1"/>
  <c r="BX43" i="1"/>
  <c r="BT43" i="1"/>
  <c r="BP42" i="1"/>
  <c r="BP38" i="1"/>
  <c r="BZ53" i="1"/>
  <c r="BV53" i="1"/>
  <c r="BV35" i="1"/>
  <c r="BK53" i="1"/>
  <c r="AA53" i="1"/>
  <c r="AA35" i="1"/>
  <c r="S53" i="1"/>
  <c r="S35" i="1"/>
  <c r="K53" i="1"/>
  <c r="K35" i="1"/>
  <c r="AA30" i="1"/>
  <c r="K30" i="1"/>
  <c r="BX30" i="1"/>
  <c r="BT30" i="1"/>
  <c r="BP52" i="1"/>
  <c r="BP34" i="1"/>
  <c r="AQ59" i="1"/>
  <c r="AQ27" i="1"/>
  <c r="AM59" i="1"/>
  <c r="AM27" i="1"/>
  <c r="AE59" i="1"/>
  <c r="AE27" i="1"/>
  <c r="Z70" i="1"/>
  <c r="Z56" i="1"/>
  <c r="V70" i="1"/>
  <c r="V56" i="1"/>
  <c r="T70" i="1"/>
  <c r="T56" i="1"/>
  <c r="R70" i="1"/>
  <c r="R56" i="1"/>
  <c r="N80" i="1"/>
  <c r="N74" i="1"/>
  <c r="L80" i="1"/>
  <c r="L74" i="1"/>
  <c r="J80" i="1"/>
  <c r="J74" i="1"/>
  <c r="AV59" i="1"/>
  <c r="AV27" i="1"/>
  <c r="AT71" i="1"/>
  <c r="AT60" i="1"/>
  <c r="AR71" i="1"/>
  <c r="AR60" i="1"/>
  <c r="AN59" i="1"/>
  <c r="AN27" i="1"/>
  <c r="AJ59" i="1"/>
  <c r="AJ27" i="1"/>
  <c r="AH71" i="1"/>
  <c r="AH60" i="1"/>
  <c r="AF71" i="1"/>
  <c r="AF60" i="1"/>
  <c r="AB59" i="1"/>
  <c r="AB27" i="1"/>
  <c r="Z71" i="1"/>
  <c r="Z60" i="1"/>
  <c r="X71" i="1"/>
  <c r="X60" i="1"/>
  <c r="V71" i="1"/>
  <c r="V60" i="1"/>
  <c r="T71" i="1"/>
  <c r="T60" i="1"/>
  <c r="R71" i="1"/>
  <c r="R60" i="1"/>
  <c r="P71" i="1"/>
  <c r="P60" i="1"/>
  <c r="N71" i="1"/>
  <c r="N60" i="1"/>
  <c r="L71" i="1"/>
  <c r="L60" i="1"/>
  <c r="J71" i="1"/>
  <c r="J60" i="1"/>
  <c r="H71" i="1"/>
  <c r="H60" i="1"/>
  <c r="F71" i="1"/>
  <c r="F60" i="1"/>
  <c r="D71" i="1"/>
  <c r="D60" i="1"/>
  <c r="BV21" i="1"/>
  <c r="BV26" i="1" s="1"/>
  <c r="BS21" i="1"/>
  <c r="BS26" i="1" s="1"/>
  <c r="CB142" i="3"/>
  <c r="CB134" i="3"/>
  <c r="CB133" i="3"/>
  <c r="CB132" i="3"/>
  <c r="CB131" i="3"/>
  <c r="CB127" i="3"/>
  <c r="CB126" i="3"/>
  <c r="CB125" i="3"/>
  <c r="CB124" i="3"/>
  <c r="CB123" i="3"/>
  <c r="CB122" i="3"/>
  <c r="CB121" i="3"/>
  <c r="CB120" i="3"/>
  <c r="CB119" i="3"/>
  <c r="CB118" i="3"/>
  <c r="CB104" i="3"/>
  <c r="CB103" i="3"/>
  <c r="CB101" i="3"/>
  <c r="CB100" i="3"/>
  <c r="CB68" i="3"/>
  <c r="CB154" i="3"/>
  <c r="CB7" i="2"/>
  <c r="CB49" i="2" s="1"/>
  <c r="CB60" i="2" s="1"/>
  <c r="CB76" i="2" s="1"/>
  <c r="CB51" i="2"/>
  <c r="AN3" i="1" l="1"/>
  <c r="AE80" i="1"/>
  <c r="BP43" i="1"/>
  <c r="BM43" i="1"/>
  <c r="BQ43" i="1"/>
  <c r="BV59" i="1"/>
  <c r="BV27" i="1"/>
  <c r="BS59" i="1"/>
  <c r="BS27" i="1"/>
  <c r="BU59" i="1"/>
  <c r="BU27" i="1"/>
  <c r="D87" i="1"/>
  <c r="D93" i="1" s="1"/>
  <c r="D78" i="1"/>
  <c r="H87" i="1"/>
  <c r="H93" i="1" s="1"/>
  <c r="H78" i="1"/>
  <c r="L87" i="1"/>
  <c r="L93" i="1" s="1"/>
  <c r="L78" i="1"/>
  <c r="N87" i="1"/>
  <c r="N93" i="1" s="1"/>
  <c r="N78" i="1"/>
  <c r="R87" i="1"/>
  <c r="R93" i="1" s="1"/>
  <c r="R78" i="1"/>
  <c r="V87" i="1"/>
  <c r="V93" i="1" s="1"/>
  <c r="V78" i="1"/>
  <c r="Z87" i="1"/>
  <c r="Z93" i="1" s="1"/>
  <c r="Z78" i="1"/>
  <c r="AB71" i="1"/>
  <c r="AB60" i="1"/>
  <c r="AF87" i="1"/>
  <c r="AF93" i="1" s="1"/>
  <c r="AF78" i="1"/>
  <c r="AH87" i="1"/>
  <c r="AH93" i="1" s="1"/>
  <c r="AH78" i="1"/>
  <c r="AJ71" i="1"/>
  <c r="AJ60" i="1"/>
  <c r="AR87" i="1"/>
  <c r="AR93" i="1" s="1"/>
  <c r="AR78" i="1"/>
  <c r="AT87" i="1"/>
  <c r="AT93" i="1" s="1"/>
  <c r="AT78" i="1"/>
  <c r="AV71" i="1"/>
  <c r="AV60" i="1"/>
  <c r="J89" i="1"/>
  <c r="J91" i="1" s="1"/>
  <c r="J81" i="1"/>
  <c r="L89" i="1"/>
  <c r="L91" i="1" s="1"/>
  <c r="L81" i="1"/>
  <c r="N89" i="1"/>
  <c r="N91" i="1" s="1"/>
  <c r="N81" i="1"/>
  <c r="R80" i="1"/>
  <c r="R74" i="1"/>
  <c r="T80" i="1"/>
  <c r="T74" i="1"/>
  <c r="V80" i="1"/>
  <c r="V74" i="1"/>
  <c r="Z80" i="1"/>
  <c r="Z74" i="1"/>
  <c r="BP53" i="1"/>
  <c r="BP35" i="1"/>
  <c r="AC89" i="1"/>
  <c r="AC91" i="1" s="1"/>
  <c r="AC81" i="1"/>
  <c r="AG89" i="1"/>
  <c r="AG91" i="1" s="1"/>
  <c r="AG81" i="1"/>
  <c r="AK89" i="1"/>
  <c r="AK91" i="1" s="1"/>
  <c r="AK81" i="1"/>
  <c r="AO89" i="1"/>
  <c r="AO91" i="1" s="1"/>
  <c r="AO81" i="1"/>
  <c r="AS89" i="1"/>
  <c r="AS91" i="1" s="1"/>
  <c r="AS81" i="1"/>
  <c r="AW89" i="1"/>
  <c r="AW91" i="1" s="1"/>
  <c r="AW81" i="1"/>
  <c r="BA89" i="1"/>
  <c r="BA91" i="1" s="1"/>
  <c r="BA81" i="1"/>
  <c r="BM53" i="1"/>
  <c r="BM35" i="1"/>
  <c r="BQ53" i="1"/>
  <c r="BQ35" i="1"/>
  <c r="CB52" i="1"/>
  <c r="CB34" i="1"/>
  <c r="CB42" i="1"/>
  <c r="BP62" i="1"/>
  <c r="BP83" i="1"/>
  <c r="BP85" i="1" s="1"/>
  <c r="BX59" i="1"/>
  <c r="BX27" i="1"/>
  <c r="BV31" i="1"/>
  <c r="BV39" i="1"/>
  <c r="BV55" i="1"/>
  <c r="BV24" i="1"/>
  <c r="BT59" i="1"/>
  <c r="BT27" i="1"/>
  <c r="BR23" i="1"/>
  <c r="BR26" i="1"/>
  <c r="BR11" i="1"/>
  <c r="BN23" i="1"/>
  <c r="BN26" i="1"/>
  <c r="BN11" i="1"/>
  <c r="AA31" i="1"/>
  <c r="AA39" i="1"/>
  <c r="AA59" i="1"/>
  <c r="AA27" i="1"/>
  <c r="S39" i="1"/>
  <c r="S31" i="1"/>
  <c r="S55" i="1"/>
  <c r="S24" i="1"/>
  <c r="L31" i="1"/>
  <c r="L39" i="1"/>
  <c r="K59" i="1"/>
  <c r="K27" i="1"/>
  <c r="E87" i="1"/>
  <c r="E93" i="1" s="1"/>
  <c r="E78" i="1"/>
  <c r="I87" i="1"/>
  <c r="I93" i="1" s="1"/>
  <c r="I78" i="1"/>
  <c r="M87" i="1"/>
  <c r="M93" i="1" s="1"/>
  <c r="M78" i="1"/>
  <c r="Q87" i="1"/>
  <c r="Q93" i="1" s="1"/>
  <c r="Q78" i="1"/>
  <c r="U87" i="1"/>
  <c r="U93" i="1" s="1"/>
  <c r="U78" i="1"/>
  <c r="Y87" i="1"/>
  <c r="Y93" i="1" s="1"/>
  <c r="Y78" i="1"/>
  <c r="AC71" i="1"/>
  <c r="AC60" i="1"/>
  <c r="AG87" i="1"/>
  <c r="AG93" i="1" s="1"/>
  <c r="AG78" i="1"/>
  <c r="AI87" i="1"/>
  <c r="AI93" i="1" s="1"/>
  <c r="AI78" i="1"/>
  <c r="AK71" i="1"/>
  <c r="AK60" i="1"/>
  <c r="AO71" i="1"/>
  <c r="AO60" i="1"/>
  <c r="AS87" i="1"/>
  <c r="AS93" i="1" s="1"/>
  <c r="AS78" i="1"/>
  <c r="AU87" i="1"/>
  <c r="AU93" i="1" s="1"/>
  <c r="AU78" i="1"/>
  <c r="AW87" i="1"/>
  <c r="AW93" i="1" s="1"/>
  <c r="AW78" i="1"/>
  <c r="AY87" i="1"/>
  <c r="AY93" i="1" s="1"/>
  <c r="AY78" i="1"/>
  <c r="BA87" i="1"/>
  <c r="BA93" i="1" s="1"/>
  <c r="BA78" i="1"/>
  <c r="BC87" i="1"/>
  <c r="BC93" i="1" s="1"/>
  <c r="BC78" i="1"/>
  <c r="E74" i="1"/>
  <c r="E80" i="1"/>
  <c r="I74" i="1"/>
  <c r="I80" i="1"/>
  <c r="M74" i="1"/>
  <c r="M80" i="1"/>
  <c r="Q74" i="1"/>
  <c r="Q80" i="1"/>
  <c r="U80" i="1"/>
  <c r="U74" i="1"/>
  <c r="Y80" i="1"/>
  <c r="Y74" i="1"/>
  <c r="AB80" i="1"/>
  <c r="AB74" i="1"/>
  <c r="AD80" i="1"/>
  <c r="AD74" i="1"/>
  <c r="AF80" i="1"/>
  <c r="AF74" i="1"/>
  <c r="AH80" i="1"/>
  <c r="AH74" i="1"/>
  <c r="AJ80" i="1"/>
  <c r="AJ74" i="1"/>
  <c r="AJ84" i="1" s="1"/>
  <c r="AL80" i="1"/>
  <c r="AL74" i="1"/>
  <c r="AL84" i="1" s="1"/>
  <c r="AN80" i="1"/>
  <c r="AN74" i="1"/>
  <c r="AN84" i="1" s="1"/>
  <c r="AP80" i="1"/>
  <c r="AP74" i="1"/>
  <c r="AP84" i="1" s="1"/>
  <c r="AR80" i="1"/>
  <c r="AR74" i="1"/>
  <c r="AT80" i="1"/>
  <c r="AT74" i="1"/>
  <c r="AV80" i="1"/>
  <c r="AV74" i="1"/>
  <c r="AX80" i="1"/>
  <c r="AX74" i="1"/>
  <c r="AZ80" i="1"/>
  <c r="AZ74" i="1"/>
  <c r="BB80" i="1"/>
  <c r="BB74" i="1"/>
  <c r="BN30" i="1"/>
  <c r="BN53" i="1"/>
  <c r="BN35" i="1"/>
  <c r="BR30" i="1"/>
  <c r="BR53" i="1"/>
  <c r="BR35" i="1"/>
  <c r="BN38" i="1"/>
  <c r="BN43" i="1"/>
  <c r="AM76" i="1"/>
  <c r="AM77" i="1" s="1"/>
  <c r="AM85" i="1"/>
  <c r="AQ76" i="1"/>
  <c r="AQ77" i="1" s="1"/>
  <c r="AQ85" i="1"/>
  <c r="BO53" i="1"/>
  <c r="BO35" i="1"/>
  <c r="BY39" i="1"/>
  <c r="BY31" i="1"/>
  <c r="BY59" i="1"/>
  <c r="BY27" i="1"/>
  <c r="BW55" i="1"/>
  <c r="BW24" i="1"/>
  <c r="BU39" i="1"/>
  <c r="BU31" i="1"/>
  <c r="BS55" i="1"/>
  <c r="BS24" i="1"/>
  <c r="BQ26" i="1"/>
  <c r="BQ23" i="1"/>
  <c r="BQ11" i="1"/>
  <c r="BM26" i="1"/>
  <c r="BM23" i="1"/>
  <c r="W39" i="1"/>
  <c r="W31" i="1"/>
  <c r="W55" i="1"/>
  <c r="W24" i="1"/>
  <c r="P31" i="1"/>
  <c r="P39" i="1"/>
  <c r="O59" i="1"/>
  <c r="O27" i="1"/>
  <c r="G39" i="1"/>
  <c r="G31" i="1"/>
  <c r="G59" i="1"/>
  <c r="G27" i="1"/>
  <c r="P80" i="1"/>
  <c r="P74" i="1"/>
  <c r="F87" i="1"/>
  <c r="F93" i="1" s="1"/>
  <c r="F78" i="1"/>
  <c r="J87" i="1"/>
  <c r="J93" i="1" s="1"/>
  <c r="J78" i="1"/>
  <c r="P87" i="1"/>
  <c r="P93" i="1" s="1"/>
  <c r="P78" i="1"/>
  <c r="T87" i="1"/>
  <c r="T93" i="1" s="1"/>
  <c r="T78" i="1"/>
  <c r="X87" i="1"/>
  <c r="X93" i="1" s="1"/>
  <c r="X78" i="1"/>
  <c r="AN71" i="1"/>
  <c r="AN60" i="1"/>
  <c r="AE71" i="1"/>
  <c r="AE60" i="1"/>
  <c r="AM71" i="1"/>
  <c r="AM60" i="1"/>
  <c r="AQ71" i="1"/>
  <c r="AQ60" i="1"/>
  <c r="AK76" i="1"/>
  <c r="AK77" i="1" s="1"/>
  <c r="AK85" i="1"/>
  <c r="AO76" i="1"/>
  <c r="AO77" i="1" s="1"/>
  <c r="AO85" i="1"/>
  <c r="CA53" i="1"/>
  <c r="BR62" i="1"/>
  <c r="BR83" i="1"/>
  <c r="BR85" i="1" s="1"/>
  <c r="CA97" i="1"/>
  <c r="CB97" i="1" s="1"/>
  <c r="BX31" i="1"/>
  <c r="BX39" i="1"/>
  <c r="BX55" i="1"/>
  <c r="BX24" i="1"/>
  <c r="BT31" i="1"/>
  <c r="BT39" i="1"/>
  <c r="BT55" i="1"/>
  <c r="BT24" i="1"/>
  <c r="BP23" i="1"/>
  <c r="BP26" i="1"/>
  <c r="BP11" i="1"/>
  <c r="AB31" i="1"/>
  <c r="AB39" i="1"/>
  <c r="AA55" i="1"/>
  <c r="AA24" i="1"/>
  <c r="T31" i="1"/>
  <c r="T39" i="1"/>
  <c r="S59" i="1"/>
  <c r="S27" i="1"/>
  <c r="K31" i="1"/>
  <c r="K39" i="1"/>
  <c r="K55" i="1"/>
  <c r="K24" i="1"/>
  <c r="AD71" i="1"/>
  <c r="AD60" i="1"/>
  <c r="AL71" i="1"/>
  <c r="AL60" i="1"/>
  <c r="AP71" i="1"/>
  <c r="AP60" i="1"/>
  <c r="AX87" i="1"/>
  <c r="AX93" i="1" s="1"/>
  <c r="AX78" i="1"/>
  <c r="AZ87" i="1"/>
  <c r="AZ93" i="1" s="1"/>
  <c r="AZ78" i="1"/>
  <c r="BB87" i="1"/>
  <c r="BB93" i="1" s="1"/>
  <c r="BB78" i="1"/>
  <c r="D89" i="1"/>
  <c r="D91" i="1" s="1"/>
  <c r="D81" i="1"/>
  <c r="F89" i="1"/>
  <c r="F91" i="1" s="1"/>
  <c r="F81" i="1"/>
  <c r="BR38" i="1"/>
  <c r="BR43" i="1"/>
  <c r="AE89" i="1"/>
  <c r="AE91" i="1" s="1"/>
  <c r="AE81" i="1"/>
  <c r="AI89" i="1"/>
  <c r="AI91" i="1" s="1"/>
  <c r="AI81" i="1"/>
  <c r="AM89" i="1"/>
  <c r="AM91" i="1" s="1"/>
  <c r="AM81" i="1"/>
  <c r="AQ89" i="1"/>
  <c r="AQ91" i="1" s="1"/>
  <c r="AQ81" i="1"/>
  <c r="AU89" i="1"/>
  <c r="AU91" i="1" s="1"/>
  <c r="AU81" i="1"/>
  <c r="AY89" i="1"/>
  <c r="AY91" i="1" s="1"/>
  <c r="AY81" i="1"/>
  <c r="BC89" i="1"/>
  <c r="BC91" i="1" s="1"/>
  <c r="BC81" i="1"/>
  <c r="BF68" i="1"/>
  <c r="BG63" i="1"/>
  <c r="BF62" i="1"/>
  <c r="BQ62" i="1"/>
  <c r="BQ83" i="1"/>
  <c r="BQ85" i="1" s="1"/>
  <c r="BV104" i="1"/>
  <c r="BH98" i="1"/>
  <c r="BY55" i="1"/>
  <c r="BY24" i="1"/>
  <c r="BW39" i="1"/>
  <c r="BW31" i="1"/>
  <c r="BW59" i="1"/>
  <c r="BW27" i="1"/>
  <c r="BU55" i="1"/>
  <c r="BU24" i="1"/>
  <c r="BS11" i="1"/>
  <c r="BO26" i="1"/>
  <c r="BO23" i="1"/>
  <c r="BO11" i="1"/>
  <c r="X31" i="1"/>
  <c r="X39" i="1"/>
  <c r="W59" i="1"/>
  <c r="W27" i="1"/>
  <c r="O39" i="1"/>
  <c r="O31" i="1"/>
  <c r="O55" i="1"/>
  <c r="O24" i="1"/>
  <c r="H31" i="1"/>
  <c r="H39" i="1"/>
  <c r="G55" i="1"/>
  <c r="G24" i="1"/>
  <c r="H80" i="1"/>
  <c r="H74" i="1"/>
  <c r="X80" i="1"/>
  <c r="X74" i="1"/>
  <c r="CB7" i="3"/>
  <c r="CB94" i="3" s="1"/>
  <c r="CB114" i="2"/>
  <c r="AO78" i="1" l="1"/>
  <c r="AK78" i="1"/>
  <c r="AQ87" i="1"/>
  <c r="AQ93" i="1" s="1"/>
  <c r="AM87" i="1"/>
  <c r="AM93" i="1" s="1"/>
  <c r="X89" i="1"/>
  <c r="X91" i="1" s="1"/>
  <c r="X81" i="1"/>
  <c r="H89" i="1"/>
  <c r="H91" i="1" s="1"/>
  <c r="H81" i="1"/>
  <c r="G56" i="1"/>
  <c r="G70" i="1"/>
  <c r="O56" i="1"/>
  <c r="O70" i="1"/>
  <c r="W71" i="1"/>
  <c r="W60" i="1"/>
  <c r="BO31" i="1"/>
  <c r="BO39" i="1"/>
  <c r="BO59" i="1"/>
  <c r="BO27" i="1"/>
  <c r="BG68" i="1"/>
  <c r="BH63" i="1"/>
  <c r="BG62" i="1"/>
  <c r="BZ63" i="1"/>
  <c r="BZ68" i="1" s="1"/>
  <c r="BP59" i="1"/>
  <c r="BP27" i="1"/>
  <c r="AE87" i="1"/>
  <c r="AE93" i="1" s="1"/>
  <c r="AE78" i="1"/>
  <c r="BM59" i="1"/>
  <c r="BM27" i="1"/>
  <c r="BQ55" i="1"/>
  <c r="BQ24" i="1"/>
  <c r="AQ78" i="1"/>
  <c r="AM78" i="1"/>
  <c r="BB89" i="1"/>
  <c r="BB91" i="1" s="1"/>
  <c r="BB81" i="1"/>
  <c r="AZ89" i="1"/>
  <c r="AZ91" i="1" s="1"/>
  <c r="AZ81" i="1"/>
  <c r="AX89" i="1"/>
  <c r="AX91" i="1" s="1"/>
  <c r="AX81" i="1"/>
  <c r="AV89" i="1"/>
  <c r="AV91" i="1" s="1"/>
  <c r="AV81" i="1"/>
  <c r="AT89" i="1"/>
  <c r="AT91" i="1" s="1"/>
  <c r="AT81" i="1"/>
  <c r="AR89" i="1"/>
  <c r="AR91" i="1" s="1"/>
  <c r="AR81" i="1"/>
  <c r="AP89" i="1"/>
  <c r="AP91" i="1" s="1"/>
  <c r="AP81" i="1"/>
  <c r="AN89" i="1"/>
  <c r="AN91" i="1" s="1"/>
  <c r="AN81" i="1"/>
  <c r="AL89" i="1"/>
  <c r="AL91" i="1" s="1"/>
  <c r="AL81" i="1"/>
  <c r="AJ89" i="1"/>
  <c r="AJ91" i="1" s="1"/>
  <c r="AJ81" i="1"/>
  <c r="AH89" i="1"/>
  <c r="AH91" i="1" s="1"/>
  <c r="AH81" i="1"/>
  <c r="AF89" i="1"/>
  <c r="AF91" i="1" s="1"/>
  <c r="AF81" i="1"/>
  <c r="AD89" i="1"/>
  <c r="AD91" i="1" s="1"/>
  <c r="AD81" i="1"/>
  <c r="AB89" i="1"/>
  <c r="AB91" i="1" s="1"/>
  <c r="AB81" i="1"/>
  <c r="Y89" i="1"/>
  <c r="Y91" i="1" s="1"/>
  <c r="Y81" i="1"/>
  <c r="U89" i="1"/>
  <c r="U91" i="1" s="1"/>
  <c r="U81" i="1"/>
  <c r="AO87" i="1"/>
  <c r="AO93" i="1" s="1"/>
  <c r="AK87" i="1"/>
  <c r="AK93" i="1" s="1"/>
  <c r="AC87" i="1"/>
  <c r="AC93" i="1" s="1"/>
  <c r="AC78" i="1"/>
  <c r="K60" i="1"/>
  <c r="K71" i="1"/>
  <c r="S56" i="1"/>
  <c r="S70" i="1"/>
  <c r="AA71" i="1"/>
  <c r="AA60" i="1"/>
  <c r="BN59" i="1"/>
  <c r="BN27" i="1"/>
  <c r="BR31" i="1"/>
  <c r="BR39" i="1"/>
  <c r="BR55" i="1"/>
  <c r="BR24" i="1"/>
  <c r="BT71" i="1"/>
  <c r="BT60" i="1"/>
  <c r="BV70" i="1"/>
  <c r="BV56" i="1"/>
  <c r="BX71" i="1"/>
  <c r="BX60" i="1"/>
  <c r="CB53" i="1"/>
  <c r="BO55" i="1"/>
  <c r="BO24" i="1"/>
  <c r="BS31" i="1"/>
  <c r="BS39" i="1"/>
  <c r="BU70" i="1"/>
  <c r="BU56" i="1"/>
  <c r="BW71" i="1"/>
  <c r="BW60" i="1"/>
  <c r="BY70" i="1"/>
  <c r="BY56" i="1"/>
  <c r="BI98" i="1"/>
  <c r="AD87" i="1"/>
  <c r="AD93" i="1" s="1"/>
  <c r="AD78" i="1"/>
  <c r="K56" i="1"/>
  <c r="K70" i="1"/>
  <c r="S71" i="1"/>
  <c r="S60" i="1"/>
  <c r="AA56" i="1"/>
  <c r="AA70" i="1"/>
  <c r="BP39" i="1"/>
  <c r="BP31" i="1"/>
  <c r="BP55" i="1"/>
  <c r="BP24" i="1"/>
  <c r="BT70" i="1"/>
  <c r="BT56" i="1"/>
  <c r="BX70" i="1"/>
  <c r="BX56" i="1"/>
  <c r="P89" i="1"/>
  <c r="P91" i="1" s="1"/>
  <c r="P81" i="1"/>
  <c r="G60" i="1"/>
  <c r="G71" i="1"/>
  <c r="O60" i="1"/>
  <c r="O71" i="1"/>
  <c r="W56" i="1"/>
  <c r="W70" i="1"/>
  <c r="BM55" i="1"/>
  <c r="BM24" i="1"/>
  <c r="BQ31" i="1"/>
  <c r="BQ39" i="1"/>
  <c r="BQ59" i="1"/>
  <c r="BQ27" i="1"/>
  <c r="BS70" i="1"/>
  <c r="BS56" i="1"/>
  <c r="BW70" i="1"/>
  <c r="BW56" i="1"/>
  <c r="BY71" i="1"/>
  <c r="BY60" i="1"/>
  <c r="AP76" i="1"/>
  <c r="AP77" i="1" s="1"/>
  <c r="AP78" i="1" s="1"/>
  <c r="AP85" i="1"/>
  <c r="BV84" i="1"/>
  <c r="BV85" i="1" s="1"/>
  <c r="AN76" i="1"/>
  <c r="AN85" i="1"/>
  <c r="AL76" i="1"/>
  <c r="AL77" i="1" s="1"/>
  <c r="AL78" i="1" s="1"/>
  <c r="AL85" i="1"/>
  <c r="BU84" i="1"/>
  <c r="BU85" i="1" s="1"/>
  <c r="AJ76" i="1"/>
  <c r="AJ85" i="1"/>
  <c r="Q89" i="1"/>
  <c r="Q91" i="1" s="1"/>
  <c r="Q81" i="1"/>
  <c r="M89" i="1"/>
  <c r="M91" i="1" s="1"/>
  <c r="M81" i="1"/>
  <c r="I89" i="1"/>
  <c r="I91" i="1" s="1"/>
  <c r="I81" i="1"/>
  <c r="E89" i="1"/>
  <c r="E91" i="1" s="1"/>
  <c r="E81" i="1"/>
  <c r="BN39" i="1"/>
  <c r="BN31" i="1"/>
  <c r="BN55" i="1"/>
  <c r="BN24" i="1"/>
  <c r="BR59" i="1"/>
  <c r="BR27" i="1"/>
  <c r="Z89" i="1"/>
  <c r="Z91" i="1" s="1"/>
  <c r="Z81" i="1"/>
  <c r="V89" i="1"/>
  <c r="V91" i="1" s="1"/>
  <c r="V81" i="1"/>
  <c r="T89" i="1"/>
  <c r="T91" i="1" s="1"/>
  <c r="T81" i="1"/>
  <c r="R89" i="1"/>
  <c r="R91" i="1" s="1"/>
  <c r="R81" i="1"/>
  <c r="AV87" i="1"/>
  <c r="AV93" i="1" s="1"/>
  <c r="AV78" i="1"/>
  <c r="AB87" i="1"/>
  <c r="AB93" i="1" s="1"/>
  <c r="AB78" i="1"/>
  <c r="BU71" i="1"/>
  <c r="BU60" i="1"/>
  <c r="BS71" i="1"/>
  <c r="BS60" i="1"/>
  <c r="BV71" i="1"/>
  <c r="BV60" i="1"/>
  <c r="CB64" i="3"/>
  <c r="CB78" i="3" s="1"/>
  <c r="CB86" i="3" s="1"/>
  <c r="AA80" i="1" l="1"/>
  <c r="AA74" i="1"/>
  <c r="K80" i="1"/>
  <c r="K74" i="1"/>
  <c r="AL87" i="1"/>
  <c r="AL93" i="1" s="1"/>
  <c r="BJ98" i="1"/>
  <c r="BY80" i="1"/>
  <c r="BY74" i="1"/>
  <c r="BW87" i="1"/>
  <c r="BW93" i="1" s="1"/>
  <c r="BW78" i="1"/>
  <c r="BU80" i="1"/>
  <c r="BU74" i="1"/>
  <c r="BO70" i="1"/>
  <c r="BO56" i="1"/>
  <c r="AA87" i="1"/>
  <c r="AA93" i="1" s="1"/>
  <c r="AA78" i="1"/>
  <c r="BQ70" i="1"/>
  <c r="BQ56" i="1"/>
  <c r="BM71" i="1"/>
  <c r="BM60" i="1"/>
  <c r="BP71" i="1"/>
  <c r="BP60" i="1"/>
  <c r="O74" i="1"/>
  <c r="O80" i="1"/>
  <c r="G74" i="1"/>
  <c r="G80" i="1"/>
  <c r="BS87" i="1"/>
  <c r="BS93" i="1" s="1"/>
  <c r="BS78" i="1"/>
  <c r="AN77" i="1"/>
  <c r="BV76" i="1"/>
  <c r="BV77" i="1" s="1"/>
  <c r="BV78" i="1" s="1"/>
  <c r="BR71" i="1"/>
  <c r="BR60" i="1"/>
  <c r="BN70" i="1"/>
  <c r="BN56" i="1"/>
  <c r="AJ77" i="1"/>
  <c r="BU76" i="1"/>
  <c r="BU77" i="1" s="1"/>
  <c r="BU78" i="1" s="1"/>
  <c r="BY87" i="1"/>
  <c r="BY93" i="1" s="1"/>
  <c r="BY78" i="1"/>
  <c r="BW80" i="1"/>
  <c r="BW74" i="1"/>
  <c r="BS80" i="1"/>
  <c r="BS74" i="1"/>
  <c r="BQ71" i="1"/>
  <c r="BQ60" i="1"/>
  <c r="BM70" i="1"/>
  <c r="BM56" i="1"/>
  <c r="W80" i="1"/>
  <c r="W74" i="1"/>
  <c r="O87" i="1"/>
  <c r="O93" i="1" s="1"/>
  <c r="O78" i="1"/>
  <c r="G87" i="1"/>
  <c r="G93" i="1" s="1"/>
  <c r="G78" i="1"/>
  <c r="BX80" i="1"/>
  <c r="BX74" i="1"/>
  <c r="BT80" i="1"/>
  <c r="BT74" i="1"/>
  <c r="BP70" i="1"/>
  <c r="BP56" i="1"/>
  <c r="S87" i="1"/>
  <c r="S93" i="1" s="1"/>
  <c r="S78" i="1"/>
  <c r="AP87" i="1"/>
  <c r="AP93" i="1" s="1"/>
  <c r="BX87" i="1"/>
  <c r="BX93" i="1" s="1"/>
  <c r="BX78" i="1"/>
  <c r="BV80" i="1"/>
  <c r="BV74" i="1"/>
  <c r="BT87" i="1"/>
  <c r="BT93" i="1" s="1"/>
  <c r="BT78" i="1"/>
  <c r="BR70" i="1"/>
  <c r="BR56" i="1"/>
  <c r="BN71" i="1"/>
  <c r="BN60" i="1"/>
  <c r="S80" i="1"/>
  <c r="S74" i="1"/>
  <c r="K87" i="1"/>
  <c r="K93" i="1" s="1"/>
  <c r="K78" i="1"/>
  <c r="BZ62" i="1"/>
  <c r="BI63" i="1"/>
  <c r="BH68" i="1"/>
  <c r="BH62" i="1"/>
  <c r="BO71" i="1"/>
  <c r="BO60" i="1"/>
  <c r="W87" i="1"/>
  <c r="W93" i="1" s="1"/>
  <c r="W78" i="1"/>
  <c r="BO87" i="1" l="1"/>
  <c r="BO93" i="1" s="1"/>
  <c r="BO78" i="1"/>
  <c r="BI68" i="1"/>
  <c r="BJ63" i="1"/>
  <c r="BI62" i="1"/>
  <c r="G89" i="1"/>
  <c r="G91" i="1" s="1"/>
  <c r="G81" i="1"/>
  <c r="O89" i="1"/>
  <c r="O91" i="1" s="1"/>
  <c r="O81" i="1"/>
  <c r="BP87" i="1"/>
  <c r="BP93" i="1" s="1"/>
  <c r="BP78" i="1"/>
  <c r="BM87" i="1"/>
  <c r="BM93" i="1" s="1"/>
  <c r="BM78" i="1"/>
  <c r="BQ80" i="1"/>
  <c r="BQ74" i="1"/>
  <c r="BO80" i="1"/>
  <c r="BO74" i="1"/>
  <c r="BU89" i="1"/>
  <c r="BU91" i="1" s="1"/>
  <c r="BU81" i="1"/>
  <c r="BY89" i="1"/>
  <c r="BY91" i="1" s="1"/>
  <c r="BY81" i="1"/>
  <c r="BK98" i="1"/>
  <c r="BU87" i="1"/>
  <c r="BU93" i="1" s="1"/>
  <c r="S89" i="1"/>
  <c r="S91" i="1" s="1"/>
  <c r="S81" i="1"/>
  <c r="BN87" i="1"/>
  <c r="BN93" i="1" s="1"/>
  <c r="BN78" i="1"/>
  <c r="BR80" i="1"/>
  <c r="BR74" i="1"/>
  <c r="BV89" i="1"/>
  <c r="BV91" i="1" s="1"/>
  <c r="BV81" i="1"/>
  <c r="BP80" i="1"/>
  <c r="BP74" i="1"/>
  <c r="BT89" i="1"/>
  <c r="BT91" i="1" s="1"/>
  <c r="BT81" i="1"/>
  <c r="BX89" i="1"/>
  <c r="BX91" i="1" s="1"/>
  <c r="BX81" i="1"/>
  <c r="W89" i="1"/>
  <c r="W91" i="1" s="1"/>
  <c r="W81" i="1"/>
  <c r="BM80" i="1"/>
  <c r="BM74" i="1"/>
  <c r="BQ87" i="1"/>
  <c r="BQ93" i="1" s="1"/>
  <c r="BQ78" i="1"/>
  <c r="BS89" i="1"/>
  <c r="BS91" i="1" s="1"/>
  <c r="BS81" i="1"/>
  <c r="BW89" i="1"/>
  <c r="BW91" i="1" s="1"/>
  <c r="BW81" i="1"/>
  <c r="AJ78" i="1"/>
  <c r="AJ87" i="1"/>
  <c r="AJ93" i="1" s="1"/>
  <c r="BN80" i="1"/>
  <c r="BN74" i="1"/>
  <c r="BR87" i="1"/>
  <c r="BR93" i="1" s="1"/>
  <c r="BR78" i="1"/>
  <c r="AN78" i="1"/>
  <c r="AN87" i="1"/>
  <c r="AN93" i="1" s="1"/>
  <c r="K89" i="1"/>
  <c r="K91" i="1" s="1"/>
  <c r="K81" i="1"/>
  <c r="AA89" i="1"/>
  <c r="AA91" i="1" s="1"/>
  <c r="AA81" i="1"/>
  <c r="BV87" i="1"/>
  <c r="BV93" i="1" s="1"/>
  <c r="BN89" i="1" l="1"/>
  <c r="BN91" i="1" s="1"/>
  <c r="BN81" i="1"/>
  <c r="BM89" i="1"/>
  <c r="BM91" i="1" s="1"/>
  <c r="BM81" i="1"/>
  <c r="BP89" i="1"/>
  <c r="BP91" i="1" s="1"/>
  <c r="BP81" i="1"/>
  <c r="BR89" i="1"/>
  <c r="BR91" i="1" s="1"/>
  <c r="BR81" i="1"/>
  <c r="CA98" i="1"/>
  <c r="BO89" i="1"/>
  <c r="BO91" i="1" s="1"/>
  <c r="BO81" i="1"/>
  <c r="BQ89" i="1"/>
  <c r="BQ91" i="1" s="1"/>
  <c r="BQ81" i="1"/>
  <c r="BK63" i="1"/>
  <c r="BJ62" i="1"/>
  <c r="BJ68" i="1"/>
  <c r="BK68" i="1" l="1"/>
  <c r="BK62" i="1"/>
  <c r="CA63" i="1"/>
  <c r="CB98" i="1"/>
  <c r="CA68" i="1" l="1"/>
  <c r="CA62" i="1"/>
  <c r="CB63" i="1"/>
  <c r="CB62" i="1" s="1"/>
  <c r="CB68" i="1" l="1"/>
  <c r="BB59" i="3" l="1"/>
  <c r="BB136" i="3"/>
  <c r="BB137" i="3"/>
  <c r="BB127" i="3"/>
  <c r="BB121" i="3"/>
  <c r="BB146" i="3"/>
  <c r="BB128" i="3"/>
  <c r="AG218" i="50" l="1"/>
  <c r="AG214" i="50"/>
  <c r="AG210" i="50"/>
  <c r="AG207" i="50"/>
  <c r="AG179" i="50"/>
  <c r="AG244" i="50"/>
  <c r="AG300" i="50"/>
  <c r="AG276" i="50"/>
  <c r="AG274" i="50"/>
  <c r="AG273" i="50"/>
  <c r="AG271" i="50"/>
  <c r="AG266" i="50"/>
  <c r="AG265" i="50"/>
  <c r="AG261" i="50"/>
  <c r="AG185" i="50" s="1"/>
  <c r="AG254" i="50"/>
  <c r="AG156" i="50" s="1"/>
  <c r="AG117" i="50"/>
  <c r="AG71" i="50"/>
  <c r="AG85" i="50"/>
  <c r="AG277" i="50" l="1"/>
  <c r="AG173" i="50"/>
  <c r="AG223" i="50"/>
  <c r="AG176" i="50"/>
  <c r="AG182" i="50" s="1"/>
  <c r="AG211" i="50"/>
  <c r="AG275" i="50"/>
  <c r="AG86" i="50"/>
  <c r="AG75" i="50"/>
  <c r="AG88" i="50" l="1"/>
  <c r="AG264" i="50" s="1"/>
  <c r="BB72" i="43" l="1"/>
  <c r="BB71" i="43"/>
  <c r="BB67" i="43"/>
  <c r="BB66" i="43"/>
  <c r="BB63" i="43"/>
  <c r="BB61" i="43"/>
  <c r="BB57" i="43"/>
  <c r="BB56" i="43"/>
  <c r="BB43" i="43"/>
  <c r="BB42" i="43"/>
  <c r="BB41" i="43"/>
  <c r="BB37" i="43"/>
  <c r="BB36" i="43"/>
  <c r="BB33" i="43"/>
  <c r="BB32" i="43"/>
  <c r="BB31" i="43"/>
  <c r="BB27" i="43"/>
  <c r="BB26" i="43"/>
  <c r="BB23" i="43"/>
  <c r="BB22" i="43"/>
  <c r="BB21" i="43"/>
  <c r="BB17" i="43"/>
  <c r="BB16" i="43"/>
  <c r="BB13" i="43"/>
  <c r="BB12" i="43"/>
  <c r="BB11" i="43"/>
  <c r="BB7" i="43"/>
  <c r="BB6" i="43"/>
  <c r="BB62" i="2"/>
  <c r="BB65" i="2" s="1"/>
  <c r="BB70" i="2" s="1"/>
  <c r="BB57" i="2"/>
  <c r="BB53" i="2" s="1"/>
  <c r="BB56" i="2"/>
  <c r="BB54" i="2" s="1"/>
  <c r="BB52" i="2"/>
  <c r="BB51" i="2" s="1"/>
  <c r="BB42" i="2"/>
  <c r="BB93" i="2"/>
  <c r="BB90" i="2"/>
  <c r="BB88" i="2"/>
  <c r="BB87" i="2"/>
  <c r="BB86" i="2"/>
  <c r="BB85" i="2"/>
  <c r="BB77" i="2"/>
  <c r="BB80" i="2" s="1"/>
  <c r="BB72" i="2"/>
  <c r="BB101" i="2"/>
  <c r="BB36" i="2"/>
  <c r="BB44" i="2" s="1"/>
  <c r="BB7" i="2"/>
  <c r="BB49" i="2" s="1"/>
  <c r="BB60" i="2" s="1"/>
  <c r="BB76" i="2" s="1"/>
  <c r="BB6" i="2"/>
  <c r="BB5" i="2"/>
  <c r="BB50" i="2" l="1"/>
  <c r="BB73" i="2"/>
  <c r="BB89" i="2"/>
  <c r="BB91" i="2" s="1"/>
  <c r="BB94" i="2" s="1"/>
  <c r="BB95" i="2" s="1"/>
  <c r="BB17" i="2"/>
  <c r="BB26" i="2" s="1"/>
  <c r="BB46" i="2" s="1"/>
  <c r="BB81" i="2"/>
  <c r="BB82" i="2" s="1"/>
  <c r="BB221" i="50"/>
  <c r="BB215" i="50"/>
  <c r="BB198" i="50"/>
  <c r="BB169" i="50"/>
  <c r="BB116" i="50"/>
  <c r="BB84" i="50"/>
  <c r="BB83" i="50"/>
  <c r="BB72" i="50"/>
  <c r="BB63" i="50"/>
  <c r="BB151" i="50"/>
  <c r="CA66" i="3"/>
  <c r="CA55" i="3"/>
  <c r="CA142" i="3" s="1"/>
  <c r="CA52" i="3"/>
  <c r="CB52" i="3" s="1"/>
  <c r="CB139" i="3" s="1"/>
  <c r="CA47" i="3"/>
  <c r="CA46" i="3"/>
  <c r="CA44" i="3"/>
  <c r="CA40" i="3"/>
  <c r="CA39" i="3"/>
  <c r="CA38" i="3"/>
  <c r="CA37" i="3"/>
  <c r="CA36" i="3"/>
  <c r="CA34" i="3"/>
  <c r="CA33" i="3"/>
  <c r="CA32" i="3"/>
  <c r="CA31" i="3"/>
  <c r="CA16" i="3"/>
  <c r="CA14" i="3"/>
  <c r="CA139" i="3"/>
  <c r="CA134" i="3"/>
  <c r="CA133" i="3"/>
  <c r="CA127" i="3"/>
  <c r="CA126" i="3"/>
  <c r="CA125" i="3"/>
  <c r="CA124" i="3"/>
  <c r="CA123" i="3"/>
  <c r="CA121" i="3"/>
  <c r="CA120" i="3"/>
  <c r="CA119" i="3"/>
  <c r="CA118" i="3"/>
  <c r="CA103" i="3"/>
  <c r="CA101" i="3"/>
  <c r="BI142" i="3"/>
  <c r="BJ142" i="3" s="1"/>
  <c r="BK142" i="3" s="1"/>
  <c r="BI139" i="3"/>
  <c r="BJ139" i="3" s="1"/>
  <c r="BK139" i="3" s="1"/>
  <c r="BH134" i="3"/>
  <c r="BI134" i="3" s="1"/>
  <c r="BJ134" i="3" s="1"/>
  <c r="BK134" i="3" s="1"/>
  <c r="BH133" i="3"/>
  <c r="BI133" i="3" s="1"/>
  <c r="BJ133" i="3" s="1"/>
  <c r="BK133" i="3" s="1"/>
  <c r="BH131" i="3"/>
  <c r="BI131" i="3" s="1"/>
  <c r="BJ131" i="3" s="1"/>
  <c r="BK131" i="3" s="1"/>
  <c r="BH127" i="3"/>
  <c r="BI127" i="3" s="1"/>
  <c r="BJ127" i="3" s="1"/>
  <c r="BK127" i="3" s="1"/>
  <c r="BH126" i="3"/>
  <c r="BI126" i="3" s="1"/>
  <c r="BJ126" i="3" s="1"/>
  <c r="BK126" i="3" s="1"/>
  <c r="BH125" i="3"/>
  <c r="BI125" i="3" s="1"/>
  <c r="BJ125" i="3" s="1"/>
  <c r="BK125" i="3" s="1"/>
  <c r="BH124" i="3"/>
  <c r="BI124" i="3" s="1"/>
  <c r="BJ124" i="3" s="1"/>
  <c r="BK124" i="3" s="1"/>
  <c r="BH123" i="3"/>
  <c r="BI123" i="3" s="1"/>
  <c r="BJ123" i="3" s="1"/>
  <c r="BK123" i="3" s="1"/>
  <c r="BH121" i="3"/>
  <c r="BI121" i="3" s="1"/>
  <c r="BJ121" i="3" s="1"/>
  <c r="BK121" i="3" s="1"/>
  <c r="BH120" i="3"/>
  <c r="BI120" i="3" s="1"/>
  <c r="BJ120" i="3" s="1"/>
  <c r="BK120" i="3" s="1"/>
  <c r="BH119" i="3"/>
  <c r="BI119" i="3" s="1"/>
  <c r="BJ119" i="3" s="1"/>
  <c r="BK119" i="3" s="1"/>
  <c r="BH118" i="3"/>
  <c r="BI118" i="3" s="1"/>
  <c r="BJ118" i="3" s="1"/>
  <c r="BK118" i="3" s="1"/>
  <c r="BH106" i="3"/>
  <c r="BH103" i="3"/>
  <c r="BI103" i="3" s="1"/>
  <c r="BJ103" i="3" s="1"/>
  <c r="BK103" i="3" s="1"/>
  <c r="BH101" i="3"/>
  <c r="BI101" i="3" s="1"/>
  <c r="BJ101" i="3" s="1"/>
  <c r="BK101" i="3" s="1"/>
  <c r="BK30" i="3"/>
  <c r="BJ30" i="3"/>
  <c r="BI30" i="3"/>
  <c r="BH30" i="3"/>
  <c r="BH117" i="3" s="1"/>
  <c r="BK15" i="3"/>
  <c r="BJ15" i="3"/>
  <c r="BI15" i="3"/>
  <c r="BH15" i="3"/>
  <c r="BH102" i="3" s="1"/>
  <c r="BK13" i="3"/>
  <c r="BK68" i="3" s="1"/>
  <c r="BJ13" i="3"/>
  <c r="BJ68" i="3" s="1"/>
  <c r="BI13" i="3"/>
  <c r="BI68" i="3" s="1"/>
  <c r="BH13" i="3"/>
  <c r="BH100" i="3" s="1"/>
  <c r="BK11" i="3"/>
  <c r="BK82" i="3" s="1"/>
  <c r="BK83" i="3" s="1"/>
  <c r="BJ11" i="3"/>
  <c r="BJ82" i="3" s="1"/>
  <c r="BJ83" i="3" s="1"/>
  <c r="BI11" i="3"/>
  <c r="BI82" i="3" s="1"/>
  <c r="BI83" i="3" s="1"/>
  <c r="BH11" i="3"/>
  <c r="BH98" i="3" s="1"/>
  <c r="BI63" i="2"/>
  <c r="BI18" i="3" s="1"/>
  <c r="BK51" i="2"/>
  <c r="BJ51" i="2"/>
  <c r="BI51" i="2"/>
  <c r="BH51" i="2"/>
  <c r="AP214" i="50"/>
  <c r="AO214" i="50"/>
  <c r="AN214" i="50"/>
  <c r="AM214" i="50"/>
  <c r="BB214" i="50" s="1"/>
  <c r="AP200" i="50"/>
  <c r="AP203" i="50" s="1"/>
  <c r="AP204" i="50" s="1"/>
  <c r="AO200" i="50"/>
  <c r="AO203" i="50" s="1"/>
  <c r="AO204" i="50" s="1"/>
  <c r="AN200" i="50"/>
  <c r="AN203" i="50" s="1"/>
  <c r="AN204" i="50" s="1"/>
  <c r="AM200" i="50"/>
  <c r="AM203" i="50" s="1"/>
  <c r="AM204" i="50" s="1"/>
  <c r="AP193" i="50"/>
  <c r="AO193" i="50"/>
  <c r="AN193" i="50"/>
  <c r="AM193" i="50"/>
  <c r="AP117" i="50"/>
  <c r="AO117" i="50"/>
  <c r="AN117" i="50"/>
  <c r="AM117" i="50"/>
  <c r="AP85" i="50"/>
  <c r="AO85" i="50"/>
  <c r="AN85" i="50"/>
  <c r="AM85" i="50"/>
  <c r="BB85" i="50" s="1"/>
  <c r="AP10" i="50"/>
  <c r="AO10" i="50"/>
  <c r="AN10" i="50"/>
  <c r="AM10" i="50"/>
  <c r="BB10" i="50" s="1"/>
  <c r="BK7" i="2"/>
  <c r="BK49" i="2" s="1"/>
  <c r="BK60" i="2" s="1"/>
  <c r="BK76" i="2" s="1"/>
  <c r="BJ7" i="2"/>
  <c r="BJ7" i="3" s="1"/>
  <c r="BJ94" i="3" s="1"/>
  <c r="BI7" i="2"/>
  <c r="BI49" i="2" s="1"/>
  <c r="BI60" i="2" s="1"/>
  <c r="BI76" i="2" s="1"/>
  <c r="BH7" i="2"/>
  <c r="BH7" i="3" s="1"/>
  <c r="BH94" i="3" s="1"/>
  <c r="BK6" i="2"/>
  <c r="BK6" i="3" s="1"/>
  <c r="BJ6" i="2"/>
  <c r="BJ6" i="3" s="1"/>
  <c r="BI6" i="2"/>
  <c r="BI6" i="3" s="1"/>
  <c r="BH6" i="2"/>
  <c r="BH6" i="3" s="1"/>
  <c r="BK5" i="2"/>
  <c r="BK5" i="3" s="1"/>
  <c r="BJ5" i="2"/>
  <c r="BJ5" i="3" s="1"/>
  <c r="BI5" i="2"/>
  <c r="BI5" i="3" s="1"/>
  <c r="BH5" i="2"/>
  <c r="BH5" i="3" s="1"/>
  <c r="BK154" i="3"/>
  <c r="BJ154" i="3"/>
  <c r="BI154" i="3"/>
  <c r="BH154" i="3"/>
  <c r="BB200" i="50" l="1"/>
  <c r="BB203" i="50"/>
  <c r="CA30" i="3"/>
  <c r="CA117" i="3" s="1"/>
  <c r="CA11" i="3"/>
  <c r="CA82" i="3" s="1"/>
  <c r="BH49" i="2"/>
  <c r="BH60" i="2" s="1"/>
  <c r="BH76" i="2" s="1"/>
  <c r="BJ49" i="2"/>
  <c r="BJ60" i="2" s="1"/>
  <c r="BJ76" i="2" s="1"/>
  <c r="BB99" i="2"/>
  <c r="BJ63" i="2"/>
  <c r="BJ64" i="3"/>
  <c r="BJ78" i="3" s="1"/>
  <c r="BJ86" i="3" s="1"/>
  <c r="BB9" i="3"/>
  <c r="BK114" i="2"/>
  <c r="BK7" i="3"/>
  <c r="BI114" i="2"/>
  <c r="BI7" i="3"/>
  <c r="BH64" i="3"/>
  <c r="BH78" i="3" s="1"/>
  <c r="BH86" i="3" s="1"/>
  <c r="BH114" i="2"/>
  <c r="BJ114" i="2"/>
  <c r="BI100" i="3"/>
  <c r="BJ100" i="3" s="1"/>
  <c r="BK100" i="3" s="1"/>
  <c r="BI102" i="3"/>
  <c r="BJ102" i="3" s="1"/>
  <c r="BK102" i="3" s="1"/>
  <c r="CA13" i="3"/>
  <c r="CA100" i="3" s="1"/>
  <c r="CA15" i="3"/>
  <c r="CA131" i="3"/>
  <c r="CA68" i="3"/>
  <c r="BI98" i="3"/>
  <c r="BJ98" i="3" s="1"/>
  <c r="BK98" i="3" s="1"/>
  <c r="BI117" i="3"/>
  <c r="BH68" i="3"/>
  <c r="BH82" i="3"/>
  <c r="BH83" i="3" s="1"/>
  <c r="CA65" i="3" l="1"/>
  <c r="CB65" i="3" s="1"/>
  <c r="CA98" i="3"/>
  <c r="CA102" i="3"/>
  <c r="CB15" i="3"/>
  <c r="CB102" i="3" s="1"/>
  <c r="CB30" i="3"/>
  <c r="BK63" i="2"/>
  <c r="CA63" i="2" s="1"/>
  <c r="CB63" i="2" s="1"/>
  <c r="CB18" i="3" s="1"/>
  <c r="CB105" i="3" s="1"/>
  <c r="BJ18" i="3"/>
  <c r="BK64" i="3"/>
  <c r="BK78" i="3" s="1"/>
  <c r="BK86" i="3" s="1"/>
  <c r="BK94" i="3"/>
  <c r="BI64" i="3"/>
  <c r="BI78" i="3" s="1"/>
  <c r="BI86" i="3" s="1"/>
  <c r="BI94" i="3"/>
  <c r="BJ117" i="3"/>
  <c r="CB117" i="3" l="1"/>
  <c r="CB128" i="3" s="1"/>
  <c r="CB41" i="3"/>
  <c r="BK18" i="3"/>
  <c r="BK117" i="3"/>
  <c r="BA74" i="3" l="1"/>
  <c r="BA72" i="3"/>
  <c r="BA59" i="3"/>
  <c r="BA136" i="3"/>
  <c r="BA121" i="3"/>
  <c r="BA128" i="3" s="1"/>
  <c r="BA146" i="3"/>
  <c r="BA137" i="3"/>
  <c r="BA75" i="3" l="1"/>
  <c r="BH48" i="3" l="1"/>
  <c r="BI48" i="3" l="1"/>
  <c r="BH135" i="3"/>
  <c r="BA9" i="3"/>
  <c r="BI135" i="3" l="1"/>
  <c r="BJ48" i="3"/>
  <c r="BK48" i="3" l="1"/>
  <c r="BJ135" i="3"/>
  <c r="BH77" i="2"/>
  <c r="CA48" i="3"/>
  <c r="CA135" i="3" l="1"/>
  <c r="BI77" i="2"/>
  <c r="BK135" i="3"/>
  <c r="BJ77" i="2" l="1"/>
  <c r="BK77" i="2" l="1"/>
  <c r="CA77" i="2" l="1"/>
  <c r="CB77" i="2" l="1"/>
  <c r="CB48" i="3"/>
  <c r="CB135" i="3" l="1"/>
  <c r="AF10" i="50"/>
  <c r="AF218" i="50"/>
  <c r="AF12" i="50" s="1"/>
  <c r="AF214" i="50"/>
  <c r="AF210" i="50"/>
  <c r="AF211" i="50" s="1"/>
  <c r="AF207" i="50"/>
  <c r="AG208" i="50" s="1"/>
  <c r="AF179" i="50"/>
  <c r="AG180" i="50" s="1"/>
  <c r="AF85" i="50"/>
  <c r="AF300" i="50"/>
  <c r="AF276" i="50"/>
  <c r="AF275" i="50"/>
  <c r="AF274" i="50"/>
  <c r="AF273" i="50"/>
  <c r="AF271" i="50"/>
  <c r="AF265" i="50" s="1"/>
  <c r="AF266" i="50"/>
  <c r="AF223" i="50" s="1"/>
  <c r="AF261" i="50"/>
  <c r="AF185" i="50" s="1"/>
  <c r="AF254" i="50"/>
  <c r="AF156" i="50" s="1"/>
  <c r="AF244" i="50"/>
  <c r="AF9" i="50" l="1"/>
  <c r="AF173" i="50"/>
  <c r="AG174" i="50" s="1"/>
  <c r="AF176" i="50"/>
  <c r="AG177" i="50" s="1"/>
  <c r="AF277" i="50"/>
  <c r="AF182" i="50" l="1"/>
  <c r="BA72" i="43"/>
  <c r="BA71" i="43"/>
  <c r="BA67" i="43"/>
  <c r="BA66" i="43"/>
  <c r="AZ63" i="43"/>
  <c r="AZ61" i="43"/>
  <c r="BA63" i="43"/>
  <c r="BA61" i="43"/>
  <c r="BA57" i="43"/>
  <c r="BA56" i="43"/>
  <c r="BA43" i="43"/>
  <c r="BA42" i="43"/>
  <c r="BA41" i="43"/>
  <c r="BA37" i="43"/>
  <c r="BA36" i="43"/>
  <c r="BA33" i="43"/>
  <c r="BA32" i="43"/>
  <c r="BA31" i="43"/>
  <c r="BA27" i="43"/>
  <c r="BA26" i="43"/>
  <c r="BA23" i="43"/>
  <c r="BA22" i="43"/>
  <c r="BA21" i="43"/>
  <c r="BA17" i="43"/>
  <c r="BA16" i="43"/>
  <c r="BA13" i="43"/>
  <c r="BA12" i="43"/>
  <c r="BA11" i="43"/>
  <c r="BA7" i="43"/>
  <c r="BA6" i="43"/>
  <c r="AG183" i="50" l="1"/>
  <c r="AF8" i="50"/>
  <c r="BA62" i="2"/>
  <c r="BA57" i="2"/>
  <c r="BA52" i="2" s="1"/>
  <c r="BA51" i="2" s="1"/>
  <c r="BA56" i="2"/>
  <c r="BA54" i="2" s="1"/>
  <c r="BA42" i="2"/>
  <c r="BA36" i="2"/>
  <c r="BA53" i="2" l="1"/>
  <c r="BA44" i="2"/>
  <c r="BA50" i="2"/>
  <c r="AZ59" i="3" l="1"/>
  <c r="AZ52" i="3"/>
  <c r="BA52" i="3" s="1"/>
  <c r="BB52" i="3" s="1"/>
  <c r="BC52" i="3" s="1"/>
  <c r="AZ48" i="3"/>
  <c r="BA48" i="3" s="1"/>
  <c r="BB48" i="3" s="1"/>
  <c r="BC48" i="3" s="1"/>
  <c r="AZ47" i="3"/>
  <c r="BA47" i="3" s="1"/>
  <c r="BB47" i="3" s="1"/>
  <c r="BC47" i="3" s="1"/>
  <c r="AZ46" i="3"/>
  <c r="BA46" i="3" s="1"/>
  <c r="BB46" i="3" s="1"/>
  <c r="BC46" i="3" s="1"/>
  <c r="AZ45" i="3"/>
  <c r="BA45" i="3" s="1"/>
  <c r="BB45" i="3" s="1"/>
  <c r="BC45" i="3" s="1"/>
  <c r="AZ44" i="3"/>
  <c r="AZ37" i="3"/>
  <c r="BA37" i="3" s="1"/>
  <c r="BB37" i="3" s="1"/>
  <c r="BC37" i="3" s="1"/>
  <c r="AZ36" i="3"/>
  <c r="BA36" i="3" s="1"/>
  <c r="BB36" i="3" s="1"/>
  <c r="BC36" i="3" s="1"/>
  <c r="AZ35" i="3"/>
  <c r="BA35" i="3" s="1"/>
  <c r="BB35" i="3" s="1"/>
  <c r="BC35" i="3" s="1"/>
  <c r="AZ33" i="3"/>
  <c r="BA33" i="3" s="1"/>
  <c r="BB33" i="3" s="1"/>
  <c r="BC33" i="3" s="1"/>
  <c r="AZ32" i="3"/>
  <c r="BA32" i="3" s="1"/>
  <c r="BB32" i="3" s="1"/>
  <c r="BC32" i="3" s="1"/>
  <c r="AZ30" i="3"/>
  <c r="BA30" i="3" s="1"/>
  <c r="BB30" i="3" s="1"/>
  <c r="AZ26" i="3"/>
  <c r="BA26" i="3" s="1"/>
  <c r="BB26" i="3" s="1"/>
  <c r="BC26" i="3" s="1"/>
  <c r="AZ25" i="3"/>
  <c r="BA25" i="3" s="1"/>
  <c r="BB25" i="3" s="1"/>
  <c r="BC25" i="3" s="1"/>
  <c r="AZ24" i="3"/>
  <c r="BA24" i="3" s="1"/>
  <c r="BB24" i="3" s="1"/>
  <c r="BC24" i="3" s="1"/>
  <c r="AZ23" i="3"/>
  <c r="BA23" i="3" s="1"/>
  <c r="BB23" i="3" s="1"/>
  <c r="BC23" i="3" s="1"/>
  <c r="AZ22" i="3"/>
  <c r="BA22" i="3" s="1"/>
  <c r="BB22" i="3" s="1"/>
  <c r="BC22" i="3" s="1"/>
  <c r="AZ21" i="3"/>
  <c r="BA21" i="3" s="1"/>
  <c r="BB21" i="3" s="1"/>
  <c r="BC21" i="3" s="1"/>
  <c r="AZ20" i="3"/>
  <c r="BA20" i="3" s="1"/>
  <c r="BB20" i="3" s="1"/>
  <c r="BC20" i="3" s="1"/>
  <c r="AZ18" i="3"/>
  <c r="BA18" i="3" s="1"/>
  <c r="BB18" i="3" s="1"/>
  <c r="BC18" i="3" s="1"/>
  <c r="AZ17" i="3"/>
  <c r="BA17" i="3" s="1"/>
  <c r="BB17" i="3" s="1"/>
  <c r="BC17" i="3" s="1"/>
  <c r="AZ16" i="3"/>
  <c r="BA16" i="3" s="1"/>
  <c r="BB16" i="3" s="1"/>
  <c r="BC16" i="3" s="1"/>
  <c r="AZ15" i="3"/>
  <c r="BA15" i="3" s="1"/>
  <c r="BB15" i="3" s="1"/>
  <c r="BC15" i="3" s="1"/>
  <c r="AZ13" i="3"/>
  <c r="BA13" i="3" s="1"/>
  <c r="BB13" i="3" s="1"/>
  <c r="BC13" i="3" s="1"/>
  <c r="AZ12" i="3"/>
  <c r="BA12" i="3" s="1"/>
  <c r="BB12" i="3" s="1"/>
  <c r="BC12" i="3" s="1"/>
  <c r="AZ11" i="3"/>
  <c r="BA11" i="3" s="1"/>
  <c r="BB11" i="3" s="1"/>
  <c r="BC11" i="3" s="1"/>
  <c r="AZ136" i="3"/>
  <c r="AZ49" i="3" s="1"/>
  <c r="BA49" i="3" s="1"/>
  <c r="BB49" i="3" s="1"/>
  <c r="BC49" i="3" s="1"/>
  <c r="AZ127" i="3"/>
  <c r="AZ40" i="3" s="1"/>
  <c r="BA40" i="3" s="1"/>
  <c r="BB40" i="3" s="1"/>
  <c r="BC40" i="3" s="1"/>
  <c r="AZ121" i="3"/>
  <c r="AZ34" i="3" s="1"/>
  <c r="BA34" i="3" s="1"/>
  <c r="BB34" i="3" s="1"/>
  <c r="BC34" i="3" s="1"/>
  <c r="BB65" i="3" l="1"/>
  <c r="BB67" i="3" s="1"/>
  <c r="BC30" i="3"/>
  <c r="BB82" i="3"/>
  <c r="BB79" i="3"/>
  <c r="BA79" i="3"/>
  <c r="BA82" i="3"/>
  <c r="BA65" i="3"/>
  <c r="BA67" i="3" s="1"/>
  <c r="AZ50" i="3"/>
  <c r="BA44" i="3"/>
  <c r="BA50" i="3" l="1"/>
  <c r="BB44" i="3"/>
  <c r="BB83" i="3"/>
  <c r="BA83" i="3"/>
  <c r="AZ57" i="43"/>
  <c r="AZ56" i="43"/>
  <c r="AF117" i="50"/>
  <c r="AE117" i="50"/>
  <c r="AE300" i="50"/>
  <c r="AE276" i="50"/>
  <c r="AE274" i="50"/>
  <c r="AE271" i="50"/>
  <c r="AE265" i="50" s="1"/>
  <c r="AE203" i="50" s="1"/>
  <c r="AE266" i="50"/>
  <c r="AE223" i="50" s="1"/>
  <c r="AE261" i="50"/>
  <c r="AE185" i="50" s="1"/>
  <c r="AE254" i="50"/>
  <c r="AE156" i="50" s="1"/>
  <c r="AE244" i="50"/>
  <c r="AE239" i="50"/>
  <c r="AE218" i="50"/>
  <c r="AE12" i="50" s="1"/>
  <c r="AE214" i="50"/>
  <c r="AE210" i="50"/>
  <c r="AE207" i="50"/>
  <c r="AE195" i="50"/>
  <c r="AE192" i="50"/>
  <c r="AE10" i="50" s="1"/>
  <c r="AE189" i="50"/>
  <c r="AE179" i="50"/>
  <c r="AE85" i="50"/>
  <c r="AE81" i="50"/>
  <c r="AE71" i="50"/>
  <c r="BB50" i="3" l="1"/>
  <c r="BC44" i="3"/>
  <c r="BC50" i="3" s="1"/>
  <c r="AE193" i="50"/>
  <c r="AF180" i="50"/>
  <c r="AF208" i="50"/>
  <c r="AE211" i="50"/>
  <c r="AE200" i="50"/>
  <c r="AE9" i="50"/>
  <c r="AE275" i="50"/>
  <c r="AE277" i="50"/>
  <c r="AE173" i="50"/>
  <c r="AF174" i="50" s="1"/>
  <c r="AE176" i="50"/>
  <c r="AE273" i="50"/>
  <c r="AZ78" i="43"/>
  <c r="AZ76" i="43"/>
  <c r="AZ58" i="43" s="1"/>
  <c r="AZ72" i="43"/>
  <c r="AZ71" i="43"/>
  <c r="AZ68" i="43"/>
  <c r="AZ67" i="43"/>
  <c r="AZ66" i="43"/>
  <c r="AZ53" i="43"/>
  <c r="AZ52" i="43"/>
  <c r="AZ51" i="43"/>
  <c r="AZ48" i="43"/>
  <c r="AZ47" i="43"/>
  <c r="AZ46" i="43"/>
  <c r="AZ43" i="43"/>
  <c r="AZ42" i="43"/>
  <c r="AZ41" i="43"/>
  <c r="AZ38" i="43"/>
  <c r="AZ37" i="43"/>
  <c r="AZ36" i="43"/>
  <c r="AZ33" i="43"/>
  <c r="AZ32" i="43"/>
  <c r="AZ31" i="43"/>
  <c r="AZ28" i="43"/>
  <c r="AZ27" i="43"/>
  <c r="AZ26" i="43"/>
  <c r="AZ23" i="43"/>
  <c r="AZ22" i="43"/>
  <c r="AZ21" i="43"/>
  <c r="AZ18" i="43"/>
  <c r="AZ17" i="43"/>
  <c r="AZ16" i="43"/>
  <c r="AZ13" i="43"/>
  <c r="AZ12" i="43"/>
  <c r="AZ11" i="43"/>
  <c r="AZ8" i="43"/>
  <c r="AZ7" i="43"/>
  <c r="AZ6" i="43"/>
  <c r="AZ65" i="3"/>
  <c r="AZ79" i="3"/>
  <c r="AZ62" i="2"/>
  <c r="AZ42" i="2"/>
  <c r="AZ35" i="2"/>
  <c r="BM9" i="2"/>
  <c r="BN9" i="2"/>
  <c r="BO9" i="2"/>
  <c r="BP9" i="2"/>
  <c r="BQ9" i="2"/>
  <c r="BR9" i="2"/>
  <c r="BS9" i="2"/>
  <c r="BT9" i="2"/>
  <c r="BU9" i="2"/>
  <c r="BV9" i="2"/>
  <c r="BW9" i="2"/>
  <c r="BX9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X15" i="2"/>
  <c r="BM16" i="2"/>
  <c r="BM17" i="2" s="1"/>
  <c r="BN16" i="2"/>
  <c r="BO16" i="2"/>
  <c r="BO17" i="2" s="1"/>
  <c r="BP16" i="2"/>
  <c r="BQ16" i="2"/>
  <c r="BQ17" i="2" s="1"/>
  <c r="BR16" i="2"/>
  <c r="BS16" i="2"/>
  <c r="BS17" i="2" s="1"/>
  <c r="BT16" i="2"/>
  <c r="BU16" i="2"/>
  <c r="BU17" i="2" s="1"/>
  <c r="BV16" i="2"/>
  <c r="BW16" i="2"/>
  <c r="BW17" i="2" s="1"/>
  <c r="BX16" i="2"/>
  <c r="AZ17" i="2"/>
  <c r="AZ26" i="2" s="1"/>
  <c r="AZ99" i="2" s="1"/>
  <c r="BP17" i="2"/>
  <c r="BT17" i="2"/>
  <c r="BX17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C88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M26" i="2"/>
  <c r="BQ26" i="2"/>
  <c r="BU26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M35" i="2"/>
  <c r="BN35" i="2"/>
  <c r="BO35" i="2"/>
  <c r="BP35" i="2"/>
  <c r="BQ35" i="2"/>
  <c r="BR35" i="2"/>
  <c r="BS35" i="2"/>
  <c r="BT35" i="2"/>
  <c r="BU35" i="2"/>
  <c r="BV35" i="2"/>
  <c r="BW35" i="2"/>
  <c r="AZ36" i="2"/>
  <c r="AZ44" i="2" s="1"/>
  <c r="BN36" i="2"/>
  <c r="BV36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M39" i="2"/>
  <c r="BN39" i="2"/>
  <c r="BS39" i="2"/>
  <c r="BT39" i="2"/>
  <c r="BU39" i="2"/>
  <c r="BV39" i="2"/>
  <c r="BW39" i="2"/>
  <c r="BX39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M42" i="2"/>
  <c r="BN42" i="2"/>
  <c r="BO42" i="2"/>
  <c r="BP42" i="2"/>
  <c r="BQ42" i="2"/>
  <c r="BR42" i="2"/>
  <c r="BS42" i="2"/>
  <c r="BT42" i="2"/>
  <c r="BU42" i="2"/>
  <c r="BN44" i="2"/>
  <c r="BE51" i="2"/>
  <c r="BF51" i="2"/>
  <c r="BG51" i="2"/>
  <c r="AZ56" i="2"/>
  <c r="AZ54" i="2" s="1"/>
  <c r="AZ57" i="2"/>
  <c r="AZ53" i="2" s="1"/>
  <c r="BA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M62" i="2"/>
  <c r="BN62" i="2"/>
  <c r="BO62" i="2"/>
  <c r="BP62" i="2"/>
  <c r="BQ62" i="2"/>
  <c r="BR62" i="2"/>
  <c r="BS62" i="2"/>
  <c r="BT62" i="2"/>
  <c r="BU62" i="2"/>
  <c r="BV62" i="2"/>
  <c r="BA63" i="2"/>
  <c r="BY63" i="2" s="1"/>
  <c r="BM63" i="2"/>
  <c r="BN63" i="2"/>
  <c r="BO63" i="2"/>
  <c r="BP63" i="2"/>
  <c r="BQ63" i="2"/>
  <c r="BR63" i="2"/>
  <c r="BS63" i="2"/>
  <c r="BT63" i="2"/>
  <c r="BU63" i="2"/>
  <c r="BV63" i="2"/>
  <c r="BW63" i="2"/>
  <c r="BX63" i="2"/>
  <c r="BA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AZ65" i="2"/>
  <c r="AZ70" i="2" s="1"/>
  <c r="BM65" i="2"/>
  <c r="BU65" i="2"/>
  <c r="BA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M68" i="2"/>
  <c r="BN68" i="2"/>
  <c r="BO68" i="2"/>
  <c r="BP68" i="2"/>
  <c r="BQ68" i="2"/>
  <c r="BR68" i="2"/>
  <c r="BS68" i="2"/>
  <c r="BT68" i="2"/>
  <c r="BU68" i="2"/>
  <c r="BW68" i="2"/>
  <c r="BX68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AZ72" i="2"/>
  <c r="AZ73" i="2" s="1"/>
  <c r="AZ77" i="2"/>
  <c r="AZ80" i="2" s="1"/>
  <c r="AZ81" i="2"/>
  <c r="BM81" i="2"/>
  <c r="BN81" i="2"/>
  <c r="BO81" i="2"/>
  <c r="BP81" i="2"/>
  <c r="BQ81" i="2"/>
  <c r="BR81" i="2"/>
  <c r="BS81" i="2"/>
  <c r="BT81" i="2"/>
  <c r="BU81" i="2"/>
  <c r="AZ85" i="2"/>
  <c r="AZ86" i="2"/>
  <c r="AZ87" i="2"/>
  <c r="AZ88" i="2"/>
  <c r="BA88" i="2"/>
  <c r="AZ90" i="2"/>
  <c r="BA90" i="2"/>
  <c r="BC90" i="2"/>
  <c r="AZ93" i="2"/>
  <c r="AZ101" i="2"/>
  <c r="BR36" i="2" l="1"/>
  <c r="BW26" i="2"/>
  <c r="BS26" i="2"/>
  <c r="BO26" i="2"/>
  <c r="BQ65" i="2"/>
  <c r="BV17" i="2"/>
  <c r="BR17" i="2"/>
  <c r="BR26" i="2" s="1"/>
  <c r="BN17" i="2"/>
  <c r="BZ63" i="2"/>
  <c r="BH18" i="3"/>
  <c r="BX26" i="2"/>
  <c r="BV26" i="2"/>
  <c r="BT26" i="2"/>
  <c r="AF177" i="50"/>
  <c r="BT36" i="2"/>
  <c r="BT44" i="2" s="1"/>
  <c r="BT46" i="2" s="1"/>
  <c r="BP26" i="2"/>
  <c r="BN26" i="2"/>
  <c r="BN46" i="2" s="1"/>
  <c r="BU70" i="2"/>
  <c r="BQ70" i="2"/>
  <c r="BM70" i="2"/>
  <c r="BS65" i="2"/>
  <c r="BS70" i="2" s="1"/>
  <c r="BO65" i="2"/>
  <c r="BO70" i="2" s="1"/>
  <c r="BP36" i="2"/>
  <c r="AZ82" i="2"/>
  <c r="BW36" i="2"/>
  <c r="BU36" i="2"/>
  <c r="BS36" i="2"/>
  <c r="BS44" i="2" s="1"/>
  <c r="BS46" i="2" s="1"/>
  <c r="BQ36" i="2"/>
  <c r="BO36" i="2"/>
  <c r="BM36" i="2"/>
  <c r="BV65" i="2"/>
  <c r="BT65" i="2"/>
  <c r="BT70" i="2" s="1"/>
  <c r="BR65" i="2"/>
  <c r="BR70" i="2" s="1"/>
  <c r="BP65" i="2"/>
  <c r="BP70" i="2" s="1"/>
  <c r="BN65" i="2"/>
  <c r="BN70" i="2" s="1"/>
  <c r="AZ50" i="2"/>
  <c r="AZ52" i="2"/>
  <c r="AZ51" i="2" s="1"/>
  <c r="AE204" i="50"/>
  <c r="AE182" i="50"/>
  <c r="AF183" i="50" s="1"/>
  <c r="BC93" i="2"/>
  <c r="BA93" i="2"/>
  <c r="AZ89" i="2"/>
  <c r="AZ91" i="2" s="1"/>
  <c r="AZ94" i="2" s="1"/>
  <c r="AZ95" i="2" s="1"/>
  <c r="AZ46" i="2"/>
  <c r="BE67" i="2"/>
  <c r="BF67" i="2" s="1"/>
  <c r="BG67" i="2" s="1"/>
  <c r="BY67" i="2"/>
  <c r="BE61" i="2"/>
  <c r="BY61" i="2"/>
  <c r="BU44" i="2"/>
  <c r="BU46" i="2" s="1"/>
  <c r="BM44" i="2"/>
  <c r="BM46" i="2" s="1"/>
  <c r="BE40" i="2"/>
  <c r="BF40" i="2" s="1"/>
  <c r="BG40" i="2" s="1"/>
  <c r="BY40" i="2"/>
  <c r="BE38" i="2"/>
  <c r="BF38" i="2" s="1"/>
  <c r="BG38" i="2" s="1"/>
  <c r="BY38" i="2"/>
  <c r="BE34" i="2"/>
  <c r="BF34" i="2" s="1"/>
  <c r="BG34" i="2" s="1"/>
  <c r="BY34" i="2"/>
  <c r="BE33" i="2"/>
  <c r="BF33" i="2" s="1"/>
  <c r="BG33" i="2" s="1"/>
  <c r="BY33" i="2"/>
  <c r="BE32" i="2"/>
  <c r="BF32" i="2" s="1"/>
  <c r="BG32" i="2" s="1"/>
  <c r="BY32" i="2"/>
  <c r="BE31" i="2"/>
  <c r="BF31" i="2" s="1"/>
  <c r="BG31" i="2" s="1"/>
  <c r="BY31" i="2"/>
  <c r="BE39" i="2"/>
  <c r="BF39" i="2" s="1"/>
  <c r="BG39" i="2" s="1"/>
  <c r="BY39" i="2"/>
  <c r="BE23" i="2"/>
  <c r="BF23" i="2" s="1"/>
  <c r="BG23" i="2" s="1"/>
  <c r="BY23" i="2"/>
  <c r="BY21" i="2"/>
  <c r="BE14" i="2"/>
  <c r="BF14" i="2" s="1"/>
  <c r="BG14" i="2" s="1"/>
  <c r="BY14" i="2"/>
  <c r="BY25" i="2"/>
  <c r="BE22" i="2"/>
  <c r="BF22" i="2" s="1"/>
  <c r="BG22" i="2" s="1"/>
  <c r="BY22" i="2"/>
  <c r="BY20" i="2"/>
  <c r="BY15" i="2"/>
  <c r="BE15" i="2"/>
  <c r="BF15" i="2" s="1"/>
  <c r="BG15" i="2" s="1"/>
  <c r="BZ25" i="2" l="1"/>
  <c r="CA25" i="2"/>
  <c r="CB25" i="2" s="1"/>
  <c r="BZ23" i="2"/>
  <c r="BH23" i="2"/>
  <c r="BI23" i="2" s="1"/>
  <c r="BJ23" i="2" s="1"/>
  <c r="BK23" i="2" s="1"/>
  <c r="CA23" i="2" s="1"/>
  <c r="CB23" i="2" s="1"/>
  <c r="BZ39" i="2"/>
  <c r="BH39" i="2"/>
  <c r="BZ22" i="2"/>
  <c r="BH22" i="2"/>
  <c r="BI22" i="2" s="1"/>
  <c r="BJ22" i="2" s="1"/>
  <c r="BK22" i="2" s="1"/>
  <c r="CA22" i="2" s="1"/>
  <c r="CB22" i="2" s="1"/>
  <c r="BZ14" i="2"/>
  <c r="BH14" i="2"/>
  <c r="BZ15" i="2"/>
  <c r="BH15" i="2"/>
  <c r="BI15" i="2" s="1"/>
  <c r="BJ15" i="2" s="1"/>
  <c r="BK15" i="2" s="1"/>
  <c r="CA15" i="2" s="1"/>
  <c r="CB15" i="2" s="1"/>
  <c r="BZ31" i="2"/>
  <c r="BH31" i="2"/>
  <c r="BZ32" i="2"/>
  <c r="BH32" i="2"/>
  <c r="BI32" i="2" s="1"/>
  <c r="BJ32" i="2" s="1"/>
  <c r="BK32" i="2" s="1"/>
  <c r="CA32" i="2" s="1"/>
  <c r="CB32" i="2" s="1"/>
  <c r="BZ33" i="2"/>
  <c r="BH33" i="2"/>
  <c r="BZ34" i="2"/>
  <c r="BH34" i="2"/>
  <c r="BI34" i="2" s="1"/>
  <c r="BJ34" i="2" s="1"/>
  <c r="BK34" i="2" s="1"/>
  <c r="CA34" i="2" s="1"/>
  <c r="CB34" i="2" s="1"/>
  <c r="BZ38" i="2"/>
  <c r="BH38" i="2"/>
  <c r="BZ40" i="2"/>
  <c r="BH40" i="2"/>
  <c r="BZ67" i="2"/>
  <c r="BH67" i="2"/>
  <c r="BI67" i="2" s="1"/>
  <c r="BJ67" i="2" s="1"/>
  <c r="BK67" i="2" s="1"/>
  <c r="CA67" i="2" s="1"/>
  <c r="CB67" i="2" s="1"/>
  <c r="BH105" i="3"/>
  <c r="BI105" i="3" s="1"/>
  <c r="BJ105" i="3" s="1"/>
  <c r="BK105" i="3" s="1"/>
  <c r="CA18" i="3"/>
  <c r="CA105" i="3" s="1"/>
  <c r="BY29" i="2"/>
  <c r="BE29" i="2"/>
  <c r="AE8" i="50"/>
  <c r="AE186" i="50"/>
  <c r="BE21" i="2"/>
  <c r="BD90" i="2"/>
  <c r="BE20" i="2"/>
  <c r="BD88" i="2"/>
  <c r="BF61" i="2"/>
  <c r="AZ79" i="43"/>
  <c r="BI14" i="2" l="1"/>
  <c r="BI39" i="2"/>
  <c r="BH17" i="3"/>
  <c r="BI40" i="2"/>
  <c r="BH49" i="3"/>
  <c r="BI38" i="2"/>
  <c r="BJ38" i="2" s="1"/>
  <c r="BK38" i="2" s="1"/>
  <c r="CA38" i="2" s="1"/>
  <c r="CB38" i="2" s="1"/>
  <c r="BI33" i="2"/>
  <c r="BI31" i="2"/>
  <c r="BH24" i="3"/>
  <c r="BH25" i="3"/>
  <c r="BD93" i="2"/>
  <c r="BG61" i="2"/>
  <c r="BH61" i="2" s="1"/>
  <c r="BF29" i="2"/>
  <c r="BE93" i="2"/>
  <c r="BY64" i="2"/>
  <c r="BF20" i="2"/>
  <c r="BE88" i="2"/>
  <c r="BF21" i="2"/>
  <c r="BE90" i="2"/>
  <c r="BI25" i="3" l="1"/>
  <c r="BI61" i="2"/>
  <c r="BH111" i="3"/>
  <c r="BH136" i="3"/>
  <c r="BH104" i="3"/>
  <c r="BH112" i="3"/>
  <c r="BJ31" i="2"/>
  <c r="BI24" i="3"/>
  <c r="BJ33" i="2"/>
  <c r="BJ40" i="2"/>
  <c r="BI49" i="3"/>
  <c r="BJ39" i="2"/>
  <c r="BI17" i="3"/>
  <c r="BJ14" i="2"/>
  <c r="BJ25" i="3" s="1"/>
  <c r="BG20" i="2"/>
  <c r="BF88" i="2"/>
  <c r="BG29" i="2"/>
  <c r="BH29" i="2" s="1"/>
  <c r="BF93" i="2"/>
  <c r="BZ61" i="2"/>
  <c r="BG21" i="2"/>
  <c r="BH21" i="2" s="1"/>
  <c r="BF90" i="2"/>
  <c r="BE64" i="2"/>
  <c r="BE54" i="2"/>
  <c r="AZ9" i="3"/>
  <c r="BI112" i="3" l="1"/>
  <c r="BI104" i="3"/>
  <c r="BI29" i="2"/>
  <c r="BH93" i="2"/>
  <c r="BH45" i="3"/>
  <c r="BI21" i="2"/>
  <c r="BH90" i="2"/>
  <c r="BH20" i="2"/>
  <c r="BH35" i="3" s="1"/>
  <c r="BK14" i="2"/>
  <c r="CA14" i="2" s="1"/>
  <c r="BK39" i="2"/>
  <c r="BJ17" i="3"/>
  <c r="BJ49" i="3"/>
  <c r="BK40" i="2"/>
  <c r="BK33" i="2"/>
  <c r="CA33" i="2" s="1"/>
  <c r="CB33" i="2" s="1"/>
  <c r="BK31" i="2"/>
  <c r="BJ24" i="3"/>
  <c r="BJ112" i="3"/>
  <c r="BI136" i="3"/>
  <c r="BJ136" i="3" s="1"/>
  <c r="BI111" i="3"/>
  <c r="BJ61" i="2"/>
  <c r="BF54" i="2"/>
  <c r="BZ21" i="2"/>
  <c r="BG90" i="2"/>
  <c r="BF64" i="2"/>
  <c r="BZ29" i="2"/>
  <c r="BG93" i="2"/>
  <c r="BZ20" i="2"/>
  <c r="BG88" i="2"/>
  <c r="CB14" i="2" l="1"/>
  <c r="BJ111" i="3"/>
  <c r="BJ104" i="3"/>
  <c r="BH122" i="3"/>
  <c r="BH41" i="3"/>
  <c r="BK49" i="3"/>
  <c r="CA49" i="3" s="1"/>
  <c r="CA136" i="3" s="1"/>
  <c r="CA40" i="2"/>
  <c r="CB40" i="2" s="1"/>
  <c r="CB49" i="3" s="1"/>
  <c r="BK25" i="3"/>
  <c r="CA25" i="3" s="1"/>
  <c r="CA112" i="3" s="1"/>
  <c r="BH132" i="3"/>
  <c r="BH50" i="3"/>
  <c r="BK61" i="2"/>
  <c r="CA61" i="2" s="1"/>
  <c r="CB61" i="2" s="1"/>
  <c r="BK136" i="3"/>
  <c r="CA31" i="2"/>
  <c r="CB31" i="2" s="1"/>
  <c r="CB24" i="3" s="1"/>
  <c r="CB111" i="3" s="1"/>
  <c r="BK24" i="3"/>
  <c r="CA24" i="3" s="1"/>
  <c r="CA111" i="3" s="1"/>
  <c r="CA39" i="2"/>
  <c r="CB39" i="2" s="1"/>
  <c r="CB25" i="3" s="1"/>
  <c r="CB112" i="3" s="1"/>
  <c r="BK17" i="3"/>
  <c r="CA17" i="3" s="1"/>
  <c r="CA104" i="3" s="1"/>
  <c r="BH88" i="2"/>
  <c r="BI20" i="2"/>
  <c r="BJ21" i="2"/>
  <c r="BI90" i="2"/>
  <c r="BI45" i="3"/>
  <c r="BI50" i="3" s="1"/>
  <c r="BI93" i="2"/>
  <c r="BJ29" i="2"/>
  <c r="BG64" i="2"/>
  <c r="BH64" i="2" s="1"/>
  <c r="BI64" i="2" s="1"/>
  <c r="BJ64" i="2" s="1"/>
  <c r="BK64" i="2" s="1"/>
  <c r="CA64" i="2" s="1"/>
  <c r="CB64" i="2" s="1"/>
  <c r="BG54" i="2"/>
  <c r="BH54" i="2" s="1"/>
  <c r="CB136" i="3" l="1"/>
  <c r="CB137" i="3" s="1"/>
  <c r="CB50" i="3"/>
  <c r="BJ45" i="3"/>
  <c r="BJ50" i="3" s="1"/>
  <c r="BJ93" i="2"/>
  <c r="BK29" i="2"/>
  <c r="BK21" i="2"/>
  <c r="BJ90" i="2"/>
  <c r="BK112" i="3"/>
  <c r="BI132" i="3"/>
  <c r="BH137" i="3"/>
  <c r="BK104" i="3"/>
  <c r="BI88" i="2"/>
  <c r="BJ20" i="2"/>
  <c r="BI35" i="3"/>
  <c r="BK111" i="3"/>
  <c r="BI122" i="3"/>
  <c r="BH128" i="3"/>
  <c r="BI54" i="2"/>
  <c r="BZ64" i="2"/>
  <c r="BI128" i="3" l="1"/>
  <c r="BI41" i="3"/>
  <c r="BJ132" i="3"/>
  <c r="BI137" i="3"/>
  <c r="BJ88" i="2"/>
  <c r="BK20" i="2"/>
  <c r="BJ35" i="3"/>
  <c r="BJ41" i="3" s="1"/>
  <c r="BK90" i="2"/>
  <c r="CA21" i="2"/>
  <c r="CB21" i="2" s="1"/>
  <c r="BK45" i="3"/>
  <c r="CA29" i="2"/>
  <c r="CB29" i="2" s="1"/>
  <c r="BK93" i="2"/>
  <c r="BJ54" i="2"/>
  <c r="BK50" i="3" l="1"/>
  <c r="CA45" i="3"/>
  <c r="BK88" i="2"/>
  <c r="CA20" i="2"/>
  <c r="CB20" i="2" s="1"/>
  <c r="BK35" i="3"/>
  <c r="BK41" i="3" s="1"/>
  <c r="BK132" i="3"/>
  <c r="BK137" i="3" s="1"/>
  <c r="BJ137" i="3"/>
  <c r="BJ122" i="3"/>
  <c r="BK54" i="2"/>
  <c r="BK122" i="3" l="1"/>
  <c r="BK128" i="3" s="1"/>
  <c r="BJ128" i="3"/>
  <c r="CA132" i="3"/>
  <c r="CA137" i="3" s="1"/>
  <c r="CA50" i="3"/>
  <c r="CA35" i="3"/>
  <c r="AR344" i="50"/>
  <c r="AR343" i="50"/>
  <c r="AR342" i="50"/>
  <c r="AR341" i="50"/>
  <c r="AR340" i="50"/>
  <c r="AR339" i="50"/>
  <c r="AR338" i="50"/>
  <c r="AR337" i="50"/>
  <c r="AR336" i="50"/>
  <c r="AR335" i="50"/>
  <c r="AR334" i="50"/>
  <c r="AR333" i="50"/>
  <c r="AR332" i="50"/>
  <c r="AR331" i="50"/>
  <c r="AR330" i="50"/>
  <c r="AR329" i="50"/>
  <c r="AR328" i="50"/>
  <c r="AR327" i="50"/>
  <c r="AR326" i="50"/>
  <c r="AR325" i="50"/>
  <c r="AR324" i="50"/>
  <c r="AR323" i="50"/>
  <c r="AR322" i="50"/>
  <c r="AR321" i="50"/>
  <c r="AR320" i="50"/>
  <c r="AR319" i="50"/>
  <c r="AR318" i="50"/>
  <c r="AR317" i="50"/>
  <c r="AR316" i="50"/>
  <c r="AR315" i="50"/>
  <c r="AR314" i="50"/>
  <c r="AR313" i="50"/>
  <c r="AR312" i="50"/>
  <c r="AR311" i="50"/>
  <c r="AC342" i="50"/>
  <c r="V342" i="50"/>
  <c r="U342" i="50"/>
  <c r="T342" i="50"/>
  <c r="S342" i="50"/>
  <c r="AR308" i="50"/>
  <c r="AR305" i="50"/>
  <c r="AD300" i="50"/>
  <c r="AC300" i="50"/>
  <c r="AB300" i="50"/>
  <c r="AA300" i="50"/>
  <c r="Z300" i="50"/>
  <c r="Y300" i="50"/>
  <c r="X300" i="50"/>
  <c r="W300" i="50"/>
  <c r="V300" i="50"/>
  <c r="U300" i="50"/>
  <c r="T300" i="50"/>
  <c r="S300" i="50"/>
  <c r="R300" i="50"/>
  <c r="Q300" i="50"/>
  <c r="P300" i="50"/>
  <c r="O300" i="50"/>
  <c r="N300" i="50"/>
  <c r="M300" i="50"/>
  <c r="L300" i="50"/>
  <c r="K300" i="50"/>
  <c r="J300" i="50"/>
  <c r="I300" i="50"/>
  <c r="H300" i="50"/>
  <c r="G300" i="50"/>
  <c r="F300" i="50"/>
  <c r="E300" i="50"/>
  <c r="D300" i="50"/>
  <c r="C300" i="50"/>
  <c r="Z294" i="50"/>
  <c r="Y294" i="50"/>
  <c r="X294" i="50"/>
  <c r="W294" i="50"/>
  <c r="AD276" i="50"/>
  <c r="AC276" i="50"/>
  <c r="AB276" i="50"/>
  <c r="AA276" i="50"/>
  <c r="Z276" i="50"/>
  <c r="Y276" i="50"/>
  <c r="X276" i="50"/>
  <c r="W276" i="50"/>
  <c r="V276" i="50"/>
  <c r="U276" i="50"/>
  <c r="T276" i="50"/>
  <c r="S276" i="50"/>
  <c r="R276" i="50"/>
  <c r="Q276" i="50"/>
  <c r="P276" i="50"/>
  <c r="O276" i="50"/>
  <c r="N276" i="50"/>
  <c r="M276" i="50"/>
  <c r="L276" i="50"/>
  <c r="K276" i="50"/>
  <c r="J276" i="50"/>
  <c r="I276" i="50"/>
  <c r="H276" i="50"/>
  <c r="G276" i="50"/>
  <c r="F273" i="50"/>
  <c r="E273" i="50"/>
  <c r="D273" i="50"/>
  <c r="C273" i="50"/>
  <c r="AD274" i="50"/>
  <c r="AC274" i="50"/>
  <c r="AB274" i="50"/>
  <c r="AA274" i="50"/>
  <c r="Z274" i="50"/>
  <c r="Y274" i="50"/>
  <c r="X274" i="50"/>
  <c r="W274" i="50"/>
  <c r="AD271" i="50"/>
  <c r="AC271" i="50"/>
  <c r="AB271" i="50"/>
  <c r="AA271" i="50"/>
  <c r="Z271" i="50"/>
  <c r="Y271" i="50"/>
  <c r="X271" i="50"/>
  <c r="W271" i="50"/>
  <c r="V271" i="50"/>
  <c r="U271" i="50"/>
  <c r="T271" i="50"/>
  <c r="S271" i="50"/>
  <c r="R271" i="50"/>
  <c r="Q271" i="50"/>
  <c r="P271" i="50"/>
  <c r="O271" i="50"/>
  <c r="N271" i="50"/>
  <c r="M271" i="50"/>
  <c r="L271" i="50"/>
  <c r="K271" i="50"/>
  <c r="J271" i="50"/>
  <c r="I271" i="50"/>
  <c r="H271" i="50"/>
  <c r="G271" i="50"/>
  <c r="F270" i="50"/>
  <c r="E270" i="50"/>
  <c r="D270" i="50"/>
  <c r="C270" i="50"/>
  <c r="V269" i="50"/>
  <c r="U269" i="50"/>
  <c r="T269" i="50"/>
  <c r="S269" i="50"/>
  <c r="V268" i="50"/>
  <c r="U268" i="50"/>
  <c r="T268" i="50"/>
  <c r="S268" i="50"/>
  <c r="F268" i="50"/>
  <c r="E268" i="50"/>
  <c r="D268" i="50"/>
  <c r="C268" i="50"/>
  <c r="AD266" i="50"/>
  <c r="AC266" i="50"/>
  <c r="AB266" i="50"/>
  <c r="AA266" i="50"/>
  <c r="AD265" i="50"/>
  <c r="AC265" i="50"/>
  <c r="AB265" i="50"/>
  <c r="AA265" i="50"/>
  <c r="R263" i="50"/>
  <c r="Q263" i="50"/>
  <c r="Q262" i="50" s="1"/>
  <c r="Q277" i="50" s="1"/>
  <c r="P263" i="50"/>
  <c r="P262" i="50" s="1"/>
  <c r="P277" i="50" s="1"/>
  <c r="O263" i="50"/>
  <c r="S262" i="50"/>
  <c r="S277" i="50" s="1"/>
  <c r="R262" i="50"/>
  <c r="R277" i="50" s="1"/>
  <c r="O262" i="50"/>
  <c r="O277" i="50" s="1"/>
  <c r="AD261" i="50"/>
  <c r="AC261" i="50"/>
  <c r="AB261" i="50"/>
  <c r="AA261" i="50"/>
  <c r="Z261" i="50"/>
  <c r="Y261" i="50"/>
  <c r="X261" i="50"/>
  <c r="W261" i="50"/>
  <c r="V261" i="50"/>
  <c r="V277" i="50" s="1"/>
  <c r="U261" i="50"/>
  <c r="U277" i="50" s="1"/>
  <c r="T261" i="50"/>
  <c r="T277" i="50" s="1"/>
  <c r="AD254" i="50"/>
  <c r="AC254" i="50"/>
  <c r="AB254" i="50"/>
  <c r="AA254" i="50"/>
  <c r="Z254" i="50"/>
  <c r="Y254" i="50"/>
  <c r="X254" i="50"/>
  <c r="W254" i="50"/>
  <c r="I254" i="50"/>
  <c r="H254" i="50"/>
  <c r="G254" i="50"/>
  <c r="F254" i="50"/>
  <c r="E254" i="50"/>
  <c r="D254" i="50"/>
  <c r="C254" i="50"/>
  <c r="R253" i="50"/>
  <c r="Q253" i="50"/>
  <c r="P253" i="50"/>
  <c r="O253" i="50"/>
  <c r="I247" i="50"/>
  <c r="H247" i="50"/>
  <c r="G247" i="50"/>
  <c r="F247" i="50"/>
  <c r="F250" i="50" s="1"/>
  <c r="E247" i="50"/>
  <c r="E250" i="50" s="1"/>
  <c r="E56" i="50" s="1"/>
  <c r="E60" i="50" s="1"/>
  <c r="D247" i="50"/>
  <c r="D250" i="50" s="1"/>
  <c r="C247" i="50"/>
  <c r="AD244" i="50"/>
  <c r="AD277" i="50" s="1"/>
  <c r="AC244" i="50"/>
  <c r="AC277" i="50" s="1"/>
  <c r="AB244" i="50"/>
  <c r="AB277" i="50" s="1"/>
  <c r="AA244" i="50"/>
  <c r="AA277" i="50" s="1"/>
  <c r="Z244" i="50"/>
  <c r="Z277" i="50" s="1"/>
  <c r="Y244" i="50"/>
  <c r="Y277" i="50" s="1"/>
  <c r="X244" i="50"/>
  <c r="X277" i="50" s="1"/>
  <c r="W244" i="50"/>
  <c r="W277" i="50" s="1"/>
  <c r="AB239" i="50"/>
  <c r="AA239" i="50"/>
  <c r="AA236" i="50"/>
  <c r="AA240" i="50" s="1"/>
  <c r="Z236" i="50"/>
  <c r="Z239" i="50" s="1"/>
  <c r="Z267" i="50" s="1"/>
  <c r="Y236" i="50"/>
  <c r="Y239" i="50" s="1"/>
  <c r="Y267" i="50" s="1"/>
  <c r="X236" i="50"/>
  <c r="X239" i="50" s="1"/>
  <c r="X267" i="50" s="1"/>
  <c r="W236" i="50"/>
  <c r="V236" i="50"/>
  <c r="V239" i="50" s="1"/>
  <c r="V267" i="50" s="1"/>
  <c r="U236" i="50"/>
  <c r="U239" i="50" s="1"/>
  <c r="U267" i="50" s="1"/>
  <c r="T236" i="50"/>
  <c r="S236" i="50"/>
  <c r="R236" i="50"/>
  <c r="R239" i="50" s="1"/>
  <c r="R267" i="50" s="1"/>
  <c r="Q236" i="50"/>
  <c r="Q239" i="50" s="1"/>
  <c r="Q267" i="50" s="1"/>
  <c r="P236" i="50"/>
  <c r="O236" i="50"/>
  <c r="O239" i="50" s="1"/>
  <c r="N236" i="50"/>
  <c r="N239" i="50" s="1"/>
  <c r="N267" i="50" s="1"/>
  <c r="M236" i="50"/>
  <c r="M239" i="50" s="1"/>
  <c r="M267" i="50" s="1"/>
  <c r="L236" i="50"/>
  <c r="K236" i="50"/>
  <c r="K239" i="50" s="1"/>
  <c r="J236" i="50"/>
  <c r="J239" i="50" s="1"/>
  <c r="J267" i="50" s="1"/>
  <c r="I236" i="50"/>
  <c r="I239" i="50" s="1"/>
  <c r="I267" i="50" s="1"/>
  <c r="H236" i="50"/>
  <c r="H239" i="50" s="1"/>
  <c r="H267" i="50" s="1"/>
  <c r="G236" i="50"/>
  <c r="G239" i="50" s="1"/>
  <c r="F236" i="50"/>
  <c r="F239" i="50" s="1"/>
  <c r="F267" i="50" s="1"/>
  <c r="E236" i="50"/>
  <c r="E239" i="50" s="1"/>
  <c r="E267" i="50" s="1"/>
  <c r="D236" i="50"/>
  <c r="D239" i="50" s="1"/>
  <c r="D267" i="50" s="1"/>
  <c r="C236" i="50"/>
  <c r="AS236" i="50" s="1"/>
  <c r="AA234" i="50"/>
  <c r="Z234" i="50"/>
  <c r="Y234" i="50"/>
  <c r="X234" i="50"/>
  <c r="W234" i="50"/>
  <c r="V234" i="50"/>
  <c r="U234" i="50"/>
  <c r="T234" i="50"/>
  <c r="S234" i="50"/>
  <c r="R234" i="50"/>
  <c r="Q234" i="50"/>
  <c r="P234" i="50"/>
  <c r="O234" i="50"/>
  <c r="N234" i="50"/>
  <c r="M234" i="50"/>
  <c r="L234" i="50"/>
  <c r="K234" i="50"/>
  <c r="J234" i="50"/>
  <c r="I234" i="50"/>
  <c r="H234" i="50"/>
  <c r="G234" i="50"/>
  <c r="F234" i="50"/>
  <c r="E234" i="50"/>
  <c r="D234" i="50"/>
  <c r="AS233" i="50"/>
  <c r="AC233" i="50"/>
  <c r="AD233" i="50" s="1"/>
  <c r="AE233" i="50" s="1"/>
  <c r="AB233" i="50"/>
  <c r="AA232" i="50"/>
  <c r="Z232" i="50"/>
  <c r="Y232" i="50"/>
  <c r="X232" i="50"/>
  <c r="W232" i="50"/>
  <c r="V232" i="50"/>
  <c r="U232" i="50"/>
  <c r="T232" i="50"/>
  <c r="S232" i="50"/>
  <c r="R232" i="50"/>
  <c r="Q232" i="50"/>
  <c r="P232" i="50"/>
  <c r="O232" i="50"/>
  <c r="N232" i="50"/>
  <c r="M232" i="50"/>
  <c r="L232" i="50"/>
  <c r="K232" i="50"/>
  <c r="J232" i="50"/>
  <c r="I232" i="50"/>
  <c r="H232" i="50"/>
  <c r="G232" i="50"/>
  <c r="F232" i="50"/>
  <c r="E232" i="50"/>
  <c r="D232" i="50"/>
  <c r="AS231" i="50"/>
  <c r="AB231" i="50"/>
  <c r="AC231" i="50" s="1"/>
  <c r="AD231" i="50" s="1"/>
  <c r="AE231" i="50" s="1"/>
  <c r="AA230" i="50"/>
  <c r="Z230" i="50"/>
  <c r="Y230" i="50"/>
  <c r="X230" i="50"/>
  <c r="W230" i="50"/>
  <c r="V230" i="50"/>
  <c r="U230" i="50"/>
  <c r="T230" i="50"/>
  <c r="S230" i="50"/>
  <c r="R230" i="50"/>
  <c r="Q230" i="50"/>
  <c r="P230" i="50"/>
  <c r="O230" i="50"/>
  <c r="N230" i="50"/>
  <c r="M230" i="50"/>
  <c r="L230" i="50"/>
  <c r="K230" i="50"/>
  <c r="J230" i="50"/>
  <c r="I230" i="50"/>
  <c r="H230" i="50"/>
  <c r="G230" i="50"/>
  <c r="F230" i="50"/>
  <c r="E230" i="50"/>
  <c r="D230" i="50"/>
  <c r="AS229" i="50"/>
  <c r="AB229" i="50"/>
  <c r="AC229" i="50" s="1"/>
  <c r="AD229" i="50" s="1"/>
  <c r="AE229" i="50" s="1"/>
  <c r="AF229" i="50" s="1"/>
  <c r="AA228" i="50"/>
  <c r="Z228" i="50"/>
  <c r="Y228" i="50"/>
  <c r="X228" i="50"/>
  <c r="W228" i="50"/>
  <c r="V228" i="50"/>
  <c r="U228" i="50"/>
  <c r="T228" i="50"/>
  <c r="S228" i="50"/>
  <c r="R228" i="50"/>
  <c r="Q228" i="50"/>
  <c r="P228" i="50"/>
  <c r="O228" i="50"/>
  <c r="N228" i="50"/>
  <c r="M228" i="50"/>
  <c r="L228" i="50"/>
  <c r="K228" i="50"/>
  <c r="J228" i="50"/>
  <c r="I228" i="50"/>
  <c r="H228" i="50"/>
  <c r="G228" i="50"/>
  <c r="F228" i="50"/>
  <c r="E228" i="50"/>
  <c r="D228" i="50"/>
  <c r="AX233" i="50"/>
  <c r="AW233" i="50"/>
  <c r="AW234" i="50" s="1"/>
  <c r="AV233" i="50"/>
  <c r="AU233" i="50"/>
  <c r="AU234" i="50" s="1"/>
  <c r="AT233" i="50"/>
  <c r="AT234" i="50" s="1"/>
  <c r="AY231" i="50"/>
  <c r="AX231" i="50"/>
  <c r="AX232" i="50" s="1"/>
  <c r="AW231" i="50"/>
  <c r="AW232" i="50" s="1"/>
  <c r="AV231" i="50"/>
  <c r="AU231" i="50"/>
  <c r="AU232" i="50" s="1"/>
  <c r="AT231" i="50"/>
  <c r="AT232" i="50" s="1"/>
  <c r="AX229" i="50"/>
  <c r="AW229" i="50"/>
  <c r="AX230" i="50" s="1"/>
  <c r="AV229" i="50"/>
  <c r="AU229" i="50"/>
  <c r="AT229" i="50"/>
  <c r="AX227" i="50"/>
  <c r="AX228" i="50" s="1"/>
  <c r="AW227" i="50"/>
  <c r="AV227" i="50"/>
  <c r="AU227" i="50"/>
  <c r="AT227" i="50"/>
  <c r="AT228" i="50" s="1"/>
  <c r="AS227" i="50"/>
  <c r="AL234" i="50"/>
  <c r="AB227" i="50"/>
  <c r="AC227" i="50" s="1"/>
  <c r="AD227" i="50" s="1"/>
  <c r="AE227" i="50" s="1"/>
  <c r="AB223" i="50"/>
  <c r="AA223" i="50"/>
  <c r="Z223" i="50"/>
  <c r="Y223" i="50"/>
  <c r="X223" i="50"/>
  <c r="W223" i="50"/>
  <c r="V223" i="50"/>
  <c r="U223" i="50"/>
  <c r="T223" i="50"/>
  <c r="S223" i="50"/>
  <c r="R223" i="50"/>
  <c r="Q223" i="50"/>
  <c r="P223" i="50"/>
  <c r="O223" i="50"/>
  <c r="N223" i="50"/>
  <c r="M223" i="50"/>
  <c r="L223" i="50"/>
  <c r="K223" i="50"/>
  <c r="J223" i="50"/>
  <c r="I223" i="50"/>
  <c r="H223" i="50"/>
  <c r="G223" i="50"/>
  <c r="AS223" i="50"/>
  <c r="AS222" i="50"/>
  <c r="BA221" i="50"/>
  <c r="AZ221" i="50"/>
  <c r="AY221" i="50"/>
  <c r="AX221" i="50"/>
  <c r="AW221" i="50"/>
  <c r="AV221" i="50"/>
  <c r="AU221" i="50"/>
  <c r="AT221" i="50"/>
  <c r="AS221" i="50"/>
  <c r="AW218" i="50"/>
  <c r="AV218" i="50"/>
  <c r="AU218" i="50"/>
  <c r="AT218" i="50"/>
  <c r="AS218" i="50"/>
  <c r="AU217" i="50"/>
  <c r="AT217" i="50"/>
  <c r="AS217" i="50"/>
  <c r="AB218" i="50"/>
  <c r="AA218" i="50"/>
  <c r="Z218" i="50"/>
  <c r="Y218" i="50"/>
  <c r="X218" i="50"/>
  <c r="W218" i="50"/>
  <c r="R217" i="50"/>
  <c r="Q217" i="50"/>
  <c r="P217" i="50"/>
  <c r="O217" i="50"/>
  <c r="BA215" i="50"/>
  <c r="AZ215" i="50"/>
  <c r="AY215" i="50"/>
  <c r="AX215" i="50"/>
  <c r="AW215" i="50"/>
  <c r="AV215" i="50"/>
  <c r="AU215" i="50"/>
  <c r="AT215" i="50"/>
  <c r="AS215" i="50"/>
  <c r="AW214" i="50"/>
  <c r="AV214" i="50"/>
  <c r="AU214" i="50"/>
  <c r="AT214" i="50"/>
  <c r="AS214" i="50"/>
  <c r="AV213" i="50"/>
  <c r="AU213" i="50"/>
  <c r="AT213" i="50"/>
  <c r="AS213" i="50"/>
  <c r="AL214" i="50"/>
  <c r="AK214" i="50"/>
  <c r="AJ214" i="50"/>
  <c r="AD214" i="50"/>
  <c r="AC214" i="50"/>
  <c r="AB214" i="50"/>
  <c r="AA214" i="50"/>
  <c r="AW210" i="50"/>
  <c r="AV210" i="50"/>
  <c r="AU210" i="50"/>
  <c r="AT210" i="50"/>
  <c r="AS210" i="50"/>
  <c r="AD210" i="50"/>
  <c r="AC210" i="50"/>
  <c r="AB210" i="50"/>
  <c r="AA210" i="50"/>
  <c r="Z210" i="50"/>
  <c r="Y210" i="50"/>
  <c r="X210" i="50"/>
  <c r="W210" i="50"/>
  <c r="V208" i="50"/>
  <c r="U208" i="50"/>
  <c r="T208" i="50"/>
  <c r="AW207" i="50"/>
  <c r="AS207" i="50"/>
  <c r="AD207" i="50"/>
  <c r="AC207" i="50"/>
  <c r="AG209" i="50" s="1"/>
  <c r="AB207" i="50"/>
  <c r="AF209" i="50" s="1"/>
  <c r="AA207" i="50"/>
  <c r="AE209" i="50" s="1"/>
  <c r="Z207" i="50"/>
  <c r="Z209" i="50" s="1"/>
  <c r="Y207" i="50"/>
  <c r="X207" i="50"/>
  <c r="X208" i="50" s="1"/>
  <c r="W207" i="50"/>
  <c r="R207" i="50"/>
  <c r="Q207" i="50"/>
  <c r="Q268" i="50" s="1"/>
  <c r="P207" i="50"/>
  <c r="O207" i="50"/>
  <c r="N207" i="50"/>
  <c r="M207" i="50"/>
  <c r="L207" i="50"/>
  <c r="K207" i="50"/>
  <c r="J207" i="50"/>
  <c r="I207" i="50"/>
  <c r="I222" i="50" s="1"/>
  <c r="H207" i="50"/>
  <c r="G207" i="50"/>
  <c r="AS203" i="50"/>
  <c r="AB203" i="50"/>
  <c r="AA203" i="50"/>
  <c r="Z203" i="50"/>
  <c r="Y203" i="50"/>
  <c r="X203" i="50"/>
  <c r="W203" i="50"/>
  <c r="V203" i="50"/>
  <c r="U203" i="50"/>
  <c r="T203" i="50"/>
  <c r="S203" i="50"/>
  <c r="R203" i="50"/>
  <c r="R189" i="50" s="1"/>
  <c r="Q203" i="50"/>
  <c r="Q189" i="50" s="1"/>
  <c r="Q269" i="50" s="1"/>
  <c r="P203" i="50"/>
  <c r="O203" i="50"/>
  <c r="O189" i="50" s="1"/>
  <c r="O269" i="50" s="1"/>
  <c r="N203" i="50"/>
  <c r="N189" i="50" s="1"/>
  <c r="M203" i="50"/>
  <c r="L203" i="50"/>
  <c r="K203" i="50"/>
  <c r="J203" i="50"/>
  <c r="J189" i="50" s="1"/>
  <c r="I203" i="50"/>
  <c r="I189" i="50" s="1"/>
  <c r="I269" i="50" s="1"/>
  <c r="H203" i="50"/>
  <c r="G203" i="50"/>
  <c r="G189" i="50" s="1"/>
  <c r="AS200" i="50"/>
  <c r="AL200" i="50"/>
  <c r="AL203" i="50" s="1"/>
  <c r="AL204" i="50" s="1"/>
  <c r="AK200" i="50"/>
  <c r="AJ200" i="50"/>
  <c r="AJ203" i="50" s="1"/>
  <c r="AJ204" i="50" s="1"/>
  <c r="AI200" i="50"/>
  <c r="AI203" i="50" s="1"/>
  <c r="AG200" i="50"/>
  <c r="AG203" i="50" s="1"/>
  <c r="AG204" i="50" s="1"/>
  <c r="AF200" i="50"/>
  <c r="AF203" i="50" s="1"/>
  <c r="AF204" i="50" s="1"/>
  <c r="V200" i="50"/>
  <c r="U200" i="50"/>
  <c r="T200" i="50"/>
  <c r="S200" i="50"/>
  <c r="BA198" i="50"/>
  <c r="AZ198" i="50"/>
  <c r="AY198" i="50"/>
  <c r="AW198" i="50"/>
  <c r="AV198" i="50"/>
  <c r="AU198" i="50"/>
  <c r="AT198" i="50"/>
  <c r="AS198" i="50"/>
  <c r="Z198" i="50"/>
  <c r="Z214" i="50" s="1"/>
  <c r="Y198" i="50"/>
  <c r="Y214" i="50" s="1"/>
  <c r="X198" i="50"/>
  <c r="X214" i="50" s="1"/>
  <c r="W198" i="50"/>
  <c r="N196" i="50"/>
  <c r="M196" i="50"/>
  <c r="L196" i="50"/>
  <c r="K196" i="50"/>
  <c r="J196" i="50"/>
  <c r="I196" i="50"/>
  <c r="H196" i="50"/>
  <c r="G196" i="50"/>
  <c r="F196" i="50"/>
  <c r="E196" i="50"/>
  <c r="D196" i="50"/>
  <c r="AU195" i="50"/>
  <c r="AU196" i="50" s="1"/>
  <c r="AT195" i="50"/>
  <c r="AS195" i="50"/>
  <c r="AT196" i="50" s="1"/>
  <c r="AD195" i="50"/>
  <c r="AC195" i="50"/>
  <c r="AC275" i="50" s="1"/>
  <c r="AB195" i="50"/>
  <c r="AA195" i="50"/>
  <c r="AA275" i="50" s="1"/>
  <c r="Z195" i="50"/>
  <c r="Y195" i="50"/>
  <c r="Y275" i="50" s="1"/>
  <c r="X195" i="50"/>
  <c r="W195" i="50"/>
  <c r="V195" i="50"/>
  <c r="U195" i="50"/>
  <c r="T195" i="50"/>
  <c r="S195" i="50"/>
  <c r="R195" i="50"/>
  <c r="Q195" i="50"/>
  <c r="Q275" i="50" s="1"/>
  <c r="P195" i="50"/>
  <c r="O195" i="50"/>
  <c r="O275" i="50" s="1"/>
  <c r="AL193" i="50"/>
  <c r="AK193" i="50"/>
  <c r="AJ193" i="50"/>
  <c r="AI193" i="50"/>
  <c r="AG193" i="50"/>
  <c r="AF193" i="50"/>
  <c r="AW192" i="50"/>
  <c r="AV192" i="50"/>
  <c r="AU192" i="50"/>
  <c r="AT192" i="50"/>
  <c r="AS192" i="50"/>
  <c r="AD192" i="50"/>
  <c r="AC192" i="50"/>
  <c r="AB192" i="50"/>
  <c r="AA192" i="50"/>
  <c r="Z192" i="50"/>
  <c r="Y192" i="50"/>
  <c r="X192" i="50"/>
  <c r="W192" i="50"/>
  <c r="V190" i="50"/>
  <c r="U190" i="50"/>
  <c r="T190" i="50"/>
  <c r="AW189" i="50"/>
  <c r="AS189" i="50"/>
  <c r="AZ192" i="50"/>
  <c r="AD189" i="50"/>
  <c r="AD200" i="50" s="1"/>
  <c r="AC189" i="50"/>
  <c r="AC273" i="50" s="1"/>
  <c r="AB189" i="50"/>
  <c r="AB273" i="50" s="1"/>
  <c r="AA189" i="50"/>
  <c r="Z189" i="50"/>
  <c r="Z193" i="50" s="1"/>
  <c r="Y189" i="50"/>
  <c r="Y193" i="50" s="1"/>
  <c r="X189" i="50"/>
  <c r="X273" i="50" s="1"/>
  <c r="W189" i="50"/>
  <c r="W273" i="50" s="1"/>
  <c r="P189" i="50"/>
  <c r="P269" i="50" s="1"/>
  <c r="M189" i="50"/>
  <c r="M269" i="50" s="1"/>
  <c r="L189" i="50"/>
  <c r="L269" i="50" s="1"/>
  <c r="K189" i="50"/>
  <c r="K269" i="50" s="1"/>
  <c r="H189" i="50"/>
  <c r="H269" i="50" s="1"/>
  <c r="AU185" i="50"/>
  <c r="AT185" i="50"/>
  <c r="AS185" i="50"/>
  <c r="AD185" i="50"/>
  <c r="AC185" i="50"/>
  <c r="AB185" i="50"/>
  <c r="AA185" i="50"/>
  <c r="Z185" i="50"/>
  <c r="Y185" i="50"/>
  <c r="X185" i="50"/>
  <c r="W185" i="50"/>
  <c r="V185" i="50"/>
  <c r="U185" i="50"/>
  <c r="T185" i="50"/>
  <c r="S185" i="50"/>
  <c r="R185" i="50"/>
  <c r="R176" i="50" s="1"/>
  <c r="Q185" i="50"/>
  <c r="Q176" i="50" s="1"/>
  <c r="Q166" i="50" s="1"/>
  <c r="P185" i="50"/>
  <c r="P173" i="50" s="1"/>
  <c r="O185" i="50"/>
  <c r="O173" i="50" s="1"/>
  <c r="O164" i="50" s="1"/>
  <c r="AU182" i="50"/>
  <c r="AT182" i="50"/>
  <c r="AS182" i="50"/>
  <c r="AV179" i="50"/>
  <c r="AU179" i="50"/>
  <c r="AT179" i="50"/>
  <c r="AS179" i="50"/>
  <c r="AD179" i="50"/>
  <c r="AE180" i="50" s="1"/>
  <c r="AC179" i="50"/>
  <c r="AB179" i="50"/>
  <c r="AB176" i="50" s="1"/>
  <c r="AA179" i="50"/>
  <c r="Z179" i="50"/>
  <c r="Y179" i="50"/>
  <c r="X179" i="50"/>
  <c r="X180" i="50" s="1"/>
  <c r="W179" i="50"/>
  <c r="V179" i="50"/>
  <c r="V173" i="50" s="1"/>
  <c r="T179" i="50"/>
  <c r="AU176" i="50"/>
  <c r="AT176" i="50"/>
  <c r="AS176" i="50"/>
  <c r="AU173" i="50"/>
  <c r="AT173" i="50"/>
  <c r="AS173" i="50"/>
  <c r="AC173" i="50"/>
  <c r="T173" i="50"/>
  <c r="R173" i="50"/>
  <c r="Q173" i="50"/>
  <c r="Q174" i="50" s="1"/>
  <c r="BA169" i="50"/>
  <c r="AZ169" i="50"/>
  <c r="AY169" i="50"/>
  <c r="AX169" i="50"/>
  <c r="AW169" i="50"/>
  <c r="R169" i="50"/>
  <c r="Q169" i="50"/>
  <c r="P169" i="50"/>
  <c r="O169" i="50"/>
  <c r="N169" i="50"/>
  <c r="M169" i="50"/>
  <c r="L169" i="50"/>
  <c r="K169" i="50"/>
  <c r="J169" i="50"/>
  <c r="I169" i="50"/>
  <c r="H169" i="50"/>
  <c r="G169" i="50"/>
  <c r="F169" i="50"/>
  <c r="F160" i="50" s="1"/>
  <c r="F170" i="50" s="1"/>
  <c r="E169" i="50"/>
  <c r="D169" i="50"/>
  <c r="D160" i="50" s="1"/>
  <c r="D170" i="50" s="1"/>
  <c r="C169" i="50"/>
  <c r="R166" i="50"/>
  <c r="AS162" i="50"/>
  <c r="E160" i="50"/>
  <c r="C160" i="50"/>
  <c r="C170" i="50" s="1"/>
  <c r="AD156" i="50"/>
  <c r="AC156" i="50"/>
  <c r="AB156" i="50"/>
  <c r="AA156" i="50"/>
  <c r="Z156" i="50"/>
  <c r="Y156" i="50"/>
  <c r="X156" i="50"/>
  <c r="W156" i="50"/>
  <c r="V156" i="50"/>
  <c r="U156" i="50"/>
  <c r="T156" i="50"/>
  <c r="S156" i="50"/>
  <c r="R156" i="50"/>
  <c r="Q156" i="50"/>
  <c r="P156" i="50"/>
  <c r="O156" i="50"/>
  <c r="AV156" i="50" s="1"/>
  <c r="N156" i="50"/>
  <c r="M156" i="50"/>
  <c r="L156" i="50"/>
  <c r="K156" i="50"/>
  <c r="J156" i="50"/>
  <c r="I156" i="50"/>
  <c r="H156" i="50"/>
  <c r="G156" i="50"/>
  <c r="F156" i="50"/>
  <c r="E156" i="50"/>
  <c r="D156" i="50"/>
  <c r="C156" i="50"/>
  <c r="BA151" i="50"/>
  <c r="AZ151" i="50"/>
  <c r="AY151" i="50"/>
  <c r="AX150" i="50"/>
  <c r="AX151" i="50" s="1"/>
  <c r="AW150" i="50"/>
  <c r="AW151" i="50" s="1"/>
  <c r="AV150" i="50"/>
  <c r="AV151" i="50" s="1"/>
  <c r="AU150" i="50"/>
  <c r="AU151" i="50" s="1"/>
  <c r="AX142" i="50"/>
  <c r="AW142" i="50"/>
  <c r="AV142" i="50"/>
  <c r="AX141" i="50"/>
  <c r="AW141" i="50"/>
  <c r="AV141" i="50"/>
  <c r="AX140" i="50"/>
  <c r="AW140" i="50"/>
  <c r="AV140" i="50"/>
  <c r="AX139" i="50"/>
  <c r="AW139" i="50"/>
  <c r="AV139" i="50"/>
  <c r="AL117" i="50"/>
  <c r="AK117" i="50"/>
  <c r="AJ117" i="50"/>
  <c r="BA116" i="50"/>
  <c r="BB117" i="50" s="1"/>
  <c r="AZ116" i="50"/>
  <c r="AZ117" i="50" s="1"/>
  <c r="AY116" i="50"/>
  <c r="AX116" i="50"/>
  <c r="AW116" i="50"/>
  <c r="AV116" i="50"/>
  <c r="AU116" i="50"/>
  <c r="AT116" i="50"/>
  <c r="AS116" i="50"/>
  <c r="AU113" i="50"/>
  <c r="AT113" i="50"/>
  <c r="AS113" i="50"/>
  <c r="R113" i="50"/>
  <c r="S113" i="50" s="1"/>
  <c r="T113" i="50" s="1"/>
  <c r="U113" i="50" s="1"/>
  <c r="V113" i="50" s="1"/>
  <c r="W113" i="50" s="1"/>
  <c r="Q113" i="50"/>
  <c r="P113" i="50"/>
  <c r="P114" i="50" s="1"/>
  <c r="O113" i="50"/>
  <c r="K108" i="50"/>
  <c r="J108" i="50"/>
  <c r="I108" i="50"/>
  <c r="H108" i="50"/>
  <c r="G108" i="50"/>
  <c r="AB107" i="50"/>
  <c r="AA107" i="50"/>
  <c r="Z107" i="50"/>
  <c r="Y107" i="50"/>
  <c r="X107" i="50"/>
  <c r="W107" i="50"/>
  <c r="V107" i="50"/>
  <c r="U107" i="50"/>
  <c r="T107" i="50"/>
  <c r="S107" i="50"/>
  <c r="R107" i="50"/>
  <c r="Q107" i="50"/>
  <c r="P107" i="50"/>
  <c r="O107" i="50"/>
  <c r="N107" i="50"/>
  <c r="M107" i="50"/>
  <c r="L107" i="50"/>
  <c r="L106" i="50" s="1"/>
  <c r="K107" i="50"/>
  <c r="J107" i="50"/>
  <c r="I107" i="50"/>
  <c r="H107" i="50"/>
  <c r="G107" i="50"/>
  <c r="F107" i="50"/>
  <c r="E107" i="50"/>
  <c r="D107" i="50"/>
  <c r="AT106" i="50"/>
  <c r="AT108" i="50" s="1"/>
  <c r="AS106" i="50"/>
  <c r="K104" i="50"/>
  <c r="J104" i="50"/>
  <c r="I104" i="50"/>
  <c r="H104" i="50"/>
  <c r="G104" i="50"/>
  <c r="AB103" i="50"/>
  <c r="AA103" i="50"/>
  <c r="Z103" i="50"/>
  <c r="Y103" i="50"/>
  <c r="X103" i="50"/>
  <c r="W103" i="50"/>
  <c r="V103" i="50"/>
  <c r="U103" i="50"/>
  <c r="T103" i="50"/>
  <c r="S103" i="50"/>
  <c r="R103" i="50"/>
  <c r="Q103" i="50"/>
  <c r="P103" i="50"/>
  <c r="O103" i="50"/>
  <c r="N103" i="50"/>
  <c r="M103" i="50"/>
  <c r="L103" i="50"/>
  <c r="K103" i="50"/>
  <c r="J103" i="50"/>
  <c r="I103" i="50"/>
  <c r="H103" i="50"/>
  <c r="G103" i="50"/>
  <c r="F103" i="50"/>
  <c r="E103" i="50"/>
  <c r="D103" i="50"/>
  <c r="AT102" i="50"/>
  <c r="AS102" i="50"/>
  <c r="AT104" i="50" s="1"/>
  <c r="L102" i="50"/>
  <c r="L104" i="50" s="1"/>
  <c r="K98" i="50"/>
  <c r="J98" i="50"/>
  <c r="J119" i="50" s="1"/>
  <c r="I98" i="50"/>
  <c r="H98" i="50"/>
  <c r="G98" i="50"/>
  <c r="F98" i="50"/>
  <c r="F110" i="50" s="1"/>
  <c r="E98" i="50"/>
  <c r="D98" i="50"/>
  <c r="D110" i="50" s="1"/>
  <c r="C98" i="50"/>
  <c r="C110" i="50" s="1"/>
  <c r="AW93" i="50"/>
  <c r="AV93" i="50"/>
  <c r="AU93" i="50"/>
  <c r="AT93" i="50"/>
  <c r="AS93" i="50"/>
  <c r="AW92" i="50"/>
  <c r="AV92" i="50"/>
  <c r="AU92" i="50"/>
  <c r="AT92" i="50"/>
  <c r="AS92" i="50"/>
  <c r="AW91" i="50"/>
  <c r="AV91" i="50"/>
  <c r="AU91" i="50"/>
  <c r="AT91" i="50"/>
  <c r="AS91" i="50"/>
  <c r="AB93" i="50"/>
  <c r="AA93" i="50"/>
  <c r="Z93" i="50"/>
  <c r="Y93" i="50"/>
  <c r="X93" i="50"/>
  <c r="W93" i="50"/>
  <c r="V89" i="50"/>
  <c r="U89" i="50"/>
  <c r="T89" i="50"/>
  <c r="S89" i="50"/>
  <c r="R89" i="50"/>
  <c r="R163" i="50" s="1"/>
  <c r="Q89" i="50"/>
  <c r="Q163" i="50" s="1"/>
  <c r="P89" i="50"/>
  <c r="P163" i="50" s="1"/>
  <c r="O89" i="50"/>
  <c r="O163" i="50" s="1"/>
  <c r="AU88" i="50"/>
  <c r="AT88" i="50"/>
  <c r="AS88" i="50"/>
  <c r="AV86" i="50"/>
  <c r="AU86" i="50"/>
  <c r="AT86" i="50"/>
  <c r="AS86" i="50"/>
  <c r="AL85" i="50"/>
  <c r="AK85" i="50"/>
  <c r="AJ85" i="50"/>
  <c r="AZ85" i="50"/>
  <c r="AD85" i="50"/>
  <c r="AC85" i="50"/>
  <c r="AB85" i="50"/>
  <c r="AA85" i="50"/>
  <c r="Z85" i="50"/>
  <c r="Y85" i="50"/>
  <c r="X85" i="50"/>
  <c r="W85" i="50"/>
  <c r="V85" i="50"/>
  <c r="U85" i="50"/>
  <c r="T85" i="50"/>
  <c r="S85" i="50"/>
  <c r="R85" i="50"/>
  <c r="R75" i="50" s="1"/>
  <c r="Q85" i="50"/>
  <c r="Q75" i="50" s="1"/>
  <c r="P85" i="50"/>
  <c r="O85" i="50"/>
  <c r="BA84" i="50"/>
  <c r="AZ84" i="50"/>
  <c r="AY84" i="50"/>
  <c r="AX84" i="50"/>
  <c r="AW84" i="50"/>
  <c r="BA83" i="50"/>
  <c r="AZ83" i="50"/>
  <c r="AY83" i="50"/>
  <c r="AX83" i="50"/>
  <c r="AW83" i="50"/>
  <c r="AV83" i="50"/>
  <c r="AC81" i="50"/>
  <c r="AB81" i="50"/>
  <c r="AA81" i="50"/>
  <c r="Z81" i="50"/>
  <c r="Y81" i="50"/>
  <c r="X81" i="50"/>
  <c r="W81" i="50"/>
  <c r="R80" i="50"/>
  <c r="Q80" i="50"/>
  <c r="AV79" i="50"/>
  <c r="AU79" i="50"/>
  <c r="AT79" i="50"/>
  <c r="AS79" i="50"/>
  <c r="V79" i="50"/>
  <c r="Z79" i="50" s="1"/>
  <c r="U79" i="50"/>
  <c r="U81" i="50" s="1"/>
  <c r="T79" i="50"/>
  <c r="X79" i="50" s="1"/>
  <c r="S79" i="50"/>
  <c r="S80" i="50" s="1"/>
  <c r="AU75" i="50"/>
  <c r="AT75" i="50"/>
  <c r="AS75" i="50"/>
  <c r="U75" i="50"/>
  <c r="S75" i="50"/>
  <c r="P75" i="50"/>
  <c r="O75" i="50"/>
  <c r="AY73" i="50"/>
  <c r="AX73" i="50"/>
  <c r="AW73" i="50"/>
  <c r="AV73" i="50"/>
  <c r="AU73" i="50"/>
  <c r="AT73" i="50"/>
  <c r="AS73" i="50"/>
  <c r="BA72" i="50"/>
  <c r="AZ72" i="50"/>
  <c r="AY72" i="50"/>
  <c r="AX72" i="50"/>
  <c r="AW72" i="50"/>
  <c r="AV72" i="50"/>
  <c r="AU72" i="50"/>
  <c r="AT72" i="50"/>
  <c r="AS72" i="50"/>
  <c r="AU71" i="50"/>
  <c r="AT71" i="50"/>
  <c r="AS71" i="50"/>
  <c r="AD71" i="50"/>
  <c r="AD88" i="50" s="1"/>
  <c r="AC71" i="50"/>
  <c r="AB71" i="50"/>
  <c r="AA71" i="50"/>
  <c r="Z71" i="50"/>
  <c r="Y71" i="50"/>
  <c r="X71" i="50"/>
  <c r="W71" i="50"/>
  <c r="V71" i="50"/>
  <c r="U71" i="50"/>
  <c r="T71" i="50"/>
  <c r="S71" i="50"/>
  <c r="S88" i="50" s="1"/>
  <c r="R71" i="50"/>
  <c r="Q71" i="50"/>
  <c r="P71" i="50"/>
  <c r="O71" i="50"/>
  <c r="O88" i="50" s="1"/>
  <c r="V67" i="50"/>
  <c r="U67" i="50"/>
  <c r="T67" i="50"/>
  <c r="S67" i="50"/>
  <c r="R67" i="50"/>
  <c r="Q67" i="50"/>
  <c r="P67" i="50"/>
  <c r="O67" i="50"/>
  <c r="N67" i="50"/>
  <c r="M67" i="50"/>
  <c r="L67" i="50"/>
  <c r="K67" i="50"/>
  <c r="J67" i="50"/>
  <c r="I67" i="50"/>
  <c r="H67" i="50"/>
  <c r="G67" i="50"/>
  <c r="F67" i="50"/>
  <c r="E67" i="50"/>
  <c r="D67" i="50"/>
  <c r="C67" i="50"/>
  <c r="J64" i="50"/>
  <c r="I64" i="50"/>
  <c r="H64" i="50"/>
  <c r="G64" i="50"/>
  <c r="F64" i="50"/>
  <c r="E64" i="50"/>
  <c r="D64" i="50"/>
  <c r="C64" i="50"/>
  <c r="BA63" i="50"/>
  <c r="AZ63" i="50"/>
  <c r="AY63" i="50"/>
  <c r="AX63" i="50"/>
  <c r="AW63" i="50"/>
  <c r="AV63" i="50"/>
  <c r="AU63" i="50"/>
  <c r="AT63" i="50"/>
  <c r="AS63" i="50"/>
  <c r="R59" i="50"/>
  <c r="Q59" i="50"/>
  <c r="P59" i="50"/>
  <c r="O59" i="50"/>
  <c r="N59" i="50"/>
  <c r="M59" i="50"/>
  <c r="L59" i="50"/>
  <c r="K59" i="50"/>
  <c r="J59" i="50"/>
  <c r="I59" i="50"/>
  <c r="H59" i="50"/>
  <c r="G59" i="50"/>
  <c r="F59" i="50"/>
  <c r="E59" i="50"/>
  <c r="D59" i="50"/>
  <c r="AS58" i="50"/>
  <c r="AV58" i="50"/>
  <c r="AU58" i="50"/>
  <c r="AT58" i="50"/>
  <c r="S58" i="50"/>
  <c r="T58" i="50" s="1"/>
  <c r="F56" i="50"/>
  <c r="D56" i="50"/>
  <c r="L47" i="50"/>
  <c r="K47" i="50"/>
  <c r="J47" i="50"/>
  <c r="I47" i="50"/>
  <c r="H47" i="50"/>
  <c r="G47" i="50"/>
  <c r="F47" i="50"/>
  <c r="E47" i="50"/>
  <c r="D47" i="50"/>
  <c r="C47" i="50"/>
  <c r="AB41" i="50"/>
  <c r="AA41" i="50"/>
  <c r="Z41" i="50"/>
  <c r="Y41" i="50"/>
  <c r="X41" i="50"/>
  <c r="W41" i="50"/>
  <c r="V41" i="50"/>
  <c r="U41" i="50"/>
  <c r="T41" i="50"/>
  <c r="S41" i="50"/>
  <c r="R41" i="50"/>
  <c r="Q41" i="50"/>
  <c r="P41" i="50"/>
  <c r="P39" i="50" s="1"/>
  <c r="T39" i="50" s="1"/>
  <c r="O41" i="50"/>
  <c r="O39" i="50" s="1"/>
  <c r="N41" i="50"/>
  <c r="M41" i="50"/>
  <c r="M39" i="50" s="1"/>
  <c r="M31" i="50" s="1"/>
  <c r="L41" i="50"/>
  <c r="K41" i="50"/>
  <c r="J41" i="50"/>
  <c r="I41" i="50"/>
  <c r="H41" i="50"/>
  <c r="G41" i="50"/>
  <c r="L40" i="50"/>
  <c r="K40" i="50"/>
  <c r="J40" i="50"/>
  <c r="I40" i="50"/>
  <c r="H40" i="50"/>
  <c r="G40" i="50"/>
  <c r="F40" i="50"/>
  <c r="E40" i="50"/>
  <c r="D40" i="50"/>
  <c r="AT39" i="50"/>
  <c r="AS39" i="50"/>
  <c r="N39" i="50"/>
  <c r="AB37" i="50"/>
  <c r="AA37" i="50"/>
  <c r="Z37" i="50"/>
  <c r="Y37" i="50"/>
  <c r="X37" i="50"/>
  <c r="W37" i="50"/>
  <c r="V37" i="50"/>
  <c r="U37" i="50"/>
  <c r="T37" i="50"/>
  <c r="S37" i="50"/>
  <c r="R37" i="50"/>
  <c r="Q37" i="50"/>
  <c r="P37" i="50"/>
  <c r="P35" i="50" s="1"/>
  <c r="O37" i="50"/>
  <c r="N37" i="50"/>
  <c r="M37" i="50"/>
  <c r="L37" i="50"/>
  <c r="K37" i="50"/>
  <c r="J37" i="50"/>
  <c r="I37" i="50"/>
  <c r="H37" i="50"/>
  <c r="G37" i="50"/>
  <c r="M36" i="50"/>
  <c r="L36" i="50"/>
  <c r="K36" i="50"/>
  <c r="J36" i="50"/>
  <c r="I36" i="50"/>
  <c r="H36" i="50"/>
  <c r="G36" i="50"/>
  <c r="F36" i="50"/>
  <c r="E36" i="50"/>
  <c r="D36" i="50"/>
  <c r="AT35" i="50"/>
  <c r="AS35" i="50"/>
  <c r="Q35" i="50"/>
  <c r="U35" i="50" s="1"/>
  <c r="O35" i="50"/>
  <c r="O36" i="50" s="1"/>
  <c r="N35" i="50"/>
  <c r="N36" i="50" s="1"/>
  <c r="L31" i="50"/>
  <c r="K31" i="50"/>
  <c r="J31" i="50"/>
  <c r="I31" i="50"/>
  <c r="H31" i="50"/>
  <c r="G31" i="50"/>
  <c r="F31" i="50"/>
  <c r="E31" i="50"/>
  <c r="D31" i="50"/>
  <c r="C31" i="50"/>
  <c r="AC29" i="50"/>
  <c r="AB29" i="50"/>
  <c r="AA29" i="50"/>
  <c r="Z29" i="50"/>
  <c r="Y29" i="50"/>
  <c r="X29" i="50"/>
  <c r="W29" i="50"/>
  <c r="V29" i="50"/>
  <c r="U29" i="50"/>
  <c r="T29" i="50"/>
  <c r="S29" i="50"/>
  <c r="R29" i="50"/>
  <c r="Q29" i="50"/>
  <c r="Q27" i="50" s="1"/>
  <c r="P29" i="50"/>
  <c r="O29" i="50"/>
  <c r="N29" i="50"/>
  <c r="M29" i="50"/>
  <c r="L29" i="50"/>
  <c r="K29" i="50"/>
  <c r="J29" i="50"/>
  <c r="I29" i="50"/>
  <c r="H29" i="50"/>
  <c r="G29" i="50"/>
  <c r="M28" i="50"/>
  <c r="L28" i="50"/>
  <c r="K28" i="50"/>
  <c r="J28" i="50"/>
  <c r="I28" i="50"/>
  <c r="H28" i="50"/>
  <c r="G28" i="50"/>
  <c r="F28" i="50"/>
  <c r="E28" i="50"/>
  <c r="D28" i="50"/>
  <c r="AT27" i="50"/>
  <c r="AS27" i="50"/>
  <c r="P27" i="50"/>
  <c r="O27" i="50"/>
  <c r="N27" i="50"/>
  <c r="AU27" i="50" s="1"/>
  <c r="AU29" i="50" s="1"/>
  <c r="AB25" i="50"/>
  <c r="AA25" i="50"/>
  <c r="Z25" i="50"/>
  <c r="Y25" i="50"/>
  <c r="X25" i="50"/>
  <c r="W25" i="50"/>
  <c r="V25" i="50"/>
  <c r="U25" i="50"/>
  <c r="T25" i="50"/>
  <c r="S25" i="50"/>
  <c r="R25" i="50"/>
  <c r="Q25" i="50"/>
  <c r="P25" i="50"/>
  <c r="P23" i="50" s="1"/>
  <c r="O25" i="50"/>
  <c r="O23" i="50" s="1"/>
  <c r="N25" i="50"/>
  <c r="M25" i="50"/>
  <c r="M23" i="50" s="1"/>
  <c r="L25" i="50"/>
  <c r="K25" i="50"/>
  <c r="J25" i="50"/>
  <c r="I25" i="50"/>
  <c r="H25" i="50"/>
  <c r="G25" i="50"/>
  <c r="L24" i="50"/>
  <c r="K24" i="50"/>
  <c r="J24" i="50"/>
  <c r="I24" i="50"/>
  <c r="H24" i="50"/>
  <c r="G24" i="50"/>
  <c r="F24" i="50"/>
  <c r="E24" i="50"/>
  <c r="D24" i="50"/>
  <c r="AT23" i="50"/>
  <c r="AS23" i="50"/>
  <c r="N23" i="50"/>
  <c r="N47" i="50" s="1"/>
  <c r="L19" i="50"/>
  <c r="K19" i="50"/>
  <c r="J19" i="50"/>
  <c r="I19" i="50"/>
  <c r="I51" i="50" s="1"/>
  <c r="H19" i="50"/>
  <c r="G19" i="50"/>
  <c r="F19" i="50"/>
  <c r="E19" i="50"/>
  <c r="D19" i="50"/>
  <c r="C19" i="50"/>
  <c r="C43" i="50" s="1"/>
  <c r="AU14" i="50"/>
  <c r="AT14" i="50"/>
  <c r="AS14" i="50"/>
  <c r="V13" i="50"/>
  <c r="U13" i="50"/>
  <c r="T13" i="50"/>
  <c r="S13" i="50"/>
  <c r="AB12" i="50"/>
  <c r="AA12" i="50"/>
  <c r="Z12" i="50"/>
  <c r="Y12" i="50"/>
  <c r="X12" i="50"/>
  <c r="W12" i="50"/>
  <c r="AU12" i="50"/>
  <c r="AT12" i="50"/>
  <c r="AS12" i="50"/>
  <c r="AX11" i="50"/>
  <c r="AW11" i="50"/>
  <c r="AV11" i="50"/>
  <c r="AU11" i="50"/>
  <c r="AT11" i="50"/>
  <c r="AS11" i="50"/>
  <c r="AW10" i="50"/>
  <c r="AV10" i="50"/>
  <c r="AU10" i="50"/>
  <c r="AT10" i="50"/>
  <c r="AS10" i="50"/>
  <c r="AW9" i="50"/>
  <c r="AV9" i="50"/>
  <c r="AU9" i="50"/>
  <c r="AT9" i="50"/>
  <c r="AS9" i="50"/>
  <c r="AU8" i="50"/>
  <c r="AT8" i="50"/>
  <c r="AS8" i="50"/>
  <c r="AU7" i="50"/>
  <c r="AT7" i="50"/>
  <c r="AS7" i="50"/>
  <c r="AU6" i="50"/>
  <c r="AT6" i="50"/>
  <c r="AS6" i="50"/>
  <c r="AU5" i="50"/>
  <c r="AT5" i="50"/>
  <c r="AS5" i="50"/>
  <c r="AU4" i="50"/>
  <c r="AT4" i="50"/>
  <c r="AS4" i="50"/>
  <c r="AA11" i="50"/>
  <c r="AL10" i="50"/>
  <c r="AK10" i="50"/>
  <c r="AJ10" i="50"/>
  <c r="BA10" i="50"/>
  <c r="AG10" i="50"/>
  <c r="AD10" i="50"/>
  <c r="AC10" i="50"/>
  <c r="AB10" i="50"/>
  <c r="AA10" i="50"/>
  <c r="AD9" i="50"/>
  <c r="AC9" i="50"/>
  <c r="AB9" i="50"/>
  <c r="AA9" i="50"/>
  <c r="AD6" i="50"/>
  <c r="Z10" i="50"/>
  <c r="Y10" i="50"/>
  <c r="X10" i="50"/>
  <c r="W10" i="50"/>
  <c r="Z9" i="50"/>
  <c r="Y9" i="50"/>
  <c r="X9" i="50"/>
  <c r="W9" i="50"/>
  <c r="S6" i="50"/>
  <c r="O6" i="50"/>
  <c r="AY78" i="43"/>
  <c r="AX78" i="43"/>
  <c r="AW78" i="43"/>
  <c r="AV78" i="43"/>
  <c r="AU78" i="43"/>
  <c r="AT78" i="43"/>
  <c r="AS78" i="43"/>
  <c r="AR78" i="43"/>
  <c r="BV76" i="43"/>
  <c r="BU76" i="43"/>
  <c r="AY76" i="43"/>
  <c r="AX76" i="43"/>
  <c r="AW76" i="43"/>
  <c r="AV76" i="43"/>
  <c r="AV58" i="43" s="1"/>
  <c r="AU76" i="43"/>
  <c r="AT76" i="43"/>
  <c r="AS76" i="43"/>
  <c r="AR76" i="43"/>
  <c r="AY72" i="43"/>
  <c r="AX72" i="43"/>
  <c r="AW72" i="43"/>
  <c r="AV72" i="43"/>
  <c r="AY71" i="43"/>
  <c r="AX71" i="43"/>
  <c r="AW71" i="43"/>
  <c r="AV71" i="43"/>
  <c r="AU71" i="43"/>
  <c r="AT71" i="43"/>
  <c r="AS71" i="43"/>
  <c r="BW70" i="43"/>
  <c r="AW68" i="43"/>
  <c r="AV68" i="43"/>
  <c r="AS68" i="43"/>
  <c r="AR68" i="43"/>
  <c r="AY67" i="43"/>
  <c r="AX67" i="43"/>
  <c r="AW67" i="43"/>
  <c r="AV67" i="43"/>
  <c r="AY66" i="43"/>
  <c r="AX66" i="43"/>
  <c r="AW66" i="43"/>
  <c r="AV66" i="43"/>
  <c r="AU66" i="43"/>
  <c r="AT66" i="43"/>
  <c r="AS66" i="43"/>
  <c r="BX65" i="43"/>
  <c r="BW65" i="43"/>
  <c r="AY63" i="43"/>
  <c r="AX63" i="43"/>
  <c r="AW63" i="43"/>
  <c r="AV63" i="43"/>
  <c r="AY61" i="43"/>
  <c r="AX61" i="43"/>
  <c r="AW61" i="43"/>
  <c r="AY58" i="43"/>
  <c r="AX58" i="43"/>
  <c r="AW58" i="43"/>
  <c r="AY56" i="43"/>
  <c r="AX56" i="43"/>
  <c r="AW56" i="43"/>
  <c r="BX55" i="43"/>
  <c r="BW55" i="43"/>
  <c r="AY53" i="43"/>
  <c r="AX53" i="43"/>
  <c r="AW53" i="43"/>
  <c r="AV53" i="43"/>
  <c r="AU53" i="43"/>
  <c r="AT53" i="43"/>
  <c r="AS53" i="43"/>
  <c r="AY52" i="43"/>
  <c r="AX52" i="43"/>
  <c r="AW52" i="43"/>
  <c r="AV52" i="43"/>
  <c r="AY51" i="43"/>
  <c r="AX51" i="43"/>
  <c r="AW51" i="43"/>
  <c r="AV51" i="43"/>
  <c r="AU51" i="43"/>
  <c r="AT51" i="43"/>
  <c r="AS51" i="43"/>
  <c r="BW50" i="43"/>
  <c r="AY47" i="43"/>
  <c r="AX47" i="43"/>
  <c r="AW47" i="43"/>
  <c r="AV47" i="43"/>
  <c r="AY46" i="43"/>
  <c r="AX46" i="43"/>
  <c r="AW46" i="43"/>
  <c r="AV46" i="43"/>
  <c r="AU46" i="43"/>
  <c r="AT46" i="43"/>
  <c r="AS46" i="43"/>
  <c r="BX45" i="43"/>
  <c r="BX47" i="43" s="1"/>
  <c r="BW45" i="43"/>
  <c r="BW47" i="43" s="1"/>
  <c r="AY43" i="43"/>
  <c r="AX43" i="43"/>
  <c r="AW43" i="43"/>
  <c r="AV43" i="43"/>
  <c r="AU43" i="43"/>
  <c r="AT43" i="43"/>
  <c r="AS43" i="43"/>
  <c r="AY42" i="43"/>
  <c r="AX42" i="43"/>
  <c r="AW42" i="43"/>
  <c r="AV42" i="43"/>
  <c r="AY41" i="43"/>
  <c r="AX41" i="43"/>
  <c r="AW41" i="43"/>
  <c r="AV41" i="43"/>
  <c r="AU41" i="43"/>
  <c r="AT41" i="43"/>
  <c r="AS41" i="43"/>
  <c r="BW40" i="43"/>
  <c r="AY37" i="43"/>
  <c r="AX37" i="43"/>
  <c r="AW37" i="43"/>
  <c r="AV37" i="43"/>
  <c r="AY36" i="43"/>
  <c r="AX36" i="43"/>
  <c r="AW36" i="43"/>
  <c r="AV36" i="43"/>
  <c r="AU36" i="43"/>
  <c r="AT36" i="43"/>
  <c r="AS36" i="43"/>
  <c r="BX35" i="43"/>
  <c r="BW35" i="43"/>
  <c r="AY33" i="43"/>
  <c r="AX33" i="43"/>
  <c r="AW33" i="43"/>
  <c r="AV33" i="43"/>
  <c r="AU33" i="43"/>
  <c r="AT33" i="43"/>
  <c r="AS33" i="43"/>
  <c r="AR33" i="43"/>
  <c r="AY32" i="43"/>
  <c r="AX32" i="43"/>
  <c r="AW32" i="43"/>
  <c r="AV32" i="43"/>
  <c r="AY31" i="43"/>
  <c r="AX31" i="43"/>
  <c r="AW31" i="43"/>
  <c r="AV31" i="43"/>
  <c r="AU31" i="43"/>
  <c r="AT31" i="43"/>
  <c r="AS31" i="43"/>
  <c r="BW30" i="43"/>
  <c r="AY27" i="43"/>
  <c r="AX27" i="43"/>
  <c r="AW27" i="43"/>
  <c r="AV27" i="43"/>
  <c r="AY26" i="43"/>
  <c r="AX26" i="43"/>
  <c r="AW26" i="43"/>
  <c r="AV26" i="43"/>
  <c r="AU26" i="43"/>
  <c r="AT26" i="43"/>
  <c r="AS26" i="43"/>
  <c r="BX25" i="43"/>
  <c r="BW25" i="43"/>
  <c r="AY23" i="43"/>
  <c r="AX23" i="43"/>
  <c r="AW23" i="43"/>
  <c r="AV23" i="43"/>
  <c r="AU23" i="43"/>
  <c r="AT23" i="43"/>
  <c r="AS23" i="43"/>
  <c r="AR23" i="43"/>
  <c r="AY22" i="43"/>
  <c r="AX22" i="43"/>
  <c r="AW22" i="43"/>
  <c r="AV22" i="43"/>
  <c r="AY21" i="43"/>
  <c r="AX21" i="43"/>
  <c r="AW21" i="43"/>
  <c r="AV21" i="43"/>
  <c r="AU21" i="43"/>
  <c r="AT21" i="43"/>
  <c r="AS21" i="43"/>
  <c r="BW20" i="43"/>
  <c r="AY17" i="43"/>
  <c r="AX17" i="43"/>
  <c r="AW17" i="43"/>
  <c r="AV17" i="43"/>
  <c r="AY16" i="43"/>
  <c r="AX16" i="43"/>
  <c r="AW16" i="43"/>
  <c r="AV16" i="43"/>
  <c r="AU16" i="43"/>
  <c r="AT16" i="43"/>
  <c r="AS16" i="43"/>
  <c r="BX15" i="43"/>
  <c r="BW15" i="43"/>
  <c r="AY13" i="43"/>
  <c r="AX13" i="43"/>
  <c r="AW13" i="43"/>
  <c r="AV13" i="43"/>
  <c r="AU13" i="43"/>
  <c r="AT13" i="43"/>
  <c r="AS13" i="43"/>
  <c r="AR13" i="43"/>
  <c r="AX12" i="43"/>
  <c r="AW12" i="43"/>
  <c r="AV12" i="43"/>
  <c r="AY11" i="43"/>
  <c r="AX11" i="43"/>
  <c r="AW11" i="43"/>
  <c r="AV11" i="43"/>
  <c r="AU11" i="43"/>
  <c r="AT11" i="43"/>
  <c r="AS11" i="43"/>
  <c r="BW10" i="43"/>
  <c r="BW7" i="43"/>
  <c r="AY7" i="43"/>
  <c r="AX7" i="43"/>
  <c r="AW7" i="43"/>
  <c r="AV7" i="43"/>
  <c r="AY6" i="43"/>
  <c r="AX6" i="43"/>
  <c r="AW6" i="43"/>
  <c r="AV6" i="43"/>
  <c r="AU6" i="43"/>
  <c r="AT6" i="43"/>
  <c r="AS6" i="43"/>
  <c r="BX5" i="43"/>
  <c r="BW5" i="4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BE142" i="3"/>
  <c r="BF142" i="3" s="1"/>
  <c r="BG142" i="3" s="1"/>
  <c r="G141" i="3"/>
  <c r="F141" i="3"/>
  <c r="E141" i="3"/>
  <c r="BE139" i="3"/>
  <c r="BF139" i="3" s="1"/>
  <c r="BG139" i="3" s="1"/>
  <c r="W137" i="3"/>
  <c r="V137" i="3"/>
  <c r="U137" i="3"/>
  <c r="T137" i="3"/>
  <c r="Q137" i="3"/>
  <c r="P137" i="3"/>
  <c r="F137" i="3"/>
  <c r="E137" i="3"/>
  <c r="D137" i="3"/>
  <c r="AY136" i="3"/>
  <c r="AX136" i="3"/>
  <c r="AX137" i="3" s="1"/>
  <c r="AW136" i="3"/>
  <c r="AW137" i="3" s="1"/>
  <c r="AV136" i="3"/>
  <c r="AV137" i="3" s="1"/>
  <c r="AU136" i="3"/>
  <c r="AU137" i="3" s="1"/>
  <c r="AT136" i="3"/>
  <c r="AT137" i="3" s="1"/>
  <c r="AS136" i="3"/>
  <c r="AS137" i="3" s="1"/>
  <c r="AR136" i="3"/>
  <c r="AR137" i="3" s="1"/>
  <c r="AQ136" i="3"/>
  <c r="AP136" i="3"/>
  <c r="AP137" i="3" s="1"/>
  <c r="AO136" i="3"/>
  <c r="AO137" i="3" s="1"/>
  <c r="AN136" i="3"/>
  <c r="AN137" i="3" s="1"/>
  <c r="AM136" i="3"/>
  <c r="AM137" i="3" s="1"/>
  <c r="AL136" i="3"/>
  <c r="AL137" i="3" s="1"/>
  <c r="AK136" i="3"/>
  <c r="AK137" i="3" s="1"/>
  <c r="AJ136" i="3"/>
  <c r="AJ137" i="3" s="1"/>
  <c r="AI136" i="3"/>
  <c r="AH136" i="3"/>
  <c r="AH137" i="3" s="1"/>
  <c r="AG136" i="3"/>
  <c r="AG137" i="3" s="1"/>
  <c r="AF136" i="3"/>
  <c r="AF137" i="3" s="1"/>
  <c r="AE136" i="3"/>
  <c r="AE137" i="3" s="1"/>
  <c r="AD136" i="3"/>
  <c r="AD137" i="3" s="1"/>
  <c r="AC136" i="3"/>
  <c r="AC137" i="3" s="1"/>
  <c r="AB136" i="3"/>
  <c r="AB137" i="3" s="1"/>
  <c r="AA136" i="3"/>
  <c r="AA137" i="3" s="1"/>
  <c r="Z136" i="3"/>
  <c r="Z137" i="3" s="1"/>
  <c r="Y136" i="3"/>
  <c r="Y137" i="3" s="1"/>
  <c r="X136" i="3"/>
  <c r="X137" i="3" s="1"/>
  <c r="S136" i="3"/>
  <c r="S137" i="3" s="1"/>
  <c r="R136" i="3"/>
  <c r="R137" i="3" s="1"/>
  <c r="O136" i="3"/>
  <c r="O137" i="3" s="1"/>
  <c r="N136" i="3"/>
  <c r="N137" i="3" s="1"/>
  <c r="M136" i="3"/>
  <c r="M137" i="3" s="1"/>
  <c r="L136" i="3"/>
  <c r="L137" i="3" s="1"/>
  <c r="K136" i="3"/>
  <c r="K137" i="3" s="1"/>
  <c r="J136" i="3"/>
  <c r="J137" i="3" s="1"/>
  <c r="I136" i="3"/>
  <c r="I137" i="3" s="1"/>
  <c r="H136" i="3"/>
  <c r="H137" i="3" s="1"/>
  <c r="AQ135" i="3"/>
  <c r="AQ137" i="3" s="1"/>
  <c r="AY132" i="3"/>
  <c r="G132" i="3"/>
  <c r="G137" i="3" s="1"/>
  <c r="BE134" i="3"/>
  <c r="BF134" i="3" s="1"/>
  <c r="BG134" i="3" s="1"/>
  <c r="BD133" i="3"/>
  <c r="BE133" i="3" s="1"/>
  <c r="BF133" i="3" s="1"/>
  <c r="BG133" i="3" s="1"/>
  <c r="BD131" i="3"/>
  <c r="BE131" i="3" s="1"/>
  <c r="AI131" i="3"/>
  <c r="AI137" i="3" s="1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BD127" i="3"/>
  <c r="BE127" i="3" s="1"/>
  <c r="BF127" i="3" s="1"/>
  <c r="BG127" i="3" s="1"/>
  <c r="AY127" i="3"/>
  <c r="AX127" i="3"/>
  <c r="AW127" i="3"/>
  <c r="AV127" i="3"/>
  <c r="AU127" i="3"/>
  <c r="AT127" i="3"/>
  <c r="AS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A127" i="3"/>
  <c r="AA128" i="3" s="1"/>
  <c r="Z127" i="3"/>
  <c r="Y127" i="3"/>
  <c r="X127" i="3"/>
  <c r="W127" i="3"/>
  <c r="W128" i="3" s="1"/>
  <c r="V127" i="3"/>
  <c r="V128" i="3" s="1"/>
  <c r="U127" i="3"/>
  <c r="U128" i="3" s="1"/>
  <c r="AT123" i="3"/>
  <c r="Y122" i="3"/>
  <c r="Y128" i="3" s="1"/>
  <c r="Y121" i="3"/>
  <c r="AY121" i="3"/>
  <c r="AY128" i="3" s="1"/>
  <c r="AX121" i="3"/>
  <c r="AX128" i="3" s="1"/>
  <c r="AW121" i="3"/>
  <c r="AW128" i="3" s="1"/>
  <c r="AV121" i="3"/>
  <c r="AV128" i="3" s="1"/>
  <c r="AU121" i="3"/>
  <c r="AU128" i="3" s="1"/>
  <c r="AT121" i="3"/>
  <c r="AT128" i="3" s="1"/>
  <c r="AS121" i="3"/>
  <c r="AS128" i="3" s="1"/>
  <c r="AR121" i="3"/>
  <c r="AR128" i="3" s="1"/>
  <c r="AQ121" i="3"/>
  <c r="AQ128" i="3" s="1"/>
  <c r="AP121" i="3"/>
  <c r="AP128" i="3" s="1"/>
  <c r="AO121" i="3"/>
  <c r="AO128" i="3" s="1"/>
  <c r="AN121" i="3"/>
  <c r="AN128" i="3" s="1"/>
  <c r="AM121" i="3"/>
  <c r="AM128" i="3" s="1"/>
  <c r="AL121" i="3"/>
  <c r="AL128" i="3" s="1"/>
  <c r="AK121" i="3"/>
  <c r="AK128" i="3" s="1"/>
  <c r="AJ121" i="3"/>
  <c r="AJ128" i="3" s="1"/>
  <c r="AI121" i="3"/>
  <c r="AI128" i="3" s="1"/>
  <c r="AH121" i="3"/>
  <c r="AH128" i="3" s="1"/>
  <c r="AG121" i="3"/>
  <c r="AG128" i="3" s="1"/>
  <c r="AF121" i="3"/>
  <c r="AF128" i="3" s="1"/>
  <c r="AE121" i="3"/>
  <c r="AE128" i="3" s="1"/>
  <c r="AD121" i="3"/>
  <c r="AD128" i="3" s="1"/>
  <c r="AC121" i="3"/>
  <c r="AC128" i="3" s="1"/>
  <c r="AB121" i="3"/>
  <c r="AB128" i="3" s="1"/>
  <c r="Z121" i="3"/>
  <c r="Z128" i="3" s="1"/>
  <c r="X121" i="3"/>
  <c r="X128" i="3" s="1"/>
  <c r="BD126" i="3"/>
  <c r="BE126" i="3" s="1"/>
  <c r="BF126" i="3" s="1"/>
  <c r="BG126" i="3" s="1"/>
  <c r="BD125" i="3"/>
  <c r="BE125" i="3" s="1"/>
  <c r="BF125" i="3" s="1"/>
  <c r="BG125" i="3" s="1"/>
  <c r="BD124" i="3"/>
  <c r="BE124" i="3" s="1"/>
  <c r="BF124" i="3" s="1"/>
  <c r="BG124" i="3" s="1"/>
  <c r="BD123" i="3"/>
  <c r="BE123" i="3" s="1"/>
  <c r="BF123" i="3" s="1"/>
  <c r="BG123" i="3" s="1"/>
  <c r="BD121" i="3"/>
  <c r="BE121" i="3" s="1"/>
  <c r="BF121" i="3" s="1"/>
  <c r="BG121" i="3" s="1"/>
  <c r="BD120" i="3"/>
  <c r="BE120" i="3" s="1"/>
  <c r="BF120" i="3" s="1"/>
  <c r="BG120" i="3" s="1"/>
  <c r="BD119" i="3"/>
  <c r="BE119" i="3" s="1"/>
  <c r="BF119" i="3" s="1"/>
  <c r="BG119" i="3" s="1"/>
  <c r="BD118" i="3"/>
  <c r="BE118" i="3" s="1"/>
  <c r="BF118" i="3" s="1"/>
  <c r="BG118" i="3" s="1"/>
  <c r="AN113" i="3"/>
  <c r="BD106" i="3"/>
  <c r="BD103" i="3"/>
  <c r="BE103" i="3" s="1"/>
  <c r="BF103" i="3" s="1"/>
  <c r="BG103" i="3" s="1"/>
  <c r="BD101" i="3"/>
  <c r="BE101" i="3" s="1"/>
  <c r="BF101" i="3" s="1"/>
  <c r="BG101" i="3" s="1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K103" i="3"/>
  <c r="J103" i="3"/>
  <c r="AW80" i="3"/>
  <c r="AV79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AY72" i="3"/>
  <c r="AX72" i="3"/>
  <c r="AW72" i="3"/>
  <c r="AW75" i="3" s="1"/>
  <c r="AU72" i="3"/>
  <c r="AQ72" i="3"/>
  <c r="AM72" i="3"/>
  <c r="AI72" i="3"/>
  <c r="AG72" i="3"/>
  <c r="AE72" i="3"/>
  <c r="W72" i="3"/>
  <c r="S72" i="3"/>
  <c r="O72" i="3"/>
  <c r="K72" i="3"/>
  <c r="G72" i="3"/>
  <c r="AP69" i="3"/>
  <c r="AP67" i="3"/>
  <c r="AV69" i="3"/>
  <c r="AV80" i="3" s="1"/>
  <c r="AV67" i="3"/>
  <c r="AT69" i="3"/>
  <c r="AT72" i="3" s="1"/>
  <c r="AS69" i="3"/>
  <c r="AR69" i="3"/>
  <c r="AR72" i="3" s="1"/>
  <c r="AL69" i="3"/>
  <c r="AK69" i="3"/>
  <c r="AJ69" i="3"/>
  <c r="AJ72" i="3" s="1"/>
  <c r="AH69" i="3"/>
  <c r="AH72" i="3" s="1"/>
  <c r="AF69" i="3"/>
  <c r="AD69" i="3"/>
  <c r="AC69" i="3"/>
  <c r="AC72" i="3" s="1"/>
  <c r="AC75" i="3" s="1"/>
  <c r="AB69" i="3"/>
  <c r="AB72" i="3" s="1"/>
  <c r="AA69" i="3"/>
  <c r="BR69" i="3" s="1"/>
  <c r="Z69" i="3"/>
  <c r="Y69" i="3"/>
  <c r="Y72" i="3" s="1"/>
  <c r="X69" i="3"/>
  <c r="X72" i="3" s="1"/>
  <c r="V69" i="3"/>
  <c r="U69" i="3"/>
  <c r="U72" i="3" s="1"/>
  <c r="U75" i="3" s="1"/>
  <c r="T69" i="3"/>
  <c r="T72" i="3" s="1"/>
  <c r="R69" i="3"/>
  <c r="R72" i="3" s="1"/>
  <c r="Q69" i="3"/>
  <c r="Q72" i="3" s="1"/>
  <c r="Q75" i="3" s="1"/>
  <c r="P69" i="3"/>
  <c r="P72" i="3" s="1"/>
  <c r="N69" i="3"/>
  <c r="M69" i="3"/>
  <c r="M72" i="3" s="1"/>
  <c r="M75" i="3" s="1"/>
  <c r="L69" i="3"/>
  <c r="L72" i="3" s="1"/>
  <c r="J69" i="3"/>
  <c r="I69" i="3"/>
  <c r="I72" i="3" s="1"/>
  <c r="H69" i="3"/>
  <c r="H72" i="3" s="1"/>
  <c r="F69" i="3"/>
  <c r="E69" i="3"/>
  <c r="E72" i="3" s="1"/>
  <c r="D69" i="3"/>
  <c r="D72" i="3" s="1"/>
  <c r="BX71" i="3"/>
  <c r="BW71" i="3"/>
  <c r="BV71" i="3"/>
  <c r="BU71" i="3"/>
  <c r="BT71" i="3"/>
  <c r="BS71" i="3"/>
  <c r="BR71" i="3"/>
  <c r="BQ71" i="3"/>
  <c r="BP71" i="3"/>
  <c r="BO71" i="3"/>
  <c r="BN71" i="3"/>
  <c r="BM71" i="3"/>
  <c r="BX69" i="3"/>
  <c r="BW69" i="3"/>
  <c r="BV69" i="3"/>
  <c r="BU69" i="3"/>
  <c r="BU72" i="3" s="1"/>
  <c r="BT69" i="3"/>
  <c r="BS69" i="3"/>
  <c r="BQ69" i="3"/>
  <c r="BP69" i="3"/>
  <c r="BP72" i="3" s="1"/>
  <c r="BO69" i="3"/>
  <c r="BN69" i="3"/>
  <c r="BM69" i="3"/>
  <c r="AY67" i="3"/>
  <c r="AU67" i="3"/>
  <c r="AT67" i="3"/>
  <c r="AS67" i="3"/>
  <c r="AR67" i="3"/>
  <c r="AQ67" i="3"/>
  <c r="AO69" i="3"/>
  <c r="AO72" i="3" s="1"/>
  <c r="AN69" i="3"/>
  <c r="AN67" i="3"/>
  <c r="BZ66" i="3"/>
  <c r="BY66" i="3"/>
  <c r="BX66" i="3"/>
  <c r="BW66" i="3"/>
  <c r="BV66" i="3"/>
  <c r="BU66" i="3"/>
  <c r="BT66" i="3"/>
  <c r="BS66" i="3"/>
  <c r="BR66" i="3"/>
  <c r="BQ66" i="3"/>
  <c r="BP66" i="3"/>
  <c r="BO66" i="3"/>
  <c r="BN66" i="3"/>
  <c r="BM66" i="3"/>
  <c r="B60" i="3"/>
  <c r="B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B57" i="3"/>
  <c r="B56" i="3"/>
  <c r="B55" i="3"/>
  <c r="B54" i="3"/>
  <c r="BZ55" i="3"/>
  <c r="BZ142" i="3" s="1"/>
  <c r="BY55" i="3"/>
  <c r="BY142" i="3" s="1"/>
  <c r="BX55" i="3"/>
  <c r="BX142" i="3" s="1"/>
  <c r="BW55" i="3"/>
  <c r="BW142" i="3" s="1"/>
  <c r="BV55" i="3"/>
  <c r="BV142" i="3" s="1"/>
  <c r="BU55" i="3"/>
  <c r="BU142" i="3" s="1"/>
  <c r="D54" i="3"/>
  <c r="BM54" i="3" s="1"/>
  <c r="BM141" i="3" s="1"/>
  <c r="BZ52" i="3"/>
  <c r="BZ139" i="3" s="1"/>
  <c r="BY52" i="3"/>
  <c r="BY139" i="3" s="1"/>
  <c r="AV52" i="3"/>
  <c r="AW52" i="3" s="1"/>
  <c r="AR52" i="3"/>
  <c r="AS52" i="3" s="1"/>
  <c r="AN52" i="3"/>
  <c r="AO52" i="3" s="1"/>
  <c r="AP52" i="3" s="1"/>
  <c r="AQ52" i="3" s="1"/>
  <c r="AJ52" i="3"/>
  <c r="AK52" i="3" s="1"/>
  <c r="AL52" i="3" s="1"/>
  <c r="AM52" i="3" s="1"/>
  <c r="AF52" i="3"/>
  <c r="AG52" i="3" s="1"/>
  <c r="AB52" i="3"/>
  <c r="AC52" i="3" s="1"/>
  <c r="X52" i="3"/>
  <c r="Y52" i="3" s="1"/>
  <c r="Z52" i="3" s="1"/>
  <c r="AA52" i="3" s="1"/>
  <c r="T52" i="3"/>
  <c r="U52" i="3" s="1"/>
  <c r="V52" i="3" s="1"/>
  <c r="W52" i="3" s="1"/>
  <c r="P52" i="3"/>
  <c r="Q52" i="3" s="1"/>
  <c r="L52" i="3"/>
  <c r="M52" i="3" s="1"/>
  <c r="H52" i="3"/>
  <c r="I52" i="3" s="1"/>
  <c r="J52" i="3" s="1"/>
  <c r="K52" i="3" s="1"/>
  <c r="D52" i="3"/>
  <c r="E52" i="3" s="1"/>
  <c r="F52" i="3" s="1"/>
  <c r="G52" i="3" s="1"/>
  <c r="B52" i="3"/>
  <c r="B50" i="3"/>
  <c r="B49" i="3"/>
  <c r="B48" i="3"/>
  <c r="B47" i="3"/>
  <c r="B46" i="3"/>
  <c r="B45" i="3"/>
  <c r="B44" i="3"/>
  <c r="B43" i="3"/>
  <c r="AV49" i="3"/>
  <c r="AR49" i="3"/>
  <c r="AN49" i="3"/>
  <c r="AJ49" i="3"/>
  <c r="AF49" i="3"/>
  <c r="AB49" i="3"/>
  <c r="X49" i="3"/>
  <c r="T49" i="3"/>
  <c r="P49" i="3"/>
  <c r="L49" i="3"/>
  <c r="H49" i="3"/>
  <c r="D49" i="3"/>
  <c r="AV48" i="3"/>
  <c r="AR48" i="3"/>
  <c r="AN48" i="3"/>
  <c r="AJ48" i="3"/>
  <c r="AF48" i="3"/>
  <c r="AG48" i="3" s="1"/>
  <c r="AH48" i="3" s="1"/>
  <c r="AI48" i="3" s="1"/>
  <c r="AB48" i="3"/>
  <c r="AC48" i="3" s="1"/>
  <c r="AD48" i="3" s="1"/>
  <c r="AE48" i="3" s="1"/>
  <c r="X48" i="3"/>
  <c r="T48" i="3"/>
  <c r="P48" i="3"/>
  <c r="Q48" i="3" s="1"/>
  <c r="R48" i="3" s="1"/>
  <c r="S48" i="3" s="1"/>
  <c r="L48" i="3"/>
  <c r="M48" i="3" s="1"/>
  <c r="N48" i="3" s="1"/>
  <c r="O48" i="3" s="1"/>
  <c r="H48" i="3"/>
  <c r="D48" i="3"/>
  <c r="BZ47" i="3"/>
  <c r="BZ134" i="3" s="1"/>
  <c r="BY47" i="3"/>
  <c r="BZ46" i="3"/>
  <c r="BZ133" i="3" s="1"/>
  <c r="BY46" i="3"/>
  <c r="BY133" i="3" s="1"/>
  <c r="AV47" i="3"/>
  <c r="AR47" i="3"/>
  <c r="AS47" i="3" s="1"/>
  <c r="AT47" i="3" s="1"/>
  <c r="AU47" i="3" s="1"/>
  <c r="AN47" i="3"/>
  <c r="AO47" i="3" s="1"/>
  <c r="AJ47" i="3"/>
  <c r="AK47" i="3" s="1"/>
  <c r="AL47" i="3" s="1"/>
  <c r="AM47" i="3" s="1"/>
  <c r="AF47" i="3"/>
  <c r="AG47" i="3" s="1"/>
  <c r="AH47" i="3" s="1"/>
  <c r="AI47" i="3" s="1"/>
  <c r="AB47" i="3"/>
  <c r="X47" i="3"/>
  <c r="T47" i="3"/>
  <c r="U47" i="3" s="1"/>
  <c r="V47" i="3" s="1"/>
  <c r="W47" i="3" s="1"/>
  <c r="P47" i="3"/>
  <c r="Q47" i="3" s="1"/>
  <c r="R47" i="3" s="1"/>
  <c r="S47" i="3" s="1"/>
  <c r="L47" i="3"/>
  <c r="M47" i="3" s="1"/>
  <c r="N47" i="3" s="1"/>
  <c r="O47" i="3" s="1"/>
  <c r="H47" i="3"/>
  <c r="D47" i="3"/>
  <c r="E47" i="3" s="1"/>
  <c r="F47" i="3" s="1"/>
  <c r="G47" i="3" s="1"/>
  <c r="AV46" i="3"/>
  <c r="AW46" i="3" s="1"/>
  <c r="AX46" i="3" s="1"/>
  <c r="AY46" i="3" s="1"/>
  <c r="AR46" i="3"/>
  <c r="AN46" i="3"/>
  <c r="AJ46" i="3"/>
  <c r="AK46" i="3" s="1"/>
  <c r="AL46" i="3" s="1"/>
  <c r="AM46" i="3" s="1"/>
  <c r="AF46" i="3"/>
  <c r="AG46" i="3" s="1"/>
  <c r="AH46" i="3" s="1"/>
  <c r="AI46" i="3" s="1"/>
  <c r="AB46" i="3"/>
  <c r="X46" i="3"/>
  <c r="T46" i="3"/>
  <c r="U46" i="3" s="1"/>
  <c r="V46" i="3" s="1"/>
  <c r="W46" i="3" s="1"/>
  <c r="P46" i="3"/>
  <c r="L46" i="3"/>
  <c r="H46" i="3"/>
  <c r="I46" i="3" s="1"/>
  <c r="D46" i="3"/>
  <c r="AV45" i="3"/>
  <c r="AW45" i="3" s="1"/>
  <c r="AX45" i="3" s="1"/>
  <c r="AR45" i="3"/>
  <c r="AS45" i="3" s="1"/>
  <c r="AT45" i="3" s="1"/>
  <c r="AU45" i="3" s="1"/>
  <c r="AN45" i="3"/>
  <c r="AJ45" i="3"/>
  <c r="AK45" i="3" s="1"/>
  <c r="AL45" i="3" s="1"/>
  <c r="AM45" i="3" s="1"/>
  <c r="AF45" i="3"/>
  <c r="AG45" i="3" s="1"/>
  <c r="AH45" i="3" s="1"/>
  <c r="AI45" i="3" s="1"/>
  <c r="AB45" i="3"/>
  <c r="AC45" i="3" s="1"/>
  <c r="AD45" i="3" s="1"/>
  <c r="X45" i="3"/>
  <c r="T45" i="3"/>
  <c r="U45" i="3" s="1"/>
  <c r="V45" i="3" s="1"/>
  <c r="W45" i="3" s="1"/>
  <c r="P45" i="3"/>
  <c r="Q45" i="3" s="1"/>
  <c r="R45" i="3" s="1"/>
  <c r="S45" i="3" s="1"/>
  <c r="L45" i="3"/>
  <c r="M45" i="3" s="1"/>
  <c r="N45" i="3" s="1"/>
  <c r="O45" i="3" s="1"/>
  <c r="H45" i="3"/>
  <c r="D45" i="3"/>
  <c r="E45" i="3" s="1"/>
  <c r="F45" i="3" s="1"/>
  <c r="G45" i="3" s="1"/>
  <c r="BZ44" i="3"/>
  <c r="BY44" i="3"/>
  <c r="AV44" i="3"/>
  <c r="AW44" i="3" s="1"/>
  <c r="AR44" i="3"/>
  <c r="AS44" i="3" s="1"/>
  <c r="AN44" i="3"/>
  <c r="AJ44" i="3"/>
  <c r="AF44" i="3"/>
  <c r="AG44" i="3" s="1"/>
  <c r="AB44" i="3"/>
  <c r="AC44" i="3" s="1"/>
  <c r="X44" i="3"/>
  <c r="T44" i="3"/>
  <c r="P44" i="3"/>
  <c r="Q44" i="3" s="1"/>
  <c r="M44" i="3"/>
  <c r="L44" i="3"/>
  <c r="H44" i="3"/>
  <c r="H50" i="3" s="1"/>
  <c r="D44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AV40" i="3"/>
  <c r="AR40" i="3"/>
  <c r="AS40" i="3" s="1"/>
  <c r="AN40" i="3"/>
  <c r="AO40" i="3" s="1"/>
  <c r="AJ40" i="3"/>
  <c r="AK40" i="3" s="1"/>
  <c r="AL40" i="3" s="1"/>
  <c r="AM40" i="3" s="1"/>
  <c r="AF40" i="3"/>
  <c r="AB40" i="3"/>
  <c r="AC40" i="3" s="1"/>
  <c r="X40" i="3"/>
  <c r="Y40" i="3" s="1"/>
  <c r="U40" i="3"/>
  <c r="V40" i="3" s="1"/>
  <c r="W40" i="3" s="1"/>
  <c r="T40" i="3"/>
  <c r="P40" i="3"/>
  <c r="L40" i="3"/>
  <c r="M40" i="3" s="1"/>
  <c r="H40" i="3"/>
  <c r="I40" i="3" s="1"/>
  <c r="D40" i="3"/>
  <c r="E40" i="3" s="1"/>
  <c r="F40" i="3" s="1"/>
  <c r="G40" i="3" s="1"/>
  <c r="AV39" i="3"/>
  <c r="AW39" i="3" s="1"/>
  <c r="AR39" i="3"/>
  <c r="AS39" i="3" s="1"/>
  <c r="AT39" i="3" s="1"/>
  <c r="AU39" i="3" s="1"/>
  <c r="AN39" i="3"/>
  <c r="AO39" i="3" s="1"/>
  <c r="AJ39" i="3"/>
  <c r="AK39" i="3" s="1"/>
  <c r="AL39" i="3" s="1"/>
  <c r="AM39" i="3" s="1"/>
  <c r="AF39" i="3"/>
  <c r="AG39" i="3" s="1"/>
  <c r="AB39" i="3"/>
  <c r="AC39" i="3" s="1"/>
  <c r="AD39" i="3" s="1"/>
  <c r="AE39" i="3" s="1"/>
  <c r="X39" i="3"/>
  <c r="Y39" i="3" s="1"/>
  <c r="T39" i="3"/>
  <c r="U39" i="3" s="1"/>
  <c r="V39" i="3" s="1"/>
  <c r="W39" i="3" s="1"/>
  <c r="P39" i="3"/>
  <c r="Q39" i="3" s="1"/>
  <c r="L39" i="3"/>
  <c r="M39" i="3" s="1"/>
  <c r="N39" i="3" s="1"/>
  <c r="O39" i="3" s="1"/>
  <c r="H39" i="3"/>
  <c r="I39" i="3" s="1"/>
  <c r="D39" i="3"/>
  <c r="E39" i="3" s="1"/>
  <c r="F39" i="3" s="1"/>
  <c r="G39" i="3" s="1"/>
  <c r="AV38" i="3"/>
  <c r="AR38" i="3"/>
  <c r="AS38" i="3" s="1"/>
  <c r="AN38" i="3"/>
  <c r="AO38" i="3" s="1"/>
  <c r="AJ38" i="3"/>
  <c r="AK38" i="3" s="1"/>
  <c r="AL38" i="3" s="1"/>
  <c r="AM38" i="3" s="1"/>
  <c r="AF38" i="3"/>
  <c r="AB38" i="3"/>
  <c r="AC38" i="3" s="1"/>
  <c r="X38" i="3"/>
  <c r="Y38" i="3" s="1"/>
  <c r="T38" i="3"/>
  <c r="U38" i="3" s="1"/>
  <c r="V38" i="3" s="1"/>
  <c r="W38" i="3" s="1"/>
  <c r="P38" i="3"/>
  <c r="L38" i="3"/>
  <c r="M38" i="3" s="1"/>
  <c r="H38" i="3"/>
  <c r="I38" i="3" s="1"/>
  <c r="D38" i="3"/>
  <c r="E38" i="3" s="1"/>
  <c r="F38" i="3" s="1"/>
  <c r="G38" i="3" s="1"/>
  <c r="AV37" i="3"/>
  <c r="AW37" i="3" s="1"/>
  <c r="AR37" i="3"/>
  <c r="AS37" i="3" s="1"/>
  <c r="AT37" i="3" s="1"/>
  <c r="AU37" i="3" s="1"/>
  <c r="AN37" i="3"/>
  <c r="AO37" i="3" s="1"/>
  <c r="AJ37" i="3"/>
  <c r="AK37" i="3" s="1"/>
  <c r="AL37" i="3" s="1"/>
  <c r="AM37" i="3" s="1"/>
  <c r="AF37" i="3"/>
  <c r="AG37" i="3" s="1"/>
  <c r="AB37" i="3"/>
  <c r="AC37" i="3" s="1"/>
  <c r="AD37" i="3" s="1"/>
  <c r="AE37" i="3" s="1"/>
  <c r="X37" i="3"/>
  <c r="Y37" i="3" s="1"/>
  <c r="T37" i="3"/>
  <c r="U37" i="3" s="1"/>
  <c r="V37" i="3" s="1"/>
  <c r="W37" i="3" s="1"/>
  <c r="P37" i="3"/>
  <c r="Q37" i="3" s="1"/>
  <c r="L37" i="3"/>
  <c r="M37" i="3" s="1"/>
  <c r="N37" i="3" s="1"/>
  <c r="O37" i="3" s="1"/>
  <c r="H37" i="3"/>
  <c r="I37" i="3" s="1"/>
  <c r="D37" i="3"/>
  <c r="E37" i="3" s="1"/>
  <c r="F37" i="3" s="1"/>
  <c r="G37" i="3" s="1"/>
  <c r="AV36" i="3"/>
  <c r="AR36" i="3"/>
  <c r="AS36" i="3" s="1"/>
  <c r="AN36" i="3"/>
  <c r="AO36" i="3" s="1"/>
  <c r="AJ36" i="3"/>
  <c r="AK36" i="3" s="1"/>
  <c r="AL36" i="3" s="1"/>
  <c r="AM36" i="3" s="1"/>
  <c r="AF36" i="3"/>
  <c r="AB36" i="3"/>
  <c r="AC36" i="3" s="1"/>
  <c r="X36" i="3"/>
  <c r="Y36" i="3" s="1"/>
  <c r="T36" i="3"/>
  <c r="U36" i="3" s="1"/>
  <c r="V36" i="3" s="1"/>
  <c r="W36" i="3" s="1"/>
  <c r="P36" i="3"/>
  <c r="L36" i="3"/>
  <c r="M36" i="3" s="1"/>
  <c r="H36" i="3"/>
  <c r="I36" i="3" s="1"/>
  <c r="D36" i="3"/>
  <c r="E36" i="3" s="1"/>
  <c r="F36" i="3" s="1"/>
  <c r="G36" i="3" s="1"/>
  <c r="AV35" i="3"/>
  <c r="AW35" i="3" s="1"/>
  <c r="AR35" i="3"/>
  <c r="AS35" i="3" s="1"/>
  <c r="AT35" i="3" s="1"/>
  <c r="AU35" i="3" s="1"/>
  <c r="AN35" i="3"/>
  <c r="AO35" i="3" s="1"/>
  <c r="AJ35" i="3"/>
  <c r="AK35" i="3" s="1"/>
  <c r="AL35" i="3" s="1"/>
  <c r="AM35" i="3" s="1"/>
  <c r="AF35" i="3"/>
  <c r="AG35" i="3" s="1"/>
  <c r="AB35" i="3"/>
  <c r="AC35" i="3" s="1"/>
  <c r="AD35" i="3" s="1"/>
  <c r="AE35" i="3" s="1"/>
  <c r="X35" i="3"/>
  <c r="Y35" i="3" s="1"/>
  <c r="T35" i="3"/>
  <c r="U35" i="3" s="1"/>
  <c r="V35" i="3" s="1"/>
  <c r="W35" i="3" s="1"/>
  <c r="P35" i="3"/>
  <c r="Q35" i="3" s="1"/>
  <c r="L35" i="3"/>
  <c r="M35" i="3" s="1"/>
  <c r="N35" i="3" s="1"/>
  <c r="O35" i="3" s="1"/>
  <c r="H35" i="3"/>
  <c r="I35" i="3" s="1"/>
  <c r="J35" i="3" s="1"/>
  <c r="K35" i="3" s="1"/>
  <c r="D35" i="3"/>
  <c r="E35" i="3" s="1"/>
  <c r="BZ40" i="3"/>
  <c r="BZ127" i="3" s="1"/>
  <c r="BY40" i="3"/>
  <c r="BY127" i="3" s="1"/>
  <c r="BZ39" i="3"/>
  <c r="BZ126" i="3" s="1"/>
  <c r="BZ38" i="3"/>
  <c r="BZ125" i="3" s="1"/>
  <c r="BZ37" i="3"/>
  <c r="BZ124" i="3" s="1"/>
  <c r="BY37" i="3"/>
  <c r="BY124" i="3" s="1"/>
  <c r="BZ36" i="3"/>
  <c r="BZ123" i="3" s="1"/>
  <c r="BY36" i="3"/>
  <c r="BY123" i="3" s="1"/>
  <c r="BZ34" i="3"/>
  <c r="BZ121" i="3" s="1"/>
  <c r="BY34" i="3"/>
  <c r="BY121" i="3" s="1"/>
  <c r="BZ33" i="3"/>
  <c r="BZ120" i="3" s="1"/>
  <c r="BY33" i="3"/>
  <c r="BY120" i="3" s="1"/>
  <c r="BZ32" i="3"/>
  <c r="BZ119" i="3" s="1"/>
  <c r="BY32" i="3"/>
  <c r="BZ31" i="3"/>
  <c r="BZ118" i="3" s="1"/>
  <c r="AV34" i="3"/>
  <c r="AR34" i="3"/>
  <c r="AS34" i="3" s="1"/>
  <c r="AT34" i="3" s="1"/>
  <c r="AU34" i="3" s="1"/>
  <c r="AN34" i="3"/>
  <c r="AO34" i="3" s="1"/>
  <c r="AJ34" i="3"/>
  <c r="AK34" i="3" s="1"/>
  <c r="AL34" i="3" s="1"/>
  <c r="AM34" i="3" s="1"/>
  <c r="AF34" i="3"/>
  <c r="AB34" i="3"/>
  <c r="AC34" i="3" s="1"/>
  <c r="AD34" i="3" s="1"/>
  <c r="AE34" i="3" s="1"/>
  <c r="X34" i="3"/>
  <c r="Y34" i="3" s="1"/>
  <c r="T34" i="3"/>
  <c r="U34" i="3" s="1"/>
  <c r="V34" i="3" s="1"/>
  <c r="W34" i="3" s="1"/>
  <c r="P34" i="3"/>
  <c r="L34" i="3"/>
  <c r="M34" i="3" s="1"/>
  <c r="N34" i="3" s="1"/>
  <c r="O34" i="3" s="1"/>
  <c r="H34" i="3"/>
  <c r="I34" i="3" s="1"/>
  <c r="D34" i="3"/>
  <c r="E34" i="3" s="1"/>
  <c r="F34" i="3" s="1"/>
  <c r="G34" i="3" s="1"/>
  <c r="AV33" i="3"/>
  <c r="AW33" i="3" s="1"/>
  <c r="AR33" i="3"/>
  <c r="AS33" i="3" s="1"/>
  <c r="AT33" i="3" s="1"/>
  <c r="AU33" i="3" s="1"/>
  <c r="AN33" i="3"/>
  <c r="AJ33" i="3"/>
  <c r="AK33" i="3" s="1"/>
  <c r="AL33" i="3" s="1"/>
  <c r="AM33" i="3" s="1"/>
  <c r="AF33" i="3"/>
  <c r="AG33" i="3" s="1"/>
  <c r="AB33" i="3"/>
  <c r="AC33" i="3" s="1"/>
  <c r="AD33" i="3" s="1"/>
  <c r="AE33" i="3" s="1"/>
  <c r="X33" i="3"/>
  <c r="T33" i="3"/>
  <c r="U33" i="3" s="1"/>
  <c r="V33" i="3" s="1"/>
  <c r="W33" i="3" s="1"/>
  <c r="P33" i="3"/>
  <c r="Q33" i="3" s="1"/>
  <c r="L33" i="3"/>
  <c r="M33" i="3" s="1"/>
  <c r="N33" i="3" s="1"/>
  <c r="O33" i="3" s="1"/>
  <c r="H33" i="3"/>
  <c r="D33" i="3"/>
  <c r="E33" i="3" s="1"/>
  <c r="F33" i="3" s="1"/>
  <c r="G33" i="3" s="1"/>
  <c r="AV32" i="3"/>
  <c r="AR32" i="3"/>
  <c r="AS32" i="3" s="1"/>
  <c r="AT32" i="3" s="1"/>
  <c r="AU32" i="3" s="1"/>
  <c r="AN32" i="3"/>
  <c r="AO32" i="3" s="1"/>
  <c r="AJ32" i="3"/>
  <c r="AK32" i="3" s="1"/>
  <c r="AL32" i="3" s="1"/>
  <c r="AM32" i="3" s="1"/>
  <c r="AF32" i="3"/>
  <c r="AB32" i="3"/>
  <c r="AC32" i="3" s="1"/>
  <c r="AD32" i="3" s="1"/>
  <c r="AE32" i="3" s="1"/>
  <c r="X32" i="3"/>
  <c r="Y32" i="3" s="1"/>
  <c r="T32" i="3"/>
  <c r="U32" i="3" s="1"/>
  <c r="V32" i="3" s="1"/>
  <c r="W32" i="3" s="1"/>
  <c r="P32" i="3"/>
  <c r="L32" i="3"/>
  <c r="M32" i="3" s="1"/>
  <c r="N32" i="3" s="1"/>
  <c r="O32" i="3" s="1"/>
  <c r="H32" i="3"/>
  <c r="I32" i="3" s="1"/>
  <c r="D32" i="3"/>
  <c r="E32" i="3" s="1"/>
  <c r="F32" i="3" s="1"/>
  <c r="G32" i="3" s="1"/>
  <c r="AV31" i="3"/>
  <c r="AW31" i="3" s="1"/>
  <c r="AR31" i="3"/>
  <c r="AS31" i="3" s="1"/>
  <c r="AT31" i="3" s="1"/>
  <c r="AU31" i="3" s="1"/>
  <c r="AN31" i="3"/>
  <c r="AJ31" i="3"/>
  <c r="AK31" i="3" s="1"/>
  <c r="AL31" i="3" s="1"/>
  <c r="AM31" i="3" s="1"/>
  <c r="AF31" i="3"/>
  <c r="AG31" i="3" s="1"/>
  <c r="AB31" i="3"/>
  <c r="AC31" i="3" s="1"/>
  <c r="AD31" i="3" s="1"/>
  <c r="AE31" i="3" s="1"/>
  <c r="X31" i="3"/>
  <c r="T31" i="3"/>
  <c r="U31" i="3" s="1"/>
  <c r="V31" i="3" s="1"/>
  <c r="W31" i="3" s="1"/>
  <c r="P31" i="3"/>
  <c r="Q31" i="3" s="1"/>
  <c r="L31" i="3"/>
  <c r="M31" i="3" s="1"/>
  <c r="N31" i="3" s="1"/>
  <c r="O31" i="3" s="1"/>
  <c r="H31" i="3"/>
  <c r="D31" i="3"/>
  <c r="E31" i="3" s="1"/>
  <c r="F31" i="3" s="1"/>
  <c r="G31" i="3" s="1"/>
  <c r="BG30" i="3"/>
  <c r="BF30" i="3"/>
  <c r="BE30" i="3"/>
  <c r="AV30" i="3"/>
  <c r="AV41" i="3" s="1"/>
  <c r="AR30" i="3"/>
  <c r="AN30" i="3"/>
  <c r="AN41" i="3" s="1"/>
  <c r="AJ30" i="3"/>
  <c r="AJ65" i="3" s="1"/>
  <c r="AJ67" i="3" s="1"/>
  <c r="AF30" i="3"/>
  <c r="AF65" i="3" s="1"/>
  <c r="AF67" i="3" s="1"/>
  <c r="AB30" i="3"/>
  <c r="AB65" i="3" s="1"/>
  <c r="AB67" i="3" s="1"/>
  <c r="X30" i="3"/>
  <c r="X65" i="3" s="1"/>
  <c r="X67" i="3" s="1"/>
  <c r="T30" i="3"/>
  <c r="T65" i="3" s="1"/>
  <c r="T67" i="3" s="1"/>
  <c r="P30" i="3"/>
  <c r="P65" i="3" s="1"/>
  <c r="P67" i="3" s="1"/>
  <c r="L30" i="3"/>
  <c r="L65" i="3" s="1"/>
  <c r="L67" i="3" s="1"/>
  <c r="H30" i="3"/>
  <c r="H65" i="3" s="1"/>
  <c r="H67" i="3" s="1"/>
  <c r="D30" i="3"/>
  <c r="D65" i="3" s="1"/>
  <c r="D67" i="3" s="1"/>
  <c r="B27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AV26" i="3"/>
  <c r="AW26" i="3" s="1"/>
  <c r="AX26" i="3" s="1"/>
  <c r="AY26" i="3" s="1"/>
  <c r="AR26" i="3"/>
  <c r="AS26" i="3" s="1"/>
  <c r="AT26" i="3" s="1"/>
  <c r="AU26" i="3" s="1"/>
  <c r="AN26" i="3"/>
  <c r="AO26" i="3" s="1"/>
  <c r="AJ26" i="3"/>
  <c r="AK26" i="3" s="1"/>
  <c r="AF26" i="3"/>
  <c r="AG26" i="3" s="1"/>
  <c r="AH26" i="3" s="1"/>
  <c r="AI26" i="3" s="1"/>
  <c r="AB26" i="3"/>
  <c r="AC26" i="3" s="1"/>
  <c r="AD26" i="3" s="1"/>
  <c r="AE26" i="3" s="1"/>
  <c r="X26" i="3"/>
  <c r="Y26" i="3" s="1"/>
  <c r="T26" i="3"/>
  <c r="U26" i="3" s="1"/>
  <c r="P26" i="3"/>
  <c r="Q26" i="3" s="1"/>
  <c r="R26" i="3" s="1"/>
  <c r="S26" i="3" s="1"/>
  <c r="L26" i="3"/>
  <c r="M26" i="3" s="1"/>
  <c r="N26" i="3" s="1"/>
  <c r="O26" i="3" s="1"/>
  <c r="H26" i="3"/>
  <c r="I26" i="3" s="1"/>
  <c r="D26" i="3"/>
  <c r="E26" i="3" s="1"/>
  <c r="AV25" i="3"/>
  <c r="AW25" i="3" s="1"/>
  <c r="AR25" i="3"/>
  <c r="AS25" i="3" s="1"/>
  <c r="AT25" i="3" s="1"/>
  <c r="AU25" i="3" s="1"/>
  <c r="AN25" i="3"/>
  <c r="AO25" i="3" s="1"/>
  <c r="AP25" i="3" s="1"/>
  <c r="AQ25" i="3" s="1"/>
  <c r="AJ25" i="3"/>
  <c r="AK25" i="3" s="1"/>
  <c r="AF25" i="3"/>
  <c r="AG25" i="3" s="1"/>
  <c r="AB25" i="3"/>
  <c r="AC25" i="3" s="1"/>
  <c r="AD25" i="3" s="1"/>
  <c r="AE25" i="3" s="1"/>
  <c r="X25" i="3"/>
  <c r="Y25" i="3" s="1"/>
  <c r="Z25" i="3" s="1"/>
  <c r="AA25" i="3" s="1"/>
  <c r="T25" i="3"/>
  <c r="U25" i="3" s="1"/>
  <c r="V25" i="3" s="1"/>
  <c r="W25" i="3" s="1"/>
  <c r="P25" i="3"/>
  <c r="Q25" i="3" s="1"/>
  <c r="R25" i="3" s="1"/>
  <c r="S25" i="3" s="1"/>
  <c r="L25" i="3"/>
  <c r="M25" i="3" s="1"/>
  <c r="H25" i="3"/>
  <c r="I25" i="3" s="1"/>
  <c r="J25" i="3" s="1"/>
  <c r="K25" i="3" s="1"/>
  <c r="D25" i="3"/>
  <c r="E25" i="3" s="1"/>
  <c r="F25" i="3" s="1"/>
  <c r="G25" i="3" s="1"/>
  <c r="AV24" i="3"/>
  <c r="AW24" i="3" s="1"/>
  <c r="AX24" i="3" s="1"/>
  <c r="AY24" i="3" s="1"/>
  <c r="AR24" i="3"/>
  <c r="AS24" i="3" s="1"/>
  <c r="AN24" i="3"/>
  <c r="AO24" i="3" s="1"/>
  <c r="AJ24" i="3"/>
  <c r="AK24" i="3" s="1"/>
  <c r="AL24" i="3" s="1"/>
  <c r="AM24" i="3" s="1"/>
  <c r="AF24" i="3"/>
  <c r="AG24" i="3" s="1"/>
  <c r="AH24" i="3" s="1"/>
  <c r="AI24" i="3" s="1"/>
  <c r="AB24" i="3"/>
  <c r="AC24" i="3" s="1"/>
  <c r="X24" i="3"/>
  <c r="Y24" i="3" s="1"/>
  <c r="T24" i="3"/>
  <c r="U24" i="3" s="1"/>
  <c r="V24" i="3" s="1"/>
  <c r="W24" i="3" s="1"/>
  <c r="P24" i="3"/>
  <c r="Q24" i="3" s="1"/>
  <c r="R24" i="3" s="1"/>
  <c r="S24" i="3" s="1"/>
  <c r="L24" i="3"/>
  <c r="M24" i="3" s="1"/>
  <c r="H24" i="3"/>
  <c r="I24" i="3" s="1"/>
  <c r="D24" i="3"/>
  <c r="E24" i="3" s="1"/>
  <c r="F24" i="3" s="1"/>
  <c r="G24" i="3" s="1"/>
  <c r="AV23" i="3"/>
  <c r="AW23" i="3" s="1"/>
  <c r="AX23" i="3" s="1"/>
  <c r="AY23" i="3" s="1"/>
  <c r="AR23" i="3"/>
  <c r="AS23" i="3" s="1"/>
  <c r="AT23" i="3" s="1"/>
  <c r="AU23" i="3" s="1"/>
  <c r="AN23" i="3"/>
  <c r="AO23" i="3" s="1"/>
  <c r="AP23" i="3" s="1"/>
  <c r="AQ23" i="3" s="1"/>
  <c r="AJ23" i="3"/>
  <c r="AK23" i="3" s="1"/>
  <c r="AF23" i="3"/>
  <c r="AG23" i="3" s="1"/>
  <c r="AH23" i="3" s="1"/>
  <c r="AI23" i="3" s="1"/>
  <c r="AB23" i="3"/>
  <c r="AC23" i="3" s="1"/>
  <c r="AD23" i="3" s="1"/>
  <c r="AE23" i="3" s="1"/>
  <c r="X23" i="3"/>
  <c r="Y23" i="3" s="1"/>
  <c r="Z23" i="3" s="1"/>
  <c r="AA23" i="3" s="1"/>
  <c r="T23" i="3"/>
  <c r="U23" i="3" s="1"/>
  <c r="P23" i="3"/>
  <c r="Q23" i="3" s="1"/>
  <c r="R23" i="3" s="1"/>
  <c r="S23" i="3" s="1"/>
  <c r="L23" i="3"/>
  <c r="M23" i="3" s="1"/>
  <c r="N23" i="3" s="1"/>
  <c r="O23" i="3" s="1"/>
  <c r="H23" i="3"/>
  <c r="I23" i="3" s="1"/>
  <c r="J23" i="3" s="1"/>
  <c r="K23" i="3" s="1"/>
  <c r="D23" i="3"/>
  <c r="E23" i="3" s="1"/>
  <c r="AV22" i="3"/>
  <c r="AW22" i="3" s="1"/>
  <c r="AX22" i="3" s="1"/>
  <c r="AY22" i="3" s="1"/>
  <c r="AR22" i="3"/>
  <c r="AS22" i="3" s="1"/>
  <c r="AT22" i="3" s="1"/>
  <c r="AU22" i="3" s="1"/>
  <c r="AN22" i="3"/>
  <c r="AO22" i="3" s="1"/>
  <c r="AP22" i="3" s="1"/>
  <c r="AQ22" i="3" s="1"/>
  <c r="AJ22" i="3"/>
  <c r="AK22" i="3" s="1"/>
  <c r="AL22" i="3" s="1"/>
  <c r="AM22" i="3" s="1"/>
  <c r="AF22" i="3"/>
  <c r="AG22" i="3" s="1"/>
  <c r="AH22" i="3" s="1"/>
  <c r="AI22" i="3" s="1"/>
  <c r="AB22" i="3"/>
  <c r="AC22" i="3" s="1"/>
  <c r="AD22" i="3" s="1"/>
  <c r="AE22" i="3" s="1"/>
  <c r="X22" i="3"/>
  <c r="Y22" i="3" s="1"/>
  <c r="Z22" i="3" s="1"/>
  <c r="AA22" i="3" s="1"/>
  <c r="T22" i="3"/>
  <c r="U22" i="3" s="1"/>
  <c r="V22" i="3" s="1"/>
  <c r="W22" i="3" s="1"/>
  <c r="P22" i="3"/>
  <c r="Q22" i="3" s="1"/>
  <c r="R22" i="3" s="1"/>
  <c r="S22" i="3" s="1"/>
  <c r="L22" i="3"/>
  <c r="M22" i="3" s="1"/>
  <c r="N22" i="3" s="1"/>
  <c r="O22" i="3" s="1"/>
  <c r="H22" i="3"/>
  <c r="I22" i="3" s="1"/>
  <c r="J22" i="3" s="1"/>
  <c r="K22" i="3" s="1"/>
  <c r="D22" i="3"/>
  <c r="E22" i="3" s="1"/>
  <c r="F22" i="3" s="1"/>
  <c r="G22" i="3" s="1"/>
  <c r="AV21" i="3"/>
  <c r="AW21" i="3" s="1"/>
  <c r="AX21" i="3" s="1"/>
  <c r="AY21" i="3" s="1"/>
  <c r="AR21" i="3"/>
  <c r="AS21" i="3" s="1"/>
  <c r="AN21" i="3"/>
  <c r="AO21" i="3" s="1"/>
  <c r="AP21" i="3" s="1"/>
  <c r="AQ21" i="3" s="1"/>
  <c r="AJ21" i="3"/>
  <c r="AK21" i="3" s="1"/>
  <c r="AL21" i="3" s="1"/>
  <c r="AM21" i="3" s="1"/>
  <c r="AF21" i="3"/>
  <c r="AG21" i="3" s="1"/>
  <c r="AH21" i="3" s="1"/>
  <c r="AI21" i="3" s="1"/>
  <c r="AB21" i="3"/>
  <c r="AC21" i="3" s="1"/>
  <c r="X21" i="3"/>
  <c r="Y21" i="3" s="1"/>
  <c r="Z21" i="3" s="1"/>
  <c r="AA21" i="3" s="1"/>
  <c r="T21" i="3"/>
  <c r="U21" i="3" s="1"/>
  <c r="V21" i="3" s="1"/>
  <c r="W21" i="3" s="1"/>
  <c r="P21" i="3"/>
  <c r="Q21" i="3" s="1"/>
  <c r="R21" i="3" s="1"/>
  <c r="S21" i="3" s="1"/>
  <c r="L21" i="3"/>
  <c r="M21" i="3" s="1"/>
  <c r="H21" i="3"/>
  <c r="I21" i="3" s="1"/>
  <c r="J21" i="3" s="1"/>
  <c r="K21" i="3" s="1"/>
  <c r="D21" i="3"/>
  <c r="E21" i="3" s="1"/>
  <c r="F21" i="3" s="1"/>
  <c r="G21" i="3" s="1"/>
  <c r="AV20" i="3"/>
  <c r="AW20" i="3" s="1"/>
  <c r="AX20" i="3" s="1"/>
  <c r="AY20" i="3" s="1"/>
  <c r="AR20" i="3"/>
  <c r="AS20" i="3" s="1"/>
  <c r="AT20" i="3" s="1"/>
  <c r="AU20" i="3" s="1"/>
  <c r="AN20" i="3"/>
  <c r="AO20" i="3" s="1"/>
  <c r="AJ20" i="3"/>
  <c r="AK20" i="3" s="1"/>
  <c r="AL20" i="3" s="1"/>
  <c r="AM20" i="3" s="1"/>
  <c r="AF20" i="3"/>
  <c r="AG20" i="3" s="1"/>
  <c r="AH20" i="3" s="1"/>
  <c r="AI20" i="3" s="1"/>
  <c r="AB20" i="3"/>
  <c r="AC20" i="3" s="1"/>
  <c r="AD20" i="3" s="1"/>
  <c r="AE20" i="3" s="1"/>
  <c r="X20" i="3"/>
  <c r="Y20" i="3" s="1"/>
  <c r="T20" i="3"/>
  <c r="U20" i="3" s="1"/>
  <c r="V20" i="3" s="1"/>
  <c r="W20" i="3" s="1"/>
  <c r="P20" i="3"/>
  <c r="Q20" i="3" s="1"/>
  <c r="R20" i="3" s="1"/>
  <c r="S20" i="3" s="1"/>
  <c r="L20" i="3"/>
  <c r="M20" i="3" s="1"/>
  <c r="N20" i="3" s="1"/>
  <c r="O20" i="3" s="1"/>
  <c r="H20" i="3"/>
  <c r="I20" i="3" s="1"/>
  <c r="D20" i="3"/>
  <c r="E20" i="3" s="1"/>
  <c r="F20" i="3" s="1"/>
  <c r="G20" i="3" s="1"/>
  <c r="AV18" i="3"/>
  <c r="AW18" i="3" s="1"/>
  <c r="AX18" i="3" s="1"/>
  <c r="AY18" i="3" s="1"/>
  <c r="AR18" i="3"/>
  <c r="AS18" i="3" s="1"/>
  <c r="AN18" i="3"/>
  <c r="AO18" i="3" s="1"/>
  <c r="AP18" i="3" s="1"/>
  <c r="AQ18" i="3" s="1"/>
  <c r="AJ18" i="3"/>
  <c r="AK18" i="3" s="1"/>
  <c r="AL18" i="3" s="1"/>
  <c r="AM18" i="3" s="1"/>
  <c r="AF18" i="3"/>
  <c r="AG18" i="3" s="1"/>
  <c r="AH18" i="3" s="1"/>
  <c r="AI18" i="3" s="1"/>
  <c r="AB18" i="3"/>
  <c r="AC18" i="3" s="1"/>
  <c r="X18" i="3"/>
  <c r="T18" i="3"/>
  <c r="U18" i="3" s="1"/>
  <c r="V18" i="3" s="1"/>
  <c r="P18" i="3"/>
  <c r="Q18" i="3" s="1"/>
  <c r="R18" i="3" s="1"/>
  <c r="S18" i="3" s="1"/>
  <c r="L18" i="3"/>
  <c r="H18" i="3"/>
  <c r="D18" i="3"/>
  <c r="E18" i="3" s="1"/>
  <c r="F18" i="3" s="1"/>
  <c r="G18" i="3" s="1"/>
  <c r="AV17" i="3"/>
  <c r="AW17" i="3" s="1"/>
  <c r="AR17" i="3"/>
  <c r="AS17" i="3" s="1"/>
  <c r="AT17" i="3" s="1"/>
  <c r="AU17" i="3" s="1"/>
  <c r="AN17" i="3"/>
  <c r="AO17" i="3" s="1"/>
  <c r="AJ17" i="3"/>
  <c r="AK17" i="3" s="1"/>
  <c r="AL17" i="3" s="1"/>
  <c r="AM17" i="3" s="1"/>
  <c r="AF17" i="3"/>
  <c r="AG17" i="3" s="1"/>
  <c r="AH17" i="3" s="1"/>
  <c r="AB17" i="3"/>
  <c r="AC17" i="3" s="1"/>
  <c r="X17" i="3"/>
  <c r="Y17" i="3" s="1"/>
  <c r="Z17" i="3" s="1"/>
  <c r="T17" i="3"/>
  <c r="U17" i="3" s="1"/>
  <c r="V17" i="3" s="1"/>
  <c r="W17" i="3" s="1"/>
  <c r="P17" i="3"/>
  <c r="Q17" i="3" s="1"/>
  <c r="R17" i="3" s="1"/>
  <c r="L17" i="3"/>
  <c r="M17" i="3" s="1"/>
  <c r="H17" i="3"/>
  <c r="I17" i="3" s="1"/>
  <c r="J17" i="3" s="1"/>
  <c r="D17" i="3"/>
  <c r="E17" i="3" s="1"/>
  <c r="F17" i="3" s="1"/>
  <c r="G17" i="3" s="1"/>
  <c r="BZ16" i="3"/>
  <c r="BY16" i="3"/>
  <c r="AV16" i="3"/>
  <c r="AR16" i="3"/>
  <c r="AR68" i="3" s="1"/>
  <c r="AN16" i="3"/>
  <c r="AJ16" i="3"/>
  <c r="AJ68" i="3" s="1"/>
  <c r="AF16" i="3"/>
  <c r="AB16" i="3"/>
  <c r="AB68" i="3" s="1"/>
  <c r="X16" i="3"/>
  <c r="T16" i="3"/>
  <c r="T68" i="3" s="1"/>
  <c r="P16" i="3"/>
  <c r="L16" i="3"/>
  <c r="L68" i="3" s="1"/>
  <c r="H16" i="3"/>
  <c r="D16" i="3"/>
  <c r="D68" i="3" s="1"/>
  <c r="BG15" i="3"/>
  <c r="BF15" i="3"/>
  <c r="BE15" i="3"/>
  <c r="AV15" i="3"/>
  <c r="AR15" i="3"/>
  <c r="AS15" i="3" s="1"/>
  <c r="AN15" i="3"/>
  <c r="AJ15" i="3"/>
  <c r="AF15" i="3"/>
  <c r="AB15" i="3"/>
  <c r="AC15" i="3" s="1"/>
  <c r="X15" i="3"/>
  <c r="T15" i="3"/>
  <c r="P15" i="3"/>
  <c r="L15" i="3"/>
  <c r="M15" i="3" s="1"/>
  <c r="H15" i="3"/>
  <c r="D15" i="3"/>
  <c r="AV14" i="3"/>
  <c r="AW14" i="3" s="1"/>
  <c r="AX14" i="3" s="1"/>
  <c r="AY14" i="3" s="1"/>
  <c r="AR14" i="3"/>
  <c r="AS14" i="3" s="1"/>
  <c r="AN14" i="3"/>
  <c r="AJ14" i="3"/>
  <c r="AK14" i="3" s="1"/>
  <c r="AF14" i="3"/>
  <c r="AG14" i="3" s="1"/>
  <c r="AH14" i="3" s="1"/>
  <c r="AI14" i="3" s="1"/>
  <c r="AB14" i="3"/>
  <c r="AC14" i="3" s="1"/>
  <c r="X14" i="3"/>
  <c r="T14" i="3"/>
  <c r="U14" i="3" s="1"/>
  <c r="P14" i="3"/>
  <c r="Q14" i="3" s="1"/>
  <c r="R14" i="3" s="1"/>
  <c r="S14" i="3" s="1"/>
  <c r="L14" i="3"/>
  <c r="M14" i="3" s="1"/>
  <c r="H14" i="3"/>
  <c r="D14" i="3"/>
  <c r="E14" i="3" s="1"/>
  <c r="BZ14" i="3"/>
  <c r="BZ101" i="3" s="1"/>
  <c r="BG13" i="3"/>
  <c r="BG68" i="3" s="1"/>
  <c r="BF13" i="3"/>
  <c r="BF68" i="3" s="1"/>
  <c r="BE13" i="3"/>
  <c r="BE68" i="3" s="1"/>
  <c r="BD13" i="3"/>
  <c r="AV13" i="3"/>
  <c r="AR13" i="3"/>
  <c r="AS13" i="3" s="1"/>
  <c r="AT13" i="3" s="1"/>
  <c r="AU13" i="3" s="1"/>
  <c r="AN13" i="3"/>
  <c r="AO13" i="3" s="1"/>
  <c r="AP13" i="3" s="1"/>
  <c r="AQ13" i="3" s="1"/>
  <c r="AJ13" i="3"/>
  <c r="AF13" i="3"/>
  <c r="AB13" i="3"/>
  <c r="AC13" i="3" s="1"/>
  <c r="AD13" i="3" s="1"/>
  <c r="AE13" i="3" s="1"/>
  <c r="X13" i="3"/>
  <c r="Y13" i="3" s="1"/>
  <c r="Z13" i="3" s="1"/>
  <c r="AA13" i="3" s="1"/>
  <c r="T13" i="3"/>
  <c r="P13" i="3"/>
  <c r="L13" i="3"/>
  <c r="M13" i="3" s="1"/>
  <c r="N13" i="3" s="1"/>
  <c r="O13" i="3" s="1"/>
  <c r="H13" i="3"/>
  <c r="I13" i="3" s="1"/>
  <c r="J13" i="3" s="1"/>
  <c r="K13" i="3" s="1"/>
  <c r="D13" i="3"/>
  <c r="AV12" i="3"/>
  <c r="AR12" i="3"/>
  <c r="AN12" i="3"/>
  <c r="AO12" i="3" s="1"/>
  <c r="AP12" i="3" s="1"/>
  <c r="AQ12" i="3" s="1"/>
  <c r="AJ12" i="3"/>
  <c r="AK12" i="3" s="1"/>
  <c r="AL12" i="3" s="1"/>
  <c r="AM12" i="3" s="1"/>
  <c r="AF12" i="3"/>
  <c r="AB12" i="3"/>
  <c r="X12" i="3"/>
  <c r="Y12" i="3" s="1"/>
  <c r="Z12" i="3" s="1"/>
  <c r="AA12" i="3" s="1"/>
  <c r="T12" i="3"/>
  <c r="U12" i="3" s="1"/>
  <c r="V12" i="3" s="1"/>
  <c r="W12" i="3" s="1"/>
  <c r="P12" i="3"/>
  <c r="L12" i="3"/>
  <c r="H12" i="3"/>
  <c r="I12" i="3" s="1"/>
  <c r="J12" i="3" s="1"/>
  <c r="K12" i="3" s="1"/>
  <c r="D12" i="3"/>
  <c r="E12" i="3" s="1"/>
  <c r="F12" i="3" s="1"/>
  <c r="G12" i="3" s="1"/>
  <c r="BG11" i="3"/>
  <c r="BG82" i="3" s="1"/>
  <c r="BG83" i="3" s="1"/>
  <c r="BF11" i="3"/>
  <c r="BF82" i="3" s="1"/>
  <c r="BF83" i="3" s="1"/>
  <c r="BE11" i="3"/>
  <c r="BE82" i="3" s="1"/>
  <c r="BE83" i="3" s="1"/>
  <c r="AV11" i="3"/>
  <c r="AR11" i="3"/>
  <c r="AN11" i="3"/>
  <c r="AJ11" i="3"/>
  <c r="AF11" i="3"/>
  <c r="AB11" i="3"/>
  <c r="X11" i="3"/>
  <c r="T11" i="3"/>
  <c r="P11" i="3"/>
  <c r="L11" i="3"/>
  <c r="H11" i="3"/>
  <c r="D11" i="3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AY93" i="2"/>
  <c r="AX93" i="2"/>
  <c r="AW93" i="2"/>
  <c r="AV93" i="2"/>
  <c r="AU93" i="2"/>
  <c r="AT93" i="2"/>
  <c r="AS93" i="2"/>
  <c r="AR93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AY85" i="2"/>
  <c r="AY89" i="2" s="1"/>
  <c r="AY91" i="2" s="1"/>
  <c r="AY94" i="2" s="1"/>
  <c r="AX85" i="2"/>
  <c r="AX89" i="2" s="1"/>
  <c r="AX91" i="2" s="1"/>
  <c r="AX94" i="2" s="1"/>
  <c r="AW85" i="2"/>
  <c r="AV85" i="2"/>
  <c r="AV89" i="2" s="1"/>
  <c r="AV91" i="2" s="1"/>
  <c r="AV94" i="2" s="1"/>
  <c r="AU85" i="2"/>
  <c r="AU89" i="2" s="1"/>
  <c r="AU91" i="2" s="1"/>
  <c r="AU94" i="2" s="1"/>
  <c r="AT85" i="2"/>
  <c r="AT89" i="2" s="1"/>
  <c r="AT91" i="2" s="1"/>
  <c r="AT94" i="2" s="1"/>
  <c r="AS85" i="2"/>
  <c r="AR85" i="2"/>
  <c r="AR89" i="2" s="1"/>
  <c r="AR91" i="2" s="1"/>
  <c r="AR94" i="2" s="1"/>
  <c r="AQ85" i="2"/>
  <c r="AQ89" i="2" s="1"/>
  <c r="AQ91" i="2" s="1"/>
  <c r="AP85" i="2"/>
  <c r="AP89" i="2" s="1"/>
  <c r="AP91" i="2" s="1"/>
  <c r="AO85" i="2"/>
  <c r="AO89" i="2" s="1"/>
  <c r="AO91" i="2" s="1"/>
  <c r="AN85" i="2"/>
  <c r="AN89" i="2" s="1"/>
  <c r="AN91" i="2" s="1"/>
  <c r="AM85" i="2"/>
  <c r="AM89" i="2" s="1"/>
  <c r="AM91" i="2" s="1"/>
  <c r="AL85" i="2"/>
  <c r="AL89" i="2" s="1"/>
  <c r="AL91" i="2" s="1"/>
  <c r="AK85" i="2"/>
  <c r="AK89" i="2" s="1"/>
  <c r="AK91" i="2" s="1"/>
  <c r="AJ85" i="2"/>
  <c r="AJ89" i="2" s="1"/>
  <c r="AJ91" i="2" s="1"/>
  <c r="AI85" i="2"/>
  <c r="AI89" i="2" s="1"/>
  <c r="AI91" i="2" s="1"/>
  <c r="AH85" i="2"/>
  <c r="AH89" i="2" s="1"/>
  <c r="AH91" i="2" s="1"/>
  <c r="AG85" i="2"/>
  <c r="AF85" i="2"/>
  <c r="AF89" i="2" s="1"/>
  <c r="AF91" i="2" s="1"/>
  <c r="AE85" i="2"/>
  <c r="AE89" i="2" s="1"/>
  <c r="AE91" i="2" s="1"/>
  <c r="AD85" i="2"/>
  <c r="AD89" i="2" s="1"/>
  <c r="AD91" i="2" s="1"/>
  <c r="AC85" i="2"/>
  <c r="AB85" i="2"/>
  <c r="AB89" i="2" s="1"/>
  <c r="AB91" i="2" s="1"/>
  <c r="AA85" i="2"/>
  <c r="AA89" i="2" s="1"/>
  <c r="AA91" i="2" s="1"/>
  <c r="Z85" i="2"/>
  <c r="Z89" i="2" s="1"/>
  <c r="Z91" i="2" s="1"/>
  <c r="Y85" i="2"/>
  <c r="X85" i="2"/>
  <c r="X89" i="2" s="1"/>
  <c r="X91" i="2" s="1"/>
  <c r="W85" i="2"/>
  <c r="W89" i="2" s="1"/>
  <c r="W91" i="2" s="1"/>
  <c r="V85" i="2"/>
  <c r="V89" i="2" s="1"/>
  <c r="V91" i="2" s="1"/>
  <c r="U85" i="2"/>
  <c r="U89" i="2" s="1"/>
  <c r="U91" i="2" s="1"/>
  <c r="T85" i="2"/>
  <c r="T89" i="2" s="1"/>
  <c r="T91" i="2" s="1"/>
  <c r="S85" i="2"/>
  <c r="S89" i="2" s="1"/>
  <c r="S91" i="2" s="1"/>
  <c r="R85" i="2"/>
  <c r="R89" i="2" s="1"/>
  <c r="R91" i="2" s="1"/>
  <c r="Q85" i="2"/>
  <c r="P85" i="2"/>
  <c r="P89" i="2" s="1"/>
  <c r="P91" i="2" s="1"/>
  <c r="O85" i="2"/>
  <c r="O89" i="2" s="1"/>
  <c r="O91" i="2" s="1"/>
  <c r="N85" i="2"/>
  <c r="N89" i="2" s="1"/>
  <c r="N91" i="2" s="1"/>
  <c r="M85" i="2"/>
  <c r="L85" i="2"/>
  <c r="L89" i="2" s="1"/>
  <c r="L91" i="2" s="1"/>
  <c r="K85" i="2"/>
  <c r="K89" i="2" s="1"/>
  <c r="K91" i="2" s="1"/>
  <c r="J85" i="2"/>
  <c r="J89" i="2" s="1"/>
  <c r="J91" i="2" s="1"/>
  <c r="I85" i="2"/>
  <c r="I89" i="2" s="1"/>
  <c r="I91" i="2" s="1"/>
  <c r="H85" i="2"/>
  <c r="H89" i="2" s="1"/>
  <c r="H91" i="2" s="1"/>
  <c r="G85" i="2"/>
  <c r="G89" i="2" s="1"/>
  <c r="G91" i="2" s="1"/>
  <c r="F85" i="2"/>
  <c r="F89" i="2" s="1"/>
  <c r="F91" i="2" s="1"/>
  <c r="E85" i="2"/>
  <c r="E89" i="2" s="1"/>
  <c r="E91" i="2" s="1"/>
  <c r="D85" i="2"/>
  <c r="D89" i="2" s="1"/>
  <c r="D91" i="2" s="1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AY77" i="2"/>
  <c r="AX77" i="2"/>
  <c r="AW77" i="2"/>
  <c r="AV77" i="2"/>
  <c r="AU77" i="2"/>
  <c r="AT77" i="2"/>
  <c r="AS77" i="2"/>
  <c r="AR77" i="2"/>
  <c r="AQ77" i="2"/>
  <c r="AP77" i="2"/>
  <c r="AO77" i="2"/>
  <c r="AO80" i="2" s="1"/>
  <c r="AN77" i="2"/>
  <c r="AN82" i="2" s="1"/>
  <c r="AM77" i="2"/>
  <c r="AM80" i="2" s="1"/>
  <c r="AL77" i="2"/>
  <c r="AL80" i="2" s="1"/>
  <c r="AK77" i="2"/>
  <c r="AK80" i="2" s="1"/>
  <c r="AJ77" i="2"/>
  <c r="AJ80" i="2" s="1"/>
  <c r="AI77" i="2"/>
  <c r="AI80" i="2" s="1"/>
  <c r="AH77" i="2"/>
  <c r="AH80" i="2" s="1"/>
  <c r="AG77" i="2"/>
  <c r="AG80" i="2" s="1"/>
  <c r="AF77" i="2"/>
  <c r="AF82" i="2" s="1"/>
  <c r="AE77" i="2"/>
  <c r="AE80" i="2" s="1"/>
  <c r="AD77" i="2"/>
  <c r="AD80" i="2" s="1"/>
  <c r="AC77" i="2"/>
  <c r="AC80" i="2" s="1"/>
  <c r="AB77" i="2"/>
  <c r="AB80" i="2" s="1"/>
  <c r="AA77" i="2"/>
  <c r="AA80" i="2" s="1"/>
  <c r="Z77" i="2"/>
  <c r="Z80" i="2" s="1"/>
  <c r="Y77" i="2"/>
  <c r="Y80" i="2" s="1"/>
  <c r="X77" i="2"/>
  <c r="X82" i="2" s="1"/>
  <c r="W77" i="2"/>
  <c r="W80" i="2" s="1"/>
  <c r="V77" i="2"/>
  <c r="V80" i="2" s="1"/>
  <c r="U77" i="2"/>
  <c r="U80" i="2" s="1"/>
  <c r="T77" i="2"/>
  <c r="T80" i="2" s="1"/>
  <c r="S77" i="2"/>
  <c r="S80" i="2" s="1"/>
  <c r="R77" i="2"/>
  <c r="R80" i="2" s="1"/>
  <c r="Q77" i="2"/>
  <c r="Q80" i="2" s="1"/>
  <c r="P77" i="2"/>
  <c r="P82" i="2" s="1"/>
  <c r="O77" i="2"/>
  <c r="O80" i="2" s="1"/>
  <c r="N77" i="2"/>
  <c r="N80" i="2" s="1"/>
  <c r="M77" i="2"/>
  <c r="M80" i="2" s="1"/>
  <c r="L77" i="2"/>
  <c r="L80" i="2" s="1"/>
  <c r="K77" i="2"/>
  <c r="K80" i="2" s="1"/>
  <c r="J77" i="2"/>
  <c r="I77" i="2"/>
  <c r="I80" i="2" s="1"/>
  <c r="H77" i="2"/>
  <c r="H82" i="2" s="1"/>
  <c r="G77" i="2"/>
  <c r="G80" i="2" s="1"/>
  <c r="F77" i="2"/>
  <c r="F80" i="2" s="1"/>
  <c r="E77" i="2"/>
  <c r="E80" i="2" s="1"/>
  <c r="D77" i="2"/>
  <c r="D80" i="2" s="1"/>
  <c r="AP73" i="2"/>
  <c r="AO72" i="2"/>
  <c r="AN72" i="2"/>
  <c r="AM72" i="2"/>
  <c r="BU72" i="2" s="1"/>
  <c r="BU73" i="2" s="1"/>
  <c r="AL72" i="2"/>
  <c r="AK72" i="2"/>
  <c r="AJ72" i="2"/>
  <c r="AI72" i="2"/>
  <c r="BT72" i="2" s="1"/>
  <c r="BT73" i="2" s="1"/>
  <c r="AH72" i="2"/>
  <c r="AG72" i="2"/>
  <c r="AF72" i="2"/>
  <c r="AE72" i="2"/>
  <c r="BS72" i="2" s="1"/>
  <c r="BS73" i="2" s="1"/>
  <c r="AD72" i="2"/>
  <c r="AC72" i="2"/>
  <c r="AB72" i="2"/>
  <c r="AA72" i="2"/>
  <c r="BR72" i="2" s="1"/>
  <c r="BR73" i="2" s="1"/>
  <c r="Z72" i="2"/>
  <c r="Y72" i="2"/>
  <c r="X72" i="2"/>
  <c r="W72" i="2"/>
  <c r="BQ72" i="2" s="1"/>
  <c r="BQ73" i="2" s="1"/>
  <c r="V72" i="2"/>
  <c r="U72" i="2"/>
  <c r="T72" i="2"/>
  <c r="S72" i="2"/>
  <c r="BP72" i="2" s="1"/>
  <c r="BP73" i="2" s="1"/>
  <c r="R72" i="2"/>
  <c r="Q72" i="2"/>
  <c r="P72" i="2"/>
  <c r="O72" i="2"/>
  <c r="BO72" i="2" s="1"/>
  <c r="BO73" i="2" s="1"/>
  <c r="N72" i="2"/>
  <c r="M72" i="2"/>
  <c r="L72" i="2"/>
  <c r="K72" i="2"/>
  <c r="BN72" i="2" s="1"/>
  <c r="BN73" i="2" s="1"/>
  <c r="J72" i="2"/>
  <c r="I72" i="2"/>
  <c r="H72" i="2"/>
  <c r="G72" i="2"/>
  <c r="BM72" i="2" s="1"/>
  <c r="BM73" i="2" s="1"/>
  <c r="F72" i="2"/>
  <c r="E72" i="2"/>
  <c r="D72" i="2"/>
  <c r="F69" i="2"/>
  <c r="E69" i="2"/>
  <c r="D69" i="2"/>
  <c r="AV68" i="2"/>
  <c r="AT68" i="2"/>
  <c r="AS68" i="2"/>
  <c r="AR68" i="2"/>
  <c r="AQ68" i="2"/>
  <c r="BV68" i="2" s="1"/>
  <c r="BV70" i="2" s="1"/>
  <c r="AC67" i="2"/>
  <c r="AW65" i="2"/>
  <c r="AV65" i="2"/>
  <c r="AT65" i="2"/>
  <c r="AS65" i="2"/>
  <c r="AR65" i="2"/>
  <c r="AQ65" i="2"/>
  <c r="AO65" i="2"/>
  <c r="AO70" i="2" s="1"/>
  <c r="AO73" i="2" s="1"/>
  <c r="AN65" i="2"/>
  <c r="AM65" i="2"/>
  <c r="AL65" i="2"/>
  <c r="AK65" i="2"/>
  <c r="AJ65" i="2"/>
  <c r="AI65" i="2"/>
  <c r="AH65" i="2"/>
  <c r="AG65" i="2"/>
  <c r="AG70" i="2" s="1"/>
  <c r="AG73" i="2" s="1"/>
  <c r="AF65" i="2"/>
  <c r="AE65" i="2"/>
  <c r="AD65" i="2"/>
  <c r="AC65" i="2"/>
  <c r="AB65" i="2"/>
  <c r="AA65" i="2"/>
  <c r="Z65" i="2"/>
  <c r="Y65" i="2"/>
  <c r="Y70" i="2" s="1"/>
  <c r="X65" i="2"/>
  <c r="X70" i="2" s="1"/>
  <c r="W65" i="2"/>
  <c r="V65" i="2"/>
  <c r="U65" i="2"/>
  <c r="T65" i="2"/>
  <c r="T70" i="2" s="1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AY62" i="2"/>
  <c r="BX62" i="2" s="1"/>
  <c r="BX65" i="2" s="1"/>
  <c r="BX70" i="2" s="1"/>
  <c r="AX62" i="2"/>
  <c r="AX65" i="2" s="1"/>
  <c r="AW62" i="2"/>
  <c r="AU62" i="2"/>
  <c r="BW62" i="2" s="1"/>
  <c r="BW65" i="2" s="1"/>
  <c r="BW70" i="2" s="1"/>
  <c r="AY57" i="2"/>
  <c r="AY52" i="2" s="1"/>
  <c r="AY51" i="2" s="1"/>
  <c r="AX57" i="2"/>
  <c r="AX53" i="2" s="1"/>
  <c r="AW57" i="2"/>
  <c r="AV57" i="2"/>
  <c r="AU57" i="2"/>
  <c r="AU53" i="2" s="1"/>
  <c r="AT57" i="2"/>
  <c r="AT53" i="2" s="1"/>
  <c r="AS57" i="2"/>
  <c r="AR57" i="2"/>
  <c r="AQ57" i="2"/>
  <c r="AQ52" i="2" s="1"/>
  <c r="AQ51" i="2" s="1"/>
  <c r="AP57" i="2"/>
  <c r="AP53" i="2" s="1"/>
  <c r="AO57" i="2"/>
  <c r="AN57" i="2"/>
  <c r="AM57" i="2"/>
  <c r="AM53" i="2" s="1"/>
  <c r="AL57" i="2"/>
  <c r="AL53" i="2" s="1"/>
  <c r="AK57" i="2"/>
  <c r="AJ57" i="2"/>
  <c r="AI57" i="2"/>
  <c r="AI52" i="2" s="1"/>
  <c r="AI51" i="2" s="1"/>
  <c r="AH57" i="2"/>
  <c r="AG57" i="2"/>
  <c r="AF57" i="2"/>
  <c r="AE57" i="2"/>
  <c r="AD57" i="2"/>
  <c r="AD53" i="2" s="1"/>
  <c r="AC57" i="2"/>
  <c r="AB57" i="2"/>
  <c r="Z57" i="2"/>
  <c r="Y57" i="2"/>
  <c r="X57" i="2"/>
  <c r="V57" i="2"/>
  <c r="U57" i="2"/>
  <c r="T57" i="2"/>
  <c r="R57" i="2"/>
  <c r="Q57" i="2"/>
  <c r="P57" i="2"/>
  <c r="N57" i="2"/>
  <c r="N53" i="2" s="1"/>
  <c r="M57" i="2"/>
  <c r="L57" i="2"/>
  <c r="J57" i="2"/>
  <c r="I57" i="2"/>
  <c r="H57" i="2"/>
  <c r="F57" i="2"/>
  <c r="E57" i="2"/>
  <c r="D57" i="2"/>
  <c r="AY56" i="2"/>
  <c r="AX56" i="2"/>
  <c r="AX50" i="2" s="1"/>
  <c r="AW56" i="2"/>
  <c r="AW50" i="2" s="1"/>
  <c r="AV56" i="2"/>
  <c r="AV54" i="2" s="1"/>
  <c r="AU56" i="2"/>
  <c r="AU54" i="2" s="1"/>
  <c r="AT56" i="2"/>
  <c r="AT54" i="2" s="1"/>
  <c r="AS56" i="2"/>
  <c r="AS50" i="2" s="1"/>
  <c r="AR56" i="2"/>
  <c r="AR54" i="2" s="1"/>
  <c r="AQ56" i="2"/>
  <c r="AQ50" i="2" s="1"/>
  <c r="AP56" i="2"/>
  <c r="AP50" i="2" s="1"/>
  <c r="AO56" i="2"/>
  <c r="AN56" i="2"/>
  <c r="AN54" i="2" s="1"/>
  <c r="AM56" i="2"/>
  <c r="AM50" i="2" s="1"/>
  <c r="AL56" i="2"/>
  <c r="AL54" i="2" s="1"/>
  <c r="AK56" i="2"/>
  <c r="AJ56" i="2"/>
  <c r="AJ54" i="2" s="1"/>
  <c r="AI56" i="2"/>
  <c r="AI50" i="2" s="1"/>
  <c r="AH56" i="2"/>
  <c r="AH50" i="2" s="1"/>
  <c r="AG56" i="2"/>
  <c r="AF56" i="2"/>
  <c r="AF54" i="2" s="1"/>
  <c r="AE56" i="2"/>
  <c r="AE50" i="2" s="1"/>
  <c r="AD56" i="2"/>
  <c r="AD54" i="2" s="1"/>
  <c r="AC56" i="2"/>
  <c r="AB56" i="2"/>
  <c r="AB54" i="2" s="1"/>
  <c r="Z56" i="2"/>
  <c r="Z54" i="2" s="1"/>
  <c r="Y56" i="2"/>
  <c r="X56" i="2"/>
  <c r="X54" i="2" s="1"/>
  <c r="V56" i="2"/>
  <c r="V54" i="2" s="1"/>
  <c r="U56" i="2"/>
  <c r="T56" i="2"/>
  <c r="T54" i="2" s="1"/>
  <c r="R56" i="2"/>
  <c r="R50" i="2" s="1"/>
  <c r="Q56" i="2"/>
  <c r="P56" i="2"/>
  <c r="P54" i="2" s="1"/>
  <c r="N56" i="2"/>
  <c r="N54" i="2" s="1"/>
  <c r="M56" i="2"/>
  <c r="L56" i="2"/>
  <c r="L54" i="2" s="1"/>
  <c r="J56" i="2"/>
  <c r="J54" i="2" s="1"/>
  <c r="I56" i="2"/>
  <c r="H56" i="2"/>
  <c r="H54" i="2" s="1"/>
  <c r="F56" i="2"/>
  <c r="F54" i="2" s="1"/>
  <c r="E56" i="2"/>
  <c r="D56" i="2"/>
  <c r="D54" i="2" s="1"/>
  <c r="R54" i="2"/>
  <c r="AY42" i="2"/>
  <c r="BX42" i="2" s="1"/>
  <c r="BX81" i="2" s="1"/>
  <c r="AX42" i="2"/>
  <c r="AW42" i="2"/>
  <c r="AV42" i="2"/>
  <c r="AU42" i="2"/>
  <c r="BW42" i="2" s="1"/>
  <c r="AT42" i="2"/>
  <c r="AS42" i="2"/>
  <c r="AR42" i="2"/>
  <c r="AQ42" i="2"/>
  <c r="BV42" i="2" s="1"/>
  <c r="AD39" i="2"/>
  <c r="AC39" i="2"/>
  <c r="AB39" i="2"/>
  <c r="AA39" i="2"/>
  <c r="BR39" i="2" s="1"/>
  <c r="BR44" i="2" s="1"/>
  <c r="BR46" i="2" s="1"/>
  <c r="Z39" i="2"/>
  <c r="Y39" i="2"/>
  <c r="X39" i="2"/>
  <c r="W39" i="2"/>
  <c r="BQ39" i="2" s="1"/>
  <c r="BQ44" i="2" s="1"/>
  <c r="BQ46" i="2" s="1"/>
  <c r="S39" i="2"/>
  <c r="BP39" i="2" s="1"/>
  <c r="BP44" i="2" s="1"/>
  <c r="BP46" i="2" s="1"/>
  <c r="R39" i="2"/>
  <c r="Q39" i="2"/>
  <c r="P39" i="2"/>
  <c r="O39" i="2"/>
  <c r="BO39" i="2" s="1"/>
  <c r="BO44" i="2" s="1"/>
  <c r="BO46" i="2" s="1"/>
  <c r="N39" i="2"/>
  <c r="M39" i="2"/>
  <c r="L39" i="2"/>
  <c r="AW36" i="2"/>
  <c r="AV36" i="2"/>
  <c r="AU36" i="2"/>
  <c r="AT36" i="2"/>
  <c r="AT44" i="2" s="1"/>
  <c r="AS36" i="2"/>
  <c r="AR36" i="2"/>
  <c r="AR44" i="2" s="1"/>
  <c r="AQ36" i="2"/>
  <c r="AP36" i="2"/>
  <c r="AP44" i="2" s="1"/>
  <c r="AO36" i="2"/>
  <c r="AO44" i="2" s="1"/>
  <c r="AN36" i="2"/>
  <c r="AN44" i="2" s="1"/>
  <c r="AM36" i="2"/>
  <c r="AM44" i="2" s="1"/>
  <c r="AL36" i="2"/>
  <c r="AL44" i="2" s="1"/>
  <c r="AK36" i="2"/>
  <c r="AK44" i="2" s="1"/>
  <c r="AJ36" i="2"/>
  <c r="AJ44" i="2" s="1"/>
  <c r="AI36" i="2"/>
  <c r="AI44" i="2" s="1"/>
  <c r="AH36" i="2"/>
  <c r="AH44" i="2" s="1"/>
  <c r="AF36" i="2"/>
  <c r="AF44" i="2" s="1"/>
  <c r="AE36" i="2"/>
  <c r="AE44" i="2" s="1"/>
  <c r="AD36" i="2"/>
  <c r="AD44" i="2" s="1"/>
  <c r="AC36" i="2"/>
  <c r="AC44" i="2" s="1"/>
  <c r="AB36" i="2"/>
  <c r="AB44" i="2" s="1"/>
  <c r="AA36" i="2"/>
  <c r="AA44" i="2" s="1"/>
  <c r="Z36" i="2"/>
  <c r="Z44" i="2" s="1"/>
  <c r="Y36" i="2"/>
  <c r="Y44" i="2" s="1"/>
  <c r="X36" i="2"/>
  <c r="W36" i="2"/>
  <c r="W44" i="2" s="1"/>
  <c r="V36" i="2"/>
  <c r="V44" i="2" s="1"/>
  <c r="U36" i="2"/>
  <c r="U44" i="2" s="1"/>
  <c r="T36" i="2"/>
  <c r="T44" i="2" s="1"/>
  <c r="S36" i="2"/>
  <c r="S44" i="2" s="1"/>
  <c r="R36" i="2"/>
  <c r="R44" i="2" s="1"/>
  <c r="Q36" i="2"/>
  <c r="Q44" i="2" s="1"/>
  <c r="P36" i="2"/>
  <c r="O36" i="2"/>
  <c r="O44" i="2" s="1"/>
  <c r="N36" i="2"/>
  <c r="N44" i="2" s="1"/>
  <c r="M36" i="2"/>
  <c r="M44" i="2" s="1"/>
  <c r="L36" i="2"/>
  <c r="K36" i="2"/>
  <c r="K44" i="2" s="1"/>
  <c r="J36" i="2"/>
  <c r="J44" i="2" s="1"/>
  <c r="I36" i="2"/>
  <c r="I44" i="2" s="1"/>
  <c r="H36" i="2"/>
  <c r="H44" i="2" s="1"/>
  <c r="G36" i="2"/>
  <c r="G44" i="2" s="1"/>
  <c r="F36" i="2"/>
  <c r="F44" i="2" s="1"/>
  <c r="E36" i="2"/>
  <c r="E44" i="2" s="1"/>
  <c r="D36" i="2"/>
  <c r="D44" i="2" s="1"/>
  <c r="AY35" i="2"/>
  <c r="AX35" i="2"/>
  <c r="AX36" i="2" s="1"/>
  <c r="AX44" i="2" s="1"/>
  <c r="AG34" i="2"/>
  <c r="AG36" i="2" s="1"/>
  <c r="AG44" i="2" s="1"/>
  <c r="BW74" i="3"/>
  <c r="BV74" i="3"/>
  <c r="BU74" i="3"/>
  <c r="BT74" i="3"/>
  <c r="BS74" i="3"/>
  <c r="BR74" i="3"/>
  <c r="BQ74" i="3"/>
  <c r="BP74" i="3"/>
  <c r="BO74" i="3"/>
  <c r="BN74" i="3"/>
  <c r="BM74" i="3"/>
  <c r="AY17" i="2"/>
  <c r="AY26" i="2" s="1"/>
  <c r="AW17" i="2"/>
  <c r="AW26" i="2" s="1"/>
  <c r="AW70" i="3" s="1"/>
  <c r="AV17" i="2"/>
  <c r="AV26" i="2" s="1"/>
  <c r="AU17" i="2"/>
  <c r="AU26" i="2" s="1"/>
  <c r="AU70" i="3" s="1"/>
  <c r="AT17" i="2"/>
  <c r="AT26" i="2" s="1"/>
  <c r="AT70" i="3" s="1"/>
  <c r="AS17" i="2"/>
  <c r="AS26" i="2" s="1"/>
  <c r="AR17" i="2"/>
  <c r="AR26" i="2" s="1"/>
  <c r="AR70" i="3" s="1"/>
  <c r="AQ17" i="2"/>
  <c r="AQ26" i="2" s="1"/>
  <c r="AQ70" i="3" s="1"/>
  <c r="AP17" i="2"/>
  <c r="AP26" i="2" s="1"/>
  <c r="AP46" i="2" s="1"/>
  <c r="AO17" i="2"/>
  <c r="AO26" i="2" s="1"/>
  <c r="AO70" i="3" s="1"/>
  <c r="AN17" i="2"/>
  <c r="AN26" i="2" s="1"/>
  <c r="AM17" i="2"/>
  <c r="AM26" i="2" s="1"/>
  <c r="AM70" i="3" s="1"/>
  <c r="AL17" i="2"/>
  <c r="AL26" i="2" s="1"/>
  <c r="AK17" i="2"/>
  <c r="AK26" i="2" s="1"/>
  <c r="AJ17" i="2"/>
  <c r="AJ26" i="2" s="1"/>
  <c r="AJ70" i="3" s="1"/>
  <c r="AI17" i="2"/>
  <c r="AI26" i="2" s="1"/>
  <c r="AI70" i="3" s="1"/>
  <c r="AH17" i="2"/>
  <c r="AH26" i="2" s="1"/>
  <c r="AH46" i="2" s="1"/>
  <c r="AG17" i="2"/>
  <c r="AG26" i="2" s="1"/>
  <c r="AG70" i="3" s="1"/>
  <c r="AF17" i="2"/>
  <c r="AF26" i="2" s="1"/>
  <c r="AE17" i="2"/>
  <c r="AE26" i="2" s="1"/>
  <c r="AE70" i="3" s="1"/>
  <c r="AD17" i="2"/>
  <c r="AD26" i="2" s="1"/>
  <c r="AC17" i="2"/>
  <c r="AC26" i="2" s="1"/>
  <c r="AB17" i="2"/>
  <c r="AB26" i="2" s="1"/>
  <c r="AB70" i="3" s="1"/>
  <c r="AA17" i="2"/>
  <c r="AA26" i="2" s="1"/>
  <c r="Z17" i="2"/>
  <c r="Z26" i="2" s="1"/>
  <c r="Z46" i="2" s="1"/>
  <c r="Y17" i="2"/>
  <c r="Y26" i="2" s="1"/>
  <c r="Y70" i="3" s="1"/>
  <c r="X17" i="2"/>
  <c r="X26" i="2" s="1"/>
  <c r="X70" i="3" s="1"/>
  <c r="W17" i="2"/>
  <c r="W26" i="2" s="1"/>
  <c r="W70" i="3" s="1"/>
  <c r="V17" i="2"/>
  <c r="V26" i="2" s="1"/>
  <c r="U17" i="2"/>
  <c r="U26" i="2" s="1"/>
  <c r="U70" i="3" s="1"/>
  <c r="T17" i="2"/>
  <c r="T26" i="2" s="1"/>
  <c r="T70" i="3" s="1"/>
  <c r="S17" i="2"/>
  <c r="S26" i="2" s="1"/>
  <c r="S70" i="3" s="1"/>
  <c r="R17" i="2"/>
  <c r="R26" i="2" s="1"/>
  <c r="R46" i="2" s="1"/>
  <c r="Q17" i="2"/>
  <c r="Q26" i="2" s="1"/>
  <c r="P17" i="2"/>
  <c r="P26" i="2" s="1"/>
  <c r="P70" i="3" s="1"/>
  <c r="O17" i="2"/>
  <c r="O26" i="2" s="1"/>
  <c r="O70" i="3" s="1"/>
  <c r="N17" i="2"/>
  <c r="N26" i="2" s="1"/>
  <c r="M17" i="2"/>
  <c r="M26" i="2" s="1"/>
  <c r="M70" i="3" s="1"/>
  <c r="L17" i="2"/>
  <c r="L26" i="2" s="1"/>
  <c r="K17" i="2"/>
  <c r="K26" i="2" s="1"/>
  <c r="K70" i="3" s="1"/>
  <c r="J17" i="2"/>
  <c r="J26" i="2" s="1"/>
  <c r="I17" i="2"/>
  <c r="I26" i="2" s="1"/>
  <c r="I70" i="3" s="1"/>
  <c r="H17" i="2"/>
  <c r="H26" i="2" s="1"/>
  <c r="H70" i="3" s="1"/>
  <c r="G17" i="2"/>
  <c r="G26" i="2" s="1"/>
  <c r="G70" i="3" s="1"/>
  <c r="F17" i="2"/>
  <c r="F26" i="2" s="1"/>
  <c r="E17" i="2"/>
  <c r="E26" i="2" s="1"/>
  <c r="E70" i="3" s="1"/>
  <c r="D17" i="2"/>
  <c r="D26" i="2" s="1"/>
  <c r="D70" i="3" s="1"/>
  <c r="AX16" i="2"/>
  <c r="BP146" i="3"/>
  <c r="CA7" i="2"/>
  <c r="CA49" i="2" s="1"/>
  <c r="CA60" i="2" s="1"/>
  <c r="CA76" i="2" s="1"/>
  <c r="BZ7" i="2"/>
  <c r="BZ49" i="2" s="1"/>
  <c r="BZ60" i="2" s="1"/>
  <c r="BZ76" i="2" s="1"/>
  <c r="BY7" i="2"/>
  <c r="BY49" i="2" s="1"/>
  <c r="BY60" i="2" s="1"/>
  <c r="BY76" i="2" s="1"/>
  <c r="BX7" i="2"/>
  <c r="BX49" i="2" s="1"/>
  <c r="BX60" i="2" s="1"/>
  <c r="BX76" i="2" s="1"/>
  <c r="BW7" i="2"/>
  <c r="BW49" i="2" s="1"/>
  <c r="BW60" i="2" s="1"/>
  <c r="BW76" i="2" s="1"/>
  <c r="BV7" i="2"/>
  <c r="BV49" i="2" s="1"/>
  <c r="BV60" i="2" s="1"/>
  <c r="BV76" i="2" s="1"/>
  <c r="BU7" i="2"/>
  <c r="BU49" i="2" s="1"/>
  <c r="BU60" i="2" s="1"/>
  <c r="BU76" i="2" s="1"/>
  <c r="BT7" i="2"/>
  <c r="BT49" i="2" s="1"/>
  <c r="BT60" i="2" s="1"/>
  <c r="BT76" i="2" s="1"/>
  <c r="BS7" i="2"/>
  <c r="BS49" i="2" s="1"/>
  <c r="BS60" i="2" s="1"/>
  <c r="BS76" i="2" s="1"/>
  <c r="BR7" i="2"/>
  <c r="BR49" i="2" s="1"/>
  <c r="BR60" i="2" s="1"/>
  <c r="BR76" i="2" s="1"/>
  <c r="BQ7" i="2"/>
  <c r="BQ49" i="2" s="1"/>
  <c r="BQ60" i="2" s="1"/>
  <c r="BQ76" i="2" s="1"/>
  <c r="BP7" i="2"/>
  <c r="BP49" i="2" s="1"/>
  <c r="BP60" i="2" s="1"/>
  <c r="BP76" i="2" s="1"/>
  <c r="BO7" i="2"/>
  <c r="BO49" i="2" s="1"/>
  <c r="BO60" i="2" s="1"/>
  <c r="BO76" i="2" s="1"/>
  <c r="BN7" i="2"/>
  <c r="BN49" i="2" s="1"/>
  <c r="BN60" i="2" s="1"/>
  <c r="BN76" i="2" s="1"/>
  <c r="BM7" i="2"/>
  <c r="BM49" i="2" s="1"/>
  <c r="BM60" i="2" s="1"/>
  <c r="BM76" i="2" s="1"/>
  <c r="BG7" i="2"/>
  <c r="BG49" i="2" s="1"/>
  <c r="BG60" i="2" s="1"/>
  <c r="BG76" i="2" s="1"/>
  <c r="BF7" i="2"/>
  <c r="BF49" i="2" s="1"/>
  <c r="BF60" i="2" s="1"/>
  <c r="BF76" i="2" s="1"/>
  <c r="BE7" i="2"/>
  <c r="BE49" i="2" s="1"/>
  <c r="BE60" i="2" s="1"/>
  <c r="BE76" i="2" s="1"/>
  <c r="BD7" i="2"/>
  <c r="BD49" i="2" s="1"/>
  <c r="BD60" i="2" s="1"/>
  <c r="BD76" i="2" s="1"/>
  <c r="BC7" i="2"/>
  <c r="BC49" i="2" s="1"/>
  <c r="BC60" i="2" s="1"/>
  <c r="BC76" i="2" s="1"/>
  <c r="BA7" i="2"/>
  <c r="BA49" i="2" s="1"/>
  <c r="BA60" i="2" s="1"/>
  <c r="BA76" i="2" s="1"/>
  <c r="AZ7" i="2"/>
  <c r="AZ49" i="2" s="1"/>
  <c r="AZ60" i="2" s="1"/>
  <c r="AZ76" i="2" s="1"/>
  <c r="AY7" i="2"/>
  <c r="AY49" i="2" s="1"/>
  <c r="AY60" i="2" s="1"/>
  <c r="AY76" i="2" s="1"/>
  <c r="AX7" i="2"/>
  <c r="AW7" i="2"/>
  <c r="AW49" i="2" s="1"/>
  <c r="AW60" i="2" s="1"/>
  <c r="AW76" i="2" s="1"/>
  <c r="AV7" i="2"/>
  <c r="AU7" i="2"/>
  <c r="AU49" i="2" s="1"/>
  <c r="AU60" i="2" s="1"/>
  <c r="AU76" i="2" s="1"/>
  <c r="AT7" i="2"/>
  <c r="AS7" i="2"/>
  <c r="AS49" i="2" s="1"/>
  <c r="AS60" i="2" s="1"/>
  <c r="AS76" i="2" s="1"/>
  <c r="AR7" i="2"/>
  <c r="AQ7" i="2"/>
  <c r="AQ49" i="2" s="1"/>
  <c r="AQ60" i="2" s="1"/>
  <c r="AQ76" i="2" s="1"/>
  <c r="AP7" i="2"/>
  <c r="AO7" i="2"/>
  <c r="AO49" i="2" s="1"/>
  <c r="AO60" i="2" s="1"/>
  <c r="AO76" i="2" s="1"/>
  <c r="AN7" i="2"/>
  <c r="AM7" i="2"/>
  <c r="AM49" i="2" s="1"/>
  <c r="AM60" i="2" s="1"/>
  <c r="AM76" i="2" s="1"/>
  <c r="AL7" i="2"/>
  <c r="AK7" i="2"/>
  <c r="AK49" i="2" s="1"/>
  <c r="AK60" i="2" s="1"/>
  <c r="AK76" i="2" s="1"/>
  <c r="AJ7" i="2"/>
  <c r="AI7" i="2"/>
  <c r="AI49" i="2" s="1"/>
  <c r="AI60" i="2" s="1"/>
  <c r="AI76" i="2" s="1"/>
  <c r="AH7" i="2"/>
  <c r="AG7" i="2"/>
  <c r="AG49" i="2" s="1"/>
  <c r="AG60" i="2" s="1"/>
  <c r="AG76" i="2" s="1"/>
  <c r="AF7" i="2"/>
  <c r="AE7" i="2"/>
  <c r="AE49" i="2" s="1"/>
  <c r="AE60" i="2" s="1"/>
  <c r="AE76" i="2" s="1"/>
  <c r="AD7" i="2"/>
  <c r="AC7" i="2"/>
  <c r="AC49" i="2" s="1"/>
  <c r="AC60" i="2" s="1"/>
  <c r="AC76" i="2" s="1"/>
  <c r="AB7" i="2"/>
  <c r="AA7" i="2"/>
  <c r="AA49" i="2" s="1"/>
  <c r="AA60" i="2" s="1"/>
  <c r="AA76" i="2" s="1"/>
  <c r="Z7" i="2"/>
  <c r="Y7" i="2"/>
  <c r="Y49" i="2" s="1"/>
  <c r="Y60" i="2" s="1"/>
  <c r="Y76" i="2" s="1"/>
  <c r="X7" i="2"/>
  <c r="W7" i="2"/>
  <c r="W49" i="2" s="1"/>
  <c r="W60" i="2" s="1"/>
  <c r="W76" i="2" s="1"/>
  <c r="V7" i="2"/>
  <c r="U7" i="2"/>
  <c r="U49" i="2" s="1"/>
  <c r="U60" i="2" s="1"/>
  <c r="U76" i="2" s="1"/>
  <c r="T7" i="2"/>
  <c r="S7" i="2"/>
  <c r="S49" i="2" s="1"/>
  <c r="S60" i="2" s="1"/>
  <c r="S76" i="2" s="1"/>
  <c r="R7" i="2"/>
  <c r="Q7" i="2"/>
  <c r="Q49" i="2" s="1"/>
  <c r="Q60" i="2" s="1"/>
  <c r="Q76" i="2" s="1"/>
  <c r="P7" i="2"/>
  <c r="O7" i="2"/>
  <c r="O49" i="2" s="1"/>
  <c r="O60" i="2" s="1"/>
  <c r="O76" i="2" s="1"/>
  <c r="N7" i="2"/>
  <c r="M7" i="2"/>
  <c r="M49" i="2" s="1"/>
  <c r="M60" i="2" s="1"/>
  <c r="M76" i="2" s="1"/>
  <c r="L7" i="2"/>
  <c r="K7" i="2"/>
  <c r="K49" i="2" s="1"/>
  <c r="K60" i="2" s="1"/>
  <c r="K76" i="2" s="1"/>
  <c r="J7" i="2"/>
  <c r="I7" i="2"/>
  <c r="I49" i="2" s="1"/>
  <c r="I60" i="2" s="1"/>
  <c r="I76" i="2" s="1"/>
  <c r="H7" i="2"/>
  <c r="G7" i="2"/>
  <c r="G49" i="2" s="1"/>
  <c r="G60" i="2" s="1"/>
  <c r="G76" i="2" s="1"/>
  <c r="F7" i="2"/>
  <c r="E7" i="2"/>
  <c r="E49" i="2" s="1"/>
  <c r="E60" i="2" s="1"/>
  <c r="E76" i="2" s="1"/>
  <c r="D7" i="2"/>
  <c r="BG6" i="2"/>
  <c r="BG6" i="3" s="1"/>
  <c r="BF6" i="2"/>
  <c r="BF6" i="3" s="1"/>
  <c r="BE6" i="2"/>
  <c r="BE6" i="3" s="1"/>
  <c r="BD6" i="2"/>
  <c r="BD6" i="3" s="1"/>
  <c r="BC6" i="2"/>
  <c r="BC6" i="3" s="1"/>
  <c r="BB6" i="3"/>
  <c r="BA6" i="2"/>
  <c r="BA6" i="3" s="1"/>
  <c r="AZ6" i="2"/>
  <c r="AZ6" i="3" s="1"/>
  <c r="AY6" i="2"/>
  <c r="AY6" i="3" s="1"/>
  <c r="AX6" i="2"/>
  <c r="AX6" i="3" s="1"/>
  <c r="AW6" i="2"/>
  <c r="AW6" i="3" s="1"/>
  <c r="AV6" i="2"/>
  <c r="AV6" i="3" s="1"/>
  <c r="AU6" i="2"/>
  <c r="AU6" i="3" s="1"/>
  <c r="AT6" i="2"/>
  <c r="AT6" i="3" s="1"/>
  <c r="AS6" i="2"/>
  <c r="AS6" i="3" s="1"/>
  <c r="AR6" i="2"/>
  <c r="AR6" i="3" s="1"/>
  <c r="AQ6" i="2"/>
  <c r="AQ6" i="3" s="1"/>
  <c r="AP6" i="2"/>
  <c r="AP6" i="3" s="1"/>
  <c r="AO6" i="2"/>
  <c r="AO6" i="3" s="1"/>
  <c r="AN6" i="2"/>
  <c r="AN6" i="3" s="1"/>
  <c r="AM6" i="2"/>
  <c r="AM6" i="3" s="1"/>
  <c r="AL6" i="2"/>
  <c r="AL6" i="3" s="1"/>
  <c r="AK6" i="2"/>
  <c r="AK6" i="3" s="1"/>
  <c r="AJ6" i="2"/>
  <c r="AJ6" i="3" s="1"/>
  <c r="AI6" i="2"/>
  <c r="AI6" i="3" s="1"/>
  <c r="AH6" i="2"/>
  <c r="AH6" i="3" s="1"/>
  <c r="AG6" i="2"/>
  <c r="AG6" i="3" s="1"/>
  <c r="AF6" i="2"/>
  <c r="AF6" i="3" s="1"/>
  <c r="AE6" i="2"/>
  <c r="AE6" i="3" s="1"/>
  <c r="AD6" i="2"/>
  <c r="AD6" i="3" s="1"/>
  <c r="AC6" i="2"/>
  <c r="AC6" i="3" s="1"/>
  <c r="AB6" i="2"/>
  <c r="AB6" i="3" s="1"/>
  <c r="AA6" i="2"/>
  <c r="AA6" i="3" s="1"/>
  <c r="Z6" i="2"/>
  <c r="Z6" i="3" s="1"/>
  <c r="Y6" i="2"/>
  <c r="Y6" i="3" s="1"/>
  <c r="X6" i="2"/>
  <c r="X6" i="3" s="1"/>
  <c r="W6" i="2"/>
  <c r="W6" i="3" s="1"/>
  <c r="V6" i="2"/>
  <c r="V6" i="3" s="1"/>
  <c r="U6" i="2"/>
  <c r="U6" i="3" s="1"/>
  <c r="T6" i="2"/>
  <c r="T6" i="3" s="1"/>
  <c r="S6" i="2"/>
  <c r="S6" i="3" s="1"/>
  <c r="R6" i="2"/>
  <c r="R6" i="3" s="1"/>
  <c r="Q6" i="2"/>
  <c r="Q6" i="3" s="1"/>
  <c r="P6" i="2"/>
  <c r="P6" i="3" s="1"/>
  <c r="O6" i="2"/>
  <c r="O6" i="3" s="1"/>
  <c r="N6" i="2"/>
  <c r="N6" i="3" s="1"/>
  <c r="M6" i="2"/>
  <c r="M6" i="3" s="1"/>
  <c r="L6" i="2"/>
  <c r="L6" i="3" s="1"/>
  <c r="K6" i="2"/>
  <c r="K6" i="3" s="1"/>
  <c r="J6" i="2"/>
  <c r="J6" i="3" s="1"/>
  <c r="I6" i="2"/>
  <c r="I6" i="3" s="1"/>
  <c r="H6" i="2"/>
  <c r="H6" i="3" s="1"/>
  <c r="G6" i="2"/>
  <c r="G6" i="3" s="1"/>
  <c r="F6" i="2"/>
  <c r="F6" i="3" s="1"/>
  <c r="E6" i="2"/>
  <c r="E6" i="3" s="1"/>
  <c r="D6" i="2"/>
  <c r="BG5" i="2"/>
  <c r="BG5" i="3" s="1"/>
  <c r="BF5" i="2"/>
  <c r="BF5" i="3" s="1"/>
  <c r="BE5" i="2"/>
  <c r="BE5" i="3" s="1"/>
  <c r="BD5" i="2"/>
  <c r="BD5" i="3" s="1"/>
  <c r="BC5" i="2"/>
  <c r="BC5" i="3" s="1"/>
  <c r="BB5" i="3"/>
  <c r="BA5" i="2"/>
  <c r="BA5" i="3" s="1"/>
  <c r="AZ5" i="2"/>
  <c r="AZ5" i="3" s="1"/>
  <c r="AY5" i="2"/>
  <c r="AY5" i="3" s="1"/>
  <c r="AX5" i="2"/>
  <c r="AX5" i="3" s="1"/>
  <c r="AW5" i="2"/>
  <c r="AW5" i="3" s="1"/>
  <c r="AV5" i="2"/>
  <c r="AV5" i="3" s="1"/>
  <c r="AU5" i="2"/>
  <c r="AU5" i="3" s="1"/>
  <c r="AT5" i="2"/>
  <c r="AT5" i="3" s="1"/>
  <c r="AS5" i="2"/>
  <c r="AS5" i="3" s="1"/>
  <c r="AR5" i="2"/>
  <c r="AR5" i="3" s="1"/>
  <c r="AQ5" i="2"/>
  <c r="AQ5" i="3" s="1"/>
  <c r="AP5" i="2"/>
  <c r="AP5" i="3" s="1"/>
  <c r="AO5" i="2"/>
  <c r="AO5" i="3" s="1"/>
  <c r="AN5" i="2"/>
  <c r="AN5" i="3" s="1"/>
  <c r="AM5" i="2"/>
  <c r="AM5" i="3" s="1"/>
  <c r="AL5" i="2"/>
  <c r="AL5" i="3" s="1"/>
  <c r="AK5" i="2"/>
  <c r="AK5" i="3" s="1"/>
  <c r="AJ5" i="2"/>
  <c r="AJ5" i="3" s="1"/>
  <c r="AI5" i="2"/>
  <c r="AI5" i="3" s="1"/>
  <c r="AH5" i="2"/>
  <c r="AH5" i="3" s="1"/>
  <c r="AG5" i="2"/>
  <c r="AG5" i="3" s="1"/>
  <c r="AF5" i="2"/>
  <c r="AF5" i="3" s="1"/>
  <c r="AE5" i="2"/>
  <c r="AE5" i="3" s="1"/>
  <c r="AD5" i="2"/>
  <c r="AD5" i="3" s="1"/>
  <c r="AC5" i="2"/>
  <c r="AC5" i="3" s="1"/>
  <c r="AB5" i="2"/>
  <c r="AB5" i="3" s="1"/>
  <c r="AA5" i="2"/>
  <c r="AA5" i="3" s="1"/>
  <c r="Z5" i="2"/>
  <c r="Z5" i="3" s="1"/>
  <c r="Y5" i="2"/>
  <c r="Y5" i="3" s="1"/>
  <c r="X5" i="2"/>
  <c r="X5" i="3" s="1"/>
  <c r="W5" i="2"/>
  <c r="W5" i="3" s="1"/>
  <c r="V5" i="2"/>
  <c r="V5" i="3" s="1"/>
  <c r="U5" i="2"/>
  <c r="U5" i="3" s="1"/>
  <c r="T5" i="2"/>
  <c r="T5" i="3" s="1"/>
  <c r="S5" i="2"/>
  <c r="S5" i="3" s="1"/>
  <c r="R5" i="2"/>
  <c r="R5" i="3" s="1"/>
  <c r="Q5" i="2"/>
  <c r="Q5" i="3" s="1"/>
  <c r="P5" i="2"/>
  <c r="P5" i="3" s="1"/>
  <c r="O5" i="2"/>
  <c r="O5" i="3" s="1"/>
  <c r="N5" i="2"/>
  <c r="N5" i="3" s="1"/>
  <c r="M5" i="2"/>
  <c r="M5" i="3" s="1"/>
  <c r="L5" i="2"/>
  <c r="L5" i="3" s="1"/>
  <c r="K5" i="2"/>
  <c r="K5" i="3" s="1"/>
  <c r="J5" i="2"/>
  <c r="J5" i="3" s="1"/>
  <c r="I5" i="2"/>
  <c r="I5" i="3" s="1"/>
  <c r="H5" i="2"/>
  <c r="H5" i="3" s="1"/>
  <c r="G5" i="2"/>
  <c r="G5" i="3" s="1"/>
  <c r="F5" i="2"/>
  <c r="F5" i="3" s="1"/>
  <c r="E5" i="2"/>
  <c r="E5" i="3" s="1"/>
  <c r="D5" i="2"/>
  <c r="D5" i="3" s="1"/>
  <c r="CA154" i="3"/>
  <c r="BW154" i="3"/>
  <c r="BS154" i="3"/>
  <c r="BO154" i="3"/>
  <c r="BG154" i="3"/>
  <c r="BF114" i="2"/>
  <c r="BE154" i="3"/>
  <c r="BD114" i="2"/>
  <c r="BC154" i="3"/>
  <c r="BB114" i="2"/>
  <c r="BA154" i="3"/>
  <c r="AZ114" i="2"/>
  <c r="AY154" i="3"/>
  <c r="AX114" i="2"/>
  <c r="AW154" i="3"/>
  <c r="AV114" i="2"/>
  <c r="AU154" i="3"/>
  <c r="AT154" i="3"/>
  <c r="AS154" i="3"/>
  <c r="AP154" i="3"/>
  <c r="AH154" i="3"/>
  <c r="AD154" i="3"/>
  <c r="BX77" i="2"/>
  <c r="BV77" i="2"/>
  <c r="BT77" i="2"/>
  <c r="BR77" i="2"/>
  <c r="BQ77" i="2"/>
  <c r="BP77" i="2"/>
  <c r="BO77" i="2"/>
  <c r="BN77" i="2"/>
  <c r="BM77" i="2"/>
  <c r="N31" i="50" l="1"/>
  <c r="M102" i="50"/>
  <c r="W173" i="50"/>
  <c r="W211" i="50"/>
  <c r="AU228" i="50"/>
  <c r="AU230" i="50"/>
  <c r="AV230" i="50"/>
  <c r="G21" i="50"/>
  <c r="AT25" i="50"/>
  <c r="AT29" i="50"/>
  <c r="G33" i="50"/>
  <c r="AT37" i="50"/>
  <c r="AT41" i="50"/>
  <c r="F57" i="50"/>
  <c r="AU59" i="50"/>
  <c r="AT59" i="50"/>
  <c r="P88" i="50"/>
  <c r="P6" i="50" s="1"/>
  <c r="R88" i="50"/>
  <c r="R6" i="50" s="1"/>
  <c r="AV85" i="50"/>
  <c r="AW85" i="50"/>
  <c r="AX85" i="50"/>
  <c r="AY85" i="50"/>
  <c r="BA85" i="50"/>
  <c r="S86" i="50"/>
  <c r="AT230" i="50"/>
  <c r="AY232" i="50"/>
  <c r="AX234" i="50"/>
  <c r="BW76" i="43"/>
  <c r="AS81" i="43"/>
  <c r="AU81" i="43"/>
  <c r="AW81" i="43"/>
  <c r="AY81" i="43"/>
  <c r="BW37" i="43"/>
  <c r="BX76" i="43"/>
  <c r="AY137" i="3"/>
  <c r="AS44" i="2"/>
  <c r="AW44" i="2"/>
  <c r="AY36" i="2"/>
  <c r="BX35" i="2"/>
  <c r="BX36" i="2" s="1"/>
  <c r="BX44" i="2" s="1"/>
  <c r="BX46" i="2" s="1"/>
  <c r="BV44" i="2"/>
  <c r="BV46" i="2" s="1"/>
  <c r="BV81" i="2"/>
  <c r="BW81" i="2"/>
  <c r="BW44" i="2"/>
  <c r="BW46" i="2" s="1"/>
  <c r="AU65" i="2"/>
  <c r="X176" i="50"/>
  <c r="AE236" i="50"/>
  <c r="AI228" i="50"/>
  <c r="Y73" i="2"/>
  <c r="AE52" i="2"/>
  <c r="AE51" i="2" s="1"/>
  <c r="AY70" i="3"/>
  <c r="AB50" i="2"/>
  <c r="CA122" i="3"/>
  <c r="CA128" i="3" s="1"/>
  <c r="CA41" i="3"/>
  <c r="P24" i="50"/>
  <c r="Y176" i="50"/>
  <c r="AC176" i="50"/>
  <c r="D66" i="50"/>
  <c r="D68" i="50" s="1"/>
  <c r="D32" i="50"/>
  <c r="E32" i="50"/>
  <c r="U88" i="50"/>
  <c r="U6" i="50" s="1"/>
  <c r="G110" i="50"/>
  <c r="K110" i="50"/>
  <c r="N102" i="50"/>
  <c r="AV113" i="50"/>
  <c r="Q164" i="50"/>
  <c r="Y173" i="50"/>
  <c r="W176" i="50"/>
  <c r="R275" i="50"/>
  <c r="Z275" i="50"/>
  <c r="AU207" i="50"/>
  <c r="AB211" i="50"/>
  <c r="AY214" i="50"/>
  <c r="BA214" i="50"/>
  <c r="AY233" i="50"/>
  <c r="AY234" i="50" s="1"/>
  <c r="U201" i="50"/>
  <c r="AW203" i="50"/>
  <c r="U204" i="50"/>
  <c r="R208" i="50"/>
  <c r="AW236" i="50"/>
  <c r="P28" i="50"/>
  <c r="N33" i="50"/>
  <c r="E48" i="50"/>
  <c r="F48" i="50"/>
  <c r="AX71" i="50"/>
  <c r="Y191" i="50"/>
  <c r="AG229" i="50"/>
  <c r="AX10" i="50"/>
  <c r="AD203" i="50"/>
  <c r="AD204" i="50" s="1"/>
  <c r="AE201" i="50"/>
  <c r="AX9" i="50"/>
  <c r="AY9" i="50"/>
  <c r="AY10" i="50"/>
  <c r="AZ10" i="50"/>
  <c r="AX12" i="50"/>
  <c r="T27" i="50"/>
  <c r="X27" i="50" s="1"/>
  <c r="F32" i="50"/>
  <c r="AT31" i="50"/>
  <c r="J33" i="50"/>
  <c r="L33" i="50"/>
  <c r="O31" i="50"/>
  <c r="N40" i="50"/>
  <c r="D48" i="50"/>
  <c r="AT47" i="50"/>
  <c r="I49" i="50"/>
  <c r="S76" i="50"/>
  <c r="V75" i="50"/>
  <c r="V77" i="50" s="1"/>
  <c r="Y79" i="50"/>
  <c r="Z80" i="50" s="1"/>
  <c r="T80" i="50"/>
  <c r="V81" i="50"/>
  <c r="M104" i="50"/>
  <c r="AT156" i="50"/>
  <c r="AU156" i="50"/>
  <c r="AW156" i="50"/>
  <c r="AX156" i="50"/>
  <c r="AY156" i="50"/>
  <c r="E161" i="50"/>
  <c r="AV169" i="50"/>
  <c r="X173" i="50"/>
  <c r="AA273" i="50"/>
  <c r="AE191" i="50"/>
  <c r="M190" i="50"/>
  <c r="AC190" i="50"/>
  <c r="Z191" i="50"/>
  <c r="AY192" i="50"/>
  <c r="AD275" i="50"/>
  <c r="AE196" i="50"/>
  <c r="Y196" i="50"/>
  <c r="AD196" i="50"/>
  <c r="M200" i="50"/>
  <c r="AU203" i="50"/>
  <c r="AC209" i="50"/>
  <c r="Z211" i="50"/>
  <c r="AD211" i="50"/>
  <c r="AE238" i="50"/>
  <c r="AE240" i="50"/>
  <c r="AE11" i="50"/>
  <c r="I33" i="50"/>
  <c r="AU39" i="50"/>
  <c r="AU41" i="50" s="1"/>
  <c r="M40" i="50"/>
  <c r="H49" i="50"/>
  <c r="J49" i="50"/>
  <c r="L49" i="50"/>
  <c r="Q76" i="50"/>
  <c r="V86" i="50"/>
  <c r="AX179" i="50"/>
  <c r="AB173" i="50"/>
  <c r="AD273" i="50"/>
  <c r="AE190" i="50"/>
  <c r="I190" i="50"/>
  <c r="AD191" i="50"/>
  <c r="R196" i="50"/>
  <c r="AC196" i="50"/>
  <c r="H200" i="50"/>
  <c r="AC200" i="50"/>
  <c r="T204" i="50"/>
  <c r="AD208" i="50"/>
  <c r="AE208" i="50"/>
  <c r="AC208" i="50"/>
  <c r="Y211" i="50"/>
  <c r="AA211" i="50"/>
  <c r="I224" i="50"/>
  <c r="AU223" i="50"/>
  <c r="W238" i="50"/>
  <c r="Z53" i="2"/>
  <c r="AW8" i="43"/>
  <c r="AU38" i="43"/>
  <c r="AU52" i="2"/>
  <c r="AU51" i="2" s="1"/>
  <c r="AQ53" i="2"/>
  <c r="AW18" i="43"/>
  <c r="AU28" i="43"/>
  <c r="AS48" i="43"/>
  <c r="BY119" i="3"/>
  <c r="BY134" i="3"/>
  <c r="H50" i="2"/>
  <c r="Z50" i="2"/>
  <c r="R52" i="2"/>
  <c r="R51" i="2" s="1"/>
  <c r="AM52" i="2"/>
  <c r="AM51" i="2" s="1"/>
  <c r="J53" i="2"/>
  <c r="AI53" i="2"/>
  <c r="AY53" i="2"/>
  <c r="AS8" i="43"/>
  <c r="AS18" i="43"/>
  <c r="AY28" i="43"/>
  <c r="AY38" i="43"/>
  <c r="AW48" i="43"/>
  <c r="AR50" i="2"/>
  <c r="AX54" i="2"/>
  <c r="L50" i="2"/>
  <c r="AJ50" i="2"/>
  <c r="AH54" i="2"/>
  <c r="H68" i="3"/>
  <c r="P68" i="3"/>
  <c r="X68" i="3"/>
  <c r="AF68" i="3"/>
  <c r="AN68" i="3"/>
  <c r="AV68" i="3"/>
  <c r="X50" i="3"/>
  <c r="AN50" i="3"/>
  <c r="J50" i="2"/>
  <c r="P50" i="2"/>
  <c r="X50" i="2"/>
  <c r="J52" i="2"/>
  <c r="J51" i="2" s="1"/>
  <c r="Z52" i="2"/>
  <c r="Z51" i="2" s="1"/>
  <c r="R53" i="2"/>
  <c r="AE53" i="2"/>
  <c r="BY24" i="2"/>
  <c r="E16" i="3"/>
  <c r="E68" i="3" s="1"/>
  <c r="I16" i="3"/>
  <c r="I68" i="3" s="1"/>
  <c r="M16" i="3"/>
  <c r="M68" i="3" s="1"/>
  <c r="Q16" i="3"/>
  <c r="Q68" i="3" s="1"/>
  <c r="U16" i="3"/>
  <c r="Y16" i="3"/>
  <c r="Y68" i="3" s="1"/>
  <c r="AC16" i="3"/>
  <c r="AC68" i="3" s="1"/>
  <c r="AG16" i="3"/>
  <c r="AG68" i="3" s="1"/>
  <c r="AK16" i="3"/>
  <c r="AK68" i="3" s="1"/>
  <c r="AO16" i="3"/>
  <c r="AO68" i="3" s="1"/>
  <c r="AS16" i="3"/>
  <c r="AS68" i="3" s="1"/>
  <c r="AW16" i="3"/>
  <c r="AW68" i="3" s="1"/>
  <c r="BX26" i="3"/>
  <c r="BX113" i="3" s="1"/>
  <c r="BM72" i="3"/>
  <c r="BM75" i="3" s="1"/>
  <c r="BR72" i="3"/>
  <c r="I46" i="2"/>
  <c r="Q46" i="2"/>
  <c r="AO46" i="2"/>
  <c r="X44" i="2"/>
  <c r="X46" i="2" s="1"/>
  <c r="BN82" i="2"/>
  <c r="BN80" i="2"/>
  <c r="BP80" i="2"/>
  <c r="BP82" i="2"/>
  <c r="BR82" i="2"/>
  <c r="BR80" i="2"/>
  <c r="BT80" i="2"/>
  <c r="BT82" i="2"/>
  <c r="BV82" i="2"/>
  <c r="BV80" i="2"/>
  <c r="BX80" i="2"/>
  <c r="BX82" i="2"/>
  <c r="BM80" i="2"/>
  <c r="BM82" i="2"/>
  <c r="BO80" i="2"/>
  <c r="BO82" i="2"/>
  <c r="BQ80" i="2"/>
  <c r="BQ82" i="2"/>
  <c r="BS77" i="2"/>
  <c r="BU77" i="2"/>
  <c r="BW77" i="2"/>
  <c r="D50" i="2"/>
  <c r="T50" i="2"/>
  <c r="AF50" i="2"/>
  <c r="AN50" i="2"/>
  <c r="AV50" i="2"/>
  <c r="AP54" i="2"/>
  <c r="J24" i="3"/>
  <c r="K24" i="3" s="1"/>
  <c r="Z24" i="3"/>
  <c r="AA24" i="3" s="1"/>
  <c r="AP24" i="3"/>
  <c r="AQ24" i="3" s="1"/>
  <c r="U68" i="3"/>
  <c r="BM17" i="3"/>
  <c r="BM104" i="3" s="1"/>
  <c r="BQ17" i="3"/>
  <c r="BQ104" i="3" s="1"/>
  <c r="BU17" i="3"/>
  <c r="BU104" i="3" s="1"/>
  <c r="M18" i="3"/>
  <c r="N18" i="3" s="1"/>
  <c r="O18" i="3" s="1"/>
  <c r="AR41" i="3"/>
  <c r="E75" i="3"/>
  <c r="G75" i="3"/>
  <c r="K75" i="3"/>
  <c r="O75" i="3"/>
  <c r="S75" i="3"/>
  <c r="W75" i="3"/>
  <c r="AE75" i="3"/>
  <c r="AG75" i="3"/>
  <c r="AI75" i="3"/>
  <c r="AM75" i="3"/>
  <c r="AV82" i="3"/>
  <c r="AV83" i="3" s="1"/>
  <c r="BV21" i="3"/>
  <c r="BV108" i="3" s="1"/>
  <c r="BN22" i="3"/>
  <c r="BN109" i="3" s="1"/>
  <c r="BR22" i="3"/>
  <c r="BR109" i="3" s="1"/>
  <c r="BV22" i="3"/>
  <c r="BV109" i="3" s="1"/>
  <c r="BN25" i="3"/>
  <c r="BN112" i="3" s="1"/>
  <c r="BR25" i="3"/>
  <c r="BR112" i="3" s="1"/>
  <c r="E46" i="3"/>
  <c r="F46" i="3" s="1"/>
  <c r="G46" i="3" s="1"/>
  <c r="BM52" i="3"/>
  <c r="BM139" i="3" s="1"/>
  <c r="BQ52" i="3"/>
  <c r="BQ139" i="3" s="1"/>
  <c r="BU52" i="3"/>
  <c r="BU139" i="3" s="1"/>
  <c r="BN72" i="3"/>
  <c r="BV72" i="3"/>
  <c r="H75" i="3"/>
  <c r="AQ75" i="3"/>
  <c r="AU75" i="3"/>
  <c r="AY75" i="3"/>
  <c r="P75" i="3"/>
  <c r="X75" i="3"/>
  <c r="AB75" i="3"/>
  <c r="AR75" i="3"/>
  <c r="AI229" i="50"/>
  <c r="BA117" i="50"/>
  <c r="BN70" i="3"/>
  <c r="BN146" i="3"/>
  <c r="BT146" i="3"/>
  <c r="BV70" i="3"/>
  <c r="BV146" i="3"/>
  <c r="BX74" i="3"/>
  <c r="AL46" i="2"/>
  <c r="BM70" i="3"/>
  <c r="BM146" i="3"/>
  <c r="BO146" i="3"/>
  <c r="BQ146" i="3"/>
  <c r="BS146" i="3"/>
  <c r="BU146" i="3"/>
  <c r="BW146" i="3"/>
  <c r="BX146" i="3"/>
  <c r="F46" i="2"/>
  <c r="J46" i="2"/>
  <c r="N46" i="2"/>
  <c r="V46" i="2"/>
  <c r="AD46" i="2"/>
  <c r="L44" i="2"/>
  <c r="L46" i="2" s="1"/>
  <c r="P44" i="2"/>
  <c r="P46" i="2" s="1"/>
  <c r="Y89" i="2"/>
  <c r="Y91" i="2" s="1"/>
  <c r="BE18" i="3"/>
  <c r="BG18" i="3"/>
  <c r="BM59" i="3"/>
  <c r="BO59" i="3"/>
  <c r="BQ59" i="3"/>
  <c r="BS59" i="3"/>
  <c r="BU59" i="3"/>
  <c r="BW59" i="3"/>
  <c r="BX70" i="3"/>
  <c r="BR70" i="3"/>
  <c r="BR146" i="3"/>
  <c r="AT46" i="2"/>
  <c r="AV44" i="2"/>
  <c r="BF18" i="3"/>
  <c r="BN59" i="3"/>
  <c r="BP59" i="3"/>
  <c r="BR59" i="3"/>
  <c r="BT59" i="3"/>
  <c r="BV59" i="3"/>
  <c r="BX59" i="3"/>
  <c r="BU75" i="3"/>
  <c r="BN75" i="3"/>
  <c r="BV75" i="3"/>
  <c r="AK70" i="3"/>
  <c r="D6" i="3"/>
  <c r="E82" i="2"/>
  <c r="I82" i="2"/>
  <c r="M82" i="2"/>
  <c r="Q82" i="2"/>
  <c r="U82" i="2"/>
  <c r="Y82" i="2"/>
  <c r="AC82" i="2"/>
  <c r="AG82" i="2"/>
  <c r="AK82" i="2"/>
  <c r="AO82" i="2"/>
  <c r="AL154" i="3"/>
  <c r="BB154" i="3"/>
  <c r="F50" i="2"/>
  <c r="N50" i="2"/>
  <c r="V50" i="2"/>
  <c r="AD50" i="2"/>
  <c r="AL50" i="2"/>
  <c r="AT50" i="2"/>
  <c r="F52" i="2"/>
  <c r="F51" i="2" s="1"/>
  <c r="N52" i="2"/>
  <c r="N51" i="2" s="1"/>
  <c r="V52" i="2"/>
  <c r="V51" i="2" s="1"/>
  <c r="AD52" i="2"/>
  <c r="AD51" i="2" s="1"/>
  <c r="AH52" i="2"/>
  <c r="AH51" i="2" s="1"/>
  <c r="AL52" i="2"/>
  <c r="AL51" i="2" s="1"/>
  <c r="AP52" i="2"/>
  <c r="AP51" i="2" s="1"/>
  <c r="AT52" i="2"/>
  <c r="AT51" i="2" s="1"/>
  <c r="AX52" i="2"/>
  <c r="AX51" i="2" s="1"/>
  <c r="F53" i="2"/>
  <c r="V53" i="2"/>
  <c r="AH53" i="2"/>
  <c r="AX154" i="3"/>
  <c r="BF154" i="3"/>
  <c r="AU8" i="43"/>
  <c r="AY8" i="43"/>
  <c r="AU18" i="43"/>
  <c r="AY18" i="43"/>
  <c r="AS28" i="43"/>
  <c r="AW28" i="43"/>
  <c r="AS38" i="43"/>
  <c r="AW38" i="43"/>
  <c r="AU48" i="43"/>
  <c r="AY48" i="43"/>
  <c r="AC154" i="3"/>
  <c r="AE154" i="3"/>
  <c r="AG154" i="3"/>
  <c r="AI154" i="3"/>
  <c r="AK154" i="3"/>
  <c r="AM154" i="3"/>
  <c r="AO154" i="3"/>
  <c r="AQ154" i="3"/>
  <c r="BN154" i="3"/>
  <c r="BP154" i="3"/>
  <c r="BR154" i="3"/>
  <c r="BT154" i="3"/>
  <c r="BV154" i="3"/>
  <c r="BX154" i="3"/>
  <c r="BZ154" i="3"/>
  <c r="E54" i="2"/>
  <c r="E50" i="2"/>
  <c r="I54" i="2"/>
  <c r="I50" i="2"/>
  <c r="M54" i="2"/>
  <c r="M50" i="2"/>
  <c r="Q54" i="2"/>
  <c r="Q50" i="2"/>
  <c r="U54" i="2"/>
  <c r="U50" i="2"/>
  <c r="Y54" i="2"/>
  <c r="Y50" i="2"/>
  <c r="AC54" i="2"/>
  <c r="AC50" i="2"/>
  <c r="AG54" i="2"/>
  <c r="AG50" i="2"/>
  <c r="AK54" i="2"/>
  <c r="AK50" i="2"/>
  <c r="AO54" i="2"/>
  <c r="AO50" i="2"/>
  <c r="AY54" i="2"/>
  <c r="AY50" i="2"/>
  <c r="J80" i="2"/>
  <c r="J82" i="2"/>
  <c r="AP80" i="2"/>
  <c r="AP82" i="2"/>
  <c r="H80" i="2"/>
  <c r="X80" i="2"/>
  <c r="AN80" i="2"/>
  <c r="Z82" i="2"/>
  <c r="AR95" i="2"/>
  <c r="AV95" i="2"/>
  <c r="AC114" i="2"/>
  <c r="AG114" i="2"/>
  <c r="AK114" i="2"/>
  <c r="AO114" i="2"/>
  <c r="AS114" i="2"/>
  <c r="AW114" i="2"/>
  <c r="BA114" i="2"/>
  <c r="BE114" i="2"/>
  <c r="BN114" i="2"/>
  <c r="BR114" i="2"/>
  <c r="BV114" i="2"/>
  <c r="BZ114" i="2"/>
  <c r="E7" i="3"/>
  <c r="E64" i="3" s="1"/>
  <c r="E78" i="3" s="1"/>
  <c r="E86" i="3" s="1"/>
  <c r="I7" i="3"/>
  <c r="I94" i="3" s="1"/>
  <c r="M7" i="3"/>
  <c r="M64" i="3" s="1"/>
  <c r="M78" i="3" s="1"/>
  <c r="M86" i="3" s="1"/>
  <c r="Q7" i="3"/>
  <c r="Q94" i="3" s="1"/>
  <c r="U7" i="3"/>
  <c r="U94" i="3" s="1"/>
  <c r="Y7" i="3"/>
  <c r="Y94" i="3" s="1"/>
  <c r="AC7" i="3"/>
  <c r="AC94" i="3" s="1"/>
  <c r="AG7" i="3"/>
  <c r="AG94" i="3" s="1"/>
  <c r="AK7" i="3"/>
  <c r="AK64" i="3" s="1"/>
  <c r="AK78" i="3" s="1"/>
  <c r="AK86" i="3" s="1"/>
  <c r="AO7" i="3"/>
  <c r="AO94" i="3" s="1"/>
  <c r="AS7" i="3"/>
  <c r="AS64" i="3" s="1"/>
  <c r="AS78" i="3" s="1"/>
  <c r="AS86" i="3" s="1"/>
  <c r="AW7" i="3"/>
  <c r="AW94" i="3" s="1"/>
  <c r="BA7" i="3"/>
  <c r="BA64" i="3" s="1"/>
  <c r="BA78" i="3" s="1"/>
  <c r="BA86" i="3" s="1"/>
  <c r="BE7" i="3"/>
  <c r="BE94" i="3" s="1"/>
  <c r="BN7" i="3"/>
  <c r="BN94" i="3" s="1"/>
  <c r="BR7" i="3"/>
  <c r="BR94" i="3" s="1"/>
  <c r="BV7" i="3"/>
  <c r="BV94" i="3" s="1"/>
  <c r="BZ7" i="3"/>
  <c r="BZ94" i="3" s="1"/>
  <c r="AR81" i="43"/>
  <c r="AR28" i="43"/>
  <c r="AT68" i="43"/>
  <c r="AT38" i="43"/>
  <c r="AT28" i="43"/>
  <c r="AV81" i="43"/>
  <c r="AV38" i="43"/>
  <c r="AV28" i="43"/>
  <c r="AX68" i="43"/>
  <c r="AX38" i="43"/>
  <c r="AX28" i="43"/>
  <c r="AD114" i="2"/>
  <c r="AF114" i="2"/>
  <c r="AH114" i="2"/>
  <c r="AJ114" i="2"/>
  <c r="AL114" i="2"/>
  <c r="AN114" i="2"/>
  <c r="AP114" i="2"/>
  <c r="AR114" i="2"/>
  <c r="AT114" i="2"/>
  <c r="BM114" i="2"/>
  <c r="BO114" i="2"/>
  <c r="BQ114" i="2"/>
  <c r="BS114" i="2"/>
  <c r="BU114" i="2"/>
  <c r="BW114" i="2"/>
  <c r="BY114" i="2"/>
  <c r="CA114" i="2"/>
  <c r="D49" i="2"/>
  <c r="D60" i="2" s="1"/>
  <c r="D76" i="2" s="1"/>
  <c r="D7" i="3"/>
  <c r="D64" i="3" s="1"/>
  <c r="D78" i="3" s="1"/>
  <c r="D86" i="3" s="1"/>
  <c r="F49" i="2"/>
  <c r="F60" i="2" s="1"/>
  <c r="F76" i="2" s="1"/>
  <c r="F7" i="3"/>
  <c r="F94" i="3" s="1"/>
  <c r="H49" i="2"/>
  <c r="H60" i="2" s="1"/>
  <c r="H76" i="2" s="1"/>
  <c r="H7" i="3"/>
  <c r="H64" i="3" s="1"/>
  <c r="H78" i="3" s="1"/>
  <c r="H86" i="3" s="1"/>
  <c r="J49" i="2"/>
  <c r="J60" i="2" s="1"/>
  <c r="J76" i="2" s="1"/>
  <c r="J7" i="3"/>
  <c r="J94" i="3" s="1"/>
  <c r="L49" i="2"/>
  <c r="L60" i="2" s="1"/>
  <c r="L76" i="2" s="1"/>
  <c r="L7" i="3"/>
  <c r="L64" i="3" s="1"/>
  <c r="L78" i="3" s="1"/>
  <c r="L86" i="3" s="1"/>
  <c r="N49" i="2"/>
  <c r="N60" i="2" s="1"/>
  <c r="N76" i="2" s="1"/>
  <c r="N7" i="3"/>
  <c r="N94" i="3" s="1"/>
  <c r="P49" i="2"/>
  <c r="P60" i="2" s="1"/>
  <c r="P76" i="2" s="1"/>
  <c r="P7" i="3"/>
  <c r="P64" i="3" s="1"/>
  <c r="P78" i="3" s="1"/>
  <c r="P86" i="3" s="1"/>
  <c r="R49" i="2"/>
  <c r="R60" i="2" s="1"/>
  <c r="R76" i="2" s="1"/>
  <c r="R7" i="3"/>
  <c r="R94" i="3" s="1"/>
  <c r="T49" i="2"/>
  <c r="T60" i="2" s="1"/>
  <c r="T76" i="2" s="1"/>
  <c r="T7" i="3"/>
  <c r="T64" i="3" s="1"/>
  <c r="T78" i="3" s="1"/>
  <c r="T86" i="3" s="1"/>
  <c r="V49" i="2"/>
  <c r="V60" i="2" s="1"/>
  <c r="V76" i="2" s="1"/>
  <c r="V7" i="3"/>
  <c r="V94" i="3" s="1"/>
  <c r="X49" i="2"/>
  <c r="X60" i="2" s="1"/>
  <c r="X76" i="2" s="1"/>
  <c r="X7" i="3"/>
  <c r="X64" i="3" s="1"/>
  <c r="X78" i="3" s="1"/>
  <c r="X86" i="3" s="1"/>
  <c r="Z49" i="2"/>
  <c r="Z60" i="2" s="1"/>
  <c r="Z76" i="2" s="1"/>
  <c r="Z7" i="3"/>
  <c r="Z94" i="3" s="1"/>
  <c r="AB49" i="2"/>
  <c r="AB60" i="2" s="1"/>
  <c r="AB76" i="2" s="1"/>
  <c r="AB7" i="3"/>
  <c r="AB64" i="3" s="1"/>
  <c r="AB78" i="3" s="1"/>
  <c r="AB86" i="3" s="1"/>
  <c r="AD49" i="2"/>
  <c r="AD60" i="2" s="1"/>
  <c r="AD76" i="2" s="1"/>
  <c r="AD7" i="3"/>
  <c r="AD94" i="3" s="1"/>
  <c r="AF49" i="2"/>
  <c r="AF60" i="2" s="1"/>
  <c r="AF76" i="2" s="1"/>
  <c r="AF7" i="3"/>
  <c r="AF64" i="3" s="1"/>
  <c r="AF78" i="3" s="1"/>
  <c r="AF86" i="3" s="1"/>
  <c r="AH49" i="2"/>
  <c r="AH60" i="2" s="1"/>
  <c r="AH76" i="2" s="1"/>
  <c r="AH7" i="3"/>
  <c r="AH94" i="3" s="1"/>
  <c r="AJ49" i="2"/>
  <c r="AJ60" i="2" s="1"/>
  <c r="AJ76" i="2" s="1"/>
  <c r="AJ7" i="3"/>
  <c r="AJ64" i="3" s="1"/>
  <c r="AJ78" i="3" s="1"/>
  <c r="AJ86" i="3" s="1"/>
  <c r="AL49" i="2"/>
  <c r="AL60" i="2" s="1"/>
  <c r="AL76" i="2" s="1"/>
  <c r="AL7" i="3"/>
  <c r="AL94" i="3" s="1"/>
  <c r="AN49" i="2"/>
  <c r="AN60" i="2" s="1"/>
  <c r="AN76" i="2" s="1"/>
  <c r="AN7" i="3"/>
  <c r="AN64" i="3" s="1"/>
  <c r="AN78" i="3" s="1"/>
  <c r="AN86" i="3" s="1"/>
  <c r="AP49" i="2"/>
  <c r="AP60" i="2" s="1"/>
  <c r="AP76" i="2" s="1"/>
  <c r="AP7" i="3"/>
  <c r="AP94" i="3" s="1"/>
  <c r="AR49" i="2"/>
  <c r="AR60" i="2" s="1"/>
  <c r="AR76" i="2" s="1"/>
  <c r="AR7" i="3"/>
  <c r="AR64" i="3" s="1"/>
  <c r="AR78" i="3" s="1"/>
  <c r="AR86" i="3" s="1"/>
  <c r="AT49" i="2"/>
  <c r="AT60" i="2" s="1"/>
  <c r="AT76" i="2" s="1"/>
  <c r="AT7" i="3"/>
  <c r="AT94" i="3" s="1"/>
  <c r="AV49" i="2"/>
  <c r="AV60" i="2" s="1"/>
  <c r="AV76" i="2" s="1"/>
  <c r="AV7" i="3"/>
  <c r="AV64" i="3" s="1"/>
  <c r="AV78" i="3" s="1"/>
  <c r="AV86" i="3" s="1"/>
  <c r="AX49" i="2"/>
  <c r="AX60" i="2" s="1"/>
  <c r="AX76" i="2" s="1"/>
  <c r="AX7" i="3"/>
  <c r="AX94" i="3" s="1"/>
  <c r="AZ7" i="3"/>
  <c r="AZ64" i="3" s="1"/>
  <c r="AZ78" i="3" s="1"/>
  <c r="AZ86" i="3" s="1"/>
  <c r="BB7" i="3"/>
  <c r="BB94" i="3" s="1"/>
  <c r="BD7" i="3"/>
  <c r="BD64" i="3" s="1"/>
  <c r="BD78" i="3" s="1"/>
  <c r="BD86" i="3" s="1"/>
  <c r="BF7" i="3"/>
  <c r="BF94" i="3" s="1"/>
  <c r="BM7" i="3"/>
  <c r="BM64" i="3" s="1"/>
  <c r="BM78" i="3" s="1"/>
  <c r="BM86" i="3" s="1"/>
  <c r="BO7" i="3"/>
  <c r="BO94" i="3" s="1"/>
  <c r="BQ7" i="3"/>
  <c r="BQ64" i="3" s="1"/>
  <c r="BQ78" i="3" s="1"/>
  <c r="BQ86" i="3" s="1"/>
  <c r="BS7" i="3"/>
  <c r="BS94" i="3" s="1"/>
  <c r="BU7" i="3"/>
  <c r="BU64" i="3" s="1"/>
  <c r="BU78" i="3" s="1"/>
  <c r="BU86" i="3" s="1"/>
  <c r="BW7" i="3"/>
  <c r="BW94" i="3" s="1"/>
  <c r="BY7" i="3"/>
  <c r="BY64" i="3" s="1"/>
  <c r="BY78" i="3" s="1"/>
  <c r="BY86" i="3" s="1"/>
  <c r="CA7" i="3"/>
  <c r="AU50" i="2"/>
  <c r="AE54" i="2"/>
  <c r="AI54" i="2"/>
  <c r="AM54" i="2"/>
  <c r="AQ54" i="2"/>
  <c r="P80" i="2"/>
  <c r="AF80" i="2"/>
  <c r="AE114" i="2"/>
  <c r="AI114" i="2"/>
  <c r="AM114" i="2"/>
  <c r="AQ114" i="2"/>
  <c r="AU114" i="2"/>
  <c r="AY114" i="2"/>
  <c r="BC114" i="2"/>
  <c r="BG114" i="2"/>
  <c r="BP114" i="2"/>
  <c r="BT114" i="2"/>
  <c r="BX114" i="2"/>
  <c r="G7" i="3"/>
  <c r="G94" i="3" s="1"/>
  <c r="K7" i="3"/>
  <c r="K94" i="3" s="1"/>
  <c r="O7" i="3"/>
  <c r="O64" i="3" s="1"/>
  <c r="O78" i="3" s="1"/>
  <c r="O86" i="3" s="1"/>
  <c r="S7" i="3"/>
  <c r="S94" i="3" s="1"/>
  <c r="W7" i="3"/>
  <c r="W94" i="3" s="1"/>
  <c r="AA7" i="3"/>
  <c r="AA94" i="3" s="1"/>
  <c r="AE7" i="3"/>
  <c r="AE64" i="3" s="1"/>
  <c r="AE78" i="3" s="1"/>
  <c r="AE86" i="3" s="1"/>
  <c r="AI7" i="3"/>
  <c r="AI94" i="3" s="1"/>
  <c r="AM7" i="3"/>
  <c r="AM94" i="3" s="1"/>
  <c r="AQ7" i="3"/>
  <c r="AQ94" i="3" s="1"/>
  <c r="AU7" i="3"/>
  <c r="AU64" i="3" s="1"/>
  <c r="AU78" i="3" s="1"/>
  <c r="AU86" i="3" s="1"/>
  <c r="AY7" i="3"/>
  <c r="AY94" i="3" s="1"/>
  <c r="BC7" i="3"/>
  <c r="BC94" i="3" s="1"/>
  <c r="BG7" i="3"/>
  <c r="BG94" i="3" s="1"/>
  <c r="BP7" i="3"/>
  <c r="BP64" i="3" s="1"/>
  <c r="BP78" i="3" s="1"/>
  <c r="BP86" i="3" s="1"/>
  <c r="BT7" i="3"/>
  <c r="BT94" i="3" s="1"/>
  <c r="BX7" i="3"/>
  <c r="BX94" i="3" s="1"/>
  <c r="AF154" i="3"/>
  <c r="AJ154" i="3"/>
  <c r="AN154" i="3"/>
  <c r="AR154" i="3"/>
  <c r="AV154" i="3"/>
  <c r="AZ154" i="3"/>
  <c r="BD154" i="3"/>
  <c r="BM154" i="3"/>
  <c r="BQ154" i="3"/>
  <c r="BU154" i="3"/>
  <c r="BY154" i="3"/>
  <c r="AR8" i="43"/>
  <c r="AT8" i="43"/>
  <c r="AV8" i="43"/>
  <c r="AX8" i="43"/>
  <c r="AR18" i="43"/>
  <c r="AT18" i="43"/>
  <c r="AV18" i="43"/>
  <c r="AX18" i="43"/>
  <c r="AR48" i="43"/>
  <c r="AT48" i="43"/>
  <c r="AV48" i="43"/>
  <c r="AX48" i="43"/>
  <c r="D82" i="2"/>
  <c r="L82" i="2"/>
  <c r="R82" i="2"/>
  <c r="T82" i="2"/>
  <c r="AB82" i="2"/>
  <c r="AH82" i="2"/>
  <c r="AJ82" i="2"/>
  <c r="BZ13" i="3"/>
  <c r="BZ100" i="3" s="1"/>
  <c r="BE102" i="3"/>
  <c r="BF102" i="3" s="1"/>
  <c r="BG102" i="3" s="1"/>
  <c r="T35" i="50"/>
  <c r="U36" i="50" s="1"/>
  <c r="P36" i="50"/>
  <c r="P31" i="50"/>
  <c r="X39" i="50"/>
  <c r="O47" i="50"/>
  <c r="O24" i="50"/>
  <c r="S23" i="50"/>
  <c r="O19" i="50"/>
  <c r="U27" i="50"/>
  <c r="Q28" i="50"/>
  <c r="Y35" i="50"/>
  <c r="M47" i="50"/>
  <c r="AU47" i="50" s="1"/>
  <c r="AU49" i="50" s="1"/>
  <c r="M19" i="50"/>
  <c r="M24" i="50"/>
  <c r="Q23" i="50"/>
  <c r="AU23" i="50"/>
  <c r="AU25" i="50" s="1"/>
  <c r="E66" i="50"/>
  <c r="E51" i="50"/>
  <c r="E43" i="50"/>
  <c r="E20" i="50"/>
  <c r="G66" i="50"/>
  <c r="G51" i="50"/>
  <c r="K66" i="50"/>
  <c r="K51" i="50"/>
  <c r="P19" i="50"/>
  <c r="K20" i="50"/>
  <c r="K21" i="50"/>
  <c r="T23" i="50"/>
  <c r="AB27" i="50"/>
  <c r="AF27" i="50" s="1"/>
  <c r="AU31" i="50"/>
  <c r="AU33" i="50" s="1"/>
  <c r="K32" i="50"/>
  <c r="K33" i="50"/>
  <c r="AU35" i="50"/>
  <c r="AU37" i="50" s="1"/>
  <c r="O40" i="50"/>
  <c r="AV75" i="50"/>
  <c r="F66" i="50"/>
  <c r="F68" i="50" s="1"/>
  <c r="F51" i="50"/>
  <c r="F52" i="50" s="1"/>
  <c r="H66" i="50"/>
  <c r="H68" i="50" s="1"/>
  <c r="H51" i="50"/>
  <c r="I52" i="50" s="1"/>
  <c r="H43" i="50"/>
  <c r="L66" i="50"/>
  <c r="L68" i="50" s="1"/>
  <c r="L51" i="50"/>
  <c r="L43" i="50"/>
  <c r="G20" i="50"/>
  <c r="L20" i="50"/>
  <c r="L21" i="50"/>
  <c r="AS19" i="50"/>
  <c r="P47" i="50"/>
  <c r="R27" i="50"/>
  <c r="AV27" i="50" s="1"/>
  <c r="AV29" i="50" s="1"/>
  <c r="G32" i="50"/>
  <c r="L32" i="50"/>
  <c r="AS31" i="50"/>
  <c r="AT33" i="50" s="1"/>
  <c r="Q36" i="50"/>
  <c r="F43" i="50"/>
  <c r="C51" i="50"/>
  <c r="D20" i="50"/>
  <c r="I53" i="50"/>
  <c r="N19" i="50"/>
  <c r="AU19" i="50" s="1"/>
  <c r="H20" i="50"/>
  <c r="H21" i="50"/>
  <c r="AT19" i="50"/>
  <c r="O28" i="50"/>
  <c r="N28" i="50"/>
  <c r="H32" i="50"/>
  <c r="N32" i="50"/>
  <c r="H33" i="50"/>
  <c r="R35" i="50"/>
  <c r="M33" i="50"/>
  <c r="M32" i="50"/>
  <c r="Q39" i="50"/>
  <c r="P40" i="50"/>
  <c r="G43" i="50"/>
  <c r="F20" i="50"/>
  <c r="J66" i="50"/>
  <c r="J68" i="50" s="1"/>
  <c r="J51" i="50"/>
  <c r="J43" i="50"/>
  <c r="J20" i="50"/>
  <c r="J21" i="50"/>
  <c r="N49" i="50"/>
  <c r="N48" i="50"/>
  <c r="J32" i="50"/>
  <c r="O32" i="50"/>
  <c r="O33" i="50"/>
  <c r="R39" i="50"/>
  <c r="K43" i="50"/>
  <c r="I20" i="50"/>
  <c r="I21" i="50"/>
  <c r="R23" i="50"/>
  <c r="N24" i="50"/>
  <c r="S27" i="50"/>
  <c r="I32" i="50"/>
  <c r="S35" i="50"/>
  <c r="S39" i="50"/>
  <c r="J48" i="50"/>
  <c r="E57" i="50"/>
  <c r="I66" i="50"/>
  <c r="AY71" i="50"/>
  <c r="V76" i="50"/>
  <c r="W79" i="50"/>
  <c r="AW79" i="50"/>
  <c r="AW81" i="50" s="1"/>
  <c r="U90" i="50"/>
  <c r="X113" i="50"/>
  <c r="Y113" i="50" s="1"/>
  <c r="Z113" i="50" s="1"/>
  <c r="AA113" i="50" s="1"/>
  <c r="G48" i="50"/>
  <c r="K48" i="50"/>
  <c r="G49" i="50"/>
  <c r="K49" i="50"/>
  <c r="AS47" i="50"/>
  <c r="AT49" i="50" s="1"/>
  <c r="G68" i="50"/>
  <c r="K68" i="50"/>
  <c r="Q88" i="50"/>
  <c r="Q6" i="50" s="1"/>
  <c r="AV6" i="50" s="1"/>
  <c r="R76" i="50"/>
  <c r="AB79" i="50"/>
  <c r="AF79" i="50" s="1"/>
  <c r="AG80" i="50" s="1"/>
  <c r="X86" i="50"/>
  <c r="X75" i="50"/>
  <c r="X88" i="50" s="1"/>
  <c r="Y80" i="50"/>
  <c r="Y86" i="50"/>
  <c r="N104" i="50"/>
  <c r="O102" i="50"/>
  <c r="H48" i="50"/>
  <c r="L48" i="50"/>
  <c r="U58" i="50"/>
  <c r="AV59" i="50"/>
  <c r="D60" i="50"/>
  <c r="AD264" i="50"/>
  <c r="AD92" i="50"/>
  <c r="AV71" i="50"/>
  <c r="U80" i="50"/>
  <c r="U86" i="50"/>
  <c r="V80" i="50"/>
  <c r="S90" i="50"/>
  <c r="J122" i="50"/>
  <c r="L108" i="50"/>
  <c r="M106" i="50"/>
  <c r="L98" i="50"/>
  <c r="D43" i="50"/>
  <c r="D44" i="50" s="1"/>
  <c r="I43" i="50"/>
  <c r="I48" i="50"/>
  <c r="D51" i="50"/>
  <c r="D52" i="50" s="1"/>
  <c r="F60" i="50"/>
  <c r="E68" i="50"/>
  <c r="I68" i="50"/>
  <c r="AV88" i="50"/>
  <c r="U77" i="50"/>
  <c r="Z86" i="50"/>
  <c r="Z75" i="50"/>
  <c r="Z88" i="50" s="1"/>
  <c r="AD79" i="50"/>
  <c r="X80" i="50"/>
  <c r="AW71" i="50"/>
  <c r="T75" i="50"/>
  <c r="T81" i="50"/>
  <c r="T86" i="50"/>
  <c r="P90" i="50"/>
  <c r="AS98" i="50"/>
  <c r="J110" i="50"/>
  <c r="AW113" i="50"/>
  <c r="AW114" i="50" s="1"/>
  <c r="Q114" i="50"/>
  <c r="C119" i="50"/>
  <c r="Q90" i="50"/>
  <c r="AT98" i="50"/>
  <c r="AU102" i="50"/>
  <c r="AU104" i="50" s="1"/>
  <c r="R114" i="50"/>
  <c r="D119" i="50"/>
  <c r="F119" i="50"/>
  <c r="R90" i="50"/>
  <c r="AX93" i="50"/>
  <c r="E119" i="50"/>
  <c r="E110" i="50"/>
  <c r="I119" i="50"/>
  <c r="I110" i="50"/>
  <c r="M98" i="50"/>
  <c r="G119" i="50"/>
  <c r="O90" i="50"/>
  <c r="J153" i="50"/>
  <c r="H110" i="50"/>
  <c r="H119" i="50"/>
  <c r="K119" i="50"/>
  <c r="AS156" i="50"/>
  <c r="R174" i="50"/>
  <c r="R182" i="50"/>
  <c r="R164" i="50"/>
  <c r="AC174" i="50"/>
  <c r="AC182" i="50"/>
  <c r="W174" i="50"/>
  <c r="X177" i="50"/>
  <c r="W182" i="50"/>
  <c r="AS169" i="50"/>
  <c r="AU169" i="50"/>
  <c r="E170" i="50"/>
  <c r="P174" i="50"/>
  <c r="P164" i="50"/>
  <c r="AB182" i="50"/>
  <c r="AF184" i="50" s="1"/>
  <c r="X174" i="50"/>
  <c r="X182" i="50"/>
  <c r="R177" i="50"/>
  <c r="Z173" i="50"/>
  <c r="Z180" i="50"/>
  <c r="AD180" i="50"/>
  <c r="AD173" i="50"/>
  <c r="AE174" i="50" s="1"/>
  <c r="AA180" i="50"/>
  <c r="F161" i="50"/>
  <c r="Y174" i="50"/>
  <c r="J269" i="50"/>
  <c r="J190" i="50"/>
  <c r="J200" i="50"/>
  <c r="N269" i="50"/>
  <c r="N200" i="50"/>
  <c r="N204" i="50" s="1"/>
  <c r="N190" i="50"/>
  <c r="R269" i="50"/>
  <c r="S190" i="50"/>
  <c r="R200" i="50"/>
  <c r="V202" i="50" s="1"/>
  <c r="R190" i="50"/>
  <c r="Q182" i="50"/>
  <c r="Q186" i="50" s="1"/>
  <c r="AV173" i="50"/>
  <c r="P176" i="50"/>
  <c r="Q177" i="50" s="1"/>
  <c r="AA176" i="50"/>
  <c r="Y180" i="50"/>
  <c r="AC180" i="50"/>
  <c r="V176" i="50"/>
  <c r="Z176" i="50"/>
  <c r="Z177" i="50" s="1"/>
  <c r="AD176" i="50"/>
  <c r="AE177" i="50" s="1"/>
  <c r="AV185" i="50"/>
  <c r="Z273" i="50"/>
  <c r="AU189" i="50"/>
  <c r="AY189" i="50"/>
  <c r="K190" i="50"/>
  <c r="Q190" i="50"/>
  <c r="Z190" i="50"/>
  <c r="W191" i="50"/>
  <c r="AC191" i="50"/>
  <c r="AD193" i="50"/>
  <c r="V275" i="50"/>
  <c r="V273" i="50"/>
  <c r="AV195" i="50"/>
  <c r="AV196" i="50" s="1"/>
  <c r="Q196" i="50"/>
  <c r="V196" i="50"/>
  <c r="AA196" i="50"/>
  <c r="I200" i="50"/>
  <c r="K200" i="50"/>
  <c r="K204" i="50" s="1"/>
  <c r="Q200" i="50"/>
  <c r="U202" i="50" s="1"/>
  <c r="Z200" i="50"/>
  <c r="AD202" i="50" s="1"/>
  <c r="AI204" i="50"/>
  <c r="V201" i="50"/>
  <c r="BA200" i="50"/>
  <c r="AC203" i="50"/>
  <c r="M204" i="50"/>
  <c r="Y208" i="50"/>
  <c r="AY185" i="50"/>
  <c r="AA173" i="50"/>
  <c r="W186" i="50"/>
  <c r="AW185" i="50"/>
  <c r="G269" i="50"/>
  <c r="G200" i="50"/>
  <c r="AT200" i="50" s="1"/>
  <c r="AV189" i="50"/>
  <c r="AZ189" i="50"/>
  <c r="AA190" i="50"/>
  <c r="S275" i="50"/>
  <c r="S273" i="50"/>
  <c r="W275" i="50"/>
  <c r="AX195" i="50"/>
  <c r="AW195" i="50"/>
  <c r="AW196" i="50" s="1"/>
  <c r="W196" i="50"/>
  <c r="AA200" i="50"/>
  <c r="AE202" i="50" s="1"/>
  <c r="AW200" i="50"/>
  <c r="J204" i="50"/>
  <c r="R204" i="50"/>
  <c r="V204" i="50"/>
  <c r="AC177" i="50"/>
  <c r="AY179" i="50"/>
  <c r="AY180" i="50" s="1"/>
  <c r="AB180" i="50"/>
  <c r="AX185" i="50"/>
  <c r="W190" i="50"/>
  <c r="AA193" i="50"/>
  <c r="AY195" i="50"/>
  <c r="S196" i="50"/>
  <c r="W200" i="50"/>
  <c r="W204" i="50" s="1"/>
  <c r="AD201" i="50"/>
  <c r="AK203" i="50"/>
  <c r="AK204" i="50" s="1"/>
  <c r="AD236" i="50"/>
  <c r="AE237" i="50" s="1"/>
  <c r="D161" i="50"/>
  <c r="AT169" i="50"/>
  <c r="O176" i="50"/>
  <c r="T176" i="50"/>
  <c r="Y177" i="50"/>
  <c r="S179" i="50"/>
  <c r="Y273" i="50"/>
  <c r="AT189" i="50"/>
  <c r="AX189" i="50"/>
  <c r="AX191" i="50" s="1"/>
  <c r="O190" i="50"/>
  <c r="Y190" i="50"/>
  <c r="AD190" i="50"/>
  <c r="AA191" i="50"/>
  <c r="AX192" i="50"/>
  <c r="W193" i="50"/>
  <c r="AC193" i="50"/>
  <c r="U275" i="50"/>
  <c r="U273" i="50"/>
  <c r="U179" i="50"/>
  <c r="O196" i="50"/>
  <c r="U196" i="50"/>
  <c r="Z196" i="50"/>
  <c r="W214" i="50"/>
  <c r="AX214" i="50" s="1"/>
  <c r="AX198" i="50"/>
  <c r="O200" i="50"/>
  <c r="Y200" i="50"/>
  <c r="AC202" i="50" s="1"/>
  <c r="H204" i="50"/>
  <c r="H275" i="50"/>
  <c r="H268" i="50"/>
  <c r="H222" i="50"/>
  <c r="H224" i="50" s="1"/>
  <c r="L275" i="50"/>
  <c r="L268" i="50"/>
  <c r="L222" i="50"/>
  <c r="L224" i="50" s="1"/>
  <c r="P268" i="50"/>
  <c r="P222" i="50"/>
  <c r="P208" i="50"/>
  <c r="AV207" i="50"/>
  <c r="X209" i="50"/>
  <c r="X211" i="50"/>
  <c r="AB209" i="50"/>
  <c r="AB208" i="50"/>
  <c r="AY207" i="50"/>
  <c r="AY210" i="50"/>
  <c r="AC211" i="50"/>
  <c r="AV217" i="50"/>
  <c r="H190" i="50"/>
  <c r="L190" i="50"/>
  <c r="P190" i="50"/>
  <c r="X190" i="50"/>
  <c r="AB190" i="50"/>
  <c r="X191" i="50"/>
  <c r="AB191" i="50"/>
  <c r="X193" i="50"/>
  <c r="AB193" i="50"/>
  <c r="P275" i="50"/>
  <c r="T275" i="50"/>
  <c r="T273" i="50"/>
  <c r="X275" i="50"/>
  <c r="AB275" i="50"/>
  <c r="P196" i="50"/>
  <c r="T196" i="50"/>
  <c r="X196" i="50"/>
  <c r="AB196" i="50"/>
  <c r="L200" i="50"/>
  <c r="L204" i="50" s="1"/>
  <c r="P200" i="50"/>
  <c r="T202" i="50" s="1"/>
  <c r="X200" i="50"/>
  <c r="X204" i="50" s="1"/>
  <c r="AB200" i="50"/>
  <c r="AB204" i="50" s="1"/>
  <c r="T201" i="50"/>
  <c r="AT203" i="50"/>
  <c r="AX203" i="50"/>
  <c r="G275" i="50"/>
  <c r="G268" i="50"/>
  <c r="G222" i="50"/>
  <c r="G224" i="50" s="1"/>
  <c r="K275" i="50"/>
  <c r="K268" i="50"/>
  <c r="K222" i="50"/>
  <c r="O268" i="50"/>
  <c r="O222" i="50"/>
  <c r="W209" i="50"/>
  <c r="W208" i="50"/>
  <c r="AA209" i="50"/>
  <c r="AA208" i="50"/>
  <c r="AT207" i="50"/>
  <c r="AU209" i="50" s="1"/>
  <c r="AX207" i="50"/>
  <c r="AX209" i="50" s="1"/>
  <c r="Q208" i="50"/>
  <c r="Y209" i="50"/>
  <c r="AD209" i="50"/>
  <c r="AV223" i="50"/>
  <c r="Q222" i="50"/>
  <c r="Q12" i="50" s="1"/>
  <c r="AT223" i="50"/>
  <c r="AW223" i="50"/>
  <c r="AX223" i="50"/>
  <c r="AJ229" i="50"/>
  <c r="AF231" i="50"/>
  <c r="AG231" i="50" s="1"/>
  <c r="AI231" i="50" s="1"/>
  <c r="AF233" i="50"/>
  <c r="AG233" i="50" s="1"/>
  <c r="AV203" i="50"/>
  <c r="I275" i="50"/>
  <c r="I268" i="50"/>
  <c r="M275" i="50"/>
  <c r="M268" i="50"/>
  <c r="AZ214" i="50"/>
  <c r="AX218" i="50"/>
  <c r="M222" i="50"/>
  <c r="M224" i="50" s="1"/>
  <c r="AZ229" i="50"/>
  <c r="S204" i="50"/>
  <c r="J275" i="50"/>
  <c r="J268" i="50"/>
  <c r="J222" i="50"/>
  <c r="J224" i="50" s="1"/>
  <c r="N275" i="50"/>
  <c r="N268" i="50"/>
  <c r="N222" i="50"/>
  <c r="N224" i="50" s="1"/>
  <c r="R268" i="50"/>
  <c r="R222" i="50"/>
  <c r="R12" i="50" s="1"/>
  <c r="S208" i="50"/>
  <c r="Z208" i="50"/>
  <c r="K224" i="50"/>
  <c r="O224" i="50"/>
  <c r="AC236" i="50"/>
  <c r="AY227" i="50"/>
  <c r="AY228" i="50" s="1"/>
  <c r="AX210" i="50"/>
  <c r="AB236" i="50"/>
  <c r="AY229" i="50"/>
  <c r="AY230" i="50" s="1"/>
  <c r="AW230" i="50"/>
  <c r="E277" i="50"/>
  <c r="AV232" i="50"/>
  <c r="G267" i="50"/>
  <c r="AT239" i="50"/>
  <c r="K267" i="50"/>
  <c r="O267" i="50"/>
  <c r="AV228" i="50"/>
  <c r="AW228" i="50"/>
  <c r="AV234" i="50"/>
  <c r="L239" i="50"/>
  <c r="L267" i="50" s="1"/>
  <c r="AU236" i="50"/>
  <c r="AV236" i="50"/>
  <c r="P239" i="50"/>
  <c r="P267" i="50" s="1"/>
  <c r="Q237" i="50"/>
  <c r="P237" i="50"/>
  <c r="T239" i="50"/>
  <c r="T267" i="50" s="1"/>
  <c r="U237" i="50"/>
  <c r="T237" i="50"/>
  <c r="X238" i="50"/>
  <c r="X237" i="50"/>
  <c r="AT236" i="50"/>
  <c r="AT238" i="50" s="1"/>
  <c r="AX236" i="50"/>
  <c r="AX238" i="50" s="1"/>
  <c r="C239" i="50"/>
  <c r="S239" i="50"/>
  <c r="W239" i="50"/>
  <c r="C250" i="50"/>
  <c r="C56" i="50" s="1"/>
  <c r="D57" i="50" s="1"/>
  <c r="D277" i="50"/>
  <c r="Y237" i="50"/>
  <c r="Y238" i="50"/>
  <c r="R237" i="50"/>
  <c r="V237" i="50"/>
  <c r="Z237" i="50"/>
  <c r="Z238" i="50"/>
  <c r="F277" i="50"/>
  <c r="S237" i="50"/>
  <c r="W237" i="50"/>
  <c r="AA237" i="50"/>
  <c r="AA238" i="50"/>
  <c r="BW17" i="43"/>
  <c r="BX27" i="43"/>
  <c r="AU68" i="43"/>
  <c r="AY68" i="43"/>
  <c r="BX17" i="43"/>
  <c r="BW67" i="43"/>
  <c r="AT81" i="43"/>
  <c r="AX81" i="43"/>
  <c r="BX67" i="43"/>
  <c r="BX7" i="43"/>
  <c r="BW27" i="43"/>
  <c r="BX37" i="43"/>
  <c r="BY45" i="43"/>
  <c r="AP17" i="3"/>
  <c r="AQ17" i="3" s="1"/>
  <c r="BM18" i="3"/>
  <c r="BM105" i="3" s="1"/>
  <c r="BU18" i="3"/>
  <c r="BU105" i="3" s="1"/>
  <c r="N14" i="3"/>
  <c r="O14" i="3" s="1"/>
  <c r="AD14" i="3"/>
  <c r="AE14" i="3" s="1"/>
  <c r="AT14" i="3"/>
  <c r="AU14" i="3" s="1"/>
  <c r="N15" i="3"/>
  <c r="O15" i="3" s="1"/>
  <c r="AD15" i="3"/>
  <c r="AE15" i="3" s="1"/>
  <c r="AT15" i="3"/>
  <c r="AU15" i="3" s="1"/>
  <c r="K17" i="3"/>
  <c r="BN17" i="3" s="1"/>
  <c r="BN104" i="3" s="1"/>
  <c r="S17" i="3"/>
  <c r="BP17" i="3" s="1"/>
  <c r="BP104" i="3" s="1"/>
  <c r="AA17" i="3"/>
  <c r="BR17" i="3" s="1"/>
  <c r="BR104" i="3" s="1"/>
  <c r="AI17" i="3"/>
  <c r="BT17" i="3" s="1"/>
  <c r="BT104" i="3" s="1"/>
  <c r="F14" i="3"/>
  <c r="G14" i="3" s="1"/>
  <c r="BM14" i="3" s="1"/>
  <c r="BM101" i="3" s="1"/>
  <c r="V14" i="3"/>
  <c r="W14" i="3" s="1"/>
  <c r="AL14" i="3"/>
  <c r="AM14" i="3" s="1"/>
  <c r="AX17" i="3"/>
  <c r="AY17" i="3" s="1"/>
  <c r="W18" i="3"/>
  <c r="BQ18" i="3" s="1"/>
  <c r="BQ105" i="3" s="1"/>
  <c r="U64" i="3"/>
  <c r="U78" i="3" s="1"/>
  <c r="U86" i="3" s="1"/>
  <c r="BV64" i="3"/>
  <c r="BV78" i="3" s="1"/>
  <c r="BV86" i="3" s="1"/>
  <c r="BM12" i="3"/>
  <c r="BM99" i="3" s="1"/>
  <c r="BQ12" i="3"/>
  <c r="BU12" i="3"/>
  <c r="BN13" i="3"/>
  <c r="BN100" i="3" s="1"/>
  <c r="BR13" i="3"/>
  <c r="BR100" i="3" s="1"/>
  <c r="BV13" i="3"/>
  <c r="BV100" i="3" s="1"/>
  <c r="BP14" i="3"/>
  <c r="BP101" i="3" s="1"/>
  <c r="BT14" i="3"/>
  <c r="BT101" i="3" s="1"/>
  <c r="BX14" i="3"/>
  <c r="BX101" i="3" s="1"/>
  <c r="I14" i="3"/>
  <c r="J14" i="3" s="1"/>
  <c r="K14" i="3" s="1"/>
  <c r="Y14" i="3"/>
  <c r="Z14" i="3" s="1"/>
  <c r="AA14" i="3" s="1"/>
  <c r="AO14" i="3"/>
  <c r="AP14" i="3" s="1"/>
  <c r="AQ14" i="3" s="1"/>
  <c r="E15" i="3"/>
  <c r="F15" i="3" s="1"/>
  <c r="G15" i="3" s="1"/>
  <c r="I15" i="3"/>
  <c r="J15" i="3" s="1"/>
  <c r="K15" i="3" s="1"/>
  <c r="Q15" i="3"/>
  <c r="R15" i="3" s="1"/>
  <c r="S15" i="3" s="1"/>
  <c r="U15" i="3"/>
  <c r="V15" i="3" s="1"/>
  <c r="W15" i="3" s="1"/>
  <c r="Y15" i="3"/>
  <c r="Z15" i="3" s="1"/>
  <c r="AA15" i="3" s="1"/>
  <c r="AG15" i="3"/>
  <c r="AH15" i="3" s="1"/>
  <c r="AI15" i="3" s="1"/>
  <c r="AK15" i="3"/>
  <c r="AL15" i="3" s="1"/>
  <c r="AM15" i="3" s="1"/>
  <c r="AO15" i="3"/>
  <c r="AP15" i="3" s="1"/>
  <c r="AQ15" i="3" s="1"/>
  <c r="AW15" i="3"/>
  <c r="AX15" i="3" s="1"/>
  <c r="AY15" i="3" s="1"/>
  <c r="BZ15" i="3"/>
  <c r="F16" i="3"/>
  <c r="J16" i="3"/>
  <c r="N16" i="3"/>
  <c r="R16" i="3"/>
  <c r="V16" i="3"/>
  <c r="Z16" i="3"/>
  <c r="AD16" i="3"/>
  <c r="AH16" i="3"/>
  <c r="AL16" i="3"/>
  <c r="AP16" i="3"/>
  <c r="AT16" i="3"/>
  <c r="AX16" i="3"/>
  <c r="N17" i="3"/>
  <c r="O17" i="3" s="1"/>
  <c r="AD17" i="3"/>
  <c r="AE17" i="3" s="1"/>
  <c r="J20" i="3"/>
  <c r="K20" i="3" s="1"/>
  <c r="Z20" i="3"/>
  <c r="AA20" i="3" s="1"/>
  <c r="AP20" i="3"/>
  <c r="AQ20" i="3" s="1"/>
  <c r="N21" i="3"/>
  <c r="O21" i="3" s="1"/>
  <c r="AD21" i="3"/>
  <c r="AE21" i="3" s="1"/>
  <c r="BX21" i="3"/>
  <c r="BX108" i="3" s="1"/>
  <c r="BO22" i="3"/>
  <c r="BO109" i="3" s="1"/>
  <c r="BS22" i="3"/>
  <c r="BS109" i="3" s="1"/>
  <c r="BW22" i="3"/>
  <c r="BW109" i="3" s="1"/>
  <c r="F23" i="3"/>
  <c r="G23" i="3" s="1"/>
  <c r="BO23" i="3"/>
  <c r="BO110" i="3" s="1"/>
  <c r="V23" i="3"/>
  <c r="W23" i="3" s="1"/>
  <c r="BS23" i="3"/>
  <c r="BS110" i="3" s="1"/>
  <c r="AL23" i="3"/>
  <c r="AM23" i="3" s="1"/>
  <c r="BW23" i="3"/>
  <c r="BW110" i="3" s="1"/>
  <c r="BP24" i="3"/>
  <c r="BP111" i="3" s="1"/>
  <c r="BT24" i="3"/>
  <c r="BT111" i="3" s="1"/>
  <c r="BX24" i="3"/>
  <c r="BX111" i="3" s="1"/>
  <c r="BP25" i="3"/>
  <c r="BP112" i="3" s="1"/>
  <c r="BO26" i="3"/>
  <c r="BO113" i="3" s="1"/>
  <c r="BS26" i="3"/>
  <c r="BS113" i="3" s="1"/>
  <c r="BW26" i="3"/>
  <c r="BW113" i="3" s="1"/>
  <c r="BS25" i="3"/>
  <c r="BS112" i="3" s="1"/>
  <c r="BT26" i="3"/>
  <c r="BT113" i="3" s="1"/>
  <c r="R31" i="3"/>
  <c r="S31" i="3" s="1"/>
  <c r="AH31" i="3"/>
  <c r="AI31" i="3" s="1"/>
  <c r="AX31" i="3"/>
  <c r="AY31" i="3" s="1"/>
  <c r="R33" i="3"/>
  <c r="S33" i="3" s="1"/>
  <c r="AH33" i="3"/>
  <c r="AI33" i="3" s="1"/>
  <c r="AX33" i="3"/>
  <c r="AY33" i="3" s="1"/>
  <c r="AX35" i="3"/>
  <c r="AY35" i="3" s="1"/>
  <c r="N36" i="3"/>
  <c r="O36" i="3" s="1"/>
  <c r="Z36" i="3"/>
  <c r="AA36" i="3" s="1"/>
  <c r="R37" i="3"/>
  <c r="S37" i="3" s="1"/>
  <c r="AP37" i="3"/>
  <c r="AQ37" i="3" s="1"/>
  <c r="AT38" i="3"/>
  <c r="AU38" i="3" s="1"/>
  <c r="J39" i="3"/>
  <c r="K39" i="3" s="1"/>
  <c r="AX39" i="3"/>
  <c r="AY39" i="3" s="1"/>
  <c r="N40" i="3"/>
  <c r="O40" i="3" s="1"/>
  <c r="Z40" i="3"/>
  <c r="AA40" i="3" s="1"/>
  <c r="AE45" i="3"/>
  <c r="BS45" i="3" s="1"/>
  <c r="BS132" i="3" s="1"/>
  <c r="R64" i="3"/>
  <c r="R78" i="3" s="1"/>
  <c r="R86" i="3" s="1"/>
  <c r="AX64" i="3"/>
  <c r="AX78" i="3" s="1"/>
  <c r="AX86" i="3" s="1"/>
  <c r="D82" i="3"/>
  <c r="D79" i="3"/>
  <c r="D80" i="3" s="1"/>
  <c r="H82" i="3"/>
  <c r="H79" i="3"/>
  <c r="H80" i="3" s="1"/>
  <c r="L82" i="3"/>
  <c r="L79" i="3"/>
  <c r="L80" i="3" s="1"/>
  <c r="P79" i="3"/>
  <c r="P80" i="3" s="1"/>
  <c r="P82" i="3"/>
  <c r="T82" i="3"/>
  <c r="T79" i="3"/>
  <c r="T80" i="3" s="1"/>
  <c r="X82" i="3"/>
  <c r="X79" i="3"/>
  <c r="X80" i="3" s="1"/>
  <c r="AB79" i="3"/>
  <c r="AB80" i="3" s="1"/>
  <c r="AB82" i="3"/>
  <c r="AF79" i="3"/>
  <c r="AF80" i="3" s="1"/>
  <c r="AF82" i="3"/>
  <c r="AJ82" i="3"/>
  <c r="AJ79" i="3"/>
  <c r="AJ80" i="3" s="1"/>
  <c r="AN82" i="3"/>
  <c r="AN79" i="3"/>
  <c r="AN80" i="3" s="1"/>
  <c r="AR82" i="3"/>
  <c r="AR79" i="3"/>
  <c r="AR80" i="3" s="1"/>
  <c r="AZ82" i="3"/>
  <c r="AZ83" i="3" s="1"/>
  <c r="BE98" i="3"/>
  <c r="BF98" i="3" s="1"/>
  <c r="BG98" i="3" s="1"/>
  <c r="BD100" i="3"/>
  <c r="BE100" i="3" s="1"/>
  <c r="BF100" i="3" s="1"/>
  <c r="BG100" i="3" s="1"/>
  <c r="BD68" i="3"/>
  <c r="BN12" i="3"/>
  <c r="BN99" i="3" s="1"/>
  <c r="BR12" i="3"/>
  <c r="BV12" i="3"/>
  <c r="BO13" i="3"/>
  <c r="BO100" i="3" s="1"/>
  <c r="BS13" i="3"/>
  <c r="BS100" i="3" s="1"/>
  <c r="BW13" i="3"/>
  <c r="BW100" i="3" s="1"/>
  <c r="BV18" i="3"/>
  <c r="BV105" i="3" s="1"/>
  <c r="AL25" i="3"/>
  <c r="AM25" i="3" s="1"/>
  <c r="F26" i="3"/>
  <c r="G26" i="3" s="1"/>
  <c r="V26" i="3"/>
  <c r="W26" i="3" s="1"/>
  <c r="AL26" i="3"/>
  <c r="AM26" i="3" s="1"/>
  <c r="BP22" i="3"/>
  <c r="BP109" i="3" s="1"/>
  <c r="BW25" i="3"/>
  <c r="BW112" i="3" s="1"/>
  <c r="Z35" i="3"/>
  <c r="AA35" i="3" s="1"/>
  <c r="AD36" i="3"/>
  <c r="AE36" i="3" s="1"/>
  <c r="AP36" i="3"/>
  <c r="AQ36" i="3" s="1"/>
  <c r="AH37" i="3"/>
  <c r="AI37" i="3" s="1"/>
  <c r="J38" i="3"/>
  <c r="K38" i="3" s="1"/>
  <c r="Z39" i="3"/>
  <c r="AA39" i="3" s="1"/>
  <c r="AD40" i="3"/>
  <c r="AE40" i="3" s="1"/>
  <c r="AP40" i="3"/>
  <c r="AQ40" i="3" s="1"/>
  <c r="R44" i="3"/>
  <c r="AY45" i="3"/>
  <c r="BX45" i="3" s="1"/>
  <c r="BX132" i="3" s="1"/>
  <c r="J46" i="3"/>
  <c r="K46" i="3" s="1"/>
  <c r="E11" i="3"/>
  <c r="I11" i="3"/>
  <c r="M11" i="3"/>
  <c r="Q11" i="3"/>
  <c r="U11" i="3"/>
  <c r="Y11" i="3"/>
  <c r="AC11" i="3"/>
  <c r="AG11" i="3"/>
  <c r="AK11" i="3"/>
  <c r="AO11" i="3"/>
  <c r="AS11" i="3"/>
  <c r="AW11" i="3"/>
  <c r="M12" i="3"/>
  <c r="N12" i="3" s="1"/>
  <c r="O12" i="3" s="1"/>
  <c r="Q12" i="3"/>
  <c r="R12" i="3" s="1"/>
  <c r="S12" i="3" s="1"/>
  <c r="AC12" i="3"/>
  <c r="AD12" i="3" s="1"/>
  <c r="AE12" i="3" s="1"/>
  <c r="AG12" i="3"/>
  <c r="AH12" i="3" s="1"/>
  <c r="AI12" i="3" s="1"/>
  <c r="AS12" i="3"/>
  <c r="AT12" i="3" s="1"/>
  <c r="AU12" i="3" s="1"/>
  <c r="AW12" i="3"/>
  <c r="AX12" i="3" s="1"/>
  <c r="AY12" i="3" s="1"/>
  <c r="E13" i="3"/>
  <c r="F13" i="3" s="1"/>
  <c r="G13" i="3" s="1"/>
  <c r="Q13" i="3"/>
  <c r="R13" i="3" s="1"/>
  <c r="S13" i="3" s="1"/>
  <c r="U13" i="3"/>
  <c r="V13" i="3" s="1"/>
  <c r="W13" i="3" s="1"/>
  <c r="AG13" i="3"/>
  <c r="AH13" i="3" s="1"/>
  <c r="AI13" i="3" s="1"/>
  <c r="AK13" i="3"/>
  <c r="AL13" i="3" s="1"/>
  <c r="AM13" i="3" s="1"/>
  <c r="AW13" i="3"/>
  <c r="AX13" i="3" s="1"/>
  <c r="AY13" i="3" s="1"/>
  <c r="BZ11" i="3"/>
  <c r="BY103" i="3"/>
  <c r="BY68" i="3"/>
  <c r="BW17" i="3"/>
  <c r="BW104" i="3" s="1"/>
  <c r="I18" i="3"/>
  <c r="J18" i="3" s="1"/>
  <c r="K18" i="3" s="1"/>
  <c r="Y18" i="3"/>
  <c r="Z18" i="3" s="1"/>
  <c r="AA18" i="3" s="1"/>
  <c r="AD18" i="3"/>
  <c r="AE18" i="3" s="1"/>
  <c r="AT18" i="3"/>
  <c r="AU18" i="3" s="1"/>
  <c r="BM20" i="3"/>
  <c r="BM107" i="3" s="1"/>
  <c r="BO20" i="3"/>
  <c r="BO107" i="3" s="1"/>
  <c r="BP20" i="3"/>
  <c r="BP107" i="3" s="1"/>
  <c r="BQ20" i="3"/>
  <c r="BS20" i="3"/>
  <c r="BT20" i="3"/>
  <c r="BU20" i="3"/>
  <c r="BW20" i="3"/>
  <c r="BX20" i="3"/>
  <c r="BM21" i="3"/>
  <c r="BM108" i="3" s="1"/>
  <c r="BN21" i="3"/>
  <c r="BN108" i="3" s="1"/>
  <c r="BQ21" i="3"/>
  <c r="BQ108" i="3" s="1"/>
  <c r="BR21" i="3"/>
  <c r="BR108" i="3" s="1"/>
  <c r="BU21" i="3"/>
  <c r="BU108" i="3" s="1"/>
  <c r="AT21" i="3"/>
  <c r="AU21" i="3" s="1"/>
  <c r="BN23" i="3"/>
  <c r="BN110" i="3" s="1"/>
  <c r="BR23" i="3"/>
  <c r="BR110" i="3" s="1"/>
  <c r="BV23" i="3"/>
  <c r="BV110" i="3" s="1"/>
  <c r="BM24" i="3"/>
  <c r="BM111" i="3" s="1"/>
  <c r="N24" i="3"/>
  <c r="O24" i="3" s="1"/>
  <c r="BQ24" i="3"/>
  <c r="BQ111" i="3" s="1"/>
  <c r="AD24" i="3"/>
  <c r="AE24" i="3" s="1"/>
  <c r="BU24" i="3"/>
  <c r="BU111" i="3" s="1"/>
  <c r="AT24" i="3"/>
  <c r="AU24" i="3" s="1"/>
  <c r="N25" i="3"/>
  <c r="O25" i="3" s="1"/>
  <c r="BV25" i="3"/>
  <c r="BV112" i="3" s="1"/>
  <c r="BT22" i="3"/>
  <c r="BT109" i="3" s="1"/>
  <c r="J32" i="3"/>
  <c r="K32" i="3" s="1"/>
  <c r="Z32" i="3"/>
  <c r="AA32" i="3" s="1"/>
  <c r="AP32" i="3"/>
  <c r="AQ32" i="3" s="1"/>
  <c r="J34" i="3"/>
  <c r="K34" i="3" s="1"/>
  <c r="Z34" i="3"/>
  <c r="AA34" i="3" s="1"/>
  <c r="AP34" i="3"/>
  <c r="AQ34" i="3" s="1"/>
  <c r="R35" i="3"/>
  <c r="S35" i="3" s="1"/>
  <c r="AP35" i="3"/>
  <c r="AQ35" i="3" s="1"/>
  <c r="AT36" i="3"/>
  <c r="AU36" i="3" s="1"/>
  <c r="J37" i="3"/>
  <c r="K37" i="3" s="1"/>
  <c r="AX37" i="3"/>
  <c r="AY37" i="3" s="1"/>
  <c r="N38" i="3"/>
  <c r="O38" i="3" s="1"/>
  <c r="Z38" i="3"/>
  <c r="AA38" i="3" s="1"/>
  <c r="R39" i="3"/>
  <c r="S39" i="3" s="1"/>
  <c r="AP39" i="3"/>
  <c r="AQ39" i="3" s="1"/>
  <c r="AT40" i="3"/>
  <c r="AU40" i="3" s="1"/>
  <c r="AH44" i="3"/>
  <c r="AP47" i="3"/>
  <c r="AQ47" i="3" s="1"/>
  <c r="H94" i="3"/>
  <c r="AN94" i="3"/>
  <c r="BY13" i="3"/>
  <c r="BY100" i="3" s="1"/>
  <c r="BY15" i="3"/>
  <c r="BY102" i="3" s="1"/>
  <c r="BZ103" i="3"/>
  <c r="BZ68" i="3"/>
  <c r="BP18" i="3"/>
  <c r="BP105" i="3" s="1"/>
  <c r="BT18" i="3"/>
  <c r="BT105" i="3" s="1"/>
  <c r="BX18" i="3"/>
  <c r="BX105" i="3" s="1"/>
  <c r="BP21" i="3"/>
  <c r="BP108" i="3" s="1"/>
  <c r="BT21" i="3"/>
  <c r="BT108" i="3" s="1"/>
  <c r="BM22" i="3"/>
  <c r="BM109" i="3" s="1"/>
  <c r="BQ22" i="3"/>
  <c r="BQ109" i="3" s="1"/>
  <c r="BU22" i="3"/>
  <c r="BU109" i="3" s="1"/>
  <c r="BP23" i="3"/>
  <c r="BP110" i="3" s="1"/>
  <c r="BT23" i="3"/>
  <c r="BT110" i="3" s="1"/>
  <c r="BX23" i="3"/>
  <c r="BX110" i="3" s="1"/>
  <c r="BM25" i="3"/>
  <c r="BM112" i="3" s="1"/>
  <c r="BQ25" i="3"/>
  <c r="BQ112" i="3" s="1"/>
  <c r="AH25" i="3"/>
  <c r="AI25" i="3" s="1"/>
  <c r="AX25" i="3"/>
  <c r="AY25" i="3" s="1"/>
  <c r="J26" i="3"/>
  <c r="K26" i="3" s="1"/>
  <c r="Z26" i="3"/>
  <c r="AA26" i="3" s="1"/>
  <c r="AP26" i="3"/>
  <c r="AQ26" i="3" s="1"/>
  <c r="BX22" i="3"/>
  <c r="BX109" i="3" s="1"/>
  <c r="BP26" i="3"/>
  <c r="BP113" i="3" s="1"/>
  <c r="F35" i="3"/>
  <c r="G35" i="3" s="1"/>
  <c r="AH35" i="3"/>
  <c r="AI35" i="3" s="1"/>
  <c r="J36" i="3"/>
  <c r="K36" i="3" s="1"/>
  <c r="Z37" i="3"/>
  <c r="AA37" i="3" s="1"/>
  <c r="AD38" i="3"/>
  <c r="AE38" i="3" s="1"/>
  <c r="AP38" i="3"/>
  <c r="AQ38" i="3" s="1"/>
  <c r="AH39" i="3"/>
  <c r="AI39" i="3" s="1"/>
  <c r="J40" i="3"/>
  <c r="K40" i="3" s="1"/>
  <c r="AX44" i="3"/>
  <c r="E30" i="3"/>
  <c r="I30" i="3"/>
  <c r="M30" i="3"/>
  <c r="Q30" i="3"/>
  <c r="U30" i="3"/>
  <c r="Y30" i="3"/>
  <c r="AC30" i="3"/>
  <c r="AG30" i="3"/>
  <c r="AK30" i="3"/>
  <c r="AO30" i="3"/>
  <c r="AS30" i="3"/>
  <c r="AW30" i="3"/>
  <c r="BZ30" i="3"/>
  <c r="BO31" i="3"/>
  <c r="BO118" i="3" s="1"/>
  <c r="BS31" i="3"/>
  <c r="BS118" i="3" s="1"/>
  <c r="BW31" i="3"/>
  <c r="BW118" i="3" s="1"/>
  <c r="BM32" i="3"/>
  <c r="BM119" i="3" s="1"/>
  <c r="BQ32" i="3"/>
  <c r="BQ119" i="3" s="1"/>
  <c r="BU32" i="3"/>
  <c r="BU119" i="3" s="1"/>
  <c r="BO33" i="3"/>
  <c r="BO120" i="3" s="1"/>
  <c r="BS33" i="3"/>
  <c r="BS120" i="3" s="1"/>
  <c r="BW33" i="3"/>
  <c r="BW120" i="3" s="1"/>
  <c r="BM34" i="3"/>
  <c r="BM121" i="3" s="1"/>
  <c r="BQ34" i="3"/>
  <c r="BQ121" i="3" s="1"/>
  <c r="BU34" i="3"/>
  <c r="BU121" i="3" s="1"/>
  <c r="BO35" i="3"/>
  <c r="BO122" i="3" s="1"/>
  <c r="BS35" i="3"/>
  <c r="BS122" i="3" s="1"/>
  <c r="BW35" i="3"/>
  <c r="BW122" i="3" s="1"/>
  <c r="BM36" i="3"/>
  <c r="BM123" i="3" s="1"/>
  <c r="BQ36" i="3"/>
  <c r="BQ123" i="3" s="1"/>
  <c r="BU36" i="3"/>
  <c r="BU123" i="3" s="1"/>
  <c r="BO37" i="3"/>
  <c r="BO124" i="3" s="1"/>
  <c r="BS37" i="3"/>
  <c r="BS124" i="3" s="1"/>
  <c r="BW37" i="3"/>
  <c r="BW124" i="3" s="1"/>
  <c r="BM38" i="3"/>
  <c r="BM125" i="3" s="1"/>
  <c r="BQ38" i="3"/>
  <c r="BQ125" i="3" s="1"/>
  <c r="BU38" i="3"/>
  <c r="BU125" i="3" s="1"/>
  <c r="BO39" i="3"/>
  <c r="BO126" i="3" s="1"/>
  <c r="BS39" i="3"/>
  <c r="BS126" i="3" s="1"/>
  <c r="BW39" i="3"/>
  <c r="BW126" i="3" s="1"/>
  <c r="BM40" i="3"/>
  <c r="BM127" i="3" s="1"/>
  <c r="BQ40" i="3"/>
  <c r="BQ127" i="3" s="1"/>
  <c r="BU40" i="3"/>
  <c r="BU127" i="3" s="1"/>
  <c r="H41" i="3"/>
  <c r="X41" i="3"/>
  <c r="L50" i="3"/>
  <c r="AB50" i="3"/>
  <c r="AR50" i="3"/>
  <c r="BZ131" i="3"/>
  <c r="I45" i="3"/>
  <c r="J45" i="3" s="1"/>
  <c r="K45" i="3" s="1"/>
  <c r="Y45" i="3"/>
  <c r="Z45" i="3" s="1"/>
  <c r="AA45" i="3" s="1"/>
  <c r="AO45" i="3"/>
  <c r="AP45" i="3" s="1"/>
  <c r="AQ45" i="3" s="1"/>
  <c r="BQ45" i="3"/>
  <c r="BQ132" i="3" s="1"/>
  <c r="BW45" i="3"/>
  <c r="BW132" i="3" s="1"/>
  <c r="Y46" i="3"/>
  <c r="Z46" i="3" s="1"/>
  <c r="AA46" i="3" s="1"/>
  <c r="AO46" i="3"/>
  <c r="AP46" i="3" s="1"/>
  <c r="AQ46" i="3" s="1"/>
  <c r="BM47" i="3"/>
  <c r="BM134" i="3" s="1"/>
  <c r="I47" i="3"/>
  <c r="J47" i="3" s="1"/>
  <c r="K47" i="3" s="1"/>
  <c r="BQ47" i="3"/>
  <c r="BQ134" i="3" s="1"/>
  <c r="Y47" i="3"/>
  <c r="Z47" i="3" s="1"/>
  <c r="AA47" i="3" s="1"/>
  <c r="BU47" i="3"/>
  <c r="BU134" i="3" s="1"/>
  <c r="BX46" i="3"/>
  <c r="BX133" i="3" s="1"/>
  <c r="BO47" i="3"/>
  <c r="BO134" i="3" s="1"/>
  <c r="BT47" i="3"/>
  <c r="BT134" i="3" s="1"/>
  <c r="BO48" i="3"/>
  <c r="BO135" i="3" s="1"/>
  <c r="BS48" i="3"/>
  <c r="BS135" i="3" s="1"/>
  <c r="D41" i="3"/>
  <c r="T41" i="3"/>
  <c r="AJ41" i="3"/>
  <c r="BM45" i="3"/>
  <c r="BM132" i="3" s="1"/>
  <c r="BT46" i="3"/>
  <c r="BT133" i="3" s="1"/>
  <c r="BP47" i="3"/>
  <c r="BP134" i="3" s="1"/>
  <c r="AO48" i="3"/>
  <c r="AP48" i="3" s="1"/>
  <c r="AQ48" i="3" s="1"/>
  <c r="AW48" i="3"/>
  <c r="AX48" i="3" s="1"/>
  <c r="AY48" i="3" s="1"/>
  <c r="BX48" i="3"/>
  <c r="BX135" i="3" s="1"/>
  <c r="I49" i="3"/>
  <c r="J49" i="3" s="1"/>
  <c r="K49" i="3" s="1"/>
  <c r="Q49" i="3"/>
  <c r="R49" i="3" s="1"/>
  <c r="S49" i="3" s="1"/>
  <c r="Y49" i="3"/>
  <c r="Z49" i="3" s="1"/>
  <c r="AA49" i="3" s="1"/>
  <c r="AG49" i="3"/>
  <c r="AH49" i="3" s="1"/>
  <c r="AI49" i="3" s="1"/>
  <c r="AO49" i="3"/>
  <c r="AP49" i="3" s="1"/>
  <c r="AQ49" i="3" s="1"/>
  <c r="AW49" i="3"/>
  <c r="AX49" i="3" s="1"/>
  <c r="AY49" i="3" s="1"/>
  <c r="BM31" i="3"/>
  <c r="BM118" i="3" s="1"/>
  <c r="BQ31" i="3"/>
  <c r="BQ118" i="3" s="1"/>
  <c r="BU31" i="3"/>
  <c r="BU118" i="3" s="1"/>
  <c r="BO32" i="3"/>
  <c r="BO119" i="3" s="1"/>
  <c r="BS32" i="3"/>
  <c r="BS119" i="3" s="1"/>
  <c r="BW32" i="3"/>
  <c r="BM33" i="3"/>
  <c r="BM120" i="3" s="1"/>
  <c r="BQ33" i="3"/>
  <c r="BQ120" i="3" s="1"/>
  <c r="BU33" i="3"/>
  <c r="BU120" i="3" s="1"/>
  <c r="BO34" i="3"/>
  <c r="BO121" i="3" s="1"/>
  <c r="BS34" i="3"/>
  <c r="BS121" i="3" s="1"/>
  <c r="BW34" i="3"/>
  <c r="BW121" i="3" s="1"/>
  <c r="BQ35" i="3"/>
  <c r="BQ122" i="3" s="1"/>
  <c r="BU35" i="3"/>
  <c r="BU122" i="3" s="1"/>
  <c r="BM37" i="3"/>
  <c r="BM124" i="3" s="1"/>
  <c r="BQ37" i="3"/>
  <c r="BQ124" i="3" s="1"/>
  <c r="BU37" i="3"/>
  <c r="BU124" i="3" s="1"/>
  <c r="BM39" i="3"/>
  <c r="BM126" i="3" s="1"/>
  <c r="BQ39" i="3"/>
  <c r="BQ126" i="3" s="1"/>
  <c r="BU39" i="3"/>
  <c r="BU126" i="3" s="1"/>
  <c r="Q36" i="3"/>
  <c r="R36" i="3" s="1"/>
  <c r="S36" i="3" s="1"/>
  <c r="AG36" i="3"/>
  <c r="AH36" i="3" s="1"/>
  <c r="AI36" i="3" s="1"/>
  <c r="AW36" i="3"/>
  <c r="AX36" i="3" s="1"/>
  <c r="AY36" i="3" s="1"/>
  <c r="Q38" i="3"/>
  <c r="R38" i="3" s="1"/>
  <c r="S38" i="3" s="1"/>
  <c r="AG38" i="3"/>
  <c r="AH38" i="3" s="1"/>
  <c r="AI38" i="3" s="1"/>
  <c r="AW38" i="3"/>
  <c r="AX38" i="3" s="1"/>
  <c r="AY38" i="3" s="1"/>
  <c r="Q40" i="3"/>
  <c r="R40" i="3" s="1"/>
  <c r="S40" i="3" s="1"/>
  <c r="AG40" i="3"/>
  <c r="AH40" i="3" s="1"/>
  <c r="AI40" i="3" s="1"/>
  <c r="AW40" i="3"/>
  <c r="AX40" i="3" s="1"/>
  <c r="AY40" i="3" s="1"/>
  <c r="P41" i="3"/>
  <c r="AF41" i="3"/>
  <c r="D50" i="3"/>
  <c r="I44" i="3"/>
  <c r="N44" i="3"/>
  <c r="T50" i="3"/>
  <c r="Y44" i="3"/>
  <c r="AD44" i="3"/>
  <c r="AJ50" i="3"/>
  <c r="AO44" i="3"/>
  <c r="AT44" i="3"/>
  <c r="BO45" i="3"/>
  <c r="BO132" i="3" s="1"/>
  <c r="BT45" i="3"/>
  <c r="BT132" i="3" s="1"/>
  <c r="Q46" i="3"/>
  <c r="R46" i="3" s="1"/>
  <c r="S46" i="3" s="1"/>
  <c r="AW47" i="3"/>
  <c r="AX47" i="3" s="1"/>
  <c r="AY47" i="3" s="1"/>
  <c r="BU46" i="3"/>
  <c r="BU133" i="3" s="1"/>
  <c r="BW47" i="3"/>
  <c r="I48" i="3"/>
  <c r="J48" i="3" s="1"/>
  <c r="K48" i="3" s="1"/>
  <c r="Y48" i="3"/>
  <c r="Z48" i="3" s="1"/>
  <c r="AA48" i="3" s="1"/>
  <c r="BE117" i="3"/>
  <c r="BY30" i="3"/>
  <c r="I31" i="3"/>
  <c r="J31" i="3" s="1"/>
  <c r="K31" i="3" s="1"/>
  <c r="Y31" i="3"/>
  <c r="Z31" i="3" s="1"/>
  <c r="AA31" i="3" s="1"/>
  <c r="AO31" i="3"/>
  <c r="AP31" i="3" s="1"/>
  <c r="AQ31" i="3" s="1"/>
  <c r="Q32" i="3"/>
  <c r="R32" i="3" s="1"/>
  <c r="S32" i="3" s="1"/>
  <c r="AG32" i="3"/>
  <c r="AH32" i="3" s="1"/>
  <c r="AI32" i="3" s="1"/>
  <c r="AW32" i="3"/>
  <c r="AX32" i="3" s="1"/>
  <c r="AY32" i="3" s="1"/>
  <c r="I33" i="3"/>
  <c r="J33" i="3" s="1"/>
  <c r="K33" i="3" s="1"/>
  <c r="Y33" i="3"/>
  <c r="Z33" i="3" s="1"/>
  <c r="AA33" i="3" s="1"/>
  <c r="AO33" i="3"/>
  <c r="AP33" i="3" s="1"/>
  <c r="AQ33" i="3" s="1"/>
  <c r="Q34" i="3"/>
  <c r="R34" i="3" s="1"/>
  <c r="S34" i="3" s="1"/>
  <c r="AG34" i="3"/>
  <c r="AH34" i="3" s="1"/>
  <c r="AI34" i="3" s="1"/>
  <c r="AW34" i="3"/>
  <c r="AX34" i="3" s="1"/>
  <c r="AY34" i="3" s="1"/>
  <c r="BN35" i="3"/>
  <c r="BN122" i="3" s="1"/>
  <c r="L41" i="3"/>
  <c r="AB41" i="3"/>
  <c r="E44" i="3"/>
  <c r="P50" i="3"/>
  <c r="U44" i="3"/>
  <c r="AF50" i="3"/>
  <c r="AK44" i="3"/>
  <c r="AV50" i="3"/>
  <c r="BY131" i="3"/>
  <c r="BP45" i="3"/>
  <c r="BP132" i="3" s="1"/>
  <c r="BU45" i="3"/>
  <c r="BU132" i="3" s="1"/>
  <c r="M46" i="3"/>
  <c r="N46" i="3" s="1"/>
  <c r="O46" i="3" s="1"/>
  <c r="AC46" i="3"/>
  <c r="AD46" i="3" s="1"/>
  <c r="AE46" i="3" s="1"/>
  <c r="AS46" i="3"/>
  <c r="AT46" i="3" s="1"/>
  <c r="AU46" i="3" s="1"/>
  <c r="AC47" i="3"/>
  <c r="AD47" i="3" s="1"/>
  <c r="AE47" i="3" s="1"/>
  <c r="BQ46" i="3"/>
  <c r="BQ133" i="3" s="1"/>
  <c r="E48" i="3"/>
  <c r="F48" i="3" s="1"/>
  <c r="G48" i="3" s="1"/>
  <c r="BP48" i="3"/>
  <c r="BP135" i="3" s="1"/>
  <c r="U48" i="3"/>
  <c r="V48" i="3" s="1"/>
  <c r="W48" i="3" s="1"/>
  <c r="BT48" i="3"/>
  <c r="AK48" i="3"/>
  <c r="AL48" i="3" s="1"/>
  <c r="AM48" i="3" s="1"/>
  <c r="AS48" i="3"/>
  <c r="AT48" i="3" s="1"/>
  <c r="AU48" i="3" s="1"/>
  <c r="E49" i="3"/>
  <c r="F49" i="3" s="1"/>
  <c r="G49" i="3" s="1"/>
  <c r="M49" i="3"/>
  <c r="N49" i="3" s="1"/>
  <c r="O49" i="3" s="1"/>
  <c r="U49" i="3"/>
  <c r="V49" i="3" s="1"/>
  <c r="W49" i="3" s="1"/>
  <c r="AC49" i="3"/>
  <c r="AD49" i="3" s="1"/>
  <c r="AE49" i="3" s="1"/>
  <c r="AK49" i="3"/>
  <c r="AL49" i="3" s="1"/>
  <c r="AM49" i="3" s="1"/>
  <c r="AS49" i="3"/>
  <c r="AT49" i="3" s="1"/>
  <c r="AU49" i="3" s="1"/>
  <c r="AF70" i="3"/>
  <c r="AF72" i="3"/>
  <c r="L75" i="3"/>
  <c r="AF75" i="3"/>
  <c r="BN52" i="3"/>
  <c r="BN139" i="3" s="1"/>
  <c r="BR52" i="3"/>
  <c r="BR139" i="3" s="1"/>
  <c r="BV52" i="3"/>
  <c r="BV139" i="3" s="1"/>
  <c r="BS70" i="3"/>
  <c r="BS72" i="3"/>
  <c r="BS75" i="3" s="1"/>
  <c r="BW70" i="3"/>
  <c r="N52" i="3"/>
  <c r="O52" i="3" s="1"/>
  <c r="R52" i="3"/>
  <c r="S52" i="3" s="1"/>
  <c r="AD52" i="3"/>
  <c r="AE52" i="3" s="1"/>
  <c r="AH52" i="3"/>
  <c r="AI52" i="3" s="1"/>
  <c r="AT52" i="3"/>
  <c r="AU52" i="3" s="1"/>
  <c r="AX52" i="3"/>
  <c r="AY52" i="3" s="1"/>
  <c r="BO70" i="3"/>
  <c r="BO72" i="3"/>
  <c r="BO75" i="3" s="1"/>
  <c r="BT72" i="3"/>
  <c r="BT75" i="3" s="1"/>
  <c r="BX72" i="3"/>
  <c r="BT70" i="3"/>
  <c r="AS72" i="3"/>
  <c r="AS75" i="3" s="1"/>
  <c r="AS70" i="3"/>
  <c r="AN72" i="3"/>
  <c r="AN75" i="3" s="1"/>
  <c r="AN70" i="3"/>
  <c r="BP70" i="3"/>
  <c r="BW72" i="3"/>
  <c r="BW75" i="3" s="1"/>
  <c r="BQ72" i="3"/>
  <c r="BQ75" i="3" s="1"/>
  <c r="BQ70" i="3"/>
  <c r="J72" i="3"/>
  <c r="J75" i="3" s="1"/>
  <c r="J70" i="3"/>
  <c r="Z72" i="3"/>
  <c r="Z70" i="3"/>
  <c r="AD72" i="3"/>
  <c r="AD75" i="3" s="1"/>
  <c r="AD70" i="3"/>
  <c r="AL72" i="3"/>
  <c r="AL70" i="3"/>
  <c r="L70" i="3"/>
  <c r="Q70" i="3"/>
  <c r="AV70" i="3"/>
  <c r="I75" i="3"/>
  <c r="Y75" i="3"/>
  <c r="AO75" i="3"/>
  <c r="BR75" i="3"/>
  <c r="F72" i="3"/>
  <c r="F75" i="3" s="1"/>
  <c r="F70" i="3"/>
  <c r="V72" i="3"/>
  <c r="V70" i="3"/>
  <c r="AC70" i="3"/>
  <c r="AA72" i="3"/>
  <c r="AA75" i="3" s="1"/>
  <c r="AK72" i="3"/>
  <c r="AK75" i="3" s="1"/>
  <c r="AV72" i="3"/>
  <c r="AV75" i="3" s="1"/>
  <c r="AP70" i="3"/>
  <c r="BP75" i="3"/>
  <c r="BU70" i="3"/>
  <c r="N72" i="3"/>
  <c r="N75" i="3" s="1"/>
  <c r="N70" i="3"/>
  <c r="AA70" i="3"/>
  <c r="D75" i="3"/>
  <c r="T75" i="3"/>
  <c r="AJ75" i="3"/>
  <c r="R70" i="3"/>
  <c r="AH70" i="3"/>
  <c r="R75" i="3"/>
  <c r="V75" i="3"/>
  <c r="Z75" i="3"/>
  <c r="AH75" i="3"/>
  <c r="AL75" i="3"/>
  <c r="AT75" i="3"/>
  <c r="AX75" i="3"/>
  <c r="BF131" i="3"/>
  <c r="P99" i="2"/>
  <c r="AG46" i="2"/>
  <c r="E46" i="2"/>
  <c r="M46" i="2"/>
  <c r="U46" i="2"/>
  <c r="AC46" i="2"/>
  <c r="Y46" i="2"/>
  <c r="D99" i="2"/>
  <c r="H99" i="2"/>
  <c r="T99" i="2"/>
  <c r="X99" i="2"/>
  <c r="AB99" i="2"/>
  <c r="AF99" i="2"/>
  <c r="AJ99" i="2"/>
  <c r="AN99" i="2"/>
  <c r="AR99" i="2"/>
  <c r="AV99" i="2"/>
  <c r="AV46" i="2"/>
  <c r="L99" i="2"/>
  <c r="E99" i="2"/>
  <c r="I99" i="2"/>
  <c r="M99" i="2"/>
  <c r="Q99" i="2"/>
  <c r="U99" i="2"/>
  <c r="Y99" i="2"/>
  <c r="AC99" i="2"/>
  <c r="AG99" i="2"/>
  <c r="AK99" i="2"/>
  <c r="AO99" i="2"/>
  <c r="AS99" i="2"/>
  <c r="AW99" i="2"/>
  <c r="AK46" i="2"/>
  <c r="AS46" i="2"/>
  <c r="AW46" i="2"/>
  <c r="G99" i="2"/>
  <c r="K99" i="2"/>
  <c r="O99" i="2"/>
  <c r="S99" i="2"/>
  <c r="W99" i="2"/>
  <c r="AA99" i="2"/>
  <c r="AE99" i="2"/>
  <c r="AI99" i="2"/>
  <c r="AM99" i="2"/>
  <c r="AQ99" i="2"/>
  <c r="AU99" i="2"/>
  <c r="AY99" i="2"/>
  <c r="H46" i="2"/>
  <c r="AF46" i="2"/>
  <c r="AN46" i="2"/>
  <c r="G46" i="2"/>
  <c r="K46" i="2"/>
  <c r="O46" i="2"/>
  <c r="S46" i="2"/>
  <c r="W46" i="2"/>
  <c r="AA46" i="2"/>
  <c r="AE46" i="2"/>
  <c r="AI46" i="2"/>
  <c r="AM46" i="2"/>
  <c r="AQ101" i="2"/>
  <c r="AQ81" i="2"/>
  <c r="AQ82" i="2" s="1"/>
  <c r="AQ80" i="2"/>
  <c r="AQ72" i="2"/>
  <c r="BV72" i="2" s="1"/>
  <c r="BV73" i="2" s="1"/>
  <c r="AQ44" i="2"/>
  <c r="AQ46" i="2" s="1"/>
  <c r="AU101" i="2"/>
  <c r="AU81" i="2"/>
  <c r="AU82" i="2" s="1"/>
  <c r="AU80" i="2"/>
  <c r="AU72" i="2"/>
  <c r="BW72" i="2" s="1"/>
  <c r="BW73" i="2" s="1"/>
  <c r="AU44" i="2"/>
  <c r="AU46" i="2" s="1"/>
  <c r="AY101" i="2"/>
  <c r="AY81" i="2"/>
  <c r="AY82" i="2" s="1"/>
  <c r="AY80" i="2"/>
  <c r="AY72" i="2"/>
  <c r="BX72" i="2" s="1"/>
  <c r="BX73" i="2" s="1"/>
  <c r="AY44" i="2"/>
  <c r="AY46" i="2" s="1"/>
  <c r="D46" i="2"/>
  <c r="T46" i="2"/>
  <c r="AB46" i="2"/>
  <c r="AJ46" i="2"/>
  <c r="AR46" i="2"/>
  <c r="F99" i="2"/>
  <c r="J99" i="2"/>
  <c r="N99" i="2"/>
  <c r="R99" i="2"/>
  <c r="V99" i="2"/>
  <c r="Z99" i="2"/>
  <c r="AD99" i="2"/>
  <c r="AH99" i="2"/>
  <c r="AL99" i="2"/>
  <c r="AP99" i="2"/>
  <c r="AT99" i="2"/>
  <c r="AX17" i="2"/>
  <c r="AX26" i="2" s="1"/>
  <c r="AX70" i="3" s="1"/>
  <c r="AR101" i="2"/>
  <c r="AR81" i="2"/>
  <c r="AR82" i="2" s="1"/>
  <c r="AR80" i="2"/>
  <c r="AR72" i="2"/>
  <c r="AV101" i="2"/>
  <c r="AV80" i="2"/>
  <c r="AV72" i="2"/>
  <c r="AV81" i="2"/>
  <c r="AV82" i="2" s="1"/>
  <c r="AT101" i="2"/>
  <c r="AT81" i="2"/>
  <c r="AT82" i="2" s="1"/>
  <c r="AT72" i="2"/>
  <c r="AT80" i="2"/>
  <c r="AX101" i="2"/>
  <c r="AX80" i="2"/>
  <c r="AX72" i="2"/>
  <c r="AX81" i="2"/>
  <c r="AX82" i="2" s="1"/>
  <c r="AS54" i="2"/>
  <c r="AW54" i="2"/>
  <c r="AX70" i="2"/>
  <c r="G70" i="2"/>
  <c r="G73" i="2" s="1"/>
  <c r="K70" i="2"/>
  <c r="K73" i="2" s="1"/>
  <c r="O70" i="2"/>
  <c r="O73" i="2" s="1"/>
  <c r="S70" i="2"/>
  <c r="W70" i="2"/>
  <c r="W73" i="2" s="1"/>
  <c r="AA70" i="2"/>
  <c r="AA73" i="2" s="1"/>
  <c r="AE70" i="2"/>
  <c r="AE73" i="2" s="1"/>
  <c r="AI70" i="2"/>
  <c r="AI73" i="2" s="1"/>
  <c r="AM70" i="2"/>
  <c r="AR70" i="2"/>
  <c r="AV70" i="2"/>
  <c r="D53" i="2"/>
  <c r="D52" i="2"/>
  <c r="D51" i="2" s="1"/>
  <c r="H53" i="2"/>
  <c r="H52" i="2"/>
  <c r="H51" i="2" s="1"/>
  <c r="L53" i="2"/>
  <c r="L52" i="2"/>
  <c r="L51" i="2" s="1"/>
  <c r="P53" i="2"/>
  <c r="P52" i="2"/>
  <c r="P51" i="2" s="1"/>
  <c r="T53" i="2"/>
  <c r="T52" i="2"/>
  <c r="T51" i="2" s="1"/>
  <c r="X53" i="2"/>
  <c r="X52" i="2"/>
  <c r="X51" i="2" s="1"/>
  <c r="AB53" i="2"/>
  <c r="AB52" i="2"/>
  <c r="AB51" i="2" s="1"/>
  <c r="AF53" i="2"/>
  <c r="AF52" i="2"/>
  <c r="AF51" i="2" s="1"/>
  <c r="AJ53" i="2"/>
  <c r="AJ52" i="2"/>
  <c r="AJ51" i="2" s="1"/>
  <c r="AN53" i="2"/>
  <c r="AN52" i="2"/>
  <c r="AN51" i="2" s="1"/>
  <c r="AR53" i="2"/>
  <c r="AR52" i="2"/>
  <c r="AR51" i="2" s="1"/>
  <c r="AV53" i="2"/>
  <c r="AV52" i="2"/>
  <c r="AV51" i="2" s="1"/>
  <c r="AY65" i="2"/>
  <c r="AS101" i="2"/>
  <c r="AS81" i="2"/>
  <c r="AS82" i="2" s="1"/>
  <c r="AS80" i="2"/>
  <c r="AS72" i="2"/>
  <c r="AW101" i="2"/>
  <c r="AW81" i="2"/>
  <c r="AW82" i="2" s="1"/>
  <c r="AW80" i="2"/>
  <c r="AW72" i="2"/>
  <c r="E53" i="2"/>
  <c r="E52" i="2"/>
  <c r="E51" i="2" s="1"/>
  <c r="I53" i="2"/>
  <c r="I52" i="2"/>
  <c r="I51" i="2" s="1"/>
  <c r="M53" i="2"/>
  <c r="M52" i="2"/>
  <c r="M51" i="2" s="1"/>
  <c r="Q53" i="2"/>
  <c r="Q52" i="2"/>
  <c r="Q51" i="2" s="1"/>
  <c r="U53" i="2"/>
  <c r="U52" i="2"/>
  <c r="U51" i="2" s="1"/>
  <c r="Y53" i="2"/>
  <c r="Y52" i="2"/>
  <c r="Y51" i="2" s="1"/>
  <c r="AC53" i="2"/>
  <c r="AC52" i="2"/>
  <c r="AC51" i="2" s="1"/>
  <c r="AG53" i="2"/>
  <c r="AG52" i="2"/>
  <c r="AG51" i="2" s="1"/>
  <c r="AK53" i="2"/>
  <c r="AK52" i="2"/>
  <c r="AK51" i="2" s="1"/>
  <c r="AO53" i="2"/>
  <c r="AO52" i="2"/>
  <c r="AO51" i="2" s="1"/>
  <c r="AS53" i="2"/>
  <c r="AS52" i="2"/>
  <c r="AS51" i="2" s="1"/>
  <c r="AW53" i="2"/>
  <c r="AW52" i="2"/>
  <c r="AW51" i="2" s="1"/>
  <c r="E70" i="2"/>
  <c r="E73" i="2" s="1"/>
  <c r="I70" i="2"/>
  <c r="I73" i="2" s="1"/>
  <c r="M70" i="2"/>
  <c r="M73" i="2" s="1"/>
  <c r="Q70" i="2"/>
  <c r="Q73" i="2" s="1"/>
  <c r="V70" i="2"/>
  <c r="V73" i="2" s="1"/>
  <c r="AC70" i="2"/>
  <c r="AC73" i="2" s="1"/>
  <c r="AK70" i="2"/>
  <c r="AK73" i="2" s="1"/>
  <c r="AT70" i="2"/>
  <c r="T73" i="2"/>
  <c r="X73" i="2"/>
  <c r="F70" i="2"/>
  <c r="F73" i="2" s="1"/>
  <c r="J70" i="2"/>
  <c r="J73" i="2" s="1"/>
  <c r="N70" i="2"/>
  <c r="N73" i="2" s="1"/>
  <c r="R70" i="2"/>
  <c r="R73" i="2" s="1"/>
  <c r="AD70" i="2"/>
  <c r="AD73" i="2" s="1"/>
  <c r="AL70" i="2"/>
  <c r="AL73" i="2" s="1"/>
  <c r="AU70" i="2"/>
  <c r="AB70" i="2"/>
  <c r="AB73" i="2" s="1"/>
  <c r="AF70" i="2"/>
  <c r="AF73" i="2" s="1"/>
  <c r="AJ70" i="2"/>
  <c r="AJ73" i="2" s="1"/>
  <c r="AN70" i="2"/>
  <c r="AN73" i="2" s="1"/>
  <c r="AS70" i="2"/>
  <c r="AW70" i="2"/>
  <c r="D70" i="2"/>
  <c r="D73" i="2" s="1"/>
  <c r="H70" i="2"/>
  <c r="H73" i="2" s="1"/>
  <c r="L70" i="2"/>
  <c r="L73" i="2" s="1"/>
  <c r="P70" i="2"/>
  <c r="P73" i="2" s="1"/>
  <c r="U70" i="2"/>
  <c r="U73" i="2" s="1"/>
  <c r="Z70" i="2"/>
  <c r="Z73" i="2" s="1"/>
  <c r="AH70" i="2"/>
  <c r="AH73" i="2" s="1"/>
  <c r="AQ70" i="2"/>
  <c r="S73" i="2"/>
  <c r="AM73" i="2"/>
  <c r="F82" i="2"/>
  <c r="N82" i="2"/>
  <c r="V82" i="2"/>
  <c r="AD82" i="2"/>
  <c r="AL82" i="2"/>
  <c r="M89" i="2"/>
  <c r="M91" i="2" s="1"/>
  <c r="Q89" i="2"/>
  <c r="Q91" i="2" s="1"/>
  <c r="AC89" i="2"/>
  <c r="AC91" i="2" s="1"/>
  <c r="AG89" i="2"/>
  <c r="AG91" i="2" s="1"/>
  <c r="AS89" i="2"/>
  <c r="AS91" i="2" s="1"/>
  <c r="AS94" i="2" s="1"/>
  <c r="AW89" i="2"/>
  <c r="AW91" i="2" s="1"/>
  <c r="AW94" i="2" s="1"/>
  <c r="AW95" i="2" s="1"/>
  <c r="AU95" i="2"/>
  <c r="AY95" i="2"/>
  <c r="G82" i="2"/>
  <c r="K82" i="2"/>
  <c r="O82" i="2"/>
  <c r="S82" i="2"/>
  <c r="W82" i="2"/>
  <c r="AA82" i="2"/>
  <c r="AE82" i="2"/>
  <c r="AI82" i="2"/>
  <c r="AM82" i="2"/>
  <c r="AT95" i="2"/>
  <c r="AX95" i="2"/>
  <c r="BA77" i="2"/>
  <c r="BX57" i="2"/>
  <c r="BW57" i="2"/>
  <c r="BV57" i="2"/>
  <c r="BU57" i="2"/>
  <c r="BT57" i="2"/>
  <c r="BS57" i="2"/>
  <c r="BR57" i="2"/>
  <c r="BN57" i="2"/>
  <c r="BU14" i="3" l="1"/>
  <c r="BU101" i="3" s="1"/>
  <c r="BQ14" i="3"/>
  <c r="BQ101" i="3" s="1"/>
  <c r="X94" i="3"/>
  <c r="BS64" i="3"/>
  <c r="BS78" i="3" s="1"/>
  <c r="BS86" i="3" s="1"/>
  <c r="AH64" i="3"/>
  <c r="AH78" i="3" s="1"/>
  <c r="AH86" i="3" s="1"/>
  <c r="AK94" i="3"/>
  <c r="M94" i="3"/>
  <c r="Y182" i="50"/>
  <c r="Y183" i="50" s="1"/>
  <c r="AC186" i="50"/>
  <c r="AG184" i="50"/>
  <c r="BU94" i="3"/>
  <c r="W64" i="3"/>
  <c r="W78" i="3" s="1"/>
  <c r="W86" i="3" s="1"/>
  <c r="BC64" i="3"/>
  <c r="BC78" i="3" s="1"/>
  <c r="BC86" i="3" s="1"/>
  <c r="BZ64" i="3"/>
  <c r="BZ78" i="3" s="1"/>
  <c r="BZ86" i="3" s="1"/>
  <c r="AW64" i="3"/>
  <c r="AW78" i="3" s="1"/>
  <c r="AW86" i="3" s="1"/>
  <c r="BX64" i="3"/>
  <c r="BX78" i="3" s="1"/>
  <c r="BX86" i="3" s="1"/>
  <c r="AM64" i="3"/>
  <c r="AM78" i="3" s="1"/>
  <c r="AM86" i="3" s="1"/>
  <c r="G64" i="3"/>
  <c r="G78" i="3" s="1"/>
  <c r="G86" i="3" s="1"/>
  <c r="Q64" i="3"/>
  <c r="Q78" i="3" s="1"/>
  <c r="Q86" i="3" s="1"/>
  <c r="CA94" i="3"/>
  <c r="CA64" i="3"/>
  <c r="CA78" i="3" s="1"/>
  <c r="CA86" i="3" s="1"/>
  <c r="H201" i="50"/>
  <c r="AA204" i="50"/>
  <c r="G204" i="50"/>
  <c r="S201" i="50"/>
  <c r="AW86" i="50"/>
  <c r="AX113" i="50"/>
  <c r="AU21" i="50"/>
  <c r="F44" i="50"/>
  <c r="AZ230" i="50"/>
  <c r="J201" i="50"/>
  <c r="AX176" i="50"/>
  <c r="AV238" i="50"/>
  <c r="AV239" i="50"/>
  <c r="AF86" i="50"/>
  <c r="V88" i="50"/>
  <c r="AW179" i="50"/>
  <c r="AX180" i="50" s="1"/>
  <c r="S176" i="50"/>
  <c r="AV39" i="50"/>
  <c r="AV41" i="50" s="1"/>
  <c r="AC79" i="50"/>
  <c r="Y75" i="50"/>
  <c r="AV94" i="3"/>
  <c r="AF94" i="3"/>
  <c r="P94" i="3"/>
  <c r="BF64" i="3"/>
  <c r="BF78" i="3" s="1"/>
  <c r="BF86" i="3" s="1"/>
  <c r="AP64" i="3"/>
  <c r="AP78" i="3" s="1"/>
  <c r="AP86" i="3" s="1"/>
  <c r="Z64" i="3"/>
  <c r="Z78" i="3" s="1"/>
  <c r="Z86" i="3" s="1"/>
  <c r="J64" i="3"/>
  <c r="J78" i="3" s="1"/>
  <c r="J86" i="3" s="1"/>
  <c r="BN64" i="3"/>
  <c r="BN78" i="3" s="1"/>
  <c r="BN86" i="3" s="1"/>
  <c r="AS94" i="3"/>
  <c r="AC64" i="3"/>
  <c r="AC78" i="3" s="1"/>
  <c r="AC86" i="3" s="1"/>
  <c r="BM94" i="3"/>
  <c r="BP94" i="3"/>
  <c r="AU94" i="3"/>
  <c r="AE94" i="3"/>
  <c r="O94" i="3"/>
  <c r="BE64" i="3"/>
  <c r="BE78" i="3" s="1"/>
  <c r="BE86" i="3" s="1"/>
  <c r="AG64" i="3"/>
  <c r="AG78" i="3" s="1"/>
  <c r="AG86" i="3" s="1"/>
  <c r="E94" i="3"/>
  <c r="AR94" i="3"/>
  <c r="AJ94" i="3"/>
  <c r="AB94" i="3"/>
  <c r="T94" i="3"/>
  <c r="L94" i="3"/>
  <c r="D94" i="3"/>
  <c r="BT64" i="3"/>
  <c r="BT78" i="3" s="1"/>
  <c r="BT86" i="3" s="1"/>
  <c r="BG64" i="3"/>
  <c r="BG78" i="3" s="1"/>
  <c r="BG86" i="3" s="1"/>
  <c r="AY64" i="3"/>
  <c r="AY78" i="3" s="1"/>
  <c r="AY86" i="3" s="1"/>
  <c r="AQ64" i="3"/>
  <c r="AQ78" i="3" s="1"/>
  <c r="AQ86" i="3" s="1"/>
  <c r="AI64" i="3"/>
  <c r="AI78" i="3" s="1"/>
  <c r="AI86" i="3" s="1"/>
  <c r="AA64" i="3"/>
  <c r="AA78" i="3" s="1"/>
  <c r="AA86" i="3" s="1"/>
  <c r="S64" i="3"/>
  <c r="S78" i="3" s="1"/>
  <c r="S86" i="3" s="1"/>
  <c r="K64" i="3"/>
  <c r="K78" i="3" s="1"/>
  <c r="K86" i="3" s="1"/>
  <c r="BW64" i="3"/>
  <c r="BW78" i="3" s="1"/>
  <c r="BW86" i="3" s="1"/>
  <c r="BO64" i="3"/>
  <c r="BO78" i="3" s="1"/>
  <c r="BO86" i="3" s="1"/>
  <c r="BB64" i="3"/>
  <c r="BB78" i="3" s="1"/>
  <c r="BB86" i="3" s="1"/>
  <c r="AT64" i="3"/>
  <c r="AT78" i="3" s="1"/>
  <c r="AT86" i="3" s="1"/>
  <c r="AL64" i="3"/>
  <c r="AL78" i="3" s="1"/>
  <c r="AL86" i="3" s="1"/>
  <c r="AD64" i="3"/>
  <c r="AD78" i="3" s="1"/>
  <c r="AD86" i="3" s="1"/>
  <c r="V64" i="3"/>
  <c r="V78" i="3" s="1"/>
  <c r="V86" i="3" s="1"/>
  <c r="N64" i="3"/>
  <c r="N78" i="3" s="1"/>
  <c r="N86" i="3" s="1"/>
  <c r="F64" i="3"/>
  <c r="F78" i="3" s="1"/>
  <c r="F86" i="3" s="1"/>
  <c r="BA94" i="3"/>
  <c r="BY11" i="3"/>
  <c r="BE24" i="2"/>
  <c r="BF24" i="2" s="1"/>
  <c r="BG24" i="2" s="1"/>
  <c r="BX75" i="3"/>
  <c r="BY94" i="3"/>
  <c r="BQ94" i="3"/>
  <c r="BD94" i="3"/>
  <c r="BR64" i="3"/>
  <c r="BR78" i="3" s="1"/>
  <c r="BR86" i="3" s="1"/>
  <c r="AO64" i="3"/>
  <c r="AO78" i="3" s="1"/>
  <c r="AO86" i="3" s="1"/>
  <c r="Y64" i="3"/>
  <c r="Y78" i="3" s="1"/>
  <c r="Y86" i="3" s="1"/>
  <c r="I64" i="3"/>
  <c r="I78" i="3" s="1"/>
  <c r="I86" i="3" s="1"/>
  <c r="BW134" i="3"/>
  <c r="BW119" i="3"/>
  <c r="BT135" i="3"/>
  <c r="BP39" i="3"/>
  <c r="BP126" i="3" s="1"/>
  <c r="BU48" i="3"/>
  <c r="BN38" i="3"/>
  <c r="BN125" i="3" s="1"/>
  <c r="BT37" i="3"/>
  <c r="BT124" i="3" s="1"/>
  <c r="BV36" i="3"/>
  <c r="BV123" i="3" s="1"/>
  <c r="BR35" i="3"/>
  <c r="BR122" i="3" s="1"/>
  <c r="BV24" i="3"/>
  <c r="BV111" i="3" s="1"/>
  <c r="BR24" i="3"/>
  <c r="BR111" i="3" s="1"/>
  <c r="BN24" i="3"/>
  <c r="BN111" i="3" s="1"/>
  <c r="BX17" i="3"/>
  <c r="BX104" i="3" s="1"/>
  <c r="BT49" i="3"/>
  <c r="BT136" i="3" s="1"/>
  <c r="BR48" i="3"/>
  <c r="BR135" i="3" s="1"/>
  <c r="BN36" i="3"/>
  <c r="BN123" i="3" s="1"/>
  <c r="BT35" i="3"/>
  <c r="BT122" i="3" s="1"/>
  <c r="BV47" i="3"/>
  <c r="BN32" i="3"/>
  <c r="BN119" i="3" s="1"/>
  <c r="BR40" i="3"/>
  <c r="BR127" i="3" s="1"/>
  <c r="BO36" i="3"/>
  <c r="BO123" i="3" s="1"/>
  <c r="BP31" i="3"/>
  <c r="BP118" i="3" s="1"/>
  <c r="BN53" i="2"/>
  <c r="BN52" i="2"/>
  <c r="BN51" i="2" s="1"/>
  <c r="BR53" i="2"/>
  <c r="BR52" i="2"/>
  <c r="BR51" i="2" s="1"/>
  <c r="BT53" i="2"/>
  <c r="BT52" i="2"/>
  <c r="BT51" i="2" s="1"/>
  <c r="BV53" i="2"/>
  <c r="BV52" i="2"/>
  <c r="BV51" i="2" s="1"/>
  <c r="BX53" i="2"/>
  <c r="BX52" i="2"/>
  <c r="BX51" i="2" s="1"/>
  <c r="BW80" i="2"/>
  <c r="BW82" i="2"/>
  <c r="BU80" i="2"/>
  <c r="BU82" i="2"/>
  <c r="BS80" i="2"/>
  <c r="BS82" i="2"/>
  <c r="BS52" i="2"/>
  <c r="BS51" i="2" s="1"/>
  <c r="BS53" i="2"/>
  <c r="BU52" i="2"/>
  <c r="BU51" i="2" s="1"/>
  <c r="BU53" i="2"/>
  <c r="BW52" i="2"/>
  <c r="BW51" i="2" s="1"/>
  <c r="BW53" i="2"/>
  <c r="BW48" i="3"/>
  <c r="BM48" i="3"/>
  <c r="BM135" i="3" s="1"/>
  <c r="BW46" i="3"/>
  <c r="BW133" i="3" s="1"/>
  <c r="BX49" i="3"/>
  <c r="BX136" i="3" s="1"/>
  <c r="BP49" i="3"/>
  <c r="BP136" i="3" s="1"/>
  <c r="BV48" i="3"/>
  <c r="BR45" i="3"/>
  <c r="BR132" i="3" s="1"/>
  <c r="BV46" i="3"/>
  <c r="BV133" i="3" s="1"/>
  <c r="BN40" i="3"/>
  <c r="BN127" i="3" s="1"/>
  <c r="BT39" i="3"/>
  <c r="BT126" i="3" s="1"/>
  <c r="BV38" i="3"/>
  <c r="BV125" i="3" s="1"/>
  <c r="BR37" i="3"/>
  <c r="BR124" i="3" s="1"/>
  <c r="BV39" i="3"/>
  <c r="BV126" i="3" s="1"/>
  <c r="BW36" i="3"/>
  <c r="BW123" i="3" s="1"/>
  <c r="BP35" i="3"/>
  <c r="BP122" i="3" s="1"/>
  <c r="BV32" i="3"/>
  <c r="BX107" i="3"/>
  <c r="BU107" i="3"/>
  <c r="BS107" i="3"/>
  <c r="BN46" i="3"/>
  <c r="BN133" i="3" s="1"/>
  <c r="BV40" i="3"/>
  <c r="BV127" i="3" s="1"/>
  <c r="BR39" i="3"/>
  <c r="BR126" i="3" s="1"/>
  <c r="BW24" i="3"/>
  <c r="BW111" i="3" s="1"/>
  <c r="BR99" i="3"/>
  <c r="AF83" i="3"/>
  <c r="AB83" i="3"/>
  <c r="P83" i="3"/>
  <c r="BX39" i="3"/>
  <c r="BX126" i="3" s="1"/>
  <c r="BR36" i="3"/>
  <c r="BR123" i="3" s="1"/>
  <c r="BX35" i="3"/>
  <c r="BX122" i="3" s="1"/>
  <c r="BX31" i="3"/>
  <c r="BX118" i="3" s="1"/>
  <c r="BQ99" i="3"/>
  <c r="BO17" i="3"/>
  <c r="BO104" i="3" s="1"/>
  <c r="BM46" i="3"/>
  <c r="BM133" i="3" s="1"/>
  <c r="BO18" i="3"/>
  <c r="BO105" i="3" s="1"/>
  <c r="BO52" i="3"/>
  <c r="BO139" i="3" s="1"/>
  <c r="AS50" i="3"/>
  <c r="BW107" i="3"/>
  <c r="BT107" i="3"/>
  <c r="BQ107" i="3"/>
  <c r="BV99" i="3"/>
  <c r="BU99" i="3"/>
  <c r="BM23" i="3"/>
  <c r="BM110" i="3" s="1"/>
  <c r="BV14" i="3"/>
  <c r="BV101" i="3" s="1"/>
  <c r="AZ231" i="50"/>
  <c r="AZ232" i="50" s="1"/>
  <c r="BC82" i="3"/>
  <c r="BC83" i="3" s="1"/>
  <c r="AZ94" i="3"/>
  <c r="BY24" i="3"/>
  <c r="BY111" i="3" s="1"/>
  <c r="AS95" i="2"/>
  <c r="BD24" i="3"/>
  <c r="AR73" i="2"/>
  <c r="BD18" i="3"/>
  <c r="BY18" i="3"/>
  <c r="BY105" i="3" s="1"/>
  <c r="O57" i="2"/>
  <c r="G57" i="2"/>
  <c r="W57" i="2"/>
  <c r="K57" i="2"/>
  <c r="BP57" i="2"/>
  <c r="S57" i="2"/>
  <c r="AA57" i="2"/>
  <c r="BO57" i="2"/>
  <c r="AK229" i="50"/>
  <c r="AL229" i="50" s="1"/>
  <c r="Z264" i="50"/>
  <c r="Z92" i="50"/>
  <c r="Z6" i="50"/>
  <c r="W267" i="50"/>
  <c r="AX239" i="50"/>
  <c r="AU238" i="50"/>
  <c r="AW238" i="50"/>
  <c r="AC239" i="50"/>
  <c r="AC240" i="50" s="1"/>
  <c r="AC238" i="50"/>
  <c r="AC237" i="50"/>
  <c r="AC11" i="50"/>
  <c r="AJ231" i="50"/>
  <c r="AK231" i="50" s="1"/>
  <c r="AL231" i="50" s="1"/>
  <c r="AM231" i="50" s="1"/>
  <c r="AV222" i="50"/>
  <c r="O12" i="50"/>
  <c r="X202" i="50"/>
  <c r="X201" i="50"/>
  <c r="AY209" i="50"/>
  <c r="U173" i="50"/>
  <c r="U176" i="50"/>
  <c r="U177" i="50" s="1"/>
  <c r="T177" i="50"/>
  <c r="AF227" i="50"/>
  <c r="AY196" i="50"/>
  <c r="Q224" i="50"/>
  <c r="AZ191" i="50"/>
  <c r="S173" i="50"/>
  <c r="AY203" i="50"/>
  <c r="AC204" i="50"/>
  <c r="AZ200" i="50"/>
  <c r="BA202" i="50" s="1"/>
  <c r="I204" i="50"/>
  <c r="I201" i="50"/>
  <c r="X186" i="50"/>
  <c r="H122" i="50"/>
  <c r="H120" i="50"/>
  <c r="F120" i="50"/>
  <c r="F122" i="50"/>
  <c r="AT110" i="50"/>
  <c r="AT100" i="50"/>
  <c r="F61" i="50"/>
  <c r="G60" i="50"/>
  <c r="I45" i="50"/>
  <c r="I44" i="50"/>
  <c r="X77" i="50"/>
  <c r="AB113" i="50"/>
  <c r="AC113" i="50" s="1"/>
  <c r="AD113" i="50" s="1"/>
  <c r="AE113" i="50" s="1"/>
  <c r="AF113" i="50" s="1"/>
  <c r="AG113" i="50" s="1"/>
  <c r="S40" i="50"/>
  <c r="W39" i="50"/>
  <c r="K45" i="50"/>
  <c r="K44" i="50"/>
  <c r="AT21" i="50"/>
  <c r="AS51" i="50"/>
  <c r="Q31" i="50"/>
  <c r="R28" i="50"/>
  <c r="V27" i="50"/>
  <c r="P66" i="50"/>
  <c r="P51" i="50"/>
  <c r="P43" i="50"/>
  <c r="P21" i="50"/>
  <c r="P20" i="50"/>
  <c r="AT51" i="50"/>
  <c r="G53" i="50"/>
  <c r="G52" i="50"/>
  <c r="E52" i="50"/>
  <c r="Q47" i="50"/>
  <c r="Q19" i="50"/>
  <c r="Q24" i="50"/>
  <c r="U23" i="50"/>
  <c r="O51" i="50"/>
  <c r="O66" i="50"/>
  <c r="O21" i="50"/>
  <c r="O20" i="50"/>
  <c r="O43" i="50"/>
  <c r="O49" i="50"/>
  <c r="O48" i="50"/>
  <c r="X40" i="50"/>
  <c r="AB39" i="50"/>
  <c r="AF39" i="50" s="1"/>
  <c r="T36" i="50"/>
  <c r="T31" i="50"/>
  <c r="X35" i="50"/>
  <c r="S267" i="50"/>
  <c r="AW239" i="50"/>
  <c r="AY236" i="50"/>
  <c r="AY238" i="50" s="1"/>
  <c r="AB240" i="50"/>
  <c r="AB238" i="50"/>
  <c r="AB237" i="50"/>
  <c r="AB11" i="50"/>
  <c r="R224" i="50"/>
  <c r="AT222" i="50"/>
  <c r="P202" i="50"/>
  <c r="P201" i="50"/>
  <c r="P13" i="50"/>
  <c r="P224" i="50"/>
  <c r="P12" i="50"/>
  <c r="O201" i="50"/>
  <c r="AV200" i="50"/>
  <c r="AW202" i="50" s="1"/>
  <c r="O202" i="50"/>
  <c r="O13" i="50"/>
  <c r="AV176" i="50"/>
  <c r="O166" i="50"/>
  <c r="AD239" i="50"/>
  <c r="AD240" i="50" s="1"/>
  <c r="AD238" i="50"/>
  <c r="AD237" i="50"/>
  <c r="AD11" i="50"/>
  <c r="O204" i="50"/>
  <c r="S177" i="50"/>
  <c r="AW176" i="50"/>
  <c r="AW177" i="50" s="1"/>
  <c r="AW191" i="50"/>
  <c r="AV191" i="50"/>
  <c r="Z201" i="50"/>
  <c r="Z202" i="50"/>
  <c r="AY191" i="50"/>
  <c r="V177" i="50"/>
  <c r="Q8" i="50"/>
  <c r="W8" i="50"/>
  <c r="R183" i="50"/>
  <c r="R186" i="50"/>
  <c r="R8" i="50"/>
  <c r="K120" i="50"/>
  <c r="K122" i="50"/>
  <c r="G122" i="50"/>
  <c r="G120" i="50"/>
  <c r="AT119" i="50"/>
  <c r="I122" i="50"/>
  <c r="I120" i="50"/>
  <c r="D122" i="50"/>
  <c r="D120" i="50"/>
  <c r="T76" i="50"/>
  <c r="T77" i="50"/>
  <c r="AX114" i="50"/>
  <c r="AX79" i="50"/>
  <c r="AX81" i="50" s="1"/>
  <c r="W80" i="50"/>
  <c r="AA79" i="50"/>
  <c r="AE79" i="50" s="1"/>
  <c r="W86" i="50"/>
  <c r="AX86" i="50" s="1"/>
  <c r="W75" i="50"/>
  <c r="S36" i="50"/>
  <c r="W35" i="50"/>
  <c r="S31" i="50"/>
  <c r="R47" i="50"/>
  <c r="R24" i="50"/>
  <c r="V23" i="50"/>
  <c r="R19" i="50"/>
  <c r="R40" i="50"/>
  <c r="V39" i="50"/>
  <c r="J45" i="50"/>
  <c r="J44" i="50"/>
  <c r="AT43" i="50"/>
  <c r="G45" i="50"/>
  <c r="G44" i="50"/>
  <c r="P49" i="50"/>
  <c r="P48" i="50"/>
  <c r="H45" i="50"/>
  <c r="H44" i="50"/>
  <c r="T47" i="50"/>
  <c r="T24" i="50"/>
  <c r="X23" i="50"/>
  <c r="T19" i="50"/>
  <c r="AT66" i="50"/>
  <c r="S47" i="50"/>
  <c r="S24" i="50"/>
  <c r="W23" i="50"/>
  <c r="S19" i="50"/>
  <c r="AW23" i="50"/>
  <c r="AS43" i="50"/>
  <c r="P33" i="50"/>
  <c r="P32" i="50"/>
  <c r="C267" i="50"/>
  <c r="C277" i="50" s="1"/>
  <c r="AS239" i="50"/>
  <c r="AJ233" i="50"/>
  <c r="AK233" i="50" s="1"/>
  <c r="AL233" i="50" s="1"/>
  <c r="AM233" i="50" s="1"/>
  <c r="AU222" i="50"/>
  <c r="L202" i="50"/>
  <c r="L201" i="50"/>
  <c r="AX200" i="50"/>
  <c r="AX202" i="50" s="1"/>
  <c r="W202" i="50"/>
  <c r="W201" i="50"/>
  <c r="M201" i="50"/>
  <c r="AX196" i="50"/>
  <c r="AA182" i="50"/>
  <c r="AE184" i="50" s="1"/>
  <c r="AY173" i="50"/>
  <c r="AA174" i="50"/>
  <c r="AB174" i="50"/>
  <c r="Q204" i="50"/>
  <c r="Q202" i="50"/>
  <c r="Q201" i="50"/>
  <c r="Q13" i="50"/>
  <c r="AU191" i="50"/>
  <c r="T182" i="50"/>
  <c r="AY176" i="50"/>
  <c r="AY177" i="50" s="1"/>
  <c r="AA177" i="50"/>
  <c r="S202" i="50"/>
  <c r="AC184" i="50"/>
  <c r="AC183" i="50"/>
  <c r="AC8" i="50"/>
  <c r="W177" i="50"/>
  <c r="M119" i="50"/>
  <c r="M110" i="50"/>
  <c r="C122" i="50"/>
  <c r="AS119" i="50"/>
  <c r="AS110" i="50"/>
  <c r="AD86" i="50"/>
  <c r="AD80" i="50"/>
  <c r="L110" i="50"/>
  <c r="L119" i="50"/>
  <c r="J120" i="50"/>
  <c r="V58" i="50"/>
  <c r="AW58" i="50" s="1"/>
  <c r="AW59" i="50" s="1"/>
  <c r="O104" i="50"/>
  <c r="P102" i="50"/>
  <c r="AB86" i="50"/>
  <c r="AB75" i="50"/>
  <c r="AB80" i="50"/>
  <c r="X264" i="50"/>
  <c r="X92" i="50"/>
  <c r="X6" i="50"/>
  <c r="E61" i="50"/>
  <c r="J53" i="50"/>
  <c r="J52" i="50"/>
  <c r="R36" i="50"/>
  <c r="V35" i="50"/>
  <c r="AW35" i="50" s="1"/>
  <c r="R31" i="50"/>
  <c r="L45" i="50"/>
  <c r="L44" i="50"/>
  <c r="H53" i="50"/>
  <c r="H52" i="50"/>
  <c r="U76" i="50"/>
  <c r="K53" i="50"/>
  <c r="K52" i="50"/>
  <c r="M66" i="50"/>
  <c r="M68" i="50" s="1"/>
  <c r="M51" i="50"/>
  <c r="M43" i="50"/>
  <c r="M21" i="50"/>
  <c r="M20" i="50"/>
  <c r="Y36" i="50"/>
  <c r="AC35" i="50"/>
  <c r="AG35" i="50" s="1"/>
  <c r="U28" i="50"/>
  <c r="Y27" i="50"/>
  <c r="AS56" i="50"/>
  <c r="C60" i="50"/>
  <c r="AS60" i="50" s="1"/>
  <c r="AU239" i="50"/>
  <c r="AZ233" i="50"/>
  <c r="AZ234" i="50" s="1"/>
  <c r="AB202" i="50"/>
  <c r="AB201" i="50"/>
  <c r="AC201" i="50"/>
  <c r="AW209" i="50"/>
  <c r="AV209" i="50"/>
  <c r="P204" i="50"/>
  <c r="Y204" i="50"/>
  <c r="Y202" i="50"/>
  <c r="Y201" i="50"/>
  <c r="Z204" i="50"/>
  <c r="AY200" i="50"/>
  <c r="AY202" i="50" s="1"/>
  <c r="AA202" i="50"/>
  <c r="AA201" i="50"/>
  <c r="BA203" i="50"/>
  <c r="AU200" i="50"/>
  <c r="AU202" i="50" s="1"/>
  <c r="K202" i="50"/>
  <c r="K201" i="50"/>
  <c r="AD177" i="50"/>
  <c r="O182" i="50"/>
  <c r="P177" i="50"/>
  <c r="P166" i="50"/>
  <c r="P182" i="50"/>
  <c r="R202" i="50"/>
  <c r="R201" i="50"/>
  <c r="R13" i="50"/>
  <c r="N202" i="50"/>
  <c r="N201" i="50"/>
  <c r="AD182" i="50"/>
  <c r="AE183" i="50" s="1"/>
  <c r="AD174" i="50"/>
  <c r="Z182" i="50"/>
  <c r="Z174" i="50"/>
  <c r="X184" i="50"/>
  <c r="X183" i="50"/>
  <c r="X8" i="50"/>
  <c r="AB184" i="50"/>
  <c r="AB183" i="50"/>
  <c r="AB186" i="50"/>
  <c r="AB8" i="50"/>
  <c r="M202" i="50"/>
  <c r="AX177" i="50"/>
  <c r="V182" i="50"/>
  <c r="AX173" i="50"/>
  <c r="E122" i="50"/>
  <c r="E120" i="50"/>
  <c r="AB177" i="50"/>
  <c r="J157" i="50"/>
  <c r="Z76" i="50"/>
  <c r="AD77" i="50"/>
  <c r="Z77" i="50"/>
  <c r="M108" i="50"/>
  <c r="N106" i="50"/>
  <c r="J123" i="50"/>
  <c r="J125" i="50"/>
  <c r="AW75" i="50"/>
  <c r="AW77" i="50" s="1"/>
  <c r="T88" i="50"/>
  <c r="S28" i="50"/>
  <c r="AW27" i="50"/>
  <c r="AW29" i="50" s="1"/>
  <c r="W27" i="50"/>
  <c r="Q40" i="50"/>
  <c r="U39" i="50"/>
  <c r="N66" i="50"/>
  <c r="N68" i="50" s="1"/>
  <c r="N51" i="50"/>
  <c r="N43" i="50"/>
  <c r="N21" i="50"/>
  <c r="N20" i="50"/>
  <c r="C66" i="50"/>
  <c r="L53" i="50"/>
  <c r="L52" i="50"/>
  <c r="E44" i="50"/>
  <c r="M49" i="50"/>
  <c r="M48" i="50"/>
  <c r="T28" i="50"/>
  <c r="AV23" i="50"/>
  <c r="AV25" i="50" s="1"/>
  <c r="T40" i="50"/>
  <c r="AV35" i="50"/>
  <c r="AV37" i="50" s="1"/>
  <c r="BY47" i="43"/>
  <c r="BS52" i="3"/>
  <c r="BS139" i="3" s="1"/>
  <c r="BU49" i="3"/>
  <c r="BU136" i="3" s="1"/>
  <c r="BQ49" i="3"/>
  <c r="BQ136" i="3" s="1"/>
  <c r="BM49" i="3"/>
  <c r="BM136" i="3" s="1"/>
  <c r="E50" i="3"/>
  <c r="F44" i="3"/>
  <c r="BY117" i="3"/>
  <c r="BY65" i="3"/>
  <c r="BF117" i="3"/>
  <c r="BQ48" i="3"/>
  <c r="BQ135" i="3" s="1"/>
  <c r="AT50" i="3"/>
  <c r="AU44" i="3"/>
  <c r="Y50" i="3"/>
  <c r="Z44" i="3"/>
  <c r="BT52" i="3"/>
  <c r="BT139" i="3" s="1"/>
  <c r="BV49" i="3"/>
  <c r="BV136" i="3" s="1"/>
  <c r="BR49" i="3"/>
  <c r="BR136" i="3" s="1"/>
  <c r="BN49" i="3"/>
  <c r="BN136" i="3" s="1"/>
  <c r="AK65" i="3"/>
  <c r="AK67" i="3" s="1"/>
  <c r="AK41" i="3"/>
  <c r="AL30" i="3"/>
  <c r="U65" i="3"/>
  <c r="U67" i="3" s="1"/>
  <c r="U41" i="3"/>
  <c r="V30" i="3"/>
  <c r="E65" i="3"/>
  <c r="E67" i="3" s="1"/>
  <c r="E41" i="3"/>
  <c r="F30" i="3"/>
  <c r="AW50" i="3"/>
  <c r="BM35" i="3"/>
  <c r="BM122" i="3" s="1"/>
  <c r="BV26" i="3"/>
  <c r="BV113" i="3" s="1"/>
  <c r="BN26" i="3"/>
  <c r="BN113" i="3" s="1"/>
  <c r="BT25" i="3"/>
  <c r="BT112" i="3" s="1"/>
  <c r="AG50" i="3"/>
  <c r="BR38" i="3"/>
  <c r="BR125" i="3" s="1"/>
  <c r="BX37" i="3"/>
  <c r="BX124" i="3" s="1"/>
  <c r="BV35" i="3"/>
  <c r="BV122" i="3" s="1"/>
  <c r="BV34" i="3"/>
  <c r="BV121" i="3" s="1"/>
  <c r="BN34" i="3"/>
  <c r="BN121" i="3" s="1"/>
  <c r="BN31" i="3"/>
  <c r="BN118" i="3" s="1"/>
  <c r="AO82" i="3"/>
  <c r="AO79" i="3"/>
  <c r="AO80" i="3" s="1"/>
  <c r="AP11" i="3"/>
  <c r="Y82" i="3"/>
  <c r="Y79" i="3"/>
  <c r="Y80" i="3" s="1"/>
  <c r="Z11" i="3"/>
  <c r="I82" i="3"/>
  <c r="I79" i="3"/>
  <c r="I80" i="3" s="1"/>
  <c r="J11" i="3"/>
  <c r="BR47" i="3"/>
  <c r="BR134" i="3" s="1"/>
  <c r="BQ26" i="3"/>
  <c r="BQ113" i="3" s="1"/>
  <c r="BU25" i="3"/>
  <c r="BU112" i="3" s="1"/>
  <c r="AR83" i="3"/>
  <c r="AJ83" i="3"/>
  <c r="T83" i="3"/>
  <c r="L83" i="3"/>
  <c r="D83" i="3"/>
  <c r="BN47" i="3"/>
  <c r="BN134" i="3" s="1"/>
  <c r="BW38" i="3"/>
  <c r="BW125" i="3" s="1"/>
  <c r="BP37" i="3"/>
  <c r="BP124" i="3" s="1"/>
  <c r="BX34" i="3"/>
  <c r="BX121" i="3" s="1"/>
  <c r="BX33" i="3"/>
  <c r="BX120" i="3" s="1"/>
  <c r="BP33" i="3"/>
  <c r="BP120" i="3" s="1"/>
  <c r="AL68" i="3"/>
  <c r="AM16" i="3"/>
  <c r="V68" i="3"/>
  <c r="W16" i="3"/>
  <c r="F68" i="3"/>
  <c r="G16" i="3"/>
  <c r="BS17" i="3"/>
  <c r="BS104" i="3" s="1"/>
  <c r="BM15" i="3"/>
  <c r="BM102" i="3" s="1"/>
  <c r="BS12" i="3"/>
  <c r="BR20" i="3"/>
  <c r="BX15" i="3"/>
  <c r="BX102" i="3" s="1"/>
  <c r="BW15" i="3"/>
  <c r="BW102" i="3" s="1"/>
  <c r="BO15" i="3"/>
  <c r="BO102" i="3" s="1"/>
  <c r="BS14" i="3"/>
  <c r="BS101" i="3" s="1"/>
  <c r="BQ13" i="3"/>
  <c r="BQ100" i="3" s="1"/>
  <c r="BU23" i="3"/>
  <c r="BU110" i="3" s="1"/>
  <c r="BW18" i="3"/>
  <c r="BW105" i="3" s="1"/>
  <c r="BV17" i="3"/>
  <c r="BV104" i="3" s="1"/>
  <c r="BN15" i="3"/>
  <c r="BN102" i="3" s="1"/>
  <c r="BX13" i="3"/>
  <c r="BX100" i="3" s="1"/>
  <c r="BT12" i="3"/>
  <c r="U50" i="3"/>
  <c r="V44" i="3"/>
  <c r="BO46" i="3"/>
  <c r="BO133" i="3" s="1"/>
  <c r="AO50" i="3"/>
  <c r="AP44" i="3"/>
  <c r="BP52" i="3"/>
  <c r="BP139" i="3" s="1"/>
  <c r="M50" i="3"/>
  <c r="BZ117" i="3"/>
  <c r="BZ65" i="3"/>
  <c r="AW65" i="3"/>
  <c r="AW67" i="3" s="1"/>
  <c r="AW41" i="3"/>
  <c r="AX30" i="3"/>
  <c r="AG65" i="3"/>
  <c r="AG67" i="3" s="1"/>
  <c r="AG41" i="3"/>
  <c r="AH30" i="3"/>
  <c r="Q65" i="3"/>
  <c r="Q67" i="3" s="1"/>
  <c r="Q41" i="3"/>
  <c r="R30" i="3"/>
  <c r="BS47" i="3"/>
  <c r="BS134" i="3" s="1"/>
  <c r="BV33" i="3"/>
  <c r="BV120" i="3" s="1"/>
  <c r="AK82" i="3"/>
  <c r="AK79" i="3"/>
  <c r="AK80" i="3" s="1"/>
  <c r="AL11" i="3"/>
  <c r="U82" i="3"/>
  <c r="U79" i="3"/>
  <c r="U80" i="3" s="1"/>
  <c r="V11" i="3"/>
  <c r="E82" i="3"/>
  <c r="E79" i="3"/>
  <c r="E80" i="3" s="1"/>
  <c r="F11" i="3"/>
  <c r="R50" i="3"/>
  <c r="S44" i="3"/>
  <c r="BT38" i="3"/>
  <c r="BT125" i="3" s="1"/>
  <c r="BT34" i="3"/>
  <c r="BT121" i="3" s="1"/>
  <c r="BX32" i="3"/>
  <c r="AX68" i="3"/>
  <c r="AY16" i="3"/>
  <c r="AY68" i="3" s="1"/>
  <c r="AH68" i="3"/>
  <c r="AI16" i="3"/>
  <c r="AI68" i="3" s="1"/>
  <c r="R68" i="3"/>
  <c r="S16" i="3"/>
  <c r="S68" i="3" s="1"/>
  <c r="BZ102" i="3"/>
  <c r="BO12" i="3"/>
  <c r="BO99" i="3" s="1"/>
  <c r="BN20" i="3"/>
  <c r="BN107" i="3" s="1"/>
  <c r="BT15" i="3"/>
  <c r="BT102" i="3" s="1"/>
  <c r="BO25" i="3"/>
  <c r="BO112" i="3" s="1"/>
  <c r="BM13" i="3"/>
  <c r="BM100" i="3" s="1"/>
  <c r="BT13" i="3"/>
  <c r="BT100" i="3" s="1"/>
  <c r="BP12" i="3"/>
  <c r="BP99" i="3" s="1"/>
  <c r="BG131" i="3"/>
  <c r="AK50" i="3"/>
  <c r="AL44" i="3"/>
  <c r="N50" i="3"/>
  <c r="O44" i="3"/>
  <c r="O50" i="3" s="1"/>
  <c r="AS41" i="3"/>
  <c r="AT30" i="3"/>
  <c r="AC65" i="3"/>
  <c r="AC67" i="3" s="1"/>
  <c r="AC41" i="3"/>
  <c r="AD30" i="3"/>
  <c r="M65" i="3"/>
  <c r="M67" i="3" s="1"/>
  <c r="M41" i="3"/>
  <c r="N30" i="3"/>
  <c r="BP46" i="3"/>
  <c r="BP133" i="3" s="1"/>
  <c r="BX40" i="3"/>
  <c r="BX127" i="3" s="1"/>
  <c r="BS38" i="3"/>
  <c r="BS125" i="3" s="1"/>
  <c r="BX36" i="3"/>
  <c r="BX123" i="3" s="1"/>
  <c r="BR26" i="3"/>
  <c r="BR113" i="3" s="1"/>
  <c r="BX25" i="3"/>
  <c r="BX112" i="3" s="1"/>
  <c r="BR46" i="3"/>
  <c r="BR133" i="3" s="1"/>
  <c r="BW40" i="3"/>
  <c r="BW127" i="3" s="1"/>
  <c r="BT36" i="3"/>
  <c r="BT123" i="3" s="1"/>
  <c r="BR34" i="3"/>
  <c r="BR121" i="3" s="1"/>
  <c r="BR33" i="3"/>
  <c r="BR120" i="3" s="1"/>
  <c r="BV31" i="3"/>
  <c r="BV118" i="3" s="1"/>
  <c r="BZ82" i="3"/>
  <c r="BZ98" i="3"/>
  <c r="AW82" i="3"/>
  <c r="AW83" i="3" s="1"/>
  <c r="AX11" i="3"/>
  <c r="AG82" i="3"/>
  <c r="AG79" i="3"/>
  <c r="AG80" i="3" s="1"/>
  <c r="AH11" i="3"/>
  <c r="Q82" i="3"/>
  <c r="Q79" i="3"/>
  <c r="Q80" i="3" s="1"/>
  <c r="R11" i="3"/>
  <c r="Q50" i="3"/>
  <c r="BS40" i="3"/>
  <c r="BS127" i="3" s="1"/>
  <c r="BX38" i="3"/>
  <c r="BX125" i="3" s="1"/>
  <c r="BS36" i="3"/>
  <c r="BS123" i="3" s="1"/>
  <c r="BU26" i="3"/>
  <c r="BU113" i="3" s="1"/>
  <c r="BM26" i="3"/>
  <c r="BM113" i="3" s="1"/>
  <c r="BS24" i="3"/>
  <c r="BS111" i="3" s="1"/>
  <c r="AN83" i="3"/>
  <c r="X83" i="3"/>
  <c r="H83" i="3"/>
  <c r="BO40" i="3"/>
  <c r="BO127" i="3" s="1"/>
  <c r="BN39" i="3"/>
  <c r="BN126" i="3" s="1"/>
  <c r="BP34" i="3"/>
  <c r="BP121" i="3" s="1"/>
  <c r="BT33" i="3"/>
  <c r="BT120" i="3" s="1"/>
  <c r="BT32" i="3"/>
  <c r="BT119" i="3" s="1"/>
  <c r="AT68" i="3"/>
  <c r="AU16" i="3"/>
  <c r="AD68" i="3"/>
  <c r="AE16" i="3"/>
  <c r="AE68" i="3" s="1"/>
  <c r="N68" i="3"/>
  <c r="O16" i="3"/>
  <c r="O68" i="3" s="1"/>
  <c r="BU15" i="3"/>
  <c r="BU102" i="3" s="1"/>
  <c r="BQ23" i="3"/>
  <c r="BQ110" i="3" s="1"/>
  <c r="BS18" i="3"/>
  <c r="BS105" i="3" s="1"/>
  <c r="BP15" i="3"/>
  <c r="BP102" i="3" s="1"/>
  <c r="BW21" i="3"/>
  <c r="BW108" i="3" s="1"/>
  <c r="BS15" i="3"/>
  <c r="BS102" i="3" s="1"/>
  <c r="BW14" i="3"/>
  <c r="BW101" i="3" s="1"/>
  <c r="BO14" i="3"/>
  <c r="BO101" i="3" s="1"/>
  <c r="BS21" i="3"/>
  <c r="BS108" i="3" s="1"/>
  <c r="BR18" i="3"/>
  <c r="BR105" i="3" s="1"/>
  <c r="BV15" i="3"/>
  <c r="BV102" i="3" s="1"/>
  <c r="BR14" i="3"/>
  <c r="BR101" i="3" s="1"/>
  <c r="BP13" i="3"/>
  <c r="BP100" i="3" s="1"/>
  <c r="BW52" i="3"/>
  <c r="BW139" i="3" s="1"/>
  <c r="BW49" i="3"/>
  <c r="BW136" i="3" s="1"/>
  <c r="BS49" i="3"/>
  <c r="BS136" i="3" s="1"/>
  <c r="BO49" i="3"/>
  <c r="BO136" i="3" s="1"/>
  <c r="BS46" i="3"/>
  <c r="BS133" i="3" s="1"/>
  <c r="AD50" i="3"/>
  <c r="AE44" i="3"/>
  <c r="I50" i="3"/>
  <c r="J44" i="3"/>
  <c r="BX52" i="3"/>
  <c r="BX139" i="3" s="1"/>
  <c r="BN48" i="3"/>
  <c r="BN135" i="3" s="1"/>
  <c r="AZ137" i="3"/>
  <c r="AC50" i="3"/>
  <c r="BV45" i="3"/>
  <c r="BV132" i="3" s="1"/>
  <c r="BN45" i="3"/>
  <c r="BN132" i="3" s="1"/>
  <c r="AO65" i="3"/>
  <c r="AO67" i="3" s="1"/>
  <c r="AO41" i="3"/>
  <c r="AP30" i="3"/>
  <c r="Y65" i="3"/>
  <c r="Y67" i="3" s="1"/>
  <c r="Y41" i="3"/>
  <c r="Z30" i="3"/>
  <c r="I65" i="3"/>
  <c r="I67" i="3" s="1"/>
  <c r="I41" i="3"/>
  <c r="J30" i="3"/>
  <c r="AX50" i="3"/>
  <c r="AY44" i="3"/>
  <c r="BP38" i="3"/>
  <c r="BP125" i="3" s="1"/>
  <c r="AH50" i="3"/>
  <c r="AI44" i="3"/>
  <c r="BT40" i="3"/>
  <c r="BT127" i="3" s="1"/>
  <c r="BO38" i="3"/>
  <c r="BO125" i="3" s="1"/>
  <c r="BN37" i="3"/>
  <c r="BN124" i="3" s="1"/>
  <c r="BN33" i="3"/>
  <c r="BN120" i="3" s="1"/>
  <c r="BR32" i="3"/>
  <c r="BR119" i="3" s="1"/>
  <c r="BR31" i="3"/>
  <c r="BR118" i="3" s="1"/>
  <c r="AS82" i="3"/>
  <c r="AS79" i="3"/>
  <c r="AS80" i="3" s="1"/>
  <c r="AT11" i="3"/>
  <c r="AC82" i="3"/>
  <c r="AC79" i="3"/>
  <c r="AC80" i="3" s="1"/>
  <c r="AD11" i="3"/>
  <c r="M82" i="3"/>
  <c r="M79" i="3"/>
  <c r="M80" i="3" s="1"/>
  <c r="N11" i="3"/>
  <c r="BP40" i="3"/>
  <c r="BP127" i="3" s="1"/>
  <c r="BP36" i="3"/>
  <c r="BP123" i="3" s="1"/>
  <c r="BO24" i="3"/>
  <c r="BO111" i="3" s="1"/>
  <c r="BY98" i="3"/>
  <c r="BX47" i="3"/>
  <c r="BV37" i="3"/>
  <c r="BV124" i="3" s="1"/>
  <c r="BP32" i="3"/>
  <c r="BP119" i="3" s="1"/>
  <c r="BT31" i="3"/>
  <c r="BT118" i="3" s="1"/>
  <c r="BS16" i="3"/>
  <c r="AP68" i="3"/>
  <c r="AQ16" i="3"/>
  <c r="Z68" i="3"/>
  <c r="AA16" i="3"/>
  <c r="J68" i="3"/>
  <c r="K16" i="3"/>
  <c r="BQ15" i="3"/>
  <c r="BQ102" i="3" s="1"/>
  <c r="BW12" i="3"/>
  <c r="BV20" i="3"/>
  <c r="BN18" i="3"/>
  <c r="BN105" i="3" s="1"/>
  <c r="BU13" i="3"/>
  <c r="BU100" i="3" s="1"/>
  <c r="BO21" i="3"/>
  <c r="BO108" i="3" s="1"/>
  <c r="BR15" i="3"/>
  <c r="BR102" i="3" s="1"/>
  <c r="BN14" i="3"/>
  <c r="BN101" i="3" s="1"/>
  <c r="BX12" i="3"/>
  <c r="AW73" i="2"/>
  <c r="AS73" i="2"/>
  <c r="AX73" i="2"/>
  <c r="AT73" i="2"/>
  <c r="AQ73" i="2"/>
  <c r="AX99" i="2"/>
  <c r="AY70" i="2"/>
  <c r="AY73" i="2" s="1"/>
  <c r="AU73" i="2"/>
  <c r="AV73" i="2"/>
  <c r="AX46" i="2"/>
  <c r="BM57" i="2"/>
  <c r="BQ57" i="2"/>
  <c r="BX56" i="2"/>
  <c r="BW56" i="2"/>
  <c r="BV56" i="2"/>
  <c r="BU56" i="2"/>
  <c r="BT56" i="2"/>
  <c r="BS56" i="2"/>
  <c r="BY82" i="3" l="1"/>
  <c r="Y8" i="50"/>
  <c r="Y186" i="50"/>
  <c r="AN233" i="50"/>
  <c r="AO233" i="50" s="1"/>
  <c r="AP233" i="50" s="1"/>
  <c r="AN231" i="50"/>
  <c r="AO231" i="50" s="1"/>
  <c r="AP231" i="50" s="1"/>
  <c r="BA229" i="50"/>
  <c r="BA230" i="50" s="1"/>
  <c r="AM229" i="50"/>
  <c r="BZ24" i="2"/>
  <c r="BH24" i="2"/>
  <c r="BI24" i="2" s="1"/>
  <c r="BJ24" i="2" s="1"/>
  <c r="BK24" i="2" s="1"/>
  <c r="CA24" i="2" s="1"/>
  <c r="CB24" i="2" s="1"/>
  <c r="AT45" i="50"/>
  <c r="AE86" i="50"/>
  <c r="AE75" i="50"/>
  <c r="AT53" i="50"/>
  <c r="AV31" i="50"/>
  <c r="AV33" i="50" s="1"/>
  <c r="Y88" i="50"/>
  <c r="Y77" i="50"/>
  <c r="V6" i="50"/>
  <c r="V90" i="50"/>
  <c r="AF80" i="50"/>
  <c r="AW37" i="50"/>
  <c r="AV19" i="50"/>
  <c r="AV21" i="50" s="1"/>
  <c r="AC75" i="50"/>
  <c r="AG77" i="50" s="1"/>
  <c r="AC80" i="50"/>
  <c r="AC86" i="50"/>
  <c r="AE80" i="50"/>
  <c r="BX119" i="3"/>
  <c r="BW135" i="3"/>
  <c r="BV134" i="3"/>
  <c r="BX134" i="3"/>
  <c r="BV119" i="3"/>
  <c r="BV135" i="3"/>
  <c r="BU135" i="3"/>
  <c r="U83" i="3"/>
  <c r="Y83" i="3"/>
  <c r="M83" i="3"/>
  <c r="AS83" i="3"/>
  <c r="BT54" i="2"/>
  <c r="BT50" i="2"/>
  <c r="BX54" i="2"/>
  <c r="BX50" i="2"/>
  <c r="BS50" i="2"/>
  <c r="BS54" i="2"/>
  <c r="BU50" i="2"/>
  <c r="BU54" i="2"/>
  <c r="BW50" i="2"/>
  <c r="BW54" i="2"/>
  <c r="BM52" i="2"/>
  <c r="BM51" i="2" s="1"/>
  <c r="BM53" i="2"/>
  <c r="BO52" i="2"/>
  <c r="BO51" i="2" s="1"/>
  <c r="BO53" i="2"/>
  <c r="BV54" i="2"/>
  <c r="BV50" i="2"/>
  <c r="BQ52" i="2"/>
  <c r="BQ51" i="2" s="1"/>
  <c r="BQ53" i="2"/>
  <c r="BP53" i="2"/>
  <c r="BP52" i="2"/>
  <c r="BP51" i="2" s="1"/>
  <c r="BX99" i="3"/>
  <c r="BV107" i="3"/>
  <c r="Q83" i="3"/>
  <c r="BT16" i="3"/>
  <c r="BR107" i="3"/>
  <c r="BW99" i="3"/>
  <c r="BT99" i="3"/>
  <c r="BS99" i="3"/>
  <c r="BY71" i="3"/>
  <c r="BD71" i="3"/>
  <c r="BE71" i="3" s="1"/>
  <c r="BF71" i="3" s="1"/>
  <c r="BG71" i="3" s="1"/>
  <c r="BA231" i="50"/>
  <c r="BA232" i="50" s="1"/>
  <c r="BA65" i="2"/>
  <c r="BA87" i="2"/>
  <c r="BD105" i="3"/>
  <c r="BE105" i="3" s="1"/>
  <c r="BF105" i="3" s="1"/>
  <c r="BG105" i="3" s="1"/>
  <c r="BZ18" i="3"/>
  <c r="BZ105" i="3" s="1"/>
  <c r="BD111" i="3"/>
  <c r="BE24" i="3"/>
  <c r="K56" i="2"/>
  <c r="S56" i="2"/>
  <c r="AA56" i="2"/>
  <c r="BN56" i="2"/>
  <c r="BR56" i="2"/>
  <c r="BV78" i="43"/>
  <c r="BV81" i="43" s="1"/>
  <c r="BX78" i="43"/>
  <c r="AV79" i="43"/>
  <c r="G56" i="2"/>
  <c r="O56" i="2"/>
  <c r="W56" i="2"/>
  <c r="BM56" i="2"/>
  <c r="BQ56" i="2"/>
  <c r="BU78" i="43"/>
  <c r="BW78" i="43"/>
  <c r="AR79" i="43"/>
  <c r="AX79" i="43"/>
  <c r="AT79" i="43"/>
  <c r="K53" i="2"/>
  <c r="K52" i="2"/>
  <c r="K51" i="2" s="1"/>
  <c r="G53" i="2"/>
  <c r="G52" i="2"/>
  <c r="G51" i="2" s="1"/>
  <c r="AA53" i="2"/>
  <c r="AA52" i="2"/>
  <c r="AA51" i="2" s="1"/>
  <c r="S53" i="2"/>
  <c r="S52" i="2"/>
  <c r="S51" i="2" s="1"/>
  <c r="AY79" i="43"/>
  <c r="AU79" i="43"/>
  <c r="W53" i="2"/>
  <c r="W52" i="2"/>
  <c r="W51" i="2" s="1"/>
  <c r="AW79" i="43"/>
  <c r="AS79" i="43"/>
  <c r="O53" i="2"/>
  <c r="O52" i="2"/>
  <c r="O51" i="2" s="1"/>
  <c r="AS66" i="50"/>
  <c r="C68" i="50"/>
  <c r="N53" i="50"/>
  <c r="N52" i="50"/>
  <c r="T6" i="50"/>
  <c r="AW6" i="50" s="1"/>
  <c r="T90" i="50"/>
  <c r="AW88" i="50"/>
  <c r="O106" i="50"/>
  <c r="N108" i="50"/>
  <c r="N98" i="50"/>
  <c r="AU106" i="50"/>
  <c r="AU108" i="50" s="1"/>
  <c r="E125" i="50"/>
  <c r="E123" i="50"/>
  <c r="E153" i="50"/>
  <c r="AD184" i="50"/>
  <c r="AD183" i="50"/>
  <c r="AD186" i="50"/>
  <c r="AD8" i="50"/>
  <c r="M45" i="50"/>
  <c r="M44" i="50"/>
  <c r="AB88" i="50"/>
  <c r="P104" i="50"/>
  <c r="Q102" i="50"/>
  <c r="W58" i="50"/>
  <c r="T8" i="50"/>
  <c r="T186" i="50"/>
  <c r="AY174" i="50"/>
  <c r="X47" i="50"/>
  <c r="X24" i="50"/>
  <c r="AB23" i="50"/>
  <c r="AF23" i="50" s="1"/>
  <c r="X19" i="50"/>
  <c r="V40" i="50"/>
  <c r="Z39" i="50"/>
  <c r="AA80" i="50"/>
  <c r="AA75" i="50"/>
  <c r="AB76" i="50" s="1"/>
  <c r="AA86" i="50"/>
  <c r="AY79" i="50"/>
  <c r="AY81" i="50" s="1"/>
  <c r="I123" i="50"/>
  <c r="I125" i="50"/>
  <c r="I153" i="50"/>
  <c r="K125" i="50"/>
  <c r="K123" i="50"/>
  <c r="K153" i="50"/>
  <c r="AU43" i="50"/>
  <c r="AU45" i="50" s="1"/>
  <c r="AY113" i="50"/>
  <c r="AY114" i="50" s="1"/>
  <c r="G56" i="50"/>
  <c r="H60" i="50"/>
  <c r="F123" i="50"/>
  <c r="F125" i="50"/>
  <c r="F153" i="50"/>
  <c r="AZ202" i="50"/>
  <c r="AW173" i="50"/>
  <c r="AW174" i="50" s="1"/>
  <c r="S182" i="50"/>
  <c r="T183" i="50" s="1"/>
  <c r="S174" i="50"/>
  <c r="T174" i="50"/>
  <c r="W28" i="50"/>
  <c r="AA27" i="50"/>
  <c r="AE27" i="50" s="1"/>
  <c r="X28" i="50"/>
  <c r="Z184" i="50"/>
  <c r="Z183" i="50"/>
  <c r="Z186" i="50"/>
  <c r="Z8" i="50"/>
  <c r="AV182" i="50"/>
  <c r="O8" i="50"/>
  <c r="O186" i="50"/>
  <c r="Y28" i="50"/>
  <c r="AC27" i="50"/>
  <c r="M53" i="50"/>
  <c r="M52" i="50"/>
  <c r="AU51" i="50"/>
  <c r="AU53" i="50" s="1"/>
  <c r="AA184" i="50"/>
  <c r="AA183" i="50"/>
  <c r="AY182" i="50"/>
  <c r="AA8" i="50"/>
  <c r="AA186" i="50"/>
  <c r="AW25" i="50"/>
  <c r="S49" i="50"/>
  <c r="S48" i="50"/>
  <c r="R49" i="50"/>
  <c r="R48" i="50"/>
  <c r="AX182" i="50"/>
  <c r="AY11" i="50"/>
  <c r="X36" i="50"/>
  <c r="X31" i="50"/>
  <c r="AB35" i="50"/>
  <c r="AF35" i="50" s="1"/>
  <c r="AG36" i="50" s="1"/>
  <c r="O45" i="50"/>
  <c r="O44" i="50"/>
  <c r="O5" i="50"/>
  <c r="O68" i="50"/>
  <c r="Q51" i="50"/>
  <c r="Q43" i="50"/>
  <c r="Q66" i="50"/>
  <c r="Q21" i="50"/>
  <c r="Q20" i="50"/>
  <c r="P45" i="50"/>
  <c r="P44" i="50"/>
  <c r="Z27" i="50"/>
  <c r="AX27" i="50" s="1"/>
  <c r="AX29" i="50" s="1"/>
  <c r="V28" i="50"/>
  <c r="W40" i="50"/>
  <c r="AA39" i="50"/>
  <c r="AE39" i="50" s="1"/>
  <c r="AZ179" i="50"/>
  <c r="AZ180" i="50" s="1"/>
  <c r="AZ203" i="50"/>
  <c r="AF236" i="50"/>
  <c r="AF11" i="50" s="1"/>
  <c r="AG227" i="50"/>
  <c r="AY239" i="50"/>
  <c r="AY241" i="50" s="1"/>
  <c r="U40" i="50"/>
  <c r="Y39" i="50"/>
  <c r="U31" i="50"/>
  <c r="V8" i="50"/>
  <c r="V186" i="50"/>
  <c r="P183" i="50"/>
  <c r="P8" i="50"/>
  <c r="P186" i="50"/>
  <c r="R33" i="50"/>
  <c r="R32" i="50"/>
  <c r="AJ79" i="50"/>
  <c r="AN79" i="50" s="1"/>
  <c r="AF75" i="50"/>
  <c r="L122" i="50"/>
  <c r="L120" i="50"/>
  <c r="M122" i="50"/>
  <c r="M120" i="50"/>
  <c r="S66" i="50"/>
  <c r="S51" i="50"/>
  <c r="S21" i="50"/>
  <c r="S20" i="50"/>
  <c r="S43" i="50"/>
  <c r="T49" i="50"/>
  <c r="T48" i="50"/>
  <c r="R66" i="50"/>
  <c r="R51" i="50"/>
  <c r="R43" i="50"/>
  <c r="R21" i="50"/>
  <c r="R20" i="50"/>
  <c r="S33" i="50"/>
  <c r="S32" i="50"/>
  <c r="W77" i="50"/>
  <c r="W76" i="50"/>
  <c r="AX75" i="50"/>
  <c r="AX77" i="50" s="1"/>
  <c r="W88" i="50"/>
  <c r="D125" i="50"/>
  <c r="D123" i="50"/>
  <c r="D153" i="50"/>
  <c r="AX8" i="50"/>
  <c r="T33" i="50"/>
  <c r="T32" i="50"/>
  <c r="AV47" i="50"/>
  <c r="AV49" i="50" s="1"/>
  <c r="O53" i="50"/>
  <c r="O52" i="50"/>
  <c r="Q49" i="50"/>
  <c r="Q48" i="50"/>
  <c r="P53" i="50"/>
  <c r="P52" i="50"/>
  <c r="AW39" i="50"/>
  <c r="AW41" i="50" s="1"/>
  <c r="AJ179" i="50"/>
  <c r="AK179" i="50" s="1"/>
  <c r="AL179" i="50" s="1"/>
  <c r="AM179" i="50" s="1"/>
  <c r="U182" i="50"/>
  <c r="V183" i="50" s="1"/>
  <c r="U174" i="50"/>
  <c r="V174" i="50"/>
  <c r="AV12" i="50"/>
  <c r="AU66" i="50"/>
  <c r="N45" i="50"/>
  <c r="N44" i="50"/>
  <c r="V36" i="50"/>
  <c r="Z35" i="50"/>
  <c r="AX35" i="50" s="1"/>
  <c r="AX37" i="50" s="1"/>
  <c r="V31" i="50"/>
  <c r="AL79" i="50"/>
  <c r="AP79" i="50" s="1"/>
  <c r="AS122" i="50"/>
  <c r="AS125" i="50" s="1"/>
  <c r="C125" i="50"/>
  <c r="C153" i="50"/>
  <c r="BA233" i="50"/>
  <c r="BA234" i="50" s="1"/>
  <c r="W47" i="50"/>
  <c r="W24" i="50"/>
  <c r="AA23" i="50"/>
  <c r="AE23" i="50" s="1"/>
  <c r="W19" i="50"/>
  <c r="T66" i="50"/>
  <c r="T51" i="50"/>
  <c r="T43" i="50"/>
  <c r="T21" i="50"/>
  <c r="T20" i="50"/>
  <c r="V47" i="50"/>
  <c r="V24" i="50"/>
  <c r="Z23" i="50"/>
  <c r="V19" i="50"/>
  <c r="W36" i="50"/>
  <c r="AA35" i="50"/>
  <c r="AE35" i="50" s="1"/>
  <c r="W31" i="50"/>
  <c r="AT122" i="50"/>
  <c r="AT125" i="50" s="1"/>
  <c r="G123" i="50"/>
  <c r="G125" i="50"/>
  <c r="G153" i="50"/>
  <c r="W183" i="50"/>
  <c r="Q183" i="50"/>
  <c r="AV202" i="50"/>
  <c r="U47" i="50"/>
  <c r="U19" i="50"/>
  <c r="U24" i="50"/>
  <c r="Y23" i="50"/>
  <c r="P68" i="50"/>
  <c r="P5" i="50"/>
  <c r="Q33" i="50"/>
  <c r="Q32" i="50"/>
  <c r="D61" i="50"/>
  <c r="H125" i="50"/>
  <c r="H123" i="50"/>
  <c r="H153" i="50"/>
  <c r="AD82" i="3"/>
  <c r="AD79" i="3"/>
  <c r="AD80" i="3" s="1"/>
  <c r="AE11" i="3"/>
  <c r="BS11" i="3" s="1"/>
  <c r="AI50" i="3"/>
  <c r="BT44" i="3"/>
  <c r="AY50" i="3"/>
  <c r="BX44" i="3"/>
  <c r="AP41" i="3"/>
  <c r="AQ30" i="3"/>
  <c r="AQ41" i="3" s="1"/>
  <c r="J50" i="3"/>
  <c r="K44" i="3"/>
  <c r="K50" i="3" s="1"/>
  <c r="AH82" i="3"/>
  <c r="AH79" i="3"/>
  <c r="AH80" i="3" s="1"/>
  <c r="AI11" i="3"/>
  <c r="BO44" i="3"/>
  <c r="BX16" i="3"/>
  <c r="F82" i="3"/>
  <c r="F79" i="3"/>
  <c r="F80" i="3" s="1"/>
  <c r="G11" i="3"/>
  <c r="AK83" i="3"/>
  <c r="V50" i="3"/>
  <c r="W44" i="3"/>
  <c r="W68" i="3"/>
  <c r="BQ16" i="3"/>
  <c r="J79" i="3"/>
  <c r="J80" i="3" s="1"/>
  <c r="J82" i="3"/>
  <c r="K11" i="3"/>
  <c r="BN11" i="3" s="1"/>
  <c r="AO83" i="3"/>
  <c r="AL65" i="3"/>
  <c r="AL67" i="3" s="1"/>
  <c r="AL41" i="3"/>
  <c r="AM30" i="3"/>
  <c r="BU30" i="3" s="1"/>
  <c r="BO16" i="3"/>
  <c r="AA68" i="3"/>
  <c r="BR16" i="3"/>
  <c r="BS103" i="3"/>
  <c r="BS68" i="3"/>
  <c r="N82" i="3"/>
  <c r="N79" i="3"/>
  <c r="N80" i="3" s="1"/>
  <c r="O11" i="3"/>
  <c r="BO11" i="3" s="1"/>
  <c r="Z65" i="3"/>
  <c r="Z67" i="3" s="1"/>
  <c r="Z41" i="3"/>
  <c r="AA30" i="3"/>
  <c r="BR30" i="3" s="1"/>
  <c r="R82" i="3"/>
  <c r="R79" i="3"/>
  <c r="R80" i="3" s="1"/>
  <c r="S11" i="3"/>
  <c r="N65" i="3"/>
  <c r="N67" i="3" s="1"/>
  <c r="N41" i="3"/>
  <c r="O30" i="3"/>
  <c r="AD65" i="3"/>
  <c r="AD67" i="3" s="1"/>
  <c r="AD41" i="3"/>
  <c r="AE30" i="3"/>
  <c r="AT41" i="3"/>
  <c r="AU30" i="3"/>
  <c r="BT103" i="3"/>
  <c r="BT68" i="3"/>
  <c r="R65" i="3"/>
  <c r="R67" i="3" s="1"/>
  <c r="R41" i="3"/>
  <c r="S30" i="3"/>
  <c r="AH65" i="3"/>
  <c r="AH67" i="3" s="1"/>
  <c r="AH41" i="3"/>
  <c r="AI30" i="3"/>
  <c r="AX65" i="3"/>
  <c r="AX67" i="3" s="1"/>
  <c r="AX41" i="3"/>
  <c r="AY30" i="3"/>
  <c r="AY41" i="3" s="1"/>
  <c r="AP50" i="3"/>
  <c r="AQ44" i="3"/>
  <c r="AQ50" i="3" s="1"/>
  <c r="V65" i="3"/>
  <c r="V67" i="3" s="1"/>
  <c r="V41" i="3"/>
  <c r="W30" i="3"/>
  <c r="BQ30" i="3" s="1"/>
  <c r="Z50" i="3"/>
  <c r="AA44" i="3"/>
  <c r="AA50" i="3" s="1"/>
  <c r="AC83" i="3"/>
  <c r="J65" i="3"/>
  <c r="J67" i="3" s="1"/>
  <c r="J41" i="3"/>
  <c r="K30" i="3"/>
  <c r="AE50" i="3"/>
  <c r="BS44" i="3"/>
  <c r="AU68" i="3"/>
  <c r="BW16" i="3"/>
  <c r="AG83" i="3"/>
  <c r="BP16" i="3"/>
  <c r="S50" i="3"/>
  <c r="BP44" i="3"/>
  <c r="E83" i="3"/>
  <c r="AL82" i="3"/>
  <c r="AL79" i="3"/>
  <c r="AL80" i="3" s="1"/>
  <c r="AM11" i="3"/>
  <c r="BP30" i="3"/>
  <c r="BT30" i="3"/>
  <c r="BX30" i="3"/>
  <c r="G68" i="3"/>
  <c r="BM16" i="3"/>
  <c r="AM68" i="3"/>
  <c r="BU16" i="3"/>
  <c r="I83" i="3"/>
  <c r="AP79" i="3"/>
  <c r="AP82" i="3"/>
  <c r="AQ11" i="3"/>
  <c r="BV11" i="3" s="1"/>
  <c r="F65" i="3"/>
  <c r="F67" i="3" s="1"/>
  <c r="F41" i="3"/>
  <c r="G30" i="3"/>
  <c r="BM30" i="3" s="1"/>
  <c r="BG117" i="3"/>
  <c r="BV44" i="3"/>
  <c r="K68" i="3"/>
  <c r="BN16" i="3"/>
  <c r="AQ68" i="3"/>
  <c r="BV16" i="3"/>
  <c r="AT82" i="3"/>
  <c r="AT79" i="3"/>
  <c r="AT80" i="3" s="1"/>
  <c r="AU11" i="3"/>
  <c r="BW11" i="3" s="1"/>
  <c r="AX82" i="3"/>
  <c r="AX79" i="3"/>
  <c r="AX80" i="3" s="1"/>
  <c r="AY11" i="3"/>
  <c r="AL50" i="3"/>
  <c r="AM44" i="3"/>
  <c r="AM50" i="3" s="1"/>
  <c r="V82" i="3"/>
  <c r="V79" i="3"/>
  <c r="V80" i="3" s="1"/>
  <c r="W11" i="3"/>
  <c r="Z79" i="3"/>
  <c r="Z80" i="3" s="1"/>
  <c r="Z82" i="3"/>
  <c r="AA11" i="3"/>
  <c r="AU50" i="3"/>
  <c r="BW44" i="3"/>
  <c r="F50" i="3"/>
  <c r="G44" i="3"/>
  <c r="BU44" i="3"/>
  <c r="BC77" i="2"/>
  <c r="AC36" i="50" l="1"/>
  <c r="AX39" i="50"/>
  <c r="AY86" i="50"/>
  <c r="AX23" i="50"/>
  <c r="AX25" i="50" s="1"/>
  <c r="AP86" i="50"/>
  <c r="AP75" i="50"/>
  <c r="AN86" i="50"/>
  <c r="AN75" i="50"/>
  <c r="AC28" i="50"/>
  <c r="AG27" i="50"/>
  <c r="AG28" i="50" s="1"/>
  <c r="AF88" i="50"/>
  <c r="AG76" i="50"/>
  <c r="BB231" i="50"/>
  <c r="BB232" i="50" s="1"/>
  <c r="BB233" i="50"/>
  <c r="BB234" i="50" s="1"/>
  <c r="AN229" i="50"/>
  <c r="AO229" i="50" s="1"/>
  <c r="AP229" i="50" s="1"/>
  <c r="AN179" i="50"/>
  <c r="AO179" i="50" s="1"/>
  <c r="AP179" i="50" s="1"/>
  <c r="BZ71" i="3"/>
  <c r="BH71" i="3"/>
  <c r="BI71" i="3" s="1"/>
  <c r="BJ71" i="3" s="1"/>
  <c r="BK71" i="3" s="1"/>
  <c r="CA71" i="3" s="1"/>
  <c r="AW31" i="50"/>
  <c r="AW33" i="50" s="1"/>
  <c r="AX174" i="50"/>
  <c r="AW19" i="50"/>
  <c r="AW21" i="50" s="1"/>
  <c r="AV66" i="50"/>
  <c r="AE31" i="50"/>
  <c r="AE47" i="50"/>
  <c r="AE19" i="50"/>
  <c r="AF264" i="50"/>
  <c r="AF6" i="50"/>
  <c r="AF31" i="50"/>
  <c r="AF36" i="50"/>
  <c r="AF28" i="50"/>
  <c r="AB40" i="50"/>
  <c r="AF24" i="50"/>
  <c r="AF47" i="50"/>
  <c r="AF19" i="50"/>
  <c r="AK79" i="50"/>
  <c r="AO79" i="50" s="1"/>
  <c r="Y6" i="50"/>
  <c r="Y264" i="50"/>
  <c r="Y92" i="50"/>
  <c r="AF40" i="50"/>
  <c r="AV8" i="50"/>
  <c r="AC88" i="50"/>
  <c r="AD76" i="50"/>
  <c r="AC76" i="50"/>
  <c r="AC77" i="50"/>
  <c r="AE76" i="50"/>
  <c r="AE88" i="50"/>
  <c r="AE77" i="50"/>
  <c r="AL83" i="3"/>
  <c r="AD83" i="3"/>
  <c r="Z83" i="3"/>
  <c r="V83" i="3"/>
  <c r="N83" i="3"/>
  <c r="J83" i="3"/>
  <c r="BV30" i="3"/>
  <c r="BP56" i="2"/>
  <c r="BM50" i="2"/>
  <c r="BM54" i="2"/>
  <c r="BN54" i="2"/>
  <c r="BN50" i="2"/>
  <c r="BO56" i="2"/>
  <c r="BQ50" i="2"/>
  <c r="BQ54" i="2"/>
  <c r="BR54" i="2"/>
  <c r="BR50" i="2"/>
  <c r="BR11" i="3"/>
  <c r="AT83" i="3"/>
  <c r="BR44" i="3"/>
  <c r="R83" i="3"/>
  <c r="AZ176" i="50"/>
  <c r="AZ177" i="50" s="1"/>
  <c r="BY35" i="2"/>
  <c r="BF24" i="3"/>
  <c r="BY49" i="3"/>
  <c r="BY136" i="3" s="1"/>
  <c r="BY45" i="3"/>
  <c r="BY132" i="3" s="1"/>
  <c r="BE111" i="3"/>
  <c r="BY17" i="3"/>
  <c r="BY104" i="3" s="1"/>
  <c r="BY25" i="3"/>
  <c r="BY112" i="3" s="1"/>
  <c r="U9" i="3"/>
  <c r="U27" i="3" s="1"/>
  <c r="U116" i="2"/>
  <c r="AE9" i="3"/>
  <c r="AE27" i="3" s="1"/>
  <c r="AE87" i="3" s="1"/>
  <c r="AE88" i="3" s="1"/>
  <c r="AE116" i="2"/>
  <c r="AM9" i="3"/>
  <c r="AM27" i="3" s="1"/>
  <c r="AM87" i="3" s="1"/>
  <c r="AM88" i="3" s="1"/>
  <c r="AM116" i="2"/>
  <c r="AU9" i="3"/>
  <c r="AU27" i="3" s="1"/>
  <c r="AU87" i="3" s="1"/>
  <c r="AU88" i="3" s="1"/>
  <c r="AU116" i="2"/>
  <c r="T9" i="3"/>
  <c r="T116" i="2"/>
  <c r="E9" i="3"/>
  <c r="E27" i="3" s="1"/>
  <c r="E116" i="2"/>
  <c r="AI9" i="3"/>
  <c r="AI27" i="3" s="1"/>
  <c r="AI87" i="3" s="1"/>
  <c r="AI88" i="3" s="1"/>
  <c r="AI116" i="2"/>
  <c r="AQ9" i="3"/>
  <c r="AQ27" i="3" s="1"/>
  <c r="AQ87" i="3" s="1"/>
  <c r="AQ88" i="3" s="1"/>
  <c r="AQ116" i="2"/>
  <c r="AY9" i="3"/>
  <c r="AY27" i="3" s="1"/>
  <c r="AY116" i="2"/>
  <c r="F9" i="3"/>
  <c r="F27" i="3" s="1"/>
  <c r="F87" i="3" s="1"/>
  <c r="F88" i="3" s="1"/>
  <c r="F116" i="2"/>
  <c r="Q9" i="3"/>
  <c r="Q27" i="3" s="1"/>
  <c r="Q116" i="2"/>
  <c r="AB9" i="3"/>
  <c r="AB116" i="2"/>
  <c r="H9" i="3"/>
  <c r="H116" i="2"/>
  <c r="R9" i="3"/>
  <c r="R27" i="3" s="1"/>
  <c r="R116" i="2"/>
  <c r="AC9" i="3"/>
  <c r="AC27" i="3" s="1"/>
  <c r="AC116" i="2"/>
  <c r="AS9" i="3"/>
  <c r="AS27" i="3" s="1"/>
  <c r="AS116" i="2"/>
  <c r="N9" i="3"/>
  <c r="N27" i="3" s="1"/>
  <c r="N116" i="2"/>
  <c r="AH9" i="3"/>
  <c r="AH27" i="3" s="1"/>
  <c r="AH116" i="2"/>
  <c r="AX9" i="3"/>
  <c r="AX27" i="3" s="1"/>
  <c r="AX87" i="3" s="1"/>
  <c r="AX88" i="3" s="1"/>
  <c r="AX116" i="2"/>
  <c r="Z9" i="3"/>
  <c r="Z27" i="3" s="1"/>
  <c r="Z87" i="3" s="1"/>
  <c r="Z88" i="3" s="1"/>
  <c r="Z116" i="2"/>
  <c r="P9" i="3"/>
  <c r="P116" i="2"/>
  <c r="W50" i="2"/>
  <c r="W54" i="2"/>
  <c r="BX68" i="43"/>
  <c r="BX8" i="43"/>
  <c r="BX18" i="43"/>
  <c r="BX38" i="43"/>
  <c r="BX58" i="43"/>
  <c r="BX28" i="43"/>
  <c r="BX81" i="43"/>
  <c r="BX48" i="43"/>
  <c r="S50" i="2"/>
  <c r="S54" i="2"/>
  <c r="AN9" i="3"/>
  <c r="AN116" i="2"/>
  <c r="AD9" i="3"/>
  <c r="AD27" i="3" s="1"/>
  <c r="AD116" i="2"/>
  <c r="AT9" i="3"/>
  <c r="AT27" i="3" s="1"/>
  <c r="AT87" i="3" s="1"/>
  <c r="AT88" i="3" s="1"/>
  <c r="AT116" i="2"/>
  <c r="J9" i="3"/>
  <c r="J27" i="3" s="1"/>
  <c r="J87" i="3" s="1"/>
  <c r="J88" i="3" s="1"/>
  <c r="J116" i="2"/>
  <c r="L9" i="3"/>
  <c r="L116" i="2"/>
  <c r="V9" i="3"/>
  <c r="V27" i="3" s="1"/>
  <c r="V87" i="3" s="1"/>
  <c r="V88" i="3" s="1"/>
  <c r="V116" i="2"/>
  <c r="M9" i="3"/>
  <c r="M27" i="3" s="1"/>
  <c r="M116" i="2"/>
  <c r="X9" i="3"/>
  <c r="X116" i="2"/>
  <c r="AG9" i="3"/>
  <c r="AG27" i="3" s="1"/>
  <c r="AG116" i="2"/>
  <c r="AO9" i="3"/>
  <c r="AO27" i="3" s="1"/>
  <c r="AO116" i="2"/>
  <c r="AW9" i="3"/>
  <c r="AW27" i="3" s="1"/>
  <c r="AW116" i="2"/>
  <c r="I9" i="3"/>
  <c r="I27" i="3" s="1"/>
  <c r="I116" i="2"/>
  <c r="AJ9" i="3"/>
  <c r="AJ116" i="2"/>
  <c r="AL9" i="3"/>
  <c r="AL27" i="3" s="1"/>
  <c r="AL87" i="3" s="1"/>
  <c r="AL88" i="3" s="1"/>
  <c r="AL116" i="2"/>
  <c r="AK9" i="3"/>
  <c r="AK27" i="3" s="1"/>
  <c r="AK116" i="2"/>
  <c r="BW38" i="43"/>
  <c r="BW8" i="43"/>
  <c r="BW18" i="43"/>
  <c r="BW81" i="43"/>
  <c r="BW28" i="43"/>
  <c r="BW48" i="43"/>
  <c r="BW68" i="43"/>
  <c r="O50" i="2"/>
  <c r="O54" i="2"/>
  <c r="G50" i="2"/>
  <c r="G54" i="2"/>
  <c r="AA50" i="2"/>
  <c r="AA54" i="2"/>
  <c r="K50" i="2"/>
  <c r="K54" i="2"/>
  <c r="AD94" i="2"/>
  <c r="AD95" i="2" s="1"/>
  <c r="AF92" i="50"/>
  <c r="U49" i="50"/>
  <c r="U48" i="50"/>
  <c r="G155" i="50"/>
  <c r="G154" i="50"/>
  <c r="AT153" i="50"/>
  <c r="G157" i="50"/>
  <c r="W33" i="50"/>
  <c r="W32" i="50"/>
  <c r="V66" i="50"/>
  <c r="V51" i="50"/>
  <c r="V43" i="50"/>
  <c r="V21" i="50"/>
  <c r="V20" i="50"/>
  <c r="T68" i="50"/>
  <c r="T5" i="50"/>
  <c r="AL86" i="50"/>
  <c r="AL75" i="50"/>
  <c r="W264" i="50"/>
  <c r="W92" i="50"/>
  <c r="AX92" i="50" s="1"/>
  <c r="AX88" i="50"/>
  <c r="W6" i="50"/>
  <c r="AX6" i="50" s="1"/>
  <c r="AJ86" i="50"/>
  <c r="AJ75" i="50"/>
  <c r="U33" i="50"/>
  <c r="U32" i="50"/>
  <c r="AG236" i="50"/>
  <c r="AZ227" i="50"/>
  <c r="AZ228" i="50" s="1"/>
  <c r="AA40" i="50"/>
  <c r="X33" i="50"/>
  <c r="X32" i="50"/>
  <c r="AY8" i="50"/>
  <c r="X49" i="50"/>
  <c r="X48" i="50"/>
  <c r="Q104" i="50"/>
  <c r="R102" i="50"/>
  <c r="AV102" i="50" s="1"/>
  <c r="AV104" i="50" s="1"/>
  <c r="O108" i="50"/>
  <c r="P106" i="50"/>
  <c r="O98" i="50"/>
  <c r="H155" i="50"/>
  <c r="H154" i="50"/>
  <c r="H157" i="50"/>
  <c r="Y47" i="50"/>
  <c r="Y19" i="50"/>
  <c r="Y24" i="50"/>
  <c r="AC23" i="50"/>
  <c r="AG23" i="50" s="1"/>
  <c r="Z47" i="50"/>
  <c r="Z24" i="50"/>
  <c r="AD23" i="50"/>
  <c r="AE24" i="50" s="1"/>
  <c r="Z19" i="50"/>
  <c r="W51" i="50"/>
  <c r="W66" i="50"/>
  <c r="W43" i="50"/>
  <c r="W21" i="50"/>
  <c r="W20" i="50"/>
  <c r="W49" i="50"/>
  <c r="W48" i="50"/>
  <c r="AJ176" i="50"/>
  <c r="AK176" i="50" s="1"/>
  <c r="AL176" i="50" s="1"/>
  <c r="AM176" i="50" s="1"/>
  <c r="U183" i="50"/>
  <c r="U8" i="50"/>
  <c r="Y184" i="50"/>
  <c r="U186" i="50"/>
  <c r="R45" i="50"/>
  <c r="R44" i="50"/>
  <c r="M125" i="50"/>
  <c r="M123" i="50"/>
  <c r="M153" i="50"/>
  <c r="AF77" i="50"/>
  <c r="AF76" i="50"/>
  <c r="Y40" i="50"/>
  <c r="AC39" i="50"/>
  <c r="AG39" i="50" s="1"/>
  <c r="Y31" i="50"/>
  <c r="AF239" i="50"/>
  <c r="AF240" i="50" s="1"/>
  <c r="AF238" i="50"/>
  <c r="AF237" i="50"/>
  <c r="AZ113" i="50"/>
  <c r="AZ114" i="50" s="1"/>
  <c r="Q5" i="50"/>
  <c r="Q68" i="50"/>
  <c r="O4" i="50"/>
  <c r="AW47" i="50"/>
  <c r="AW49" i="50" s="1"/>
  <c r="AY184" i="50"/>
  <c r="AA77" i="50"/>
  <c r="AY75" i="50"/>
  <c r="AA76" i="50"/>
  <c r="AA88" i="50"/>
  <c r="X66" i="50"/>
  <c r="X51" i="50"/>
  <c r="X43" i="50"/>
  <c r="X21" i="50"/>
  <c r="X20" i="50"/>
  <c r="X58" i="50"/>
  <c r="AG9" i="50"/>
  <c r="AA36" i="50"/>
  <c r="AA31" i="50"/>
  <c r="T45" i="50"/>
  <c r="T44" i="50"/>
  <c r="AA47" i="50"/>
  <c r="AY23" i="50"/>
  <c r="AY25" i="50" s="1"/>
  <c r="AA24" i="50"/>
  <c r="AA19" i="50"/>
  <c r="V33" i="50"/>
  <c r="V32" i="50"/>
  <c r="R53" i="50"/>
  <c r="R52" i="50"/>
  <c r="S53" i="50"/>
  <c r="S52" i="50"/>
  <c r="AJ113" i="50"/>
  <c r="AK113" i="50" s="1"/>
  <c r="AL113" i="50" s="1"/>
  <c r="AM113" i="50" s="1"/>
  <c r="Q45" i="50"/>
  <c r="Q44" i="50"/>
  <c r="AV43" i="50"/>
  <c r="AV45" i="50" s="1"/>
  <c r="F154" i="50"/>
  <c r="F157" i="50"/>
  <c r="J155" i="50"/>
  <c r="I60" i="50"/>
  <c r="H56" i="50"/>
  <c r="AZ86" i="50"/>
  <c r="AZ79" i="50"/>
  <c r="AZ81" i="50" s="1"/>
  <c r="AM79" i="50"/>
  <c r="AB47" i="50"/>
  <c r="AB24" i="50"/>
  <c r="AB19" i="50"/>
  <c r="AB264" i="50"/>
  <c r="AB92" i="50"/>
  <c r="AB6" i="50"/>
  <c r="E154" i="50"/>
  <c r="E157" i="50"/>
  <c r="N110" i="50"/>
  <c r="N119" i="50"/>
  <c r="AU98" i="50"/>
  <c r="P4" i="50"/>
  <c r="P244" i="50" s="1"/>
  <c r="U66" i="50"/>
  <c r="U51" i="50"/>
  <c r="AW51" i="50" s="1"/>
  <c r="U43" i="50"/>
  <c r="U21" i="50"/>
  <c r="U20" i="50"/>
  <c r="V49" i="50"/>
  <c r="V48" i="50"/>
  <c r="T53" i="50"/>
  <c r="T52" i="50"/>
  <c r="AS153" i="50"/>
  <c r="C157" i="50"/>
  <c r="AD35" i="50"/>
  <c r="AY35" i="50" s="1"/>
  <c r="AY37" i="50" s="1"/>
  <c r="Z31" i="50"/>
  <c r="Z36" i="50"/>
  <c r="BA179" i="50"/>
  <c r="BA180" i="50" s="1"/>
  <c r="AV51" i="50"/>
  <c r="AV53" i="50" s="1"/>
  <c r="D154" i="50"/>
  <c r="D157" i="50"/>
  <c r="R5" i="50"/>
  <c r="R68" i="50"/>
  <c r="S45" i="50"/>
  <c r="S44" i="50"/>
  <c r="S5" i="50"/>
  <c r="S68" i="50"/>
  <c r="L125" i="50"/>
  <c r="L123" i="50"/>
  <c r="L153" i="50"/>
  <c r="AX41" i="50"/>
  <c r="Z28" i="50"/>
  <c r="AD27" i="50"/>
  <c r="AY27" i="50" s="1"/>
  <c r="AY29" i="50" s="1"/>
  <c r="Q53" i="50"/>
  <c r="Q52" i="50"/>
  <c r="AB36" i="50"/>
  <c r="AB31" i="50"/>
  <c r="AA28" i="50"/>
  <c r="AB28" i="50"/>
  <c r="AW182" i="50"/>
  <c r="AX184" i="50" s="1"/>
  <c r="S183" i="50"/>
  <c r="S8" i="50"/>
  <c r="AW8" i="50" s="1"/>
  <c r="S186" i="50"/>
  <c r="W184" i="50"/>
  <c r="G162" i="50"/>
  <c r="G57" i="50"/>
  <c r="K155" i="50"/>
  <c r="K154" i="50"/>
  <c r="K157" i="50"/>
  <c r="I155" i="50"/>
  <c r="I154" i="50"/>
  <c r="I157" i="50"/>
  <c r="J154" i="50"/>
  <c r="Z40" i="50"/>
  <c r="AD39" i="50"/>
  <c r="AE40" i="50" s="1"/>
  <c r="AZ73" i="50"/>
  <c r="BQ117" i="3"/>
  <c r="BQ128" i="3" s="1"/>
  <c r="BQ65" i="3"/>
  <c r="BQ67" i="3" s="1"/>
  <c r="BQ41" i="3"/>
  <c r="BR117" i="3"/>
  <c r="BR128" i="3" s="1"/>
  <c r="BR65" i="3"/>
  <c r="BR67" i="3" s="1"/>
  <c r="BR41" i="3"/>
  <c r="BN82" i="3"/>
  <c r="BN98" i="3"/>
  <c r="BR82" i="3"/>
  <c r="BR98" i="3"/>
  <c r="W79" i="3"/>
  <c r="W80" i="3" s="1"/>
  <c r="W82" i="3"/>
  <c r="BQ11" i="3"/>
  <c r="BU131" i="3"/>
  <c r="BU137" i="3" s="1"/>
  <c r="BU50" i="3"/>
  <c r="BW131" i="3"/>
  <c r="BW137" i="3" s="1"/>
  <c r="BW50" i="3"/>
  <c r="AY82" i="3"/>
  <c r="AY79" i="3"/>
  <c r="AY80" i="3" s="1"/>
  <c r="BX11" i="3"/>
  <c r="BN103" i="3"/>
  <c r="BN68" i="3"/>
  <c r="AP83" i="3"/>
  <c r="BX117" i="3"/>
  <c r="BX128" i="3" s="1"/>
  <c r="BX65" i="3"/>
  <c r="BX41" i="3"/>
  <c r="AM79" i="3"/>
  <c r="AM80" i="3" s="1"/>
  <c r="AM82" i="3"/>
  <c r="BP103" i="3"/>
  <c r="BP68" i="3"/>
  <c r="K65" i="3"/>
  <c r="K67" i="3" s="1"/>
  <c r="K41" i="3"/>
  <c r="AE65" i="3"/>
  <c r="AE67" i="3" s="1"/>
  <c r="AE41" i="3"/>
  <c r="BS30" i="3"/>
  <c r="O79" i="3"/>
  <c r="O80" i="3" s="1"/>
  <c r="O82" i="3"/>
  <c r="AA79" i="3"/>
  <c r="AA80" i="3" s="1"/>
  <c r="AA82" i="3"/>
  <c r="AP71" i="3"/>
  <c r="AP72" i="3" s="1"/>
  <c r="AP75" i="3" s="1"/>
  <c r="AP80" i="3"/>
  <c r="BM103" i="3"/>
  <c r="BM68" i="3"/>
  <c r="BT117" i="3"/>
  <c r="BT128" i="3" s="1"/>
  <c r="BT65" i="3"/>
  <c r="BT41" i="3"/>
  <c r="AA65" i="3"/>
  <c r="AA67" i="3" s="1"/>
  <c r="AA41" i="3"/>
  <c r="BR103" i="3"/>
  <c r="BR68" i="3"/>
  <c r="BQ103" i="3"/>
  <c r="BQ68" i="3"/>
  <c r="G79" i="3"/>
  <c r="G80" i="3" s="1"/>
  <c r="G82" i="3"/>
  <c r="BM11" i="3"/>
  <c r="AI79" i="3"/>
  <c r="AI80" i="3" s="1"/>
  <c r="AI82" i="3"/>
  <c r="BT11" i="3"/>
  <c r="BN44" i="3"/>
  <c r="BX131" i="3"/>
  <c r="BX137" i="3" s="1"/>
  <c r="BX50" i="3"/>
  <c r="BS98" i="3"/>
  <c r="BS82" i="3"/>
  <c r="G50" i="3"/>
  <c r="BM44" i="3"/>
  <c r="AX83" i="3"/>
  <c r="BW98" i="3"/>
  <c r="BW82" i="3"/>
  <c r="BV103" i="3"/>
  <c r="BV68" i="3"/>
  <c r="BV131" i="3"/>
  <c r="BV137" i="3" s="1"/>
  <c r="BV50" i="3"/>
  <c r="BM117" i="3"/>
  <c r="BM128" i="3" s="1"/>
  <c r="BM65" i="3"/>
  <c r="BM67" i="3" s="1"/>
  <c r="BM41" i="3"/>
  <c r="BV82" i="3"/>
  <c r="BV98" i="3"/>
  <c r="BP117" i="3"/>
  <c r="BP128" i="3" s="1"/>
  <c r="BP65" i="3"/>
  <c r="BP67" i="3" s="1"/>
  <c r="BP41" i="3"/>
  <c r="BP131" i="3"/>
  <c r="BP137" i="3" s="1"/>
  <c r="BP50" i="3"/>
  <c r="BW103" i="3"/>
  <c r="BW68" i="3"/>
  <c r="BS131" i="3"/>
  <c r="BS137" i="3" s="1"/>
  <c r="BS50" i="3"/>
  <c r="BR131" i="3"/>
  <c r="BR137" i="3" s="1"/>
  <c r="BR50" i="3"/>
  <c r="W65" i="3"/>
  <c r="W67" i="3" s="1"/>
  <c r="W41" i="3"/>
  <c r="S65" i="3"/>
  <c r="S67" i="3" s="1"/>
  <c r="S41" i="3"/>
  <c r="AU41" i="3"/>
  <c r="BW30" i="3"/>
  <c r="BO98" i="3"/>
  <c r="BO82" i="3"/>
  <c r="BU117" i="3"/>
  <c r="BU128" i="3" s="1"/>
  <c r="BU65" i="3"/>
  <c r="BU41" i="3"/>
  <c r="K79" i="3"/>
  <c r="K80" i="3" s="1"/>
  <c r="K82" i="3"/>
  <c r="BX103" i="3"/>
  <c r="BX68" i="3"/>
  <c r="BV117" i="3"/>
  <c r="BV128" i="3" s="1"/>
  <c r="BV65" i="3"/>
  <c r="BV41" i="3"/>
  <c r="BU11" i="3"/>
  <c r="AU79" i="3"/>
  <c r="AU80" i="3" s="1"/>
  <c r="AU82" i="3"/>
  <c r="G65" i="3"/>
  <c r="G67" i="3" s="1"/>
  <c r="G41" i="3"/>
  <c r="AQ79" i="3"/>
  <c r="AQ80" i="3" s="1"/>
  <c r="AQ82" i="3"/>
  <c r="BU103" i="3"/>
  <c r="BU68" i="3"/>
  <c r="AI65" i="3"/>
  <c r="AI67" i="3" s="1"/>
  <c r="AI41" i="3"/>
  <c r="O65" i="3"/>
  <c r="O67" i="3" s="1"/>
  <c r="O41" i="3"/>
  <c r="BO30" i="3"/>
  <c r="S79" i="3"/>
  <c r="S80" i="3" s="1"/>
  <c r="S82" i="3"/>
  <c r="S83" i="3" s="1"/>
  <c r="BP11" i="3"/>
  <c r="BO103" i="3"/>
  <c r="BO68" i="3"/>
  <c r="AM65" i="3"/>
  <c r="AM67" i="3" s="1"/>
  <c r="AM41" i="3"/>
  <c r="W50" i="3"/>
  <c r="BQ44" i="3"/>
  <c r="F83" i="3"/>
  <c r="BO131" i="3"/>
  <c r="BO137" i="3" s="1"/>
  <c r="BO50" i="3"/>
  <c r="AH83" i="3"/>
  <c r="BT131" i="3"/>
  <c r="BT137" i="3" s="1"/>
  <c r="BT50" i="3"/>
  <c r="AE79" i="3"/>
  <c r="AE80" i="3" s="1"/>
  <c r="AE82" i="3"/>
  <c r="BN30" i="3"/>
  <c r="BD77" i="2"/>
  <c r="BY77" i="2"/>
  <c r="AG47" i="50" l="1"/>
  <c r="AG24" i="50"/>
  <c r="AG19" i="50"/>
  <c r="AN77" i="50"/>
  <c r="AP77" i="50"/>
  <c r="AM86" i="50"/>
  <c r="AM75" i="50"/>
  <c r="AN76" i="50" s="1"/>
  <c r="AM80" i="50"/>
  <c r="AG40" i="50"/>
  <c r="AG31" i="50"/>
  <c r="AN80" i="50"/>
  <c r="J56" i="3"/>
  <c r="BB229" i="50"/>
  <c r="BB230" i="50" s="1"/>
  <c r="AN176" i="50"/>
  <c r="AO176" i="50" s="1"/>
  <c r="AP176" i="50" s="1"/>
  <c r="BB179" i="50"/>
  <c r="BB180" i="50" s="1"/>
  <c r="AN113" i="50"/>
  <c r="AO113" i="50" s="1"/>
  <c r="AP113" i="50" s="1"/>
  <c r="AK80" i="50"/>
  <c r="AL80" i="50"/>
  <c r="AO86" i="50"/>
  <c r="BB79" i="50"/>
  <c r="AO75" i="50"/>
  <c r="AO80" i="50"/>
  <c r="AP80" i="50"/>
  <c r="AX47" i="50"/>
  <c r="AX49" i="50" s="1"/>
  <c r="AE92" i="50"/>
  <c r="AE6" i="50"/>
  <c r="AE264" i="50"/>
  <c r="AK86" i="50"/>
  <c r="AK75" i="50"/>
  <c r="AK77" i="50" s="1"/>
  <c r="AF49" i="50"/>
  <c r="AF48" i="50"/>
  <c r="AE28" i="50"/>
  <c r="AF32" i="50"/>
  <c r="AF33" i="50"/>
  <c r="AE49" i="50"/>
  <c r="AE36" i="50"/>
  <c r="AC264" i="50"/>
  <c r="AC6" i="50"/>
  <c r="AC92" i="50"/>
  <c r="AF66" i="50"/>
  <c r="AF21" i="50"/>
  <c r="AF20" i="50"/>
  <c r="AF43" i="50"/>
  <c r="AF51" i="50"/>
  <c r="AE21" i="50"/>
  <c r="AE43" i="50"/>
  <c r="AE51" i="50"/>
  <c r="AE66" i="50"/>
  <c r="AE33" i="50"/>
  <c r="AX56" i="3"/>
  <c r="AY87" i="3"/>
  <c r="AY88" i="3" s="1"/>
  <c r="AY56" i="3"/>
  <c r="AT56" i="3"/>
  <c r="V56" i="3"/>
  <c r="Z56" i="3"/>
  <c r="AQ83" i="3"/>
  <c r="K83" i="3"/>
  <c r="G83" i="3"/>
  <c r="AY83" i="3"/>
  <c r="W83" i="3"/>
  <c r="F56" i="3"/>
  <c r="O83" i="3"/>
  <c r="BY11" i="2"/>
  <c r="BY69" i="2"/>
  <c r="BO50" i="2"/>
  <c r="BO54" i="2"/>
  <c r="BP54" i="2"/>
  <c r="BP50" i="2"/>
  <c r="BV67" i="3"/>
  <c r="BX67" i="3"/>
  <c r="AM56" i="3"/>
  <c r="AU83" i="3"/>
  <c r="BU67" i="3"/>
  <c r="AI83" i="3"/>
  <c r="BT67" i="3"/>
  <c r="AA83" i="3"/>
  <c r="AM83" i="3"/>
  <c r="BY12" i="3"/>
  <c r="AI56" i="3"/>
  <c r="AZ102" i="2"/>
  <c r="AZ98" i="2"/>
  <c r="BA113" i="50"/>
  <c r="BA114" i="50" s="1"/>
  <c r="BA176" i="50"/>
  <c r="BA177" i="50" s="1"/>
  <c r="AZ71" i="50"/>
  <c r="BY62" i="2"/>
  <c r="BY65" i="2" s="1"/>
  <c r="BF111" i="3"/>
  <c r="BE35" i="2"/>
  <c r="BC87" i="2"/>
  <c r="BD17" i="3"/>
  <c r="BD25" i="3"/>
  <c r="BD49" i="3"/>
  <c r="BY35" i="3"/>
  <c r="BD45" i="3"/>
  <c r="BG24" i="3"/>
  <c r="BZ24" i="3" s="1"/>
  <c r="BZ111" i="3" s="1"/>
  <c r="BD35" i="3"/>
  <c r="AU56" i="3"/>
  <c r="Y9" i="3"/>
  <c r="Y27" i="3" s="1"/>
  <c r="Y116" i="2"/>
  <c r="BW79" i="43"/>
  <c r="AR9" i="3"/>
  <c r="AR116" i="2"/>
  <c r="BV79" i="43"/>
  <c r="AJ98" i="2"/>
  <c r="AJ102" i="2"/>
  <c r="AF9" i="3"/>
  <c r="AF116" i="2"/>
  <c r="AK102" i="2"/>
  <c r="AK98" i="2"/>
  <c r="AE102" i="2"/>
  <c r="AE98" i="2"/>
  <c r="AK87" i="3"/>
  <c r="AK88" i="3" s="1"/>
  <c r="AK56" i="3"/>
  <c r="AJ96" i="3"/>
  <c r="BU9" i="3"/>
  <c r="BU96" i="3" s="1"/>
  <c r="AJ27" i="3"/>
  <c r="AN96" i="3"/>
  <c r="AN27" i="3"/>
  <c r="P96" i="3"/>
  <c r="P27" i="3"/>
  <c r="AH87" i="3"/>
  <c r="AH88" i="3" s="1"/>
  <c r="AH56" i="3"/>
  <c r="N87" i="3"/>
  <c r="N88" i="3" s="1"/>
  <c r="N56" i="3"/>
  <c r="AS87" i="3"/>
  <c r="AS88" i="3" s="1"/>
  <c r="AS56" i="3"/>
  <c r="AC87" i="3"/>
  <c r="AC88" i="3" s="1"/>
  <c r="AC56" i="3"/>
  <c r="R87" i="3"/>
  <c r="R88" i="3" s="1"/>
  <c r="R56" i="3"/>
  <c r="H96" i="3"/>
  <c r="H27" i="3"/>
  <c r="AV9" i="3"/>
  <c r="AV116" i="2"/>
  <c r="AN98" i="2"/>
  <c r="AN102" i="2"/>
  <c r="AL102" i="2"/>
  <c r="AL98" i="2"/>
  <c r="AO102" i="2"/>
  <c r="AO98" i="2"/>
  <c r="BX79" i="43"/>
  <c r="BU79" i="43"/>
  <c r="D9" i="3"/>
  <c r="D116" i="2"/>
  <c r="AM102" i="2"/>
  <c r="AM98" i="2"/>
  <c r="I87" i="3"/>
  <c r="I88" i="3" s="1"/>
  <c r="I56" i="3"/>
  <c r="AW87" i="3"/>
  <c r="AW88" i="3" s="1"/>
  <c r="AW56" i="3"/>
  <c r="AO87" i="3"/>
  <c r="AO88" i="3" s="1"/>
  <c r="AO56" i="3"/>
  <c r="AG87" i="3"/>
  <c r="AG88" i="3" s="1"/>
  <c r="AG56" i="3"/>
  <c r="X96" i="3"/>
  <c r="X27" i="3"/>
  <c r="M87" i="3"/>
  <c r="M88" i="3" s="1"/>
  <c r="M56" i="3"/>
  <c r="L96" i="3"/>
  <c r="L27" i="3"/>
  <c r="AD87" i="3"/>
  <c r="AD88" i="3" s="1"/>
  <c r="AD56" i="3"/>
  <c r="AL56" i="3"/>
  <c r="BS9" i="3"/>
  <c r="AB96" i="3"/>
  <c r="AB27" i="3"/>
  <c r="Q87" i="3"/>
  <c r="Q88" i="3" s="1"/>
  <c r="Q56" i="3"/>
  <c r="E87" i="3"/>
  <c r="E88" i="3" s="1"/>
  <c r="E56" i="3"/>
  <c r="T96" i="3"/>
  <c r="T27" i="3"/>
  <c r="U87" i="3"/>
  <c r="U88" i="3" s="1"/>
  <c r="U56" i="3"/>
  <c r="AE94" i="2"/>
  <c r="AE95" i="2" s="1"/>
  <c r="AB33" i="50"/>
  <c r="AB32" i="50"/>
  <c r="U45" i="50"/>
  <c r="U44" i="50"/>
  <c r="AA66" i="50"/>
  <c r="AA51" i="50"/>
  <c r="AA43" i="50"/>
  <c r="AA21" i="50"/>
  <c r="AA20" i="50"/>
  <c r="X53" i="50"/>
  <c r="X52" i="50"/>
  <c r="O244" i="50"/>
  <c r="Q4" i="50"/>
  <c r="Q244" i="50" s="1"/>
  <c r="AC40" i="50"/>
  <c r="AC31" i="50"/>
  <c r="W247" i="50"/>
  <c r="W91" i="50"/>
  <c r="W5" i="50"/>
  <c r="Y51" i="50"/>
  <c r="Y43" i="50"/>
  <c r="Y66" i="50"/>
  <c r="Y21" i="50"/>
  <c r="Y20" i="50"/>
  <c r="V68" i="50"/>
  <c r="V5" i="50"/>
  <c r="L155" i="50"/>
  <c r="L154" i="50"/>
  <c r="L157" i="50"/>
  <c r="S4" i="50"/>
  <c r="U53" i="50"/>
  <c r="U52" i="50"/>
  <c r="AU110" i="50"/>
  <c r="AU100" i="50"/>
  <c r="AB49" i="50"/>
  <c r="AB48" i="50"/>
  <c r="AZ75" i="50"/>
  <c r="AZ77" i="50" s="1"/>
  <c r="X247" i="50"/>
  <c r="X91" i="50"/>
  <c r="X94" i="50" s="1"/>
  <c r="X5" i="50"/>
  <c r="AV5" i="50"/>
  <c r="M155" i="50"/>
  <c r="M154" i="50"/>
  <c r="M157" i="50"/>
  <c r="W53" i="50"/>
  <c r="W52" i="50"/>
  <c r="Z49" i="50"/>
  <c r="Z48" i="50"/>
  <c r="Y49" i="50"/>
  <c r="Y48" i="50"/>
  <c r="O119" i="50"/>
  <c r="O110" i="50"/>
  <c r="AZ236" i="50"/>
  <c r="AZ238" i="50" s="1"/>
  <c r="AI227" i="50"/>
  <c r="AT155" i="50"/>
  <c r="AF186" i="50"/>
  <c r="I56" i="50"/>
  <c r="J60" i="50"/>
  <c r="AT60" i="50" s="1"/>
  <c r="AT61" i="50" s="1"/>
  <c r="AD40" i="50"/>
  <c r="G270" i="50"/>
  <c r="G277" i="50" s="1"/>
  <c r="G160" i="50"/>
  <c r="AW66" i="50"/>
  <c r="AW43" i="50"/>
  <c r="AW45" i="50" s="1"/>
  <c r="AJ73" i="50"/>
  <c r="AI71" i="50"/>
  <c r="Z33" i="50"/>
  <c r="Z32" i="50"/>
  <c r="U5" i="50"/>
  <c r="U68" i="50"/>
  <c r="N122" i="50"/>
  <c r="N120" i="50"/>
  <c r="AU119" i="50"/>
  <c r="AJ76" i="50"/>
  <c r="BA79" i="50"/>
  <c r="BA81" i="50" s="1"/>
  <c r="Y58" i="50"/>
  <c r="AA264" i="50"/>
  <c r="AA92" i="50"/>
  <c r="AY92" i="50" s="1"/>
  <c r="AY88" i="50"/>
  <c r="AA6" i="50"/>
  <c r="AX19" i="50"/>
  <c r="AX21" i="50" s="1"/>
  <c r="Z66" i="50"/>
  <c r="Z51" i="50"/>
  <c r="Z43" i="50"/>
  <c r="Z21" i="50"/>
  <c r="Z20" i="50"/>
  <c r="AC47" i="50"/>
  <c r="AC19" i="50"/>
  <c r="AC24" i="50"/>
  <c r="AY39" i="50"/>
  <c r="AY41" i="50" s="1"/>
  <c r="AG239" i="50"/>
  <c r="AG238" i="50"/>
  <c r="AG237" i="50"/>
  <c r="AG11" i="50"/>
  <c r="AJ80" i="50"/>
  <c r="T4" i="50"/>
  <c r="V45" i="50"/>
  <c r="V44" i="50"/>
  <c r="AD28" i="50"/>
  <c r="R4" i="50"/>
  <c r="R244" i="50" s="1"/>
  <c r="AD36" i="50"/>
  <c r="AD31" i="50"/>
  <c r="AE32" i="50" s="1"/>
  <c r="AB66" i="50"/>
  <c r="AB51" i="50"/>
  <c r="AB43" i="50"/>
  <c r="AB21" i="50"/>
  <c r="AB20" i="50"/>
  <c r="H162" i="50"/>
  <c r="H57" i="50"/>
  <c r="AW53" i="50"/>
  <c r="AA49" i="50"/>
  <c r="AA48" i="50"/>
  <c r="AA33" i="50"/>
  <c r="AA32" i="50"/>
  <c r="X45" i="50"/>
  <c r="X44" i="50"/>
  <c r="Y33" i="50"/>
  <c r="Y32" i="50"/>
  <c r="W45" i="50"/>
  <c r="W44" i="50"/>
  <c r="AD47" i="50"/>
  <c r="AE48" i="50" s="1"/>
  <c r="AD24" i="50"/>
  <c r="AD19" i="50"/>
  <c r="AE20" i="50" s="1"/>
  <c r="P108" i="50"/>
  <c r="Q106" i="50"/>
  <c r="P98" i="50"/>
  <c r="R104" i="50"/>
  <c r="S102" i="50"/>
  <c r="AJ77" i="50"/>
  <c r="AL77" i="50"/>
  <c r="V53" i="50"/>
  <c r="V52" i="50"/>
  <c r="AX31" i="50"/>
  <c r="AX33" i="50" s="1"/>
  <c r="AZ207" i="50"/>
  <c r="AZ209" i="50" s="1"/>
  <c r="AE83" i="3"/>
  <c r="AE56" i="3"/>
  <c r="BO80" i="3"/>
  <c r="BO79" i="3" s="1"/>
  <c r="BO83" i="3" s="1"/>
  <c r="BW117" i="3"/>
  <c r="BW128" i="3" s="1"/>
  <c r="BW65" i="3"/>
  <c r="BW41" i="3"/>
  <c r="BM131" i="3"/>
  <c r="BM137" i="3" s="1"/>
  <c r="BM50" i="3"/>
  <c r="BT98" i="3"/>
  <c r="BT82" i="3"/>
  <c r="BM98" i="3"/>
  <c r="BM82" i="3"/>
  <c r="BQ131" i="3"/>
  <c r="BQ137" i="3" s="1"/>
  <c r="BQ50" i="3"/>
  <c r="AQ56" i="3"/>
  <c r="BV80" i="3"/>
  <c r="BV79" i="3" s="1"/>
  <c r="BV83" i="3" s="1"/>
  <c r="BS80" i="3"/>
  <c r="BS79" i="3" s="1"/>
  <c r="BS83" i="3" s="1"/>
  <c r="BY99" i="3"/>
  <c r="BN117" i="3"/>
  <c r="BN128" i="3" s="1"/>
  <c r="BN65" i="3"/>
  <c r="BN67" i="3" s="1"/>
  <c r="BN41" i="3"/>
  <c r="BX98" i="3"/>
  <c r="BX82" i="3"/>
  <c r="BR80" i="3"/>
  <c r="BR79" i="3" s="1"/>
  <c r="BR83" i="3" s="1"/>
  <c r="BP98" i="3"/>
  <c r="BP82" i="3"/>
  <c r="BO117" i="3"/>
  <c r="BO128" i="3" s="1"/>
  <c r="BO65" i="3"/>
  <c r="BO67" i="3" s="1"/>
  <c r="BO41" i="3"/>
  <c r="BU98" i="3"/>
  <c r="BU82" i="3"/>
  <c r="BW80" i="3"/>
  <c r="BW79" i="3" s="1"/>
  <c r="BW83" i="3" s="1"/>
  <c r="BN131" i="3"/>
  <c r="BN137" i="3" s="1"/>
  <c r="BN50" i="3"/>
  <c r="BS117" i="3"/>
  <c r="BS128" i="3" s="1"/>
  <c r="BS65" i="3"/>
  <c r="BS67" i="3" s="1"/>
  <c r="BS41" i="3"/>
  <c r="BQ98" i="3"/>
  <c r="BQ82" i="3"/>
  <c r="BN80" i="3"/>
  <c r="BN79" i="3" s="1"/>
  <c r="BN83" i="3" s="1"/>
  <c r="AT102" i="2"/>
  <c r="BE77" i="2"/>
  <c r="AY6" i="50" l="1"/>
  <c r="BA86" i="50"/>
  <c r="AX51" i="50"/>
  <c r="AX53" i="50" s="1"/>
  <c r="BB86" i="50"/>
  <c r="BB113" i="50"/>
  <c r="BB114" i="50" s="1"/>
  <c r="AM77" i="50"/>
  <c r="AM76" i="50"/>
  <c r="AG33" i="50"/>
  <c r="AG32" i="50"/>
  <c r="AG43" i="50"/>
  <c r="AG20" i="50"/>
  <c r="AG21" i="50"/>
  <c r="AG51" i="50"/>
  <c r="AG48" i="50"/>
  <c r="AG49" i="50"/>
  <c r="BB176" i="50"/>
  <c r="BB177" i="50" s="1"/>
  <c r="AL76" i="50"/>
  <c r="AK76" i="50"/>
  <c r="AO77" i="50"/>
  <c r="BB75" i="50"/>
  <c r="AO76" i="50"/>
  <c r="AP76" i="50"/>
  <c r="BB81" i="50"/>
  <c r="AX43" i="50"/>
  <c r="AX45" i="50" s="1"/>
  <c r="AY31" i="50"/>
  <c r="AE53" i="50"/>
  <c r="AE45" i="50"/>
  <c r="AF53" i="50"/>
  <c r="AF52" i="50"/>
  <c r="AF5" i="50"/>
  <c r="AF4" i="50" s="1"/>
  <c r="AE247" i="50"/>
  <c r="AE5" i="50"/>
  <c r="AE4" i="50" s="1"/>
  <c r="AE93" i="50" s="1"/>
  <c r="AE91" i="50"/>
  <c r="AF44" i="50"/>
  <c r="AF45" i="50"/>
  <c r="AG92" i="50"/>
  <c r="AG6" i="50"/>
  <c r="BD87" i="2"/>
  <c r="BU27" i="3"/>
  <c r="BU87" i="3" s="1"/>
  <c r="BU88" i="3" s="1"/>
  <c r="BW67" i="3"/>
  <c r="BU114" i="3"/>
  <c r="BU143" i="3" s="1"/>
  <c r="AZ210" i="50"/>
  <c r="BF35" i="2"/>
  <c r="BG111" i="3"/>
  <c r="BD132" i="3"/>
  <c r="BY122" i="3"/>
  <c r="BE49" i="3"/>
  <c r="BD112" i="3"/>
  <c r="BE17" i="3"/>
  <c r="BE25" i="3"/>
  <c r="BD122" i="3"/>
  <c r="BD41" i="3"/>
  <c r="BE45" i="3"/>
  <c r="BE35" i="3"/>
  <c r="BD136" i="3"/>
  <c r="BD104" i="3"/>
  <c r="AY98" i="2"/>
  <c r="AY102" i="2"/>
  <c r="AI102" i="2"/>
  <c r="AI98" i="2"/>
  <c r="U96" i="3"/>
  <c r="T114" i="3"/>
  <c r="T143" i="3" s="1"/>
  <c r="AB114" i="3"/>
  <c r="AB143" i="3" s="1"/>
  <c r="AC96" i="3"/>
  <c r="L87" i="3"/>
  <c r="L88" i="3" s="1"/>
  <c r="L56" i="3"/>
  <c r="D96" i="3"/>
  <c r="D27" i="3"/>
  <c r="AF102" i="2"/>
  <c r="AV98" i="2"/>
  <c r="AV96" i="3"/>
  <c r="AV27" i="3"/>
  <c r="H87" i="3"/>
  <c r="H88" i="3" s="1"/>
  <c r="H56" i="3"/>
  <c r="P114" i="3"/>
  <c r="P143" i="3" s="1"/>
  <c r="Q96" i="3"/>
  <c r="AN114" i="3"/>
  <c r="AN143" i="3" s="1"/>
  <c r="AO96" i="3"/>
  <c r="AJ87" i="3"/>
  <c r="AJ88" i="3" s="1"/>
  <c r="AJ56" i="3"/>
  <c r="BU56" i="3" s="1"/>
  <c r="AK96" i="3"/>
  <c r="AJ114" i="3"/>
  <c r="AJ143" i="3" s="1"/>
  <c r="AP9" i="3"/>
  <c r="AP116" i="2"/>
  <c r="AW98" i="2"/>
  <c r="AF96" i="3"/>
  <c r="BT9" i="3"/>
  <c r="AF27" i="3"/>
  <c r="AG98" i="2"/>
  <c r="AH102" i="2"/>
  <c r="AX102" i="2"/>
  <c r="AU98" i="2"/>
  <c r="AU102" i="2"/>
  <c r="T87" i="3"/>
  <c r="T88" i="3" s="1"/>
  <c r="T56" i="3"/>
  <c r="AB87" i="3"/>
  <c r="AB88" i="3" s="1"/>
  <c r="AB56" i="3"/>
  <c r="BS56" i="3" s="1"/>
  <c r="BS96" i="3"/>
  <c r="BS114" i="3" s="1"/>
  <c r="BS143" i="3" s="1"/>
  <c r="BS27" i="3"/>
  <c r="BS87" i="3" s="1"/>
  <c r="BS88" i="3" s="1"/>
  <c r="BY48" i="3"/>
  <c r="L114" i="3"/>
  <c r="L143" i="3" s="1"/>
  <c r="M96" i="3"/>
  <c r="X87" i="3"/>
  <c r="X88" i="3" s="1"/>
  <c r="X56" i="3"/>
  <c r="X114" i="3"/>
  <c r="X143" i="3" s="1"/>
  <c r="Y96" i="3"/>
  <c r="AF98" i="2"/>
  <c r="AV102" i="2"/>
  <c r="H114" i="3"/>
  <c r="H143" i="3" s="1"/>
  <c r="I96" i="3"/>
  <c r="P87" i="3"/>
  <c r="P88" i="3" s="1"/>
  <c r="P56" i="3"/>
  <c r="AN87" i="3"/>
  <c r="AN88" i="3" s="1"/>
  <c r="AN56" i="3"/>
  <c r="AW102" i="2"/>
  <c r="AT98" i="2"/>
  <c r="AG102" i="2"/>
  <c r="BW9" i="3"/>
  <c r="AR96" i="3"/>
  <c r="AR27" i="3"/>
  <c r="AH98" i="2"/>
  <c r="AX98" i="2"/>
  <c r="Y87" i="3"/>
  <c r="Y88" i="3" s="1"/>
  <c r="Y56" i="3"/>
  <c r="AF94" i="2"/>
  <c r="AF95" i="2" s="1"/>
  <c r="H270" i="50"/>
  <c r="H277" i="50" s="1"/>
  <c r="H160" i="50"/>
  <c r="AK73" i="50"/>
  <c r="AJ71" i="50"/>
  <c r="AJ88" i="50" s="1"/>
  <c r="V4" i="50"/>
  <c r="Y247" i="50"/>
  <c r="Y91" i="50"/>
  <c r="Y94" i="50" s="1"/>
  <c r="Y5" i="50"/>
  <c r="AX66" i="50"/>
  <c r="AA247" i="50"/>
  <c r="AA91" i="50"/>
  <c r="AA5" i="50"/>
  <c r="S104" i="50"/>
  <c r="T102" i="50"/>
  <c r="AD49" i="50"/>
  <c r="AD48" i="50"/>
  <c r="AY47" i="50"/>
  <c r="AY49" i="50" s="1"/>
  <c r="AB247" i="50"/>
  <c r="AB91" i="50"/>
  <c r="AB94" i="50" s="1"/>
  <c r="AB5" i="50"/>
  <c r="AD33" i="50"/>
  <c r="AD32" i="50"/>
  <c r="AG186" i="50"/>
  <c r="AG8" i="50"/>
  <c r="Z58" i="50"/>
  <c r="AX58" i="50" s="1"/>
  <c r="AX59" i="50" s="1"/>
  <c r="K60" i="50"/>
  <c r="J56" i="50"/>
  <c r="AI236" i="50"/>
  <c r="AI11" i="50" s="1"/>
  <c r="AJ227" i="50"/>
  <c r="O122" i="50"/>
  <c r="O120" i="50"/>
  <c r="AZ9" i="50"/>
  <c r="Y45" i="50"/>
  <c r="Y44" i="50"/>
  <c r="W94" i="50"/>
  <c r="AA45" i="50"/>
  <c r="AA44" i="50"/>
  <c r="Q108" i="50"/>
  <c r="R106" i="50"/>
  <c r="AV106" i="50" s="1"/>
  <c r="AV108" i="50" s="1"/>
  <c r="Q98" i="50"/>
  <c r="G170" i="50"/>
  <c r="G161" i="50"/>
  <c r="AY33" i="50"/>
  <c r="AC66" i="50"/>
  <c r="AC51" i="50"/>
  <c r="AC43" i="50"/>
  <c r="AC21" i="50"/>
  <c r="AC20" i="50"/>
  <c r="Z45" i="50"/>
  <c r="Z44" i="50"/>
  <c r="BA75" i="50"/>
  <c r="BA77" i="50" s="1"/>
  <c r="N123" i="50"/>
  <c r="N125" i="50"/>
  <c r="AU122" i="50"/>
  <c r="AU125" i="50" s="1"/>
  <c r="N153" i="50"/>
  <c r="I162" i="50"/>
  <c r="I57" i="50"/>
  <c r="AT56" i="50"/>
  <c r="AT57" i="50" s="1"/>
  <c r="AZ239" i="50"/>
  <c r="AZ11" i="50"/>
  <c r="X4" i="50"/>
  <c r="Y53" i="50"/>
  <c r="Y52" i="50"/>
  <c r="AY19" i="50"/>
  <c r="AY21" i="50" s="1"/>
  <c r="AB53" i="50"/>
  <c r="AB52" i="50"/>
  <c r="Z247" i="50"/>
  <c r="Z91" i="50"/>
  <c r="Z94" i="50" s="1"/>
  <c r="Z5" i="50"/>
  <c r="AX5" i="50" s="1"/>
  <c r="U4" i="50"/>
  <c r="AW4" i="50" s="1"/>
  <c r="P119" i="50"/>
  <c r="P110" i="50"/>
  <c r="AD66" i="50"/>
  <c r="AD51" i="50"/>
  <c r="AE52" i="50" s="1"/>
  <c r="AD43" i="50"/>
  <c r="AE44" i="50" s="1"/>
  <c r="AD21" i="50"/>
  <c r="AD20" i="50"/>
  <c r="AB45" i="50"/>
  <c r="AB44" i="50"/>
  <c r="AG240" i="50"/>
  <c r="AC49" i="50"/>
  <c r="AC48" i="50"/>
  <c r="Z53" i="50"/>
  <c r="Z52" i="50"/>
  <c r="AJ207" i="50"/>
  <c r="AZ88" i="50"/>
  <c r="AZ6" i="50"/>
  <c r="AW5" i="50"/>
  <c r="AW3" i="50" s="1"/>
  <c r="W4" i="50"/>
  <c r="AC33" i="50"/>
  <c r="AC32" i="50"/>
  <c r="AV4" i="50"/>
  <c r="AA53" i="50"/>
  <c r="AA52" i="50"/>
  <c r="AZ173" i="50"/>
  <c r="AZ174" i="50" s="1"/>
  <c r="BP80" i="3"/>
  <c r="BP79" i="3" s="1"/>
  <c r="BP83" i="3" s="1"/>
  <c r="BE12" i="3"/>
  <c r="BE62" i="2" s="1"/>
  <c r="BQ80" i="3"/>
  <c r="BQ79" i="3" s="1"/>
  <c r="BQ83" i="3" s="1"/>
  <c r="BU80" i="3"/>
  <c r="BU79" i="3" s="1"/>
  <c r="BU83" i="3" s="1"/>
  <c r="BX80" i="3"/>
  <c r="BX79" i="3" s="1"/>
  <c r="BX83" i="3" s="1"/>
  <c r="BT80" i="3"/>
  <c r="BT79" i="3" s="1"/>
  <c r="BT83" i="3" s="1"/>
  <c r="BM80" i="3"/>
  <c r="BM79" i="3" s="1"/>
  <c r="BM83" i="3" s="1"/>
  <c r="BN116" i="2"/>
  <c r="BF77" i="2"/>
  <c r="BM116" i="2"/>
  <c r="AI264" i="50" l="1"/>
  <c r="AG44" i="50"/>
  <c r="AG45" i="50"/>
  <c r="AG52" i="50"/>
  <c r="AG53" i="50"/>
  <c r="BB77" i="50"/>
  <c r="AE94" i="50"/>
  <c r="AY43" i="50"/>
  <c r="AY45" i="50" s="1"/>
  <c r="BE11" i="2"/>
  <c r="BE87" i="2" s="1"/>
  <c r="BE69" i="2"/>
  <c r="BE65" i="2"/>
  <c r="BG35" i="2"/>
  <c r="BH35" i="2" s="1"/>
  <c r="BE132" i="3"/>
  <c r="BE104" i="3"/>
  <c r="BE136" i="3"/>
  <c r="BF17" i="3"/>
  <c r="BF25" i="3"/>
  <c r="BE112" i="3"/>
  <c r="BF49" i="3"/>
  <c r="BE41" i="3"/>
  <c r="BF45" i="3"/>
  <c r="BE122" i="3"/>
  <c r="BD128" i="3"/>
  <c r="BF35" i="3"/>
  <c r="BF41" i="3" s="1"/>
  <c r="BW116" i="2"/>
  <c r="W9" i="3"/>
  <c r="W116" i="2"/>
  <c r="BQ116" i="2"/>
  <c r="BS116" i="2"/>
  <c r="BU116" i="2"/>
  <c r="G9" i="3"/>
  <c r="G116" i="2"/>
  <c r="AA9" i="3"/>
  <c r="AA116" i="2"/>
  <c r="BT116" i="2"/>
  <c r="BR116" i="2"/>
  <c r="K9" i="3"/>
  <c r="K116" i="2"/>
  <c r="O9" i="3"/>
  <c r="O116" i="2"/>
  <c r="BX9" i="3"/>
  <c r="BX116" i="2"/>
  <c r="BV116" i="2"/>
  <c r="AR87" i="3"/>
  <c r="AR88" i="3" s="1"/>
  <c r="AR56" i="3"/>
  <c r="BW56" i="3" s="1"/>
  <c r="BW96" i="3"/>
  <c r="BW114" i="3" s="1"/>
  <c r="BW143" i="3" s="1"/>
  <c r="BW27" i="3"/>
  <c r="BW87" i="3" s="1"/>
  <c r="BW88" i="3" s="1"/>
  <c r="Z96" i="3"/>
  <c r="Y114" i="3"/>
  <c r="Y143" i="3" s="1"/>
  <c r="M114" i="3"/>
  <c r="M143" i="3" s="1"/>
  <c r="N96" i="3"/>
  <c r="BT96" i="3"/>
  <c r="BT114" i="3" s="1"/>
  <c r="BT143" i="3" s="1"/>
  <c r="BT27" i="3"/>
  <c r="BT87" i="3" s="1"/>
  <c r="BT88" i="3" s="1"/>
  <c r="AP27" i="3"/>
  <c r="BV9" i="3"/>
  <c r="AP96" i="3"/>
  <c r="AO114" i="3"/>
  <c r="AO143" i="3" s="1"/>
  <c r="AV114" i="3"/>
  <c r="AV143" i="3" s="1"/>
  <c r="AW96" i="3"/>
  <c r="BE48" i="3"/>
  <c r="BE50" i="3" s="1"/>
  <c r="AC114" i="3"/>
  <c r="AC143" i="3" s="1"/>
  <c r="AD96" i="3"/>
  <c r="S9" i="3"/>
  <c r="S116" i="2"/>
  <c r="AR114" i="3"/>
  <c r="AR143" i="3" s="1"/>
  <c r="AS96" i="3"/>
  <c r="J96" i="3"/>
  <c r="I114" i="3"/>
  <c r="I143" i="3" s="1"/>
  <c r="BY135" i="3"/>
  <c r="BY137" i="3" s="1"/>
  <c r="BY50" i="3"/>
  <c r="AF87" i="3"/>
  <c r="AF88" i="3" s="1"/>
  <c r="AF56" i="3"/>
  <c r="BT56" i="3" s="1"/>
  <c r="AF114" i="3"/>
  <c r="AF143" i="3" s="1"/>
  <c r="AG96" i="3"/>
  <c r="AS102" i="2"/>
  <c r="AS98" i="2"/>
  <c r="AR98" i="2"/>
  <c r="AQ102" i="2"/>
  <c r="AP98" i="2"/>
  <c r="AR102" i="2"/>
  <c r="AQ98" i="2"/>
  <c r="AP102" i="2"/>
  <c r="AL96" i="3"/>
  <c r="AK114" i="3"/>
  <c r="AK143" i="3" s="1"/>
  <c r="R96" i="3"/>
  <c r="Q114" i="3"/>
  <c r="Q143" i="3" s="1"/>
  <c r="AV87" i="3"/>
  <c r="AV88" i="3" s="1"/>
  <c r="AV56" i="3"/>
  <c r="BX56" i="3" s="1"/>
  <c r="D87" i="3"/>
  <c r="D88" i="3" s="1"/>
  <c r="D56" i="3"/>
  <c r="E96" i="3"/>
  <c r="D114" i="3"/>
  <c r="D143" i="3" s="1"/>
  <c r="D144" i="3" s="1"/>
  <c r="D147" i="3" s="1"/>
  <c r="BD50" i="3"/>
  <c r="V96" i="3"/>
  <c r="U114" i="3"/>
  <c r="U143" i="3" s="1"/>
  <c r="AG94" i="2"/>
  <c r="AG95" i="2" s="1"/>
  <c r="AD53" i="50"/>
  <c r="AD52" i="50"/>
  <c r="AB4" i="50"/>
  <c r="AJ92" i="50"/>
  <c r="AJ6" i="50"/>
  <c r="AJ210" i="50"/>
  <c r="AJ9" i="50" s="1"/>
  <c r="BE35" i="43" s="1"/>
  <c r="AJ209" i="50"/>
  <c r="AK207" i="50"/>
  <c r="AD247" i="50"/>
  <c r="AD91" i="50"/>
  <c r="AD5" i="50"/>
  <c r="AC53" i="50"/>
  <c r="AC52" i="50"/>
  <c r="AJ173" i="50"/>
  <c r="AL73" i="50"/>
  <c r="AM73" i="50" s="1"/>
  <c r="AK71" i="50"/>
  <c r="AK88" i="50" s="1"/>
  <c r="N155" i="50"/>
  <c r="N154" i="50"/>
  <c r="N157" i="50"/>
  <c r="AU153" i="50"/>
  <c r="AC45" i="50"/>
  <c r="AC44" i="50"/>
  <c r="S106" i="50"/>
  <c r="R108" i="50"/>
  <c r="R98" i="50"/>
  <c r="BY35" i="43"/>
  <c r="K56" i="50"/>
  <c r="L60" i="50"/>
  <c r="AA94" i="50"/>
  <c r="AY51" i="50"/>
  <c r="AY53" i="50" s="1"/>
  <c r="AX3" i="50"/>
  <c r="AC247" i="50"/>
  <c r="AC91" i="50"/>
  <c r="AC5" i="50"/>
  <c r="AI239" i="50"/>
  <c r="AI240" i="50" s="1"/>
  <c r="AI238" i="50"/>
  <c r="AI237" i="50"/>
  <c r="AA58" i="50"/>
  <c r="AA4" i="50"/>
  <c r="H161" i="50"/>
  <c r="H170" i="50"/>
  <c r="AJ236" i="50"/>
  <c r="AK227" i="50"/>
  <c r="AD45" i="50"/>
  <c r="AD44" i="50"/>
  <c r="P120" i="50"/>
  <c r="P122" i="50"/>
  <c r="Z4" i="50"/>
  <c r="I270" i="50"/>
  <c r="I277" i="50" s="1"/>
  <c r="I160" i="50"/>
  <c r="Q119" i="50"/>
  <c r="Q110" i="50"/>
  <c r="AV98" i="50"/>
  <c r="AX91" i="50"/>
  <c r="O125" i="50"/>
  <c r="O123" i="50"/>
  <c r="O153" i="50"/>
  <c r="J162" i="50"/>
  <c r="AT162" i="50" s="1"/>
  <c r="J57" i="50"/>
  <c r="AZ182" i="50"/>
  <c r="AZ184" i="50" s="1"/>
  <c r="U102" i="50"/>
  <c r="T104" i="50"/>
  <c r="AY66" i="50"/>
  <c r="Y4" i="50"/>
  <c r="BF12" i="3"/>
  <c r="BF62" i="2" s="1"/>
  <c r="BE99" i="3"/>
  <c r="BG35" i="3"/>
  <c r="BG77" i="2"/>
  <c r="BP116" i="2"/>
  <c r="BO116" i="2"/>
  <c r="BF69" i="2" l="1"/>
  <c r="AN73" i="50"/>
  <c r="AM71" i="50"/>
  <c r="BI35" i="2"/>
  <c r="BH26" i="3"/>
  <c r="AY91" i="50"/>
  <c r="AY5" i="50"/>
  <c r="AX4" i="50"/>
  <c r="BY55" i="43"/>
  <c r="AZ8" i="50"/>
  <c r="BF11" i="2"/>
  <c r="BF87" i="2" s="1"/>
  <c r="BF65" i="2"/>
  <c r="BG11" i="2"/>
  <c r="BH11" i="2" s="1"/>
  <c r="BZ35" i="2"/>
  <c r="BF132" i="3"/>
  <c r="BF104" i="3"/>
  <c r="BG41" i="3"/>
  <c r="BZ35" i="3"/>
  <c r="BF112" i="3"/>
  <c r="BF136" i="3"/>
  <c r="BF122" i="3"/>
  <c r="BE128" i="3"/>
  <c r="BG45" i="3"/>
  <c r="BZ45" i="3" s="1"/>
  <c r="BZ132" i="3" s="1"/>
  <c r="BG49" i="3"/>
  <c r="BZ49" i="3" s="1"/>
  <c r="BZ136" i="3" s="1"/>
  <c r="BG17" i="3"/>
  <c r="BZ17" i="3" s="1"/>
  <c r="BZ104" i="3" s="1"/>
  <c r="BG25" i="3"/>
  <c r="BZ25" i="3" s="1"/>
  <c r="BZ112" i="3" s="1"/>
  <c r="R102" i="2"/>
  <c r="R98" i="2"/>
  <c r="O102" i="2"/>
  <c r="P102" i="2"/>
  <c r="Q102" i="2"/>
  <c r="O98" i="2"/>
  <c r="P98" i="2"/>
  <c r="Q98" i="2"/>
  <c r="AD102" i="2"/>
  <c r="AD98" i="2"/>
  <c r="AC102" i="2"/>
  <c r="AC98" i="2"/>
  <c r="AA102" i="2"/>
  <c r="AB102" i="2"/>
  <c r="AB98" i="2"/>
  <c r="AA98" i="2"/>
  <c r="J102" i="2"/>
  <c r="J98" i="2"/>
  <c r="I98" i="2"/>
  <c r="H102" i="2"/>
  <c r="I102" i="2"/>
  <c r="H98" i="2"/>
  <c r="G98" i="2"/>
  <c r="G102" i="2"/>
  <c r="BE135" i="3"/>
  <c r="BD137" i="3"/>
  <c r="F96" i="3"/>
  <c r="E114" i="3"/>
  <c r="E143" i="3" s="1"/>
  <c r="E144" i="3" s="1"/>
  <c r="E147" i="3" s="1"/>
  <c r="AH96" i="3"/>
  <c r="AG114" i="3"/>
  <c r="AG143" i="3" s="1"/>
  <c r="J114" i="3"/>
  <c r="J143" i="3" s="1"/>
  <c r="K96" i="3"/>
  <c r="K114" i="3" s="1"/>
  <c r="K143" i="3" s="1"/>
  <c r="AS114" i="3"/>
  <c r="AS143" i="3" s="1"/>
  <c r="AT96" i="3"/>
  <c r="AD114" i="3"/>
  <c r="AD143" i="3" s="1"/>
  <c r="AE96" i="3"/>
  <c r="AE114" i="3" s="1"/>
  <c r="AE143" i="3" s="1"/>
  <c r="AX96" i="3"/>
  <c r="AW114" i="3"/>
  <c r="AW143" i="3" s="1"/>
  <c r="BV96" i="3"/>
  <c r="BV114" i="3" s="1"/>
  <c r="BV143" i="3" s="1"/>
  <c r="BV27" i="3"/>
  <c r="BV87" i="3" s="1"/>
  <c r="BV88" i="3" s="1"/>
  <c r="O27" i="3"/>
  <c r="BO9" i="3"/>
  <c r="K27" i="3"/>
  <c r="BN9" i="3"/>
  <c r="AA27" i="3"/>
  <c r="BR9" i="3"/>
  <c r="W27" i="3"/>
  <c r="BQ9" i="3"/>
  <c r="N102" i="2"/>
  <c r="N98" i="2"/>
  <c r="M102" i="2"/>
  <c r="K98" i="2"/>
  <c r="L102" i="2"/>
  <c r="M98" i="2"/>
  <c r="K102" i="2"/>
  <c r="L98" i="2"/>
  <c r="Z102" i="2"/>
  <c r="Z98" i="2"/>
  <c r="W98" i="2"/>
  <c r="Y102" i="2"/>
  <c r="X98" i="2"/>
  <c r="W102" i="2"/>
  <c r="Y98" i="2"/>
  <c r="X102" i="2"/>
  <c r="V102" i="2"/>
  <c r="V98" i="2"/>
  <c r="S98" i="2"/>
  <c r="U98" i="2"/>
  <c r="T98" i="2"/>
  <c r="S102" i="2"/>
  <c r="U102" i="2"/>
  <c r="T102" i="2"/>
  <c r="W96" i="3"/>
  <c r="W114" i="3" s="1"/>
  <c r="W143" i="3" s="1"/>
  <c r="V114" i="3"/>
  <c r="V143" i="3" s="1"/>
  <c r="D57" i="3"/>
  <c r="S96" i="3"/>
  <c r="S114" i="3" s="1"/>
  <c r="S143" i="3" s="1"/>
  <c r="R114" i="3"/>
  <c r="R143" i="3" s="1"/>
  <c r="AL114" i="3"/>
  <c r="AL143" i="3" s="1"/>
  <c r="AM96" i="3"/>
  <c r="AM114" i="3" s="1"/>
  <c r="AM143" i="3" s="1"/>
  <c r="S27" i="3"/>
  <c r="BP9" i="3"/>
  <c r="BF48" i="3"/>
  <c r="AP114" i="3"/>
  <c r="AP143" i="3" s="1"/>
  <c r="AQ96" i="3"/>
  <c r="AQ114" i="3" s="1"/>
  <c r="AQ143" i="3" s="1"/>
  <c r="AP87" i="3"/>
  <c r="AP88" i="3" s="1"/>
  <c r="AP56" i="3"/>
  <c r="BV56" i="3" s="1"/>
  <c r="O96" i="3"/>
  <c r="O114" i="3" s="1"/>
  <c r="O143" i="3" s="1"/>
  <c r="N114" i="3"/>
  <c r="N143" i="3" s="1"/>
  <c r="AA96" i="3"/>
  <c r="AA114" i="3" s="1"/>
  <c r="AA143" i="3" s="1"/>
  <c r="Z114" i="3"/>
  <c r="Z143" i="3" s="1"/>
  <c r="BX96" i="3"/>
  <c r="BX114" i="3" s="1"/>
  <c r="BX143" i="3" s="1"/>
  <c r="BX27" i="3"/>
  <c r="BX87" i="3" s="1"/>
  <c r="BX88" i="3" s="1"/>
  <c r="G27" i="3"/>
  <c r="BM9" i="3"/>
  <c r="AH94" i="2"/>
  <c r="AK236" i="50"/>
  <c r="AL227" i="50"/>
  <c r="M60" i="50"/>
  <c r="L56" i="50"/>
  <c r="AK173" i="50"/>
  <c r="AJ182" i="50"/>
  <c r="AJ239" i="50"/>
  <c r="AJ238" i="50"/>
  <c r="AJ237" i="50"/>
  <c r="AJ11" i="50"/>
  <c r="BE55" i="43" s="1"/>
  <c r="BY25" i="43"/>
  <c r="K162" i="50"/>
  <c r="K57" i="50"/>
  <c r="AU155" i="50"/>
  <c r="AK92" i="50"/>
  <c r="AK6" i="50"/>
  <c r="BY57" i="43"/>
  <c r="BE37" i="43"/>
  <c r="AV100" i="50"/>
  <c r="AV110" i="50"/>
  <c r="R110" i="50"/>
  <c r="R119" i="50"/>
  <c r="J270" i="50"/>
  <c r="J277" i="50" s="1"/>
  <c r="J160" i="50"/>
  <c r="I161" i="50"/>
  <c r="I170" i="50"/>
  <c r="P125" i="50"/>
  <c r="P123" i="50"/>
  <c r="P153" i="50"/>
  <c r="AZ39" i="50"/>
  <c r="AZ41" i="50" s="1"/>
  <c r="AZ27" i="50"/>
  <c r="AZ29" i="50" s="1"/>
  <c r="AB58" i="50"/>
  <c r="AC4" i="50"/>
  <c r="AC93" i="50" s="1"/>
  <c r="S108" i="50"/>
  <c r="T106" i="50"/>
  <c r="S98" i="50"/>
  <c r="AL71" i="50"/>
  <c r="AL88" i="50" s="1"/>
  <c r="BA73" i="50"/>
  <c r="AK210" i="50"/>
  <c r="AL207" i="50"/>
  <c r="AM207" i="50" s="1"/>
  <c r="AK209" i="50"/>
  <c r="V102" i="50"/>
  <c r="U104" i="50"/>
  <c r="O155" i="50"/>
  <c r="O154" i="50"/>
  <c r="O7" i="50"/>
  <c r="O157" i="50"/>
  <c r="Q122" i="50"/>
  <c r="Q120" i="50"/>
  <c r="AZ185" i="50"/>
  <c r="BY37" i="43"/>
  <c r="AD4" i="50"/>
  <c r="AD93" i="50" s="1"/>
  <c r="AD94" i="50" s="1"/>
  <c r="BF99" i="3"/>
  <c r="BG12" i="3"/>
  <c r="BZ77" i="2"/>
  <c r="BE36" i="43" l="1"/>
  <c r="AL236" i="50"/>
  <c r="BA236" i="50" s="1"/>
  <c r="BA238" i="50" s="1"/>
  <c r="AM227" i="50"/>
  <c r="AM209" i="50"/>
  <c r="AM210" i="50"/>
  <c r="AN207" i="50"/>
  <c r="AM88" i="50"/>
  <c r="AN71" i="50"/>
  <c r="AN88" i="50" s="1"/>
  <c r="AO73" i="50"/>
  <c r="BZ12" i="3"/>
  <c r="BH12" i="3"/>
  <c r="BI11" i="2"/>
  <c r="BH87" i="2"/>
  <c r="BH113" i="3"/>
  <c r="BJ35" i="2"/>
  <c r="BI26" i="3"/>
  <c r="BG104" i="3"/>
  <c r="BA227" i="50"/>
  <c r="BA228" i="50" s="1"/>
  <c r="BG62" i="2"/>
  <c r="BG69" i="2"/>
  <c r="BZ11" i="2"/>
  <c r="BG87" i="2"/>
  <c r="BG136" i="3"/>
  <c r="BG112" i="3"/>
  <c r="AH95" i="2"/>
  <c r="BG132" i="3"/>
  <c r="BZ122" i="3"/>
  <c r="BZ128" i="3" s="1"/>
  <c r="BZ41" i="3"/>
  <c r="BG122" i="3"/>
  <c r="BG128" i="3" s="1"/>
  <c r="BF128" i="3"/>
  <c r="G87" i="3"/>
  <c r="G88" i="3" s="1"/>
  <c r="G56" i="3"/>
  <c r="BM56" i="3" s="1"/>
  <c r="BM57" i="3" s="1"/>
  <c r="BX89" i="3"/>
  <c r="BG48" i="3"/>
  <c r="BG50" i="3" s="1"/>
  <c r="S87" i="3"/>
  <c r="S88" i="3" s="1"/>
  <c r="S56" i="3"/>
  <c r="BP56" i="3" s="1"/>
  <c r="D60" i="3"/>
  <c r="E54" i="3"/>
  <c r="E57" i="3" s="1"/>
  <c r="BQ96" i="3"/>
  <c r="BQ114" i="3" s="1"/>
  <c r="BQ143" i="3" s="1"/>
  <c r="BQ27" i="3"/>
  <c r="BQ87" i="3" s="1"/>
  <c r="BQ88" i="3" s="1"/>
  <c r="BR96" i="3"/>
  <c r="BR114" i="3" s="1"/>
  <c r="BR143" i="3" s="1"/>
  <c r="BR27" i="3"/>
  <c r="BR87" i="3" s="1"/>
  <c r="BR88" i="3" s="1"/>
  <c r="BN96" i="3"/>
  <c r="BN114" i="3" s="1"/>
  <c r="BN143" i="3" s="1"/>
  <c r="BN27" i="3"/>
  <c r="BN87" i="3" s="1"/>
  <c r="BN88" i="3" s="1"/>
  <c r="BO96" i="3"/>
  <c r="BO114" i="3" s="1"/>
  <c r="BO143" i="3" s="1"/>
  <c r="BO27" i="3"/>
  <c r="BO87" i="3" s="1"/>
  <c r="BO88" i="3" s="1"/>
  <c r="AY96" i="3"/>
  <c r="AY114" i="3" s="1"/>
  <c r="AY143" i="3" s="1"/>
  <c r="AX114" i="3"/>
  <c r="AX143" i="3" s="1"/>
  <c r="AH114" i="3"/>
  <c r="AH143" i="3" s="1"/>
  <c r="AI96" i="3"/>
  <c r="AI114" i="3" s="1"/>
  <c r="AI143" i="3" s="1"/>
  <c r="F114" i="3"/>
  <c r="F143" i="3" s="1"/>
  <c r="F144" i="3" s="1"/>
  <c r="F147" i="3" s="1"/>
  <c r="G96" i="3"/>
  <c r="G114" i="3" s="1"/>
  <c r="G143" i="3" s="1"/>
  <c r="G144" i="3" s="1"/>
  <c r="BF135" i="3"/>
  <c r="BE137" i="3"/>
  <c r="BM96" i="3"/>
  <c r="BM114" i="3" s="1"/>
  <c r="BM143" i="3" s="1"/>
  <c r="BM144" i="3" s="1"/>
  <c r="BM27" i="3"/>
  <c r="BM87" i="3" s="1"/>
  <c r="BM88" i="3" s="1"/>
  <c r="BF50" i="3"/>
  <c r="BP96" i="3"/>
  <c r="BP114" i="3" s="1"/>
  <c r="BP143" i="3" s="1"/>
  <c r="BP27" i="3"/>
  <c r="BP87" i="3" s="1"/>
  <c r="BP88" i="3" s="1"/>
  <c r="W87" i="3"/>
  <c r="W88" i="3" s="1"/>
  <c r="W56" i="3"/>
  <c r="BQ56" i="3" s="1"/>
  <c r="AA87" i="3"/>
  <c r="AA88" i="3" s="1"/>
  <c r="AA56" i="3"/>
  <c r="BR56" i="3" s="1"/>
  <c r="K87" i="3"/>
  <c r="K88" i="3" s="1"/>
  <c r="K56" i="3"/>
  <c r="BN56" i="3" s="1"/>
  <c r="O87" i="3"/>
  <c r="O88" i="3" s="1"/>
  <c r="O56" i="3"/>
  <c r="BO56" i="3" s="1"/>
  <c r="AU96" i="3"/>
  <c r="AU114" i="3" s="1"/>
  <c r="AU143" i="3" s="1"/>
  <c r="AT114" i="3"/>
  <c r="AT143" i="3" s="1"/>
  <c r="AI94" i="2"/>
  <c r="AI95" i="2" s="1"/>
  <c r="Q125" i="50"/>
  <c r="Q123" i="50"/>
  <c r="Q153" i="50"/>
  <c r="P155" i="50"/>
  <c r="P154" i="50"/>
  <c r="P7" i="50"/>
  <c r="P14" i="50" s="1"/>
  <c r="P15" i="50" s="1"/>
  <c r="P157" i="50"/>
  <c r="AK9" i="50"/>
  <c r="AG66" i="50"/>
  <c r="AG247" i="50" s="1"/>
  <c r="AL92" i="50"/>
  <c r="AL6" i="50"/>
  <c r="BA6" i="50" s="1"/>
  <c r="BA88" i="50"/>
  <c r="AC58" i="50"/>
  <c r="J170" i="50"/>
  <c r="J161" i="50"/>
  <c r="BE57" i="43"/>
  <c r="BE56" i="43"/>
  <c r="AJ240" i="50"/>
  <c r="AJ185" i="50"/>
  <c r="AJ186" i="50" s="1"/>
  <c r="AJ184" i="50"/>
  <c r="AJ183" i="50"/>
  <c r="AJ8" i="50"/>
  <c r="BE25" i="43" s="1"/>
  <c r="AZ31" i="50"/>
  <c r="AZ33" i="50" s="1"/>
  <c r="V104" i="50"/>
  <c r="W102" i="50"/>
  <c r="S110" i="50"/>
  <c r="S119" i="50"/>
  <c r="AY4" i="50"/>
  <c r="AF91" i="50"/>
  <c r="K270" i="50"/>
  <c r="K277" i="50" s="1"/>
  <c r="K160" i="50"/>
  <c r="BY27" i="43"/>
  <c r="AK182" i="50"/>
  <c r="AL173" i="50"/>
  <c r="AM173" i="50" s="1"/>
  <c r="AK239" i="50"/>
  <c r="AK240" i="50" s="1"/>
  <c r="AK238" i="50"/>
  <c r="AK237" i="50"/>
  <c r="AK11" i="50"/>
  <c r="M56" i="50"/>
  <c r="N60" i="50"/>
  <c r="O14" i="50"/>
  <c r="AW102" i="50"/>
  <c r="AW104" i="50" s="1"/>
  <c r="AL209" i="50"/>
  <c r="AL210" i="50"/>
  <c r="AL9" i="50" s="1"/>
  <c r="BG35" i="43" s="1"/>
  <c r="BA207" i="50"/>
  <c r="BA209" i="50" s="1"/>
  <c r="AZ23" i="50"/>
  <c r="AZ25" i="50" s="1"/>
  <c r="T108" i="50"/>
  <c r="U106" i="50"/>
  <c r="T98" i="50"/>
  <c r="AZ35" i="50"/>
  <c r="AZ37" i="50" s="1"/>
  <c r="AC94" i="50"/>
  <c r="AY93" i="50"/>
  <c r="R122" i="50"/>
  <c r="AV122" i="50" s="1"/>
  <c r="AV125" i="50" s="1"/>
  <c r="R120" i="50"/>
  <c r="BA71" i="50"/>
  <c r="L162" i="50"/>
  <c r="L57" i="50"/>
  <c r="AV119" i="50"/>
  <c r="BG99" i="3"/>
  <c r="BZ99" i="3" l="1"/>
  <c r="BH62" i="2"/>
  <c r="BH65" i="2" s="1"/>
  <c r="AL237" i="50"/>
  <c r="AL238" i="50"/>
  <c r="AL239" i="50"/>
  <c r="AL240" i="50" s="1"/>
  <c r="AL11" i="50"/>
  <c r="BG55" i="43" s="1"/>
  <c r="BG57" i="43" s="1"/>
  <c r="AN227" i="50"/>
  <c r="AM236" i="50"/>
  <c r="AM9" i="50"/>
  <c r="AN209" i="50"/>
  <c r="AO207" i="50"/>
  <c r="AN210" i="50"/>
  <c r="AN9" i="50" s="1"/>
  <c r="BI35" i="43" s="1"/>
  <c r="AN173" i="50"/>
  <c r="AM182" i="50"/>
  <c r="AN92" i="50"/>
  <c r="AN6" i="50"/>
  <c r="AM92" i="50"/>
  <c r="AM6" i="50"/>
  <c r="AO71" i="50"/>
  <c r="AO88" i="50" s="1"/>
  <c r="AP73" i="50"/>
  <c r="AP71" i="50" s="1"/>
  <c r="AP88" i="50" s="1"/>
  <c r="BH99" i="3"/>
  <c r="BI12" i="3"/>
  <c r="BJ12" i="3" s="1"/>
  <c r="BK12" i="3" s="1"/>
  <c r="BI113" i="3"/>
  <c r="BZ69" i="2"/>
  <c r="BH69" i="2"/>
  <c r="BI69" i="2" s="1"/>
  <c r="BJ69" i="2" s="1"/>
  <c r="BK69" i="2" s="1"/>
  <c r="CA69" i="2" s="1"/>
  <c r="CB69" i="2" s="1"/>
  <c r="BK35" i="2"/>
  <c r="BJ26" i="3"/>
  <c r="BI87" i="2"/>
  <c r="BJ11" i="2"/>
  <c r="BZ62" i="2"/>
  <c r="BG65" i="2"/>
  <c r="BZ48" i="3"/>
  <c r="BZ135" i="3" s="1"/>
  <c r="BZ137" i="3" s="1"/>
  <c r="G147" i="3"/>
  <c r="H141" i="3"/>
  <c r="E60" i="3"/>
  <c r="F54" i="3"/>
  <c r="F57" i="3" s="1"/>
  <c r="BN54" i="3"/>
  <c r="BN57" i="3" s="1"/>
  <c r="BM60" i="3"/>
  <c r="BM147" i="3"/>
  <c r="BN141" i="3"/>
  <c r="BN144" i="3" s="1"/>
  <c r="BG135" i="3"/>
  <c r="BG137" i="3" s="1"/>
  <c r="BF137" i="3"/>
  <c r="AJ94" i="2"/>
  <c r="AJ95" i="2" s="1"/>
  <c r="O15" i="50"/>
  <c r="O16" i="50"/>
  <c r="R123" i="50"/>
  <c r="R125" i="50"/>
  <c r="R153" i="50"/>
  <c r="AZ66" i="50"/>
  <c r="AZ51" i="50"/>
  <c r="AZ53" i="50" s="1"/>
  <c r="AZ43" i="50"/>
  <c r="AZ45" i="50" s="1"/>
  <c r="AG91" i="50"/>
  <c r="AG5" i="50"/>
  <c r="BF35" i="43"/>
  <c r="BA9" i="50"/>
  <c r="Q155" i="50"/>
  <c r="Q154" i="50"/>
  <c r="Q7" i="50"/>
  <c r="Q157" i="50"/>
  <c r="N56" i="50"/>
  <c r="AU56" i="50" s="1"/>
  <c r="AU57" i="50" s="1"/>
  <c r="O60" i="50"/>
  <c r="K170" i="50"/>
  <c r="K161" i="50"/>
  <c r="BE26" i="43"/>
  <c r="BE27" i="43"/>
  <c r="AJ27" i="50"/>
  <c r="T119" i="50"/>
  <c r="T110" i="50"/>
  <c r="M162" i="50"/>
  <c r="M57" i="50"/>
  <c r="U108" i="50"/>
  <c r="V106" i="50"/>
  <c r="AW106" i="50" s="1"/>
  <c r="AW108" i="50" s="1"/>
  <c r="U98" i="50"/>
  <c r="BF55" i="43"/>
  <c r="S122" i="50"/>
  <c r="S120" i="50"/>
  <c r="AJ23" i="50"/>
  <c r="AZ19" i="50"/>
  <c r="AZ21" i="50" s="1"/>
  <c r="BG37" i="43"/>
  <c r="AK185" i="50"/>
  <c r="AK184" i="50"/>
  <c r="AK183" i="50"/>
  <c r="AK8" i="50"/>
  <c r="BF25" i="43" s="1"/>
  <c r="AJ35" i="50"/>
  <c r="BA210" i="50"/>
  <c r="AU60" i="50"/>
  <c r="AU61" i="50" s="1"/>
  <c r="L270" i="50"/>
  <c r="L277" i="50" s="1"/>
  <c r="L160" i="50"/>
  <c r="AJ39" i="50"/>
  <c r="AL182" i="50"/>
  <c r="BA182" i="50" s="1"/>
  <c r="BA184" i="50" s="1"/>
  <c r="BA173" i="50"/>
  <c r="BA174" i="50" s="1"/>
  <c r="W104" i="50"/>
  <c r="X102" i="50"/>
  <c r="AD58" i="50"/>
  <c r="AE58" i="50" s="1"/>
  <c r="P16" i="50"/>
  <c r="AZ47" i="50"/>
  <c r="AZ49" i="50" s="1"/>
  <c r="BA239" i="50" l="1"/>
  <c r="BA11" i="50"/>
  <c r="BJ113" i="3"/>
  <c r="AM11" i="50"/>
  <c r="AM239" i="50"/>
  <c r="AM238" i="50"/>
  <c r="AM237" i="50"/>
  <c r="AN236" i="50"/>
  <c r="AO227" i="50"/>
  <c r="BI37" i="43"/>
  <c r="AO209" i="50"/>
  <c r="AP207" i="50"/>
  <c r="BB207" i="50" s="1"/>
  <c r="BB209" i="50" s="1"/>
  <c r="AO210" i="50"/>
  <c r="BH35" i="43"/>
  <c r="AM8" i="50"/>
  <c r="AM184" i="50"/>
  <c r="AM183" i="50"/>
  <c r="AM185" i="50"/>
  <c r="AO173" i="50"/>
  <c r="AN182" i="50"/>
  <c r="BB88" i="50"/>
  <c r="BB73" i="50"/>
  <c r="AP6" i="50"/>
  <c r="AP92" i="50"/>
  <c r="AO6" i="50"/>
  <c r="AO92" i="50"/>
  <c r="BB71" i="50"/>
  <c r="BI62" i="2"/>
  <c r="BJ62" i="2" s="1"/>
  <c r="CA12" i="3"/>
  <c r="CB12" i="3" s="1"/>
  <c r="CB99" i="3" s="1"/>
  <c r="BI99" i="3"/>
  <c r="BJ99" i="3" s="1"/>
  <c r="BK99" i="3" s="1"/>
  <c r="BK26" i="3"/>
  <c r="CA35" i="2"/>
  <c r="CB35" i="2" s="1"/>
  <c r="CB26" i="3" s="1"/>
  <c r="CB113" i="3" s="1"/>
  <c r="BK11" i="2"/>
  <c r="BJ87" i="2"/>
  <c r="AF58" i="50"/>
  <c r="AG58" i="50" s="1"/>
  <c r="AY58" i="50"/>
  <c r="AY59" i="50" s="1"/>
  <c r="BG56" i="43"/>
  <c r="BG36" i="43"/>
  <c r="BZ50" i="3"/>
  <c r="BZ35" i="43"/>
  <c r="BZ37" i="43" s="1"/>
  <c r="BZ65" i="2"/>
  <c r="BO54" i="3"/>
  <c r="BO57" i="3" s="1"/>
  <c r="BN60" i="3"/>
  <c r="BO141" i="3"/>
  <c r="BO144" i="3" s="1"/>
  <c r="BN147" i="3"/>
  <c r="G54" i="3"/>
  <c r="G57" i="3" s="1"/>
  <c r="F60" i="3"/>
  <c r="J141" i="3"/>
  <c r="J144" i="3" s="1"/>
  <c r="J147" i="3" s="1"/>
  <c r="I141" i="3"/>
  <c r="I144" i="3" s="1"/>
  <c r="I147" i="3" s="1"/>
  <c r="K141" i="3"/>
  <c r="K144" i="3" s="1"/>
  <c r="H144" i="3"/>
  <c r="H147" i="3" s="1"/>
  <c r="AK94" i="2"/>
  <c r="AK95" i="2" s="1"/>
  <c r="X104" i="50"/>
  <c r="Y102" i="50"/>
  <c r="AI247" i="50"/>
  <c r="BF56" i="43"/>
  <c r="BF57" i="43"/>
  <c r="BZ55" i="43"/>
  <c r="AL184" i="50"/>
  <c r="AL183" i="50"/>
  <c r="AL185" i="50"/>
  <c r="AL186" i="50" s="1"/>
  <c r="AL8" i="50"/>
  <c r="L161" i="50"/>
  <c r="L170" i="50"/>
  <c r="BF27" i="43"/>
  <c r="BF26" i="43"/>
  <c r="AJ47" i="50"/>
  <c r="AJ25" i="50"/>
  <c r="AJ19" i="50"/>
  <c r="AK23" i="50"/>
  <c r="U119" i="50"/>
  <c r="U110" i="50"/>
  <c r="T122" i="50"/>
  <c r="T120" i="50"/>
  <c r="AG4" i="50"/>
  <c r="R155" i="50"/>
  <c r="R154" i="50"/>
  <c r="R7" i="50"/>
  <c r="R14" i="50" s="1"/>
  <c r="R15" i="50" s="1"/>
  <c r="R157" i="50"/>
  <c r="R16" i="50"/>
  <c r="AV153" i="50"/>
  <c r="AK186" i="50"/>
  <c r="AJ29" i="50"/>
  <c r="AK27" i="50"/>
  <c r="AJ41" i="50"/>
  <c r="AK39" i="50"/>
  <c r="AJ31" i="50"/>
  <c r="AJ37" i="50"/>
  <c r="AK35" i="50"/>
  <c r="AF93" i="50"/>
  <c r="AF94" i="50" s="1"/>
  <c r="P60" i="50"/>
  <c r="O56" i="50"/>
  <c r="S123" i="50"/>
  <c r="S125" i="50"/>
  <c r="S153" i="50"/>
  <c r="W106" i="50"/>
  <c r="V108" i="50"/>
  <c r="V98" i="50"/>
  <c r="M270" i="50"/>
  <c r="M277" i="50" s="1"/>
  <c r="M160" i="50"/>
  <c r="N162" i="50"/>
  <c r="N57" i="50"/>
  <c r="Q14" i="50"/>
  <c r="AV7" i="50"/>
  <c r="BF37" i="43"/>
  <c r="BF36" i="43"/>
  <c r="BI65" i="2" l="1"/>
  <c r="AP227" i="50"/>
  <c r="AP236" i="50" s="1"/>
  <c r="AO236" i="50"/>
  <c r="AN238" i="50"/>
  <c r="AN237" i="50"/>
  <c r="AN11" i="50"/>
  <c r="BI55" i="43" s="1"/>
  <c r="AN239" i="50"/>
  <c r="AN240" i="50" s="1"/>
  <c r="BH55" i="43"/>
  <c r="AM240" i="50"/>
  <c r="AO9" i="50"/>
  <c r="BH37" i="43"/>
  <c r="BH36" i="43"/>
  <c r="AP210" i="50"/>
  <c r="AP9" i="50" s="1"/>
  <c r="BK35" i="43" s="1"/>
  <c r="AP209" i="50"/>
  <c r="BI36" i="43"/>
  <c r="AN8" i="50"/>
  <c r="BI25" i="43" s="1"/>
  <c r="AN185" i="50"/>
  <c r="AN186" i="50" s="1"/>
  <c r="AN184" i="50"/>
  <c r="AN183" i="50"/>
  <c r="AO182" i="50"/>
  <c r="AP173" i="50"/>
  <c r="AP182" i="50" s="1"/>
  <c r="AM186" i="50"/>
  <c r="BH25" i="43"/>
  <c r="BB6" i="50"/>
  <c r="CA99" i="3"/>
  <c r="CA26" i="3"/>
  <c r="CA113" i="3" s="1"/>
  <c r="BK62" i="2"/>
  <c r="BJ65" i="2"/>
  <c r="BK113" i="3"/>
  <c r="BK87" i="2"/>
  <c r="CA11" i="2"/>
  <c r="CB11" i="2" s="1"/>
  <c r="BA185" i="50"/>
  <c r="L141" i="3"/>
  <c r="K147" i="3"/>
  <c r="H54" i="3"/>
  <c r="H57" i="3" s="1"/>
  <c r="G60" i="3"/>
  <c r="BO147" i="3"/>
  <c r="BP141" i="3"/>
  <c r="BP144" i="3" s="1"/>
  <c r="BP54" i="3"/>
  <c r="BP57" i="3" s="1"/>
  <c r="BO60" i="3"/>
  <c r="AL94" i="2"/>
  <c r="AL95" i="2" s="1"/>
  <c r="M161" i="50"/>
  <c r="M170" i="50"/>
  <c r="AL39" i="50"/>
  <c r="AK41" i="50"/>
  <c r="AK47" i="50"/>
  <c r="AL23" i="50"/>
  <c r="AM23" i="50" s="1"/>
  <c r="AK19" i="50"/>
  <c r="AK25" i="50"/>
  <c r="AZ4" i="50"/>
  <c r="Q15" i="50"/>
  <c r="AV14" i="50"/>
  <c r="Q16" i="50"/>
  <c r="S155" i="50"/>
  <c r="S154" i="50"/>
  <c r="S7" i="50"/>
  <c r="S157" i="50"/>
  <c r="AK37" i="50"/>
  <c r="AK31" i="50"/>
  <c r="AL35" i="50"/>
  <c r="AM35" i="50" s="1"/>
  <c r="AZ5" i="50"/>
  <c r="T125" i="50"/>
  <c r="T123" i="50"/>
  <c r="T153" i="50"/>
  <c r="AJ66" i="50"/>
  <c r="AJ51" i="50"/>
  <c r="AJ43" i="50"/>
  <c r="AJ21" i="50"/>
  <c r="AJ20" i="50"/>
  <c r="BG25" i="43"/>
  <c r="BA8" i="50"/>
  <c r="Z102" i="50"/>
  <c r="Y104" i="50"/>
  <c r="AK29" i="50"/>
  <c r="AL27" i="50"/>
  <c r="W108" i="50"/>
  <c r="X106" i="50"/>
  <c r="W98" i="50"/>
  <c r="Q60" i="50"/>
  <c r="P56" i="50"/>
  <c r="U122" i="50"/>
  <c r="U120" i="50"/>
  <c r="V110" i="50"/>
  <c r="V119" i="50"/>
  <c r="AW119" i="50" s="1"/>
  <c r="AW98" i="50"/>
  <c r="AG93" i="50"/>
  <c r="AG94" i="50" s="1"/>
  <c r="BZ57" i="43"/>
  <c r="N270" i="50"/>
  <c r="N277" i="50" s="1"/>
  <c r="N160" i="50"/>
  <c r="AU162" i="50"/>
  <c r="O162" i="50"/>
  <c r="O57" i="50"/>
  <c r="AJ33" i="50"/>
  <c r="AJ32" i="50"/>
  <c r="AV155" i="50"/>
  <c r="AV134" i="50"/>
  <c r="AV132" i="50"/>
  <c r="AV128" i="50"/>
  <c r="AV130" i="50"/>
  <c r="AJ49" i="50"/>
  <c r="AJ48" i="50"/>
  <c r="BB173" i="50" l="1"/>
  <c r="BB174" i="50" s="1"/>
  <c r="BB182" i="50"/>
  <c r="BB184" i="50" s="1"/>
  <c r="BB227" i="50"/>
  <c r="BB228" i="50" s="1"/>
  <c r="BB236" i="50"/>
  <c r="BB238" i="50" s="1"/>
  <c r="BI56" i="43"/>
  <c r="BI57" i="43"/>
  <c r="AO11" i="50"/>
  <c r="AO237" i="50"/>
  <c r="AO239" i="50"/>
  <c r="AO238" i="50"/>
  <c r="BH56" i="43"/>
  <c r="BH57" i="43"/>
  <c r="AP11" i="50"/>
  <c r="BK55" i="43" s="1"/>
  <c r="AP239" i="50"/>
  <c r="AP240" i="50" s="1"/>
  <c r="AP238" i="50"/>
  <c r="AP237" i="50"/>
  <c r="BB210" i="50"/>
  <c r="BJ35" i="43"/>
  <c r="BK36" i="43" s="1"/>
  <c r="BB9" i="50"/>
  <c r="BK37" i="43"/>
  <c r="BH27" i="43"/>
  <c r="BH26" i="43"/>
  <c r="AP185" i="50"/>
  <c r="AP186" i="50" s="1"/>
  <c r="AP184" i="50"/>
  <c r="AP183" i="50"/>
  <c r="AP8" i="50"/>
  <c r="BK25" i="43" s="1"/>
  <c r="AO8" i="50"/>
  <c r="AO185" i="50"/>
  <c r="AO184" i="50"/>
  <c r="AO183" i="50"/>
  <c r="BI27" i="43"/>
  <c r="BI26" i="43"/>
  <c r="AL41" i="50"/>
  <c r="AM39" i="50"/>
  <c r="AM31" i="50" s="1"/>
  <c r="AL29" i="50"/>
  <c r="AM27" i="50"/>
  <c r="AM19" i="50" s="1"/>
  <c r="AN23" i="50"/>
  <c r="AM25" i="50"/>
  <c r="AM47" i="50"/>
  <c r="AN35" i="50"/>
  <c r="AM37" i="50"/>
  <c r="BK65" i="2"/>
  <c r="CA62" i="2"/>
  <c r="BA27" i="50"/>
  <c r="BA29" i="50" s="1"/>
  <c r="BP60" i="3"/>
  <c r="BQ54" i="3"/>
  <c r="BQ57" i="3" s="1"/>
  <c r="I54" i="3"/>
  <c r="I57" i="3" s="1"/>
  <c r="H60" i="3"/>
  <c r="BP147" i="3"/>
  <c r="BQ141" i="3"/>
  <c r="BQ144" i="3" s="1"/>
  <c r="N141" i="3"/>
  <c r="N144" i="3" s="1"/>
  <c r="N147" i="3" s="1"/>
  <c r="M141" i="3"/>
  <c r="M144" i="3" s="1"/>
  <c r="M147" i="3" s="1"/>
  <c r="O141" i="3"/>
  <c r="O144" i="3" s="1"/>
  <c r="L144" i="3"/>
  <c r="L147" i="3" s="1"/>
  <c r="AM94" i="2"/>
  <c r="AM95" i="2" s="1"/>
  <c r="O270" i="50"/>
  <c r="O160" i="50"/>
  <c r="O170" i="50" s="1"/>
  <c r="X108" i="50"/>
  <c r="Y106" i="50"/>
  <c r="X98" i="50"/>
  <c r="AJ45" i="50"/>
  <c r="AJ44" i="50"/>
  <c r="AL37" i="50"/>
  <c r="AL31" i="50"/>
  <c r="BA31" i="50" s="1"/>
  <c r="BA33" i="50" s="1"/>
  <c r="P162" i="50"/>
  <c r="P57" i="50"/>
  <c r="BG27" i="43"/>
  <c r="BZ25" i="43"/>
  <c r="BG26" i="43"/>
  <c r="AJ53" i="50"/>
  <c r="AJ52" i="50"/>
  <c r="AK33" i="50"/>
  <c r="AK32" i="50"/>
  <c r="AK49" i="50"/>
  <c r="AK48" i="50"/>
  <c r="AU130" i="50"/>
  <c r="AV131" i="50" s="1"/>
  <c r="AV147" i="50"/>
  <c r="AU128" i="50"/>
  <c r="AV145" i="50"/>
  <c r="AV129" i="50"/>
  <c r="AV136" i="50"/>
  <c r="AV137" i="50" s="1"/>
  <c r="U125" i="50"/>
  <c r="U123" i="50"/>
  <c r="U153" i="50"/>
  <c r="AL47" i="50"/>
  <c r="AL25" i="50"/>
  <c r="AL19" i="50"/>
  <c r="BA23" i="50"/>
  <c r="BA25" i="50" s="1"/>
  <c r="AU132" i="50"/>
  <c r="AV133" i="50" s="1"/>
  <c r="N170" i="50"/>
  <c r="N161" i="50"/>
  <c r="AW100" i="50"/>
  <c r="AW110" i="50"/>
  <c r="Q56" i="50"/>
  <c r="R60" i="50"/>
  <c r="Z104" i="50"/>
  <c r="AA102" i="50"/>
  <c r="AX102" i="50"/>
  <c r="AJ91" i="50"/>
  <c r="AJ5" i="50"/>
  <c r="BA39" i="50"/>
  <c r="BA41" i="50" s="1"/>
  <c r="V120" i="50"/>
  <c r="V122" i="50"/>
  <c r="W119" i="50"/>
  <c r="W110" i="50"/>
  <c r="T155" i="50"/>
  <c r="T154" i="50"/>
  <c r="T7" i="50"/>
  <c r="T157" i="50"/>
  <c r="BA35" i="50"/>
  <c r="BA37" i="50" s="1"/>
  <c r="AK66" i="50"/>
  <c r="AK51" i="50"/>
  <c r="AK43" i="50"/>
  <c r="AK21" i="50"/>
  <c r="AK20" i="50"/>
  <c r="CA65" i="2" l="1"/>
  <c r="CB62" i="2"/>
  <c r="CB65" i="2" s="1"/>
  <c r="AO240" i="50"/>
  <c r="BB239" i="50"/>
  <c r="BJ55" i="43"/>
  <c r="BK56" i="43" s="1"/>
  <c r="BB11" i="50"/>
  <c r="BK57" i="43"/>
  <c r="BJ36" i="43"/>
  <c r="CA35" i="43"/>
  <c r="CA37" i="43" s="1"/>
  <c r="BJ37" i="43"/>
  <c r="BJ25" i="43"/>
  <c r="BK26" i="43" s="1"/>
  <c r="BB8" i="50"/>
  <c r="BK27" i="43"/>
  <c r="AO186" i="50"/>
  <c r="BB185" i="50"/>
  <c r="AM33" i="50"/>
  <c r="AM32" i="50"/>
  <c r="AM66" i="50"/>
  <c r="AM43" i="50"/>
  <c r="AM20" i="50"/>
  <c r="AM51" i="50"/>
  <c r="AM21" i="50"/>
  <c r="AN27" i="50"/>
  <c r="AN19" i="50" s="1"/>
  <c r="AM29" i="50"/>
  <c r="AN37" i="50"/>
  <c r="AO35" i="50"/>
  <c r="AN39" i="50"/>
  <c r="AN31" i="50" s="1"/>
  <c r="AM41" i="50"/>
  <c r="AM49" i="50"/>
  <c r="AM48" i="50"/>
  <c r="AN25" i="50"/>
  <c r="AO23" i="50"/>
  <c r="AN47" i="50"/>
  <c r="P141" i="3"/>
  <c r="O147" i="3"/>
  <c r="I60" i="3"/>
  <c r="J54" i="3"/>
  <c r="J57" i="3" s="1"/>
  <c r="BQ60" i="3"/>
  <c r="BR54" i="3"/>
  <c r="BR57" i="3" s="1"/>
  <c r="BQ147" i="3"/>
  <c r="BR141" i="3"/>
  <c r="BR144" i="3" s="1"/>
  <c r="AN94" i="2"/>
  <c r="AN95" i="2" s="1"/>
  <c r="AK53" i="50"/>
  <c r="AK52" i="50"/>
  <c r="V123" i="50"/>
  <c r="V125" i="50"/>
  <c r="V153" i="50"/>
  <c r="AK91" i="50"/>
  <c r="AK5" i="50"/>
  <c r="AX101" i="50"/>
  <c r="AX104" i="50"/>
  <c r="BC102" i="50"/>
  <c r="R56" i="50"/>
  <c r="AV56" i="50" s="1"/>
  <c r="AV57" i="50" s="1"/>
  <c r="S60" i="50"/>
  <c r="AV60" i="50"/>
  <c r="AV61" i="50" s="1"/>
  <c r="AI94" i="50"/>
  <c r="AL49" i="50"/>
  <c r="AL48" i="50"/>
  <c r="AU145" i="50"/>
  <c r="AV146" i="50" s="1"/>
  <c r="AT128" i="50"/>
  <c r="AU139" i="50"/>
  <c r="AU147" i="50"/>
  <c r="BA47" i="50"/>
  <c r="BA49" i="50" s="1"/>
  <c r="P270" i="50"/>
  <c r="P160" i="50"/>
  <c r="P170" i="50" s="1"/>
  <c r="BY5" i="43"/>
  <c r="AK45" i="50"/>
  <c r="AK44" i="50"/>
  <c r="AT132" i="50"/>
  <c r="AU141" i="50"/>
  <c r="AU134" i="50"/>
  <c r="AU136" i="50" s="1"/>
  <c r="AU137" i="50" s="1"/>
  <c r="BZ27" i="43"/>
  <c r="W122" i="50"/>
  <c r="W120" i="50"/>
  <c r="Q162" i="50"/>
  <c r="Q57" i="50"/>
  <c r="AW122" i="50"/>
  <c r="AV148" i="50"/>
  <c r="AL33" i="50"/>
  <c r="AL32" i="50"/>
  <c r="X110" i="50"/>
  <c r="X119" i="50"/>
  <c r="AJ4" i="50"/>
  <c r="AA104" i="50"/>
  <c r="AB102" i="50"/>
  <c r="AL66" i="50"/>
  <c r="AL51" i="50"/>
  <c r="AL43" i="50"/>
  <c r="BA43" i="50" s="1"/>
  <c r="BA45" i="50" s="1"/>
  <c r="AL21" i="50"/>
  <c r="AL20" i="50"/>
  <c r="BA19" i="50"/>
  <c r="BA21" i="50" s="1"/>
  <c r="U155" i="50"/>
  <c r="U154" i="50"/>
  <c r="U7" i="50"/>
  <c r="U157" i="50"/>
  <c r="AT130" i="50"/>
  <c r="AT140" i="50" s="1"/>
  <c r="AU140" i="50"/>
  <c r="AZ58" i="50"/>
  <c r="AZ59" i="50" s="1"/>
  <c r="Y108" i="50"/>
  <c r="Z106" i="50"/>
  <c r="Y98" i="50"/>
  <c r="BJ56" i="43" l="1"/>
  <c r="BJ57" i="43"/>
  <c r="CA55" i="43"/>
  <c r="CA57" i="43" s="1"/>
  <c r="BJ26" i="43"/>
  <c r="BJ27" i="43"/>
  <c r="CA25" i="43"/>
  <c r="CA27" i="43" s="1"/>
  <c r="AN66" i="50"/>
  <c r="AN20" i="50"/>
  <c r="AN51" i="50"/>
  <c r="AN43" i="50"/>
  <c r="AN21" i="50"/>
  <c r="AP35" i="50"/>
  <c r="BB35" i="50" s="1"/>
  <c r="BB37" i="50" s="1"/>
  <c r="AO37" i="50"/>
  <c r="AN32" i="50"/>
  <c r="AN33" i="50"/>
  <c r="AN29" i="50"/>
  <c r="AO27" i="50"/>
  <c r="AO19" i="50" s="1"/>
  <c r="AM44" i="50"/>
  <c r="AM45" i="50"/>
  <c r="AN49" i="50"/>
  <c r="AN48" i="50"/>
  <c r="AO25" i="50"/>
  <c r="AP23" i="50"/>
  <c r="BB23" i="50" s="1"/>
  <c r="BB25" i="50" s="1"/>
  <c r="AO47" i="50"/>
  <c r="AN41" i="50"/>
  <c r="AO39" i="50"/>
  <c r="AO31" i="50" s="1"/>
  <c r="AM53" i="50"/>
  <c r="AM52" i="50"/>
  <c r="AM91" i="50"/>
  <c r="AM5" i="50"/>
  <c r="BR147" i="3"/>
  <c r="BS141" i="3"/>
  <c r="BS144" i="3" s="1"/>
  <c r="BR60" i="3"/>
  <c r="BS54" i="3"/>
  <c r="BS57" i="3" s="1"/>
  <c r="K54" i="3"/>
  <c r="K57" i="3" s="1"/>
  <c r="J60" i="3"/>
  <c r="S141" i="3"/>
  <c r="S144" i="3" s="1"/>
  <c r="P144" i="3"/>
  <c r="P147" i="3" s="1"/>
  <c r="Q141" i="3"/>
  <c r="Q144" i="3" s="1"/>
  <c r="Q147" i="3" s="1"/>
  <c r="R141" i="3"/>
  <c r="R144" i="3" s="1"/>
  <c r="R147" i="3" s="1"/>
  <c r="AO94" i="2"/>
  <c r="AO95" i="2" s="1"/>
  <c r="Y119" i="50"/>
  <c r="Y110" i="50"/>
  <c r="AL91" i="50"/>
  <c r="AL5" i="50"/>
  <c r="BA5" i="50" s="1"/>
  <c r="Q270" i="50"/>
  <c r="Q160" i="50"/>
  <c r="Q170" i="50" s="1"/>
  <c r="AT141" i="50"/>
  <c r="AT134" i="50"/>
  <c r="AT142" i="50" s="1"/>
  <c r="V155" i="50"/>
  <c r="V154" i="50"/>
  <c r="V157" i="50"/>
  <c r="V7" i="50"/>
  <c r="AW7" i="50" s="1"/>
  <c r="AA106" i="50"/>
  <c r="Z108" i="50"/>
  <c r="AX106" i="50"/>
  <c r="Z98" i="50"/>
  <c r="AW125" i="50"/>
  <c r="AW123" i="50"/>
  <c r="AU133" i="50"/>
  <c r="BY7" i="43"/>
  <c r="AT139" i="50"/>
  <c r="AT136" i="50"/>
  <c r="AT137" i="50" s="1"/>
  <c r="AK4" i="50"/>
  <c r="AU131" i="50"/>
  <c r="BA66" i="50"/>
  <c r="AW153" i="50"/>
  <c r="AL45" i="50"/>
  <c r="AL44" i="50"/>
  <c r="AB104" i="50"/>
  <c r="AC102" i="50"/>
  <c r="AJ93" i="50"/>
  <c r="AJ94" i="50" s="1"/>
  <c r="BE5" i="43"/>
  <c r="W123" i="50"/>
  <c r="W125" i="50"/>
  <c r="W153" i="50"/>
  <c r="AU142" i="50"/>
  <c r="AU135" i="50"/>
  <c r="AV135" i="50"/>
  <c r="AU129" i="50"/>
  <c r="T60" i="50"/>
  <c r="S56" i="50"/>
  <c r="AL53" i="50"/>
  <c r="AL52" i="50"/>
  <c r="X122" i="50"/>
  <c r="X120" i="50"/>
  <c r="R162" i="50"/>
  <c r="R57" i="50"/>
  <c r="BA51" i="50"/>
  <c r="BA53" i="50" s="1"/>
  <c r="AO21" i="50" l="1"/>
  <c r="AO66" i="50"/>
  <c r="AO51" i="50"/>
  <c r="AO43" i="50"/>
  <c r="AO20" i="50"/>
  <c r="AO33" i="50"/>
  <c r="AO32" i="50"/>
  <c r="AO49" i="50"/>
  <c r="AO48" i="50"/>
  <c r="AN44" i="50"/>
  <c r="AN45" i="50"/>
  <c r="AP39" i="50"/>
  <c r="AP41" i="50" s="1"/>
  <c r="AO41" i="50"/>
  <c r="AP25" i="50"/>
  <c r="AP47" i="50"/>
  <c r="AN52" i="50"/>
  <c r="AN53" i="50"/>
  <c r="AP37" i="50"/>
  <c r="AM4" i="50"/>
  <c r="AP27" i="50"/>
  <c r="AP29" i="50" s="1"/>
  <c r="AO29" i="50"/>
  <c r="AN91" i="50"/>
  <c r="AN5" i="50"/>
  <c r="BS60" i="3"/>
  <c r="BT54" i="3"/>
  <c r="BT57" i="3" s="1"/>
  <c r="BT141" i="3"/>
  <c r="BT144" i="3" s="1"/>
  <c r="BS147" i="3"/>
  <c r="T141" i="3"/>
  <c r="S147" i="3"/>
  <c r="L54" i="3"/>
  <c r="L57" i="3" s="1"/>
  <c r="K60" i="3"/>
  <c r="AP94" i="2"/>
  <c r="AP95" i="2" s="1"/>
  <c r="AX108" i="50"/>
  <c r="BC106" i="50"/>
  <c r="S162" i="50"/>
  <c r="S57" i="50"/>
  <c r="W155" i="50"/>
  <c r="W154" i="50"/>
  <c r="W7" i="50"/>
  <c r="W157" i="50"/>
  <c r="BE7" i="43"/>
  <c r="BE6" i="43"/>
  <c r="AJ58" i="50"/>
  <c r="AL4" i="50"/>
  <c r="Z119" i="50"/>
  <c r="Z110" i="50"/>
  <c r="R270" i="50"/>
  <c r="R160" i="50"/>
  <c r="R170" i="50" s="1"/>
  <c r="AC104" i="50"/>
  <c r="AD102" i="50"/>
  <c r="AE102" i="50" s="1"/>
  <c r="AW155" i="50"/>
  <c r="AW132" i="50"/>
  <c r="AW133" i="50" s="1"/>
  <c r="AW130" i="50"/>
  <c r="AW131" i="50" s="1"/>
  <c r="AW134" i="50"/>
  <c r="AW135" i="50" s="1"/>
  <c r="AW128" i="50"/>
  <c r="AV162" i="50"/>
  <c r="AX98" i="50"/>
  <c r="X125" i="50"/>
  <c r="X123" i="50"/>
  <c r="X153" i="50"/>
  <c r="U60" i="50"/>
  <c r="T56" i="50"/>
  <c r="AK93" i="50"/>
  <c r="AK94" i="50" s="1"/>
  <c r="BF5" i="43"/>
  <c r="AA108" i="50"/>
  <c r="AB106" i="50"/>
  <c r="AA98" i="50"/>
  <c r="Y122" i="50"/>
  <c r="Y120" i="50"/>
  <c r="AP19" i="50" l="1"/>
  <c r="AP20" i="50" s="1"/>
  <c r="BB27" i="50"/>
  <c r="BB29" i="50" s="1"/>
  <c r="AP49" i="50"/>
  <c r="AP48" i="50"/>
  <c r="BB47" i="50"/>
  <c r="BB49" i="50" s="1"/>
  <c r="AO45" i="50"/>
  <c r="AO44" i="50"/>
  <c r="AO53" i="50"/>
  <c r="AO52" i="50"/>
  <c r="AM93" i="50"/>
  <c r="AM94" i="50" s="1"/>
  <c r="BH5" i="43"/>
  <c r="AO91" i="50"/>
  <c r="AO5" i="50"/>
  <c r="AN4" i="50"/>
  <c r="AP31" i="50"/>
  <c r="BB39" i="50"/>
  <c r="BB41" i="50" s="1"/>
  <c r="AY102" i="50"/>
  <c r="AY104" i="50" s="1"/>
  <c r="AE104" i="50"/>
  <c r="AF102" i="50"/>
  <c r="BT60" i="3"/>
  <c r="BU54" i="3"/>
  <c r="BU57" i="3" s="1"/>
  <c r="L60" i="3"/>
  <c r="M54" i="3"/>
  <c r="M57" i="3" s="1"/>
  <c r="W141" i="3"/>
  <c r="W144" i="3" s="1"/>
  <c r="T144" i="3"/>
  <c r="T147" i="3" s="1"/>
  <c r="V141" i="3"/>
  <c r="V144" i="3" s="1"/>
  <c r="V147" i="3" s="1"/>
  <c r="U141" i="3"/>
  <c r="U144" i="3" s="1"/>
  <c r="U147" i="3" s="1"/>
  <c r="BT147" i="3"/>
  <c r="BU141" i="3"/>
  <c r="BU144" i="3" s="1"/>
  <c r="AQ94" i="2"/>
  <c r="AQ95" i="2" s="1"/>
  <c r="AW136" i="50"/>
  <c r="AW137" i="50" s="1"/>
  <c r="AW145" i="50"/>
  <c r="AW146" i="50" s="1"/>
  <c r="AW129" i="50"/>
  <c r="AW147" i="50"/>
  <c r="AW148" i="50" s="1"/>
  <c r="BF7" i="43"/>
  <c r="BF6" i="43"/>
  <c r="AL93" i="50"/>
  <c r="AL94" i="50" s="1"/>
  <c r="BG5" i="43"/>
  <c r="BA4" i="50"/>
  <c r="S213" i="50"/>
  <c r="S272" i="50"/>
  <c r="T162" i="50"/>
  <c r="T57" i="50"/>
  <c r="AK58" i="50"/>
  <c r="W14" i="50"/>
  <c r="Y123" i="50"/>
  <c r="Y125" i="50"/>
  <c r="Y153" i="50"/>
  <c r="V60" i="50"/>
  <c r="U56" i="50"/>
  <c r="AX110" i="50"/>
  <c r="AX100" i="50"/>
  <c r="BC98" i="50"/>
  <c r="AA110" i="50"/>
  <c r="AA119" i="50"/>
  <c r="X155" i="50"/>
  <c r="X154" i="50"/>
  <c r="X7" i="50"/>
  <c r="X14" i="50" s="1"/>
  <c r="X15" i="50" s="1"/>
  <c r="X157" i="50"/>
  <c r="AB108" i="50"/>
  <c r="AC106" i="50"/>
  <c r="AB98" i="50"/>
  <c r="AD104" i="50"/>
  <c r="Z122" i="50"/>
  <c r="AX122" i="50" s="1"/>
  <c r="Z120" i="50"/>
  <c r="AX119" i="50"/>
  <c r="AX120" i="50" s="1"/>
  <c r="AF104" i="50" l="1"/>
  <c r="AG102" i="50"/>
  <c r="AP51" i="50"/>
  <c r="AP53" i="50" s="1"/>
  <c r="BB19" i="50"/>
  <c r="BB21" i="50" s="1"/>
  <c r="AP21" i="50"/>
  <c r="AN93" i="50"/>
  <c r="AN94" i="50" s="1"/>
  <c r="BI5" i="43"/>
  <c r="AP66" i="50"/>
  <c r="AP43" i="50"/>
  <c r="BH7" i="43"/>
  <c r="BH6" i="43"/>
  <c r="AP33" i="50"/>
  <c r="AP32" i="50"/>
  <c r="BB31" i="50"/>
  <c r="BB33" i="50" s="1"/>
  <c r="AO4" i="50"/>
  <c r="BV141" i="3"/>
  <c r="BV144" i="3" s="1"/>
  <c r="BU147" i="3"/>
  <c r="N54" i="3"/>
  <c r="N57" i="3" s="1"/>
  <c r="M60" i="3"/>
  <c r="BV54" i="3"/>
  <c r="BV57" i="3" s="1"/>
  <c r="BU60" i="3"/>
  <c r="X141" i="3"/>
  <c r="W147" i="3"/>
  <c r="W60" i="50"/>
  <c r="V56" i="50"/>
  <c r="AX125" i="50"/>
  <c r="AX123" i="50"/>
  <c r="S270" i="50"/>
  <c r="S274" i="50" s="1"/>
  <c r="S222" i="50"/>
  <c r="S217" i="50"/>
  <c r="Z123" i="50"/>
  <c r="Z125" i="50"/>
  <c r="Z153" i="50"/>
  <c r="AB119" i="50"/>
  <c r="AB110" i="50"/>
  <c r="AA120" i="50"/>
  <c r="AA122" i="50"/>
  <c r="AW60" i="50"/>
  <c r="AW61" i="50" s="1"/>
  <c r="Y155" i="50"/>
  <c r="Y154" i="50"/>
  <c r="Y7" i="50"/>
  <c r="Y14" i="50" s="1"/>
  <c r="Y15" i="50" s="1"/>
  <c r="Y157" i="50"/>
  <c r="AX153" i="50"/>
  <c r="T213" i="50"/>
  <c r="T272" i="50"/>
  <c r="W15" i="50"/>
  <c r="AC108" i="50"/>
  <c r="AD106" i="50"/>
  <c r="AE106" i="50" s="1"/>
  <c r="AC98" i="50"/>
  <c r="AY106" i="50"/>
  <c r="AY108" i="50" s="1"/>
  <c r="U162" i="50"/>
  <c r="U57" i="50"/>
  <c r="AL58" i="50"/>
  <c r="AM58" i="50" s="1"/>
  <c r="BZ5" i="43"/>
  <c r="BG6" i="43"/>
  <c r="BG7" i="43"/>
  <c r="AG104" i="50" l="1"/>
  <c r="BB51" i="50"/>
  <c r="BB53" i="50" s="1"/>
  <c r="AP52" i="50"/>
  <c r="AN58" i="50"/>
  <c r="AP45" i="50"/>
  <c r="AP44" i="50"/>
  <c r="BB43" i="50"/>
  <c r="BB45" i="50" s="1"/>
  <c r="AO93" i="50"/>
  <c r="AO94" i="50" s="1"/>
  <c r="BJ5" i="43"/>
  <c r="AP91" i="50"/>
  <c r="AP5" i="50"/>
  <c r="BB66" i="50"/>
  <c r="BI7" i="43"/>
  <c r="BI6" i="43"/>
  <c r="AE108" i="50"/>
  <c r="AF106" i="50"/>
  <c r="AE98" i="50"/>
  <c r="Z141" i="3"/>
  <c r="Z144" i="3" s="1"/>
  <c r="Z147" i="3" s="1"/>
  <c r="Y141" i="3"/>
  <c r="Y144" i="3" s="1"/>
  <c r="Y147" i="3" s="1"/>
  <c r="X144" i="3"/>
  <c r="X147" i="3" s="1"/>
  <c r="AA141" i="3"/>
  <c r="AA144" i="3" s="1"/>
  <c r="BV60" i="3"/>
  <c r="BW54" i="3"/>
  <c r="BW57" i="3" s="1"/>
  <c r="O54" i="3"/>
  <c r="O57" i="3" s="1"/>
  <c r="N60" i="3"/>
  <c r="BV147" i="3"/>
  <c r="BW141" i="3"/>
  <c r="BW144" i="3" s="1"/>
  <c r="AA125" i="50"/>
  <c r="AA123" i="50"/>
  <c r="AA153" i="50"/>
  <c r="BA58" i="50"/>
  <c r="BA59" i="50" s="1"/>
  <c r="AC119" i="50"/>
  <c r="AC110" i="50"/>
  <c r="AX134" i="50"/>
  <c r="AX132" i="50"/>
  <c r="AX130" i="50"/>
  <c r="AX128" i="50"/>
  <c r="AX155" i="50"/>
  <c r="AD108" i="50"/>
  <c r="AD98" i="50"/>
  <c r="AY98" i="50" s="1"/>
  <c r="AY110" i="50" s="1"/>
  <c r="Z155" i="50"/>
  <c r="Z154" i="50"/>
  <c r="Z7" i="50"/>
  <c r="Z157" i="50"/>
  <c r="AB122" i="50"/>
  <c r="AB120" i="50"/>
  <c r="BZ7" i="43"/>
  <c r="U213" i="50"/>
  <c r="U272" i="50"/>
  <c r="T270" i="50"/>
  <c r="T274" i="50" s="1"/>
  <c r="T217" i="50"/>
  <c r="T222" i="50"/>
  <c r="S12" i="50"/>
  <c r="S224" i="50"/>
  <c r="V162" i="50"/>
  <c r="V57" i="50"/>
  <c r="AW56" i="50"/>
  <c r="AW57" i="50" s="1"/>
  <c r="X60" i="50"/>
  <c r="W56" i="50"/>
  <c r="AF108" i="50" l="1"/>
  <c r="AG106" i="50"/>
  <c r="AO58" i="50"/>
  <c r="AP4" i="50"/>
  <c r="BB5" i="50"/>
  <c r="BJ7" i="43"/>
  <c r="BJ6" i="43"/>
  <c r="AE119" i="50"/>
  <c r="AE110" i="50"/>
  <c r="BX141" i="3"/>
  <c r="BX144" i="3" s="1"/>
  <c r="BW147" i="3"/>
  <c r="BW60" i="3"/>
  <c r="BX54" i="3"/>
  <c r="BX57" i="3" s="1"/>
  <c r="AA147" i="3"/>
  <c r="AB141" i="3"/>
  <c r="O60" i="3"/>
  <c r="P54" i="3"/>
  <c r="P57" i="3" s="1"/>
  <c r="V213" i="50"/>
  <c r="V272" i="50"/>
  <c r="AX136" i="50"/>
  <c r="AX137" i="50" s="1"/>
  <c r="AX147" i="50"/>
  <c r="AX148" i="50" s="1"/>
  <c r="AX129" i="50"/>
  <c r="AY128" i="50"/>
  <c r="AX145" i="50"/>
  <c r="AX146" i="50" s="1"/>
  <c r="Y60" i="50"/>
  <c r="X56" i="50"/>
  <c r="U270" i="50"/>
  <c r="U274" i="50" s="1"/>
  <c r="U217" i="50"/>
  <c r="U222" i="50"/>
  <c r="AZ102" i="50"/>
  <c r="Z14" i="50"/>
  <c r="AX7" i="50"/>
  <c r="AY130" i="50"/>
  <c r="AX131" i="50"/>
  <c r="T12" i="50"/>
  <c r="T224" i="50"/>
  <c r="AD119" i="50"/>
  <c r="AY119" i="50" s="1"/>
  <c r="AY120" i="50" s="1"/>
  <c r="AD110" i="50"/>
  <c r="S14" i="50"/>
  <c r="AY132" i="50"/>
  <c r="AX133" i="50"/>
  <c r="AA155" i="50"/>
  <c r="AA154" i="50"/>
  <c r="AA7" i="50"/>
  <c r="AA157" i="50"/>
  <c r="W162" i="50"/>
  <c r="W57" i="50"/>
  <c r="AW162" i="50"/>
  <c r="AB125" i="50"/>
  <c r="AB123" i="50"/>
  <c r="AB153" i="50"/>
  <c r="AX135" i="50"/>
  <c r="AY134" i="50"/>
  <c r="AC122" i="50"/>
  <c r="AC120" i="50"/>
  <c r="AG108" i="50" l="1"/>
  <c r="AG98" i="50"/>
  <c r="AP58" i="50"/>
  <c r="AP93" i="50"/>
  <c r="AP94" i="50" s="1"/>
  <c r="BK5" i="43"/>
  <c r="BB4" i="50"/>
  <c r="T14" i="50"/>
  <c r="T15" i="50" s="1"/>
  <c r="AE122" i="50"/>
  <c r="AE120" i="50"/>
  <c r="P60" i="3"/>
  <c r="Q54" i="3"/>
  <c r="Q57" i="3" s="1"/>
  <c r="AE141" i="3"/>
  <c r="AE144" i="3" s="1"/>
  <c r="AB144" i="3"/>
  <c r="AB147" i="3" s="1"/>
  <c r="AC141" i="3"/>
  <c r="BY54" i="3"/>
  <c r="BX60" i="3"/>
  <c r="BY141" i="3"/>
  <c r="BX147" i="3"/>
  <c r="AZ104" i="50"/>
  <c r="BE102" i="50"/>
  <c r="BF102" i="50" s="1"/>
  <c r="BG102" i="50" s="1"/>
  <c r="AF98" i="50"/>
  <c r="AZ134" i="50"/>
  <c r="Z15" i="50"/>
  <c r="AX14" i="50"/>
  <c r="AZ132" i="50"/>
  <c r="AD122" i="50"/>
  <c r="AY122" i="50" s="1"/>
  <c r="AD120" i="50"/>
  <c r="T16" i="50"/>
  <c r="AY147" i="50"/>
  <c r="AY148" i="50" s="1"/>
  <c r="AY145" i="50"/>
  <c r="AY146" i="50" s="1"/>
  <c r="AZ128" i="50"/>
  <c r="AY136" i="50"/>
  <c r="AY137" i="50" s="1"/>
  <c r="AA14" i="50"/>
  <c r="W213" i="50"/>
  <c r="W272" i="50"/>
  <c r="AB155" i="50"/>
  <c r="AB154" i="50"/>
  <c r="AB7" i="50"/>
  <c r="AB14" i="50" s="1"/>
  <c r="AB15" i="50" s="1"/>
  <c r="AB157" i="50"/>
  <c r="S15" i="50"/>
  <c r="S16" i="50"/>
  <c r="AZ130" i="50"/>
  <c r="U12" i="50"/>
  <c r="U224" i="50"/>
  <c r="X162" i="50"/>
  <c r="X57" i="50"/>
  <c r="V270" i="50"/>
  <c r="V274" i="50" s="1"/>
  <c r="V222" i="50"/>
  <c r="V217" i="50"/>
  <c r="AW217" i="50" s="1"/>
  <c r="AW213" i="50"/>
  <c r="AC123" i="50"/>
  <c r="AC125" i="50"/>
  <c r="AC153" i="50"/>
  <c r="Z60" i="50"/>
  <c r="AX60" i="50" s="1"/>
  <c r="AX61" i="50" s="1"/>
  <c r="Y56" i="50"/>
  <c r="AG119" i="50" l="1"/>
  <c r="AG110" i="50"/>
  <c r="BB58" i="50"/>
  <c r="BB59" i="50" s="1"/>
  <c r="BK6" i="43"/>
  <c r="BK7" i="43"/>
  <c r="CA5" i="43"/>
  <c r="AE153" i="50"/>
  <c r="AE123" i="50"/>
  <c r="AE125" i="50"/>
  <c r="R54" i="3"/>
  <c r="R57" i="3" s="1"/>
  <c r="Q60" i="3"/>
  <c r="AD141" i="3"/>
  <c r="AD144" i="3" s="1"/>
  <c r="AD147" i="3" s="1"/>
  <c r="AC144" i="3"/>
  <c r="AC147" i="3" s="1"/>
  <c r="AF141" i="3"/>
  <c r="AE147" i="3"/>
  <c r="AY123" i="50"/>
  <c r="AY125" i="50"/>
  <c r="BA130" i="50"/>
  <c r="BB130" i="50" s="1"/>
  <c r="BA134" i="50"/>
  <c r="BB134" i="50" s="1"/>
  <c r="V12" i="50"/>
  <c r="V224" i="50"/>
  <c r="AW222" i="50"/>
  <c r="AA60" i="50"/>
  <c r="Z56" i="50"/>
  <c r="AC155" i="50"/>
  <c r="AC154" i="50"/>
  <c r="AC7" i="50"/>
  <c r="AC157" i="50"/>
  <c r="X213" i="50"/>
  <c r="X272" i="50"/>
  <c r="AJ102" i="50"/>
  <c r="Y162" i="50"/>
  <c r="Y57" i="50"/>
  <c r="AX56" i="50"/>
  <c r="AX57" i="50" s="1"/>
  <c r="U14" i="50"/>
  <c r="W217" i="50"/>
  <c r="W222" i="50"/>
  <c r="AZ145" i="50"/>
  <c r="AZ146" i="50" s="1"/>
  <c r="AZ136" i="50"/>
  <c r="AZ147" i="50"/>
  <c r="AZ148" i="50" s="1"/>
  <c r="BA128" i="50"/>
  <c r="BB128" i="50" s="1"/>
  <c r="AD123" i="50"/>
  <c r="AD125" i="50"/>
  <c r="AD153" i="50"/>
  <c r="AA15" i="50"/>
  <c r="BA132" i="50"/>
  <c r="BB132" i="50" s="1"/>
  <c r="BB147" i="50" l="1"/>
  <c r="BB145" i="50"/>
  <c r="BB136" i="50"/>
  <c r="AG122" i="50"/>
  <c r="CA7" i="43"/>
  <c r="V14" i="50"/>
  <c r="V15" i="50" s="1"/>
  <c r="AE154" i="50"/>
  <c r="AE155" i="50"/>
  <c r="AE157" i="50"/>
  <c r="AE7" i="50"/>
  <c r="AE14" i="50" s="1"/>
  <c r="AE15" i="50" s="1"/>
  <c r="AI141" i="3"/>
  <c r="AI144" i="3" s="1"/>
  <c r="AF144" i="3"/>
  <c r="AF147" i="3" s="1"/>
  <c r="AG141" i="3"/>
  <c r="R60" i="3"/>
  <c r="S54" i="3"/>
  <c r="S57" i="3" s="1"/>
  <c r="W219" i="50"/>
  <c r="W16" i="50"/>
  <c r="AZ106" i="50"/>
  <c r="AB60" i="50"/>
  <c r="AA56" i="50"/>
  <c r="BA147" i="50"/>
  <c r="BA145" i="50"/>
  <c r="BA136" i="50"/>
  <c r="AW12" i="50"/>
  <c r="Y213" i="50"/>
  <c r="Y272" i="50"/>
  <c r="X217" i="50"/>
  <c r="X222" i="50"/>
  <c r="X224" i="50" s="1"/>
  <c r="AD155" i="50"/>
  <c r="AD154" i="50"/>
  <c r="AD157" i="50"/>
  <c r="AD7" i="50"/>
  <c r="W224" i="50"/>
  <c r="U15" i="50"/>
  <c r="AW14" i="50"/>
  <c r="U16" i="50"/>
  <c r="AY153" i="50"/>
  <c r="V16" i="50"/>
  <c r="AK102" i="50"/>
  <c r="AJ104" i="50"/>
  <c r="Z162" i="50"/>
  <c r="Z57" i="50"/>
  <c r="AG153" i="50" l="1"/>
  <c r="AG125" i="50"/>
  <c r="BA146" i="50"/>
  <c r="BB146" i="50"/>
  <c r="BA148" i="50"/>
  <c r="BB148" i="50"/>
  <c r="S60" i="3"/>
  <c r="T54" i="3"/>
  <c r="T57" i="3" s="1"/>
  <c r="AG144" i="3"/>
  <c r="AG147" i="3" s="1"/>
  <c r="AH141" i="3"/>
  <c r="AH144" i="3" s="1"/>
  <c r="AH147" i="3" s="1"/>
  <c r="AI147" i="3"/>
  <c r="AJ141" i="3"/>
  <c r="X219" i="50"/>
  <c r="X16" i="50"/>
  <c r="AA162" i="50"/>
  <c r="AA57" i="50"/>
  <c r="AJ106" i="50"/>
  <c r="Z213" i="50"/>
  <c r="AX213" i="50" s="1"/>
  <c r="Z272" i="50"/>
  <c r="AX162" i="50"/>
  <c r="AC60" i="50"/>
  <c r="AB56" i="50"/>
  <c r="AZ98" i="50"/>
  <c r="AL102" i="50"/>
  <c r="AK104" i="50"/>
  <c r="AY155" i="50"/>
  <c r="BC153" i="50"/>
  <c r="AY141" i="50"/>
  <c r="AY139" i="50"/>
  <c r="AY142" i="50"/>
  <c r="AY140" i="50"/>
  <c r="Y217" i="50"/>
  <c r="Y222" i="50"/>
  <c r="AZ108" i="50"/>
  <c r="BE106" i="50"/>
  <c r="AY7" i="50"/>
  <c r="AG155" i="50" l="1"/>
  <c r="BA102" i="50"/>
  <c r="BA104" i="50" s="1"/>
  <c r="AM102" i="50"/>
  <c r="AK141" i="3"/>
  <c r="AM141" i="3"/>
  <c r="AM144" i="3" s="1"/>
  <c r="AJ144" i="3"/>
  <c r="AJ147" i="3" s="1"/>
  <c r="T60" i="3"/>
  <c r="U54" i="3"/>
  <c r="U57" i="3" s="1"/>
  <c r="Y219" i="50"/>
  <c r="Y16" i="50"/>
  <c r="AZ100" i="50"/>
  <c r="AJ108" i="50"/>
  <c r="AK106" i="50"/>
  <c r="AJ98" i="50"/>
  <c r="AD60" i="50"/>
  <c r="AE60" i="50" s="1"/>
  <c r="AC56" i="50"/>
  <c r="BF106" i="50"/>
  <c r="BE98" i="50"/>
  <c r="BE99" i="50" s="1"/>
  <c r="Y224" i="50"/>
  <c r="AA213" i="50"/>
  <c r="AA272" i="50"/>
  <c r="AL104" i="50"/>
  <c r="AB162" i="50"/>
  <c r="AB57" i="50"/>
  <c r="Z217" i="50"/>
  <c r="AX217" i="50" s="1"/>
  <c r="Z222" i="50"/>
  <c r="Z224" i="50" s="1"/>
  <c r="AN102" i="50" l="1"/>
  <c r="AM104" i="50"/>
  <c r="AF60" i="50"/>
  <c r="AE56" i="50"/>
  <c r="AM147" i="3"/>
  <c r="AN141" i="3"/>
  <c r="V54" i="3"/>
  <c r="V57" i="3" s="1"/>
  <c r="U60" i="3"/>
  <c r="AK144" i="3"/>
  <c r="AK147" i="3" s="1"/>
  <c r="AL141" i="3"/>
  <c r="AL144" i="3" s="1"/>
  <c r="AL147" i="3" s="1"/>
  <c r="Z219" i="50"/>
  <c r="Z16" i="50"/>
  <c r="AA217" i="50"/>
  <c r="AA222" i="50"/>
  <c r="BG106" i="50"/>
  <c r="BG98" i="50" s="1"/>
  <c r="BF98" i="50"/>
  <c r="BF99" i="50" s="1"/>
  <c r="AK108" i="50"/>
  <c r="AL106" i="50"/>
  <c r="AM106" i="50" s="1"/>
  <c r="AK98" i="50"/>
  <c r="AX222" i="50"/>
  <c r="AC162" i="50"/>
  <c r="AC57" i="50"/>
  <c r="AB213" i="50"/>
  <c r="AB272" i="50"/>
  <c r="AD56" i="50"/>
  <c r="AY60" i="50"/>
  <c r="AY61" i="50" s="1"/>
  <c r="AF56" i="50" l="1"/>
  <c r="AG60" i="50"/>
  <c r="AG56" i="50" s="1"/>
  <c r="AM108" i="50"/>
  <c r="AN106" i="50"/>
  <c r="AM98" i="50"/>
  <c r="AN104" i="50"/>
  <c r="AO102" i="50"/>
  <c r="AN98" i="50"/>
  <c r="AE162" i="50"/>
  <c r="AE57" i="50"/>
  <c r="AF57" i="50"/>
  <c r="BG99" i="50"/>
  <c r="AN144" i="3"/>
  <c r="AN147" i="3" s="1"/>
  <c r="AP141" i="3"/>
  <c r="AP144" i="3" s="1"/>
  <c r="AP147" i="3" s="1"/>
  <c r="AO141" i="3"/>
  <c r="AO144" i="3" s="1"/>
  <c r="AO147" i="3" s="1"/>
  <c r="AQ141" i="3"/>
  <c r="AQ144" i="3" s="1"/>
  <c r="W54" i="3"/>
  <c r="W57" i="3" s="1"/>
  <c r="V60" i="3"/>
  <c r="AL108" i="50"/>
  <c r="AL98" i="50"/>
  <c r="AA224" i="50"/>
  <c r="AD162" i="50"/>
  <c r="AD57" i="50"/>
  <c r="AY56" i="50"/>
  <c r="AY57" i="50" s="1"/>
  <c r="AA219" i="50"/>
  <c r="AA16" i="50"/>
  <c r="AC213" i="50"/>
  <c r="AC272" i="50"/>
  <c r="AB217" i="50"/>
  <c r="AB222" i="50"/>
  <c r="AB224" i="50" s="1"/>
  <c r="BA106" i="50"/>
  <c r="BA108" i="50" s="1"/>
  <c r="AG57" i="50" l="1"/>
  <c r="AO106" i="50"/>
  <c r="AN108" i="50"/>
  <c r="AO104" i="50"/>
  <c r="AP102" i="50"/>
  <c r="BB102" i="50" s="1"/>
  <c r="BB104" i="50" s="1"/>
  <c r="AE213" i="50"/>
  <c r="AE272" i="50"/>
  <c r="AQ147" i="3"/>
  <c r="AR141" i="3"/>
  <c r="W60" i="3"/>
  <c r="X54" i="3"/>
  <c r="X57" i="3" s="1"/>
  <c r="BA98" i="50"/>
  <c r="AB219" i="50"/>
  <c r="AB16" i="50"/>
  <c r="AC217" i="50"/>
  <c r="AC218" i="50" s="1"/>
  <c r="AC222" i="50"/>
  <c r="AC223" i="50" s="1"/>
  <c r="AD213" i="50"/>
  <c r="AD272" i="50"/>
  <c r="AY162" i="50"/>
  <c r="AO108" i="50" l="1"/>
  <c r="AP106" i="50"/>
  <c r="AP108" i="50" s="1"/>
  <c r="AO98" i="50"/>
  <c r="AP104" i="50"/>
  <c r="AE222" i="50"/>
  <c r="AE224" i="50" s="1"/>
  <c r="AE217" i="50"/>
  <c r="X60" i="3"/>
  <c r="Y54" i="3"/>
  <c r="Y57" i="3" s="1"/>
  <c r="AU141" i="3"/>
  <c r="AU144" i="3" s="1"/>
  <c r="AR144" i="3"/>
  <c r="AR147" i="3" s="1"/>
  <c r="AT141" i="3"/>
  <c r="AT144" i="3" s="1"/>
  <c r="AT147" i="3" s="1"/>
  <c r="AS141" i="3"/>
  <c r="AS144" i="3" s="1"/>
  <c r="AS147" i="3" s="1"/>
  <c r="AC224" i="50"/>
  <c r="BA100" i="50"/>
  <c r="AC219" i="50"/>
  <c r="AC12" i="50"/>
  <c r="AD217" i="50"/>
  <c r="AD222" i="50"/>
  <c r="AY213" i="50"/>
  <c r="AZ60" i="50"/>
  <c r="AZ61" i="50" s="1"/>
  <c r="AF162" i="50"/>
  <c r="AF213" i="50" s="1"/>
  <c r="AP98" i="50" l="1"/>
  <c r="BB98" i="50" s="1"/>
  <c r="BB100" i="50" s="1"/>
  <c r="BB106" i="50"/>
  <c r="BB108" i="50" s="1"/>
  <c r="AF217" i="50"/>
  <c r="AF219" i="50" s="1"/>
  <c r="AF222" i="50"/>
  <c r="AE219" i="50"/>
  <c r="AE16" i="50"/>
  <c r="AF272" i="50"/>
  <c r="Y60" i="3"/>
  <c r="Z54" i="3"/>
  <c r="Z57" i="3" s="1"/>
  <c r="AU147" i="3"/>
  <c r="AV141" i="3"/>
  <c r="AG162" i="50"/>
  <c r="AD223" i="50"/>
  <c r="AY222" i="50"/>
  <c r="AC14" i="50"/>
  <c r="AF224" i="50"/>
  <c r="AZ56" i="50"/>
  <c r="AZ57" i="50" s="1"/>
  <c r="AD218" i="50"/>
  <c r="AY217" i="50"/>
  <c r="AG213" i="50" l="1"/>
  <c r="AG272" i="50"/>
  <c r="AX141" i="3"/>
  <c r="AX144" i="3" s="1"/>
  <c r="AX147" i="3" s="1"/>
  <c r="AW141" i="3"/>
  <c r="AW144" i="3" s="1"/>
  <c r="AW147" i="3" s="1"/>
  <c r="AY141" i="3"/>
  <c r="AY144" i="3" s="1"/>
  <c r="AV144" i="3"/>
  <c r="AV147" i="3" s="1"/>
  <c r="AA54" i="3"/>
  <c r="AA57" i="3" s="1"/>
  <c r="Z60" i="3"/>
  <c r="AD219" i="50"/>
  <c r="AD12" i="50"/>
  <c r="AY218" i="50"/>
  <c r="AJ60" i="50"/>
  <c r="AD224" i="50"/>
  <c r="AY223" i="50"/>
  <c r="AC15" i="50"/>
  <c r="AG217" i="50" l="1"/>
  <c r="AG219" i="50" s="1"/>
  <c r="AG222" i="50"/>
  <c r="AZ162" i="50"/>
  <c r="AB54" i="3"/>
  <c r="AB57" i="3" s="1"/>
  <c r="AA60" i="3"/>
  <c r="AZ141" i="3"/>
  <c r="BC141" i="3" s="1"/>
  <c r="AY147" i="3"/>
  <c r="AD14" i="50"/>
  <c r="AY12" i="50"/>
  <c r="AI272" i="50"/>
  <c r="AK60" i="50"/>
  <c r="AJ56" i="50"/>
  <c r="AZ213" i="50"/>
  <c r="BA141" i="3" l="1"/>
  <c r="BB141" i="3"/>
  <c r="AB60" i="3"/>
  <c r="AC54" i="3"/>
  <c r="AC57" i="3" s="1"/>
  <c r="AJ162" i="50"/>
  <c r="AJ213" i="50" s="1"/>
  <c r="AJ57" i="50"/>
  <c r="AZ217" i="50"/>
  <c r="AZ222" i="50"/>
  <c r="AL60" i="50"/>
  <c r="AM60" i="50" s="1"/>
  <c r="AK56" i="50"/>
  <c r="AD15" i="50"/>
  <c r="AY14" i="50"/>
  <c r="BA76" i="43"/>
  <c r="BA58" i="43" s="1"/>
  <c r="AN60" i="50" l="1"/>
  <c r="AM56" i="50"/>
  <c r="AD54" i="3"/>
  <c r="AD57" i="3" s="1"/>
  <c r="AC60" i="3"/>
  <c r="AG224" i="50"/>
  <c r="AZ223" i="50"/>
  <c r="AL56" i="50"/>
  <c r="BA56" i="50" s="1"/>
  <c r="BA57" i="50" s="1"/>
  <c r="BA60" i="50"/>
  <c r="BA61" i="50" s="1"/>
  <c r="AG12" i="50"/>
  <c r="AZ218" i="50"/>
  <c r="AK162" i="50"/>
  <c r="AK57" i="50"/>
  <c r="AJ217" i="50"/>
  <c r="AJ218" i="50" s="1"/>
  <c r="AJ222" i="50"/>
  <c r="AJ223" i="50" s="1"/>
  <c r="AJ224" i="50" s="1"/>
  <c r="AM162" i="50" l="1"/>
  <c r="AM57" i="50"/>
  <c r="AO60" i="50"/>
  <c r="AN56" i="50"/>
  <c r="AD60" i="3"/>
  <c r="AE54" i="3"/>
  <c r="AE57" i="3" s="1"/>
  <c r="AJ219" i="50"/>
  <c r="AJ12" i="50"/>
  <c r="AK213" i="50"/>
  <c r="AI12" i="50"/>
  <c r="AL162" i="50"/>
  <c r="AL213" i="50" s="1"/>
  <c r="AL57" i="50"/>
  <c r="BA78" i="43"/>
  <c r="AZ12" i="50"/>
  <c r="AN162" i="50" l="1"/>
  <c r="AN213" i="50" s="1"/>
  <c r="AN57" i="50"/>
  <c r="AM213" i="50"/>
  <c r="AP60" i="50"/>
  <c r="AP56" i="50" s="1"/>
  <c r="AO56" i="50"/>
  <c r="BA68" i="43"/>
  <c r="BA28" i="43"/>
  <c r="BA8" i="43"/>
  <c r="BA38" i="43"/>
  <c r="BA18" i="43"/>
  <c r="AE60" i="3"/>
  <c r="AF54" i="3"/>
  <c r="AF57" i="3" s="1"/>
  <c r="BY65" i="43"/>
  <c r="AI224" i="50"/>
  <c r="BA81" i="43"/>
  <c r="AZ67" i="3"/>
  <c r="BA162" i="50"/>
  <c r="AK217" i="50"/>
  <c r="AK222" i="50"/>
  <c r="BA213" i="50"/>
  <c r="AL217" i="50"/>
  <c r="AL218" i="50" s="1"/>
  <c r="AL222" i="50"/>
  <c r="AL223" i="50" s="1"/>
  <c r="AL224" i="50" s="1"/>
  <c r="BE65" i="43"/>
  <c r="BB60" i="50" l="1"/>
  <c r="BB61" i="50" s="1"/>
  <c r="AM217" i="50"/>
  <c r="AM222" i="50"/>
  <c r="AO162" i="50"/>
  <c r="AO57" i="50"/>
  <c r="BB56" i="50"/>
  <c r="BB57" i="50" s="1"/>
  <c r="AP162" i="50"/>
  <c r="AP213" i="50" s="1"/>
  <c r="AP57" i="50"/>
  <c r="AN217" i="50"/>
  <c r="AN218" i="50" s="1"/>
  <c r="AN222" i="50"/>
  <c r="AN223" i="50" s="1"/>
  <c r="AN224" i="50" s="1"/>
  <c r="AG54" i="3"/>
  <c r="AG57" i="3" s="1"/>
  <c r="AF60" i="3"/>
  <c r="AL219" i="50"/>
  <c r="AL12" i="50"/>
  <c r="AK223" i="50"/>
  <c r="BA222" i="50"/>
  <c r="AK218" i="50"/>
  <c r="BA217" i="50"/>
  <c r="AZ81" i="43"/>
  <c r="BY67" i="43"/>
  <c r="BE67" i="43"/>
  <c r="AO213" i="50" l="1"/>
  <c r="BB162" i="50"/>
  <c r="AP217" i="50"/>
  <c r="AP218" i="50" s="1"/>
  <c r="AP222" i="50"/>
  <c r="AP223" i="50" s="1"/>
  <c r="AP224" i="50" s="1"/>
  <c r="AM223" i="50"/>
  <c r="AN12" i="50"/>
  <c r="BI65" i="43" s="1"/>
  <c r="AN219" i="50"/>
  <c r="AM218" i="50"/>
  <c r="AG60" i="3"/>
  <c r="AH54" i="3"/>
  <c r="AH57" i="3" s="1"/>
  <c r="BG65" i="43"/>
  <c r="AK219" i="50"/>
  <c r="AK12" i="50"/>
  <c r="BA218" i="50"/>
  <c r="AK224" i="50"/>
  <c r="BA223" i="50"/>
  <c r="BE66" i="43"/>
  <c r="AP219" i="50" l="1"/>
  <c r="AP12" i="50"/>
  <c r="BK65" i="43" s="1"/>
  <c r="BI67" i="43"/>
  <c r="AM12" i="50"/>
  <c r="AM219" i="50"/>
  <c r="AM224" i="50"/>
  <c r="AO217" i="50"/>
  <c r="AO222" i="50"/>
  <c r="BB213" i="50"/>
  <c r="AI54" i="3"/>
  <c r="AI57" i="3" s="1"/>
  <c r="AH60" i="3"/>
  <c r="BG67" i="43"/>
  <c r="BF65" i="43"/>
  <c r="BA12" i="50"/>
  <c r="AO223" i="50" l="1"/>
  <c r="BB222" i="50"/>
  <c r="AO218" i="50"/>
  <c r="BB217" i="50"/>
  <c r="BH65" i="43"/>
  <c r="BK67" i="43"/>
  <c r="BG66" i="43"/>
  <c r="BA79" i="43"/>
  <c r="AJ54" i="3"/>
  <c r="AJ57" i="3" s="1"/>
  <c r="AI60" i="3"/>
  <c r="BF66" i="43"/>
  <c r="BF67" i="43"/>
  <c r="BZ65" i="43"/>
  <c r="AO12" i="50" l="1"/>
  <c r="AO219" i="50"/>
  <c r="BB218" i="50"/>
  <c r="BH67" i="43"/>
  <c r="BH66" i="43"/>
  <c r="BI66" i="43"/>
  <c r="AO224" i="50"/>
  <c r="BB223" i="50"/>
  <c r="AJ60" i="3"/>
  <c r="AK54" i="3"/>
  <c r="AK57" i="3" s="1"/>
  <c r="BZ67" i="43"/>
  <c r="AZ96" i="3"/>
  <c r="BJ65" i="43" l="1"/>
  <c r="BB12" i="50"/>
  <c r="AL54" i="3"/>
  <c r="AL57" i="3" s="1"/>
  <c r="AK60" i="3"/>
  <c r="AZ116" i="2"/>
  <c r="BJ66" i="43" l="1"/>
  <c r="BJ67" i="43"/>
  <c r="BK66" i="43"/>
  <c r="CA65" i="43"/>
  <c r="CA67" i="43" s="1"/>
  <c r="BA70" i="2"/>
  <c r="AL60" i="3"/>
  <c r="AM54" i="3"/>
  <c r="AM57" i="3" s="1"/>
  <c r="BA96" i="3"/>
  <c r="BA114" i="3" s="1"/>
  <c r="BA143" i="3" s="1"/>
  <c r="BA144" i="3" s="1"/>
  <c r="BA147" i="3" s="1"/>
  <c r="BA116" i="2"/>
  <c r="BA72" i="2" l="1"/>
  <c r="BA73" i="2" s="1"/>
  <c r="BA80" i="2"/>
  <c r="BA81" i="2"/>
  <c r="BA82" i="2" s="1"/>
  <c r="AM60" i="3"/>
  <c r="AN54" i="3"/>
  <c r="AN57" i="3" s="1"/>
  <c r="AN60" i="3" l="1"/>
  <c r="AO54" i="3"/>
  <c r="AO57" i="3" s="1"/>
  <c r="AO60" i="3" l="1"/>
  <c r="AP54" i="3"/>
  <c r="AP57" i="3" s="1"/>
  <c r="AP60" i="3" l="1"/>
  <c r="AQ54" i="3"/>
  <c r="AQ57" i="3" s="1"/>
  <c r="AQ60" i="3" l="1"/>
  <c r="AR54" i="3"/>
  <c r="AR57" i="3" s="1"/>
  <c r="AS54" i="3" l="1"/>
  <c r="AS57" i="3" s="1"/>
  <c r="AR60" i="3"/>
  <c r="AT54" i="3" l="1"/>
  <c r="AT57" i="3" s="1"/>
  <c r="AS60" i="3"/>
  <c r="AT60" i="3" l="1"/>
  <c r="AU54" i="3"/>
  <c r="AU57" i="3" s="1"/>
  <c r="AU60" i="3" l="1"/>
  <c r="AV54" i="3"/>
  <c r="AV57" i="3" s="1"/>
  <c r="AV60" i="3" l="1"/>
  <c r="AW54" i="3"/>
  <c r="AW57" i="3" s="1"/>
  <c r="AW60" i="3" l="1"/>
  <c r="AX54" i="3"/>
  <c r="AX57" i="3" s="1"/>
  <c r="BY26" i="3"/>
  <c r="AY54" i="3" l="1"/>
  <c r="AY57" i="3" s="1"/>
  <c r="AZ54" i="3" s="1"/>
  <c r="AX60" i="3"/>
  <c r="BY113" i="3"/>
  <c r="BE26" i="3"/>
  <c r="AY60" i="3" l="1"/>
  <c r="BF26" i="3"/>
  <c r="BG26" i="3" l="1"/>
  <c r="AZ146" i="3" l="1"/>
  <c r="AZ74" i="3" l="1"/>
  <c r="AZ39" i="3"/>
  <c r="BA39" i="3" l="1"/>
  <c r="AZ68" i="3"/>
  <c r="AZ80" i="3"/>
  <c r="AZ72" i="3"/>
  <c r="AZ75" i="3" s="1"/>
  <c r="AZ70" i="3"/>
  <c r="BA80" i="3"/>
  <c r="BA68" i="3" l="1"/>
  <c r="BB39" i="3"/>
  <c r="BB80" i="3"/>
  <c r="BB68" i="3" l="1"/>
  <c r="BC39" i="3"/>
  <c r="BB72" i="3"/>
  <c r="BC68" i="3" l="1"/>
  <c r="BY39" i="3"/>
  <c r="BY126" i="3" s="1"/>
  <c r="BC80" i="3"/>
  <c r="BY69" i="3"/>
  <c r="BC72" i="3"/>
  <c r="BD69" i="3"/>
  <c r="BD80" i="3" s="1"/>
  <c r="BB74" i="3"/>
  <c r="BB75" i="3" s="1"/>
  <c r="BD72" i="3" l="1"/>
  <c r="BE69" i="3"/>
  <c r="BC74" i="3"/>
  <c r="BC75" i="3" s="1"/>
  <c r="BY19" i="2"/>
  <c r="BY72" i="3"/>
  <c r="BY80" i="3"/>
  <c r="BY79" i="3" s="1"/>
  <c r="BY83" i="3" s="1"/>
  <c r="BE80" i="3" l="1"/>
  <c r="BF69" i="3"/>
  <c r="BE72" i="3"/>
  <c r="BE19" i="2" s="1"/>
  <c r="BY74" i="3"/>
  <c r="BY75" i="3" s="1"/>
  <c r="BD74" i="3"/>
  <c r="BD75" i="3" s="1"/>
  <c r="BE74" i="3" l="1"/>
  <c r="BE75" i="3" s="1"/>
  <c r="BF80" i="3"/>
  <c r="BF72" i="3"/>
  <c r="BF19" i="2" s="1"/>
  <c r="BG69" i="3"/>
  <c r="BH69" i="3" s="1"/>
  <c r="BI69" i="3" l="1"/>
  <c r="BH72" i="3"/>
  <c r="BH19" i="2" s="1"/>
  <c r="BH74" i="3" s="1"/>
  <c r="BH75" i="3" s="1"/>
  <c r="BH80" i="3"/>
  <c r="BF74" i="3"/>
  <c r="BF75" i="3" s="1"/>
  <c r="BG80" i="3"/>
  <c r="BZ69" i="3"/>
  <c r="BG72" i="3"/>
  <c r="BG19" i="2" s="1"/>
  <c r="BI80" i="3" l="1"/>
  <c r="BJ69" i="3"/>
  <c r="BI72" i="3"/>
  <c r="BI19" i="2" s="1"/>
  <c r="BI74" i="3" s="1"/>
  <c r="BI75" i="3" s="1"/>
  <c r="BG74" i="3"/>
  <c r="BG75" i="3" s="1"/>
  <c r="BZ19" i="2"/>
  <c r="BZ80" i="3"/>
  <c r="BZ72" i="3"/>
  <c r="BK69" i="3" l="1"/>
  <c r="BJ72" i="3"/>
  <c r="BJ19" i="2" s="1"/>
  <c r="BJ74" i="3" s="1"/>
  <c r="BJ75" i="3" s="1"/>
  <c r="BJ80" i="3"/>
  <c r="BZ79" i="3"/>
  <c r="BZ83" i="3" s="1"/>
  <c r="BZ74" i="3"/>
  <c r="BZ75" i="3" s="1"/>
  <c r="CA69" i="3" l="1"/>
  <c r="CB69" i="3" s="1"/>
  <c r="BK72" i="3"/>
  <c r="BK19" i="2" s="1"/>
  <c r="BK80" i="3"/>
  <c r="BK74" i="3" l="1"/>
  <c r="BK75" i="3" s="1"/>
  <c r="CA19" i="2"/>
  <c r="CA74" i="3" s="1"/>
  <c r="CA80" i="3"/>
  <c r="CA72" i="3"/>
  <c r="CA79" i="3" l="1"/>
  <c r="CA83" i="3" s="1"/>
  <c r="CB79" i="3"/>
  <c r="CA75" i="3"/>
  <c r="CB71" i="3" l="1"/>
  <c r="CB72" i="3" s="1"/>
  <c r="CB19" i="2" s="1"/>
  <c r="CB74" i="3" s="1"/>
  <c r="CB75" i="3" s="1"/>
  <c r="CB11" i="3"/>
  <c r="AZ38" i="3"/>
  <c r="AZ31" i="3"/>
  <c r="AZ128" i="3"/>
  <c r="CB98" i="3" l="1"/>
  <c r="CB82" i="3"/>
  <c r="CB83" i="3" s="1"/>
  <c r="BA31" i="3"/>
  <c r="BB31" i="3" s="1"/>
  <c r="BC31" i="3" s="1"/>
  <c r="BA38" i="3"/>
  <c r="AZ41" i="3"/>
  <c r="AZ114" i="3"/>
  <c r="AZ143" i="3" s="1"/>
  <c r="AZ144" i="3" s="1"/>
  <c r="AZ147" i="3" s="1"/>
  <c r="AZ14" i="3"/>
  <c r="BB38" i="3" l="1"/>
  <c r="BA41" i="3"/>
  <c r="AZ27" i="3"/>
  <c r="AZ87" i="3" s="1"/>
  <c r="AZ88" i="3" s="1"/>
  <c r="BA14" i="3"/>
  <c r="BY31" i="3"/>
  <c r="BB41" i="3" l="1"/>
  <c r="BC38" i="3"/>
  <c r="BC41" i="3" s="1"/>
  <c r="BA27" i="3"/>
  <c r="BA56" i="3" s="1"/>
  <c r="BB14" i="3"/>
  <c r="BC14" i="3" s="1"/>
  <c r="BC27" i="3" s="1"/>
  <c r="BC56" i="3" s="1"/>
  <c r="BY38" i="3"/>
  <c r="BY125" i="3" s="1"/>
  <c r="AZ56" i="3"/>
  <c r="AZ57" i="3" s="1"/>
  <c r="BA54" i="3" s="1"/>
  <c r="BY118" i="3"/>
  <c r="BY128" i="3" s="1"/>
  <c r="BA87" i="3" l="1"/>
  <c r="BA88" i="3" s="1"/>
  <c r="BY41" i="3"/>
  <c r="BB27" i="3"/>
  <c r="BB56" i="3" s="1"/>
  <c r="BY14" i="3"/>
  <c r="BY101" i="3" s="1"/>
  <c r="BA57" i="3"/>
  <c r="AZ60" i="3"/>
  <c r="BA60" i="3" l="1"/>
  <c r="BB54" i="3"/>
  <c r="BB57" i="3" s="1"/>
  <c r="BB60" i="3" l="1"/>
  <c r="BC54" i="3"/>
  <c r="BC57" i="3" s="1"/>
  <c r="BC60" i="3" s="1"/>
  <c r="BA86" i="2"/>
  <c r="BA101" i="2"/>
  <c r="BB102" i="2" s="1"/>
  <c r="BY10" i="2" l="1"/>
  <c r="BA102" i="2"/>
  <c r="BA17" i="2"/>
  <c r="BA26" i="2" s="1"/>
  <c r="BA85" i="2"/>
  <c r="BA89" i="2" s="1"/>
  <c r="BA91" i="2" s="1"/>
  <c r="BA94" i="2" s="1"/>
  <c r="BA95" i="2" s="1"/>
  <c r="BA70" i="3" l="1"/>
  <c r="BB98" i="2"/>
  <c r="BE10" i="2"/>
  <c r="BC86" i="2"/>
  <c r="BA98" i="2"/>
  <c r="BA99" i="2"/>
  <c r="BA46" i="2"/>
  <c r="BD86" i="2" l="1"/>
  <c r="BE86" i="2"/>
  <c r="BF10" i="2"/>
  <c r="BF86" i="2" l="1"/>
  <c r="BG10" i="2"/>
  <c r="BH10" i="2" s="1"/>
  <c r="BI10" i="2" l="1"/>
  <c r="BH86" i="2"/>
  <c r="BG86" i="2"/>
  <c r="BZ10" i="2"/>
  <c r="BJ10" i="2" l="1"/>
  <c r="BI86" i="2"/>
  <c r="BK10" i="2" l="1"/>
  <c r="BJ86" i="2"/>
  <c r="AF110" i="50"/>
  <c r="AF119" i="50"/>
  <c r="AG120" i="50" s="1"/>
  <c r="BK86" i="2" l="1"/>
  <c r="CA10" i="2"/>
  <c r="AF120" i="50"/>
  <c r="AF122" i="50"/>
  <c r="AG123" i="50" s="1"/>
  <c r="CB10" i="2" l="1"/>
  <c r="AF153" i="50"/>
  <c r="AF125" i="50"/>
  <c r="AF123" i="50"/>
  <c r="AF7" i="50" l="1"/>
  <c r="AG154" i="50"/>
  <c r="AF155" i="50"/>
  <c r="AF154" i="50"/>
  <c r="AF157" i="50"/>
  <c r="AF14" i="50" l="1"/>
  <c r="AF15" i="50" s="1"/>
  <c r="BB76" i="43" l="1"/>
  <c r="BB58" i="43" s="1"/>
  <c r="BB78" i="43" l="1"/>
  <c r="BB68" i="43" l="1"/>
  <c r="BB38" i="43"/>
  <c r="BB28" i="43"/>
  <c r="BB18" i="43"/>
  <c r="BB8" i="43"/>
  <c r="BB81" i="43"/>
  <c r="BB79" i="43" l="1"/>
  <c r="BB116" i="2" l="1"/>
  <c r="BB96" i="3"/>
  <c r="BB114" i="3" s="1"/>
  <c r="BB143" i="3" s="1"/>
  <c r="BB144" i="3" s="1"/>
  <c r="BB147" i="3" s="1"/>
  <c r="BB87" i="3" l="1"/>
  <c r="BB88" i="3" s="1"/>
  <c r="BB70" i="3" l="1"/>
  <c r="AG7" i="50" l="1"/>
  <c r="AG157" i="50"/>
  <c r="AZ122" i="50" l="1"/>
  <c r="AZ119" i="50"/>
  <c r="AZ120" i="50" s="1"/>
  <c r="AG14" i="50"/>
  <c r="AG15" i="50" s="1"/>
  <c r="AZ123" i="50" l="1"/>
  <c r="AZ153" i="50"/>
  <c r="AZ139" i="50" l="1"/>
  <c r="AZ155" i="50"/>
  <c r="AZ142" i="50"/>
  <c r="AZ141" i="50"/>
  <c r="AZ140" i="50"/>
  <c r="AZ7" i="50"/>
  <c r="AZ156" i="50" l="1"/>
  <c r="AZ14" i="50"/>
  <c r="BC76" i="43"/>
  <c r="BC58" i="43" s="1"/>
  <c r="BY15" i="43"/>
  <c r="BY17" i="43" l="1"/>
  <c r="BY76" i="43"/>
  <c r="AZ137" i="50"/>
  <c r="AZ110" i="50"/>
  <c r="AZ125" i="50"/>
  <c r="BC78" i="43" l="1"/>
  <c r="BC68" i="43" l="1"/>
  <c r="BC38" i="43"/>
  <c r="BC28" i="43"/>
  <c r="BC18" i="43"/>
  <c r="BC8" i="43"/>
  <c r="BC81" i="43"/>
  <c r="BY56" i="2"/>
  <c r="BY67" i="3"/>
  <c r="BY78" i="43"/>
  <c r="BY16" i="2" l="1"/>
  <c r="BY54" i="2" s="1"/>
  <c r="BY28" i="43"/>
  <c r="BY38" i="43"/>
  <c r="BY58" i="43"/>
  <c r="BY68" i="43"/>
  <c r="BY8" i="43"/>
  <c r="BY48" i="43"/>
  <c r="BY81" i="43"/>
  <c r="BY18" i="43"/>
  <c r="BD67" i="3"/>
  <c r="BY12" i="2"/>
  <c r="BY50" i="2" s="1"/>
  <c r="BY20" i="3" l="1"/>
  <c r="BY22" i="3"/>
  <c r="BY109" i="3" s="1"/>
  <c r="BD81" i="43"/>
  <c r="BD22" i="3" l="1"/>
  <c r="BY57" i="2"/>
  <c r="BD20" i="3"/>
  <c r="BY107" i="3"/>
  <c r="BD107" i="3" l="1"/>
  <c r="BC79" i="43"/>
  <c r="BY30" i="2"/>
  <c r="BD23" i="3"/>
  <c r="BD109" i="3"/>
  <c r="BY13" i="2"/>
  <c r="BY52" i="2" s="1"/>
  <c r="BY51" i="2" s="1"/>
  <c r="BD21" i="3" l="1"/>
  <c r="BD110" i="3"/>
  <c r="BY23" i="3"/>
  <c r="BY110" i="3" s="1"/>
  <c r="BY21" i="3"/>
  <c r="BY79" i="43"/>
  <c r="BD108" i="3"/>
  <c r="BY36" i="2"/>
  <c r="BY53" i="2"/>
  <c r="BD9" i="3" l="1"/>
  <c r="BY108" i="3"/>
  <c r="BD96" i="3" l="1"/>
  <c r="BD113" i="3" s="1"/>
  <c r="BC96" i="3"/>
  <c r="BY68" i="2"/>
  <c r="BC116" i="2"/>
  <c r="BD114" i="3" l="1"/>
  <c r="BD143" i="3" s="1"/>
  <c r="BD26" i="3"/>
  <c r="BE113" i="3"/>
  <c r="BF113" i="3" s="1"/>
  <c r="BG113" i="3" s="1"/>
  <c r="BC114" i="3"/>
  <c r="BC143" i="3" s="1"/>
  <c r="BC144" i="3" s="1"/>
  <c r="BC147" i="3" s="1"/>
  <c r="BY9" i="3"/>
  <c r="BY27" i="3" s="1"/>
  <c r="BY87" i="3" s="1"/>
  <c r="BY88" i="3" s="1"/>
  <c r="BY70" i="2"/>
  <c r="BY116" i="2"/>
  <c r="BD70" i="2"/>
  <c r="BD116" i="2"/>
  <c r="BC80" i="2"/>
  <c r="BC81" i="2"/>
  <c r="BC82" i="2" s="1"/>
  <c r="BY42" i="2"/>
  <c r="BC87" i="3"/>
  <c r="BC88" i="3" s="1"/>
  <c r="BZ26" i="3" l="1"/>
  <c r="BZ113" i="3" s="1"/>
  <c r="BD27" i="3"/>
  <c r="BD141" i="3"/>
  <c r="BY96" i="3"/>
  <c r="BY114" i="3" s="1"/>
  <c r="BY143" i="3" s="1"/>
  <c r="BY144" i="3" s="1"/>
  <c r="BZ141" i="3" s="1"/>
  <c r="BY72" i="2"/>
  <c r="BY73" i="2" s="1"/>
  <c r="BY56" i="3"/>
  <c r="BY57" i="3" s="1"/>
  <c r="BZ54" i="3" s="1"/>
  <c r="BD54" i="3"/>
  <c r="BY80" i="2"/>
  <c r="BY81" i="2"/>
  <c r="BY82" i="2" s="1"/>
  <c r="BY44" i="2"/>
  <c r="BD72" i="2"/>
  <c r="BD73" i="2" s="1"/>
  <c r="BD80" i="2"/>
  <c r="BD81" i="2"/>
  <c r="BD82" i="2" s="1"/>
  <c r="BD44" i="2"/>
  <c r="BD87" i="3" l="1"/>
  <c r="BD88" i="3" s="1"/>
  <c r="BD56" i="3"/>
  <c r="BD57" i="3" s="1"/>
  <c r="BE54" i="3" s="1"/>
  <c r="BD144" i="3"/>
  <c r="BG141" i="3"/>
  <c r="BE141" i="3"/>
  <c r="BF141" i="3"/>
  <c r="BC85" i="2"/>
  <c r="BC89" i="2" s="1"/>
  <c r="BC91" i="2" s="1"/>
  <c r="BC94" i="2" s="1"/>
  <c r="BC95" i="2" s="1"/>
  <c r="BY9" i="2"/>
  <c r="BC101" i="2"/>
  <c r="BC102" i="2" l="1"/>
  <c r="BY17" i="2"/>
  <c r="BY26" i="2" s="1"/>
  <c r="BY59" i="3"/>
  <c r="BY60" i="3" s="1"/>
  <c r="BY146" i="3"/>
  <c r="BY147" i="3" s="1"/>
  <c r="BD85" i="2"/>
  <c r="BD89" i="2" s="1"/>
  <c r="BD91" i="2" s="1"/>
  <c r="BD94" i="2" s="1"/>
  <c r="BD95" i="2" s="1"/>
  <c r="BD59" i="3"/>
  <c r="BD60" i="3" s="1"/>
  <c r="BD146" i="3"/>
  <c r="BD147" i="3" s="1"/>
  <c r="BD101" i="2"/>
  <c r="BC99" i="2"/>
  <c r="BC98" i="2"/>
  <c r="BY70" i="3" l="1"/>
  <c r="BY46" i="2"/>
  <c r="BD102" i="2"/>
  <c r="BD99" i="2"/>
  <c r="BD70" i="3"/>
  <c r="BD46" i="2"/>
  <c r="BD98" i="2"/>
  <c r="AI7" i="50" l="1"/>
  <c r="AJ119" i="50"/>
  <c r="AK119" i="50" s="1"/>
  <c r="AJ122" i="50" l="1"/>
  <c r="AJ153" i="50" s="1"/>
  <c r="AJ155" i="50" s="1"/>
  <c r="AK122" i="50"/>
  <c r="AL119" i="50"/>
  <c r="BA119" i="50" s="1"/>
  <c r="BA120" i="50" s="1"/>
  <c r="AI14" i="50"/>
  <c r="AI16" i="50" s="1"/>
  <c r="AJ154" i="50" l="1"/>
  <c r="AJ123" i="50"/>
  <c r="AJ7" i="50"/>
  <c r="AJ156" i="50" s="1"/>
  <c r="AJ14" i="50"/>
  <c r="BE15" i="43"/>
  <c r="AL122" i="50"/>
  <c r="AM119" i="50"/>
  <c r="AI157" i="50"/>
  <c r="AK123" i="50"/>
  <c r="AK153" i="50"/>
  <c r="AN119" i="50" l="1"/>
  <c r="AM122" i="50"/>
  <c r="AK154" i="50"/>
  <c r="AK155" i="50"/>
  <c r="AK7" i="50"/>
  <c r="AL123" i="50"/>
  <c r="AL153" i="50"/>
  <c r="BA153" i="50" s="1"/>
  <c r="BA122" i="50"/>
  <c r="BE17" i="43"/>
  <c r="BE16" i="43"/>
  <c r="BE76" i="43"/>
  <c r="AJ157" i="50"/>
  <c r="AJ110" i="50"/>
  <c r="AJ125" i="50"/>
  <c r="BA155" i="50" l="1"/>
  <c r="BA140" i="50"/>
  <c r="BA142" i="50"/>
  <c r="BA141" i="50"/>
  <c r="BA139" i="50"/>
  <c r="BA123" i="50"/>
  <c r="AM123" i="50"/>
  <c r="AM153" i="50"/>
  <c r="AL154" i="50"/>
  <c r="AL155" i="50"/>
  <c r="AL7" i="50"/>
  <c r="AK14" i="50"/>
  <c r="AK156" i="50"/>
  <c r="BF15" i="43"/>
  <c r="BA7" i="50"/>
  <c r="AN122" i="50"/>
  <c r="AO119" i="50"/>
  <c r="BE58" i="43"/>
  <c r="BE8" i="1"/>
  <c r="AK157" i="50" l="1"/>
  <c r="AK110" i="50"/>
  <c r="AK125" i="50"/>
  <c r="AN123" i="50"/>
  <c r="AN153" i="50"/>
  <c r="AM155" i="50"/>
  <c r="AM154" i="50"/>
  <c r="AM7" i="50"/>
  <c r="BE30" i="1"/>
  <c r="BE67" i="3"/>
  <c r="BE10" i="1"/>
  <c r="BE11" i="1"/>
  <c r="BE43" i="1"/>
  <c r="BE35" i="1"/>
  <c r="BE38" i="1"/>
  <c r="BE78" i="43"/>
  <c r="BE56" i="2"/>
  <c r="BE26" i="1"/>
  <c r="BE59" i="1" s="1"/>
  <c r="AJ15" i="50"/>
  <c r="AL14" i="50"/>
  <c r="AL156" i="50"/>
  <c r="BA156" i="50" s="1"/>
  <c r="BG15" i="43"/>
  <c r="AO122" i="50"/>
  <c r="AP119" i="50"/>
  <c r="AP122" i="50" s="1"/>
  <c r="BF17" i="43"/>
  <c r="BF16" i="43"/>
  <c r="BF76" i="43"/>
  <c r="BE21" i="1" l="1"/>
  <c r="BE13" i="1" s="1"/>
  <c r="BE23" i="1" s="1"/>
  <c r="BE55" i="1" s="1"/>
  <c r="BB122" i="50"/>
  <c r="BB119" i="50"/>
  <c r="BB120" i="50" s="1"/>
  <c r="BA137" i="50"/>
  <c r="BA110" i="50"/>
  <c r="BA125" i="50"/>
  <c r="BF58" i="43"/>
  <c r="BF8" i="1"/>
  <c r="BG17" i="43"/>
  <c r="BG16" i="43"/>
  <c r="BG76" i="43"/>
  <c r="BE31" i="1"/>
  <c r="BE39" i="1"/>
  <c r="AN154" i="50"/>
  <c r="AN155" i="50"/>
  <c r="AN7" i="50"/>
  <c r="AL110" i="50"/>
  <c r="AL157" i="50"/>
  <c r="AL125" i="50"/>
  <c r="BE28" i="43"/>
  <c r="BE8" i="43"/>
  <c r="BE81" i="43"/>
  <c r="BE38" i="43"/>
  <c r="BE68" i="43"/>
  <c r="BE18" i="43"/>
  <c r="BB123" i="50"/>
  <c r="AP123" i="50"/>
  <c r="AP153" i="50"/>
  <c r="BE60" i="1"/>
  <c r="BE71" i="1"/>
  <c r="BZ15" i="43"/>
  <c r="AO123" i="50"/>
  <c r="AO153" i="50"/>
  <c r="BE12" i="2"/>
  <c r="BE16" i="2"/>
  <c r="AM14" i="50"/>
  <c r="AM156" i="50"/>
  <c r="BH15" i="43"/>
  <c r="BA14" i="50"/>
  <c r="BE24" i="1" l="1"/>
  <c r="BE57" i="2"/>
  <c r="BE30" i="2" s="1"/>
  <c r="BH17" i="43"/>
  <c r="BH16" i="43"/>
  <c r="BH76" i="43"/>
  <c r="AM157" i="50"/>
  <c r="AM110" i="50"/>
  <c r="AM125" i="50"/>
  <c r="AO154" i="50"/>
  <c r="AO155" i="50"/>
  <c r="AO7" i="50"/>
  <c r="BB153" i="50"/>
  <c r="BE56" i="1"/>
  <c r="BE79" i="43"/>
  <c r="BE70" i="1"/>
  <c r="AN156" i="50"/>
  <c r="AN14" i="50"/>
  <c r="BI15" i="43"/>
  <c r="BE22" i="3"/>
  <c r="BG58" i="43"/>
  <c r="BG8" i="1"/>
  <c r="BZ8" i="1" s="1"/>
  <c r="BE20" i="3"/>
  <c r="BZ17" i="43"/>
  <c r="BZ76" i="43"/>
  <c r="BZ83" i="43" s="1"/>
  <c r="BZ84" i="43" s="1"/>
  <c r="AP154" i="50"/>
  <c r="AP155" i="50"/>
  <c r="AP7" i="50"/>
  <c r="BF43" i="1"/>
  <c r="BF67" i="3"/>
  <c r="BF78" i="43"/>
  <c r="BF30" i="1"/>
  <c r="BF11" i="1"/>
  <c r="BF56" i="2"/>
  <c r="BF35" i="1"/>
  <c r="BF38" i="1"/>
  <c r="BF10" i="1"/>
  <c r="BF26" i="1"/>
  <c r="BF59" i="1" s="1"/>
  <c r="AK15" i="50"/>
  <c r="BE13" i="2" l="1"/>
  <c r="BE21" i="3" s="1"/>
  <c r="BF21" i="1"/>
  <c r="BF13" i="1" s="1"/>
  <c r="BF57" i="2" s="1"/>
  <c r="BE107" i="3"/>
  <c r="BF60" i="1"/>
  <c r="BF71" i="1"/>
  <c r="AP156" i="50"/>
  <c r="AP14" i="50"/>
  <c r="BK15" i="43"/>
  <c r="BG35" i="1"/>
  <c r="BG38" i="1"/>
  <c r="BG11" i="1"/>
  <c r="BG30" i="1"/>
  <c r="BG67" i="3"/>
  <c r="BG10" i="1"/>
  <c r="BG43" i="1"/>
  <c r="BG78" i="43"/>
  <c r="BG26" i="1"/>
  <c r="BG59" i="1" s="1"/>
  <c r="BG56" i="2"/>
  <c r="AL15" i="50"/>
  <c r="BE109" i="3"/>
  <c r="AN110" i="50"/>
  <c r="AN157" i="50"/>
  <c r="AN125" i="50"/>
  <c r="AO156" i="50"/>
  <c r="AO14" i="50"/>
  <c r="BJ15" i="43"/>
  <c r="BB7" i="50"/>
  <c r="BF16" i="2"/>
  <c r="BF12" i="2"/>
  <c r="BE36" i="2"/>
  <c r="BE23" i="3"/>
  <c r="BF68" i="43"/>
  <c r="BF8" i="43"/>
  <c r="BF81" i="43"/>
  <c r="BF28" i="43"/>
  <c r="BF38" i="43"/>
  <c r="BF18" i="43"/>
  <c r="BI17" i="43"/>
  <c r="BI16" i="43"/>
  <c r="BI76" i="43"/>
  <c r="BZ43" i="1"/>
  <c r="BZ38" i="1"/>
  <c r="BZ35" i="1"/>
  <c r="BZ54" i="1"/>
  <c r="BZ67" i="3"/>
  <c r="BZ11" i="1"/>
  <c r="BZ78" i="43"/>
  <c r="BZ30" i="1"/>
  <c r="BZ56" i="2"/>
  <c r="BF31" i="1"/>
  <c r="BF39" i="1"/>
  <c r="BE73" i="1"/>
  <c r="BE80" i="1" s="1"/>
  <c r="BB142" i="50"/>
  <c r="BB155" i="50"/>
  <c r="BB140" i="50"/>
  <c r="BB139" i="50"/>
  <c r="BB141" i="50"/>
  <c r="BH58" i="43"/>
  <c r="BH8" i="1"/>
  <c r="BF23" i="1" l="1"/>
  <c r="BF24" i="1" s="1"/>
  <c r="BB156" i="50"/>
  <c r="BG21" i="1"/>
  <c r="BG13" i="1" s="1"/>
  <c r="BG57" i="2" s="1"/>
  <c r="BG30" i="2" s="1"/>
  <c r="BF20" i="3"/>
  <c r="BK17" i="43"/>
  <c r="BK16" i="43"/>
  <c r="BK76" i="43"/>
  <c r="BF13" i="2"/>
  <c r="BF30" i="2"/>
  <c r="BE81" i="1"/>
  <c r="BE89" i="1"/>
  <c r="BE9" i="3"/>
  <c r="BE68" i="2"/>
  <c r="BH38" i="1"/>
  <c r="BH35" i="1"/>
  <c r="BH30" i="1"/>
  <c r="BH67" i="3"/>
  <c r="BH43" i="1"/>
  <c r="BH11" i="1"/>
  <c r="BH10" i="1"/>
  <c r="BH78" i="43"/>
  <c r="BH56" i="2"/>
  <c r="BH26" i="1"/>
  <c r="BH59" i="1" s="1"/>
  <c r="AM15" i="50"/>
  <c r="BE77" i="1"/>
  <c r="BI58" i="43"/>
  <c r="BI8" i="1"/>
  <c r="BB137" i="50"/>
  <c r="BB110" i="50"/>
  <c r="BB125" i="50"/>
  <c r="BE110" i="3"/>
  <c r="BG16" i="2"/>
  <c r="BG12" i="2"/>
  <c r="BG31" i="1"/>
  <c r="BG39" i="1"/>
  <c r="AP157" i="50"/>
  <c r="AP110" i="50"/>
  <c r="AP125" i="50"/>
  <c r="BZ8" i="43"/>
  <c r="BZ38" i="43"/>
  <c r="BZ58" i="43"/>
  <c r="BZ68" i="43"/>
  <c r="BZ81" i="43"/>
  <c r="BZ28" i="43"/>
  <c r="BZ18" i="43"/>
  <c r="BJ17" i="43"/>
  <c r="BJ16" i="43"/>
  <c r="BJ76" i="43"/>
  <c r="BG60" i="1"/>
  <c r="BG71" i="1"/>
  <c r="BE108" i="3"/>
  <c r="BZ31" i="1"/>
  <c r="BZ39" i="1"/>
  <c r="BB14" i="50"/>
  <c r="BG8" i="43"/>
  <c r="BG38" i="43"/>
  <c r="BG28" i="43"/>
  <c r="BG68" i="43"/>
  <c r="BG81" i="43"/>
  <c r="BG18" i="43"/>
  <c r="BF22" i="3"/>
  <c r="BF109" i="3" s="1"/>
  <c r="AO157" i="50"/>
  <c r="AO110" i="50"/>
  <c r="AO125" i="50"/>
  <c r="CA15" i="43"/>
  <c r="BG23" i="1" l="1"/>
  <c r="BZ13" i="1"/>
  <c r="BZ21" i="1" s="1"/>
  <c r="BF55" i="1"/>
  <c r="BF70" i="1" s="1"/>
  <c r="BG13" i="2"/>
  <c r="BZ13" i="2" s="1"/>
  <c r="BH21" i="1"/>
  <c r="BH13" i="1" s="1"/>
  <c r="BH23" i="1" s="1"/>
  <c r="BH55" i="1" s="1"/>
  <c r="CA17" i="43"/>
  <c r="CA76" i="43"/>
  <c r="CA83" i="43" s="1"/>
  <c r="CA84" i="43" s="1"/>
  <c r="BE78" i="1"/>
  <c r="BE87" i="1"/>
  <c r="BE93" i="1" s="1"/>
  <c r="BE116" i="2"/>
  <c r="BE70" i="2"/>
  <c r="BE42" i="2" s="1"/>
  <c r="BF23" i="3"/>
  <c r="BF36" i="2"/>
  <c r="BI38" i="1"/>
  <c r="BI30" i="1"/>
  <c r="BI67" i="3"/>
  <c r="BI43" i="1"/>
  <c r="BI35" i="1"/>
  <c r="BI10" i="1"/>
  <c r="BI78" i="43"/>
  <c r="BI11" i="1"/>
  <c r="BI56" i="2"/>
  <c r="BI26" i="1"/>
  <c r="BI59" i="1" s="1"/>
  <c r="AN15" i="50"/>
  <c r="BE91" i="1"/>
  <c r="BK58" i="43"/>
  <c r="BK8" i="1"/>
  <c r="BH68" i="43"/>
  <c r="BH81" i="43"/>
  <c r="BH38" i="43"/>
  <c r="BH8" i="43"/>
  <c r="BH28" i="43"/>
  <c r="BH18" i="43"/>
  <c r="BZ12" i="2"/>
  <c r="BZ50" i="2" s="1"/>
  <c r="BH16" i="2"/>
  <c r="BH22" i="3" s="1"/>
  <c r="BH12" i="2"/>
  <c r="BG36" i="2"/>
  <c r="BG23" i="3"/>
  <c r="BZ30" i="2"/>
  <c r="BZ16" i="2"/>
  <c r="BZ54" i="2" s="1"/>
  <c r="BF107" i="3"/>
  <c r="BG22" i="3"/>
  <c r="BG109" i="3" s="1"/>
  <c r="BJ58" i="43"/>
  <c r="BJ8" i="1"/>
  <c r="BH60" i="1"/>
  <c r="BH71" i="1"/>
  <c r="BH39" i="1"/>
  <c r="BH31" i="1"/>
  <c r="BE96" i="3"/>
  <c r="BE27" i="3"/>
  <c r="BF21" i="3"/>
  <c r="BG20" i="3"/>
  <c r="BZ20" i="3" s="1"/>
  <c r="BG55" i="1" l="1"/>
  <c r="BG56" i="1" s="1"/>
  <c r="BG24" i="1"/>
  <c r="BF56" i="1"/>
  <c r="BZ57" i="2"/>
  <c r="BZ52" i="2" s="1"/>
  <c r="BZ51" i="2" s="1"/>
  <c r="BZ23" i="1"/>
  <c r="BF79" i="43"/>
  <c r="BG21" i="3"/>
  <c r="BZ21" i="3" s="1"/>
  <c r="BZ108" i="3" s="1"/>
  <c r="BH24" i="1"/>
  <c r="BH57" i="2"/>
  <c r="BH30" i="2" s="1"/>
  <c r="CA8" i="1"/>
  <c r="CA43" i="1" s="1"/>
  <c r="BZ23" i="3"/>
  <c r="BZ110" i="3" s="1"/>
  <c r="BZ22" i="3"/>
  <c r="BZ109" i="3" s="1"/>
  <c r="BH79" i="43"/>
  <c r="BH56" i="1"/>
  <c r="BH70" i="1"/>
  <c r="BF73" i="1"/>
  <c r="BF80" i="1" s="1"/>
  <c r="BF110" i="3"/>
  <c r="BG110" i="3" s="1"/>
  <c r="BZ26" i="1"/>
  <c r="BG107" i="3"/>
  <c r="BH109" i="3"/>
  <c r="BF108" i="3"/>
  <c r="BG108" i="3" s="1"/>
  <c r="BK38" i="1"/>
  <c r="BK43" i="1"/>
  <c r="BK67" i="3"/>
  <c r="BK30" i="1"/>
  <c r="BK11" i="1"/>
  <c r="BK35" i="1"/>
  <c r="BK26" i="1"/>
  <c r="BK59" i="1" s="1"/>
  <c r="BK78" i="43"/>
  <c r="BK10" i="1"/>
  <c r="BK56" i="2"/>
  <c r="AP15" i="50"/>
  <c r="BI60" i="1"/>
  <c r="BI71" i="1"/>
  <c r="BI39" i="1"/>
  <c r="BI31" i="1"/>
  <c r="BJ43" i="1"/>
  <c r="BJ38" i="1"/>
  <c r="BJ67" i="3"/>
  <c r="BJ30" i="1"/>
  <c r="BJ35" i="1"/>
  <c r="BJ11" i="1"/>
  <c r="BJ10" i="1"/>
  <c r="BJ78" i="43"/>
  <c r="BJ56" i="2"/>
  <c r="BJ26" i="1"/>
  <c r="BJ59" i="1" s="1"/>
  <c r="AO15" i="50"/>
  <c r="BZ107" i="3"/>
  <c r="BH20" i="3"/>
  <c r="BG79" i="43"/>
  <c r="BI12" i="2"/>
  <c r="BI16" i="2"/>
  <c r="BI22" i="3" s="1"/>
  <c r="BE87" i="3"/>
  <c r="BE88" i="3" s="1"/>
  <c r="BE56" i="3"/>
  <c r="BE114" i="3"/>
  <c r="BE143" i="3" s="1"/>
  <c r="BE144" i="3" s="1"/>
  <c r="BZ36" i="2"/>
  <c r="BI21" i="1"/>
  <c r="BI13" i="1" s="1"/>
  <c r="BI68" i="43"/>
  <c r="BI81" i="43"/>
  <c r="BI28" i="43"/>
  <c r="BI38" i="43"/>
  <c r="BI8" i="43"/>
  <c r="BI18" i="43"/>
  <c r="BE72" i="2"/>
  <c r="BE73" i="2" s="1"/>
  <c r="BE81" i="2"/>
  <c r="BE82" i="2" s="1"/>
  <c r="BE80" i="2"/>
  <c r="BE44" i="2"/>
  <c r="BG70" i="1" l="1"/>
  <c r="BK21" i="1"/>
  <c r="BK13" i="1" s="1"/>
  <c r="BK57" i="2" s="1"/>
  <c r="BK13" i="2" s="1"/>
  <c r="CA13" i="2" s="1"/>
  <c r="BZ55" i="1"/>
  <c r="BH13" i="2"/>
  <c r="BH21" i="3" s="1"/>
  <c r="BZ53" i="2"/>
  <c r="BZ24" i="1"/>
  <c r="CA78" i="43"/>
  <c r="CA38" i="43" s="1"/>
  <c r="CB8" i="1"/>
  <c r="CB67" i="3" s="1"/>
  <c r="CA56" i="2"/>
  <c r="CA11" i="1"/>
  <c r="CA39" i="1" s="1"/>
  <c r="CA54" i="1"/>
  <c r="CA35" i="1"/>
  <c r="CA67" i="3"/>
  <c r="CA38" i="1"/>
  <c r="CA30" i="1"/>
  <c r="BF81" i="1"/>
  <c r="BF9" i="3"/>
  <c r="BF89" i="1"/>
  <c r="BF68" i="2"/>
  <c r="BI57" i="2"/>
  <c r="BI23" i="1"/>
  <c r="BE57" i="3"/>
  <c r="BF54" i="3" s="1"/>
  <c r="BE9" i="2"/>
  <c r="BG73" i="1"/>
  <c r="BG77" i="1" s="1"/>
  <c r="BG78" i="1" s="1"/>
  <c r="BJ21" i="1"/>
  <c r="BJ13" i="1" s="1"/>
  <c r="BJ39" i="1"/>
  <c r="BJ31" i="1"/>
  <c r="BH36" i="2"/>
  <c r="BH23" i="3"/>
  <c r="BK60" i="1"/>
  <c r="BK71" i="1"/>
  <c r="BI109" i="3"/>
  <c r="BJ16" i="2"/>
  <c r="BJ12" i="2"/>
  <c r="BJ20" i="3" s="1"/>
  <c r="BK31" i="1"/>
  <c r="BK39" i="1"/>
  <c r="BJ60" i="1"/>
  <c r="BJ71" i="1"/>
  <c r="BK16" i="2"/>
  <c r="CA16" i="2" s="1"/>
  <c r="BK12" i="2"/>
  <c r="CA12" i="2" s="1"/>
  <c r="BF77" i="1"/>
  <c r="BF78" i="1" s="1"/>
  <c r="BH73" i="1"/>
  <c r="BH107" i="3"/>
  <c r="BJ8" i="43"/>
  <c r="BJ68" i="43"/>
  <c r="BJ28" i="43"/>
  <c r="BJ81" i="43"/>
  <c r="BJ38" i="43"/>
  <c r="BJ18" i="43"/>
  <c r="BI20" i="3"/>
  <c r="BK28" i="43"/>
  <c r="BK81" i="43"/>
  <c r="BK68" i="43"/>
  <c r="BK38" i="43"/>
  <c r="BK8" i="43"/>
  <c r="BK18" i="43"/>
  <c r="BZ27" i="1"/>
  <c r="BZ59" i="1"/>
  <c r="BK30" i="2" l="1"/>
  <c r="BK36" i="2" s="1"/>
  <c r="BK23" i="1"/>
  <c r="BK24" i="1" s="1"/>
  <c r="BZ70" i="1"/>
  <c r="BZ79" i="43"/>
  <c r="BZ56" i="1"/>
  <c r="CB54" i="1"/>
  <c r="CB56" i="2"/>
  <c r="CB12" i="2" s="1"/>
  <c r="CB20" i="3" s="1"/>
  <c r="CB107" i="3" s="1"/>
  <c r="CB38" i="1"/>
  <c r="CB43" i="1"/>
  <c r="CB35" i="1"/>
  <c r="CB30" i="1"/>
  <c r="CA18" i="43"/>
  <c r="CA68" i="43"/>
  <c r="CA81" i="43"/>
  <c r="CA28" i="43"/>
  <c r="CA58" i="43"/>
  <c r="CA8" i="43"/>
  <c r="CA31" i="1"/>
  <c r="BK55" i="1"/>
  <c r="BK56" i="1" s="1"/>
  <c r="BK22" i="3"/>
  <c r="BZ73" i="1"/>
  <c r="BI107" i="3"/>
  <c r="BJ107" i="3" s="1"/>
  <c r="BE59" i="3"/>
  <c r="BE60" i="3" s="1"/>
  <c r="BE146" i="3"/>
  <c r="BE147" i="3" s="1"/>
  <c r="BE17" i="2"/>
  <c r="BE26" i="2" s="1"/>
  <c r="BE85" i="2"/>
  <c r="BE89" i="2" s="1"/>
  <c r="BE91" i="2" s="1"/>
  <c r="BE94" i="2" s="1"/>
  <c r="BE95" i="2" s="1"/>
  <c r="BE101" i="2"/>
  <c r="BE102" i="2" s="1"/>
  <c r="BI24" i="1"/>
  <c r="BI55" i="1"/>
  <c r="BF116" i="2"/>
  <c r="BF70" i="2"/>
  <c r="BF42" i="2" s="1"/>
  <c r="BJ22" i="3"/>
  <c r="BH110" i="3"/>
  <c r="BJ57" i="2"/>
  <c r="BJ23" i="1"/>
  <c r="CA13" i="1"/>
  <c r="BF91" i="1"/>
  <c r="BH77" i="1"/>
  <c r="CA50" i="2"/>
  <c r="BH80" i="1"/>
  <c r="BF87" i="1"/>
  <c r="BF93" i="1" s="1"/>
  <c r="BZ77" i="1"/>
  <c r="CA54" i="2"/>
  <c r="CB54" i="2" s="1"/>
  <c r="BG80" i="1"/>
  <c r="BI30" i="2"/>
  <c r="BI13" i="2"/>
  <c r="BF27" i="3"/>
  <c r="BF96" i="3"/>
  <c r="BZ60" i="1"/>
  <c r="BZ71" i="1"/>
  <c r="BK79" i="43"/>
  <c r="BH108" i="3"/>
  <c r="BK20" i="3"/>
  <c r="CA20" i="3" s="1"/>
  <c r="BG87" i="1"/>
  <c r="BG93" i="1" s="1"/>
  <c r="CA30" i="2" l="1"/>
  <c r="CA36" i="2" s="1"/>
  <c r="BZ74" i="1"/>
  <c r="CB16" i="2"/>
  <c r="CB22" i="3" s="1"/>
  <c r="CB109" i="3" s="1"/>
  <c r="CA22" i="3"/>
  <c r="CA109" i="3" s="1"/>
  <c r="BZ80" i="1"/>
  <c r="BZ81" i="1" s="1"/>
  <c r="BK70" i="1"/>
  <c r="BK73" i="1" s="1"/>
  <c r="BK77" i="1" s="1"/>
  <c r="CA107" i="3"/>
  <c r="BI36" i="2"/>
  <c r="BI23" i="3"/>
  <c r="BI110" i="3" s="1"/>
  <c r="BF114" i="3"/>
  <c r="BF143" i="3" s="1"/>
  <c r="BF144" i="3" s="1"/>
  <c r="BG81" i="1"/>
  <c r="BG9" i="3"/>
  <c r="BG27" i="3" s="1"/>
  <c r="BG89" i="1"/>
  <c r="BH81" i="1"/>
  <c r="BH89" i="1"/>
  <c r="BH9" i="3"/>
  <c r="CA57" i="2"/>
  <c r="CA52" i="2" s="1"/>
  <c r="CA51" i="2" s="1"/>
  <c r="CA21" i="1"/>
  <c r="CA23" i="1"/>
  <c r="BI79" i="43"/>
  <c r="BI56" i="1"/>
  <c r="BI70" i="1"/>
  <c r="BF87" i="3"/>
  <c r="BF88" i="3" s="1"/>
  <c r="BF56" i="3"/>
  <c r="BZ78" i="1"/>
  <c r="BH78" i="1"/>
  <c r="BH87" i="1"/>
  <c r="BH93" i="1" s="1"/>
  <c r="BJ24" i="1"/>
  <c r="BJ55" i="1"/>
  <c r="BG68" i="2"/>
  <c r="BE99" i="2"/>
  <c r="BE70" i="3"/>
  <c r="BE98" i="2"/>
  <c r="BE46" i="2"/>
  <c r="BZ87" i="1"/>
  <c r="BZ93" i="1" s="1"/>
  <c r="BI21" i="3"/>
  <c r="BK107" i="3"/>
  <c r="BJ30" i="2"/>
  <c r="BJ13" i="2"/>
  <c r="BK21" i="3" s="1"/>
  <c r="BF80" i="2"/>
  <c r="BF72" i="2"/>
  <c r="BF73" i="2" s="1"/>
  <c r="BF81" i="2"/>
  <c r="BF82" i="2" s="1"/>
  <c r="BF44" i="2"/>
  <c r="BJ109" i="3"/>
  <c r="BK109" i="3" s="1"/>
  <c r="BZ89" i="1" l="1"/>
  <c r="BZ91" i="1" s="1"/>
  <c r="BZ9" i="3"/>
  <c r="BZ27" i="3" s="1"/>
  <c r="BZ87" i="3" s="1"/>
  <c r="BZ88" i="3" s="1"/>
  <c r="BH27" i="3"/>
  <c r="BH96" i="3"/>
  <c r="BJ36" i="2"/>
  <c r="BJ23" i="3"/>
  <c r="BJ110" i="3" s="1"/>
  <c r="BK23" i="3"/>
  <c r="BJ56" i="1"/>
  <c r="BJ79" i="43"/>
  <c r="BJ70" i="1"/>
  <c r="BF57" i="3"/>
  <c r="BG54" i="3" s="1"/>
  <c r="BF9" i="2"/>
  <c r="BI73" i="1"/>
  <c r="BI80" i="1" s="1"/>
  <c r="CA26" i="1"/>
  <c r="BG96" i="3"/>
  <c r="BG114" i="3" s="1"/>
  <c r="BG143" i="3" s="1"/>
  <c r="BG144" i="3" s="1"/>
  <c r="BH141" i="3" s="1"/>
  <c r="BG91" i="1"/>
  <c r="BK80" i="1"/>
  <c r="BG56" i="3"/>
  <c r="BG87" i="3"/>
  <c r="BG88" i="3" s="1"/>
  <c r="BK78" i="1"/>
  <c r="BK87" i="1"/>
  <c r="BK93" i="1" s="1"/>
  <c r="BJ21" i="3"/>
  <c r="CA21" i="3" s="1"/>
  <c r="BG116" i="2"/>
  <c r="BZ68" i="2"/>
  <c r="BG70" i="2"/>
  <c r="BG42" i="2" s="1"/>
  <c r="BH68" i="2"/>
  <c r="CA53" i="2"/>
  <c r="CA24" i="1"/>
  <c r="CA55" i="1"/>
  <c r="BH91" i="1"/>
  <c r="BI108" i="3"/>
  <c r="BJ108" i="3" s="1"/>
  <c r="BK108" i="3" s="1"/>
  <c r="BZ96" i="3" l="1"/>
  <c r="BZ114" i="3" s="1"/>
  <c r="BZ143" i="3" s="1"/>
  <c r="BZ144" i="3" s="1"/>
  <c r="CA141" i="3" s="1"/>
  <c r="BG57" i="3"/>
  <c r="BH54" i="3" s="1"/>
  <c r="CA23" i="3"/>
  <c r="CA110" i="3" s="1"/>
  <c r="BI89" i="1"/>
  <c r="BI81" i="1"/>
  <c r="BI9" i="3"/>
  <c r="BI27" i="3" s="1"/>
  <c r="CA27" i="1"/>
  <c r="CA59" i="1"/>
  <c r="BH87" i="3"/>
  <c r="BH88" i="3" s="1"/>
  <c r="BH56" i="3"/>
  <c r="CB24" i="1"/>
  <c r="BH116" i="2"/>
  <c r="BH70" i="2"/>
  <c r="BH42" i="2" s="1"/>
  <c r="BI68" i="2"/>
  <c r="BK110" i="3"/>
  <c r="BG80" i="2"/>
  <c r="BG44" i="2"/>
  <c r="BG72" i="2"/>
  <c r="BZ42" i="2"/>
  <c r="BG81" i="2"/>
  <c r="BG82" i="2" s="1"/>
  <c r="BI141" i="3"/>
  <c r="BJ141" i="3"/>
  <c r="BK141" i="3"/>
  <c r="BI77" i="1"/>
  <c r="BJ73" i="1"/>
  <c r="BJ77" i="1" s="1"/>
  <c r="BH114" i="3"/>
  <c r="BH143" i="3" s="1"/>
  <c r="BH144" i="3" s="1"/>
  <c r="CA79" i="43"/>
  <c r="CA56" i="1"/>
  <c r="CA70" i="1"/>
  <c r="BZ116" i="2"/>
  <c r="BZ70" i="2"/>
  <c r="CA108" i="3"/>
  <c r="BF146" i="3"/>
  <c r="BF147" i="3" s="1"/>
  <c r="BF17" i="2"/>
  <c r="BF26" i="2" s="1"/>
  <c r="BF59" i="3"/>
  <c r="BF60" i="3" s="1"/>
  <c r="BF85" i="2"/>
  <c r="BF89" i="2" s="1"/>
  <c r="BF91" i="2" s="1"/>
  <c r="BF94" i="2" s="1"/>
  <c r="BF95" i="2" s="1"/>
  <c r="BG9" i="2"/>
  <c r="BF101" i="2"/>
  <c r="BK81" i="1"/>
  <c r="BK89" i="1"/>
  <c r="BK91" i="1" s="1"/>
  <c r="BK9" i="3"/>
  <c r="BK27" i="3" s="1"/>
  <c r="BZ56" i="3"/>
  <c r="BZ57" i="3" s="1"/>
  <c r="CA54" i="3" s="1"/>
  <c r="BI96" i="3" l="1"/>
  <c r="BG59" i="3"/>
  <c r="BG60" i="3" s="1"/>
  <c r="BG85" i="2"/>
  <c r="BG89" i="2" s="1"/>
  <c r="BG91" i="2" s="1"/>
  <c r="BG94" i="2" s="1"/>
  <c r="BG95" i="2" s="1"/>
  <c r="BZ9" i="2"/>
  <c r="BG17" i="2"/>
  <c r="BG26" i="2" s="1"/>
  <c r="BG146" i="3"/>
  <c r="BG147" i="3" s="1"/>
  <c r="BH9" i="2"/>
  <c r="BH101" i="2" s="1"/>
  <c r="BI78" i="1"/>
  <c r="BI87" i="1"/>
  <c r="BI93" i="1" s="1"/>
  <c r="CA77" i="1"/>
  <c r="BZ80" i="2"/>
  <c r="BZ81" i="2"/>
  <c r="BZ82" i="2" s="1"/>
  <c r="BZ44" i="2"/>
  <c r="BI116" i="2"/>
  <c r="BI70" i="2"/>
  <c r="BI42" i="2" s="1"/>
  <c r="CB23" i="1"/>
  <c r="CB55" i="1" s="1"/>
  <c r="CB13" i="1"/>
  <c r="BJ80" i="1"/>
  <c r="BG73" i="2"/>
  <c r="BZ72" i="2"/>
  <c r="BZ73" i="2" s="1"/>
  <c r="BH80" i="2"/>
  <c r="BH72" i="2"/>
  <c r="BH73" i="2" s="1"/>
  <c r="BH81" i="2"/>
  <c r="BH82" i="2" s="1"/>
  <c r="BH44" i="2"/>
  <c r="BH57" i="3"/>
  <c r="BI54" i="3" s="1"/>
  <c r="BI87" i="3"/>
  <c r="BI88" i="3" s="1"/>
  <c r="BI56" i="3"/>
  <c r="BJ78" i="1"/>
  <c r="BJ87" i="1"/>
  <c r="BJ93" i="1" s="1"/>
  <c r="BG46" i="2"/>
  <c r="BK87" i="3"/>
  <c r="BK88" i="3" s="1"/>
  <c r="BK56" i="3"/>
  <c r="BF102" i="2"/>
  <c r="BF70" i="3"/>
  <c r="BF99" i="2"/>
  <c r="BF98" i="2"/>
  <c r="BF46" i="2"/>
  <c r="BG98" i="2"/>
  <c r="BI114" i="3"/>
  <c r="BI143" i="3" s="1"/>
  <c r="BI144" i="3" s="1"/>
  <c r="CA73" i="1"/>
  <c r="CA74" i="1" s="1"/>
  <c r="CB74" i="1" s="1"/>
  <c r="CB84" i="1" s="1"/>
  <c r="BG101" i="2"/>
  <c r="BG102" i="2" s="1"/>
  <c r="CA71" i="1"/>
  <c r="CA60" i="1"/>
  <c r="BI91" i="1"/>
  <c r="CA87" i="1" l="1"/>
  <c r="CA93" i="1" s="1"/>
  <c r="CB76" i="1"/>
  <c r="CB85" i="1"/>
  <c r="BH102" i="2"/>
  <c r="BI57" i="3"/>
  <c r="BJ54" i="3" s="1"/>
  <c r="BJ89" i="1"/>
  <c r="BJ81" i="1"/>
  <c r="BJ9" i="3"/>
  <c r="CB56" i="1"/>
  <c r="CB70" i="1"/>
  <c r="BG99" i="2"/>
  <c r="BG70" i="3"/>
  <c r="BJ68" i="2"/>
  <c r="BZ59" i="3"/>
  <c r="BZ60" i="3" s="1"/>
  <c r="BZ17" i="2"/>
  <c r="BZ26" i="2" s="1"/>
  <c r="BZ70" i="3" s="1"/>
  <c r="BZ146" i="3"/>
  <c r="BZ147" i="3" s="1"/>
  <c r="BI72" i="2"/>
  <c r="BI73" i="2" s="1"/>
  <c r="BI80" i="2"/>
  <c r="BI81" i="2"/>
  <c r="BI82" i="2" s="1"/>
  <c r="BI44" i="2"/>
  <c r="BH59" i="3"/>
  <c r="BH60" i="3" s="1"/>
  <c r="BH85" i="2"/>
  <c r="BH89" i="2" s="1"/>
  <c r="BH91" i="2" s="1"/>
  <c r="BH94" i="2" s="1"/>
  <c r="BH95" i="2" s="1"/>
  <c r="BH146" i="3"/>
  <c r="BH147" i="3" s="1"/>
  <c r="BH17" i="2"/>
  <c r="BH26" i="2" s="1"/>
  <c r="BI9" i="2"/>
  <c r="CA80" i="1"/>
  <c r="CB21" i="1"/>
  <c r="CB26" i="1" s="1"/>
  <c r="CB57" i="2"/>
  <c r="CA78" i="1"/>
  <c r="CB13" i="2" l="1"/>
  <c r="CB21" i="3" s="1"/>
  <c r="CB108" i="3" s="1"/>
  <c r="CB30" i="2"/>
  <c r="CB73" i="1"/>
  <c r="CB77" i="1" s="1"/>
  <c r="BH70" i="3"/>
  <c r="BH99" i="2"/>
  <c r="BH98" i="2"/>
  <c r="BJ91" i="1"/>
  <c r="BZ46" i="2"/>
  <c r="BH46" i="2"/>
  <c r="BJ116" i="2"/>
  <c r="BJ70" i="2"/>
  <c r="BJ42" i="2" s="1"/>
  <c r="BK68" i="2"/>
  <c r="BJ27" i="3"/>
  <c r="BJ96" i="3"/>
  <c r="CB27" i="1"/>
  <c r="CB59" i="1"/>
  <c r="CA81" i="1"/>
  <c r="CA89" i="1"/>
  <c r="CA91" i="1" s="1"/>
  <c r="CA9" i="3"/>
  <c r="BI59" i="3"/>
  <c r="BI60" i="3" s="1"/>
  <c r="BI17" i="2"/>
  <c r="BI26" i="2" s="1"/>
  <c r="BI98" i="2" s="1"/>
  <c r="BI146" i="3"/>
  <c r="BI147" i="3" s="1"/>
  <c r="BI85" i="2"/>
  <c r="BI89" i="2" s="1"/>
  <c r="BI91" i="2" s="1"/>
  <c r="BI94" i="2" s="1"/>
  <c r="BI95" i="2" s="1"/>
  <c r="BI101" i="2"/>
  <c r="BI102" i="2" s="1"/>
  <c r="BJ87" i="3" l="1"/>
  <c r="BJ88" i="3" s="1"/>
  <c r="BJ56" i="3"/>
  <c r="CB36" i="2"/>
  <c r="CB23" i="3"/>
  <c r="CB110" i="3" s="1"/>
  <c r="BJ80" i="2"/>
  <c r="BJ81" i="2"/>
  <c r="BJ82" i="2" s="1"/>
  <c r="BJ44" i="2"/>
  <c r="BJ72" i="2"/>
  <c r="BJ73" i="2" s="1"/>
  <c r="CB80" i="1"/>
  <c r="BI70" i="3"/>
  <c r="BI99" i="2"/>
  <c r="BK96" i="3"/>
  <c r="BK114" i="3" s="1"/>
  <c r="BK143" i="3" s="1"/>
  <c r="BK144" i="3" s="1"/>
  <c r="BJ114" i="3"/>
  <c r="BJ143" i="3" s="1"/>
  <c r="BJ144" i="3" s="1"/>
  <c r="CA27" i="3"/>
  <c r="CA87" i="3" s="1"/>
  <c r="CA88" i="3" s="1"/>
  <c r="CA96" i="3"/>
  <c r="CA114" i="3" s="1"/>
  <c r="CA143" i="3" s="1"/>
  <c r="CA144" i="3" s="1"/>
  <c r="CB141" i="3" s="1"/>
  <c r="CB60" i="1"/>
  <c r="CB71" i="1"/>
  <c r="CB87" i="1" s="1"/>
  <c r="CB93" i="1" s="1"/>
  <c r="BK116" i="2"/>
  <c r="BK70" i="2"/>
  <c r="BK42" i="2" s="1"/>
  <c r="CA68" i="2"/>
  <c r="BI46" i="2"/>
  <c r="CA70" i="2" l="1"/>
  <c r="CA116" i="2"/>
  <c r="CB68" i="2"/>
  <c r="BJ57" i="3"/>
  <c r="BK54" i="3" s="1"/>
  <c r="BK57" i="3" s="1"/>
  <c r="CA56" i="3"/>
  <c r="CA57" i="3" s="1"/>
  <c r="CB54" i="3" s="1"/>
  <c r="BJ9" i="2"/>
  <c r="BK81" i="2"/>
  <c r="BK82" i="2" s="1"/>
  <c r="BK80" i="2"/>
  <c r="BK72" i="2"/>
  <c r="CA42" i="2"/>
  <c r="BK44" i="2"/>
  <c r="CB78" i="1"/>
  <c r="CB81" i="1"/>
  <c r="CB89" i="1"/>
  <c r="CB91" i="1" s="1"/>
  <c r="CB9" i="3"/>
  <c r="CA72" i="2" l="1"/>
  <c r="CA73" i="2" s="1"/>
  <c r="BK73" i="2"/>
  <c r="BJ59" i="3"/>
  <c r="BJ60" i="3" s="1"/>
  <c r="BJ146" i="3"/>
  <c r="BJ147" i="3" s="1"/>
  <c r="BJ85" i="2"/>
  <c r="BJ89" i="2" s="1"/>
  <c r="BJ91" i="2" s="1"/>
  <c r="BJ94" i="2" s="1"/>
  <c r="BJ95" i="2" s="1"/>
  <c r="BJ17" i="2"/>
  <c r="BJ26" i="2" s="1"/>
  <c r="BK9" i="2"/>
  <c r="BJ101" i="2"/>
  <c r="CB70" i="2"/>
  <c r="CB42" i="2" s="1"/>
  <c r="CB116" i="2"/>
  <c r="CB27" i="3"/>
  <c r="CB96" i="3"/>
  <c r="CB114" i="3" s="1"/>
  <c r="CB143" i="3" s="1"/>
  <c r="CB144" i="3" s="1"/>
  <c r="CA81" i="2"/>
  <c r="CA82" i="2" s="1"/>
  <c r="CA80" i="2"/>
  <c r="CA44" i="2"/>
  <c r="CB87" i="3" l="1"/>
  <c r="CB88" i="3" s="1"/>
  <c r="CB56" i="3"/>
  <c r="CB57" i="3" s="1"/>
  <c r="BJ102" i="2"/>
  <c r="BK146" i="3"/>
  <c r="BK147" i="3" s="1"/>
  <c r="BK17" i="2"/>
  <c r="BK26" i="2" s="1"/>
  <c r="BK98" i="2" s="1"/>
  <c r="BK59" i="3"/>
  <c r="BK60" i="3" s="1"/>
  <c r="BK85" i="2"/>
  <c r="BK89" i="2" s="1"/>
  <c r="BK91" i="2" s="1"/>
  <c r="BK94" i="2" s="1"/>
  <c r="BK95" i="2" s="1"/>
  <c r="CA9" i="2"/>
  <c r="BK101" i="2"/>
  <c r="BK102" i="2" s="1"/>
  <c r="CB44" i="2"/>
  <c r="CB80" i="2"/>
  <c r="CB72" i="2"/>
  <c r="CB73" i="2" s="1"/>
  <c r="CB81" i="2"/>
  <c r="CB82" i="2" s="1"/>
  <c r="BJ99" i="2"/>
  <c r="BJ70" i="3"/>
  <c r="BJ98" i="2"/>
  <c r="BJ46" i="2"/>
  <c r="BK99" i="2" l="1"/>
  <c r="BK70" i="3"/>
  <c r="BK46" i="2"/>
  <c r="CA59" i="3"/>
  <c r="CA60" i="3" s="1"/>
  <c r="CA146" i="3"/>
  <c r="CA147" i="3" s="1"/>
  <c r="CB9" i="2"/>
  <c r="CA17" i="2"/>
  <c r="CA26" i="2" s="1"/>
  <c r="CA70" i="3" l="1"/>
  <c r="CA46" i="2"/>
  <c r="CB146" i="3"/>
  <c r="CB147" i="3" s="1"/>
  <c r="CB59" i="3"/>
  <c r="CB60" i="3" s="1"/>
  <c r="CB17" i="2"/>
  <c r="CB26" i="2" s="1"/>
  <c r="CB70" i="3" l="1"/>
  <c r="CB46" i="2"/>
</calcChain>
</file>

<file path=xl/sharedStrings.xml><?xml version="1.0" encoding="utf-8"?>
<sst xmlns="http://schemas.openxmlformats.org/spreadsheetml/2006/main" count="1429" uniqueCount="924">
  <si>
    <t>Intel Corporation</t>
  </si>
  <si>
    <t>INTC</t>
  </si>
  <si>
    <t xml:space="preserve"> </t>
  </si>
  <si>
    <t>Intel Corporation GAAP Income Statement</t>
  </si>
  <si>
    <t>C1Q05A</t>
  </si>
  <si>
    <t>C2Q05A</t>
  </si>
  <si>
    <t>C3Q05A</t>
  </si>
  <si>
    <t>C4Q05A</t>
  </si>
  <si>
    <t>C1Q06A</t>
  </si>
  <si>
    <t>C2Q06A</t>
  </si>
  <si>
    <t>C3Q06A</t>
  </si>
  <si>
    <t>C4Q06A</t>
  </si>
  <si>
    <t>C1Q07A</t>
  </si>
  <si>
    <t>C2Q07A</t>
  </si>
  <si>
    <t>C3Q07A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</si>
  <si>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</si>
  <si>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</si>
  <si>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</si>
  <si>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</si>
  <si>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</si>
  <si>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</si>
  <si>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</si>
  <si>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</si>
  <si>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</si>
  <si>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</si>
  <si>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</si>
  <si>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</si>
  <si>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</si>
  <si>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</si>
  <si>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</si>
  <si>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</si>
  <si>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</si>
  <si>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C1Q12A</t>
  </si>
  <si>
    <t>C2Q12A</t>
  </si>
  <si>
    <t>C3Q12A</t>
  </si>
  <si>
    <t>C4Q12A</t>
  </si>
  <si>
    <t>C1Q13A</t>
  </si>
  <si>
    <t>C2Q13A</t>
  </si>
  <si>
    <t>C3Q13A</t>
  </si>
  <si>
    <t>C4Q13A</t>
  </si>
  <si>
    <t>C1Q14A</t>
  </si>
  <si>
    <t>C2Q14A</t>
  </si>
  <si>
    <t>C3Q14A</t>
  </si>
  <si>
    <t>($ in millions; fiscal year ends in December)</t>
  </si>
  <si>
    <t>F1Q05A</t>
  </si>
  <si>
    <t>F2Q05A</t>
  </si>
  <si>
    <t>F3Q05A</t>
  </si>
  <si>
    <t>F4Q05A</t>
  </si>
  <si>
    <t>F1Q06A</t>
  </si>
  <si>
    <t>F2Q06A</t>
  </si>
  <si>
    <t>F3Q06A</t>
  </si>
  <si>
    <t>F4Q06A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</si>
  <si>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</si>
  <si>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</si>
  <si>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</si>
  <si>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</si>
  <si>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</si>
  <si>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</si>
  <si>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</si>
  <si>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</si>
  <si>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</si>
  <si>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</si>
  <si>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</si>
  <si>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</si>
  <si>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</si>
  <si>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</si>
  <si>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</si>
  <si>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</si>
  <si>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</si>
  <si>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</si>
  <si>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</si>
  <si>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</si>
  <si>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</si>
  <si>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</si>
  <si>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F3Q12A</t>
  </si>
  <si>
    <t>F4Q12A</t>
  </si>
  <si>
    <t>F1Q13A</t>
  </si>
  <si>
    <t>F2Q13A</t>
  </si>
  <si>
    <t>F3Q13A</t>
  </si>
  <si>
    <t>F4Q13A</t>
  </si>
  <si>
    <t>F1Q14A</t>
  </si>
  <si>
    <t>F2Q14A</t>
  </si>
  <si>
    <t>F3Q14A</t>
  </si>
  <si>
    <t>FY2005A</t>
  </si>
  <si>
    <t>FY2006A</t>
  </si>
  <si>
    <t>FY2007A</t>
  </si>
  <si>
    <t>FY2008A</t>
  </si>
  <si>
    <t>FY2009A</t>
  </si>
  <si>
    <t>FY2010A</t>
  </si>
  <si>
    <t>FY2011A</t>
  </si>
  <si>
    <t>FY2012A</t>
  </si>
  <si>
    <t>FY2013A</t>
  </si>
  <si>
    <t>FY2017E</t>
  </si>
  <si>
    <t>FY2018E</t>
  </si>
  <si>
    <t>FY2019E</t>
  </si>
  <si>
    <t>Revenues</t>
  </si>
  <si>
    <t>Cons Revs</t>
  </si>
  <si>
    <t>Q/Q Change</t>
  </si>
  <si>
    <t>Y/Y Change</t>
  </si>
  <si>
    <t>COGS</t>
  </si>
  <si>
    <t>Depreciation</t>
  </si>
  <si>
    <t>Amortization</t>
  </si>
  <si>
    <t>One-time Items</t>
  </si>
  <si>
    <t>COGS - MW</t>
  </si>
  <si>
    <t>Gross Profit</t>
  </si>
  <si>
    <t>Gross Margin</t>
  </si>
  <si>
    <t>Gross Profit - MW</t>
  </si>
  <si>
    <t>Gross Margin - MW</t>
  </si>
  <si>
    <t>R&amp;D</t>
  </si>
  <si>
    <t>% of Revs.</t>
  </si>
  <si>
    <t>% of Rev. Growth</t>
  </si>
  <si>
    <t>R&amp;D - MW</t>
  </si>
  <si>
    <t>SG&amp;A</t>
  </si>
  <si>
    <t>SG&amp;A - MW</t>
  </si>
  <si>
    <t>Other OpEx</t>
  </si>
  <si>
    <t>Amortization of acquisition-related intangibles</t>
  </si>
  <si>
    <t>Restructuring and asset impairment charges</t>
  </si>
  <si>
    <t>Other</t>
  </si>
  <si>
    <t>Other OpEx - MW</t>
  </si>
  <si>
    <t>Operating Expenses</t>
  </si>
  <si>
    <t>Operating Expenses - MW</t>
  </si>
  <si>
    <t>Operating Income</t>
  </si>
  <si>
    <t>Operating Margin %</t>
  </si>
  <si>
    <t>Operating Income - MW</t>
  </si>
  <si>
    <t>Operating Margin MW%</t>
  </si>
  <si>
    <t>Total Interest Income (net) and Other Income</t>
  </si>
  <si>
    <t>Interest Income</t>
  </si>
  <si>
    <t>Interest Expense</t>
  </si>
  <si>
    <t>Other Income (expense), net</t>
  </si>
  <si>
    <t>Gains (Losses) on Equity Invesments, net</t>
  </si>
  <si>
    <t>Total Interest Income (net) and Other Income - MW</t>
  </si>
  <si>
    <t>PBT</t>
  </si>
  <si>
    <t>PBT - MW</t>
  </si>
  <si>
    <t>Income Tax Expense (Benefit)</t>
  </si>
  <si>
    <t>Effective tax rate</t>
  </si>
  <si>
    <t>Taxes-Extraordinary</t>
  </si>
  <si>
    <t>Income Tax Expense (Benefit) - MW</t>
  </si>
  <si>
    <t>Effective tax rate MW</t>
  </si>
  <si>
    <t>Net Income</t>
  </si>
  <si>
    <t>Net Income Margin</t>
  </si>
  <si>
    <t>Extraordinary Items</t>
  </si>
  <si>
    <t>Tax Impact</t>
  </si>
  <si>
    <t>Extraordinary Items, net of tax</t>
  </si>
  <si>
    <t>Net Income - MW</t>
  </si>
  <si>
    <t>Net Income to Common Shareholders - GAAP</t>
  </si>
  <si>
    <t>EPS - GAAP</t>
  </si>
  <si>
    <t>Cons EPS</t>
  </si>
  <si>
    <t xml:space="preserve">EPS - MW </t>
  </si>
  <si>
    <t>Share Count and Dividend Summary</t>
  </si>
  <si>
    <t>Average Basic Shares - GAAP</t>
  </si>
  <si>
    <t>Average Diluted Shares - GAAP</t>
  </si>
  <si>
    <t>Last 3 Years Average Quarterly Dilution</t>
  </si>
  <si>
    <t>Period-end Shares</t>
  </si>
  <si>
    <t>Dividends Declared Per Share</t>
  </si>
  <si>
    <t>Statutory Tax (%)</t>
  </si>
  <si>
    <t>Actual/Estimate Toggle</t>
  </si>
  <si>
    <t>A</t>
  </si>
  <si>
    <t>Fiscal Year</t>
  </si>
  <si>
    <t>Fiscal Quarter</t>
  </si>
  <si>
    <t>Calendar Year</t>
  </si>
  <si>
    <t>Calendar Quarter</t>
  </si>
  <si>
    <t>Intel Corporation Balance Sheet</t>
  </si>
  <si>
    <t>Assets</t>
  </si>
  <si>
    <t>Cash and cash equivalents</t>
  </si>
  <si>
    <t>Short-term investments</t>
  </si>
  <si>
    <t>Trading assets</t>
  </si>
  <si>
    <t>Accounts receivables, net</t>
  </si>
  <si>
    <t>Inventory</t>
  </si>
  <si>
    <t>Deferred tax assets</t>
  </si>
  <si>
    <t>Other current assets</t>
  </si>
  <si>
    <t>Total Current Assets</t>
  </si>
  <si>
    <t>Property and equipment, net</t>
  </si>
  <si>
    <t>Marketable equity securities</t>
  </si>
  <si>
    <t>Other long-term investments</t>
  </si>
  <si>
    <t>Restricted cash</t>
  </si>
  <si>
    <t>Goodwill</t>
  </si>
  <si>
    <t>Other intangible assets, net</t>
  </si>
  <si>
    <t>Other long-term assets</t>
  </si>
  <si>
    <t>Total Assets</t>
  </si>
  <si>
    <t>Liabilities &amp; Shareholders' Equity</t>
  </si>
  <si>
    <t>Short-term debt</t>
  </si>
  <si>
    <t>Accounts payable</t>
  </si>
  <si>
    <t>Accrued compensation and benefits</t>
  </si>
  <si>
    <t>Accrued advertising</t>
  </si>
  <si>
    <t>Deferred income</t>
  </si>
  <si>
    <t>Income taxes payable</t>
  </si>
  <si>
    <t>Other accrued liabilities</t>
  </si>
  <si>
    <t>Total Current Liabilities</t>
  </si>
  <si>
    <t>Long-term debt</t>
  </si>
  <si>
    <t>Long-term deferred tax liabilities</t>
  </si>
  <si>
    <t>Other long-term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</si>
  <si>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</si>
  <si>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</si>
  <si>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</si>
  <si>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</si>
  <si>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</si>
  <si>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</si>
  <si>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</si>
  <si>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</si>
  <si>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Prepaid expenses and other current assets % of Revenues</t>
  </si>
  <si>
    <t>Cost of Goods Sold</t>
  </si>
  <si>
    <t>Stockholders Equity</t>
  </si>
  <si>
    <t>Preferred stock</t>
  </si>
  <si>
    <t>Common stock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</si>
  <si>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</si>
  <si>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</si>
  <si>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</si>
  <si>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</si>
  <si>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</si>
  <si>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</si>
  <si>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</si>
  <si>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</si>
  <si>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Average diluted shares</t>
  </si>
  <si>
    <t>Book Value</t>
  </si>
  <si>
    <t>Book value per share</t>
  </si>
  <si>
    <t>Tangible book value</t>
  </si>
  <si>
    <t>Tangible book value per share</t>
  </si>
  <si>
    <t>Capitalization</t>
  </si>
  <si>
    <t>Total cash and marketable securities</t>
  </si>
  <si>
    <t>Other Long-term Investments</t>
  </si>
  <si>
    <t>Total Cash &amp; Investments</t>
  </si>
  <si>
    <t>Principal amounts of LT debt</t>
  </si>
  <si>
    <t>Net cash (debt)</t>
  </si>
  <si>
    <t>Net cash per share</t>
  </si>
  <si>
    <t>Return on assets</t>
  </si>
  <si>
    <t>Noncash assets</t>
  </si>
  <si>
    <t>Equity, excluding cash assets</t>
  </si>
  <si>
    <t>Return on non-cash equity</t>
  </si>
  <si>
    <t>Unrecorded goodwill from poolings, write-offs, and cumulative amortization</t>
  </si>
  <si>
    <t>ND</t>
  </si>
  <si>
    <t>Change in Share Capital</t>
  </si>
  <si>
    <t>Other changes in assets and liabilities</t>
  </si>
  <si>
    <t>PP&amp;E Schedule</t>
  </si>
  <si>
    <t>Capital Expenditures</t>
  </si>
  <si>
    <t>One time PPE Plug</t>
  </si>
  <si>
    <t>Percentage of Total Revenues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</si>
  <si>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</si>
  <si>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</si>
  <si>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</si>
  <si>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</si>
  <si>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</si>
  <si>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Percentage of Gross PP&amp;E</t>
  </si>
  <si>
    <t>vs. Cash Flow Statement</t>
  </si>
  <si>
    <t>Cash Flow Statement Metrics</t>
  </si>
  <si>
    <t>Free Cash Flow</t>
  </si>
  <si>
    <t>Intel Corp. Statement of Cash Flows (Cumulative)</t>
  </si>
  <si>
    <t>Cash flows provided by (used for) operating activities:</t>
  </si>
  <si>
    <t>Net income</t>
  </si>
  <si>
    <t>Adjustments to reconcile net income to net cash</t>
  </si>
  <si>
    <t>Stock-based compensation expense</t>
  </si>
  <si>
    <t>Excess tax benefit from share-based payments</t>
  </si>
  <si>
    <t>Amortization of intangibles</t>
  </si>
  <si>
    <t>(Gains) losses on equity method investments, net</t>
  </si>
  <si>
    <t>Deferred taxes</t>
  </si>
  <si>
    <t>Other operating activities</t>
  </si>
  <si>
    <t>Changes in current assets and liabilities:</t>
  </si>
  <si>
    <t>Accounts receivable</t>
  </si>
  <si>
    <t>Prepaid expenses and other assets</t>
  </si>
  <si>
    <t>Accrued liabilities</t>
  </si>
  <si>
    <t>Income taxes payable and receivable</t>
  </si>
  <si>
    <t>Other assets and liabilities</t>
  </si>
  <si>
    <t>Net cash provided by operating activities</t>
  </si>
  <si>
    <t>Cash flows from investing activities:</t>
  </si>
  <si>
    <t>Additions to property, plant and equipment</t>
  </si>
  <si>
    <t>Acquisitions, net of cash acquired</t>
  </si>
  <si>
    <t>Purchase of available-for-sale investments</t>
  </si>
  <si>
    <t>Maturities and sales of available-for-sale investments</t>
  </si>
  <si>
    <t>Purchases of trading assets</t>
  </si>
  <si>
    <t>Maturities and sales of trading assets</t>
  </si>
  <si>
    <t>Investments in non-marketable equity investments</t>
  </si>
  <si>
    <t>Return of equity method investments</t>
  </si>
  <si>
    <t>Proceeds from divestitures</t>
  </si>
  <si>
    <t>Net cash used for investing activities</t>
  </si>
  <si>
    <t>Cash flows from financing activities:</t>
  </si>
  <si>
    <t>Increase (decrease) in short-term debt, net</t>
  </si>
  <si>
    <t>Payments of/Proceeds from long-term debt, net</t>
  </si>
  <si>
    <t>Proceeds from sales of shares</t>
  </si>
  <si>
    <t>Repurchase of common stock</t>
  </si>
  <si>
    <t>Payment of dividends to stockholders</t>
  </si>
  <si>
    <t>Other financing activities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</si>
  <si>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</si>
  <si>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</si>
  <si>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</si>
  <si>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</si>
  <si>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</si>
  <si>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</si>
  <si>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F2Q18E</t>
  </si>
  <si>
    <t>F3Q18E</t>
  </si>
  <si>
    <t>F4Q18E</t>
  </si>
  <si>
    <t>Base Case</t>
  </si>
  <si>
    <t>Q-o-Q growth</t>
  </si>
  <si>
    <t>Y-o-Y growth</t>
  </si>
  <si>
    <t>Percent of Revenue</t>
  </si>
  <si>
    <t>Data Center Group Revenue</t>
  </si>
  <si>
    <t>Internet of Things Group Revenue</t>
  </si>
  <si>
    <t>Actual Revenue from Income Statement</t>
  </si>
  <si>
    <t>Actual Operating Income from Income Statement</t>
  </si>
  <si>
    <t>Total</t>
  </si>
  <si>
    <t xml:space="preserve">PC Client Model </t>
  </si>
  <si>
    <t xml:space="preserve">Desktop Platform ASP </t>
  </si>
  <si>
    <t xml:space="preserve">Notebook Platform ASP </t>
  </si>
  <si>
    <t>Desktop Revs</t>
  </si>
  <si>
    <t>Notebook Revs</t>
  </si>
  <si>
    <t>Wind River Software Group</t>
  </si>
  <si>
    <t>Baseband</t>
  </si>
  <si>
    <t>Netbook Rev</t>
  </si>
  <si>
    <t>Revenue</t>
  </si>
  <si>
    <t>F4Q14A</t>
  </si>
  <si>
    <t>1Q13</t>
  </si>
  <si>
    <t>2Q13</t>
  </si>
  <si>
    <t>3Q13</t>
  </si>
  <si>
    <t>4Q13</t>
  </si>
  <si>
    <t>Total Revenue</t>
  </si>
  <si>
    <t>Operating Margin</t>
  </si>
  <si>
    <t>Company</t>
  </si>
  <si>
    <t>4Q11</t>
  </si>
  <si>
    <t>1Q12</t>
  </si>
  <si>
    <t>2Q12</t>
  </si>
  <si>
    <t>3Q12</t>
  </si>
  <si>
    <t>2Q11</t>
  </si>
  <si>
    <t>4Q12</t>
  </si>
  <si>
    <t>1Q14</t>
  </si>
  <si>
    <t>2Q14</t>
  </si>
  <si>
    <t>3Q14</t>
  </si>
  <si>
    <t>4Q14</t>
  </si>
  <si>
    <t>Tablets</t>
  </si>
  <si>
    <t>1Q10</t>
  </si>
  <si>
    <t>2Q10</t>
  </si>
  <si>
    <t>3Q10</t>
  </si>
  <si>
    <t>4Q10</t>
  </si>
  <si>
    <t>1Q11</t>
  </si>
  <si>
    <t>3Q11</t>
  </si>
  <si>
    <t>Desktop</t>
  </si>
  <si>
    <t>Notebook</t>
  </si>
  <si>
    <t>Netbook Revs</t>
  </si>
  <si>
    <t>INTC.O</t>
  </si>
  <si>
    <t>Currency</t>
  </si>
  <si>
    <t>Current Stock Price</t>
  </si>
  <si>
    <t>Unit</t>
  </si>
  <si>
    <t>Count</t>
  </si>
  <si>
    <t>USD</t>
  </si>
  <si>
    <t>C3Q16E</t>
  </si>
  <si>
    <t>C4Q16E</t>
  </si>
  <si>
    <t>FY2014</t>
  </si>
  <si>
    <t>INTC.O,mscalc:targetPrice,,,,USD</t>
  </si>
  <si>
    <t>INTC.O,mscalc:sedolCodeCalc</t>
  </si>
  <si>
    <t>INTC.O,mscalc:closePriceCurrencyCalc</t>
  </si>
  <si>
    <t>$F$2</t>
  </si>
  <si>
    <t>2463247</t>
  </si>
  <si>
    <t>Client Computing Group Revenue</t>
  </si>
  <si>
    <t>Client Computing Group Operating Income</t>
  </si>
  <si>
    <t>Data Center Group Operating Income</t>
  </si>
  <si>
    <t>Internet of Things Group Operating Income</t>
  </si>
  <si>
    <t>All Others Revenue</t>
  </si>
  <si>
    <t>All Others Operating Income</t>
  </si>
  <si>
    <t>Bottom Up Revenue</t>
  </si>
  <si>
    <t>x-check</t>
  </si>
  <si>
    <t>1Q15</t>
  </si>
  <si>
    <t>F1Q15A</t>
  </si>
  <si>
    <t>F2Q15A</t>
  </si>
  <si>
    <t>Client Computing Group</t>
  </si>
  <si>
    <t>Data Center Group</t>
  </si>
  <si>
    <t>Internet of Things Group</t>
  </si>
  <si>
    <t>C4Q14A</t>
  </si>
  <si>
    <t>C1Q15A</t>
  </si>
  <si>
    <t>C2Q15A</t>
  </si>
  <si>
    <t>C3Q15A</t>
  </si>
  <si>
    <t>F3Q15A</t>
  </si>
  <si>
    <t>Telecom &amp; Wireless</t>
  </si>
  <si>
    <t>Industrial Automation,  Military &amp; Auto</t>
  </si>
  <si>
    <t>Networking, Computer &amp; Storage</t>
  </si>
  <si>
    <t>Programmable Solutions Group</t>
  </si>
  <si>
    <t>Programmable Solutions Group Revenue</t>
  </si>
  <si>
    <t>Programmable Solutions Group Operating Income</t>
  </si>
  <si>
    <t>C4Q15A</t>
  </si>
  <si>
    <t>F4Q15A</t>
  </si>
  <si>
    <t>FY2015</t>
  </si>
  <si>
    <t>Non-Volatile Memory Solutions Group</t>
  </si>
  <si>
    <t>Non-Volatile Memory Solutions Operating Income</t>
  </si>
  <si>
    <t>Internet Security Group</t>
  </si>
  <si>
    <t>Internet Security Group Operating Income</t>
  </si>
  <si>
    <t>F1Q16A</t>
  </si>
  <si>
    <t>C1Q16A</t>
  </si>
  <si>
    <t>Intel Security Group</t>
  </si>
  <si>
    <t>2Q15</t>
  </si>
  <si>
    <t>3Q15</t>
  </si>
  <si>
    <t>4Q15</t>
  </si>
  <si>
    <t>1Q16</t>
  </si>
  <si>
    <t>2Q16e</t>
  </si>
  <si>
    <t>3Q16e</t>
  </si>
  <si>
    <t>4Q16e</t>
  </si>
  <si>
    <t>PC Client Group</t>
  </si>
  <si>
    <t>Mobile &amp; Communications Group</t>
  </si>
  <si>
    <t>Non Volatile Memory Solutions Group</t>
  </si>
  <si>
    <t>All Others</t>
  </si>
  <si>
    <t>Software &amp; Services Group</t>
  </si>
  <si>
    <t>x-check (IS)</t>
  </si>
  <si>
    <t>x-check (Bottom Up)</t>
  </si>
  <si>
    <t>Desktop Units ('000)</t>
  </si>
  <si>
    <t>Notebook Units ('000)</t>
  </si>
  <si>
    <t>Total DT/NB Revs</t>
  </si>
  <si>
    <t>Total DT/NB Units ('000)</t>
  </si>
  <si>
    <t>Total DT/NB Platform ASPs</t>
  </si>
  <si>
    <t>Netbook Group</t>
  </si>
  <si>
    <t>Netbook Units ('000)</t>
  </si>
  <si>
    <t>Netbook ASP</t>
  </si>
  <si>
    <t>Other PC Client Group Revenues</t>
  </si>
  <si>
    <t>Chipset, Motherboard &amp; Other Revenues</t>
  </si>
  <si>
    <t>Service Provider Group (Set-top Box)</t>
  </si>
  <si>
    <t>Total PC Client Group Revs Bottoms Up</t>
  </si>
  <si>
    <t>Actual PC Client Group Revs</t>
  </si>
  <si>
    <t>Multi Communications</t>
  </si>
  <si>
    <t>Others</t>
  </si>
  <si>
    <t>Tablet Revs</t>
  </si>
  <si>
    <t>Tablets Units</t>
  </si>
  <si>
    <t>Tablet ASP (Pre NRE)</t>
  </si>
  <si>
    <t>NRE Contra ASP</t>
  </si>
  <si>
    <t>Tablet ASP Net of Contra</t>
  </si>
  <si>
    <t>Contra Revenues</t>
  </si>
  <si>
    <t>Total Mobile &amp; Comms Revs Bottoms Up</t>
  </si>
  <si>
    <t>Actual Mobile &amp; Comms Rev</t>
  </si>
  <si>
    <t>Actual Client Computing Group Revs</t>
  </si>
  <si>
    <t>CPU</t>
  </si>
  <si>
    <t>Server Revs</t>
  </si>
  <si>
    <t>Server Units ('000)</t>
  </si>
  <si>
    <t xml:space="preserve">Server Platform ASP </t>
  </si>
  <si>
    <t>CPU Related DCG Revenues % of DCG Rev</t>
  </si>
  <si>
    <t>Non CPU</t>
  </si>
  <si>
    <t>Networking</t>
  </si>
  <si>
    <t>3D XPoint</t>
  </si>
  <si>
    <t xml:space="preserve">Other DCG </t>
  </si>
  <si>
    <t>Non CPU DCG Revs</t>
  </si>
  <si>
    <t>Non CPU DCG Revenues % of DCG Rev</t>
  </si>
  <si>
    <t>Total Data Center Group Revs Bottoms Up</t>
  </si>
  <si>
    <t>Actual Data Center Group Revs</t>
  </si>
  <si>
    <t>Other Intel Architecture Groups</t>
  </si>
  <si>
    <t>Atom Revs</t>
  </si>
  <si>
    <t>Mobile &amp; Communications Group Revs</t>
  </si>
  <si>
    <t>Intelligent Systems Group Rev</t>
  </si>
  <si>
    <t>New Devices Group Revs</t>
  </si>
  <si>
    <t>Actual Other Intel Architecture Groups Revs</t>
  </si>
  <si>
    <t>Intelligent Systems Group (Platforms)</t>
  </si>
  <si>
    <t>New Devices Group (Platforms)</t>
  </si>
  <si>
    <t>Wind River Software Group (Others)</t>
  </si>
  <si>
    <t>Total Internet of Things Group Revs Bottoms Up</t>
  </si>
  <si>
    <t>Actual Internet of Things Group Revs</t>
  </si>
  <si>
    <t>Intel Security Group (McAfee)</t>
  </si>
  <si>
    <t>Actual Intel Security Group Group Revs</t>
  </si>
  <si>
    <t>Other Software &amp; Services Group</t>
  </si>
  <si>
    <t>Total Software &amp; Services Group Revs Bottoms Up</t>
  </si>
  <si>
    <t>Actual Software &amp; Services Group Revs</t>
  </si>
  <si>
    <t>Actual Non-Volatile Memory Solutions Group Rev</t>
  </si>
  <si>
    <t>Other All Others</t>
  </si>
  <si>
    <t>Total All Others Revs (Ex-NAND) Bottoms Up</t>
  </si>
  <si>
    <t>Actual All Others Revs (Ex-NAND)</t>
  </si>
  <si>
    <t>DCG / Software Adjustment $2mn in 1Q/2Q15</t>
  </si>
  <si>
    <t>Total All Others Revs Bottoms Up</t>
  </si>
  <si>
    <t>Actual All Others Revs</t>
  </si>
  <si>
    <t>Programmable Solutions Group (Altera)</t>
  </si>
  <si>
    <t>Total Programmable Solutions Group Revs Bottoms Up</t>
  </si>
  <si>
    <t>Actual Programmable Solutions Group Revs</t>
  </si>
  <si>
    <t>Reported Revenue</t>
  </si>
  <si>
    <t>Platform</t>
  </si>
  <si>
    <t>MPU</t>
  </si>
  <si>
    <t>PC Client Group Netbook Restatement</t>
  </si>
  <si>
    <t>Networking (DCG Restatement 2014)</t>
  </si>
  <si>
    <t>Others (Wind River)</t>
  </si>
  <si>
    <t>All Others (1Q16 Reorg)</t>
  </si>
  <si>
    <t>Software &amp; Services Group (Ex-McAfee 1Q16)</t>
  </si>
  <si>
    <t>Other Operating Groups</t>
  </si>
  <si>
    <t>Corporate</t>
  </si>
  <si>
    <t>Reported Operating Income (Loss)</t>
  </si>
  <si>
    <t>Data Center Group (1Q15 Onwards)</t>
  </si>
  <si>
    <t>Total Operating Income (Loss)</t>
  </si>
  <si>
    <t>Total Operating Income (Loss) - 1Q15 Onwards</t>
  </si>
  <si>
    <t>Total Operating Income (Loss) - 1Q16 Onwards</t>
  </si>
  <si>
    <t>Reported Segment Growth Breakdown</t>
  </si>
  <si>
    <t>CCG</t>
  </si>
  <si>
    <t>Total Unit</t>
  </si>
  <si>
    <t>Blended ASP</t>
  </si>
  <si>
    <t>PCCG</t>
  </si>
  <si>
    <t>down q/q
up y/y</t>
  </si>
  <si>
    <t>down 3% 9M12/9M11</t>
  </si>
  <si>
    <t>ASP</t>
  </si>
  <si>
    <t>up double digit y/y &amp; q/q</t>
  </si>
  <si>
    <t>up 4% 9M12/9M11</t>
  </si>
  <si>
    <t>up q/q</t>
  </si>
  <si>
    <t>down 6% 9M12/9M11</t>
  </si>
  <si>
    <t>DCG</t>
  </si>
  <si>
    <t>down q/q</t>
  </si>
  <si>
    <t>up y/y</t>
  </si>
  <si>
    <t>Unit (mn)</t>
  </si>
  <si>
    <t>Data Center Processor Revenues by End Markets</t>
  </si>
  <si>
    <t>Cloud SP</t>
  </si>
  <si>
    <t>Enterprise IT</t>
  </si>
  <si>
    <t>Comms SP</t>
  </si>
  <si>
    <t>Government/Academic/Science</t>
  </si>
  <si>
    <t>2016e</t>
  </si>
  <si>
    <t>Government/Academia/Science</t>
  </si>
  <si>
    <t>Cloud SP by Customer Group</t>
  </si>
  <si>
    <t>Super 7</t>
  </si>
  <si>
    <t>Next 50</t>
  </si>
  <si>
    <t>2017e</t>
  </si>
  <si>
    <t>2018e</t>
  </si>
  <si>
    <t>2019e</t>
  </si>
  <si>
    <t>C2Q16A</t>
  </si>
  <si>
    <t>F2Q16A</t>
  </si>
  <si>
    <t>2Q16</t>
  </si>
  <si>
    <t>Gain on sale of assets/Retirement</t>
  </si>
  <si>
    <t>Adjusted FCF (excludes stock based compensation)</t>
  </si>
  <si>
    <t>Total Depreciation</t>
  </si>
  <si>
    <t>F3Q16A</t>
  </si>
  <si>
    <t>Restructuring and other charges</t>
  </si>
  <si>
    <t>Assets held for sale</t>
  </si>
  <si>
    <t>C2Q18E</t>
  </si>
  <si>
    <t>C3Q18E</t>
  </si>
  <si>
    <t>C4Q18E</t>
  </si>
  <si>
    <t>1Q18e</t>
  </si>
  <si>
    <t>3Q18e</t>
  </si>
  <si>
    <t>4Q18e</t>
  </si>
  <si>
    <t>F4Q16A</t>
  </si>
  <si>
    <t>FY2016</t>
  </si>
  <si>
    <t>C1Q17A</t>
  </si>
  <si>
    <t>F1Q17A</t>
  </si>
  <si>
    <t>1Q17</t>
  </si>
  <si>
    <t>C2Q17A</t>
  </si>
  <si>
    <t>F2Q17A</t>
  </si>
  <si>
    <t>2Q17</t>
  </si>
  <si>
    <t>C1Q19E</t>
  </si>
  <si>
    <t>C2Q19E</t>
  </si>
  <si>
    <t>C3Q19E</t>
  </si>
  <si>
    <t>C4Q19E</t>
  </si>
  <si>
    <t>F1Q19E</t>
  </si>
  <si>
    <t>F2Q19E</t>
  </si>
  <si>
    <t>F3Q19E</t>
  </si>
  <si>
    <t>F4Q19E</t>
  </si>
  <si>
    <t>1Q19e</t>
  </si>
  <si>
    <t>2Q19e</t>
  </si>
  <si>
    <t>3Q19e</t>
  </si>
  <si>
    <t>4Q19e</t>
  </si>
  <si>
    <t>C3Q17A</t>
  </si>
  <si>
    <t>F3Q17A</t>
  </si>
  <si>
    <t>3Q17</t>
  </si>
  <si>
    <t>FY2020E</t>
  </si>
  <si>
    <t>C4Q17A</t>
  </si>
  <si>
    <t>F4Q17A</t>
  </si>
  <si>
    <t>FY2017A</t>
  </si>
  <si>
    <t>Average Diluted Shares - Non GAAP</t>
  </si>
  <si>
    <t>4Q17</t>
  </si>
  <si>
    <t>Customer Prepayments/Other investing activities</t>
  </si>
  <si>
    <t>43</t>
  </si>
  <si>
    <t>C1Q18A</t>
  </si>
  <si>
    <t>F1Q18A</t>
  </si>
  <si>
    <t>Other 1x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</si>
  <si>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</si>
  <si>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</si>
  <si>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</si>
  <si>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</si>
  <si>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</si>
  <si>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</si>
  <si>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</si>
  <si>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</si>
  <si>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Joseph Moore, Craig Hettenbach, Vinayak Rao</t>
  </si>
  <si>
    <t>Date: 26 Apr 2018</t>
  </si>
  <si>
    <t>Ticker: INTC.O</t>
  </si>
  <si>
    <t>Stock Rating: Equal-Weight</t>
  </si>
  <si>
    <t>Industry: Semiconductors</t>
  </si>
  <si>
    <t>Industry View: In-Line</t>
  </si>
  <si>
    <t>Price as of 26 Apr 2018: 53.05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</si>
  <si>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</si>
  <si>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</si>
  <si>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</si>
  <si>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</si>
  <si>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Intel Corporation.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</si>
  <si>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</si>
  <si>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</si>
  <si>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</si>
  <si>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</si>
  <si>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</si>
  <si>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</si>
  <si>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</si>
  <si>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</si>
  <si>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</si>
  <si>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</si>
  <si>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</si>
  <si>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</si>
  <si>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</si>
  <si>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</si>
  <si>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</si>
  <si>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</si>
  <si>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</si>
  <si>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</si>
  <si>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</si>
  <si>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</si>
  <si>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</si>
  <si>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</si>
  <si>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</si>
  <si>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</si>
  <si>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</si>
  <si>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</si>
  <si>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</si>
  <si>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</si>
  <si>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</si>
  <si>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</si>
  <si>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</si>
  <si>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</si>
  <si>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</si>
  <si>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</si>
  <si>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</si>
  <si>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</si>
  <si>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</si>
  <si>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</si>
  <si>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</si>
  <si>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</si>
  <si>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</si>
  <si>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</si>
  <si>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</si>
  <si>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</si>
  <si>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</si>
  <si>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</si>
  <si>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</si>
  <si>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</si>
  <si>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</si>
  <si>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</si>
  <si>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</si>
  <si>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</si>
  <si>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</si>
  <si>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</si>
  <si>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</si>
  <si>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</si>
  <si>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</si>
  <si>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</si>
  <si>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</si>
  <si>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</si>
  <si>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</si>
  <si>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</si>
  <si>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</si>
  <si>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</si>
  <si>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</si>
  <si>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</si>
  <si>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</si>
  <si>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</si>
  <si>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</si>
  <si>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</si>
  <si>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</si>
  <si>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</si>
  <si>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</si>
  <si>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</si>
  <si>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</si>
  <si>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</si>
  <si>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</si>
  <si>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</si>
  <si>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</si>
  <si>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</si>
  <si>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</si>
  <si>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</si>
  <si>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</si>
  <si>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</si>
  <si>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</si>
  <si>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</si>
  <si>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</si>
  <si>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</si>
  <si>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</si>
  <si>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</si>
  <si>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</si>
  <si>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</si>
  <si>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</si>
  <si>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</si>
  <si>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</si>
  <si>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</si>
  <si>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</si>
  <si>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</si>
  <si>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</si>
  <si>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</si>
  <si>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</si>
  <si>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</si>
  <si>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</si>
  <si>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</si>
  <si>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</si>
  <si>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</si>
  <si>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</si>
  <si>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</si>
  <si>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</si>
  <si>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</si>
  <si>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</si>
  <si>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</si>
  <si>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</si>
  <si>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</si>
  <si>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</si>
  <si>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</si>
  <si>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</si>
  <si>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</si>
  <si>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</si>
  <si>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</si>
  <si>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</si>
  <si>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</si>
  <si>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</si>
  <si>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</si>
  <si>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</si>
  <si>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</si>
  <si>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</si>
  <si>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</si>
  <si>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</si>
  <si>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</si>
  <si>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</si>
  <si>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</si>
  <si>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</si>
  <si>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</si>
  <si>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</si>
  <si>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</si>
  <si>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</si>
  <si>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</si>
  <si>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</si>
  <si>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</si>
  <si>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</si>
  <si>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</si>
  <si>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</si>
  <si>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</si>
  <si>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</si>
  <si>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</si>
  <si>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</si>
  <si>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</si>
  <si>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</si>
  <si>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</si>
  <si>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</si>
  <si>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</si>
  <si>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</si>
  <si>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</si>
  <si>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</si>
  <si>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</si>
  <si>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</si>
  <si>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</si>
  <si>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</si>
  <si>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</si>
  <si>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</si>
  <si>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</si>
  <si>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</si>
  <si>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</si>
  <si>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</si>
  <si>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</si>
  <si>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</si>
  <si>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</si>
  <si>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</si>
  <si>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</si>
  <si>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</si>
  <si>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</si>
  <si>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</si>
  <si>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</si>
  <si>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</si>
  <si>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</si>
  <si>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Intel Corporation.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</si>
  <si>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</si>
  <si>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</si>
  <si>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</si>
  <si>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</si>
  <si>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</si>
  <si>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</si>
  <si>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</si>
  <si>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</si>
  <si>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</si>
  <si>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</si>
  <si>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</si>
  <si>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</si>
  <si>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</si>
  <si>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</si>
  <si>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</si>
  <si>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</si>
  <si>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</si>
  <si>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</si>
  <si>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</si>
  <si>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</si>
  <si>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</si>
  <si>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</si>
  <si>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</si>
  <si>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</si>
  <si>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</si>
  <si>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</si>
  <si>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</si>
  <si>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</si>
  <si>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</si>
  <si>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</si>
  <si>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</si>
  <si>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</si>
  <si>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</si>
  <si>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</si>
  <si>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</si>
  <si>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</si>
  <si>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</si>
  <si>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</si>
  <si>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</si>
  <si>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</si>
  <si>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</si>
  <si>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</si>
  <si>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</si>
  <si>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</si>
  <si>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</si>
  <si>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</si>
  <si>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</si>
  <si>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</si>
  <si>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</si>
  <si>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</si>
  <si>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</si>
  <si>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</si>
  <si>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</si>
  <si>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</si>
  <si>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</si>
  <si>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</si>
  <si>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</si>
  <si>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</si>
  <si>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</si>
  <si>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</si>
  <si>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</si>
  <si>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</si>
  <si>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</si>
  <si>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</si>
  <si>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</si>
  <si>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</si>
  <si>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</si>
  <si>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</si>
  <si>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Intel Corporation.</t>
  </si>
  <si>
    <t>Within the last 12 months, Morgan Stanley has provided or is providing investment banking services to,</t>
  </si>
  <si>
    <t>or has an investment banking client relationship with, the following company: Intel Corporation.</t>
  </si>
  <si>
    <t>Within the last 12 months, Morgan Stanley has received compensation for products and services other than</t>
  </si>
  <si>
    <t>investment banking services from Intel Corporation.</t>
  </si>
  <si>
    <t>In the next 3 months, Morgan Stanley expects to receive or intends to seek compensation for investment</t>
  </si>
  <si>
    <t>banking services from Intel Corporation.</t>
  </si>
  <si>
    <t>Within the last 12 months, Morgan Stanley has received compensation for investment banking services from</t>
  </si>
  <si>
    <t>Intel Corporation.</t>
  </si>
  <si>
    <t>Within the last 12 months, Morgan Stanley managed or co-managed a public offering (or 144A offering) of</t>
  </si>
  <si>
    <t>securities of Intel Corporation.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</si>
  <si>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</si>
  <si>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</si>
  <si>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</si>
  <si>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</si>
  <si>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</si>
  <si>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Moore.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</si>
  <si>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</si>
  <si>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</si>
  <si>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</si>
  <si>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</si>
  <si>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</si>
  <si>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</si>
  <si>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</si>
  <si>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</si>
  <si>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</si>
  <si>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</si>
  <si>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</si>
  <si>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</si>
  <si>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</si>
  <si>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</si>
  <si>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</si>
  <si>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</si>
  <si>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</si>
  <si>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</si>
  <si>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</si>
  <si>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</si>
  <si>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</si>
  <si>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</si>
  <si>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</si>
  <si>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</si>
  <si>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</si>
  <si>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</si>
  <si>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</si>
  <si>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</si>
  <si>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</si>
  <si>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</si>
  <si>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</si>
  <si>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</si>
  <si>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</si>
  <si>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</si>
  <si>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</si>
  <si>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</si>
  <si>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</si>
  <si>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</si>
  <si>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</si>
  <si>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</si>
  <si>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</si>
  <si>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</si>
  <si>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</si>
  <si>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</si>
  <si>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</si>
  <si>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</si>
  <si>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</si>
  <si>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</si>
  <si>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</si>
  <si>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</si>
  <si>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</si>
  <si>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</si>
  <si>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</si>
  <si>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</si>
  <si>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</si>
  <si>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</si>
  <si>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</si>
  <si>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</si>
  <si>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</si>
  <si>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</si>
  <si>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</si>
  <si>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</si>
  <si>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</si>
  <si>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</si>
  <si>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</si>
  <si>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</si>
  <si>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</si>
  <si>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</si>
  <si>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</si>
  <si>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NorthAmerica</t>
  </si>
  <si>
    <t>vinayakr</t>
  </si>
  <si>
    <t>MSA32FNJ, MSA89GWN, MSA68HLF</t>
  </si>
  <si>
    <t>L:\SEMI CAP\Joe Files\Companies\INTC\INTC_WIP_with no comments.xlsm</t>
  </si>
  <si>
    <t>Please publish Intel model after the note has gone out...Thanks</t>
  </si>
  <si>
    <t>[BRO MSA]</t>
  </si>
  <si>
    <t>[PRODUCT MODEL]</t>
  </si>
  <si>
    <t>[EMAIL_ALERT YES]</t>
  </si>
  <si>
    <t>[DISCIPLINE Company]</t>
  </si>
  <si>
    <t>[SUPPRESSED NO]</t>
  </si>
  <si>
    <t>[DOCDAT 2018-04-26]</t>
  </si>
  <si>
    <t>[DOCTIME 22:52]</t>
  </si>
  <si>
    <t>[PSYM INTC.O(S&amp;P) (None)]</t>
  </si>
  <si>
    <t>[COU 1]</t>
  </si>
  <si>
    <t>[ANA MSA89GWN MSA68HLF]</t>
  </si>
  <si>
    <t>[HL INTC.O Model]</t>
  </si>
  <si>
    <t>[IND SEMICO]</t>
  </si>
  <si>
    <t>[PANA MSA32FNJ]</t>
  </si>
  <si>
    <t>Target Price: 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</si>
</sst>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9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(* #,##0_);_(* \(#,##0\);_(* &quot;-&quot;??_);_(@_)"/>
    <numFmt numFmtId="166" formatCode="0.0%"/>
    <numFmt numFmtId="167" formatCode="_(* #,##0_);_(* \(#,##0\);_(* &quot;-&quot;?_);_(@_)"/>
    <numFmt numFmtId="168" formatCode="&quot;$&quot;#,##0.0_);\(&quot;$&quot;#,##0.0\)"/>
    <numFmt numFmtId="169" formatCode="0.0"/>
    <numFmt numFmtId="170" formatCode="[$-409]mmm\-yy;@"/>
    <numFmt numFmtId="171" formatCode="_(&quot;$&quot;* #,##0_);_(&quot;$&quot;* \(#,##0\);_(&quot;$&quot;* &quot;-&quot;?_);_(@_)"/>
    <numFmt numFmtId="172" formatCode="_(&quot;$&quot;* #,##0.0_);_(&quot;$&quot;* \(#,##0.0\);_(&quot;$&quot;* &quot;-&quot;_);_(@_)"/>
    <numFmt numFmtId="173" formatCode="_(* #,##0.0_);_(* \(#,##0.0\);_(* &quot;-&quot;?_);_(@_)"/>
    <numFmt numFmtId="174" formatCode="_(&quot;$&quot;* #,##0.00_);_(&quot;$&quot;* \(#,##0.00\);_(&quot;$&quot;* &quot;-&quot;_);_(@_)"/>
    <numFmt numFmtId="175" formatCode="_(&quot;$&quot;* #,##0.000_);_(&quot;$&quot;* \(#,##0.000\);_(&quot;$&quot;* &quot;-&quot;_);_(@_)"/>
    <numFmt numFmtId="176" formatCode="_(* #,##0.0000_);_(* \(#,##0.0000\);_(* &quot;-&quot;?_);_(@_)"/>
    <numFmt numFmtId="177" formatCode="0.0000"/>
    <numFmt numFmtId="178" formatCode="_(* #,##0.0000_);_(* \(#,##0.0000\);_(* &quot;-&quot;??_);_(@_)"/>
    <numFmt numFmtId="179" formatCode="_(&quot;$&quot;* #,##0.0000_);_(&quot;$&quot;* \(#,##0.0000\);_(&quot;$&quot;* &quot;-&quot;_);_(@_)"/>
    <numFmt numFmtId="180" formatCode="#,##0_);\(#,##0\);#,##0_);@_)"/>
    <numFmt numFmtId="181" formatCode="#,##0.0_);\(#,##0.0\);#,##0.0_);@_)"/>
    <numFmt numFmtId="182" formatCode="_(* #,##0.00_);_(* \(#,##0.00\);_(* &quot;-&quot;?_);_(@_)"/>
    <numFmt numFmtId="183" formatCode="_(* #,##0.0_);_(* \(#,##0.0\);_(* &quot;-&quot;??_);_(@_)"/>
    <numFmt numFmtId="184" formatCode="#,##0.0000_);\(#,##0.0000\)"/>
    <numFmt numFmtId="185" formatCode="#,##0.0_);\(#,##0.0\)"/>
    <numFmt numFmtId="186" formatCode="_(* #,##0.0_);_(* \(#,##0.0\);_(* &quot;-&quot;_);_(@_)"/>
    <numFmt numFmtId="187" formatCode="#,##0.000_);\(#,##0.000\)"/>
    <numFmt numFmtId="188" formatCode="_(&quot;$&quot;* #,##0.00_);_(&quot;$&quot;* \(#,##0.00\);_(&quot;$&quot;* &quot;-&quot;?_);_(@_)"/>
    <numFmt numFmtId="189" formatCode="_(&quot;$&quot;* #,##0.0_);_(&quot;$&quot;* \(#,##0.0\);_(&quot;$&quot;* &quot;-&quot;?_);_(@_)"/>
    <numFmt numFmtId="190" formatCode="&quot;$&quot;#,##0.000_);[Red]\(&quot;$&quot;#,##0.000\)"/>
    <numFmt numFmtId="191" formatCode="0.0%_);\(0.0%\);&quot;–&quot;_)"/>
    <numFmt numFmtId="192" formatCode="_(&quot;$&quot;* #,##0_);_(&quot;$&quot;* \(#,##0\);_(&quot;$&quot;* &quot;-&quot;??_);_(@_)"/>
    <numFmt numFmtId="193" formatCode="#,##0.00_);\(#,##0.00\);#,##0.00_);@_)"/>
    <numFmt numFmtId="194" formatCode="&quot;$&quot;#,##0.0_);[Red]\(&quot;$&quot;#,##0.0\)"/>
    <numFmt numFmtId="195" formatCode="0.00_);\(0.00\)"/>
    <numFmt numFmtId="196" formatCode="&quot;$&quot;#,##0.0;\(&quot;$&quot;#,##0.0\)"/>
    <numFmt numFmtId="197" formatCode="\£\ #,##0_);[Red]\(\£\ #,##0\)"/>
    <numFmt numFmtId="198" formatCode="\¥\ #,##0_);[Red]\(\¥\ #,##0\)"/>
    <numFmt numFmtId="199" formatCode="0_)"/>
    <numFmt numFmtId="200" formatCode="_(* #,##0.0_);_(* \(#,##0.0\);_(* &quot;--- &quot;_)"/>
    <numFmt numFmtId="201" formatCode="General_)"/>
    <numFmt numFmtId="202" formatCode="\•\ \ @"/>
    <numFmt numFmtId="203" formatCode="0.000_)"/>
    <numFmt numFmtId="204" formatCode="\ \ _•\–\ \ \ \ @"/>
    <numFmt numFmtId="205" formatCode="#,##0.0;\(###0.0\)"/>
    <numFmt numFmtId="206" formatCode="mmm\-yyyy"/>
    <numFmt numFmtId="207" formatCode="0.00_)"/>
    <numFmt numFmtId="208" formatCode="0.00000000000000000%"/>
    <numFmt numFmtId="209" formatCode="#,##0.0;\(#,##0.0\)"/>
    <numFmt numFmtId="210" formatCode="0.00\ "/>
    <numFmt numFmtId="211" formatCode="&quot;$&quot;#,##0.00_);\(&quot;$&quot;#,##0.00\);\–_);&quot;–&quot;_)"/>
    <numFmt numFmtId="212" formatCode="_(&quot;$&quot;* #,##0.000_);_(&quot;$&quot;* \(#,##0.000\);_(&quot;$&quot;* &quot;-&quot;??_);_(@_)"/>
    <numFmt numFmtId="213" formatCode="#,##0.0"/>
    <numFmt numFmtId="214" formatCode="0.0_)\%;\(0.0\)\%;0.0_)\%;@_)_%"/>
    <numFmt numFmtId="215" formatCode="&quot;$&quot;_(#,##0.00_);&quot;$&quot;\(#,##0.00\);&quot;$&quot;_(0.00_);@_)"/>
    <numFmt numFmtId="216" formatCode="#,##0.0_)_x;\(#,##0.0\)_x;0.0_)_x;@_)_x"/>
    <numFmt numFmtId="217" formatCode="0.0%;\(0.0%\)"/>
    <numFmt numFmtId="218" formatCode="0.0%_);\(0.0%\)"/>
    <numFmt numFmtId="219" formatCode="0.00\ \ \ \ "/>
    <numFmt numFmtId="220" formatCode="#,##0.0_);[Red]\(#,##0.0\)"/>
    <numFmt numFmtId="221" formatCode="yyyy"/>
    <numFmt numFmtId="222" formatCode="0.00%_);[Red]\(0.00%\)"/>
    <numFmt numFmtId="223" formatCode="0.0%_);[Red]\(0.0%\)"/>
    <numFmt numFmtId="224" formatCode="#,##0.000_);[Red]\(#,##0.000\)"/>
    <numFmt numFmtId="225" formatCode="0.00%;[Red]\(0.00%\)"/>
    <numFmt numFmtId="226" formatCode="&quot;Fr.&quot;#,##0_);[Red]\(&quot;Fr.&quot;#,##0\)"/>
    <numFmt numFmtId="227" formatCode="&quot;£&quot;\ #,##0_);[Red]\(&quot;£&quot;\ #,##0\)"/>
    <numFmt numFmtId="228" formatCode="&quot;\&quot;\ #,##0_);[Red]\(&quot;\&quot;\ #,##0\)"/>
    <numFmt numFmtId="229" formatCode="&quot;•&quot;\ \ @"/>
    <numFmt numFmtId="230" formatCode="#,##0.00000;[Red]\(#,##0.00000\)"/>
    <numFmt numFmtId="231" formatCode="&quot;$&quot;#,##0.00;\(&quot;$&quot;#,##0.00\)"/>
    <numFmt numFmtId="232" formatCode="_ * #,##0_)_£_ ;_ * \(#,##0\)_£_ ;_ * &quot;-&quot;_)_£_ ;_ @_ "/>
    <numFmt numFmtId="233" formatCode="&quot;$&quot;#,##0.0;[Red]\(&quot;$&quot;#,##0.0\)"/>
    <numFmt numFmtId="234" formatCode="\ \ _•&quot;–&quot;\ \ \ \ @"/>
    <numFmt numFmtId="235" formatCode="#,##0.0;[Red]\(#,##0.0\)"/>
    <numFmt numFmtId="236" formatCode="#,##0;[Red]\(#,##0\)"/>
    <numFmt numFmtId="237" formatCode="#,##0.00\x_);[Red]\(#,##0.00\x\)"/>
    <numFmt numFmtId="238" formatCode="0%;[Red]\(0%\)"/>
    <numFmt numFmtId="239" formatCode="_-&quot;$&quot;* #,##0_-;\-&quot;$&quot;* #,##0_-;_-&quot;$&quot;* &quot;-&quot;_-;_-@_-"/>
    <numFmt numFmtId="240" formatCode="_-* #,##0_-;\-* #,##0_-;_-* &quot;-&quot;_-;_-@_-"/>
    <numFmt numFmtId="241" formatCode="_-* #,##0.00_-;\-* #,##0.00_-;_-* &quot;-&quot;??_-;_-@_-"/>
    <numFmt numFmtId="242" formatCode="&quot;¥&quot;\ #,##0_);[Red]\(&quot;¥&quot;\ #,##0\)"/>
    <numFmt numFmtId="243" formatCode="_-&quot;$&quot;* #,##0.00_-;\-&quot;$&quot;* #,##0.00_-;_-&quot;$&quot;* &quot;-&quot;??_-;_-@_-"/>
    <numFmt numFmtId="244" formatCode="[Blue]General;[Blue]\-General;[Blue]&quot;--&quot;"/>
    <numFmt numFmtId="245" formatCode="&quot;$&quot;#,##0.00;[Red]\(&quot;$&quot;#,##0.00\)"/>
    <numFmt numFmtId="246" formatCode="0.00_);\(0.00\);0.00"/>
    <numFmt numFmtId="247" formatCode="&quot;$&quot;#,##0\ ;\(&quot;$&quot;#,##0\)"/>
    <numFmt numFmtId="248" formatCode="&quot;SFr.&quot;#,##0.00;&quot;SFr.&quot;\-#,##0.00"/>
    <numFmt numFmtId="249" formatCode="0.0%;[Red]\(0.0%\)"/>
    <numFmt numFmtId="250" formatCode="0.00\%;\-0.00\%;0.00\%"/>
    <numFmt numFmtId="251" formatCode="0.00\x;\-0.00\x;0.00\x"/>
    <numFmt numFmtId="252" formatCode="##0.00000"/>
    <numFmt numFmtId="253" formatCode="&quot;?G&quot;#,##0.00;\-&quot;?G&quot;#,###"/>
    <numFmt numFmtId="254" formatCode="&quot;Ç&quot;\ &quot;´&quot;&quot;´&quot;&quot;´&quot;&quot;´&quot;\ &quot;»&quot;&quot;»&quot;&quot;»&quot;&quot;»&quot;"/>
    <numFmt numFmtId="255" formatCode="mm/dd/yy\ hh:mm"/>
  </numFmts>
  <fonts count="23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30"/>
      <name val="Arial"/>
      <family val="2"/>
    </font>
    <font>
      <b/>
      <sz val="16"/>
      <color indexed="53"/>
      <name val="Arial"/>
      <family val="2"/>
    </font>
    <font>
      <sz val="12"/>
      <color indexed="8"/>
      <name val="Arial MT"/>
    </font>
    <font>
      <b/>
      <sz val="14"/>
      <name val="Arial"/>
      <family val="2"/>
    </font>
    <font>
      <sz val="10"/>
      <color indexed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color indexed="8"/>
      <name val="Arial MT"/>
    </font>
    <font>
      <b/>
      <sz val="11"/>
      <color indexed="8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sz val="11"/>
      <color indexed="12"/>
      <name val="Arial"/>
      <family val="2"/>
    </font>
    <font>
      <sz val="11"/>
      <color indexed="12"/>
      <name val="Arial"/>
      <family val="2"/>
    </font>
    <font>
      <sz val="11"/>
      <color indexed="17"/>
      <name val="Arial"/>
      <family val="2"/>
    </font>
    <font>
      <i/>
      <sz val="11"/>
      <color indexed="12"/>
      <name val="Arial"/>
      <family val="2"/>
    </font>
    <font>
      <sz val="11"/>
      <color indexed="10"/>
      <name val="Arial"/>
      <family val="2"/>
    </font>
    <font>
      <u/>
      <sz val="11"/>
      <name val="Arial"/>
      <family val="2"/>
    </font>
    <font>
      <u/>
      <sz val="11"/>
      <color indexed="12"/>
      <name val="Arial"/>
      <family val="2"/>
    </font>
    <font>
      <u/>
      <sz val="10"/>
      <name val="Arial"/>
      <family val="2"/>
    </font>
    <font>
      <sz val="11"/>
      <color indexed="53"/>
      <name val="Arial"/>
      <family val="2"/>
    </font>
    <font>
      <i/>
      <u/>
      <sz val="11"/>
      <name val="Arial"/>
      <family val="2"/>
    </font>
    <font>
      <b/>
      <sz val="10"/>
      <name val="Arial"/>
      <family val="2"/>
    </font>
    <font>
      <b/>
      <sz val="11"/>
      <color indexed="9"/>
      <name val="Arial"/>
      <family val="2"/>
    </font>
    <font>
      <sz val="11"/>
      <color indexed="24"/>
      <name val="Arial"/>
      <family val="2"/>
    </font>
    <font>
      <b/>
      <sz val="11"/>
      <color indexed="24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u/>
      <sz val="11"/>
      <color indexed="8"/>
      <name val="Arial"/>
      <family val="2"/>
    </font>
    <font>
      <sz val="11"/>
      <color indexed="54"/>
      <name val="Arial"/>
      <family val="2"/>
    </font>
    <font>
      <sz val="1"/>
      <name val="Arial"/>
      <family val="2"/>
    </font>
    <font>
      <b/>
      <sz val="12"/>
      <name val="Arial"/>
      <family val="2"/>
    </font>
    <font>
      <i/>
      <sz val="9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sz val="10"/>
      <color indexed="8"/>
      <name val="MS Sans Serif"/>
      <family val="2"/>
    </font>
    <font>
      <sz val="10"/>
      <name val="MS Sans Serif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8"/>
      <name val="Tms Rmn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b/>
      <sz val="10"/>
      <color indexed="8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0"/>
      <color indexed="8"/>
      <name val="Arial"/>
      <family val="2"/>
    </font>
    <font>
      <sz val="14"/>
      <color indexed="32"/>
      <name val="Times New Roman"/>
      <family val="1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color indexed="12"/>
      <name val="Times New Roman"/>
      <family val="1"/>
    </font>
    <font>
      <sz val="10"/>
      <name val="GillSans Light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9"/>
      <name val="Times New Roman"/>
      <family val="1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0"/>
      <name val="Arial"/>
      <family val="2"/>
    </font>
    <font>
      <sz val="1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i/>
      <sz val="11"/>
      <color indexed="20"/>
      <name val="Arial"/>
      <family val="2"/>
    </font>
    <font>
      <u/>
      <sz val="11"/>
      <color indexed="8"/>
      <name val="Arial"/>
      <family val="2"/>
    </font>
    <font>
      <sz val="11"/>
      <color indexed="8"/>
      <name val="Arial"/>
      <family val="2"/>
    </font>
    <font>
      <sz val="11"/>
      <color indexed="12"/>
      <name val="Arial"/>
      <family val="2"/>
    </font>
    <font>
      <sz val="11"/>
      <color indexed="17"/>
      <name val="Arial"/>
      <family val="2"/>
    </font>
    <font>
      <i/>
      <sz val="11"/>
      <color indexed="12"/>
      <name val="Arial"/>
      <family val="2"/>
    </font>
    <font>
      <i/>
      <sz val="11"/>
      <color indexed="8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i/>
      <sz val="11"/>
      <color rgb="FF000000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00FF"/>
      <name val="Arial"/>
      <family val="2"/>
    </font>
    <font>
      <b/>
      <sz val="10"/>
      <color rgb="FF000000"/>
      <name val="Arial"/>
      <family val="2"/>
    </font>
    <font>
      <i/>
      <sz val="10"/>
      <color rgb="FF0000FF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  <font>
      <i/>
      <sz val="10"/>
      <color rgb="FF000000"/>
      <name val="Arial"/>
      <family val="2"/>
    </font>
    <font>
      <b/>
      <sz val="10"/>
      <color rgb="FF008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sz val="10"/>
      <color rgb="FF008000"/>
      <name val="Arial"/>
      <family val="2"/>
    </font>
    <font>
      <sz val="8"/>
      <color theme="1"/>
      <name val="Arial"/>
      <family val="2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10"/>
      <name val="Helvetica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1"/>
      <color indexed="8"/>
      <name val="Calibri"/>
      <family val="2"/>
    </font>
    <font>
      <sz val="10"/>
      <name val="Segoe UI"/>
      <family val="2"/>
    </font>
    <font>
      <sz val="7"/>
      <color theme="1"/>
      <name val="Avenir LT Std 35 Light"/>
      <family val="2"/>
    </font>
    <font>
      <b/>
      <sz val="8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ourier"/>
      <family val="3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sz val="10"/>
      <color indexed="17"/>
      <name val="Helvetica"/>
      <family val="2"/>
    </font>
    <font>
      <b/>
      <u/>
      <sz val="11"/>
      <color indexed="37"/>
      <name val="Arial"/>
      <family val="2"/>
    </font>
    <font>
      <sz val="11"/>
      <name val="ＭＳ Ｐゴシック"/>
      <family val="3"/>
      <charset val="128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8"/>
      <color indexed="12"/>
      <name val="Helvetica"/>
      <family val="2"/>
    </font>
    <font>
      <sz val="14"/>
      <name val="Terminal"/>
      <family val="3"/>
      <charset val="255"/>
    </font>
    <font>
      <sz val="6"/>
      <name val="Tms Rmn"/>
    </font>
    <font>
      <b/>
      <sz val="10"/>
      <color indexed="8"/>
      <name val="Arial"/>
      <family val="2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0"/>
      <color theme="1"/>
      <name val="Arial"/>
      <family val="2"/>
    </font>
    <font>
      <b/>
      <sz val="10"/>
      <name val="Helvetica"/>
      <family val="2"/>
    </font>
    <font>
      <sz val="12"/>
      <name val="¹UAAA¼"/>
      <family val="1"/>
      <charset val="129"/>
    </font>
    <font>
      <sz val="12"/>
      <name val="±¼¸²A¼"/>
      <family val="3"/>
      <charset val="129"/>
    </font>
    <font>
      <sz val="24"/>
      <name val="Arial"/>
      <family val="2"/>
    </font>
    <font>
      <b/>
      <sz val="8"/>
      <name val="Helv"/>
      <family val="2"/>
    </font>
    <font>
      <b/>
      <sz val="14"/>
      <name val="Tms Rmn"/>
      <family val="1"/>
    </font>
    <font>
      <sz val="7"/>
      <name val="Arial"/>
      <family val="2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10"/>
      <color indexed="23"/>
      <name val="MS Sans Serif"/>
      <family val="2"/>
    </font>
    <font>
      <b/>
      <sz val="16"/>
      <color indexed="62"/>
      <name val="Arial"/>
      <family val="2"/>
    </font>
    <font>
      <b/>
      <sz val="8"/>
      <color indexed="12"/>
      <name val="FrankfurtGothicHeavy"/>
      <family val="2"/>
    </font>
    <font>
      <sz val="12"/>
      <name val="新細明體"/>
      <family val="1"/>
      <charset val="136"/>
    </font>
    <font>
      <u/>
      <sz val="9"/>
      <color indexed="12"/>
      <name val="Arial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b/>
      <sz val="11"/>
      <color indexed="10"/>
      <name val="Calibri"/>
      <family val="2"/>
    </font>
    <font>
      <u/>
      <sz val="11"/>
      <color indexed="24"/>
      <name val="Calibri"/>
      <family val="2"/>
    </font>
    <font>
      <sz val="11"/>
      <color indexed="19"/>
      <name val="Calibri"/>
      <family val="2"/>
    </font>
    <font>
      <sz val="12"/>
      <name val="Osaka"/>
      <family val="3"/>
      <charset val="128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u/>
      <sz val="11"/>
      <color theme="10"/>
      <name val="Calibri"/>
      <family val="2"/>
      <scheme val="minor"/>
    </font>
    <font>
      <u/>
      <sz val="11"/>
      <color rgb="FF0000FF"/>
      <name val="Arial"/>
      <family val="2"/>
    </font>
    <font>
      <sz val="11"/>
      <color indexed="21"/>
      <name val="Arial"/>
      <family val="2"/>
    </font>
    <font>
      <u/>
      <sz val="11"/>
      <color indexed="21"/>
      <name val="Arial"/>
      <family val="2"/>
    </font>
    <font>
      <sz val="11"/>
      <color theme="9" tint="-0.249977111117893"/>
      <name val="Arial"/>
      <family val="2"/>
    </font>
    <font>
      <b/>
      <sz val="12"/>
      <color rgb="FF00008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indexed="22"/>
      </patternFill>
    </fill>
    <fill>
      <patternFill patternType="solid">
        <fgColor indexed="3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8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4"/>
        <bgColor indexed="64"/>
      </patternFill>
    </fill>
    <fill>
      <patternFill patternType="gray0625"/>
    </fill>
    <fill>
      <patternFill patternType="lightGray">
        <fgColor indexed="12"/>
      </patternFill>
    </fill>
    <fill>
      <patternFill patternType="solid">
        <fgColor indexed="11"/>
        <bgColor indexed="64"/>
      </patternFill>
    </fill>
    <fill>
      <patternFill patternType="solid">
        <fgColor indexed="21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65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872">
    <xf numFmtId="0" fontId="0" fillId="0" borderId="0" applyNumberFormat="0" applyFont="0" applyFill="0" applyBorder="0" applyAlignment="0" applyProtection="0"/>
    <xf numFmtId="9" fontId="49" fillId="0" borderId="0">
      <alignment horizontal="right"/>
    </xf>
    <xf numFmtId="0" fontId="7" fillId="0" borderId="0" applyNumberFormat="0" applyFont="0" applyFill="0" applyBorder="0" applyAlignment="0" applyProtection="0"/>
    <xf numFmtId="196" fontId="53" fillId="0" borderId="0">
      <alignment horizontal="right"/>
    </xf>
    <xf numFmtId="0" fontId="8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 applyFill="0" applyAlignment="0">
      <protection locked="0"/>
    </xf>
    <xf numFmtId="44" fontId="54" fillId="0" borderId="0" applyFont="0" applyFill="0" applyBorder="0" applyAlignment="0" applyProtection="0"/>
    <xf numFmtId="42" fontId="54" fillId="0" borderId="0" applyFont="0" applyFill="0" applyBorder="0" applyAlignment="0" applyProtection="0"/>
    <xf numFmtId="197" fontId="55" fillId="0" borderId="0" applyFont="0" applyFill="0" applyBorder="0" applyAlignment="0" applyProtection="0"/>
    <xf numFmtId="198" fontId="55" fillId="0" borderId="0" applyFont="0" applyFill="0" applyBorder="0" applyAlignment="0" applyProtection="0"/>
    <xf numFmtId="0" fontId="8" fillId="0" borderId="0"/>
    <xf numFmtId="0" fontId="56" fillId="0" borderId="0"/>
    <xf numFmtId="0" fontId="44" fillId="0" borderId="0"/>
    <xf numFmtId="9" fontId="8" fillId="0" borderId="0"/>
    <xf numFmtId="0" fontId="44" fillId="0" borderId="0"/>
    <xf numFmtId="0" fontId="44" fillId="0" borderId="0"/>
    <xf numFmtId="2" fontId="44" fillId="0" borderId="0"/>
    <xf numFmtId="10" fontId="44" fillId="0" borderId="0"/>
    <xf numFmtId="0" fontId="44" fillId="0" borderId="0"/>
    <xf numFmtId="0" fontId="44" fillId="0" borderId="0"/>
    <xf numFmtId="199" fontId="44" fillId="0" borderId="0"/>
    <xf numFmtId="185" fontId="8" fillId="0" borderId="0"/>
    <xf numFmtId="37" fontId="57" fillId="0" borderId="0">
      <alignment horizontal="center"/>
    </xf>
    <xf numFmtId="200" fontId="58" fillId="0" borderId="0" applyFont="0" applyFill="0" applyBorder="0" applyAlignment="0" applyProtection="0"/>
    <xf numFmtId="201" fontId="59" fillId="0" borderId="0">
      <alignment horizontal="left"/>
    </xf>
    <xf numFmtId="1" fontId="60" fillId="2" borderId="1" applyNumberFormat="0" applyBorder="0" applyAlignment="0">
      <alignment horizontal="center" vertical="top" wrapText="1"/>
      <protection hidden="1"/>
    </xf>
    <xf numFmtId="0" fontId="61" fillId="0" borderId="0" applyNumberFormat="0" applyFill="0" applyBorder="0" applyAlignment="0" applyProtection="0"/>
    <xf numFmtId="0" fontId="62" fillId="0" borderId="2" applyNumberFormat="0" applyFill="0" applyAlignment="0" applyProtection="0"/>
    <xf numFmtId="202" fontId="55" fillId="0" borderId="0" applyFont="0" applyFill="0" applyBorder="0" applyAlignment="0" applyProtection="0"/>
    <xf numFmtId="0" fontId="63" fillId="0" borderId="0"/>
    <xf numFmtId="0" fontId="47" fillId="0" borderId="0"/>
    <xf numFmtId="0" fontId="53" fillId="0" borderId="0">
      <alignment horizontal="right"/>
    </xf>
    <xf numFmtId="1" fontId="64" fillId="0" borderId="0"/>
    <xf numFmtId="0" fontId="65" fillId="0" borderId="2" applyNumberFormat="0" applyFill="0" applyProtection="0">
      <alignment horizontal="left" vertical="center"/>
    </xf>
    <xf numFmtId="169" fontId="46" fillId="0" borderId="0" applyBorder="0">
      <alignment horizontal="right"/>
    </xf>
    <xf numFmtId="169" fontId="46" fillId="0" borderId="3" applyAlignment="0">
      <alignment horizontal="right"/>
    </xf>
    <xf numFmtId="43" fontId="8" fillId="0" borderId="0" applyFont="0" applyFill="0" applyBorder="0" applyAlignment="0" applyProtection="0"/>
    <xf numFmtId="203" fontId="66" fillId="0" borderId="0"/>
    <xf numFmtId="203" fontId="66" fillId="0" borderId="0"/>
    <xf numFmtId="203" fontId="66" fillId="0" borderId="0"/>
    <xf numFmtId="203" fontId="66" fillId="0" borderId="0"/>
    <xf numFmtId="203" fontId="66" fillId="0" borderId="0"/>
    <xf numFmtId="203" fontId="66" fillId="0" borderId="0"/>
    <xf numFmtId="203" fontId="66" fillId="0" borderId="0"/>
    <xf numFmtId="203" fontId="66" fillId="0" borderId="0"/>
    <xf numFmtId="0" fontId="67" fillId="0" borderId="0"/>
    <xf numFmtId="0" fontId="68" fillId="0" borderId="0" applyFill="0" applyBorder="0">
      <alignment horizontal="left"/>
    </xf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92" fillId="0" borderId="0" applyFont="0" applyFill="0" applyBorder="0" applyAlignment="0" applyProtection="0"/>
    <xf numFmtId="204" fontId="55" fillId="0" borderId="0" applyFont="0" applyFill="0" applyBorder="0" applyAlignment="0" applyProtection="0"/>
    <xf numFmtId="14" fontId="30" fillId="0" borderId="4" applyFont="0">
      <alignment horizontal="right"/>
    </xf>
    <xf numFmtId="0" fontId="54" fillId="0" borderId="0"/>
    <xf numFmtId="0" fontId="69" fillId="0" borderId="0"/>
    <xf numFmtId="205" fontId="53" fillId="0" borderId="0">
      <alignment horizontal="right"/>
    </xf>
    <xf numFmtId="0" fontId="53" fillId="0" borderId="0"/>
    <xf numFmtId="5" fontId="70" fillId="0" borderId="0" applyFont="0" applyFill="0" applyBorder="0" applyAlignment="0" applyProtection="0">
      <protection locked="0"/>
    </xf>
    <xf numFmtId="1" fontId="71" fillId="4" borderId="5" applyNumberFormat="0" applyBorder="0" applyAlignment="0">
      <alignment horizontal="centerContinuous" vertical="center"/>
      <protection locked="0"/>
    </xf>
    <xf numFmtId="0" fontId="53" fillId="0" borderId="0"/>
    <xf numFmtId="0" fontId="72" fillId="0" borderId="0" applyNumberFormat="0" applyFill="0" applyBorder="0" applyProtection="0">
      <alignment horizontal="left" vertical="center"/>
    </xf>
    <xf numFmtId="49" fontId="47" fillId="0" borderId="0" applyFill="0" applyBorder="0"/>
    <xf numFmtId="49" fontId="8" fillId="0" borderId="0"/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0" fontId="73" fillId="0" borderId="0"/>
    <xf numFmtId="38" fontId="47" fillId="5" borderId="0" applyNumberFormat="0" applyBorder="0" applyAlignment="0" applyProtection="0"/>
    <xf numFmtId="166" fontId="7" fillId="6" borderId="6" applyNumberFormat="0" applyFont="0" applyBorder="0" applyAlignment="0" applyProtection="0"/>
    <xf numFmtId="185" fontId="74" fillId="6" borderId="0" applyNumberFormat="0" applyFont="0" applyAlignment="0"/>
    <xf numFmtId="0" fontId="39" fillId="0" borderId="7" applyNumberFormat="0" applyAlignment="0" applyProtection="0">
      <alignment horizontal="left" vertical="center"/>
    </xf>
    <xf numFmtId="0" fontId="39" fillId="0" borderId="4">
      <alignment horizontal="left" vertical="center"/>
    </xf>
    <xf numFmtId="10" fontId="47" fillId="7" borderId="6" applyNumberFormat="0" applyBorder="0" applyAlignment="0" applyProtection="0"/>
    <xf numFmtId="0" fontId="75" fillId="0" borderId="0" applyNumberFormat="0" applyFill="0" applyBorder="0" applyAlignment="0">
      <protection locked="0"/>
    </xf>
    <xf numFmtId="0" fontId="53" fillId="0" borderId="0"/>
    <xf numFmtId="0" fontId="76" fillId="0" borderId="0" applyNumberFormat="0" applyFill="0" applyBorder="0" applyProtection="0">
      <alignment horizontal="left" vertical="center"/>
    </xf>
    <xf numFmtId="206" fontId="47" fillId="7" borderId="0">
      <alignment horizontal="center"/>
    </xf>
    <xf numFmtId="37" fontId="77" fillId="0" borderId="0"/>
    <xf numFmtId="207" fontId="78" fillId="0" borderId="0"/>
    <xf numFmtId="0" fontId="7" fillId="0" borderId="0"/>
    <xf numFmtId="0" fontId="92" fillId="0" borderId="0"/>
    <xf numFmtId="0" fontId="79" fillId="0" borderId="0"/>
    <xf numFmtId="0" fontId="11" fillId="0" borderId="0"/>
    <xf numFmtId="168" fontId="16" fillId="0" borderId="0"/>
    <xf numFmtId="0" fontId="11" fillId="0" borderId="0"/>
    <xf numFmtId="173" fontId="49" fillId="0" borderId="0" applyFont="0" applyFill="0" applyBorder="0" applyProtection="0">
      <alignment horizontal="right"/>
    </xf>
    <xf numFmtId="43" fontId="54" fillId="0" borderId="0" applyFont="0" applyFill="0" applyBorder="0" applyAlignment="0" applyProtection="0"/>
    <xf numFmtId="41" fontId="54" fillId="0" borderId="0" applyFont="0" applyFill="0" applyBorder="0" applyAlignment="0" applyProtection="0"/>
    <xf numFmtId="169" fontId="8" fillId="0" borderId="0"/>
    <xf numFmtId="0" fontId="80" fillId="0" borderId="0">
      <alignment horizontal="left"/>
    </xf>
    <xf numFmtId="0" fontId="81" fillId="0" borderId="0">
      <alignment vertical="center"/>
    </xf>
    <xf numFmtId="9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" fontId="82" fillId="5" borderId="0">
      <alignment horizontal="center"/>
    </xf>
    <xf numFmtId="208" fontId="47" fillId="0" borderId="0"/>
    <xf numFmtId="0" fontId="83" fillId="0" borderId="0"/>
    <xf numFmtId="0" fontId="76" fillId="0" borderId="0" applyNumberFormat="0" applyFill="0" applyBorder="0" applyProtection="0">
      <alignment horizontal="right" vertical="center"/>
    </xf>
    <xf numFmtId="0" fontId="7" fillId="8" borderId="0" applyNumberFormat="0" applyFont="0" applyBorder="0" applyAlignment="0" applyProtection="0"/>
    <xf numFmtId="185" fontId="84" fillId="0" borderId="0"/>
    <xf numFmtId="0" fontId="84" fillId="0" borderId="0"/>
    <xf numFmtId="0" fontId="84" fillId="0" borderId="9">
      <alignment horizontal="centerContinuous"/>
    </xf>
    <xf numFmtId="0" fontId="85" fillId="0" borderId="9"/>
    <xf numFmtId="0" fontId="8" fillId="0" borderId="0">
      <alignment vertical="top"/>
    </xf>
    <xf numFmtId="0" fontId="7" fillId="0" borderId="0"/>
    <xf numFmtId="0" fontId="52" fillId="0" borderId="0"/>
    <xf numFmtId="0" fontId="52" fillId="0" borderId="0"/>
    <xf numFmtId="0" fontId="8" fillId="0" borderId="0">
      <alignment vertical="top"/>
    </xf>
    <xf numFmtId="0" fontId="63" fillId="0" borderId="0">
      <alignment vertical="center"/>
    </xf>
    <xf numFmtId="0" fontId="87" fillId="9" borderId="0" applyNumberFormat="0" applyBorder="0" applyProtection="0">
      <alignment horizontal="left" vertical="center"/>
    </xf>
    <xf numFmtId="0" fontId="88" fillId="1" borderId="0" applyNumberFormat="0" applyBorder="0" applyProtection="0">
      <alignment horizontal="left" vertical="center"/>
    </xf>
    <xf numFmtId="169" fontId="51" fillId="0" borderId="0"/>
    <xf numFmtId="192" fontId="89" fillId="0" borderId="10" applyNumberFormat="0" applyFont="0" applyFill="0" applyAlignment="0" applyProtection="0"/>
    <xf numFmtId="169" fontId="46" fillId="0" borderId="11"/>
    <xf numFmtId="209" fontId="90" fillId="0" borderId="0">
      <alignment horizontal="right"/>
    </xf>
    <xf numFmtId="210" fontId="82" fillId="5" borderId="1" applyBorder="0">
      <alignment horizontal="right" vertical="center"/>
      <protection locked="0"/>
    </xf>
    <xf numFmtId="0" fontId="91" fillId="0" borderId="0" applyNumberFormat="0"/>
    <xf numFmtId="1" fontId="8" fillId="0" borderId="0">
      <alignment horizontal="center"/>
    </xf>
    <xf numFmtId="0" fontId="7" fillId="0" borderId="0" applyNumberFormat="0" applyFont="0" applyFill="0" applyBorder="0" applyAlignment="0" applyProtection="0"/>
    <xf numFmtId="43" fontId="7" fillId="0" borderId="0" applyFont="0" applyFill="0" applyBorder="0" applyAlignment="0" applyProtection="0"/>
    <xf numFmtId="0" fontId="47" fillId="0" borderId="0"/>
    <xf numFmtId="3" fontId="41" fillId="0" borderId="0"/>
    <xf numFmtId="0" fontId="123" fillId="0" borderId="0"/>
    <xf numFmtId="0" fontId="7" fillId="0" borderId="0"/>
    <xf numFmtId="0" fontId="7" fillId="0" borderId="0"/>
    <xf numFmtId="181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24" fillId="0" borderId="0"/>
    <xf numFmtId="0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214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185" fontId="7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63" fillId="0" borderId="0"/>
    <xf numFmtId="0" fontId="7" fillId="0" borderId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32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20" fillId="0" borderId="0" applyFont="0" applyFill="0" applyBorder="0" applyAlignment="0" applyProtection="0"/>
    <xf numFmtId="44" fontId="47" fillId="0" borderId="0" applyFont="0" applyFill="0" applyBorder="0" applyAlignment="0" applyProtection="0"/>
    <xf numFmtId="217" fontId="7" fillId="5" borderId="38">
      <alignment horizontal="right"/>
    </xf>
    <xf numFmtId="0" fontId="125" fillId="0" borderId="0"/>
    <xf numFmtId="0" fontId="126" fillId="20" borderId="0"/>
    <xf numFmtId="9" fontId="47" fillId="0" borderId="0" applyFont="0" applyFill="0" applyBorder="0" applyAlignment="0" applyProtection="0"/>
    <xf numFmtId="194" fontId="7" fillId="5" borderId="38">
      <alignment horizontal="right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0" fontId="127" fillId="0" borderId="0">
      <alignment wrapText="1"/>
    </xf>
    <xf numFmtId="0" fontId="121" fillId="0" borderId="0" applyNumberFormat="0" applyFill="0" applyBorder="0" applyAlignment="0" applyProtection="0">
      <alignment vertical="top"/>
      <protection locked="0"/>
    </xf>
    <xf numFmtId="218" fontId="7" fillId="0" borderId="0">
      <alignment horizontal="right"/>
    </xf>
    <xf numFmtId="0" fontId="126" fillId="0" borderId="0"/>
    <xf numFmtId="0" fontId="128" fillId="0" borderId="0"/>
    <xf numFmtId="0" fontId="129" fillId="0" borderId="0"/>
    <xf numFmtId="0" fontId="7" fillId="0" borderId="0"/>
    <xf numFmtId="0" fontId="130" fillId="0" borderId="0"/>
    <xf numFmtId="0" fontId="130" fillId="0" borderId="0"/>
    <xf numFmtId="0" fontId="47" fillId="0" borderId="0" applyNumberFormat="0" applyFont="0" applyFill="0" applyBorder="0" applyAlignment="0" applyProtection="0"/>
    <xf numFmtId="0" fontId="6" fillId="0" borderId="0"/>
    <xf numFmtId="0" fontId="130" fillId="0" borderId="0"/>
    <xf numFmtId="0" fontId="130" fillId="0" borderId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1" fillId="0" borderId="0"/>
    <xf numFmtId="0" fontId="120" fillId="0" borderId="0"/>
    <xf numFmtId="0" fontId="129" fillId="0" borderId="0"/>
    <xf numFmtId="9" fontId="47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20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130" fillId="0" borderId="0" applyFont="0" applyFill="0" applyBorder="0" applyAlignment="0" applyProtection="0"/>
    <xf numFmtId="219" fontId="123" fillId="5" borderId="0"/>
    <xf numFmtId="0" fontId="84" fillId="0" borderId="0"/>
    <xf numFmtId="0" fontId="84" fillId="0" borderId="9">
      <alignment horizontal="centerContinuous"/>
    </xf>
    <xf numFmtId="0" fontId="7" fillId="0" borderId="0">
      <alignment vertical="top"/>
    </xf>
    <xf numFmtId="0" fontId="7" fillId="0" borderId="0">
      <alignment vertical="top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47" fillId="0" borderId="0"/>
    <xf numFmtId="1" fontId="7" fillId="0" borderId="0">
      <alignment horizontal="center"/>
    </xf>
    <xf numFmtId="0" fontId="7" fillId="0" borderId="0"/>
    <xf numFmtId="43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0" fontId="47" fillId="0" borderId="0"/>
    <xf numFmtId="0" fontId="4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3" fontId="41" fillId="0" borderId="0"/>
    <xf numFmtId="43" fontId="7" fillId="0" borderId="0" applyFont="0" applyFill="0" applyBorder="0" applyAlignment="0" applyProtection="0"/>
    <xf numFmtId="0" fontId="130" fillId="21" borderId="0" applyNumberFormat="0" applyBorder="0" applyAlignment="0" applyProtection="0"/>
    <xf numFmtId="0" fontId="130" fillId="22" borderId="0" applyNumberFormat="0" applyBorder="0" applyAlignment="0" applyProtection="0"/>
    <xf numFmtId="0" fontId="130" fillId="23" borderId="0" applyNumberFormat="0" applyBorder="0" applyAlignment="0" applyProtection="0"/>
    <xf numFmtId="0" fontId="130" fillId="21" borderId="0" applyNumberFormat="0" applyBorder="0" applyAlignment="0" applyProtection="0"/>
    <xf numFmtId="0" fontId="130" fillId="24" borderId="0" applyNumberFormat="0" applyBorder="0" applyAlignment="0" applyProtection="0"/>
    <xf numFmtId="0" fontId="130" fillId="23" borderId="0" applyNumberFormat="0" applyBorder="0" applyAlignment="0" applyProtection="0"/>
    <xf numFmtId="0" fontId="130" fillId="3" borderId="0" applyNumberFormat="0" applyBorder="0" applyAlignment="0" applyProtection="0"/>
    <xf numFmtId="0" fontId="130" fillId="22" borderId="0" applyNumberFormat="0" applyBorder="0" applyAlignment="0" applyProtection="0"/>
    <xf numFmtId="0" fontId="130" fillId="23" borderId="0" applyNumberFormat="0" applyBorder="0" applyAlignment="0" applyProtection="0"/>
    <xf numFmtId="0" fontId="130" fillId="3" borderId="0" applyNumberFormat="0" applyBorder="0" applyAlignment="0" applyProtection="0"/>
    <xf numFmtId="0" fontId="130" fillId="25" borderId="0" applyNumberFormat="0" applyBorder="0" applyAlignment="0" applyProtection="0"/>
    <xf numFmtId="0" fontId="130" fillId="23" borderId="0" applyNumberFormat="0" applyBorder="0" applyAlignment="0" applyProtection="0"/>
    <xf numFmtId="0" fontId="134" fillId="26" borderId="0" applyNumberFormat="0" applyBorder="0" applyAlignment="0" applyProtection="0"/>
    <xf numFmtId="0" fontId="134" fillId="22" borderId="0" applyNumberFormat="0" applyBorder="0" applyAlignment="0" applyProtection="0"/>
    <xf numFmtId="0" fontId="134" fillId="27" borderId="0" applyNumberFormat="0" applyBorder="0" applyAlignment="0" applyProtection="0"/>
    <xf numFmtId="0" fontId="134" fillId="3" borderId="0" applyNumberFormat="0" applyBorder="0" applyAlignment="0" applyProtection="0"/>
    <xf numFmtId="0" fontId="134" fillId="26" borderId="0" applyNumberFormat="0" applyBorder="0" applyAlignment="0" applyProtection="0"/>
    <xf numFmtId="0" fontId="134" fillId="23" borderId="0" applyNumberFormat="0" applyBorder="0" applyAlignment="0" applyProtection="0"/>
    <xf numFmtId="0" fontId="134" fillId="26" borderId="0" applyNumberFormat="0" applyBorder="0" applyAlignment="0" applyProtection="0"/>
    <xf numFmtId="0" fontId="134" fillId="22" borderId="0" applyNumberFormat="0" applyBorder="0" applyAlignment="0" applyProtection="0"/>
    <xf numFmtId="0" fontId="134" fillId="27" borderId="0" applyNumberFormat="0" applyBorder="0" applyAlignment="0" applyProtection="0"/>
    <xf numFmtId="0" fontId="134" fillId="28" borderId="0" applyNumberFormat="0" applyBorder="0" applyAlignment="0" applyProtection="0"/>
    <xf numFmtId="0" fontId="134" fillId="26" borderId="0" applyNumberFormat="0" applyBorder="0" applyAlignment="0" applyProtection="0"/>
    <xf numFmtId="0" fontId="134" fillId="22" borderId="0" applyNumberFormat="0" applyBorder="0" applyAlignment="0" applyProtection="0"/>
    <xf numFmtId="0" fontId="7" fillId="0" borderId="0"/>
    <xf numFmtId="0" fontId="135" fillId="29" borderId="0" applyNumberFormat="0" applyBorder="0" applyAlignment="0" applyProtection="0"/>
    <xf numFmtId="0" fontId="136" fillId="30" borderId="39" applyNumberFormat="0" applyAlignment="0" applyProtection="0"/>
    <xf numFmtId="0" fontId="137" fillId="31" borderId="40" applyNumberFormat="0" applyAlignment="0" applyProtection="0"/>
    <xf numFmtId="43" fontId="7" fillId="0" borderId="0" applyFont="0" applyFill="0" applyBorder="0" applyAlignment="0" applyProtection="0"/>
    <xf numFmtId="0" fontId="138" fillId="0" borderId="0" applyNumberFormat="0" applyFill="0" applyBorder="0" applyAlignment="0" applyProtection="0"/>
    <xf numFmtId="0" fontId="150" fillId="0" borderId="0">
      <alignment vertical="center"/>
    </xf>
    <xf numFmtId="0" fontId="139" fillId="32" borderId="0" applyNumberFormat="0" applyBorder="0" applyAlignment="0" applyProtection="0"/>
    <xf numFmtId="0" fontId="140" fillId="0" borderId="41" applyNumberFormat="0" applyFill="0" applyAlignment="0" applyProtection="0"/>
    <xf numFmtId="0" fontId="141" fillId="0" borderId="42" applyNumberFormat="0" applyFill="0" applyAlignment="0" applyProtection="0"/>
    <xf numFmtId="0" fontId="142" fillId="0" borderId="43" applyNumberFormat="0" applyFill="0" applyAlignment="0" applyProtection="0"/>
    <xf numFmtId="0" fontId="142" fillId="0" borderId="0" applyNumberFormat="0" applyFill="0" applyBorder="0" applyAlignment="0" applyProtection="0"/>
    <xf numFmtId="0" fontId="143" fillId="23" borderId="39" applyNumberFormat="0" applyAlignment="0" applyProtection="0"/>
    <xf numFmtId="0" fontId="143" fillId="23" borderId="39" applyNumberFormat="0" applyAlignment="0" applyProtection="0"/>
    <xf numFmtId="0" fontId="144" fillId="0" borderId="44" applyNumberFormat="0" applyFill="0" applyAlignment="0" applyProtection="0"/>
    <xf numFmtId="0" fontId="145" fillId="23" borderId="0" applyNumberFormat="0" applyBorder="0" applyAlignment="0" applyProtection="0"/>
    <xf numFmtId="44" fontId="7" fillId="0" borderId="0" applyFont="0" applyFill="0" applyBorder="0" applyAlignment="0" applyProtection="0"/>
    <xf numFmtId="0" fontId="7" fillId="23" borderId="8" applyNumberFormat="0" applyFont="0" applyAlignment="0" applyProtection="0"/>
    <xf numFmtId="0" fontId="146" fillId="30" borderId="45" applyNumberForma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47" fillId="0" borderId="0" applyNumberFormat="0" applyFill="0" applyBorder="0" applyAlignment="0" applyProtection="0"/>
    <xf numFmtId="43" fontId="7" fillId="0" borderId="0" applyFont="0" applyFill="0" applyBorder="0" applyAlignment="0" applyProtection="0"/>
    <xf numFmtId="0" fontId="148" fillId="0" borderId="46" applyNumberFormat="0" applyFill="0" applyAlignment="0" applyProtection="0"/>
    <xf numFmtId="0" fontId="149" fillId="0" borderId="0" applyNumberFormat="0" applyFill="0" applyBorder="0" applyAlignment="0" applyProtection="0"/>
    <xf numFmtId="0" fontId="7" fillId="0" borderId="0"/>
    <xf numFmtId="0" fontId="7" fillId="8" borderId="0" applyNumberFormat="0" applyFont="0" applyBorder="0" applyAlignment="0" applyProtection="0"/>
    <xf numFmtId="0" fontId="7" fillId="0" borderId="0" applyNumberFormat="0" applyFont="0" applyFill="0" applyBorder="0" applyAlignment="0" applyProtection="0"/>
    <xf numFmtId="0" fontId="54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153" fillId="0" borderId="0" applyFont="0" applyFill="0" applyBorder="0" applyAlignment="0" applyProtection="0"/>
    <xf numFmtId="8" fontId="153" fillId="0" borderId="0" applyFont="0" applyFill="0" applyBorder="0" applyAlignment="0" applyProtection="0"/>
    <xf numFmtId="222" fontId="154" fillId="0" borderId="0"/>
    <xf numFmtId="225" fontId="152" fillId="0" borderId="0"/>
    <xf numFmtId="10" fontId="153" fillId="0" borderId="0" applyFont="0" applyFill="0" applyBorder="0" applyAlignment="0" applyProtection="0"/>
    <xf numFmtId="42" fontId="7" fillId="0" borderId="0" applyFont="0" applyFill="0" applyBorder="0" applyAlignment="0" applyProtection="0"/>
    <xf numFmtId="226" fontId="155" fillId="0" borderId="0" applyFont="0" applyFill="0" applyBorder="0" applyAlignment="0" applyProtection="0"/>
    <xf numFmtId="0" fontId="156" fillId="0" borderId="0" applyFont="0" applyFill="0" applyBorder="0" applyAlignment="0" applyProtection="0"/>
    <xf numFmtId="40" fontId="157" fillId="0" borderId="0" applyFont="0" applyFill="0" applyBorder="0" applyAlignment="0" applyProtection="0"/>
    <xf numFmtId="0" fontId="158" fillId="0" borderId="0" applyNumberFormat="0" applyFill="0" applyBorder="0" applyAlignment="0" applyProtection="0">
      <alignment vertical="top"/>
      <protection locked="0"/>
    </xf>
    <xf numFmtId="38" fontId="157" fillId="0" borderId="0" applyFont="0" applyFill="0" applyBorder="0" applyAlignment="0" applyProtection="0"/>
    <xf numFmtId="0" fontId="156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3" fontId="41" fillId="0" borderId="0"/>
    <xf numFmtId="0" fontId="7" fillId="0" borderId="0" applyFill="0" applyAlignment="0">
      <protection locked="0"/>
    </xf>
    <xf numFmtId="0" fontId="159" fillId="0" borderId="34" applyBorder="0"/>
    <xf numFmtId="227" fontId="55" fillId="0" borderId="0" applyFont="0" applyFill="0" applyBorder="0" applyAlignment="0" applyProtection="0"/>
    <xf numFmtId="228" fontId="55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44" fillId="0" borderId="0"/>
    <xf numFmtId="2" fontId="44" fillId="0" borderId="0"/>
    <xf numFmtId="0" fontId="44" fillId="0" borderId="0"/>
    <xf numFmtId="0" fontId="44" fillId="0" borderId="0"/>
    <xf numFmtId="0" fontId="44" fillId="0" borderId="0"/>
    <xf numFmtId="37" fontId="160" fillId="0" borderId="0">
      <alignment horizontal="center"/>
    </xf>
    <xf numFmtId="222" fontId="152" fillId="0" borderId="0"/>
    <xf numFmtId="220" fontId="69" fillId="0" borderId="0" applyFont="0" applyFill="0" applyBorder="0" applyAlignment="0" applyProtection="0"/>
    <xf numFmtId="44" fontId="7" fillId="0" borderId="0" applyFont="0" applyFill="0" applyBorder="0" applyAlignment="0" applyProtection="0"/>
    <xf numFmtId="37" fontId="53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0" fontId="153" fillId="0" borderId="2" applyNumberFormat="0" applyFont="0" applyFill="0" applyAlignment="0" applyProtection="0"/>
    <xf numFmtId="0" fontId="153" fillId="0" borderId="1" applyNumberFormat="0" applyFont="0" applyFill="0" applyAlignment="0" applyProtection="0"/>
    <xf numFmtId="0" fontId="153" fillId="0" borderId="38" applyNumberFormat="0" applyFont="0" applyFill="0" applyAlignment="0" applyProtection="0"/>
    <xf numFmtId="0" fontId="153" fillId="0" borderId="10" applyNumberFormat="0" applyFont="0" applyFill="0" applyAlignment="0" applyProtection="0"/>
    <xf numFmtId="37" fontId="163" fillId="0" borderId="0" applyNumberFormat="0" applyFill="0" applyBorder="0" applyAlignment="0" applyProtection="0">
      <alignment horizontal="center"/>
    </xf>
    <xf numFmtId="229" fontId="55" fillId="0" borderId="0" applyFont="0" applyFill="0" applyBorder="0" applyAlignment="0" applyProtection="0"/>
    <xf numFmtId="0" fontId="63" fillId="0" borderId="0"/>
    <xf numFmtId="0" fontId="63" fillId="0" borderId="0"/>
    <xf numFmtId="230" fontId="155" fillId="0" borderId="0" applyFill="0" applyBorder="0" applyAlignment="0"/>
    <xf numFmtId="220" fontId="133" fillId="0" borderId="0" applyFont="0" applyFill="0" applyBorder="0" applyAlignment="0" applyProtection="0"/>
    <xf numFmtId="0" fontId="164" fillId="0" borderId="0">
      <alignment horizontal="right"/>
    </xf>
    <xf numFmtId="231" fontId="164" fillId="0" borderId="0"/>
    <xf numFmtId="0" fontId="143" fillId="23" borderId="39" applyNumberFormat="0" applyAlignment="0" applyProtection="0"/>
    <xf numFmtId="232" fontId="7" fillId="0" borderId="0"/>
    <xf numFmtId="232" fontId="7" fillId="0" borderId="0"/>
    <xf numFmtId="232" fontId="7" fillId="0" borderId="0"/>
    <xf numFmtId="232" fontId="7" fillId="0" borderId="0"/>
    <xf numFmtId="232" fontId="7" fillId="0" borderId="0"/>
    <xf numFmtId="232" fontId="7" fillId="0" borderId="0"/>
    <xf numFmtId="232" fontId="7" fillId="0" borderId="0"/>
    <xf numFmtId="209" fontId="151" fillId="0" borderId="0" applyFont="0"/>
    <xf numFmtId="185" fontId="62" fillId="0" borderId="0" applyFont="0" applyFill="0" applyBorder="0" applyAlignment="0">
      <alignment horizontal="center" wrapText="1"/>
    </xf>
    <xf numFmtId="38" fontId="81" fillId="0" borderId="0"/>
    <xf numFmtId="3" fontId="165" fillId="0" borderId="0"/>
    <xf numFmtId="213" fontId="165" fillId="0" borderId="0"/>
    <xf numFmtId="2" fontId="165" fillId="0" borderId="0"/>
    <xf numFmtId="201" fontId="68" fillId="0" borderId="0" applyFill="0" applyBorder="0">
      <alignment horizontal="left"/>
    </xf>
    <xf numFmtId="0" fontId="166" fillId="0" borderId="0" applyNumberFormat="0" applyAlignment="0">
      <alignment horizontal="left"/>
    </xf>
    <xf numFmtId="233" fontId="69" fillId="0" borderId="0"/>
    <xf numFmtId="168" fontId="62" fillId="0" borderId="0" applyFont="0" applyFill="0" applyBorder="0" applyAlignment="0">
      <alignment horizontal="center" wrapText="1"/>
    </xf>
    <xf numFmtId="8" fontId="69" fillId="0" borderId="0" applyFont="0" applyFill="0" applyBorder="0" applyAlignment="0" applyProtection="0">
      <alignment horizontal="left"/>
    </xf>
    <xf numFmtId="194" fontId="167" fillId="0" borderId="0" applyFont="0" applyFill="0" applyBorder="0" applyAlignment="0" applyProtection="0"/>
    <xf numFmtId="234" fontId="55" fillId="0" borderId="0" applyFont="0" applyFill="0" applyBorder="0" applyAlignment="0" applyProtection="0"/>
    <xf numFmtId="44" fontId="7" fillId="0" borderId="0" applyFont="0" applyFill="0" applyBorder="0" applyAlignment="0" applyProtection="0"/>
    <xf numFmtId="14" fontId="133" fillId="0" borderId="0" applyFont="0" applyFill="0" applyBorder="0" applyAlignment="0" applyProtection="0">
      <alignment horizontal="center"/>
    </xf>
    <xf numFmtId="221" fontId="133" fillId="0" borderId="0" applyFont="0" applyFill="0" applyBorder="0" applyAlignment="0" applyProtection="0">
      <alignment horizontal="center"/>
    </xf>
    <xf numFmtId="233" fontId="164" fillId="0" borderId="0"/>
    <xf numFmtId="43" fontId="7" fillId="0" borderId="0" applyFont="0" applyFill="0" applyBorder="0" applyAlignment="0" applyProtection="0"/>
    <xf numFmtId="6" fontId="69" fillId="0" borderId="0" applyFont="0" applyFill="0" applyBorder="0" applyAlignment="0" applyProtection="0"/>
    <xf numFmtId="0" fontId="168" fillId="0" borderId="0" applyNumberFormat="0" applyAlignment="0">
      <alignment horizontal="left"/>
    </xf>
    <xf numFmtId="0" fontId="169" fillId="0" borderId="0"/>
    <xf numFmtId="0" fontId="170" fillId="20" borderId="0"/>
    <xf numFmtId="235" fontId="164" fillId="0" borderId="0"/>
    <xf numFmtId="0" fontId="171" fillId="0" borderId="0"/>
    <xf numFmtId="225" fontId="154" fillId="0" borderId="0"/>
    <xf numFmtId="222" fontId="154" fillId="0" borderId="0" applyFill="0" applyBorder="0" applyAlignment="0" applyProtection="0"/>
    <xf numFmtId="0" fontId="172" fillId="0" borderId="0" applyNumberFormat="0" applyFill="0" applyBorder="0" applyAlignment="0" applyProtection="0"/>
    <xf numFmtId="0" fontId="173" fillId="0" borderId="7" applyNumberFormat="0" applyAlignment="0" applyProtection="0">
      <alignment horizontal="left" vertical="center"/>
    </xf>
    <xf numFmtId="0" fontId="173" fillId="0" borderId="4">
      <alignment horizontal="left" vertical="center"/>
    </xf>
    <xf numFmtId="0" fontId="174" fillId="0" borderId="0">
      <protection locked="0"/>
    </xf>
    <xf numFmtId="0" fontId="174" fillId="0" borderId="0">
      <protection locked="0"/>
    </xf>
    <xf numFmtId="0" fontId="175" fillId="0" borderId="0">
      <alignment wrapText="1"/>
    </xf>
    <xf numFmtId="0" fontId="13" fillId="0" borderId="47" applyNumberFormat="0" applyFill="0" applyAlignment="0" applyProtection="0"/>
    <xf numFmtId="38" fontId="69" fillId="0" borderId="0"/>
    <xf numFmtId="220" fontId="69" fillId="0" borderId="0" applyFont="0" applyFill="0" applyBorder="0" applyAlignment="0" applyProtection="0"/>
    <xf numFmtId="236" fontId="164" fillId="0" borderId="0"/>
    <xf numFmtId="38" fontId="85" fillId="0" borderId="0" applyNumberFormat="0" applyBorder="0" applyProtection="0">
      <alignment horizontal="left"/>
    </xf>
    <xf numFmtId="38" fontId="176" fillId="0" borderId="0"/>
    <xf numFmtId="38" fontId="177" fillId="0" borderId="0"/>
    <xf numFmtId="38" fontId="178" fillId="0" borderId="0"/>
    <xf numFmtId="38" fontId="179" fillId="0" borderId="0"/>
    <xf numFmtId="0" fontId="180" fillId="0" borderId="0"/>
    <xf numFmtId="0" fontId="180" fillId="0" borderId="0"/>
    <xf numFmtId="0" fontId="7" fillId="0" borderId="0"/>
    <xf numFmtId="222" fontId="152" fillId="0" borderId="0" applyFill="0" applyBorder="0" applyAlignment="0" applyProtection="0"/>
    <xf numFmtId="0" fontId="170" fillId="0" borderId="0"/>
    <xf numFmtId="0" fontId="181" fillId="0" borderId="0"/>
    <xf numFmtId="0" fontId="182" fillId="0" borderId="0"/>
    <xf numFmtId="37" fontId="79" fillId="0" borderId="0" applyNumberFormat="0" applyFill="0" applyBorder="0" applyAlignment="0" applyProtection="0">
      <alignment horizontal="center"/>
    </xf>
    <xf numFmtId="37" fontId="79" fillId="0" borderId="0" applyNumberFormat="0" applyFill="0" applyBorder="0" applyAlignment="0" applyProtection="0">
      <alignment horizontal="center"/>
    </xf>
    <xf numFmtId="14" fontId="153" fillId="0" borderId="0" applyFont="0" applyFill="0" applyBorder="0" applyAlignment="0" applyProtection="0"/>
    <xf numFmtId="237" fontId="69" fillId="0" borderId="0" applyFont="0" applyFill="0" applyBorder="0" applyAlignment="0" applyProtection="0"/>
    <xf numFmtId="0" fontId="55" fillId="0" borderId="0"/>
    <xf numFmtId="0" fontId="183" fillId="0" borderId="0"/>
    <xf numFmtId="201" fontId="85" fillId="0" borderId="0" applyBorder="0">
      <alignment horizontal="left"/>
    </xf>
    <xf numFmtId="44" fontId="7" fillId="0" borderId="0" applyFont="0" applyFill="0" applyBorder="0" applyAlignment="0" applyProtection="0"/>
    <xf numFmtId="220" fontId="69" fillId="0" borderId="0" applyFont="0" applyFill="0" applyBorder="0" applyAlignment="0" applyProtection="0"/>
    <xf numFmtId="225" fontId="152" fillId="0" borderId="0"/>
    <xf numFmtId="0" fontId="182" fillId="0" borderId="0"/>
    <xf numFmtId="166" fontId="69" fillId="0" borderId="0"/>
    <xf numFmtId="166" fontId="151" fillId="0" borderId="0"/>
    <xf numFmtId="238" fontId="69" fillId="0" borderId="0" applyFont="0" applyBorder="0"/>
    <xf numFmtId="166" fontId="167" fillId="0" borderId="0" applyFont="0" applyFill="0" applyBorder="0" applyAlignment="0" applyProtection="0"/>
    <xf numFmtId="10" fontId="167" fillId="0" borderId="0" applyFont="0" applyFill="0" applyBorder="0" applyAlignment="0" applyProtection="0"/>
    <xf numFmtId="9" fontId="7" fillId="0" borderId="0"/>
    <xf numFmtId="166" fontId="184" fillId="0" borderId="0" applyFill="0" applyBorder="0" applyAlignment="0" applyProtection="0"/>
    <xf numFmtId="223" fontId="69" fillId="0" borderId="0" applyFont="0" applyFill="0" applyBorder="0" applyAlignment="0" applyProtection="0"/>
    <xf numFmtId="224" fontId="69" fillId="0" borderId="0" applyFont="0" applyFill="0" applyBorder="0" applyAlignment="0" applyProtection="0"/>
    <xf numFmtId="38" fontId="69" fillId="0" borderId="0" applyFont="0" applyFill="0" applyBorder="0" applyAlignment="0" applyProtection="0"/>
    <xf numFmtId="3" fontId="69" fillId="0" borderId="0"/>
    <xf numFmtId="0" fontId="185" fillId="0" borderId="0"/>
    <xf numFmtId="192" fontId="186" fillId="0" borderId="0" applyNumberFormat="0" applyFill="0" applyBorder="0" applyAlignment="0" applyProtection="0">
      <alignment horizontal="left"/>
    </xf>
    <xf numFmtId="0" fontId="84" fillId="0" borderId="0"/>
    <xf numFmtId="0" fontId="84" fillId="0" borderId="0"/>
    <xf numFmtId="0" fontId="84" fillId="0" borderId="9">
      <alignment horizontal="centerContinuous"/>
    </xf>
    <xf numFmtId="0" fontId="84" fillId="0" borderId="9">
      <alignment horizontal="centerContinuous"/>
    </xf>
    <xf numFmtId="0" fontId="187" fillId="34" borderId="0" applyNumberFormat="0" applyFont="0" applyBorder="0" applyAlignment="0" applyProtection="0"/>
    <xf numFmtId="220" fontId="69" fillId="0" borderId="0" applyFont="0" applyFill="0" applyBorder="0" applyAlignment="0" applyProtection="0"/>
    <xf numFmtId="0" fontId="47" fillId="33" borderId="6" applyNumberFormat="0" applyProtection="0">
      <alignment horizontal="center" wrapText="1"/>
    </xf>
    <xf numFmtId="0" fontId="47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70" fillId="0" borderId="0" applyNumberFormat="0" applyBorder="0" applyAlignment="0"/>
    <xf numFmtId="0" fontId="188" fillId="0" borderId="0" applyNumberFormat="0" applyBorder="0" applyAlignment="0"/>
    <xf numFmtId="190" fontId="189" fillId="0" borderId="0" applyFill="0" applyBorder="0" applyAlignment="0" applyProtection="0"/>
    <xf numFmtId="222" fontId="190" fillId="0" borderId="0" applyFill="0" applyBorder="0" applyAlignment="0" applyProtection="0"/>
    <xf numFmtId="0" fontId="86" fillId="0" borderId="0" applyNumberFormat="0" applyFill="0" applyBorder="0" applyProtection="0">
      <alignment horizontal="left" vertical="center"/>
    </xf>
    <xf numFmtId="220" fontId="69" fillId="0" borderId="0" applyFill="0" applyBorder="0" applyAlignment="0" applyProtection="0">
      <protection locked="0"/>
    </xf>
    <xf numFmtId="40" fontId="191" fillId="0" borderId="0" applyBorder="0">
      <alignment horizontal="right"/>
    </xf>
    <xf numFmtId="220" fontId="189" fillId="0" borderId="0" applyFill="0" applyBorder="0" applyAlignment="0" applyProtection="0"/>
    <xf numFmtId="3" fontId="51" fillId="0" borderId="0" applyNumberFormat="0"/>
    <xf numFmtId="0" fontId="51" fillId="0" borderId="0" applyFill="0" applyBorder="0" applyProtection="0">
      <alignment horizontal="left"/>
    </xf>
    <xf numFmtId="0" fontId="47" fillId="0" borderId="1" applyFill="0" applyBorder="0" applyProtection="0">
      <alignment horizontal="left" vertical="top"/>
    </xf>
    <xf numFmtId="38" fontId="165" fillId="0" borderId="0" applyNumberFormat="0" applyBorder="0">
      <alignment horizontal="left"/>
    </xf>
    <xf numFmtId="0" fontId="153" fillId="0" borderId="0" applyNumberFormat="0" applyFont="0" applyFill="0" applyBorder="0" applyProtection="0">
      <alignment horizontal="left" vertical="top" wrapText="1"/>
    </xf>
    <xf numFmtId="220" fontId="192" fillId="0" borderId="0" applyNumberFormat="0" applyFill="0" applyBorder="0" applyAlignment="0" applyProtection="0"/>
    <xf numFmtId="37" fontId="167" fillId="0" borderId="0" applyNumberFormat="0" applyFill="0" applyBorder="0" applyAlignment="0" applyProtection="0">
      <alignment horizontal="center"/>
    </xf>
    <xf numFmtId="37" fontId="167" fillId="0" borderId="0" applyNumberFormat="0" applyFill="0" applyBorder="0" applyAlignment="0" applyProtection="0">
      <alignment horizontal="center"/>
    </xf>
    <xf numFmtId="1" fontId="69" fillId="0" borderId="2" applyNumberFormat="0">
      <alignment horizontal="right"/>
    </xf>
    <xf numFmtId="37" fontId="47" fillId="8" borderId="0" applyNumberFormat="0" applyBorder="0" applyAlignment="0" applyProtection="0"/>
    <xf numFmtId="37" fontId="47" fillId="0" borderId="0"/>
    <xf numFmtId="3" fontId="49" fillId="0" borderId="47" applyProtection="0"/>
    <xf numFmtId="6" fontId="193" fillId="0" borderId="48" applyNumberFormat="0" applyFill="0" applyBorder="0" applyAlignment="0" applyProtection="0">
      <alignment horizontal="right"/>
    </xf>
    <xf numFmtId="0" fontId="194" fillId="0" borderId="0" applyNumberFormat="0"/>
    <xf numFmtId="9" fontId="7" fillId="0" borderId="0" applyFont="0" applyFill="0" applyBorder="0" applyAlignment="0" applyProtection="0"/>
    <xf numFmtId="1" fontId="187" fillId="0" borderId="2">
      <alignment horizontal="center"/>
    </xf>
    <xf numFmtId="0" fontId="47" fillId="12" borderId="6" applyNumberFormat="0" applyProtection="0">
      <alignment wrapText="1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Fill="0" applyAlignment="0">
      <protection locked="0"/>
    </xf>
    <xf numFmtId="0" fontId="7" fillId="0" borderId="0" applyNumberFormat="0" applyFill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63" fillId="0" borderId="0"/>
    <xf numFmtId="0" fontId="143" fillId="23" borderId="39" applyNumberFormat="0" applyAlignment="0" applyProtection="0"/>
    <xf numFmtId="0" fontId="69" fillId="0" borderId="0"/>
    <xf numFmtId="0" fontId="81" fillId="0" borderId="0"/>
    <xf numFmtId="1" fontId="69" fillId="0" borderId="0" applyFont="0" applyFill="0" applyBorder="0" applyAlignment="0" applyProtection="0"/>
    <xf numFmtId="40" fontId="122" fillId="0" borderId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195" fillId="0" borderId="0"/>
    <xf numFmtId="0" fontId="155" fillId="0" borderId="0"/>
    <xf numFmtId="0" fontId="7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143" fillId="23" borderId="39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43" fillId="23" borderId="39" applyNumberFormat="0" applyAlignment="0" applyProtection="0"/>
    <xf numFmtId="9" fontId="196" fillId="0" borderId="0" applyFont="0" applyFill="0" applyBorder="0" applyAlignment="0" applyProtection="0"/>
    <xf numFmtId="0" fontId="143" fillId="23" borderId="39" applyNumberForma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3" fillId="23" borderId="39" applyNumberFormat="0" applyAlignment="0" applyProtection="0"/>
    <xf numFmtId="0" fontId="143" fillId="23" borderId="39" applyNumberFormat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43" fillId="23" borderId="39" applyNumberFormat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43" fillId="23" borderId="39" applyNumberFormat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43" fillId="23" borderId="39" applyNumberFormat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 applyNumberFormat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 applyNumberFormat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196" fillId="0" borderId="0"/>
    <xf numFmtId="0" fontId="5" fillId="0" borderId="0"/>
    <xf numFmtId="0" fontId="5" fillId="0" borderId="0"/>
    <xf numFmtId="0" fontId="7" fillId="0" borderId="0" applyNumberFormat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>
      <alignment vertical="top"/>
    </xf>
    <xf numFmtId="0" fontId="7" fillId="0" borderId="0"/>
    <xf numFmtId="0" fontId="7" fillId="0" borderId="0"/>
    <xf numFmtId="240" fontId="7" fillId="0" borderId="0" applyFont="0" applyFill="0" applyBorder="0" applyAlignment="0" applyProtection="0"/>
    <xf numFmtId="241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" fontId="4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" fontId="41" fillId="0" borderId="0"/>
    <xf numFmtId="0" fontId="7" fillId="0" borderId="0" applyNumberFormat="0" applyFill="0" applyBorder="0" applyAlignment="0" applyProtection="0"/>
    <xf numFmtId="3" fontId="41" fillId="0" borderId="0"/>
    <xf numFmtId="3" fontId="41" fillId="0" borderId="0"/>
    <xf numFmtId="0" fontId="7" fillId="0" borderId="0" applyNumberFormat="0" applyFill="0" applyBorder="0" applyAlignment="0" applyProtection="0"/>
    <xf numFmtId="3" fontId="4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" fontId="41" fillId="0" borderId="0"/>
    <xf numFmtId="0" fontId="54" fillId="0" borderId="0"/>
    <xf numFmtId="240" fontId="54" fillId="0" borderId="0" applyFont="0" applyFill="0" applyBorder="0" applyAlignment="0" applyProtection="0"/>
    <xf numFmtId="241" fontId="54" fillId="0" borderId="0" applyFont="0" applyFill="0" applyBorder="0" applyAlignment="0" applyProtection="0"/>
    <xf numFmtId="242" fontId="55" fillId="0" borderId="0" applyFont="0" applyFill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239" fontId="54" fillId="0" borderId="0" applyFont="0" applyFill="0" applyBorder="0" applyAlignment="0" applyProtection="0"/>
    <xf numFmtId="243" fontId="54" fillId="0" borderId="0" applyFont="0" applyFill="0" applyBorder="0" applyAlignment="0" applyProtection="0"/>
    <xf numFmtId="0" fontId="197" fillId="0" borderId="0">
      <alignment horizontal="right"/>
    </xf>
    <xf numFmtId="0" fontId="81" fillId="0" borderId="0"/>
    <xf numFmtId="0" fontId="7" fillId="3" borderId="0" applyNumberFormat="0" applyFont="0" applyAlignment="0"/>
    <xf numFmtId="244" fontId="69" fillId="0" borderId="0">
      <alignment horizontal="right"/>
    </xf>
    <xf numFmtId="0" fontId="199" fillId="0" borderId="0"/>
    <xf numFmtId="245" fontId="164" fillId="0" borderId="0">
      <alignment horizontal="right"/>
    </xf>
    <xf numFmtId="0" fontId="7" fillId="0" borderId="0">
      <alignment horizontal="center" wrapText="1"/>
      <protection hidden="1"/>
    </xf>
    <xf numFmtId="43" fontId="7" fillId="0" borderId="0" applyFont="0" applyFill="0" applyBorder="0" applyAlignment="0" applyProtection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4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0" fontId="40" fillId="5" borderId="0" applyNumberFormat="0" applyFill="0" applyBorder="0" applyAlignment="0"/>
    <xf numFmtId="0" fontId="200" fillId="35" borderId="0">
      <alignment horizontal="center" vertical="center" wrapText="1"/>
    </xf>
    <xf numFmtId="246" fontId="7" fillId="0" borderId="0" applyFill="0" applyBorder="0">
      <alignment horizontal="right"/>
      <protection locked="0"/>
    </xf>
    <xf numFmtId="201" fontId="201" fillId="0" borderId="0"/>
    <xf numFmtId="201" fontId="201" fillId="0" borderId="0"/>
    <xf numFmtId="8" fontId="44" fillId="0" borderId="0" applyFont="0" applyFill="0" applyBorder="0" applyAlignment="0" applyProtection="0"/>
    <xf numFmtId="194" fontId="202" fillId="0" borderId="0" applyFont="0" applyFill="0" applyBorder="0" applyAlignment="0" applyProtection="0"/>
    <xf numFmtId="247" fontId="7" fillId="0" borderId="0" applyFont="0" applyFill="0" applyBorder="0" applyAlignment="0" applyProtection="0"/>
    <xf numFmtId="0" fontId="44" fillId="0" borderId="0" applyFont="0" applyFill="0" applyBorder="0" applyAlignment="0">
      <protection locked="0"/>
    </xf>
    <xf numFmtId="44" fontId="7" fillId="0" borderId="0" applyFont="0" applyFill="0" applyBorder="0" applyAlignment="0" applyProtection="0"/>
    <xf numFmtId="38" fontId="45" fillId="6" borderId="49">
      <protection locked="0"/>
    </xf>
    <xf numFmtId="37" fontId="13" fillId="0" borderId="50" applyAlignment="0">
      <protection locked="0"/>
    </xf>
    <xf numFmtId="10" fontId="13" fillId="0" borderId="50" applyAlignment="0">
      <protection locked="0"/>
    </xf>
    <xf numFmtId="37" fontId="13" fillId="0" borderId="50" applyAlignment="0">
      <protection locked="0"/>
    </xf>
    <xf numFmtId="169" fontId="164" fillId="0" borderId="0"/>
    <xf numFmtId="2" fontId="50" fillId="36" borderId="0">
      <alignment horizontal="left"/>
      <protection hidden="1"/>
    </xf>
    <xf numFmtId="209" fontId="69" fillId="0" borderId="0"/>
    <xf numFmtId="2" fontId="164" fillId="0" borderId="0"/>
    <xf numFmtId="238" fontId="69" fillId="0" borderId="0"/>
    <xf numFmtId="235" fontId="164" fillId="0" borderId="0"/>
    <xf numFmtId="236" fontId="203" fillId="0" borderId="0" applyBorder="0" applyAlignment="0"/>
    <xf numFmtId="220" fontId="204" fillId="7" borderId="0" applyNumberFormat="0" applyBorder="0" applyAlignment="0">
      <protection locked="0"/>
    </xf>
    <xf numFmtId="10" fontId="205" fillId="0" borderId="0">
      <protection locked="0"/>
    </xf>
    <xf numFmtId="15" fontId="205" fillId="0" borderId="0">
      <protection locked="0"/>
    </xf>
    <xf numFmtId="2" fontId="205" fillId="0" borderId="18">
      <protection locked="0"/>
    </xf>
    <xf numFmtId="37" fontId="46" fillId="3" borderId="0"/>
    <xf numFmtId="37" fontId="39" fillId="3" borderId="0"/>
    <xf numFmtId="0" fontId="205" fillId="0" borderId="0">
      <protection locked="0"/>
    </xf>
    <xf numFmtId="195" fontId="7" fillId="0" borderId="0" applyFill="0" applyBorder="0">
      <alignment horizontal="right"/>
      <protection locked="0"/>
    </xf>
    <xf numFmtId="0" fontId="30" fillId="10" borderId="25">
      <alignment horizontal="left" vertical="center" wrapText="1"/>
    </xf>
    <xf numFmtId="4" fontId="164" fillId="0" borderId="0"/>
    <xf numFmtId="248" fontId="69" fillId="0" borderId="0"/>
    <xf numFmtId="0" fontId="44" fillId="0" borderId="0"/>
    <xf numFmtId="0" fontId="7" fillId="0" borderId="0" applyNumberFormat="0" applyFill="0" applyBorder="0" applyAlignment="0" applyProtection="0"/>
    <xf numFmtId="0" fontId="44" fillId="0" borderId="0"/>
    <xf numFmtId="0" fontId="4" fillId="0" borderId="0"/>
    <xf numFmtId="0" fontId="4" fillId="0" borderId="0"/>
    <xf numFmtId="220" fontId="46" fillId="0" borderId="0" applyNumberFormat="0" applyFill="0" applyBorder="0" applyAlignment="0" applyProtection="0"/>
    <xf numFmtId="0" fontId="206" fillId="0" borderId="18"/>
    <xf numFmtId="38" fontId="207" fillId="0" borderId="0"/>
    <xf numFmtId="3" fontId="41" fillId="0" borderId="10" applyBorder="0"/>
    <xf numFmtId="220" fontId="51" fillId="0" borderId="0" applyFont="0" applyBorder="0">
      <alignment horizontal="right"/>
    </xf>
    <xf numFmtId="1" fontId="51" fillId="0" borderId="0">
      <alignment horizontal="right"/>
    </xf>
    <xf numFmtId="37" fontId="13" fillId="0" borderId="50">
      <protection locked="0"/>
    </xf>
    <xf numFmtId="10" fontId="207" fillId="0" borderId="0"/>
    <xf numFmtId="9" fontId="7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249" fontId="69" fillId="0" borderId="0">
      <alignment horizontal="right"/>
    </xf>
    <xf numFmtId="10" fontId="202" fillId="0" borderId="0" applyFont="0" applyFill="0" applyBorder="0" applyAlignment="0" applyProtection="0"/>
    <xf numFmtId="220" fontId="208" fillId="0" borderId="0">
      <alignment horizontal="right"/>
    </xf>
    <xf numFmtId="250" fontId="7" fillId="0" borderId="0" applyFill="0" applyBorder="0">
      <alignment horizontal="right"/>
      <protection locked="0"/>
    </xf>
    <xf numFmtId="37" fontId="13" fillId="0" borderId="0">
      <protection locked="0"/>
    </xf>
    <xf numFmtId="224" fontId="55" fillId="0" borderId="0" applyFill="0" applyBorder="0">
      <alignment horizontal="right"/>
      <protection locked="0"/>
    </xf>
    <xf numFmtId="2" fontId="207" fillId="0" borderId="0"/>
    <xf numFmtId="251" fontId="7" fillId="0" borderId="0">
      <alignment horizontal="right"/>
      <protection locked="0"/>
    </xf>
    <xf numFmtId="49" fontId="41" fillId="0" borderId="0">
      <alignment horizontal="right"/>
    </xf>
    <xf numFmtId="37" fontId="44" fillId="0" borderId="0" applyFont="0" applyFill="0" applyBorder="0" applyAlignment="0" applyProtection="0"/>
    <xf numFmtId="0" fontId="203" fillId="0" borderId="0" applyNumberFormat="0" applyFill="0" applyBorder="0" applyAlignment="0" applyProtection="0"/>
    <xf numFmtId="252" fontId="209" fillId="0" borderId="0" applyFill="0" applyBorder="0">
      <alignment horizontal="right"/>
      <protection hidden="1"/>
    </xf>
    <xf numFmtId="0" fontId="39" fillId="35" borderId="6">
      <alignment horizontal="center" vertical="center" wrapText="1"/>
      <protection hidden="1"/>
    </xf>
    <xf numFmtId="0" fontId="48" fillId="13" borderId="0">
      <alignment horizontal="right"/>
    </xf>
    <xf numFmtId="3" fontId="47" fillId="0" borderId="0"/>
    <xf numFmtId="169" fontId="69" fillId="0" borderId="0"/>
    <xf numFmtId="253" fontId="55" fillId="0" borderId="0">
      <protection locked="0"/>
    </xf>
    <xf numFmtId="0" fontId="70" fillId="0" borderId="1" applyBorder="0">
      <alignment horizontal="center"/>
    </xf>
    <xf numFmtId="38" fontId="7" fillId="0" borderId="0" applyNumberFormat="0" applyBorder="0">
      <alignment horizontal="left"/>
    </xf>
    <xf numFmtId="0" fontId="207" fillId="0" borderId="0"/>
    <xf numFmtId="3" fontId="210" fillId="0" borderId="0"/>
    <xf numFmtId="0" fontId="42" fillId="37" borderId="0" applyNumberFormat="0" applyBorder="0">
      <alignment horizontal="centerContinuous"/>
    </xf>
    <xf numFmtId="0" fontId="7" fillId="0" borderId="0" applyBorder="0"/>
    <xf numFmtId="0" fontId="51" fillId="0" borderId="4">
      <alignment horizontal="center" wrapText="1"/>
    </xf>
    <xf numFmtId="3" fontId="51" fillId="0" borderId="2" applyNumberFormat="0"/>
    <xf numFmtId="38" fontId="7" fillId="0" borderId="0">
      <alignment horizontal="right"/>
    </xf>
    <xf numFmtId="220" fontId="47" fillId="7" borderId="49">
      <alignment horizontal="right"/>
    </xf>
    <xf numFmtId="220" fontId="46" fillId="7" borderId="49"/>
    <xf numFmtId="1" fontId="211" fillId="0" borderId="0" applyFont="0">
      <alignment horizontal="right"/>
    </xf>
    <xf numFmtId="0" fontId="212" fillId="0" borderId="0"/>
    <xf numFmtId="240" fontId="212" fillId="0" borderId="0" applyFont="0" applyFill="0" applyBorder="0" applyAlignment="0" applyProtection="0"/>
    <xf numFmtId="241" fontId="212" fillId="0" borderId="0" applyFont="0" applyFill="0" applyBorder="0" applyAlignment="0" applyProtection="0"/>
    <xf numFmtId="9" fontId="41" fillId="0" borderId="0" applyFont="0" applyFill="0" applyBorder="0" applyProtection="0">
      <alignment horizontal="right"/>
    </xf>
    <xf numFmtId="239" fontId="212" fillId="0" borderId="0" applyFont="0" applyFill="0" applyBorder="0" applyAlignment="0" applyProtection="0"/>
    <xf numFmtId="243" fontId="212" fillId="0" borderId="0" applyFont="0" applyFill="0" applyBorder="0" applyAlignment="0" applyProtection="0"/>
    <xf numFmtId="0" fontId="213" fillId="0" borderId="0" applyNumberFormat="0" applyFill="0" applyBorder="0" applyAlignment="0" applyProtection="0">
      <alignment vertical="top"/>
      <protection locked="0"/>
    </xf>
    <xf numFmtId="0" fontId="47" fillId="0" borderId="0"/>
    <xf numFmtId="9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217" fontId="7" fillId="5" borderId="51">
      <alignment horizontal="right"/>
    </xf>
    <xf numFmtId="43" fontId="3" fillId="0" borderId="0" applyFont="0" applyFill="0" applyBorder="0" applyAlignment="0" applyProtection="0"/>
    <xf numFmtId="194" fontId="7" fillId="5" borderId="51">
      <alignment horizontal="right"/>
    </xf>
    <xf numFmtId="43" fontId="3" fillId="0" borderId="0" applyFont="0" applyFill="0" applyBorder="0" applyAlignment="0" applyProtection="0"/>
    <xf numFmtId="0" fontId="214" fillId="0" borderId="0"/>
    <xf numFmtId="43" fontId="3" fillId="0" borderId="0" applyFont="0" applyFill="0" applyBorder="0" applyAlignment="0" applyProtection="0"/>
    <xf numFmtId="0" fontId="3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7" fillId="0" borderId="0"/>
    <xf numFmtId="0" fontId="3" fillId="0" borderId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15" fillId="0" borderId="0"/>
    <xf numFmtId="0" fontId="47" fillId="0" borderId="0"/>
    <xf numFmtId="0" fontId="47" fillId="0" borderId="0"/>
    <xf numFmtId="0" fontId="7" fillId="0" borderId="0" applyNumberFormat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3" fillId="0" borderId="0" applyNumberFormat="0" applyFont="0" applyFill="0" applyBorder="0" applyAlignment="0" applyProtection="0"/>
    <xf numFmtId="0" fontId="30" fillId="0" borderId="4" applyNumberFormat="0" applyBorder="0" applyAlignment="0">
      <alignment horizontal="left"/>
    </xf>
    <xf numFmtId="0" fontId="7" fillId="0" borderId="0"/>
    <xf numFmtId="3" fontId="41" fillId="0" borderId="0"/>
    <xf numFmtId="0" fontId="7" fillId="0" borderId="0"/>
    <xf numFmtId="3" fontId="41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 applyNumberFormat="0" applyFill="0" applyBorder="0" applyAlignment="0" applyProtection="0"/>
    <xf numFmtId="254" fontId="124" fillId="0" borderId="0"/>
    <xf numFmtId="0" fontId="7" fillId="0" borderId="0" applyNumberFormat="0" applyFill="0" applyBorder="0" applyAlignment="0" applyProtection="0"/>
    <xf numFmtId="3" fontId="41" fillId="0" borderId="0"/>
    <xf numFmtId="3" fontId="41" fillId="0" borderId="0"/>
    <xf numFmtId="3" fontId="41" fillId="0" borderId="0"/>
    <xf numFmtId="3" fontId="41" fillId="0" borderId="0"/>
    <xf numFmtId="3" fontId="41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3" fontId="4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3" fontId="41" fillId="0" borderId="0"/>
    <xf numFmtId="0" fontId="7" fillId="0" borderId="0" applyNumberFormat="0" applyFill="0" applyBorder="0" applyAlignment="0" applyProtection="0"/>
    <xf numFmtId="0" fontId="7" fillId="0" borderId="0" applyFill="0" applyAlignment="0">
      <protection locked="0"/>
    </xf>
    <xf numFmtId="3" fontId="4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 applyNumberFormat="0" applyFill="0" applyBorder="0" applyAlignment="0" applyProtection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0" fontId="7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199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10" fontId="198" fillId="0" borderId="0" applyFont="0" applyFill="0" applyBorder="0" applyAlignment="0" applyProtection="0"/>
    <xf numFmtId="0" fontId="130" fillId="25" borderId="0" applyNumberFormat="0" applyBorder="0" applyAlignment="0" applyProtection="0"/>
    <xf numFmtId="0" fontId="130" fillId="21" borderId="0" applyNumberFormat="0" applyBorder="0" applyAlignment="0" applyProtection="0"/>
    <xf numFmtId="0" fontId="130" fillId="27" borderId="0" applyNumberFormat="0" applyBorder="0" applyAlignment="0" applyProtection="0"/>
    <xf numFmtId="0" fontId="130" fillId="23" borderId="0" applyNumberFormat="0" applyBorder="0" applyAlignment="0" applyProtection="0"/>
    <xf numFmtId="0" fontId="130" fillId="27" borderId="0" applyNumberFormat="0" applyBorder="0" applyAlignment="0" applyProtection="0"/>
    <xf numFmtId="0" fontId="130" fillId="23" borderId="0" applyNumberFormat="0" applyBorder="0" applyAlignment="0" applyProtection="0"/>
    <xf numFmtId="0" fontId="130" fillId="24" borderId="0" applyNumberFormat="0" applyBorder="0" applyAlignment="0" applyProtection="0"/>
    <xf numFmtId="0" fontId="130" fillId="3" borderId="0" applyNumberFormat="0" applyBorder="0" applyAlignment="0" applyProtection="0"/>
    <xf numFmtId="0" fontId="130" fillId="29" borderId="0" applyNumberFormat="0" applyBorder="0" applyAlignment="0" applyProtection="0"/>
    <xf numFmtId="0" fontId="130" fillId="3" borderId="0" applyNumberFormat="0" applyBorder="0" applyAlignment="0" applyProtection="0"/>
    <xf numFmtId="0" fontId="130" fillId="24" borderId="0" applyNumberFormat="0" applyBorder="0" applyAlignment="0" applyProtection="0"/>
    <xf numFmtId="0" fontId="130" fillId="25" borderId="0" applyNumberFormat="0" applyBorder="0" applyAlignment="0" applyProtection="0"/>
    <xf numFmtId="0" fontId="130" fillId="27" borderId="0" applyNumberFormat="0" applyBorder="0" applyAlignment="0" applyProtection="0"/>
    <xf numFmtId="0" fontId="130" fillId="23" borderId="0" applyNumberFormat="0" applyBorder="0" applyAlignment="0" applyProtection="0"/>
    <xf numFmtId="0" fontId="134" fillId="24" borderId="0" applyNumberFormat="0" applyBorder="0" applyAlignment="0" applyProtection="0"/>
    <xf numFmtId="0" fontId="134" fillId="26" borderId="0" applyNumberFormat="0" applyBorder="0" applyAlignment="0" applyProtection="0"/>
    <xf numFmtId="0" fontId="134" fillId="38" borderId="0" applyNumberFormat="0" applyBorder="0" applyAlignment="0" applyProtection="0"/>
    <xf numFmtId="0" fontId="134" fillId="22" borderId="0" applyNumberFormat="0" applyBorder="0" applyAlignment="0" applyProtection="0"/>
    <xf numFmtId="0" fontId="134" fillId="39" borderId="0" applyNumberFormat="0" applyBorder="0" applyAlignment="0" applyProtection="0"/>
    <xf numFmtId="0" fontId="134" fillId="27" borderId="0" applyNumberFormat="0" applyBorder="0" applyAlignment="0" applyProtection="0"/>
    <xf numFmtId="0" fontId="134" fillId="29" borderId="0" applyNumberFormat="0" applyBorder="0" applyAlignment="0" applyProtection="0"/>
    <xf numFmtId="0" fontId="134" fillId="3" borderId="0" applyNumberFormat="0" applyBorder="0" applyAlignment="0" applyProtection="0"/>
    <xf numFmtId="0" fontId="134" fillId="24" borderId="0" applyNumberFormat="0" applyBorder="0" applyAlignment="0" applyProtection="0"/>
    <xf numFmtId="0" fontId="134" fillId="26" borderId="0" applyNumberFormat="0" applyBorder="0" applyAlignment="0" applyProtection="0"/>
    <xf numFmtId="0" fontId="134" fillId="22" borderId="0" applyNumberFormat="0" applyBorder="0" applyAlignment="0" applyProtection="0"/>
    <xf numFmtId="0" fontId="134" fillId="23" borderId="0" applyNumberFormat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134" fillId="40" borderId="0" applyNumberFormat="0" applyBorder="0" applyAlignment="0" applyProtection="0"/>
    <xf numFmtId="0" fontId="134" fillId="26" borderId="0" applyNumberFormat="0" applyBorder="0" applyAlignment="0" applyProtection="0"/>
    <xf numFmtId="0" fontId="134" fillId="38" borderId="0" applyNumberFormat="0" applyBorder="0" applyAlignment="0" applyProtection="0"/>
    <xf numFmtId="0" fontId="134" fillId="22" borderId="0" applyNumberFormat="0" applyBorder="0" applyAlignment="0" applyProtection="0"/>
    <xf numFmtId="0" fontId="134" fillId="39" borderId="0" applyNumberFormat="0" applyBorder="0" applyAlignment="0" applyProtection="0"/>
    <xf numFmtId="0" fontId="134" fillId="27" borderId="0" applyNumberFormat="0" applyBorder="0" applyAlignment="0" applyProtection="0"/>
    <xf numFmtId="0" fontId="134" fillId="41" borderId="0" applyNumberFormat="0" applyBorder="0" applyAlignment="0" applyProtection="0"/>
    <xf numFmtId="0" fontId="134" fillId="22" borderId="0" applyNumberFormat="0" applyBorder="0" applyAlignment="0" applyProtection="0"/>
    <xf numFmtId="0" fontId="217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35" fillId="42" borderId="0" applyNumberFormat="0" applyBorder="0" applyAlignment="0" applyProtection="0"/>
    <xf numFmtId="0" fontId="135" fillId="29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18" fillId="0" borderId="0"/>
    <xf numFmtId="0" fontId="219" fillId="0" borderId="0"/>
    <xf numFmtId="0" fontId="218" fillId="0" borderId="0"/>
    <xf numFmtId="0" fontId="218" fillId="0" borderId="0"/>
    <xf numFmtId="0" fontId="220" fillId="0" borderId="0"/>
    <xf numFmtId="0" fontId="217" fillId="0" borderId="0"/>
    <xf numFmtId="0" fontId="220" fillId="0" borderId="0"/>
    <xf numFmtId="0" fontId="217" fillId="0" borderId="0"/>
    <xf numFmtId="0" fontId="220" fillId="0" borderId="0"/>
    <xf numFmtId="0" fontId="217" fillId="0" borderId="0"/>
    <xf numFmtId="0" fontId="221" fillId="30" borderId="39" applyNumberFormat="0" applyAlignment="0" applyProtection="0"/>
    <xf numFmtId="0" fontId="136" fillId="30" borderId="39" applyNumberFormat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213" fontId="41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0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206" fontId="7" fillId="0" borderId="0" applyFont="0" applyFill="0" applyBorder="0" applyAlignment="0" applyProtection="0"/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49" fontId="7" fillId="0" borderId="0" applyFill="0" applyBorder="0">
      <alignment horizontal="right" vertical="center"/>
    </xf>
    <xf numFmtId="0" fontId="139" fillId="24" borderId="0" applyNumberFormat="0" applyBorder="0" applyAlignment="0" applyProtection="0"/>
    <xf numFmtId="0" fontId="139" fillId="32" borderId="0" applyNumberFormat="0" applyBorder="0" applyAlignment="0" applyProtection="0"/>
    <xf numFmtId="0" fontId="73" fillId="0" borderId="0"/>
    <xf numFmtId="38" fontId="47" fillId="5" borderId="0" applyNumberFormat="0" applyBorder="0" applyAlignment="0" applyProtection="0"/>
    <xf numFmtId="166" fontId="7" fillId="6" borderId="6" applyNumberFormat="0" applyFont="0" applyBorder="0" applyAlignment="0" applyProtection="0"/>
    <xf numFmtId="0" fontId="140" fillId="0" borderId="52" applyNumberFormat="0" applyFill="0" applyAlignment="0" applyProtection="0"/>
    <xf numFmtId="0" fontId="140" fillId="0" borderId="41" applyNumberFormat="0" applyFill="0" applyAlignment="0" applyProtection="0"/>
    <xf numFmtId="0" fontId="141" fillId="0" borderId="53" applyNumberFormat="0" applyFill="0" applyAlignment="0" applyProtection="0"/>
    <xf numFmtId="0" fontId="141" fillId="0" borderId="42" applyNumberFormat="0" applyFill="0" applyAlignment="0" applyProtection="0"/>
    <xf numFmtId="0" fontId="142" fillId="0" borderId="54" applyNumberFormat="0" applyFill="0" applyAlignment="0" applyProtection="0"/>
    <xf numFmtId="0" fontId="142" fillId="0" borderId="43" applyNumberFormat="0" applyFill="0" applyAlignment="0" applyProtection="0"/>
    <xf numFmtId="0" fontId="213" fillId="0" borderId="0" applyNumberFormat="0" applyFill="0" applyBorder="0" applyAlignment="0" applyProtection="0">
      <alignment vertical="top"/>
      <protection locked="0"/>
    </xf>
    <xf numFmtId="0" fontId="222" fillId="0" borderId="0" applyNumberFormat="0" applyFill="0" applyBorder="0" applyAlignment="0" applyProtection="0"/>
    <xf numFmtId="0" fontId="222" fillId="0" borderId="0" applyNumberFormat="0" applyFill="0" applyBorder="0" applyAlignment="0" applyProtection="0"/>
    <xf numFmtId="0" fontId="227" fillId="0" borderId="0" applyNumberFormat="0" applyFill="0" applyBorder="0" applyAlignment="0" applyProtection="0"/>
    <xf numFmtId="0" fontId="143" fillId="23" borderId="39" applyNumberFormat="0" applyAlignment="0" applyProtection="0"/>
    <xf numFmtId="10" fontId="47" fillId="7" borderId="6" applyNumberFormat="0" applyBorder="0" applyAlignment="0" applyProtection="0"/>
    <xf numFmtId="0" fontId="149" fillId="0" borderId="55" applyNumberFormat="0" applyFill="0" applyAlignment="0" applyProtection="0"/>
    <xf numFmtId="0" fontId="144" fillId="0" borderId="44" applyNumberFormat="0" applyFill="0" applyAlignment="0" applyProtection="0"/>
    <xf numFmtId="206" fontId="47" fillId="7" borderId="0">
      <alignment horizontal="center"/>
    </xf>
    <xf numFmtId="0" fontId="223" fillId="23" borderId="0" applyNumberFormat="0" applyBorder="0" applyAlignment="0" applyProtection="0"/>
    <xf numFmtId="0" fontId="145" fillId="23" borderId="0" applyNumberFormat="0" applyBorder="0" applyAlignment="0" applyProtection="0"/>
    <xf numFmtId="0" fontId="7" fillId="0" borderId="0" applyNumberFormat="0" applyFont="0" applyFill="0" applyBorder="0" applyAlignment="0" applyProtection="0"/>
    <xf numFmtId="0" fontId="2" fillId="0" borderId="0"/>
    <xf numFmtId="0" fontId="2" fillId="0" borderId="0"/>
    <xf numFmtId="0" fontId="7" fillId="0" borderId="0"/>
    <xf numFmtId="0" fontId="2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2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131" fillId="0" borderId="0"/>
    <xf numFmtId="0" fontId="2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3" fontId="41" fillId="0" borderId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196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/>
    <xf numFmtId="0" fontId="196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196" fillId="0" borderId="0"/>
    <xf numFmtId="0" fontId="196" fillId="0" borderId="0"/>
    <xf numFmtId="0" fontId="196" fillId="0" borderId="0"/>
    <xf numFmtId="0" fontId="196" fillId="0" borderId="0"/>
    <xf numFmtId="0" fontId="196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7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0" fontId="7" fillId="23" borderId="8" applyNumberFormat="0" applyFont="0" applyAlignment="0" applyProtection="0"/>
    <xf numFmtId="3" fontId="41" fillId="0" borderId="0" applyBorder="0"/>
    <xf numFmtId="9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83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84" fillId="0" borderId="9">
      <alignment horizontal="centerContinuous"/>
    </xf>
    <xf numFmtId="0" fontId="7" fillId="0" borderId="0"/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/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top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top"/>
    </xf>
    <xf numFmtId="0" fontId="7" fillId="0" borderId="0"/>
    <xf numFmtId="3" fontId="41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/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/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/>
    <xf numFmtId="0" fontId="7" fillId="0" borderId="0"/>
    <xf numFmtId="0" fontId="7" fillId="0" borderId="0">
      <alignment vertical="top"/>
    </xf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/>
    <xf numFmtId="0" fontId="7" fillId="0" borderId="0">
      <alignment vertical="top"/>
    </xf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3" fontId="41" fillId="0" borderId="0"/>
    <xf numFmtId="0" fontId="7" fillId="0" borderId="0">
      <alignment vertical="top"/>
    </xf>
    <xf numFmtId="0" fontId="7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52" fillId="0" borderId="0"/>
    <xf numFmtId="0" fontId="52" fillId="0" borderId="0"/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63" fillId="0" borderId="0">
      <alignment vertical="center"/>
    </xf>
    <xf numFmtId="0" fontId="51" fillId="0" borderId="4">
      <alignment horizontal="right" wrapText="1"/>
    </xf>
    <xf numFmtId="0" fontId="51" fillId="0" borderId="4">
      <alignment horizontal="right" wrapText="1"/>
    </xf>
    <xf numFmtId="0" fontId="148" fillId="0" borderId="56" applyNumberFormat="0" applyFill="0" applyAlignment="0" applyProtection="0"/>
    <xf numFmtId="0" fontId="148" fillId="0" borderId="46" applyNumberFormat="0" applyFill="0" applyAlignment="0" applyProtection="0"/>
    <xf numFmtId="0" fontId="7" fillId="0" borderId="0" applyNumberFormat="0" applyFont="0" applyFill="0" applyBorder="0" applyAlignment="0" applyProtection="0"/>
    <xf numFmtId="1" fontId="7" fillId="0" borderId="0">
      <alignment horizontal="center"/>
    </xf>
    <xf numFmtId="1" fontId="7" fillId="0" borderId="0">
      <alignment horizontal="center"/>
    </xf>
    <xf numFmtId="1" fontId="7" fillId="0" borderId="0">
      <alignment horizontal="center"/>
    </xf>
    <xf numFmtId="1" fontId="7" fillId="0" borderId="0">
      <alignment horizontal="center"/>
    </xf>
    <xf numFmtId="1" fontId="7" fillId="0" borderId="0">
      <alignment horizontal="center"/>
    </xf>
    <xf numFmtId="1" fontId="7" fillId="0" borderId="0">
      <alignment horizontal="center"/>
    </xf>
    <xf numFmtId="1" fontId="7" fillId="0" borderId="0">
      <alignment horizontal="center"/>
    </xf>
    <xf numFmtId="1" fontId="7" fillId="0" borderId="0">
      <alignment horizontal="center"/>
    </xf>
    <xf numFmtId="1" fontId="7" fillId="0" borderId="0">
      <alignment horizontal="center"/>
    </xf>
    <xf numFmtId="166" fontId="224" fillId="0" borderId="0" applyFont="0" applyFill="0" applyBorder="0" applyAlignment="0" applyProtection="0"/>
    <xf numFmtId="0" fontId="225" fillId="0" borderId="0"/>
    <xf numFmtId="0" fontId="226" fillId="0" borderId="0" applyFont="0" applyFill="0" applyBorder="0" applyAlignment="0" applyProtection="0"/>
    <xf numFmtId="0" fontId="226" fillId="0" borderId="0" applyFont="0" applyFill="0" applyBorder="0" applyAlignment="0" applyProtection="0"/>
    <xf numFmtId="42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 applyNumberFormat="0" applyFill="0" applyBorder="0" applyAlignment="0" applyProtection="0">
      <alignment vertical="top"/>
      <protection locked="0"/>
    </xf>
    <xf numFmtId="40" fontId="173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43" fillId="23" borderId="39" applyNumberFormat="0" applyAlignment="0" applyProtection="0"/>
    <xf numFmtId="0" fontId="143" fillId="23" borderId="39" applyNumberFormat="0" applyAlignment="0" applyProtection="0"/>
    <xf numFmtId="0" fontId="143" fillId="23" borderId="39" applyNumberFormat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 applyNumberFormat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217" fontId="7" fillId="5" borderId="57">
      <alignment horizontal="right"/>
    </xf>
    <xf numFmtId="194" fontId="7" fillId="5" borderId="57">
      <alignment horizontal="right"/>
    </xf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3" fillId="0" borderId="57" applyNumberFormat="0" applyFont="0" applyFill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17" fontId="7" fillId="5" borderId="57">
      <alignment horizontal="right"/>
    </xf>
    <xf numFmtId="43" fontId="1" fillId="0" borderId="0" applyFont="0" applyFill="0" applyBorder="0" applyAlignment="0" applyProtection="0"/>
    <xf numFmtId="194" fontId="7" fillId="5" borderId="57">
      <alignment horizontal="right"/>
    </xf>
    <xf numFmtId="43" fontId="1" fillId="0" borderId="0" applyFont="0" applyFill="0" applyBorder="0" applyAlignment="0" applyProtection="0"/>
    <xf numFmtId="0" fontId="73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0" fillId="0" borderId="0"/>
  </cellStyleXfs>
  <cellXfs count="1332">
    <xf numFmtId="0" fontId="0" fillId="0" borderId="0" xfId="0"/>
    <xf numFmtId="0" fontId="8" fillId="0" borderId="0" xfId="2" applyFont="1"/>
    <xf numFmtId="0" fontId="9" fillId="0" borderId="0" xfId="2" applyNumberFormat="1" applyFont="1" applyFill="1"/>
    <xf numFmtId="0" fontId="10" fillId="0" borderId="0" xfId="2" applyFont="1" applyFill="1" applyAlignment="1">
      <alignment vertical="center"/>
    </xf>
    <xf numFmtId="0" fontId="10" fillId="0" borderId="0" xfId="2" applyFont="1" applyFill="1" applyBorder="1" applyAlignment="1">
      <alignment vertical="center"/>
    </xf>
    <xf numFmtId="0" fontId="12" fillId="0" borderId="0" xfId="86" applyNumberFormat="1" applyFont="1" applyFill="1" applyBorder="1" applyAlignment="1">
      <alignment horizontal="left"/>
    </xf>
    <xf numFmtId="164" fontId="8" fillId="0" borderId="0" xfId="2" applyNumberFormat="1" applyFont="1" applyAlignment="1"/>
    <xf numFmtId="0" fontId="8" fillId="0" borderId="0" xfId="2" applyFont="1" applyFill="1"/>
    <xf numFmtId="165" fontId="8" fillId="0" borderId="0" xfId="2" applyNumberFormat="1" applyFont="1" applyAlignment="1"/>
    <xf numFmtId="0" fontId="8" fillId="0" borderId="0" xfId="2" applyFont="1" applyBorder="1"/>
    <xf numFmtId="0" fontId="8" fillId="0" borderId="0" xfId="2" applyNumberFormat="1" applyFont="1"/>
    <xf numFmtId="164" fontId="8" fillId="0" borderId="0" xfId="2" applyNumberFormat="1" applyFont="1"/>
    <xf numFmtId="164" fontId="13" fillId="0" borderId="0" xfId="40" applyNumberFormat="1" applyFont="1"/>
    <xf numFmtId="165" fontId="8" fillId="0" borderId="0" xfId="2" applyNumberFormat="1" applyFont="1"/>
    <xf numFmtId="0" fontId="7" fillId="0" borderId="0" xfId="2" applyFont="1"/>
    <xf numFmtId="165" fontId="8" fillId="0" borderId="0" xfId="40" applyNumberFormat="1" applyFont="1"/>
    <xf numFmtId="167" fontId="7" fillId="0" borderId="0" xfId="0" applyNumberFormat="1" applyFont="1"/>
    <xf numFmtId="0" fontId="7" fillId="0" borderId="0" xfId="0" applyFont="1"/>
    <xf numFmtId="0" fontId="14" fillId="0" borderId="0" xfId="2" applyFont="1"/>
    <xf numFmtId="0" fontId="15" fillId="0" borderId="5" xfId="2" applyNumberFormat="1" applyFont="1" applyBorder="1"/>
    <xf numFmtId="0" fontId="15" fillId="0" borderId="12" xfId="2" applyFont="1" applyBorder="1"/>
    <xf numFmtId="1" fontId="17" fillId="5" borderId="13" xfId="85" applyNumberFormat="1" applyFont="1" applyFill="1" applyBorder="1" applyAlignment="1">
      <alignment horizontal="right"/>
    </xf>
    <xf numFmtId="1" fontId="17" fillId="5" borderId="4" xfId="85" applyNumberFormat="1" applyFont="1" applyFill="1" applyBorder="1" applyAlignment="1">
      <alignment horizontal="right"/>
    </xf>
    <xf numFmtId="1" fontId="17" fillId="5" borderId="14" xfId="85" applyNumberFormat="1" applyFont="1" applyFill="1" applyBorder="1" applyAlignment="1">
      <alignment horizontal="right"/>
    </xf>
    <xf numFmtId="0" fontId="14" fillId="0" borderId="0" xfId="2" applyFont="1" applyFill="1"/>
    <xf numFmtId="169" fontId="18" fillId="0" borderId="0" xfId="93" applyNumberFormat="1" applyFont="1"/>
    <xf numFmtId="0" fontId="14" fillId="0" borderId="0" xfId="2" applyFont="1" applyBorder="1"/>
    <xf numFmtId="0" fontId="19" fillId="0" borderId="1" xfId="2" applyNumberFormat="1" applyFont="1" applyBorder="1"/>
    <xf numFmtId="0" fontId="19" fillId="0" borderId="15" xfId="2" applyFont="1" applyBorder="1"/>
    <xf numFmtId="170" fontId="20" fillId="5" borderId="0" xfId="86" applyNumberFormat="1" applyFont="1" applyFill="1" applyBorder="1" applyAlignment="1">
      <alignment horizontal="right"/>
    </xf>
    <xf numFmtId="170" fontId="17" fillId="5" borderId="0" xfId="86" applyNumberFormat="1" applyFont="1" applyFill="1" applyBorder="1" applyAlignment="1">
      <alignment horizontal="right"/>
    </xf>
    <xf numFmtId="170" fontId="17" fillId="5" borderId="15" xfId="86" applyNumberFormat="1" applyFont="1" applyFill="1" applyBorder="1" applyAlignment="1">
      <alignment horizontal="right"/>
    </xf>
    <xf numFmtId="170" fontId="17" fillId="5" borderId="1" xfId="86" applyNumberFormat="1" applyFont="1" applyFill="1" applyBorder="1" applyAlignment="1">
      <alignment horizontal="right"/>
    </xf>
    <xf numFmtId="0" fontId="14" fillId="0" borderId="16" xfId="2" applyNumberFormat="1" applyFont="1" applyBorder="1"/>
    <xf numFmtId="0" fontId="14" fillId="0" borderId="17" xfId="2" applyFont="1" applyBorder="1"/>
    <xf numFmtId="0" fontId="14" fillId="0" borderId="18" xfId="2" applyFont="1" applyBorder="1"/>
    <xf numFmtId="1" fontId="17" fillId="5" borderId="12" xfId="85" applyNumberFormat="1" applyFont="1" applyFill="1" applyBorder="1" applyAlignment="1">
      <alignment horizontal="right"/>
    </xf>
    <xf numFmtId="0" fontId="14" fillId="0" borderId="1" xfId="2" applyFont="1" applyBorder="1"/>
    <xf numFmtId="171" fontId="14" fillId="0" borderId="0" xfId="2" applyNumberFormat="1" applyFont="1"/>
    <xf numFmtId="0" fontId="14" fillId="0" borderId="1" xfId="2" applyNumberFormat="1" applyFont="1" applyFill="1" applyBorder="1"/>
    <xf numFmtId="171" fontId="14" fillId="0" borderId="15" xfId="2" applyNumberFormat="1" applyFont="1" applyFill="1" applyBorder="1"/>
    <xf numFmtId="171" fontId="21" fillId="0" borderId="0" xfId="2" applyNumberFormat="1" applyFont="1" applyFill="1" applyBorder="1" applyAlignment="1"/>
    <xf numFmtId="171" fontId="21" fillId="0" borderId="15" xfId="2" applyNumberFormat="1" applyFont="1" applyFill="1" applyBorder="1" applyAlignment="1"/>
    <xf numFmtId="171" fontId="21" fillId="0" borderId="5" xfId="2" applyNumberFormat="1" applyFont="1" applyFill="1" applyBorder="1" applyAlignment="1"/>
    <xf numFmtId="171" fontId="21" fillId="0" borderId="10" xfId="2" applyNumberFormat="1" applyFont="1" applyFill="1" applyBorder="1" applyAlignment="1"/>
    <xf numFmtId="171" fontId="22" fillId="0" borderId="12" xfId="2" applyNumberFormat="1" applyFont="1" applyFill="1" applyBorder="1" applyAlignment="1"/>
    <xf numFmtId="171" fontId="22" fillId="0" borderId="0" xfId="2" applyNumberFormat="1" applyFont="1" applyFill="1" applyBorder="1" applyAlignment="1"/>
    <xf numFmtId="171" fontId="14" fillId="0" borderId="18" xfId="2" applyNumberFormat="1" applyFont="1" applyBorder="1"/>
    <xf numFmtId="171" fontId="14" fillId="0" borderId="0" xfId="2" applyNumberFormat="1" applyFont="1" applyFill="1"/>
    <xf numFmtId="171" fontId="14" fillId="0" borderId="0" xfId="2" applyNumberFormat="1" applyFont="1" applyFill="1" applyBorder="1" applyAlignment="1"/>
    <xf numFmtId="171" fontId="14" fillId="0" borderId="0" xfId="2" applyNumberFormat="1" applyFont="1" applyBorder="1"/>
    <xf numFmtId="167" fontId="14" fillId="0" borderId="0" xfId="2" applyNumberFormat="1" applyFont="1"/>
    <xf numFmtId="171" fontId="0" fillId="0" borderId="0" xfId="2" applyNumberFormat="1" applyFont="1"/>
    <xf numFmtId="167" fontId="19" fillId="0" borderId="0" xfId="2" applyNumberFormat="1" applyFont="1"/>
    <xf numFmtId="0" fontId="19" fillId="0" borderId="1" xfId="2" applyNumberFormat="1" applyFont="1" applyFill="1" applyBorder="1" applyAlignment="1">
      <alignment horizontal="left" indent="1"/>
    </xf>
    <xf numFmtId="167" fontId="19" fillId="0" borderId="15" xfId="2" applyNumberFormat="1" applyFont="1" applyFill="1" applyBorder="1" applyAlignment="1">
      <alignment horizontal="left" indent="1"/>
    </xf>
    <xf numFmtId="167" fontId="23" fillId="0" borderId="0" xfId="2" applyNumberFormat="1" applyFont="1" applyFill="1" applyBorder="1" applyAlignment="1"/>
    <xf numFmtId="167" fontId="23" fillId="0" borderId="15" xfId="2" applyNumberFormat="1" applyFont="1" applyFill="1" applyBorder="1" applyAlignment="1"/>
    <xf numFmtId="167" fontId="19" fillId="0" borderId="0" xfId="2" applyNumberFormat="1" applyFont="1" applyFill="1" applyBorder="1" applyAlignment="1"/>
    <xf numFmtId="167" fontId="19" fillId="0" borderId="15" xfId="2" applyNumberFormat="1" applyFont="1" applyFill="1" applyBorder="1" applyAlignment="1"/>
    <xf numFmtId="167" fontId="19" fillId="0" borderId="0" xfId="2" applyNumberFormat="1" applyFont="1" applyBorder="1"/>
    <xf numFmtId="167" fontId="18" fillId="0" borderId="0" xfId="2" applyNumberFormat="1" applyFont="1"/>
    <xf numFmtId="0" fontId="19" fillId="0" borderId="15" xfId="2" applyFont="1" applyFill="1" applyBorder="1" applyAlignment="1">
      <alignment horizontal="left" indent="1"/>
    </xf>
    <xf numFmtId="166" fontId="19" fillId="0" borderId="0" xfId="93" applyNumberFormat="1" applyFont="1" applyFill="1" applyBorder="1" applyAlignment="1"/>
    <xf numFmtId="166" fontId="19" fillId="0" borderId="15" xfId="93" applyNumberFormat="1" applyFont="1" applyFill="1" applyBorder="1" applyAlignment="1"/>
    <xf numFmtId="166" fontId="19" fillId="0" borderId="1" xfId="93" applyNumberFormat="1" applyFont="1" applyFill="1" applyBorder="1" applyAlignment="1"/>
    <xf numFmtId="166" fontId="23" fillId="0" borderId="0" xfId="93" applyNumberFormat="1" applyFont="1" applyFill="1" applyBorder="1" applyAlignment="1"/>
    <xf numFmtId="166" fontId="23" fillId="0" borderId="1" xfId="93" applyNumberFormat="1" applyFont="1" applyFill="1" applyBorder="1" applyAlignment="1"/>
    <xf numFmtId="0" fontId="14" fillId="0" borderId="15" xfId="2" applyFont="1" applyFill="1" applyBorder="1"/>
    <xf numFmtId="172" fontId="21" fillId="0" borderId="0" xfId="2" applyNumberFormat="1" applyFont="1" applyFill="1" applyBorder="1" applyAlignment="1"/>
    <xf numFmtId="172" fontId="21" fillId="0" borderId="15" xfId="2" applyNumberFormat="1" applyFont="1" applyFill="1" applyBorder="1" applyAlignment="1"/>
    <xf numFmtId="172" fontId="21" fillId="0" borderId="1" xfId="2" applyNumberFormat="1" applyFont="1" applyFill="1" applyBorder="1" applyAlignment="1"/>
    <xf numFmtId="165" fontId="24" fillId="0" borderId="0" xfId="40" applyNumberFormat="1" applyFont="1" applyFill="1" applyBorder="1" applyAlignment="1"/>
    <xf numFmtId="0" fontId="0" fillId="0" borderId="1" xfId="0" applyBorder="1"/>
    <xf numFmtId="172" fontId="21" fillId="0" borderId="0" xfId="2" applyNumberFormat="1" applyFont="1" applyFill="1" applyBorder="1"/>
    <xf numFmtId="172" fontId="21" fillId="0" borderId="1" xfId="2" applyNumberFormat="1" applyFont="1" applyFill="1" applyBorder="1"/>
    <xf numFmtId="172" fontId="21" fillId="0" borderId="15" xfId="2" applyNumberFormat="1" applyFont="1" applyFill="1" applyBorder="1"/>
    <xf numFmtId="167" fontId="25" fillId="0" borderId="0" xfId="2" applyNumberFormat="1" applyFont="1"/>
    <xf numFmtId="0" fontId="25" fillId="0" borderId="1" xfId="2" applyNumberFormat="1" applyFont="1" applyFill="1" applyBorder="1"/>
    <xf numFmtId="167" fontId="25" fillId="0" borderId="15" xfId="2" applyNumberFormat="1" applyFont="1" applyFill="1" applyBorder="1"/>
    <xf numFmtId="167" fontId="26" fillId="0" borderId="0" xfId="2" applyNumberFormat="1" applyFont="1" applyFill="1" applyBorder="1" applyAlignment="1"/>
    <xf numFmtId="167" fontId="26" fillId="0" borderId="15" xfId="2" applyNumberFormat="1" applyFont="1" applyFill="1" applyBorder="1" applyAlignment="1"/>
    <xf numFmtId="167" fontId="26" fillId="0" borderId="1" xfId="2" applyNumberFormat="1" applyFont="1" applyFill="1" applyBorder="1" applyAlignment="1"/>
    <xf numFmtId="167" fontId="25" fillId="0" borderId="18" xfId="2" applyNumberFormat="1" applyFont="1" applyBorder="1"/>
    <xf numFmtId="167" fontId="25" fillId="0" borderId="0" xfId="2" applyNumberFormat="1" applyFont="1" applyFill="1" applyBorder="1" applyAlignment="1"/>
    <xf numFmtId="167" fontId="25" fillId="0" borderId="1" xfId="2" applyNumberFormat="1" applyFont="1" applyFill="1" applyBorder="1" applyAlignment="1"/>
    <xf numFmtId="167" fontId="25" fillId="0" borderId="15" xfId="2" applyNumberFormat="1" applyFont="1" applyFill="1" applyBorder="1" applyAlignment="1"/>
    <xf numFmtId="167" fontId="25" fillId="0" borderId="0" xfId="2" applyNumberFormat="1" applyFont="1" applyBorder="1"/>
    <xf numFmtId="167" fontId="27" fillId="0" borderId="0" xfId="2" applyNumberFormat="1" applyFont="1"/>
    <xf numFmtId="167" fontId="14" fillId="0" borderId="15" xfId="2" applyNumberFormat="1" applyFont="1" applyFill="1" applyBorder="1"/>
    <xf numFmtId="167" fontId="21" fillId="0" borderId="0" xfId="2" applyNumberFormat="1" applyFont="1" applyFill="1" applyBorder="1" applyAlignment="1"/>
    <xf numFmtId="167" fontId="28" fillId="0" borderId="15" xfId="2" applyNumberFormat="1" applyFont="1" applyFill="1" applyBorder="1" applyAlignment="1"/>
    <xf numFmtId="167" fontId="21" fillId="0" borderId="15" xfId="2" applyNumberFormat="1" applyFont="1" applyFill="1" applyBorder="1" applyAlignment="1"/>
    <xf numFmtId="167" fontId="22" fillId="0" borderId="1" xfId="2" applyNumberFormat="1" applyFont="1" applyFill="1" applyBorder="1" applyAlignment="1"/>
    <xf numFmtId="167" fontId="22" fillId="0" borderId="0" xfId="2" applyNumberFormat="1" applyFont="1" applyFill="1" applyBorder="1" applyAlignment="1"/>
    <xf numFmtId="167" fontId="14" fillId="0" borderId="18" xfId="2" applyNumberFormat="1" applyFont="1" applyBorder="1"/>
    <xf numFmtId="167" fontId="14" fillId="0" borderId="0" xfId="2" applyNumberFormat="1" applyFont="1" applyFill="1" applyBorder="1" applyAlignment="1"/>
    <xf numFmtId="167" fontId="14" fillId="0" borderId="1" xfId="2" applyNumberFormat="1" applyFont="1" applyFill="1" applyBorder="1" applyAlignment="1"/>
    <xf numFmtId="167" fontId="14" fillId="0" borderId="15" xfId="2" applyNumberFormat="1" applyFont="1" applyFill="1" applyBorder="1" applyAlignment="1"/>
    <xf numFmtId="167" fontId="14" fillId="0" borderId="1" xfId="2" applyNumberFormat="1" applyFont="1" applyBorder="1"/>
    <xf numFmtId="167" fontId="14" fillId="0" borderId="0" xfId="2" applyNumberFormat="1" applyFont="1" applyBorder="1"/>
    <xf numFmtId="167" fontId="7" fillId="0" borderId="0" xfId="2" applyNumberFormat="1" applyFont="1"/>
    <xf numFmtId="0" fontId="14" fillId="0" borderId="1" xfId="2" applyNumberFormat="1" applyFont="1" applyFill="1" applyBorder="1" applyAlignment="1">
      <alignment horizontal="left"/>
    </xf>
    <xf numFmtId="0" fontId="14" fillId="0" borderId="15" xfId="2" applyFont="1" applyFill="1" applyBorder="1" applyAlignment="1">
      <alignment horizontal="left" indent="1"/>
    </xf>
    <xf numFmtId="173" fontId="21" fillId="0" borderId="0" xfId="2" applyNumberFormat="1" applyFont="1" applyFill="1" applyBorder="1" applyAlignment="1"/>
    <xf numFmtId="173" fontId="21" fillId="0" borderId="15" xfId="2" applyNumberFormat="1" applyFont="1" applyFill="1" applyBorder="1" applyAlignment="1"/>
    <xf numFmtId="173" fontId="22" fillId="0" borderId="0" xfId="2" applyNumberFormat="1" applyFont="1" applyFill="1" applyBorder="1" applyAlignment="1"/>
    <xf numFmtId="173" fontId="14" fillId="0" borderId="0" xfId="2" applyNumberFormat="1" applyFont="1" applyFill="1" applyBorder="1" applyAlignment="1"/>
    <xf numFmtId="173" fontId="14" fillId="0" borderId="1" xfId="2" applyNumberFormat="1" applyFont="1" applyFill="1" applyBorder="1" applyAlignment="1"/>
    <xf numFmtId="173" fontId="14" fillId="0" borderId="15" xfId="2" applyNumberFormat="1" applyFont="1" applyFill="1" applyBorder="1" applyAlignment="1"/>
    <xf numFmtId="0" fontId="25" fillId="0" borderId="0" xfId="2" applyFont="1"/>
    <xf numFmtId="0" fontId="25" fillId="0" borderId="1" xfId="2" applyNumberFormat="1" applyFont="1" applyFill="1" applyBorder="1" applyAlignment="1">
      <alignment horizontal="left"/>
    </xf>
    <xf numFmtId="0" fontId="25" fillId="0" borderId="15" xfId="2" applyFont="1" applyFill="1" applyBorder="1" applyAlignment="1">
      <alignment horizontal="left" indent="1"/>
    </xf>
    <xf numFmtId="173" fontId="26" fillId="0" borderId="0" xfId="2" applyNumberFormat="1" applyFont="1" applyFill="1" applyBorder="1" applyAlignment="1"/>
    <xf numFmtId="173" fontId="26" fillId="0" borderId="15" xfId="2" applyNumberFormat="1" applyFont="1" applyFill="1" applyBorder="1" applyAlignment="1"/>
    <xf numFmtId="173" fontId="26" fillId="0" borderId="1" xfId="2" applyNumberFormat="1" applyFont="1" applyFill="1" applyBorder="1" applyAlignment="1"/>
    <xf numFmtId="0" fontId="25" fillId="0" borderId="18" xfId="2" applyFont="1" applyBorder="1"/>
    <xf numFmtId="173" fontId="25" fillId="0" borderId="0" xfId="2" applyNumberFormat="1" applyFont="1" applyFill="1" applyBorder="1" applyAlignment="1"/>
    <xf numFmtId="173" fontId="25" fillId="0" borderId="1" xfId="2" applyNumberFormat="1" applyFont="1" applyFill="1" applyBorder="1" applyAlignment="1"/>
    <xf numFmtId="0" fontId="25" fillId="0" borderId="1" xfId="2" applyFont="1" applyBorder="1"/>
    <xf numFmtId="0" fontId="25" fillId="0" borderId="0" xfId="2" applyFont="1" applyBorder="1"/>
    <xf numFmtId="0" fontId="27" fillId="0" borderId="0" xfId="2" applyFont="1"/>
    <xf numFmtId="0" fontId="15" fillId="0" borderId="1" xfId="2" applyNumberFormat="1" applyFont="1" applyFill="1" applyBorder="1"/>
    <xf numFmtId="167" fontId="15" fillId="0" borderId="15" xfId="2" applyNumberFormat="1" applyFont="1" applyFill="1" applyBorder="1"/>
    <xf numFmtId="167" fontId="15" fillId="0" borderId="0" xfId="2" applyNumberFormat="1" applyFont="1" applyFill="1" applyBorder="1" applyAlignment="1"/>
    <xf numFmtId="167" fontId="15" fillId="0" borderId="15" xfId="2" applyNumberFormat="1" applyFont="1" applyFill="1" applyBorder="1" applyAlignment="1"/>
    <xf numFmtId="167" fontId="15" fillId="0" borderId="1" xfId="2" applyNumberFormat="1" applyFont="1" applyFill="1" applyBorder="1" applyAlignment="1"/>
    <xf numFmtId="167" fontId="0" fillId="0" borderId="0" xfId="2" applyNumberFormat="1" applyFont="1"/>
    <xf numFmtId="0" fontId="15" fillId="0" borderId="15" xfId="2" applyFont="1" applyFill="1" applyBorder="1"/>
    <xf numFmtId="173" fontId="15" fillId="0" borderId="0" xfId="2" applyNumberFormat="1" applyFont="1" applyFill="1" applyBorder="1" applyAlignment="1"/>
    <xf numFmtId="173" fontId="15" fillId="0" borderId="15" xfId="2" applyNumberFormat="1" applyFont="1" applyFill="1" applyBorder="1" applyAlignment="1"/>
    <xf numFmtId="173" fontId="15" fillId="0" borderId="1" xfId="2" applyNumberFormat="1" applyFont="1" applyFill="1" applyBorder="1" applyAlignment="1"/>
    <xf numFmtId="173" fontId="14" fillId="0" borderId="18" xfId="2" applyNumberFormat="1" applyFont="1" applyBorder="1"/>
    <xf numFmtId="173" fontId="14" fillId="0" borderId="0" xfId="2" applyNumberFormat="1" applyFont="1" applyBorder="1"/>
    <xf numFmtId="172" fontId="14" fillId="0" borderId="15" xfId="2" applyNumberFormat="1" applyFont="1" applyFill="1" applyBorder="1" applyAlignment="1"/>
    <xf numFmtId="174" fontId="21" fillId="0" borderId="0" xfId="2" applyNumberFormat="1" applyFont="1" applyFill="1" applyBorder="1" applyAlignment="1"/>
    <xf numFmtId="167" fontId="21" fillId="0" borderId="1" xfId="2" applyNumberFormat="1" applyFont="1" applyFill="1" applyBorder="1" applyAlignment="1"/>
    <xf numFmtId="166" fontId="19" fillId="0" borderId="0" xfId="2" applyNumberFormat="1" applyFont="1" applyFill="1" applyBorder="1" applyAlignment="1"/>
    <xf numFmtId="166" fontId="19" fillId="0" borderId="1" xfId="2" applyNumberFormat="1" applyFont="1" applyFill="1" applyBorder="1" applyAlignment="1"/>
    <xf numFmtId="0" fontId="14" fillId="0" borderId="1" xfId="2" applyNumberFormat="1" applyFont="1" applyFill="1" applyBorder="1" applyAlignment="1">
      <alignment horizontal="left" indent="1"/>
    </xf>
    <xf numFmtId="0" fontId="29" fillId="0" borderId="15" xfId="2" applyFont="1" applyFill="1" applyBorder="1" applyAlignment="1">
      <alignment horizontal="left" indent="1"/>
    </xf>
    <xf numFmtId="0" fontId="14" fillId="0" borderId="1" xfId="2" applyNumberFormat="1" applyFont="1" applyFill="1" applyBorder="1" applyAlignment="1">
      <alignment horizontal="left" indent="2"/>
    </xf>
    <xf numFmtId="0" fontId="14" fillId="0" borderId="15" xfId="2" applyFont="1" applyFill="1" applyBorder="1" applyAlignment="1">
      <alignment horizontal="left" indent="2"/>
    </xf>
    <xf numFmtId="175" fontId="21" fillId="0" borderId="0" xfId="2" applyNumberFormat="1" applyFont="1" applyFill="1" applyBorder="1" applyAlignment="1"/>
    <xf numFmtId="0" fontId="25" fillId="0" borderId="15" xfId="2" applyFont="1" applyFill="1" applyBorder="1"/>
    <xf numFmtId="173" fontId="25" fillId="0" borderId="15" xfId="2" applyNumberFormat="1" applyFont="1" applyFill="1" applyBorder="1" applyAlignment="1"/>
    <xf numFmtId="173" fontId="28" fillId="0" borderId="15" xfId="2" applyNumberFormat="1" applyFont="1" applyFill="1" applyBorder="1" applyAlignment="1"/>
    <xf numFmtId="173" fontId="21" fillId="0" borderId="1" xfId="2" applyNumberFormat="1" applyFont="1" applyFill="1" applyBorder="1" applyAlignment="1"/>
    <xf numFmtId="165" fontId="15" fillId="0" borderId="0" xfId="2" applyNumberFormat="1" applyFont="1"/>
    <xf numFmtId="165" fontId="15" fillId="0" borderId="1" xfId="2" applyNumberFormat="1" applyFont="1" applyFill="1" applyBorder="1"/>
    <xf numFmtId="165" fontId="15" fillId="0" borderId="15" xfId="2" applyNumberFormat="1" applyFont="1" applyFill="1" applyBorder="1"/>
    <xf numFmtId="165" fontId="15" fillId="0" borderId="0" xfId="2" applyNumberFormat="1" applyFont="1" applyFill="1" applyBorder="1" applyAlignment="1"/>
    <xf numFmtId="165" fontId="15" fillId="0" borderId="15" xfId="2" applyNumberFormat="1" applyFont="1" applyFill="1" applyBorder="1" applyAlignment="1"/>
    <xf numFmtId="165" fontId="15" fillId="0" borderId="0" xfId="40" applyNumberFormat="1" applyFont="1" applyFill="1" applyBorder="1" applyAlignment="1"/>
    <xf numFmtId="165" fontId="15" fillId="0" borderId="15" xfId="40" applyNumberFormat="1" applyFont="1" applyFill="1" applyBorder="1" applyAlignment="1"/>
    <xf numFmtId="165" fontId="15" fillId="0" borderId="1" xfId="40" applyNumberFormat="1" applyFont="1" applyFill="1" applyBorder="1" applyAlignment="1"/>
    <xf numFmtId="165" fontId="15" fillId="0" borderId="18" xfId="2" applyNumberFormat="1" applyFont="1" applyBorder="1"/>
    <xf numFmtId="165" fontId="15" fillId="0" borderId="0" xfId="2" applyNumberFormat="1" applyFont="1" applyBorder="1"/>
    <xf numFmtId="165" fontId="30" fillId="0" borderId="0" xfId="2" applyNumberFormat="1" applyFont="1"/>
    <xf numFmtId="167" fontId="14" fillId="0" borderId="1" xfId="2" applyNumberFormat="1" applyFont="1" applyFill="1" applyBorder="1"/>
    <xf numFmtId="167" fontId="15" fillId="0" borderId="1" xfId="2" applyNumberFormat="1" applyFont="1" applyFill="1" applyBorder="1"/>
    <xf numFmtId="167" fontId="14" fillId="10" borderId="0" xfId="2" applyNumberFormat="1" applyFont="1" applyFill="1" applyBorder="1" applyAlignment="1"/>
    <xf numFmtId="166" fontId="19" fillId="0" borderId="0" xfId="93" applyNumberFormat="1" applyFont="1" applyFill="1" applyBorder="1" applyAlignment="1">
      <alignment horizontal="right"/>
    </xf>
    <xf numFmtId="176" fontId="14" fillId="0" borderId="0" xfId="2" applyNumberFormat="1" applyFont="1" applyFill="1" applyBorder="1" applyAlignment="1"/>
    <xf numFmtId="176" fontId="14" fillId="0" borderId="1" xfId="2" applyNumberFormat="1" applyFont="1" applyFill="1" applyBorder="1" applyAlignment="1"/>
    <xf numFmtId="0" fontId="14" fillId="0" borderId="0" xfId="2" applyNumberFormat="1" applyFont="1"/>
    <xf numFmtId="0" fontId="25" fillId="0" borderId="0" xfId="2" applyFont="1" applyFill="1"/>
    <xf numFmtId="167" fontId="25" fillId="0" borderId="18" xfId="2" applyNumberFormat="1" applyFont="1" applyFill="1" applyBorder="1"/>
    <xf numFmtId="0" fontId="25" fillId="0" borderId="0" xfId="2" applyFont="1" applyFill="1" applyBorder="1"/>
    <xf numFmtId="0" fontId="27" fillId="0" borderId="0" xfId="2" applyFont="1" applyFill="1"/>
    <xf numFmtId="173" fontId="14" fillId="0" borderId="0" xfId="2" applyNumberFormat="1" applyFont="1"/>
    <xf numFmtId="173" fontId="14" fillId="0" borderId="15" xfId="2" applyNumberFormat="1" applyFont="1" applyFill="1" applyBorder="1"/>
    <xf numFmtId="173" fontId="14" fillId="0" borderId="1" xfId="2" applyNumberFormat="1" applyFont="1" applyBorder="1"/>
    <xf numFmtId="173" fontId="7" fillId="0" borderId="0" xfId="2" applyNumberFormat="1" applyFont="1"/>
    <xf numFmtId="165" fontId="14" fillId="0" borderId="0" xfId="40" applyNumberFormat="1" applyFont="1"/>
    <xf numFmtId="0" fontId="15" fillId="0" borderId="1" xfId="40" applyNumberFormat="1" applyFont="1" applyFill="1" applyBorder="1"/>
    <xf numFmtId="165" fontId="15" fillId="0" borderId="15" xfId="40" applyNumberFormat="1" applyFont="1" applyFill="1" applyBorder="1"/>
    <xf numFmtId="165" fontId="14" fillId="0" borderId="18" xfId="40" applyNumberFormat="1" applyFont="1" applyBorder="1"/>
    <xf numFmtId="165" fontId="14" fillId="0" borderId="1" xfId="40" applyNumberFormat="1" applyFont="1" applyBorder="1"/>
    <xf numFmtId="165" fontId="14" fillId="0" borderId="0" xfId="40" applyNumberFormat="1" applyFont="1" applyBorder="1"/>
    <xf numFmtId="165" fontId="0" fillId="0" borderId="0" xfId="40" applyNumberFormat="1" applyFont="1"/>
    <xf numFmtId="177" fontId="23" fillId="0" borderId="1" xfId="93" applyNumberFormat="1" applyFont="1" applyFill="1" applyBorder="1" applyAlignment="1"/>
    <xf numFmtId="177" fontId="23" fillId="0" borderId="0" xfId="93" applyNumberFormat="1" applyFont="1" applyFill="1" applyBorder="1" applyAlignment="1"/>
    <xf numFmtId="177" fontId="23" fillId="0" borderId="15" xfId="93" applyNumberFormat="1" applyFont="1" applyFill="1" applyBorder="1" applyAlignment="1"/>
    <xf numFmtId="174" fontId="14" fillId="0" borderId="0" xfId="2" applyNumberFormat="1" applyFont="1" applyFill="1" applyBorder="1"/>
    <xf numFmtId="0" fontId="19" fillId="0" borderId="0" xfId="2" applyFont="1"/>
    <xf numFmtId="0" fontId="19" fillId="0" borderId="1" xfId="2" applyNumberFormat="1" applyFont="1" applyFill="1" applyBorder="1"/>
    <xf numFmtId="0" fontId="19" fillId="0" borderId="15" xfId="2" applyFont="1" applyFill="1" applyBorder="1"/>
    <xf numFmtId="174" fontId="19" fillId="0" borderId="0" xfId="2" applyNumberFormat="1" applyFont="1" applyFill="1" applyBorder="1"/>
    <xf numFmtId="174" fontId="19" fillId="0" borderId="15" xfId="2" applyNumberFormat="1" applyFont="1" applyFill="1" applyBorder="1"/>
    <xf numFmtId="0" fontId="19" fillId="0" borderId="18" xfId="2" applyFont="1" applyBorder="1"/>
    <xf numFmtId="0" fontId="19" fillId="0" borderId="1" xfId="2" applyFont="1" applyBorder="1"/>
    <xf numFmtId="0" fontId="19" fillId="0" borderId="0" xfId="2" applyFont="1" applyBorder="1"/>
    <xf numFmtId="0" fontId="18" fillId="0" borderId="0" xfId="2" applyFont="1"/>
    <xf numFmtId="0" fontId="15" fillId="0" borderId="0" xfId="2" applyFont="1"/>
    <xf numFmtId="174" fontId="15" fillId="0" borderId="17" xfId="2" applyNumberFormat="1" applyFont="1" applyFill="1" applyBorder="1"/>
    <xf numFmtId="0" fontId="15" fillId="0" borderId="18" xfId="2" applyFont="1" applyBorder="1"/>
    <xf numFmtId="0" fontId="15" fillId="0" borderId="1" xfId="2" applyFont="1" applyBorder="1"/>
    <xf numFmtId="0" fontId="15" fillId="0" borderId="0" xfId="2" applyFont="1" applyBorder="1"/>
    <xf numFmtId="0" fontId="30" fillId="0" borderId="0" xfId="2" applyFont="1"/>
    <xf numFmtId="0" fontId="21" fillId="0" borderId="0" xfId="2" applyNumberFormat="1" applyFont="1" applyFill="1" applyBorder="1"/>
    <xf numFmtId="0" fontId="14" fillId="0" borderId="0" xfId="2" applyFont="1" applyFill="1" applyBorder="1"/>
    <xf numFmtId="174" fontId="21" fillId="0" borderId="0" xfId="2" applyNumberFormat="1" applyFont="1" applyFill="1" applyBorder="1"/>
    <xf numFmtId="2" fontId="21" fillId="0" borderId="0" xfId="2" applyNumberFormat="1" applyFont="1" applyFill="1" applyBorder="1"/>
    <xf numFmtId="0" fontId="14" fillId="0" borderId="0" xfId="2" applyNumberFormat="1" applyFont="1" applyFill="1" applyBorder="1"/>
    <xf numFmtId="43" fontId="21" fillId="0" borderId="0" xfId="2" applyNumberFormat="1" applyFont="1" applyFill="1" applyBorder="1"/>
    <xf numFmtId="179" fontId="21" fillId="0" borderId="0" xfId="2" applyNumberFormat="1" applyFont="1" applyFill="1" applyBorder="1"/>
    <xf numFmtId="0" fontId="15" fillId="5" borderId="13" xfId="2" applyNumberFormat="1" applyFont="1" applyFill="1" applyBorder="1"/>
    <xf numFmtId="0" fontId="14" fillId="5" borderId="4" xfId="2" applyFont="1" applyFill="1" applyBorder="1"/>
    <xf numFmtId="172" fontId="15" fillId="5" borderId="4" xfId="2" applyNumberFormat="1" applyFont="1" applyFill="1" applyBorder="1" applyAlignment="1">
      <alignment horizontal="right"/>
    </xf>
    <xf numFmtId="172" fontId="15" fillId="5" borderId="13" xfId="2" applyNumberFormat="1" applyFont="1" applyFill="1" applyBorder="1" applyAlignment="1">
      <alignment horizontal="right"/>
    </xf>
    <xf numFmtId="172" fontId="15" fillId="5" borderId="14" xfId="2" applyNumberFormat="1" applyFont="1" applyFill="1" applyBorder="1" applyAlignment="1">
      <alignment horizontal="right"/>
    </xf>
    <xf numFmtId="180" fontId="14" fillId="0" borderId="0" xfId="2" applyNumberFormat="1" applyFont="1"/>
    <xf numFmtId="180" fontId="14" fillId="0" borderId="15" xfId="2" applyNumberFormat="1" applyFont="1" applyFill="1" applyBorder="1"/>
    <xf numFmtId="180" fontId="21" fillId="0" borderId="1" xfId="2" applyNumberFormat="1" applyFont="1" applyFill="1" applyBorder="1"/>
    <xf numFmtId="180" fontId="21" fillId="0" borderId="0" xfId="2" applyNumberFormat="1" applyFont="1" applyFill="1" applyBorder="1"/>
    <xf numFmtId="180" fontId="21" fillId="0" borderId="15" xfId="2" applyNumberFormat="1" applyFont="1" applyFill="1" applyBorder="1"/>
    <xf numFmtId="180" fontId="14" fillId="0" borderId="5" xfId="2" applyNumberFormat="1" applyFont="1" applyFill="1" applyBorder="1"/>
    <xf numFmtId="180" fontId="14" fillId="0" borderId="10" xfId="2" applyNumberFormat="1" applyFont="1" applyFill="1" applyBorder="1"/>
    <xf numFmtId="180" fontId="14" fillId="0" borderId="12" xfId="2" applyNumberFormat="1" applyFont="1" applyFill="1" applyBorder="1"/>
    <xf numFmtId="180" fontId="14" fillId="0" borderId="1" xfId="2" applyNumberFormat="1" applyFont="1" applyBorder="1"/>
    <xf numFmtId="180" fontId="14" fillId="0" borderId="0" xfId="2" applyNumberFormat="1" applyFont="1" applyBorder="1"/>
    <xf numFmtId="180" fontId="0" fillId="0" borderId="0" xfId="2" applyNumberFormat="1" applyFont="1"/>
    <xf numFmtId="180" fontId="21" fillId="0" borderId="15" xfId="2" applyNumberFormat="1" applyFont="1" applyFill="1" applyBorder="1" applyAlignment="1"/>
    <xf numFmtId="180" fontId="14" fillId="0" borderId="1" xfId="2" applyNumberFormat="1" applyFont="1" applyFill="1" applyBorder="1"/>
    <xf numFmtId="180" fontId="14" fillId="0" borderId="0" xfId="2" applyNumberFormat="1" applyFont="1" applyFill="1" applyBorder="1"/>
    <xf numFmtId="180" fontId="14" fillId="0" borderId="1" xfId="2" applyNumberFormat="1" applyFont="1" applyFill="1" applyBorder="1" applyAlignment="1"/>
    <xf numFmtId="180" fontId="14" fillId="0" borderId="0" xfId="2" applyNumberFormat="1" applyFont="1" applyFill="1" applyBorder="1" applyAlignment="1"/>
    <xf numFmtId="167" fontId="21" fillId="0" borderId="0" xfId="2" applyNumberFormat="1" applyFont="1" applyFill="1" applyBorder="1"/>
    <xf numFmtId="167" fontId="14" fillId="0" borderId="0" xfId="2" applyNumberFormat="1" applyFont="1" applyFill="1" applyBorder="1"/>
    <xf numFmtId="173" fontId="21" fillId="0" borderId="0" xfId="2" applyNumberFormat="1" applyFont="1" applyFill="1" applyBorder="1"/>
    <xf numFmtId="181" fontId="21" fillId="0" borderId="0" xfId="2" applyNumberFormat="1" applyFont="1" applyFill="1" applyBorder="1"/>
    <xf numFmtId="181" fontId="21" fillId="0" borderId="15" xfId="2" applyNumberFormat="1" applyFont="1" applyFill="1" applyBorder="1"/>
    <xf numFmtId="181" fontId="21" fillId="0" borderId="1" xfId="2" applyNumberFormat="1" applyFont="1" applyFill="1" applyBorder="1"/>
    <xf numFmtId="44" fontId="14" fillId="0" borderId="0" xfId="51" applyFont="1" applyFill="1"/>
    <xf numFmtId="0" fontId="14" fillId="0" borderId="1" xfId="51" applyNumberFormat="1" applyFont="1" applyFill="1" applyBorder="1"/>
    <xf numFmtId="44" fontId="14" fillId="0" borderId="15" xfId="51" applyFont="1" applyFill="1" applyBorder="1"/>
    <xf numFmtId="44" fontId="21" fillId="0" borderId="0" xfId="51" applyFont="1" applyFill="1" applyBorder="1"/>
    <xf numFmtId="44" fontId="21" fillId="0" borderId="15" xfId="51" applyFont="1" applyFill="1" applyBorder="1"/>
    <xf numFmtId="44" fontId="21" fillId="0" borderId="1" xfId="51" applyFont="1" applyFill="1" applyBorder="1"/>
    <xf numFmtId="44" fontId="14" fillId="0" borderId="1" xfId="51" applyFont="1" applyFill="1" applyBorder="1" applyAlignment="1"/>
    <xf numFmtId="44" fontId="14" fillId="0" borderId="0" xfId="51" applyFont="1" applyFill="1" applyBorder="1" applyAlignment="1"/>
    <xf numFmtId="44" fontId="14" fillId="0" borderId="1" xfId="51" applyFont="1" applyFill="1" applyBorder="1"/>
    <xf numFmtId="44" fontId="14" fillId="0" borderId="0" xfId="51" applyFont="1" applyFill="1" applyBorder="1"/>
    <xf numFmtId="44" fontId="0" fillId="0" borderId="0" xfId="51" applyFont="1" applyFill="1"/>
    <xf numFmtId="182" fontId="22" fillId="0" borderId="0" xfId="2" applyNumberFormat="1" applyFont="1" applyFill="1" applyBorder="1"/>
    <xf numFmtId="173" fontId="22" fillId="0" borderId="0" xfId="2" applyNumberFormat="1" applyFont="1" applyFill="1" applyBorder="1"/>
    <xf numFmtId="173" fontId="22" fillId="0" borderId="15" xfId="2" applyNumberFormat="1" applyFont="1" applyFill="1" applyBorder="1"/>
    <xf numFmtId="173" fontId="14" fillId="0" borderId="1" xfId="2" applyNumberFormat="1" applyFont="1" applyFill="1" applyBorder="1"/>
    <xf numFmtId="173" fontId="14" fillId="0" borderId="0" xfId="2" applyNumberFormat="1" applyFont="1" applyFill="1" applyBorder="1"/>
    <xf numFmtId="0" fontId="14" fillId="0" borderId="16" xfId="2" applyNumberFormat="1" applyFont="1" applyFill="1" applyBorder="1"/>
    <xf numFmtId="0" fontId="14" fillId="0" borderId="17" xfId="2" applyFont="1" applyFill="1" applyBorder="1"/>
    <xf numFmtId="166" fontId="23" fillId="0" borderId="2" xfId="93" applyNumberFormat="1" applyFont="1" applyFill="1" applyBorder="1"/>
    <xf numFmtId="166" fontId="23" fillId="0" borderId="17" xfId="93" applyNumberFormat="1" applyFont="1" applyFill="1" applyBorder="1"/>
    <xf numFmtId="166" fontId="23" fillId="0" borderId="16" xfId="93" applyNumberFormat="1" applyFont="1" applyFill="1" applyBorder="1"/>
    <xf numFmtId="166" fontId="21" fillId="0" borderId="2" xfId="93" applyNumberFormat="1" applyFont="1" applyFill="1" applyBorder="1"/>
    <xf numFmtId="0" fontId="14" fillId="0" borderId="0" xfId="2" applyNumberFormat="1" applyFont="1" applyFill="1" applyBorder="1" applyAlignment="1">
      <alignment horizontal="left" wrapText="1" indent="2"/>
    </xf>
    <xf numFmtId="0" fontId="14" fillId="0" borderId="0" xfId="2" applyFont="1" applyFill="1" applyBorder="1" applyAlignment="1">
      <alignment horizontal="left" wrapText="1" indent="2"/>
    </xf>
    <xf numFmtId="37" fontId="14" fillId="0" borderId="0" xfId="2" applyNumberFormat="1" applyFont="1" applyFill="1" applyAlignment="1">
      <alignment horizontal="center"/>
    </xf>
    <xf numFmtId="0" fontId="0" fillId="0" borderId="0" xfId="2" applyNumberFormat="1" applyFont="1"/>
    <xf numFmtId="0" fontId="0" fillId="0" borderId="0" xfId="2" applyFont="1" applyBorder="1"/>
    <xf numFmtId="0" fontId="9" fillId="0" borderId="0" xfId="2" applyFont="1" applyFill="1"/>
    <xf numFmtId="172" fontId="8" fillId="0" borderId="0" xfId="2" applyNumberFormat="1" applyFont="1"/>
    <xf numFmtId="168" fontId="31" fillId="11" borderId="6" xfId="85" applyNumberFormat="1" applyFont="1" applyFill="1" applyBorder="1" applyAlignment="1"/>
    <xf numFmtId="0" fontId="8" fillId="0" borderId="2" xfId="2" applyFont="1" applyBorder="1"/>
    <xf numFmtId="0" fontId="15" fillId="0" borderId="5" xfId="2" applyFont="1" applyBorder="1"/>
    <xf numFmtId="170" fontId="17" fillId="5" borderId="13" xfId="86" applyNumberFormat="1" applyFont="1" applyFill="1" applyBorder="1" applyAlignment="1">
      <alignment horizontal="right"/>
    </xf>
    <xf numFmtId="170" fontId="17" fillId="5" borderId="4" xfId="86" applyNumberFormat="1" applyFont="1" applyFill="1" applyBorder="1" applyAlignment="1">
      <alignment horizontal="right"/>
    </xf>
    <xf numFmtId="170" fontId="17" fillId="5" borderId="14" xfId="86" applyNumberFormat="1" applyFont="1" applyFill="1" applyBorder="1" applyAlignment="1">
      <alignment horizontal="right"/>
    </xf>
    <xf numFmtId="0" fontId="19" fillId="0" borderId="16" xfId="2" applyFont="1" applyBorder="1"/>
    <xf numFmtId="0" fontId="19" fillId="0" borderId="17" xfId="2" applyFont="1" applyBorder="1"/>
    <xf numFmtId="168" fontId="15" fillId="0" borderId="1" xfId="85" applyFont="1" applyFill="1" applyBorder="1"/>
    <xf numFmtId="168" fontId="15" fillId="0" borderId="15" xfId="85" applyFont="1" applyFill="1" applyBorder="1"/>
    <xf numFmtId="0" fontId="21" fillId="0" borderId="1" xfId="2" applyFont="1" applyFill="1" applyBorder="1"/>
    <xf numFmtId="0" fontId="21" fillId="0" borderId="0" xfId="2" applyFont="1" applyFill="1" applyBorder="1"/>
    <xf numFmtId="0" fontId="21" fillId="0" borderId="15" xfId="2" applyFont="1" applyFill="1" applyBorder="1"/>
    <xf numFmtId="173" fontId="21" fillId="0" borderId="1" xfId="2" applyNumberFormat="1" applyFont="1" applyFill="1" applyBorder="1"/>
    <xf numFmtId="0" fontId="21" fillId="0" borderId="10" xfId="2" applyFont="1" applyFill="1" applyBorder="1"/>
    <xf numFmtId="0" fontId="14" fillId="0" borderId="1" xfId="2" applyFont="1" applyFill="1" applyBorder="1" applyAlignment="1">
      <alignment horizontal="left" indent="1"/>
    </xf>
    <xf numFmtId="172" fontId="32" fillId="0" borderId="1" xfId="2" applyNumberFormat="1" applyFont="1" applyFill="1" applyBorder="1"/>
    <xf numFmtId="172" fontId="14" fillId="0" borderId="15" xfId="2" applyNumberFormat="1" applyFont="1" applyFill="1" applyBorder="1"/>
    <xf numFmtId="172" fontId="14" fillId="0" borderId="0" xfId="2" applyNumberFormat="1" applyFont="1" applyFill="1" applyBorder="1"/>
    <xf numFmtId="172" fontId="14" fillId="0" borderId="1" xfId="2" applyNumberFormat="1" applyFont="1" applyFill="1" applyBorder="1"/>
    <xf numFmtId="173" fontId="21" fillId="0" borderId="15" xfId="2" applyNumberFormat="1" applyFont="1" applyFill="1" applyBorder="1"/>
    <xf numFmtId="173" fontId="32" fillId="0" borderId="0" xfId="2" applyNumberFormat="1" applyFont="1" applyFill="1" applyBorder="1"/>
    <xf numFmtId="173" fontId="32" fillId="0" borderId="1" xfId="2" applyNumberFormat="1" applyFont="1" applyFill="1" applyBorder="1"/>
    <xf numFmtId="0" fontId="14" fillId="0" borderId="16" xfId="2" applyFont="1" applyFill="1" applyBorder="1" applyAlignment="1">
      <alignment horizontal="left" indent="1"/>
    </xf>
    <xf numFmtId="0" fontId="14" fillId="0" borderId="17" xfId="2" applyFont="1" applyFill="1" applyBorder="1" applyAlignment="1">
      <alignment horizontal="left" indent="1"/>
    </xf>
    <xf numFmtId="173" fontId="14" fillId="0" borderId="2" xfId="2" applyNumberFormat="1" applyFont="1" applyFill="1" applyBorder="1"/>
    <xf numFmtId="173" fontId="14" fillId="0" borderId="17" xfId="2" applyNumberFormat="1" applyFont="1" applyFill="1" applyBorder="1"/>
    <xf numFmtId="168" fontId="15" fillId="0" borderId="1" xfId="85" applyNumberFormat="1" applyFont="1" applyFill="1" applyBorder="1" applyAlignment="1"/>
    <xf numFmtId="168" fontId="15" fillId="0" borderId="15" xfId="85" applyNumberFormat="1" applyFont="1" applyFill="1" applyBorder="1" applyAlignment="1"/>
    <xf numFmtId="173" fontId="15" fillId="0" borderId="5" xfId="2" applyNumberFormat="1" applyFont="1" applyFill="1" applyBorder="1"/>
    <xf numFmtId="173" fontId="15" fillId="0" borderId="10" xfId="2" applyNumberFormat="1" applyFont="1" applyFill="1" applyBorder="1"/>
    <xf numFmtId="173" fontId="15" fillId="0" borderId="12" xfId="2" applyNumberFormat="1" applyFont="1" applyFill="1" applyBorder="1"/>
    <xf numFmtId="173" fontId="15" fillId="0" borderId="0" xfId="2" applyNumberFormat="1" applyFont="1" applyFill="1" applyBorder="1"/>
    <xf numFmtId="173" fontId="15" fillId="0" borderId="15" xfId="2" applyNumberFormat="1" applyFont="1" applyFill="1" applyBorder="1"/>
    <xf numFmtId="0" fontId="14" fillId="0" borderId="1" xfId="2" applyFont="1" applyFill="1" applyBorder="1"/>
    <xf numFmtId="173" fontId="21" fillId="0" borderId="0" xfId="40" applyNumberFormat="1" applyFont="1" applyFill="1" applyBorder="1"/>
    <xf numFmtId="173" fontId="21" fillId="0" borderId="1" xfId="40" applyNumberFormat="1" applyFont="1" applyFill="1" applyBorder="1"/>
    <xf numFmtId="173" fontId="21" fillId="0" borderId="15" xfId="40" applyNumberFormat="1" applyFont="1" applyFill="1" applyBorder="1"/>
    <xf numFmtId="9" fontId="14" fillId="0" borderId="0" xfId="93" applyFont="1" applyFill="1" applyBorder="1"/>
    <xf numFmtId="168" fontId="15" fillId="0" borderId="13" xfId="85" applyFont="1" applyFill="1" applyBorder="1"/>
    <xf numFmtId="168" fontId="15" fillId="0" borderId="14" xfId="85" applyFont="1" applyFill="1" applyBorder="1"/>
    <xf numFmtId="173" fontId="15" fillId="0" borderId="13" xfId="2" applyNumberFormat="1" applyFont="1" applyFill="1" applyBorder="1"/>
    <xf numFmtId="173" fontId="15" fillId="0" borderId="4" xfId="2" applyNumberFormat="1" applyFont="1" applyFill="1" applyBorder="1"/>
    <xf numFmtId="173" fontId="15" fillId="0" borderId="14" xfId="2" applyNumberFormat="1" applyFont="1" applyFill="1" applyBorder="1"/>
    <xf numFmtId="0" fontId="14" fillId="0" borderId="5" xfId="2" applyFont="1" applyFill="1" applyBorder="1"/>
    <xf numFmtId="0" fontId="14" fillId="0" borderId="12" xfId="2" applyFont="1" applyFill="1" applyBorder="1"/>
    <xf numFmtId="173" fontId="21" fillId="0" borderId="5" xfId="2" applyNumberFormat="1" applyFont="1" applyFill="1" applyBorder="1"/>
    <xf numFmtId="173" fontId="21" fillId="0" borderId="10" xfId="2" applyNumberFormat="1" applyFont="1" applyFill="1" applyBorder="1"/>
    <xf numFmtId="173" fontId="21" fillId="0" borderId="12" xfId="2" applyNumberFormat="1" applyFont="1" applyFill="1" applyBorder="1"/>
    <xf numFmtId="173" fontId="21" fillId="0" borderId="2" xfId="2" applyNumberFormat="1" applyFont="1" applyFill="1" applyBorder="1"/>
    <xf numFmtId="173" fontId="21" fillId="0" borderId="17" xfId="2" applyNumberFormat="1" applyFont="1" applyFill="1" applyBorder="1"/>
    <xf numFmtId="173" fontId="32" fillId="0" borderId="16" xfId="2" applyNumberFormat="1" applyFont="1" applyFill="1" applyBorder="1"/>
    <xf numFmtId="173" fontId="21" fillId="0" borderId="16" xfId="2" applyNumberFormat="1" applyFont="1" applyFill="1" applyBorder="1"/>
    <xf numFmtId="37" fontId="15" fillId="0" borderId="1" xfId="85" applyNumberFormat="1" applyFont="1" applyFill="1" applyBorder="1"/>
    <xf numFmtId="37" fontId="15" fillId="0" borderId="15" xfId="85" applyNumberFormat="1" applyFont="1" applyFill="1" applyBorder="1"/>
    <xf numFmtId="173" fontId="15" fillId="0" borderId="1" xfId="2" applyNumberFormat="1" applyFont="1" applyFill="1" applyBorder="1"/>
    <xf numFmtId="173" fontId="20" fillId="0" borderId="1" xfId="2" applyNumberFormat="1" applyFont="1" applyFill="1" applyBorder="1"/>
    <xf numFmtId="173" fontId="20" fillId="0" borderId="0" xfId="2" applyNumberFormat="1" applyFont="1" applyFill="1" applyBorder="1"/>
    <xf numFmtId="173" fontId="20" fillId="0" borderId="15" xfId="2" applyNumberFormat="1" applyFont="1" applyFill="1" applyBorder="1"/>
    <xf numFmtId="173" fontId="33" fillId="0" borderId="1" xfId="2" applyNumberFormat="1" applyFont="1" applyFill="1" applyBorder="1"/>
    <xf numFmtId="0" fontId="14" fillId="0" borderId="16" xfId="2" applyFont="1" applyFill="1" applyBorder="1"/>
    <xf numFmtId="37" fontId="15" fillId="0" borderId="13" xfId="85" applyNumberFormat="1" applyFont="1" applyFill="1" applyBorder="1"/>
    <xf numFmtId="37" fontId="15" fillId="0" borderId="14" xfId="85" applyNumberFormat="1" applyFont="1" applyFill="1" applyBorder="1"/>
    <xf numFmtId="0" fontId="14" fillId="0" borderId="4" xfId="2" applyFont="1" applyFill="1" applyBorder="1"/>
    <xf numFmtId="37" fontId="21" fillId="0" borderId="0" xfId="2" applyNumberFormat="1" applyFont="1" applyFill="1" applyBorder="1"/>
    <xf numFmtId="37" fontId="21" fillId="0" borderId="4" xfId="2" applyNumberFormat="1" applyFont="1" applyFill="1" applyBorder="1"/>
    <xf numFmtId="39" fontId="21" fillId="0" borderId="0" xfId="2" applyNumberFormat="1" applyFont="1" applyFill="1" applyBorder="1"/>
    <xf numFmtId="0" fontId="34" fillId="0" borderId="13" xfId="2" applyFont="1" applyFill="1" applyBorder="1"/>
    <xf numFmtId="0" fontId="34" fillId="0" borderId="14" xfId="2" applyFont="1" applyFill="1" applyBorder="1"/>
    <xf numFmtId="183" fontId="34" fillId="0" borderId="13" xfId="40" applyNumberFormat="1" applyFont="1" applyFill="1" applyBorder="1"/>
    <xf numFmtId="183" fontId="34" fillId="0" borderId="4" xfId="40" applyNumberFormat="1" applyFont="1" applyFill="1" applyBorder="1"/>
    <xf numFmtId="183" fontId="34" fillId="0" borderId="14" xfId="40" applyNumberFormat="1" applyFont="1" applyFill="1" applyBorder="1"/>
    <xf numFmtId="0" fontId="14" fillId="0" borderId="10" xfId="2" applyFont="1" applyFill="1" applyBorder="1"/>
    <xf numFmtId="184" fontId="21" fillId="0" borderId="0" xfId="2" applyNumberFormat="1" applyFont="1" applyFill="1" applyBorder="1"/>
    <xf numFmtId="184" fontId="21" fillId="0" borderId="10" xfId="2" applyNumberFormat="1" applyFont="1" applyFill="1" applyBorder="1"/>
    <xf numFmtId="43" fontId="21" fillId="0" borderId="10" xfId="2" applyNumberFormat="1" applyFont="1" applyFill="1" applyBorder="1"/>
    <xf numFmtId="0" fontId="14" fillId="0" borderId="2" xfId="2" applyFont="1" applyFill="1" applyBorder="1"/>
    <xf numFmtId="37" fontId="21" fillId="0" borderId="2" xfId="2" applyNumberFormat="1" applyFont="1" applyFill="1" applyBorder="1"/>
    <xf numFmtId="0" fontId="15" fillId="5" borderId="13" xfId="2" applyFont="1" applyFill="1" applyBorder="1" applyAlignment="1">
      <alignment horizontal="left"/>
    </xf>
    <xf numFmtId="0" fontId="15" fillId="5" borderId="14" xfId="2" applyFont="1" applyFill="1" applyBorder="1" applyAlignment="1">
      <alignment horizontal="left"/>
    </xf>
    <xf numFmtId="1" fontId="17" fillId="5" borderId="5" xfId="85" applyNumberFormat="1" applyFont="1" applyFill="1" applyBorder="1" applyAlignment="1">
      <alignment horizontal="right"/>
    </xf>
    <xf numFmtId="173" fontId="14" fillId="0" borderId="0" xfId="93" applyNumberFormat="1" applyFont="1" applyFill="1" applyBorder="1"/>
    <xf numFmtId="173" fontId="21" fillId="0" borderId="15" xfId="93" applyNumberFormat="1" applyFont="1" applyFill="1" applyBorder="1"/>
    <xf numFmtId="173" fontId="21" fillId="0" borderId="0" xfId="93" applyNumberFormat="1" applyFont="1" applyFill="1" applyBorder="1"/>
    <xf numFmtId="173" fontId="14" fillId="0" borderId="10" xfId="2" applyNumberFormat="1" applyFont="1" applyFill="1" applyBorder="1"/>
    <xf numFmtId="166" fontId="19" fillId="0" borderId="0" xfId="93" applyNumberFormat="1" applyFont="1" applyFill="1" applyBorder="1"/>
    <xf numFmtId="166" fontId="19" fillId="0" borderId="15" xfId="93" applyNumberFormat="1" applyFont="1" applyFill="1" applyBorder="1"/>
    <xf numFmtId="166" fontId="23" fillId="0" borderId="15" xfId="93" applyNumberFormat="1" applyFont="1" applyFill="1" applyBorder="1"/>
    <xf numFmtId="166" fontId="23" fillId="0" borderId="0" xfId="93" applyNumberFormat="1" applyFont="1" applyFill="1" applyBorder="1"/>
    <xf numFmtId="166" fontId="19" fillId="0" borderId="18" xfId="93" applyNumberFormat="1" applyFont="1" applyBorder="1"/>
    <xf numFmtId="185" fontId="14" fillId="0" borderId="1" xfId="2" applyNumberFormat="1" applyFont="1" applyFill="1" applyBorder="1"/>
    <xf numFmtId="185" fontId="14" fillId="0" borderId="0" xfId="2" applyNumberFormat="1" applyFont="1" applyFill="1" applyBorder="1"/>
    <xf numFmtId="185" fontId="14" fillId="0" borderId="15" xfId="2" applyNumberFormat="1" applyFont="1" applyFill="1" applyBorder="1"/>
    <xf numFmtId="185" fontId="14" fillId="0" borderId="16" xfId="2" applyNumberFormat="1" applyFont="1" applyFill="1" applyBorder="1"/>
    <xf numFmtId="185" fontId="14" fillId="0" borderId="2" xfId="2" applyNumberFormat="1" applyFont="1" applyFill="1" applyBorder="1"/>
    <xf numFmtId="185" fontId="14" fillId="0" borderId="17" xfId="2" applyNumberFormat="1" applyFont="1" applyFill="1" applyBorder="1"/>
    <xf numFmtId="9" fontId="14" fillId="0" borderId="10" xfId="93" applyFont="1" applyFill="1" applyBorder="1"/>
    <xf numFmtId="9" fontId="14" fillId="0" borderId="2" xfId="93" applyFont="1" applyFill="1" applyBorder="1"/>
    <xf numFmtId="0" fontId="14" fillId="0" borderId="5" xfId="2" applyFont="1" applyFill="1" applyBorder="1" applyAlignment="1">
      <alignment horizontal="left"/>
    </xf>
    <xf numFmtId="0" fontId="14" fillId="0" borderId="12" xfId="2" applyFont="1" applyFill="1" applyBorder="1" applyAlignment="1">
      <alignment horizontal="left"/>
    </xf>
    <xf numFmtId="173" fontId="14" fillId="0" borderId="12" xfId="2" applyNumberFormat="1" applyFont="1" applyFill="1" applyBorder="1"/>
    <xf numFmtId="0" fontId="14" fillId="0" borderId="1" xfId="2" applyFont="1" applyFill="1" applyBorder="1" applyAlignment="1">
      <alignment horizontal="left"/>
    </xf>
    <xf numFmtId="0" fontId="14" fillId="0" borderId="15" xfId="2" applyFont="1" applyFill="1" applyBorder="1" applyAlignment="1">
      <alignment horizontal="left"/>
    </xf>
    <xf numFmtId="0" fontId="15" fillId="0" borderId="13" xfId="2" applyFont="1" applyFill="1" applyBorder="1" applyAlignment="1">
      <alignment horizontal="left" indent="1"/>
    </xf>
    <xf numFmtId="0" fontId="15" fillId="0" borderId="14" xfId="2" applyFont="1" applyFill="1" applyBorder="1" applyAlignment="1">
      <alignment horizontal="left" indent="1"/>
    </xf>
    <xf numFmtId="186" fontId="15" fillId="0" borderId="13" xfId="2" applyNumberFormat="1" applyFont="1" applyFill="1" applyBorder="1"/>
    <xf numFmtId="186" fontId="15" fillId="0" borderId="4" xfId="2" applyNumberFormat="1" applyFont="1" applyFill="1" applyBorder="1"/>
    <xf numFmtId="186" fontId="15" fillId="0" borderId="14" xfId="2" applyNumberFormat="1" applyFont="1" applyFill="1" applyBorder="1"/>
    <xf numFmtId="37" fontId="15" fillId="0" borderId="0" xfId="85" applyNumberFormat="1" applyFont="1" applyFill="1" applyBorder="1"/>
    <xf numFmtId="173" fontId="14" fillId="0" borderId="4" xfId="2" applyNumberFormat="1" applyFont="1" applyFill="1" applyBorder="1"/>
    <xf numFmtId="183" fontId="14" fillId="0" borderId="10" xfId="40" applyNumberFormat="1" applyFont="1" applyFill="1" applyBorder="1"/>
    <xf numFmtId="183" fontId="14" fillId="0" borderId="14" xfId="40" applyNumberFormat="1" applyFont="1" applyFill="1" applyBorder="1"/>
    <xf numFmtId="183" fontId="14" fillId="0" borderId="5" xfId="40" applyNumberFormat="1" applyFont="1" applyFill="1" applyBorder="1"/>
    <xf numFmtId="183" fontId="14" fillId="0" borderId="12" xfId="40" applyNumberFormat="1" applyFont="1" applyFill="1" applyBorder="1"/>
    <xf numFmtId="0" fontId="14" fillId="0" borderId="18" xfId="2" applyFont="1" applyFill="1" applyBorder="1"/>
    <xf numFmtId="183" fontId="34" fillId="0" borderId="4" xfId="40" applyNumberFormat="1" applyFont="1" applyFill="1" applyBorder="1" applyAlignment="1"/>
    <xf numFmtId="187" fontId="14" fillId="0" borderId="0" xfId="2" applyNumberFormat="1" applyFont="1" applyFill="1" applyBorder="1"/>
    <xf numFmtId="167" fontId="14" fillId="12" borderId="10" xfId="84" applyNumberFormat="1" applyFont="1" applyFill="1" applyBorder="1"/>
    <xf numFmtId="167" fontId="14" fillId="12" borderId="12" xfId="84" applyNumberFormat="1" applyFont="1" applyFill="1" applyBorder="1"/>
    <xf numFmtId="167" fontId="14" fillId="12" borderId="5" xfId="84" applyNumberFormat="1" applyFont="1" applyFill="1" applyBorder="1"/>
    <xf numFmtId="167" fontId="14" fillId="12" borderId="1" xfId="84" applyNumberFormat="1" applyFont="1" applyFill="1" applyBorder="1"/>
    <xf numFmtId="167" fontId="14" fillId="12" borderId="0" xfId="84" applyNumberFormat="1" applyFont="1" applyFill="1" applyBorder="1"/>
    <xf numFmtId="0" fontId="14" fillId="0" borderId="15" xfId="2" applyFont="1" applyBorder="1"/>
    <xf numFmtId="173" fontId="14" fillId="12" borderId="0" xfId="84" applyNumberFormat="1" applyFont="1" applyFill="1" applyBorder="1"/>
    <xf numFmtId="173" fontId="14" fillId="12" borderId="15" xfId="84" applyNumberFormat="1" applyFont="1" applyFill="1" applyBorder="1"/>
    <xf numFmtId="173" fontId="14" fillId="12" borderId="1" xfId="84" applyNumberFormat="1" applyFont="1" applyFill="1" applyBorder="1"/>
    <xf numFmtId="0" fontId="15" fillId="0" borderId="1" xfId="2" applyFont="1" applyFill="1" applyBorder="1"/>
    <xf numFmtId="188" fontId="14" fillId="12" borderId="0" xfId="84" applyNumberFormat="1" applyFont="1" applyFill="1" applyBorder="1"/>
    <xf numFmtId="188" fontId="14" fillId="12" borderId="15" xfId="84" applyNumberFormat="1" applyFont="1" applyFill="1" applyBorder="1"/>
    <xf numFmtId="188" fontId="14" fillId="12" borderId="1" xfId="84" applyNumberFormat="1" applyFont="1" applyFill="1" applyBorder="1"/>
    <xf numFmtId="189" fontId="35" fillId="12" borderId="0" xfId="84" applyNumberFormat="1" applyFont="1" applyFill="1" applyBorder="1"/>
    <xf numFmtId="167" fontId="14" fillId="12" borderId="15" xfId="84" applyNumberFormat="1" applyFont="1" applyFill="1" applyBorder="1"/>
    <xf numFmtId="173" fontId="35" fillId="12" borderId="0" xfId="84" applyNumberFormat="1" applyFont="1" applyFill="1" applyBorder="1"/>
    <xf numFmtId="44" fontId="14" fillId="12" borderId="0" xfId="51" applyFont="1" applyFill="1" applyBorder="1"/>
    <xf numFmtId="44" fontId="14" fillId="12" borderId="15" xfId="51" applyFont="1" applyFill="1" applyBorder="1"/>
    <xf numFmtId="44" fontId="14" fillId="12" borderId="1" xfId="51" applyFont="1" applyFill="1" applyBorder="1"/>
    <xf numFmtId="0" fontId="14" fillId="0" borderId="1" xfId="2" applyFont="1" applyFill="1" applyBorder="1" applyAlignment="1"/>
    <xf numFmtId="0" fontId="25" fillId="0" borderId="1" xfId="2" applyFont="1" applyFill="1" applyBorder="1" applyAlignment="1"/>
    <xf numFmtId="167" fontId="25" fillId="12" borderId="0" xfId="84" applyNumberFormat="1" applyFont="1" applyFill="1" applyBorder="1"/>
    <xf numFmtId="167" fontId="25" fillId="12" borderId="15" xfId="84" applyNumberFormat="1" applyFont="1" applyFill="1" applyBorder="1"/>
    <xf numFmtId="167" fontId="25" fillId="12" borderId="1" xfId="84" applyNumberFormat="1" applyFont="1" applyFill="1" applyBorder="1"/>
    <xf numFmtId="0" fontId="25" fillId="0" borderId="15" xfId="2" applyFont="1" applyBorder="1"/>
    <xf numFmtId="173" fontId="36" fillId="12" borderId="0" xfId="84" applyNumberFormat="1" applyFont="1" applyFill="1" applyBorder="1"/>
    <xf numFmtId="0" fontId="15" fillId="0" borderId="1" xfId="2" applyFont="1" applyFill="1" applyBorder="1" applyAlignment="1"/>
    <xf numFmtId="167" fontId="15" fillId="12" borderId="0" xfId="84" applyNumberFormat="1" applyFont="1" applyFill="1" applyBorder="1"/>
    <xf numFmtId="167" fontId="15" fillId="12" borderId="15" xfId="84" applyNumberFormat="1" applyFont="1" applyFill="1" applyBorder="1"/>
    <xf numFmtId="167" fontId="15" fillId="12" borderId="1" xfId="84" applyNumberFormat="1" applyFont="1" applyFill="1" applyBorder="1"/>
    <xf numFmtId="0" fontId="15" fillId="0" borderId="15" xfId="2" applyFont="1" applyBorder="1"/>
    <xf numFmtId="173" fontId="17" fillId="12" borderId="0" xfId="84" applyNumberFormat="1" applyFont="1" applyFill="1" applyBorder="1"/>
    <xf numFmtId="0" fontId="14" fillId="0" borderId="13" xfId="2" applyFont="1" applyFill="1" applyBorder="1"/>
    <xf numFmtId="0" fontId="14" fillId="0" borderId="14" xfId="2" applyFont="1" applyFill="1" applyBorder="1"/>
    <xf numFmtId="173" fontId="14" fillId="0" borderId="4" xfId="84" applyNumberFormat="1" applyFont="1" applyFill="1" applyBorder="1"/>
    <xf numFmtId="173" fontId="14" fillId="0" borderId="14" xfId="84" applyNumberFormat="1" applyFont="1" applyFill="1" applyBorder="1"/>
    <xf numFmtId="173" fontId="14" fillId="0" borderId="13" xfId="84" applyNumberFormat="1" applyFont="1" applyFill="1" applyBorder="1"/>
    <xf numFmtId="167" fontId="14" fillId="0" borderId="4" xfId="84" applyNumberFormat="1" applyFont="1" applyFill="1" applyBorder="1"/>
    <xf numFmtId="167" fontId="14" fillId="0" borderId="14" xfId="84" applyNumberFormat="1" applyFont="1" applyFill="1" applyBorder="1"/>
    <xf numFmtId="167" fontId="14" fillId="0" borderId="13" xfId="84" applyNumberFormat="1" applyFont="1" applyFill="1" applyBorder="1"/>
    <xf numFmtId="173" fontId="35" fillId="12" borderId="2" xfId="84" applyNumberFormat="1" applyFont="1" applyFill="1" applyBorder="1"/>
    <xf numFmtId="173" fontId="35" fillId="12" borderId="17" xfId="84" applyNumberFormat="1" applyFont="1" applyFill="1" applyBorder="1"/>
    <xf numFmtId="166" fontId="14" fillId="0" borderId="15" xfId="2" applyNumberFormat="1" applyFont="1" applyBorder="1"/>
    <xf numFmtId="166" fontId="14" fillId="0" borderId="1" xfId="2" applyNumberFormat="1" applyFont="1" applyBorder="1"/>
    <xf numFmtId="166" fontId="14" fillId="0" borderId="0" xfId="2" applyNumberFormat="1" applyFont="1" applyBorder="1"/>
    <xf numFmtId="173" fontId="14" fillId="0" borderId="15" xfId="2" applyNumberFormat="1" applyFont="1" applyBorder="1"/>
    <xf numFmtId="0" fontId="14" fillId="0" borderId="16" xfId="2" applyFont="1" applyBorder="1"/>
    <xf numFmtId="0" fontId="14" fillId="0" borderId="2" xfId="2" applyFont="1" applyBorder="1"/>
    <xf numFmtId="166" fontId="14" fillId="0" borderId="17" xfId="2" applyNumberFormat="1" applyFont="1" applyBorder="1"/>
    <xf numFmtId="166" fontId="14" fillId="0" borderId="16" xfId="2" applyNumberFormat="1" applyFont="1" applyBorder="1"/>
    <xf numFmtId="166" fontId="14" fillId="0" borderId="2" xfId="2" applyNumberFormat="1" applyFont="1" applyBorder="1"/>
    <xf numFmtId="43" fontId="14" fillId="0" borderId="0" xfId="2" applyNumberFormat="1" applyFont="1"/>
    <xf numFmtId="0" fontId="21" fillId="0" borderId="0" xfId="2" applyFont="1" applyAlignment="1">
      <alignment horizontal="center"/>
    </xf>
    <xf numFmtId="173" fontId="14" fillId="0" borderId="0" xfId="2" applyNumberFormat="1" applyFont="1" applyAlignment="1">
      <alignment horizontal="center"/>
    </xf>
    <xf numFmtId="169" fontId="14" fillId="0" borderId="0" xfId="2" applyNumberFormat="1" applyFont="1"/>
    <xf numFmtId="0" fontId="15" fillId="0" borderId="5" xfId="2" applyFont="1" applyFill="1" applyBorder="1"/>
    <xf numFmtId="37" fontId="14" fillId="0" borderId="1" xfId="2" applyNumberFormat="1" applyFont="1" applyFill="1" applyBorder="1"/>
    <xf numFmtId="37" fontId="14" fillId="0" borderId="0" xfId="2" applyNumberFormat="1" applyFont="1" applyFill="1" applyBorder="1"/>
    <xf numFmtId="37" fontId="14" fillId="0" borderId="15" xfId="2" applyNumberFormat="1" applyFont="1" applyFill="1" applyBorder="1"/>
    <xf numFmtId="37" fontId="14" fillId="0" borderId="12" xfId="2" applyNumberFormat="1" applyFont="1" applyFill="1" applyBorder="1"/>
    <xf numFmtId="37" fontId="14" fillId="0" borderId="10" xfId="2" applyNumberFormat="1" applyFont="1" applyFill="1" applyBorder="1"/>
    <xf numFmtId="0" fontId="14" fillId="0" borderId="1" xfId="2" applyFont="1" applyFill="1" applyBorder="1" applyAlignment="1">
      <alignment horizontal="left" wrapText="1" indent="1"/>
    </xf>
    <xf numFmtId="0" fontId="14" fillId="0" borderId="15" xfId="2" applyFont="1" applyFill="1" applyBorder="1" applyAlignment="1">
      <alignment horizontal="left" wrapText="1" indent="1"/>
    </xf>
    <xf numFmtId="41" fontId="14" fillId="0" borderId="1" xfId="2" applyNumberFormat="1" applyFont="1" applyFill="1" applyBorder="1"/>
    <xf numFmtId="41" fontId="14" fillId="0" borderId="0" xfId="2" applyNumberFormat="1" applyFont="1" applyFill="1" applyBorder="1"/>
    <xf numFmtId="41" fontId="14" fillId="0" borderId="15" xfId="2" applyNumberFormat="1" applyFont="1" applyFill="1" applyBorder="1"/>
    <xf numFmtId="41" fontId="21" fillId="0" borderId="1" xfId="2" applyNumberFormat="1" applyFont="1" applyFill="1" applyBorder="1"/>
    <xf numFmtId="41" fontId="21" fillId="0" borderId="0" xfId="2" applyNumberFormat="1" applyFont="1" applyFill="1" applyBorder="1"/>
    <xf numFmtId="41" fontId="21" fillId="0" borderId="15" xfId="2" applyNumberFormat="1" applyFont="1" applyFill="1" applyBorder="1"/>
    <xf numFmtId="0" fontId="14" fillId="0" borderId="1" xfId="2" applyFont="1" applyFill="1" applyBorder="1" applyAlignment="1">
      <alignment horizontal="left" indent="2"/>
    </xf>
    <xf numFmtId="186" fontId="14" fillId="0" borderId="1" xfId="2" applyNumberFormat="1" applyFont="1" applyFill="1" applyBorder="1"/>
    <xf numFmtId="186" fontId="14" fillId="0" borderId="0" xfId="2" applyNumberFormat="1" applyFont="1" applyFill="1" applyBorder="1"/>
    <xf numFmtId="186" fontId="14" fillId="0" borderId="15" xfId="2" applyNumberFormat="1" applyFont="1" applyFill="1" applyBorder="1"/>
    <xf numFmtId="186" fontId="21" fillId="0" borderId="0" xfId="2" applyNumberFormat="1" applyFont="1" applyFill="1" applyBorder="1"/>
    <xf numFmtId="186" fontId="21" fillId="0" borderId="15" xfId="2" applyNumberFormat="1" applyFont="1" applyFill="1" applyBorder="1"/>
    <xf numFmtId="0" fontId="15" fillId="0" borderId="19" xfId="2" applyFont="1" applyFill="1" applyBorder="1" applyAlignment="1">
      <alignment horizontal="left"/>
    </xf>
    <xf numFmtId="0" fontId="15" fillId="0" borderId="20" xfId="2" applyFont="1" applyFill="1" applyBorder="1" applyAlignment="1">
      <alignment horizontal="left"/>
    </xf>
    <xf numFmtId="186" fontId="15" fillId="0" borderId="19" xfId="2" applyNumberFormat="1" applyFont="1" applyFill="1" applyBorder="1"/>
    <xf numFmtId="186" fontId="15" fillId="0" borderId="21" xfId="2" applyNumberFormat="1" applyFont="1" applyFill="1" applyBorder="1"/>
    <xf numFmtId="186" fontId="15" fillId="0" borderId="20" xfId="2" applyNumberFormat="1" applyFont="1" applyFill="1" applyBorder="1"/>
    <xf numFmtId="186" fontId="21" fillId="0" borderId="1" xfId="2" applyNumberFormat="1" applyFont="1" applyFill="1" applyBorder="1"/>
    <xf numFmtId="186" fontId="37" fillId="0" borderId="0" xfId="2" applyNumberFormat="1" applyFont="1" applyFill="1" applyBorder="1"/>
    <xf numFmtId="0" fontId="15" fillId="0" borderId="1" xfId="2" applyFont="1" applyFill="1" applyBorder="1" applyAlignment="1">
      <alignment horizontal="left"/>
    </xf>
    <xf numFmtId="0" fontId="15" fillId="0" borderId="15" xfId="2" applyFont="1" applyFill="1" applyBorder="1" applyAlignment="1">
      <alignment horizontal="left"/>
    </xf>
    <xf numFmtId="186" fontId="15" fillId="0" borderId="1" xfId="2" applyNumberFormat="1" applyFont="1" applyFill="1" applyBorder="1"/>
    <xf numFmtId="186" fontId="15" fillId="0" borderId="0" xfId="2" applyNumberFormat="1" applyFont="1" applyFill="1" applyBorder="1"/>
    <xf numFmtId="186" fontId="15" fillId="0" borderId="22" xfId="2" applyNumberFormat="1" applyFont="1" applyFill="1" applyBorder="1"/>
    <xf numFmtId="186" fontId="15" fillId="0" borderId="15" xfId="2" applyNumberFormat="1" applyFont="1" applyFill="1" applyBorder="1"/>
    <xf numFmtId="186" fontId="20" fillId="0" borderId="0" xfId="2" applyNumberFormat="1" applyFont="1" applyFill="1" applyBorder="1"/>
    <xf numFmtId="186" fontId="20" fillId="0" borderId="15" xfId="2" applyNumberFormat="1" applyFont="1" applyFill="1" applyBorder="1"/>
    <xf numFmtId="186" fontId="20" fillId="0" borderId="1" xfId="2" applyNumberFormat="1" applyFont="1" applyFill="1" applyBorder="1"/>
    <xf numFmtId="0" fontId="15" fillId="0" borderId="16" xfId="2" applyFont="1" applyFill="1" applyBorder="1" applyAlignment="1">
      <alignment horizontal="left"/>
    </xf>
    <xf numFmtId="0" fontId="15" fillId="0" borderId="17" xfId="2" applyFont="1" applyFill="1" applyBorder="1" applyAlignment="1">
      <alignment horizontal="left"/>
    </xf>
    <xf numFmtId="186" fontId="15" fillId="0" borderId="16" xfId="2" applyNumberFormat="1" applyFont="1" applyFill="1" applyBorder="1"/>
    <xf numFmtId="186" fontId="15" fillId="0" borderId="2" xfId="2" applyNumberFormat="1" applyFont="1" applyFill="1" applyBorder="1"/>
    <xf numFmtId="186" fontId="15" fillId="0" borderId="17" xfId="2" applyNumberFormat="1" applyFont="1" applyFill="1" applyBorder="1"/>
    <xf numFmtId="0" fontId="15" fillId="0" borderId="2" xfId="2" applyFont="1" applyFill="1" applyBorder="1" applyAlignment="1">
      <alignment horizontal="left"/>
    </xf>
    <xf numFmtId="0" fontId="15" fillId="0" borderId="0" xfId="2" applyFont="1" applyFill="1" applyBorder="1" applyAlignment="1">
      <alignment horizontal="left"/>
    </xf>
    <xf numFmtId="186" fontId="15" fillId="0" borderId="10" xfId="2" applyNumberFormat="1" applyFont="1" applyFill="1" applyBorder="1"/>
    <xf numFmtId="183" fontId="14" fillId="0" borderId="4" xfId="40" applyNumberFormat="1" applyFont="1" applyFill="1" applyBorder="1"/>
    <xf numFmtId="183" fontId="34" fillId="0" borderId="2" xfId="40" applyNumberFormat="1" applyFont="1" applyFill="1" applyBorder="1"/>
    <xf numFmtId="0" fontId="19" fillId="0" borderId="0" xfId="2" applyFont="1" applyFill="1" applyBorder="1"/>
    <xf numFmtId="37" fontId="20" fillId="0" borderId="0" xfId="2" applyNumberFormat="1" applyFont="1" applyFill="1" applyBorder="1"/>
    <xf numFmtId="0" fontId="21" fillId="0" borderId="0" xfId="2" applyFont="1"/>
    <xf numFmtId="183" fontId="21" fillId="0" borderId="0" xfId="2" applyNumberFormat="1" applyFont="1"/>
    <xf numFmtId="165" fontId="21" fillId="0" borderId="0" xfId="40" applyNumberFormat="1" applyFont="1"/>
    <xf numFmtId="165" fontId="14" fillId="0" borderId="0" xfId="2" applyNumberFormat="1" applyFont="1"/>
    <xf numFmtId="1" fontId="15" fillId="5" borderId="4" xfId="85" applyNumberFormat="1" applyFont="1" applyFill="1" applyBorder="1" applyAlignment="1">
      <alignment horizontal="right"/>
    </xf>
    <xf numFmtId="1" fontId="15" fillId="5" borderId="14" xfId="85" applyNumberFormat="1" applyFont="1" applyFill="1" applyBorder="1" applyAlignment="1">
      <alignment horizontal="right"/>
    </xf>
    <xf numFmtId="1" fontId="15" fillId="5" borderId="13" xfId="85" applyNumberFormat="1" applyFont="1" applyFill="1" applyBorder="1" applyAlignment="1">
      <alignment horizontal="right"/>
    </xf>
    <xf numFmtId="0" fontId="14" fillId="0" borderId="12" xfId="2" applyFont="1" applyBorder="1"/>
    <xf numFmtId="183" fontId="14" fillId="0" borderId="5" xfId="40" applyNumberFormat="1" applyFont="1" applyBorder="1"/>
    <xf numFmtId="183" fontId="14" fillId="0" borderId="10" xfId="40" applyNumberFormat="1" applyFont="1" applyBorder="1"/>
    <xf numFmtId="183" fontId="14" fillId="0" borderId="0" xfId="40" applyNumberFormat="1" applyFont="1" applyBorder="1"/>
    <xf numFmtId="183" fontId="21" fillId="0" borderId="15" xfId="40" applyNumberFormat="1" applyFont="1" applyBorder="1"/>
    <xf numFmtId="183" fontId="21" fillId="0" borderId="0" xfId="40" applyNumberFormat="1" applyFont="1" applyBorder="1"/>
    <xf numFmtId="183" fontId="35" fillId="0" borderId="10" xfId="40" applyNumberFormat="1" applyFont="1" applyFill="1" applyBorder="1"/>
    <xf numFmtId="183" fontId="35" fillId="0" borderId="0" xfId="40" applyNumberFormat="1" applyFont="1" applyFill="1" applyBorder="1"/>
    <xf numFmtId="183" fontId="14" fillId="0" borderId="0" xfId="40" applyNumberFormat="1" applyFont="1" applyFill="1" applyBorder="1"/>
    <xf numFmtId="183" fontId="21" fillId="0" borderId="1" xfId="40" applyNumberFormat="1" applyFont="1" applyBorder="1"/>
    <xf numFmtId="183" fontId="21" fillId="0" borderId="15" xfId="40" applyNumberFormat="1" applyFont="1" applyFill="1" applyBorder="1"/>
    <xf numFmtId="183" fontId="21" fillId="0" borderId="0" xfId="40" applyNumberFormat="1" applyFont="1" applyFill="1" applyBorder="1"/>
    <xf numFmtId="0" fontId="19" fillId="0" borderId="1" xfId="2" applyFont="1" applyBorder="1" applyAlignment="1">
      <alignment horizontal="left" indent="1"/>
    </xf>
    <xf numFmtId="0" fontId="19" fillId="0" borderId="15" xfId="2" applyFont="1" applyBorder="1" applyAlignment="1">
      <alignment horizontal="left" indent="1"/>
    </xf>
    <xf numFmtId="166" fontId="19" fillId="0" borderId="1" xfId="93" applyNumberFormat="1" applyFont="1" applyFill="1" applyBorder="1"/>
    <xf numFmtId="166" fontId="19" fillId="0" borderId="0" xfId="93" applyNumberFormat="1" applyFont="1" applyBorder="1"/>
    <xf numFmtId="183" fontId="14" fillId="0" borderId="16" xfId="40" applyNumberFormat="1" applyFont="1" applyFill="1" applyBorder="1"/>
    <xf numFmtId="183" fontId="14" fillId="0" borderId="2" xfId="40" applyNumberFormat="1" applyFont="1" applyFill="1" applyBorder="1"/>
    <xf numFmtId="183" fontId="14" fillId="0" borderId="17" xfId="40" applyNumberFormat="1" applyFont="1" applyFill="1" applyBorder="1"/>
    <xf numFmtId="183" fontId="35" fillId="0" borderId="2" xfId="40" applyNumberFormat="1" applyFont="1" applyFill="1" applyBorder="1"/>
    <xf numFmtId="183" fontId="21" fillId="0" borderId="12" xfId="40" applyNumberFormat="1" applyFont="1" applyBorder="1"/>
    <xf numFmtId="183" fontId="14" fillId="0" borderId="15" xfId="40" applyNumberFormat="1" applyFont="1" applyBorder="1"/>
    <xf numFmtId="183" fontId="21" fillId="0" borderId="1" xfId="40" applyNumberFormat="1" applyFont="1" applyFill="1" applyBorder="1"/>
    <xf numFmtId="183" fontId="21" fillId="0" borderId="17" xfId="40" applyNumberFormat="1" applyFont="1" applyBorder="1"/>
    <xf numFmtId="183" fontId="21" fillId="0" borderId="0" xfId="40" applyNumberFormat="1" applyFont="1" applyFill="1"/>
    <xf numFmtId="0" fontId="15" fillId="0" borderId="16" xfId="2" applyFont="1" applyBorder="1"/>
    <xf numFmtId="0" fontId="15" fillId="0" borderId="17" xfId="2" applyFont="1" applyBorder="1"/>
    <xf numFmtId="183" fontId="15" fillId="0" borderId="13" xfId="40" applyNumberFormat="1" applyFont="1" applyBorder="1"/>
    <xf numFmtId="183" fontId="15" fillId="0" borderId="4" xfId="40" applyNumberFormat="1" applyFont="1" applyBorder="1"/>
    <xf numFmtId="183" fontId="15" fillId="0" borderId="14" xfId="40" applyNumberFormat="1" applyFont="1" applyBorder="1"/>
    <xf numFmtId="183" fontId="15" fillId="0" borderId="0" xfId="40" applyNumberFormat="1" applyFont="1" applyBorder="1"/>
    <xf numFmtId="183" fontId="15" fillId="0" borderId="1" xfId="40" applyNumberFormat="1" applyFont="1" applyBorder="1"/>
    <xf numFmtId="183" fontId="14" fillId="0" borderId="13" xfId="40" applyNumberFormat="1" applyFont="1" applyFill="1" applyBorder="1"/>
    <xf numFmtId="166" fontId="19" fillId="0" borderId="0" xfId="93" applyNumberFormat="1" applyFont="1" applyFill="1"/>
    <xf numFmtId="0" fontId="28" fillId="0" borderId="0" xfId="2" applyFont="1"/>
    <xf numFmtId="43" fontId="21" fillId="0" borderId="0" xfId="2" applyNumberFormat="1" applyFont="1"/>
    <xf numFmtId="183" fontId="14" fillId="0" borderId="1" xfId="40" applyNumberFormat="1" applyFont="1" applyBorder="1"/>
    <xf numFmtId="0" fontId="19" fillId="0" borderId="16" xfId="2" applyFont="1" applyBorder="1" applyAlignment="1">
      <alignment horizontal="left" indent="1"/>
    </xf>
    <xf numFmtId="0" fontId="19" fillId="0" borderId="17" xfId="2" applyFont="1" applyBorder="1" applyAlignment="1">
      <alignment horizontal="left" indent="1"/>
    </xf>
    <xf numFmtId="166" fontId="19" fillId="0" borderId="16" xfId="93" applyNumberFormat="1" applyFont="1" applyFill="1" applyBorder="1"/>
    <xf numFmtId="166" fontId="19" fillId="0" borderId="2" xfId="93" applyNumberFormat="1" applyFont="1" applyFill="1" applyBorder="1"/>
    <xf numFmtId="166" fontId="19" fillId="0" borderId="17" xfId="93" applyNumberFormat="1" applyFont="1" applyBorder="1"/>
    <xf numFmtId="10" fontId="19" fillId="0" borderId="2" xfId="93" applyNumberFormat="1" applyFont="1" applyFill="1" applyBorder="1"/>
    <xf numFmtId="10" fontId="19" fillId="0" borderId="17" xfId="93" applyNumberFormat="1" applyFont="1" applyFill="1" applyBorder="1"/>
    <xf numFmtId="166" fontId="19" fillId="0" borderId="2" xfId="93" applyNumberFormat="1" applyFont="1" applyBorder="1"/>
    <xf numFmtId="186" fontId="14" fillId="0" borderId="1" xfId="2" applyNumberFormat="1" applyFont="1" applyBorder="1"/>
    <xf numFmtId="186" fontId="14" fillId="0" borderId="0" xfId="2" applyNumberFormat="1" applyFont="1" applyBorder="1"/>
    <xf numFmtId="186" fontId="14" fillId="0" borderId="12" xfId="2" applyNumberFormat="1" applyFont="1" applyBorder="1"/>
    <xf numFmtId="186" fontId="14" fillId="0" borderId="0" xfId="2" applyNumberFormat="1" applyFont="1"/>
    <xf numFmtId="186" fontId="14" fillId="0" borderId="10" xfId="2" applyNumberFormat="1" applyFont="1" applyBorder="1"/>
    <xf numFmtId="186" fontId="14" fillId="0" borderId="16" xfId="2" applyNumberFormat="1" applyFont="1" applyBorder="1"/>
    <xf numFmtId="186" fontId="14" fillId="0" borderId="2" xfId="2" applyNumberFormat="1" applyFont="1" applyBorder="1"/>
    <xf numFmtId="186" fontId="14" fillId="0" borderId="17" xfId="2" applyNumberFormat="1" applyFont="1" applyBorder="1"/>
    <xf numFmtId="0" fontId="7" fillId="0" borderId="0" xfId="2" applyFont="1" applyBorder="1"/>
    <xf numFmtId="41" fontId="32" fillId="0" borderId="1" xfId="2" applyNumberFormat="1" applyFont="1" applyFill="1" applyBorder="1"/>
    <xf numFmtId="186" fontId="32" fillId="0" borderId="1" xfId="2" applyNumberFormat="1" applyFont="1" applyFill="1" applyBorder="1"/>
    <xf numFmtId="186" fontId="32" fillId="0" borderId="0" xfId="2" applyNumberFormat="1" applyFont="1" applyFill="1" applyBorder="1"/>
    <xf numFmtId="186" fontId="28" fillId="0" borderId="0" xfId="2" applyNumberFormat="1" applyFont="1" applyFill="1" applyBorder="1"/>
    <xf numFmtId="0" fontId="15" fillId="0" borderId="14" xfId="2" applyFont="1" applyFill="1" applyBorder="1" applyAlignment="1">
      <alignment horizontal="left"/>
    </xf>
    <xf numFmtId="0" fontId="8" fillId="0" borderId="0" xfId="2" applyFont="1" applyFill="1" applyBorder="1"/>
    <xf numFmtId="0" fontId="8" fillId="0" borderId="0" xfId="2" applyFont="1" applyFill="1" applyBorder="1" applyAlignment="1">
      <alignment horizontal="left" wrapText="1" indent="2"/>
    </xf>
    <xf numFmtId="37" fontId="8" fillId="0" borderId="0" xfId="2" applyNumberFormat="1" applyFont="1" applyFill="1" applyAlignment="1">
      <alignment horizontal="center"/>
    </xf>
    <xf numFmtId="0" fontId="0" fillId="0" borderId="0" xfId="0" applyBorder="1"/>
    <xf numFmtId="0" fontId="14" fillId="0" borderId="1" xfId="2" applyNumberFormat="1" applyFont="1" applyBorder="1"/>
    <xf numFmtId="183" fontId="15" fillId="0" borderId="0" xfId="40" applyNumberFormat="1" applyFont="1" applyFill="1" applyBorder="1"/>
    <xf numFmtId="165" fontId="7" fillId="0" borderId="0" xfId="40" applyNumberFormat="1" applyFont="1"/>
    <xf numFmtId="166" fontId="0" fillId="0" borderId="0" xfId="93" applyNumberFormat="1" applyFont="1"/>
    <xf numFmtId="186" fontId="15" fillId="0" borderId="5" xfId="2" applyNumberFormat="1" applyFont="1" applyFill="1" applyBorder="1"/>
    <xf numFmtId="186" fontId="15" fillId="0" borderId="12" xfId="2" applyNumberFormat="1" applyFont="1" applyFill="1" applyBorder="1"/>
    <xf numFmtId="0" fontId="38" fillId="0" borderId="0" xfId="0" applyFont="1"/>
    <xf numFmtId="173" fontId="8" fillId="0" borderId="0" xfId="2" applyNumberFormat="1" applyFont="1"/>
    <xf numFmtId="0" fontId="0" fillId="0" borderId="1" xfId="2" applyFont="1" applyBorder="1"/>
    <xf numFmtId="0" fontId="19" fillId="0" borderId="0" xfId="2" applyFont="1" applyBorder="1" applyAlignment="1">
      <alignment horizontal="left" indent="1"/>
    </xf>
    <xf numFmtId="0" fontId="19" fillId="0" borderId="1" xfId="2" applyFont="1" applyFill="1" applyBorder="1" applyAlignment="1">
      <alignment horizontal="left" indent="1"/>
    </xf>
    <xf numFmtId="0" fontId="0" fillId="0" borderId="0" xfId="2" applyFont="1" applyFill="1" applyBorder="1"/>
    <xf numFmtId="165" fontId="21" fillId="0" borderId="0" xfId="40" applyNumberFormat="1" applyFont="1" applyFill="1" applyBorder="1"/>
    <xf numFmtId="0" fontId="0" fillId="0" borderId="15" xfId="0" applyBorder="1"/>
    <xf numFmtId="165" fontId="0" fillId="0" borderId="0" xfId="40" applyNumberFormat="1" applyFont="1" applyBorder="1"/>
    <xf numFmtId="0" fontId="0" fillId="0" borderId="16" xfId="0" applyBorder="1"/>
    <xf numFmtId="165" fontId="19" fillId="0" borderId="0" xfId="40" applyNumberFormat="1" applyFont="1" applyBorder="1"/>
    <xf numFmtId="166" fontId="18" fillId="0" borderId="0" xfId="93" applyNumberFormat="1" applyFont="1"/>
    <xf numFmtId="165" fontId="0" fillId="0" borderId="18" xfId="40" applyNumberFormat="1" applyFont="1" applyBorder="1"/>
    <xf numFmtId="167" fontId="96" fillId="0" borderId="1" xfId="2" applyNumberFormat="1" applyFont="1" applyFill="1" applyBorder="1" applyAlignment="1"/>
    <xf numFmtId="167" fontId="96" fillId="0" borderId="0" xfId="2" applyNumberFormat="1" applyFont="1" applyFill="1" applyBorder="1" applyAlignment="1"/>
    <xf numFmtId="167" fontId="96" fillId="0" borderId="15" xfId="2" applyNumberFormat="1" applyFont="1" applyFill="1" applyBorder="1" applyAlignment="1"/>
    <xf numFmtId="167" fontId="97" fillId="0" borderId="0" xfId="2" applyNumberFormat="1" applyFont="1" applyFill="1" applyBorder="1" applyAlignment="1"/>
    <xf numFmtId="167" fontId="97" fillId="0" borderId="1" xfId="2" applyNumberFormat="1" applyFont="1" applyFill="1" applyBorder="1" applyAlignment="1"/>
    <xf numFmtId="167" fontId="97" fillId="0" borderId="15" xfId="2" applyNumberFormat="1" applyFont="1" applyFill="1" applyBorder="1" applyAlignment="1"/>
    <xf numFmtId="173" fontId="98" fillId="0" borderId="0" xfId="2" applyNumberFormat="1" applyFont="1" applyFill="1" applyBorder="1" applyAlignment="1"/>
    <xf numFmtId="173" fontId="99" fillId="0" borderId="0" xfId="2" applyNumberFormat="1" applyFont="1" applyFill="1" applyBorder="1" applyAlignment="1"/>
    <xf numFmtId="173" fontId="100" fillId="0" borderId="1" xfId="2" applyNumberFormat="1" applyFont="1" applyFill="1" applyBorder="1" applyAlignment="1"/>
    <xf numFmtId="173" fontId="100" fillId="0" borderId="0" xfId="2" applyNumberFormat="1" applyFont="1" applyFill="1" applyBorder="1" applyAlignment="1"/>
    <xf numFmtId="173" fontId="100" fillId="0" borderId="15" xfId="2" applyNumberFormat="1" applyFont="1" applyFill="1" applyBorder="1" applyAlignment="1"/>
    <xf numFmtId="167" fontId="99" fillId="0" borderId="0" xfId="2" applyNumberFormat="1" applyFont="1" applyFill="1" applyBorder="1" applyAlignment="1"/>
    <xf numFmtId="167" fontId="99" fillId="0" borderId="1" xfId="2" applyNumberFormat="1" applyFont="1" applyFill="1" applyBorder="1" applyAlignment="1"/>
    <xf numFmtId="167" fontId="100" fillId="0" borderId="0" xfId="2" applyNumberFormat="1" applyFont="1" applyFill="1" applyBorder="1" applyAlignment="1"/>
    <xf numFmtId="166" fontId="101" fillId="0" borderId="0" xfId="93" applyNumberFormat="1" applyFont="1" applyFill="1" applyBorder="1" applyAlignment="1"/>
    <xf numFmtId="211" fontId="96" fillId="0" borderId="1" xfId="2" applyNumberFormat="1" applyFont="1" applyFill="1" applyBorder="1" applyAlignment="1"/>
    <xf numFmtId="211" fontId="96" fillId="0" borderId="0" xfId="2" applyNumberFormat="1" applyFont="1" applyFill="1" applyBorder="1" applyAlignment="1"/>
    <xf numFmtId="211" fontId="96" fillId="0" borderId="15" xfId="2" applyNumberFormat="1" applyFont="1" applyFill="1" applyBorder="1" applyAlignment="1"/>
    <xf numFmtId="0" fontId="0" fillId="0" borderId="17" xfId="0" applyBorder="1"/>
    <xf numFmtId="0" fontId="0" fillId="0" borderId="12" xfId="0" applyBorder="1"/>
    <xf numFmtId="165" fontId="95" fillId="0" borderId="0" xfId="40" applyNumberFormat="1" applyFont="1" applyBorder="1"/>
    <xf numFmtId="167" fontId="19" fillId="0" borderId="15" xfId="2" applyNumberFormat="1" applyFont="1" applyBorder="1"/>
    <xf numFmtId="166" fontId="102" fillId="0" borderId="0" xfId="2" applyNumberFormat="1" applyFont="1" applyFill="1" applyBorder="1" applyAlignment="1"/>
    <xf numFmtId="173" fontId="97" fillId="0" borderId="0" xfId="2" applyNumberFormat="1" applyFont="1" applyFill="1" applyBorder="1" applyAlignment="1"/>
    <xf numFmtId="170" fontId="17" fillId="5" borderId="26" xfId="86" applyNumberFormat="1" applyFont="1" applyFill="1" applyBorder="1" applyAlignment="1">
      <alignment horizontal="right"/>
    </xf>
    <xf numFmtId="1" fontId="17" fillId="5" borderId="26" xfId="85" applyNumberFormat="1" applyFont="1" applyFill="1" applyBorder="1" applyAlignment="1">
      <alignment horizontal="right"/>
    </xf>
    <xf numFmtId="37" fontId="14" fillId="0" borderId="24" xfId="2" applyNumberFormat="1" applyFont="1" applyFill="1" applyBorder="1"/>
    <xf numFmtId="186" fontId="15" fillId="0" borderId="24" xfId="2" applyNumberFormat="1" applyFont="1" applyFill="1" applyBorder="1"/>
    <xf numFmtId="183" fontId="14" fillId="0" borderId="26" xfId="40" applyNumberFormat="1" applyFont="1" applyFill="1" applyBorder="1"/>
    <xf numFmtId="183" fontId="34" fillId="0" borderId="26" xfId="40" applyNumberFormat="1" applyFont="1" applyFill="1" applyBorder="1"/>
    <xf numFmtId="186" fontId="100" fillId="0" borderId="0" xfId="2" applyNumberFormat="1" applyFont="1" applyFill="1" applyBorder="1"/>
    <xf numFmtId="172" fontId="100" fillId="0" borderId="0" xfId="2" applyNumberFormat="1" applyFont="1" applyFill="1" applyBorder="1"/>
    <xf numFmtId="0" fontId="21" fillId="0" borderId="0" xfId="2" applyFont="1" applyBorder="1"/>
    <xf numFmtId="183" fontId="15" fillId="0" borderId="4" xfId="40" applyNumberFormat="1" applyFont="1" applyFill="1" applyBorder="1"/>
    <xf numFmtId="186" fontId="14" fillId="0" borderId="2" xfId="2" applyNumberFormat="1" applyFont="1" applyFill="1" applyBorder="1"/>
    <xf numFmtId="173" fontId="7" fillId="0" borderId="0" xfId="2" applyNumberFormat="1" applyFont="1" applyFill="1" applyBorder="1"/>
    <xf numFmtId="0" fontId="7" fillId="0" borderId="0" xfId="2" applyFont="1" applyFill="1" applyBorder="1"/>
    <xf numFmtId="173" fontId="98" fillId="0" borderId="15" xfId="2" applyNumberFormat="1" applyFont="1" applyFill="1" applyBorder="1"/>
    <xf numFmtId="173" fontId="98" fillId="0" borderId="0" xfId="2" applyNumberFormat="1" applyFont="1" applyFill="1" applyBorder="1"/>
    <xf numFmtId="0" fontId="0" fillId="0" borderId="0" xfId="0" applyFill="1"/>
    <xf numFmtId="0" fontId="0" fillId="0" borderId="0" xfId="0" applyFill="1" applyBorder="1"/>
    <xf numFmtId="186" fontId="99" fillId="0" borderId="0" xfId="2" applyNumberFormat="1" applyFont="1" applyFill="1" applyBorder="1"/>
    <xf numFmtId="174" fontId="14" fillId="0" borderId="2" xfId="2" applyNumberFormat="1" applyFont="1" applyFill="1" applyBorder="1"/>
    <xf numFmtId="174" fontId="14" fillId="0" borderId="17" xfId="2" applyNumberFormat="1" applyFont="1" applyFill="1" applyBorder="1"/>
    <xf numFmtId="174" fontId="14" fillId="0" borderId="16" xfId="2" applyNumberFormat="1" applyFont="1" applyFill="1" applyBorder="1"/>
    <xf numFmtId="174" fontId="15" fillId="0" borderId="0" xfId="2" applyNumberFormat="1" applyFont="1" applyFill="1" applyBorder="1"/>
    <xf numFmtId="174" fontId="15" fillId="0" borderId="15" xfId="2" applyNumberFormat="1" applyFont="1" applyFill="1" applyBorder="1"/>
    <xf numFmtId="174" fontId="15" fillId="0" borderId="1" xfId="2" applyNumberFormat="1" applyFont="1" applyFill="1" applyBorder="1"/>
    <xf numFmtId="172" fontId="0" fillId="0" borderId="0" xfId="0" applyNumberFormat="1"/>
    <xf numFmtId="180" fontId="21" fillId="0" borderId="5" xfId="2" applyNumberFormat="1" applyFont="1" applyFill="1" applyBorder="1"/>
    <xf numFmtId="180" fontId="21" fillId="0" borderId="10" xfId="2" applyNumberFormat="1" applyFont="1" applyFill="1" applyBorder="1"/>
    <xf numFmtId="180" fontId="21" fillId="0" borderId="12" xfId="2" applyNumberFormat="1" applyFont="1" applyFill="1" applyBorder="1"/>
    <xf numFmtId="49" fontId="0" fillId="0" borderId="0" xfId="0" applyNumberFormat="1"/>
    <xf numFmtId="193" fontId="21" fillId="0" borderId="1" xfId="2" applyNumberFormat="1" applyFont="1" applyFill="1" applyBorder="1"/>
    <xf numFmtId="172" fontId="14" fillId="0" borderId="0" xfId="2" applyNumberFormat="1" applyFont="1" applyBorder="1"/>
    <xf numFmtId="173" fontId="0" fillId="0" borderId="0" xfId="0" applyNumberFormat="1"/>
    <xf numFmtId="0" fontId="95" fillId="0" borderId="0" xfId="2" applyFont="1" applyBorder="1"/>
    <xf numFmtId="191" fontId="18" fillId="0" borderId="0" xfId="2" applyNumberFormat="1" applyFont="1" applyBorder="1"/>
    <xf numFmtId="1" fontId="17" fillId="5" borderId="10" xfId="85" applyNumberFormat="1" applyFont="1" applyFill="1" applyBorder="1" applyAlignment="1">
      <alignment horizontal="right"/>
    </xf>
    <xf numFmtId="0" fontId="30" fillId="0" borderId="5" xfId="0" applyFont="1" applyBorder="1"/>
    <xf numFmtId="0" fontId="0" fillId="0" borderId="10" xfId="0" applyBorder="1"/>
    <xf numFmtId="165" fontId="95" fillId="0" borderId="10" xfId="40" applyNumberFormat="1" applyFont="1" applyBorder="1"/>
    <xf numFmtId="165" fontId="0" fillId="0" borderId="10" xfId="40" applyNumberFormat="1" applyFont="1" applyBorder="1"/>
    <xf numFmtId="165" fontId="0" fillId="0" borderId="12" xfId="40" applyNumberFormat="1" applyFont="1" applyBorder="1"/>
    <xf numFmtId="191" fontId="18" fillId="0" borderId="0" xfId="0" applyNumberFormat="1" applyFont="1" applyBorder="1"/>
    <xf numFmtId="0" fontId="30" fillId="0" borderId="1" xfId="0" applyFont="1" applyBorder="1"/>
    <xf numFmtId="165" fontId="0" fillId="0" borderId="15" xfId="40" applyNumberFormat="1" applyFont="1" applyBorder="1"/>
    <xf numFmtId="0" fontId="0" fillId="0" borderId="2" xfId="0" applyBorder="1"/>
    <xf numFmtId="191" fontId="18" fillId="0" borderId="2" xfId="0" applyNumberFormat="1" applyFont="1" applyBorder="1"/>
    <xf numFmtId="165" fontId="0" fillId="0" borderId="5" xfId="40" applyNumberFormat="1" applyFont="1" applyBorder="1"/>
    <xf numFmtId="165" fontId="0" fillId="0" borderId="1" xfId="40" applyNumberFormat="1" applyFont="1" applyBorder="1"/>
    <xf numFmtId="0" fontId="95" fillId="0" borderId="2" xfId="2" applyFont="1" applyBorder="1"/>
    <xf numFmtId="0" fontId="0" fillId="0" borderId="27" xfId="0" applyFill="1" applyBorder="1"/>
    <xf numFmtId="0" fontId="0" fillId="0" borderId="9" xfId="0" applyFill="1" applyBorder="1"/>
    <xf numFmtId="165" fontId="0" fillId="0" borderId="5" xfId="40" applyNumberFormat="1" applyFont="1" applyFill="1" applyBorder="1"/>
    <xf numFmtId="165" fontId="0" fillId="0" borderId="10" xfId="40" applyNumberFormat="1" applyFont="1" applyFill="1" applyBorder="1"/>
    <xf numFmtId="0" fontId="0" fillId="0" borderId="16" xfId="0" applyFill="1" applyBorder="1"/>
    <xf numFmtId="0" fontId="0" fillId="0" borderId="2" xfId="0" applyFill="1" applyBorder="1"/>
    <xf numFmtId="0" fontId="0" fillId="0" borderId="2" xfId="2" applyFont="1" applyFill="1" applyBorder="1"/>
    <xf numFmtId="0" fontId="0" fillId="0" borderId="17" xfId="0" applyFill="1" applyBorder="1"/>
    <xf numFmtId="191" fontId="18" fillId="0" borderId="15" xfId="0" applyNumberFormat="1" applyFont="1" applyBorder="1"/>
    <xf numFmtId="165" fontId="95" fillId="0" borderId="5" xfId="40" applyNumberFormat="1" applyFont="1" applyBorder="1"/>
    <xf numFmtId="165" fontId="95" fillId="0" borderId="12" xfId="40" applyNumberFormat="1" applyFont="1" applyBorder="1"/>
    <xf numFmtId="191" fontId="18" fillId="0" borderId="1" xfId="0" applyNumberFormat="1" applyFont="1" applyBorder="1"/>
    <xf numFmtId="165" fontId="95" fillId="0" borderId="1" xfId="40" applyNumberFormat="1" applyFont="1" applyBorder="1"/>
    <xf numFmtId="165" fontId="95" fillId="0" borderId="15" xfId="40" applyNumberFormat="1" applyFont="1" applyBorder="1"/>
    <xf numFmtId="191" fontId="18" fillId="0" borderId="16" xfId="0" applyNumberFormat="1" applyFont="1" applyBorder="1"/>
    <xf numFmtId="191" fontId="18" fillId="0" borderId="17" xfId="0" applyNumberFormat="1" applyFont="1" applyBorder="1"/>
    <xf numFmtId="165" fontId="0" fillId="0" borderId="16" xfId="40" applyNumberFormat="1" applyFont="1" applyBorder="1"/>
    <xf numFmtId="165" fontId="0" fillId="0" borderId="2" xfId="40" applyNumberFormat="1" applyFont="1" applyBorder="1"/>
    <xf numFmtId="165" fontId="0" fillId="0" borderId="17" xfId="40" applyNumberFormat="1" applyFont="1" applyBorder="1"/>
    <xf numFmtId="165" fontId="94" fillId="0" borderId="10" xfId="40" applyNumberFormat="1" applyFont="1" applyBorder="1"/>
    <xf numFmtId="165" fontId="94" fillId="0" borderId="12" xfId="40" applyNumberFormat="1" applyFont="1" applyBorder="1"/>
    <xf numFmtId="191" fontId="18" fillId="0" borderId="15" xfId="2" applyNumberFormat="1" applyFont="1" applyBorder="1"/>
    <xf numFmtId="0" fontId="15" fillId="0" borderId="28" xfId="2" applyFont="1" applyFill="1" applyBorder="1"/>
    <xf numFmtId="0" fontId="0" fillId="0" borderId="29" xfId="0" applyFill="1" applyBorder="1"/>
    <xf numFmtId="0" fontId="0" fillId="0" borderId="30" xfId="0" applyFill="1" applyBorder="1"/>
    <xf numFmtId="165" fontId="93" fillId="0" borderId="28" xfId="40" applyNumberFormat="1" applyFont="1" applyFill="1" applyBorder="1"/>
    <xf numFmtId="165" fontId="93" fillId="0" borderId="29" xfId="40" applyNumberFormat="1" applyFont="1" applyFill="1" applyBorder="1"/>
    <xf numFmtId="165" fontId="93" fillId="0" borderId="30" xfId="40" applyNumberFormat="1" applyFont="1" applyFill="1" applyBorder="1"/>
    <xf numFmtId="0" fontId="15" fillId="0" borderId="0" xfId="0" applyFont="1" applyFill="1" applyBorder="1"/>
    <xf numFmtId="165" fontId="0" fillId="0" borderId="0" xfId="0" applyNumberFormat="1"/>
    <xf numFmtId="1" fontId="17" fillId="5" borderId="31" xfId="85" applyNumberFormat="1" applyFont="1" applyFill="1" applyBorder="1" applyAlignment="1">
      <alignment horizontal="right"/>
    </xf>
    <xf numFmtId="165" fontId="95" fillId="0" borderId="31" xfId="40" applyNumberFormat="1" applyFont="1" applyFill="1" applyBorder="1"/>
    <xf numFmtId="0" fontId="95" fillId="0" borderId="23" xfId="2" applyFont="1" applyFill="1" applyBorder="1"/>
    <xf numFmtId="165" fontId="95" fillId="0" borderId="23" xfId="40" applyNumberFormat="1" applyFont="1" applyFill="1" applyBorder="1"/>
    <xf numFmtId="0" fontId="95" fillId="0" borderId="32" xfId="2" applyFont="1" applyFill="1" applyBorder="1"/>
    <xf numFmtId="165" fontId="93" fillId="0" borderId="31" xfId="40" applyNumberFormat="1" applyFont="1" applyFill="1" applyBorder="1"/>
    <xf numFmtId="191" fontId="18" fillId="0" borderId="23" xfId="0" applyNumberFormat="1" applyFont="1" applyFill="1" applyBorder="1"/>
    <xf numFmtId="191" fontId="18" fillId="0" borderId="23" xfId="2" applyNumberFormat="1" applyFont="1" applyFill="1" applyBorder="1"/>
    <xf numFmtId="0" fontId="93" fillId="0" borderId="23" xfId="2" applyFont="1" applyFill="1" applyBorder="1"/>
    <xf numFmtId="165" fontId="93" fillId="0" borderId="23" xfId="40" applyNumberFormat="1" applyFont="1" applyFill="1" applyBorder="1"/>
    <xf numFmtId="191" fontId="18" fillId="0" borderId="32" xfId="2" applyNumberFormat="1" applyFont="1" applyFill="1" applyBorder="1"/>
    <xf numFmtId="165" fontId="93" fillId="0" borderId="33" xfId="40" applyNumberFormat="1" applyFont="1" applyFill="1" applyBorder="1"/>
    <xf numFmtId="165" fontId="93" fillId="0" borderId="32" xfId="40" applyNumberFormat="1" applyFont="1" applyFill="1" applyBorder="1"/>
    <xf numFmtId="191" fontId="18" fillId="0" borderId="0" xfId="0" applyNumberFormat="1" applyFont="1"/>
    <xf numFmtId="0" fontId="0" fillId="0" borderId="0" xfId="0"/>
    <xf numFmtId="191" fontId="18" fillId="0" borderId="0" xfId="40" applyNumberFormat="1" applyFont="1"/>
    <xf numFmtId="186" fontId="104" fillId="0" borderId="0" xfId="2" applyNumberFormat="1" applyFont="1" applyFill="1" applyBorder="1"/>
    <xf numFmtId="172" fontId="14" fillId="0" borderId="1" xfId="2" applyNumberFormat="1" applyFont="1" applyBorder="1"/>
    <xf numFmtId="0" fontId="0" fillId="0" borderId="0" xfId="0"/>
    <xf numFmtId="0" fontId="0" fillId="0" borderId="0" xfId="0"/>
    <xf numFmtId="44" fontId="21" fillId="0" borderId="0" xfId="51" applyNumberFormat="1" applyFont="1" applyFill="1" applyBorder="1"/>
    <xf numFmtId="191" fontId="18" fillId="0" borderId="0" xfId="2" applyNumberFormat="1" applyFont="1"/>
    <xf numFmtId="165" fontId="18" fillId="0" borderId="0" xfId="40" applyNumberFormat="1" applyFont="1"/>
    <xf numFmtId="212" fontId="0" fillId="0" borderId="0" xfId="0" applyNumberFormat="1"/>
    <xf numFmtId="0" fontId="0" fillId="0" borderId="0" xfId="0"/>
    <xf numFmtId="191" fontId="18" fillId="0" borderId="0" xfId="93" applyNumberFormat="1" applyFont="1"/>
    <xf numFmtId="0" fontId="0" fillId="0" borderId="0" xfId="0"/>
    <xf numFmtId="0" fontId="0" fillId="0" borderId="0" xfId="0"/>
    <xf numFmtId="2" fontId="14" fillId="0" borderId="0" xfId="2" applyNumberFormat="1" applyFont="1"/>
    <xf numFmtId="0" fontId="0" fillId="0" borderId="0" xfId="0"/>
    <xf numFmtId="0" fontId="0" fillId="0" borderId="1" xfId="0" applyFill="1" applyBorder="1"/>
    <xf numFmtId="0" fontId="95" fillId="0" borderId="0" xfId="2" applyFont="1" applyFill="1" applyBorder="1"/>
    <xf numFmtId="0" fontId="0" fillId="0" borderId="0" xfId="0"/>
    <xf numFmtId="165" fontId="106" fillId="0" borderId="5" xfId="40" applyNumberFormat="1" applyFont="1" applyBorder="1"/>
    <xf numFmtId="191" fontId="18" fillId="0" borderId="1" xfId="2" applyNumberFormat="1" applyFont="1" applyBorder="1"/>
    <xf numFmtId="165" fontId="106" fillId="0" borderId="1" xfId="40" applyNumberFormat="1" applyFont="1" applyBorder="1"/>
    <xf numFmtId="191" fontId="18" fillId="0" borderId="16" xfId="2" applyNumberFormat="1" applyFont="1" applyFill="1" applyBorder="1"/>
    <xf numFmtId="191" fontId="18" fillId="0" borderId="1" xfId="0" applyNumberFormat="1" applyFont="1" applyFill="1" applyBorder="1"/>
    <xf numFmtId="165" fontId="14" fillId="0" borderId="0" xfId="2" applyNumberFormat="1" applyFont="1" applyBorder="1"/>
    <xf numFmtId="0" fontId="108" fillId="0" borderId="35" xfId="119" applyFont="1" applyBorder="1" applyAlignment="1">
      <alignment horizontal="left"/>
    </xf>
    <xf numFmtId="17" fontId="30" fillId="0" borderId="36" xfId="119" applyNumberFormat="1" applyFont="1" applyBorder="1" applyAlignment="1">
      <alignment horizontal="center"/>
    </xf>
    <xf numFmtId="17" fontId="30" fillId="0" borderId="0" xfId="119" applyNumberFormat="1" applyFont="1" applyBorder="1" applyAlignment="1">
      <alignment horizontal="center"/>
    </xf>
    <xf numFmtId="17" fontId="30" fillId="0" borderId="35" xfId="119" applyNumberFormat="1" applyFont="1" applyBorder="1" applyAlignment="1">
      <alignment horizontal="center"/>
    </xf>
    <xf numFmtId="0" fontId="30" fillId="0" borderId="0" xfId="119" applyFont="1" applyAlignment="1">
      <alignment horizontal="center"/>
    </xf>
    <xf numFmtId="0" fontId="30" fillId="16" borderId="0" xfId="119" applyFont="1" applyFill="1" applyAlignment="1">
      <alignment horizontal="center"/>
    </xf>
    <xf numFmtId="0" fontId="109" fillId="0" borderId="35" xfId="119" applyFont="1" applyBorder="1" applyAlignment="1">
      <alignment horizontal="left"/>
    </xf>
    <xf numFmtId="0" fontId="30" fillId="0" borderId="36" xfId="119" applyFont="1" applyBorder="1" applyAlignment="1">
      <alignment horizontal="center"/>
    </xf>
    <xf numFmtId="0" fontId="30" fillId="0" borderId="0" xfId="119" applyFont="1" applyBorder="1" applyAlignment="1">
      <alignment horizontal="center"/>
    </xf>
    <xf numFmtId="0" fontId="30" fillId="0" borderId="35" xfId="119" applyFont="1" applyBorder="1" applyAlignment="1">
      <alignment horizontal="center"/>
    </xf>
    <xf numFmtId="0" fontId="7" fillId="0" borderId="0" xfId="119" applyFont="1" applyAlignment="1">
      <alignment horizontal="center"/>
    </xf>
    <xf numFmtId="0" fontId="110" fillId="0" borderId="35" xfId="119" applyFont="1" applyBorder="1" applyAlignment="1">
      <alignment horizontal="left"/>
    </xf>
    <xf numFmtId="0" fontId="7" fillId="0" borderId="35" xfId="119" applyFont="1" applyBorder="1" applyAlignment="1">
      <alignment horizontal="left"/>
    </xf>
    <xf numFmtId="165" fontId="105" fillId="0" borderId="36" xfId="120" applyNumberFormat="1" applyFont="1" applyBorder="1"/>
    <xf numFmtId="165" fontId="105" fillId="0" borderId="0" xfId="120" applyNumberFormat="1" applyFont="1" applyBorder="1"/>
    <xf numFmtId="165" fontId="105" fillId="0" borderId="35" xfId="120" applyNumberFormat="1" applyFont="1" applyBorder="1"/>
    <xf numFmtId="165" fontId="7" fillId="0" borderId="0" xfId="120" applyNumberFormat="1" applyFont="1" applyAlignment="1">
      <alignment horizontal="center"/>
    </xf>
    <xf numFmtId="0" fontId="7" fillId="0" borderId="35" xfId="119" applyFont="1" applyBorder="1" applyAlignment="1">
      <alignment horizontal="left" indent="2"/>
    </xf>
    <xf numFmtId="165" fontId="7" fillId="0" borderId="36" xfId="120" applyNumberFormat="1" applyFont="1" applyBorder="1" applyAlignment="1">
      <alignment horizontal="center"/>
    </xf>
    <xf numFmtId="165" fontId="7" fillId="0" borderId="0" xfId="120" applyNumberFormat="1" applyFont="1" applyBorder="1" applyAlignment="1">
      <alignment horizontal="center"/>
    </xf>
    <xf numFmtId="165" fontId="7" fillId="0" borderId="35" xfId="120" applyNumberFormat="1" applyFont="1" applyBorder="1" applyAlignment="1">
      <alignment horizontal="center"/>
    </xf>
    <xf numFmtId="0" fontId="7" fillId="17" borderId="35" xfId="119" applyFont="1" applyFill="1" applyBorder="1" applyAlignment="1">
      <alignment horizontal="left"/>
    </xf>
    <xf numFmtId="165" fontId="105" fillId="17" borderId="36" xfId="120" applyNumberFormat="1" applyFont="1" applyFill="1" applyBorder="1"/>
    <xf numFmtId="165" fontId="105" fillId="17" borderId="0" xfId="120" applyNumberFormat="1" applyFont="1" applyFill="1" applyBorder="1"/>
    <xf numFmtId="165" fontId="105" fillId="17" borderId="35" xfId="120" applyNumberFormat="1" applyFont="1" applyFill="1" applyBorder="1"/>
    <xf numFmtId="165" fontId="7" fillId="17" borderId="36" xfId="120" applyNumberFormat="1" applyFont="1" applyFill="1" applyBorder="1" applyAlignment="1">
      <alignment horizontal="center"/>
    </xf>
    <xf numFmtId="165" fontId="7" fillId="17" borderId="0" xfId="120" applyNumberFormat="1" applyFont="1" applyFill="1" applyBorder="1" applyAlignment="1">
      <alignment horizontal="center"/>
    </xf>
    <xf numFmtId="165" fontId="7" fillId="17" borderId="35" xfId="120" applyNumberFormat="1" applyFont="1" applyFill="1" applyBorder="1" applyAlignment="1">
      <alignment horizontal="center"/>
    </xf>
    <xf numFmtId="0" fontId="30" fillId="0" borderId="14" xfId="119" applyFont="1" applyFill="1" applyBorder="1" applyAlignment="1">
      <alignment horizontal="left"/>
    </xf>
    <xf numFmtId="165" fontId="111" fillId="0" borderId="13" xfId="120" applyNumberFormat="1" applyFont="1" applyBorder="1"/>
    <xf numFmtId="165" fontId="111" fillId="0" borderId="4" xfId="120" applyNumberFormat="1" applyFont="1" applyBorder="1"/>
    <xf numFmtId="165" fontId="111" fillId="0" borderId="14" xfId="120" applyNumberFormat="1" applyFont="1" applyBorder="1"/>
    <xf numFmtId="0" fontId="30" fillId="0" borderId="4" xfId="119" applyFont="1" applyBorder="1" applyAlignment="1">
      <alignment horizontal="center"/>
    </xf>
    <xf numFmtId="0" fontId="30" fillId="16" borderId="4" xfId="119" applyFont="1" applyFill="1" applyBorder="1" applyAlignment="1">
      <alignment horizontal="center"/>
    </xf>
    <xf numFmtId="165" fontId="30" fillId="0" borderId="4" xfId="120" applyNumberFormat="1" applyFont="1" applyBorder="1" applyAlignment="1">
      <alignment horizontal="center"/>
    </xf>
    <xf numFmtId="0" fontId="7" fillId="0" borderId="4" xfId="119" applyFont="1" applyBorder="1" applyAlignment="1">
      <alignment horizontal="center"/>
    </xf>
    <xf numFmtId="0" fontId="7" fillId="0" borderId="35" xfId="119" applyFont="1" applyFill="1" applyBorder="1" applyAlignment="1">
      <alignment horizontal="left"/>
    </xf>
    <xf numFmtId="0" fontId="110" fillId="14" borderId="35" xfId="119" applyFont="1" applyFill="1" applyBorder="1" applyAlignment="1">
      <alignment horizontal="left"/>
    </xf>
    <xf numFmtId="0" fontId="30" fillId="14" borderId="36" xfId="119" applyFont="1" applyFill="1" applyBorder="1" applyAlignment="1">
      <alignment horizontal="center"/>
    </xf>
    <xf numFmtId="0" fontId="30" fillId="14" borderId="0" xfId="119" applyFont="1" applyFill="1" applyBorder="1" applyAlignment="1">
      <alignment horizontal="center"/>
    </xf>
    <xf numFmtId="0" fontId="30" fillId="14" borderId="35" xfId="119" applyFont="1" applyFill="1" applyBorder="1" applyAlignment="1">
      <alignment horizontal="center"/>
    </xf>
    <xf numFmtId="0" fontId="7" fillId="0" borderId="35" xfId="119" applyFont="1" applyFill="1" applyBorder="1" applyAlignment="1">
      <alignment horizontal="left" indent="2"/>
    </xf>
    <xf numFmtId="191" fontId="18" fillId="0" borderId="36" xfId="119" applyNumberFormat="1" applyFont="1" applyBorder="1" applyAlignment="1">
      <alignment horizontal="center" wrapText="1"/>
    </xf>
    <xf numFmtId="191" fontId="18" fillId="0" borderId="0" xfId="119" applyNumberFormat="1" applyFont="1" applyBorder="1" applyAlignment="1">
      <alignment horizontal="center"/>
    </xf>
    <xf numFmtId="191" fontId="18" fillId="0" borderId="35" xfId="119" applyNumberFormat="1" applyFont="1" applyBorder="1" applyAlignment="1">
      <alignment horizontal="center"/>
    </xf>
    <xf numFmtId="191" fontId="18" fillId="0" borderId="36" xfId="119" applyNumberFormat="1" applyFont="1" applyBorder="1" applyAlignment="1">
      <alignment horizontal="center"/>
    </xf>
    <xf numFmtId="191" fontId="18" fillId="0" borderId="0" xfId="119" applyNumberFormat="1" applyFont="1" applyAlignment="1">
      <alignment horizontal="center"/>
    </xf>
    <xf numFmtId="191" fontId="18" fillId="16" borderId="0" xfId="119" applyNumberFormat="1" applyFont="1" applyFill="1" applyAlignment="1">
      <alignment horizontal="center"/>
    </xf>
    <xf numFmtId="0" fontId="7" fillId="0" borderId="0" xfId="119" applyFont="1" applyAlignment="1">
      <alignment horizontal="left" indent="5"/>
    </xf>
    <xf numFmtId="0" fontId="7" fillId="0" borderId="0" xfId="119" applyFont="1"/>
    <xf numFmtId="0" fontId="7" fillId="0" borderId="0" xfId="119"/>
    <xf numFmtId="165" fontId="106" fillId="0" borderId="36" xfId="120" applyNumberFormat="1" applyFont="1" applyBorder="1"/>
    <xf numFmtId="165" fontId="106" fillId="0" borderId="0" xfId="120" applyNumberFormat="1" applyFont="1" applyBorder="1"/>
    <xf numFmtId="165" fontId="106" fillId="0" borderId="35" xfId="120" applyNumberFormat="1" applyFont="1" applyBorder="1"/>
    <xf numFmtId="166" fontId="7" fillId="0" borderId="35" xfId="119" applyNumberFormat="1" applyFont="1" applyFill="1" applyBorder="1" applyAlignment="1">
      <alignment horizontal="left" indent="2"/>
    </xf>
    <xf numFmtId="166" fontId="18" fillId="0" borderId="36" xfId="119" applyNumberFormat="1" applyFont="1" applyBorder="1" applyAlignment="1">
      <alignment horizontal="center" wrapText="1"/>
    </xf>
    <xf numFmtId="166" fontId="18" fillId="0" borderId="0" xfId="119" applyNumberFormat="1" applyFont="1" applyBorder="1" applyAlignment="1">
      <alignment horizontal="center"/>
    </xf>
    <xf numFmtId="166" fontId="18" fillId="0" borderId="35" xfId="119" applyNumberFormat="1" applyFont="1" applyBorder="1" applyAlignment="1">
      <alignment horizontal="center"/>
    </xf>
    <xf numFmtId="166" fontId="18" fillId="0" borderId="36" xfId="119" applyNumberFormat="1" applyFont="1" applyBorder="1" applyAlignment="1">
      <alignment horizontal="center"/>
    </xf>
    <xf numFmtId="166" fontId="112" fillId="18" borderId="0" xfId="119" applyNumberFormat="1" applyFont="1" applyFill="1" applyBorder="1" applyAlignment="1">
      <alignment horizontal="center"/>
    </xf>
    <xf numFmtId="166" fontId="112" fillId="18" borderId="35" xfId="119" applyNumberFormat="1" applyFont="1" applyFill="1" applyBorder="1" applyAlignment="1">
      <alignment horizontal="center"/>
    </xf>
    <xf numFmtId="166" fontId="18" fillId="0" borderId="0" xfId="119" applyNumberFormat="1" applyFont="1" applyAlignment="1">
      <alignment horizontal="center"/>
    </xf>
    <xf numFmtId="166" fontId="18" fillId="16" borderId="0" xfId="119" applyNumberFormat="1" applyFont="1" applyFill="1" applyAlignment="1">
      <alignment horizontal="center"/>
    </xf>
    <xf numFmtId="166" fontId="7" fillId="0" borderId="0" xfId="119" applyNumberFormat="1" applyFont="1" applyAlignment="1">
      <alignment horizontal="left" indent="5"/>
    </xf>
    <xf numFmtId="166" fontId="7" fillId="0" borderId="0" xfId="119" applyNumberFormat="1"/>
    <xf numFmtId="166" fontId="112" fillId="0" borderId="0" xfId="119" applyNumberFormat="1" applyFont="1" applyBorder="1" applyAlignment="1">
      <alignment horizontal="center"/>
    </xf>
    <xf numFmtId="166" fontId="112" fillId="0" borderId="35" xfId="119" applyNumberFormat="1" applyFont="1" applyBorder="1" applyAlignment="1">
      <alignment horizontal="center"/>
    </xf>
    <xf numFmtId="166" fontId="112" fillId="0" borderId="36" xfId="119" applyNumberFormat="1" applyFont="1" applyBorder="1" applyAlignment="1">
      <alignment horizontal="center"/>
    </xf>
    <xf numFmtId="165" fontId="105" fillId="0" borderId="36" xfId="120" applyNumberFormat="1" applyFont="1" applyBorder="1" applyAlignment="1">
      <alignment horizontal="center"/>
    </xf>
    <xf numFmtId="165" fontId="105" fillId="0" borderId="0" xfId="120" applyNumberFormat="1" applyFont="1" applyBorder="1" applyAlignment="1">
      <alignment horizontal="center"/>
    </xf>
    <xf numFmtId="165" fontId="105" fillId="0" borderId="35" xfId="120" applyNumberFormat="1" applyFont="1" applyBorder="1" applyAlignment="1">
      <alignment horizontal="center"/>
    </xf>
    <xf numFmtId="191" fontId="113" fillId="0" borderId="0" xfId="119" applyNumberFormat="1" applyFont="1" applyBorder="1" applyAlignment="1">
      <alignment horizontal="center"/>
    </xf>
    <xf numFmtId="166" fontId="113" fillId="0" borderId="0" xfId="119" applyNumberFormat="1" applyFont="1" applyBorder="1" applyAlignment="1">
      <alignment horizontal="center"/>
    </xf>
    <xf numFmtId="191" fontId="113" fillId="0" borderId="35" xfId="119" applyNumberFormat="1" applyFont="1" applyBorder="1" applyAlignment="1">
      <alignment horizontal="center"/>
    </xf>
    <xf numFmtId="165" fontId="7" fillId="0" borderId="36" xfId="120" applyNumberFormat="1" applyFont="1" applyBorder="1" applyAlignment="1">
      <alignment horizontal="center" wrapText="1"/>
    </xf>
    <xf numFmtId="165" fontId="106" fillId="0" borderId="36" xfId="120" applyNumberFormat="1" applyFont="1" applyBorder="1" applyAlignment="1">
      <alignment horizontal="center" wrapText="1"/>
    </xf>
    <xf numFmtId="165" fontId="106" fillId="0" borderId="0" xfId="120" applyNumberFormat="1" applyFont="1" applyBorder="1" applyAlignment="1">
      <alignment horizontal="center"/>
    </xf>
    <xf numFmtId="165" fontId="106" fillId="0" borderId="35" xfId="120" applyNumberFormat="1" applyFont="1" applyBorder="1" applyAlignment="1">
      <alignment horizontal="center"/>
    </xf>
    <xf numFmtId="166" fontId="18" fillId="0" borderId="36" xfId="120" applyNumberFormat="1" applyFont="1" applyBorder="1" applyAlignment="1">
      <alignment horizontal="center" wrapText="1"/>
    </xf>
    <xf numFmtId="166" fontId="18" fillId="0" borderId="0" xfId="120" applyNumberFormat="1" applyFont="1" applyBorder="1" applyAlignment="1">
      <alignment horizontal="center"/>
    </xf>
    <xf numFmtId="166" fontId="18" fillId="0" borderId="35" xfId="120" applyNumberFormat="1" applyFont="1" applyBorder="1" applyAlignment="1">
      <alignment horizontal="center"/>
    </xf>
    <xf numFmtId="166" fontId="112" fillId="0" borderId="36" xfId="120" applyNumberFormat="1" applyFont="1" applyBorder="1" applyAlignment="1">
      <alignment horizontal="center" wrapText="1"/>
    </xf>
    <xf numFmtId="166" fontId="112" fillId="0" borderId="0" xfId="120" applyNumberFormat="1" applyFont="1" applyBorder="1" applyAlignment="1">
      <alignment horizontal="center"/>
    </xf>
    <xf numFmtId="166" fontId="112" fillId="0" borderId="35" xfId="120" applyNumberFormat="1" applyFont="1" applyBorder="1" applyAlignment="1">
      <alignment horizontal="center"/>
    </xf>
    <xf numFmtId="165" fontId="106" fillId="0" borderId="36" xfId="120" applyNumberFormat="1" applyFont="1" applyBorder="1" applyAlignment="1">
      <alignment horizontal="center"/>
    </xf>
    <xf numFmtId="165" fontId="106" fillId="18" borderId="0" xfId="120" applyNumberFormat="1" applyFont="1" applyFill="1" applyBorder="1" applyAlignment="1">
      <alignment horizontal="center"/>
    </xf>
    <xf numFmtId="165" fontId="106" fillId="18" borderId="35" xfId="120" applyNumberFormat="1" applyFont="1" applyFill="1" applyBorder="1" applyAlignment="1">
      <alignment horizontal="center"/>
    </xf>
    <xf numFmtId="165" fontId="114" fillId="0" borderId="36" xfId="120" applyNumberFormat="1" applyFont="1" applyBorder="1"/>
    <xf numFmtId="165" fontId="114" fillId="0" borderId="0" xfId="120" applyNumberFormat="1" applyFont="1" applyBorder="1"/>
    <xf numFmtId="165" fontId="114" fillId="0" borderId="35" xfId="120" applyNumberFormat="1" applyFont="1" applyBorder="1"/>
    <xf numFmtId="165" fontId="30" fillId="0" borderId="0" xfId="119" applyNumberFormat="1" applyFont="1" applyBorder="1" applyAlignment="1">
      <alignment horizontal="center"/>
    </xf>
    <xf numFmtId="165" fontId="30" fillId="0" borderId="0" xfId="120" applyNumberFormat="1" applyFont="1" applyBorder="1" applyAlignment="1">
      <alignment horizontal="center"/>
    </xf>
    <xf numFmtId="165" fontId="30" fillId="0" borderId="35" xfId="120" applyNumberFormat="1" applyFont="1" applyBorder="1" applyAlignment="1">
      <alignment horizontal="center"/>
    </xf>
    <xf numFmtId="0" fontId="30" fillId="19" borderId="13" xfId="119" applyFont="1" applyFill="1" applyBorder="1" applyAlignment="1">
      <alignment horizontal="center"/>
    </xf>
    <xf numFmtId="0" fontId="30" fillId="19" borderId="4" xfId="119" applyFont="1" applyFill="1" applyBorder="1" applyAlignment="1">
      <alignment horizontal="center"/>
    </xf>
    <xf numFmtId="0" fontId="30" fillId="19" borderId="14" xfId="119" applyFont="1" applyFill="1" applyBorder="1" applyAlignment="1">
      <alignment horizontal="center"/>
    </xf>
    <xf numFmtId="165" fontId="30" fillId="0" borderId="0" xfId="119" applyNumberFormat="1" applyFont="1" applyAlignment="1">
      <alignment horizontal="center"/>
    </xf>
    <xf numFmtId="191" fontId="115" fillId="0" borderId="0" xfId="120" applyNumberFormat="1" applyFont="1" applyBorder="1"/>
    <xf numFmtId="191" fontId="115" fillId="0" borderId="35" xfId="120" applyNumberFormat="1" applyFont="1" applyBorder="1"/>
    <xf numFmtId="183" fontId="106" fillId="0" borderId="36" xfId="120" applyNumberFormat="1" applyFont="1" applyBorder="1"/>
    <xf numFmtId="183" fontId="106" fillId="0" borderId="0" xfId="120" applyNumberFormat="1" applyFont="1" applyBorder="1"/>
    <xf numFmtId="183" fontId="106" fillId="0" borderId="35" xfId="120" applyNumberFormat="1" applyFont="1" applyBorder="1"/>
    <xf numFmtId="183" fontId="7" fillId="0" borderId="36" xfId="120" applyNumberFormat="1" applyFont="1" applyBorder="1" applyAlignment="1">
      <alignment horizontal="center"/>
    </xf>
    <xf numFmtId="183" fontId="7" fillId="0" borderId="0" xfId="120" applyNumberFormat="1" applyFont="1" applyBorder="1" applyAlignment="1">
      <alignment horizontal="center"/>
    </xf>
    <xf numFmtId="183" fontId="7" fillId="0" borderId="35" xfId="120" applyNumberFormat="1" applyFont="1" applyBorder="1" applyAlignment="1">
      <alignment horizontal="center"/>
    </xf>
    <xf numFmtId="183" fontId="7" fillId="0" borderId="0" xfId="120" applyNumberFormat="1" applyFont="1" applyAlignment="1">
      <alignment horizontal="center"/>
    </xf>
    <xf numFmtId="183" fontId="106" fillId="18" borderId="0" xfId="120" applyNumberFormat="1" applyFont="1" applyFill="1" applyBorder="1"/>
    <xf numFmtId="183" fontId="106" fillId="18" borderId="35" xfId="120" applyNumberFormat="1" applyFont="1" applyFill="1" applyBorder="1"/>
    <xf numFmtId="183" fontId="105" fillId="0" borderId="36" xfId="120" applyNumberFormat="1" applyFont="1" applyBorder="1"/>
    <xf numFmtId="183" fontId="105" fillId="0" borderId="0" xfId="120" applyNumberFormat="1" applyFont="1" applyBorder="1"/>
    <xf numFmtId="183" fontId="105" fillId="0" borderId="35" xfId="120" applyNumberFormat="1" applyFont="1" applyBorder="1"/>
    <xf numFmtId="165" fontId="7" fillId="0" borderId="0" xfId="119" applyNumberFormat="1" applyFont="1" applyAlignment="1">
      <alignment horizontal="center"/>
    </xf>
    <xf numFmtId="165" fontId="116" fillId="18" borderId="4" xfId="120" applyNumberFormat="1" applyFont="1" applyFill="1" applyBorder="1"/>
    <xf numFmtId="165" fontId="116" fillId="18" borderId="14" xfId="120" applyNumberFormat="1" applyFont="1" applyFill="1" applyBorder="1"/>
    <xf numFmtId="165" fontId="111" fillId="0" borderId="36" xfId="120" applyNumberFormat="1" applyFont="1" applyBorder="1"/>
    <xf numFmtId="165" fontId="111" fillId="0" borderId="0" xfId="120" applyNumberFormat="1" applyFont="1" applyBorder="1"/>
    <xf numFmtId="165" fontId="111" fillId="0" borderId="35" xfId="120" applyNumberFormat="1" applyFont="1" applyBorder="1"/>
    <xf numFmtId="0" fontId="30" fillId="16" borderId="0" xfId="119" applyFont="1" applyFill="1" applyBorder="1" applyAlignment="1">
      <alignment horizontal="center"/>
    </xf>
    <xf numFmtId="0" fontId="7" fillId="0" borderId="0" xfId="119" applyFont="1" applyBorder="1" applyAlignment="1">
      <alignment horizontal="center"/>
    </xf>
    <xf numFmtId="0" fontId="30" fillId="0" borderId="35" xfId="119" applyFont="1" applyFill="1" applyBorder="1" applyAlignment="1">
      <alignment horizontal="left"/>
    </xf>
    <xf numFmtId="0" fontId="109" fillId="0" borderId="35" xfId="119" applyFont="1" applyFill="1" applyBorder="1" applyAlignment="1">
      <alignment horizontal="left"/>
    </xf>
    <xf numFmtId="191" fontId="115" fillId="0" borderId="36" xfId="120" applyNumberFormat="1" applyFont="1" applyBorder="1"/>
    <xf numFmtId="191" fontId="112" fillId="0" borderId="36" xfId="119" applyNumberFormat="1" applyFont="1" applyBorder="1" applyAlignment="1">
      <alignment horizontal="center"/>
    </xf>
    <xf numFmtId="191" fontId="112" fillId="0" borderId="0" xfId="119" applyNumberFormat="1" applyFont="1" applyBorder="1" applyAlignment="1">
      <alignment horizontal="center"/>
    </xf>
    <xf numFmtId="191" fontId="112" fillId="0" borderId="35" xfId="119" applyNumberFormat="1" applyFont="1" applyBorder="1" applyAlignment="1">
      <alignment horizontal="center"/>
    </xf>
    <xf numFmtId="191" fontId="117" fillId="0" borderId="36" xfId="120" applyNumberFormat="1" applyFont="1" applyBorder="1"/>
    <xf numFmtId="191" fontId="117" fillId="0" borderId="0" xfId="120" applyNumberFormat="1" applyFont="1" applyBorder="1"/>
    <xf numFmtId="191" fontId="117" fillId="0" borderId="35" xfId="120" applyNumberFormat="1" applyFont="1" applyBorder="1"/>
    <xf numFmtId="191" fontId="113" fillId="0" borderId="36" xfId="119" applyNumberFormat="1" applyFont="1" applyBorder="1" applyAlignment="1">
      <alignment horizontal="center"/>
    </xf>
    <xf numFmtId="165" fontId="106" fillId="18" borderId="0" xfId="120" applyNumberFormat="1" applyFont="1" applyFill="1" applyBorder="1"/>
    <xf numFmtId="191" fontId="115" fillId="0" borderId="35" xfId="119" applyNumberFormat="1" applyFont="1" applyBorder="1" applyAlignment="1">
      <alignment horizontal="center"/>
    </xf>
    <xf numFmtId="0" fontId="7" fillId="16" borderId="0" xfId="119" applyFont="1" applyFill="1" applyBorder="1" applyAlignment="1">
      <alignment horizontal="center"/>
    </xf>
    <xf numFmtId="166" fontId="115" fillId="0" borderId="36" xfId="119" applyNumberFormat="1" applyFont="1" applyBorder="1" applyAlignment="1">
      <alignment horizontal="center"/>
    </xf>
    <xf numFmtId="166" fontId="115" fillId="0" borderId="0" xfId="119" applyNumberFormat="1" applyFont="1" applyBorder="1" applyAlignment="1">
      <alignment horizontal="center"/>
    </xf>
    <xf numFmtId="166" fontId="115" fillId="0" borderId="35" xfId="119" applyNumberFormat="1" applyFont="1" applyBorder="1" applyAlignment="1">
      <alignment horizontal="center"/>
    </xf>
    <xf numFmtId="165" fontId="116" fillId="0" borderId="4" xfId="120" applyNumberFormat="1" applyFont="1" applyBorder="1"/>
    <xf numFmtId="165" fontId="116" fillId="0" borderId="14" xfId="120" applyNumberFormat="1" applyFont="1" applyBorder="1"/>
    <xf numFmtId="191" fontId="18" fillId="0" borderId="0" xfId="120" applyNumberFormat="1" applyFont="1" applyBorder="1" applyAlignment="1">
      <alignment horizontal="center"/>
    </xf>
    <xf numFmtId="191" fontId="18" fillId="0" borderId="35" xfId="120" applyNumberFormat="1" applyFont="1" applyBorder="1" applyAlignment="1">
      <alignment horizontal="center"/>
    </xf>
    <xf numFmtId="191" fontId="18" fillId="0" borderId="36" xfId="120" applyNumberFormat="1" applyFont="1" applyBorder="1" applyAlignment="1">
      <alignment horizontal="center" wrapText="1"/>
    </xf>
    <xf numFmtId="43" fontId="18" fillId="0" borderId="36" xfId="120" applyFont="1" applyBorder="1"/>
    <xf numFmtId="191" fontId="18" fillId="0" borderId="0" xfId="119" applyNumberFormat="1" applyFont="1" applyBorder="1"/>
    <xf numFmtId="191" fontId="18" fillId="0" borderId="35" xfId="119" applyNumberFormat="1" applyFont="1" applyBorder="1"/>
    <xf numFmtId="191" fontId="115" fillId="0" borderId="0" xfId="119" applyNumberFormat="1" applyFont="1" applyBorder="1" applyAlignment="1">
      <alignment horizontal="center"/>
    </xf>
    <xf numFmtId="191" fontId="115" fillId="0" borderId="36" xfId="119" applyNumberFormat="1" applyFont="1" applyBorder="1" applyAlignment="1">
      <alignment horizontal="center"/>
    </xf>
    <xf numFmtId="165" fontId="105" fillId="0" borderId="0" xfId="119" applyNumberFormat="1" applyFont="1" applyBorder="1" applyAlignment="1">
      <alignment horizontal="center"/>
    </xf>
    <xf numFmtId="191" fontId="18" fillId="0" borderId="36" xfId="119" applyNumberFormat="1" applyFont="1" applyBorder="1"/>
    <xf numFmtId="191" fontId="112" fillId="18" borderId="0" xfId="120" applyNumberFormat="1" applyFont="1" applyFill="1" applyBorder="1"/>
    <xf numFmtId="191" fontId="112" fillId="18" borderId="35" xfId="120" applyNumberFormat="1" applyFont="1" applyFill="1" applyBorder="1"/>
    <xf numFmtId="43" fontId="111" fillId="0" borderId="36" xfId="120" applyFont="1" applyBorder="1"/>
    <xf numFmtId="43" fontId="111" fillId="0" borderId="0" xfId="120" applyFont="1" applyBorder="1"/>
    <xf numFmtId="43" fontId="111" fillId="0" borderId="35" xfId="120" applyFont="1" applyBorder="1"/>
    <xf numFmtId="165" fontId="7" fillId="0" borderId="36" xfId="120" applyNumberFormat="1" applyFont="1" applyBorder="1"/>
    <xf numFmtId="165" fontId="7" fillId="0" borderId="0" xfId="120" applyNumberFormat="1" applyFont="1" applyBorder="1"/>
    <xf numFmtId="165" fontId="7" fillId="0" borderId="35" xfId="120" applyNumberFormat="1" applyFont="1" applyBorder="1"/>
    <xf numFmtId="165" fontId="18" fillId="0" borderId="36" xfId="120" applyNumberFormat="1" applyFont="1" applyBorder="1"/>
    <xf numFmtId="165" fontId="18" fillId="0" borderId="0" xfId="120" applyNumberFormat="1" applyFont="1" applyBorder="1"/>
    <xf numFmtId="165" fontId="18" fillId="0" borderId="35" xfId="120" applyNumberFormat="1" applyFont="1" applyBorder="1"/>
    <xf numFmtId="191" fontId="118" fillId="18" borderId="35" xfId="120" applyNumberFormat="1" applyFont="1" applyFill="1" applyBorder="1"/>
    <xf numFmtId="165" fontId="116" fillId="0" borderId="13" xfId="120" applyNumberFormat="1" applyFont="1" applyBorder="1"/>
    <xf numFmtId="0" fontId="7" fillId="0" borderId="35" xfId="119" applyBorder="1"/>
    <xf numFmtId="0" fontId="7" fillId="0" borderId="36" xfId="119" applyBorder="1"/>
    <xf numFmtId="0" fontId="7" fillId="0" borderId="0" xfId="119" applyBorder="1"/>
    <xf numFmtId="165" fontId="7" fillId="0" borderId="35" xfId="119" applyNumberFormat="1" applyBorder="1"/>
    <xf numFmtId="0" fontId="7" fillId="16" borderId="0" xfId="119" applyFill="1"/>
    <xf numFmtId="165" fontId="30" fillId="0" borderId="36" xfId="119" applyNumberFormat="1" applyFont="1" applyBorder="1" applyAlignment="1">
      <alignment horizontal="center"/>
    </xf>
    <xf numFmtId="0" fontId="30" fillId="0" borderId="35" xfId="119" applyFont="1" applyBorder="1"/>
    <xf numFmtId="165" fontId="0" fillId="0" borderId="36" xfId="120" applyNumberFormat="1" applyFont="1" applyBorder="1"/>
    <xf numFmtId="165" fontId="0" fillId="0" borderId="0" xfId="120" applyNumberFormat="1" applyFont="1" applyBorder="1"/>
    <xf numFmtId="165" fontId="0" fillId="0" borderId="35" xfId="120" applyNumberFormat="1" applyFont="1" applyBorder="1"/>
    <xf numFmtId="165" fontId="119" fillId="0" borderId="36" xfId="120" applyNumberFormat="1" applyFont="1" applyBorder="1"/>
    <xf numFmtId="165" fontId="119" fillId="0" borderId="0" xfId="120" applyNumberFormat="1" applyFont="1" applyBorder="1"/>
    <xf numFmtId="165" fontId="119" fillId="0" borderId="35" xfId="120" applyNumberFormat="1" applyFont="1" applyBorder="1"/>
    <xf numFmtId="0" fontId="7" fillId="0" borderId="35" xfId="119" applyFont="1" applyBorder="1" applyAlignment="1">
      <alignment horizontal="left" indent="1"/>
    </xf>
    <xf numFmtId="165" fontId="106" fillId="14" borderId="36" xfId="120" applyNumberFormat="1" applyFont="1" applyFill="1" applyBorder="1"/>
    <xf numFmtId="0" fontId="119" fillId="0" borderId="0" xfId="119" applyFont="1"/>
    <xf numFmtId="165" fontId="119" fillId="0" borderId="0" xfId="119" applyNumberFormat="1" applyFont="1"/>
    <xf numFmtId="0" fontId="30" fillId="0" borderId="14" xfId="119" applyFont="1" applyBorder="1"/>
    <xf numFmtId="0" fontId="7" fillId="16" borderId="4" xfId="119" applyFill="1" applyBorder="1"/>
    <xf numFmtId="0" fontId="7" fillId="0" borderId="4" xfId="119" applyBorder="1"/>
    <xf numFmtId="0" fontId="7" fillId="0" borderId="4" xfId="119" applyFont="1" applyBorder="1"/>
    <xf numFmtId="0" fontId="7" fillId="16" borderId="0" xfId="119" applyFill="1" applyBorder="1"/>
    <xf numFmtId="0" fontId="7" fillId="0" borderId="0" xfId="119" applyFont="1" applyBorder="1"/>
    <xf numFmtId="0" fontId="30" fillId="0" borderId="12" xfId="119" applyFont="1" applyBorder="1"/>
    <xf numFmtId="165" fontId="110" fillId="0" borderId="36" xfId="120" applyNumberFormat="1" applyFont="1" applyBorder="1"/>
    <xf numFmtId="165" fontId="110" fillId="0" borderId="0" xfId="120" applyNumberFormat="1" applyFont="1" applyBorder="1"/>
    <xf numFmtId="165" fontId="110" fillId="0" borderId="35" xfId="120" applyNumberFormat="1" applyFont="1" applyBorder="1"/>
    <xf numFmtId="0" fontId="30" fillId="0" borderId="0" xfId="119" applyFont="1" applyBorder="1"/>
    <xf numFmtId="0" fontId="110" fillId="14" borderId="0" xfId="119" applyFont="1" applyFill="1" applyBorder="1" applyAlignment="1">
      <alignment horizontal="left"/>
    </xf>
    <xf numFmtId="165" fontId="7" fillId="14" borderId="0" xfId="120" applyNumberFormat="1" applyFont="1" applyFill="1" applyBorder="1" applyAlignment="1">
      <alignment horizontal="center"/>
    </xf>
    <xf numFmtId="0" fontId="7" fillId="0" borderId="36" xfId="119" applyFont="1" applyFill="1" applyBorder="1" applyAlignment="1">
      <alignment horizontal="center" wrapText="1"/>
    </xf>
    <xf numFmtId="0" fontId="7" fillId="0" borderId="0" xfId="119" applyFont="1" applyFill="1" applyBorder="1" applyAlignment="1">
      <alignment horizontal="center" wrapText="1"/>
    </xf>
    <xf numFmtId="0" fontId="7" fillId="0" borderId="35" xfId="119" applyFont="1" applyFill="1" applyBorder="1" applyAlignment="1">
      <alignment horizontal="center" wrapText="1"/>
    </xf>
    <xf numFmtId="0" fontId="7" fillId="0" borderId="0" xfId="119" applyFill="1"/>
    <xf numFmtId="0" fontId="7" fillId="0" borderId="0" xfId="119" applyFont="1" applyBorder="1" applyAlignment="1">
      <alignment horizontal="left"/>
    </xf>
    <xf numFmtId="0" fontId="7" fillId="0" borderId="0" xfId="119" applyFont="1" applyFill="1"/>
    <xf numFmtId="166" fontId="106" fillId="0" borderId="36" xfId="119" applyNumberFormat="1" applyFont="1" applyFill="1" applyBorder="1" applyAlignment="1">
      <alignment horizontal="center" wrapText="1"/>
    </xf>
    <xf numFmtId="166" fontId="106" fillId="0" borderId="0" xfId="119" applyNumberFormat="1" applyFont="1" applyFill="1" applyBorder="1" applyAlignment="1">
      <alignment horizontal="center" wrapText="1"/>
    </xf>
    <xf numFmtId="166" fontId="106" fillId="0" borderId="35" xfId="119" applyNumberFormat="1" applyFont="1" applyFill="1" applyBorder="1" applyAlignment="1">
      <alignment horizontal="center" wrapText="1"/>
    </xf>
    <xf numFmtId="166" fontId="112" fillId="0" borderId="0" xfId="119" applyNumberFormat="1" applyFont="1" applyFill="1" applyBorder="1" applyAlignment="1">
      <alignment horizontal="center"/>
    </xf>
    <xf numFmtId="166" fontId="112" fillId="0" borderId="35" xfId="119" applyNumberFormat="1" applyFont="1" applyFill="1" applyBorder="1" applyAlignment="1">
      <alignment horizontal="center"/>
    </xf>
    <xf numFmtId="166" fontId="112" fillId="0" borderId="36" xfId="119" applyNumberFormat="1" applyFont="1" applyFill="1" applyBorder="1" applyAlignment="1">
      <alignment horizontal="center"/>
    </xf>
    <xf numFmtId="166" fontId="112" fillId="0" borderId="0" xfId="119" applyNumberFormat="1" applyFont="1" applyFill="1" applyAlignment="1">
      <alignment horizontal="center"/>
    </xf>
    <xf numFmtId="166" fontId="112" fillId="16" borderId="0" xfId="119" applyNumberFormat="1" applyFont="1" applyFill="1" applyAlignment="1">
      <alignment horizontal="center"/>
    </xf>
    <xf numFmtId="0" fontId="7" fillId="0" borderId="0" xfId="119" applyFont="1" applyFill="1" applyBorder="1" applyAlignment="1">
      <alignment horizontal="left" indent="2"/>
    </xf>
    <xf numFmtId="166" fontId="106" fillId="0" borderId="0" xfId="119" applyNumberFormat="1" applyFont="1" applyFill="1"/>
    <xf numFmtId="0" fontId="7" fillId="0" borderId="36" xfId="119" applyFill="1" applyBorder="1" applyAlignment="1">
      <alignment horizontal="center"/>
    </xf>
    <xf numFmtId="0" fontId="7" fillId="0" borderId="0" xfId="119" applyFill="1" applyBorder="1" applyAlignment="1">
      <alignment horizontal="center"/>
    </xf>
    <xf numFmtId="0" fontId="7" fillId="0" borderId="35" xfId="119" applyFill="1" applyBorder="1" applyAlignment="1">
      <alignment horizontal="center"/>
    </xf>
    <xf numFmtId="191" fontId="18" fillId="0" borderId="0" xfId="119" applyNumberFormat="1" applyFont="1" applyFill="1" applyBorder="1" applyAlignment="1">
      <alignment horizontal="center"/>
    </xf>
    <xf numFmtId="191" fontId="18" fillId="0" borderId="35" xfId="119" applyNumberFormat="1" applyFont="1" applyFill="1" applyBorder="1" applyAlignment="1">
      <alignment horizontal="center"/>
    </xf>
    <xf numFmtId="191" fontId="18" fillId="0" borderId="36" xfId="119" applyNumberFormat="1" applyFont="1" applyFill="1" applyBorder="1" applyAlignment="1">
      <alignment horizontal="center"/>
    </xf>
    <xf numFmtId="191" fontId="18" fillId="0" borderId="0" xfId="119" applyNumberFormat="1" applyFont="1" applyFill="1" applyAlignment="1">
      <alignment horizontal="center"/>
    </xf>
    <xf numFmtId="166" fontId="106" fillId="0" borderId="36" xfId="119" applyNumberFormat="1" applyFont="1" applyFill="1" applyBorder="1" applyAlignment="1">
      <alignment horizontal="center"/>
    </xf>
    <xf numFmtId="166" fontId="106" fillId="0" borderId="0" xfId="119" applyNumberFormat="1" applyFont="1" applyFill="1" applyBorder="1" applyAlignment="1">
      <alignment horizontal="center"/>
    </xf>
    <xf numFmtId="166" fontId="106" fillId="0" borderId="35" xfId="119" applyNumberFormat="1" applyFont="1" applyFill="1" applyBorder="1" applyAlignment="1">
      <alignment horizontal="center"/>
    </xf>
    <xf numFmtId="0" fontId="7" fillId="0" borderId="0" xfId="119" applyFont="1" applyFill="1" applyBorder="1" applyAlignment="1">
      <alignment horizontal="left"/>
    </xf>
    <xf numFmtId="0" fontId="7" fillId="15" borderId="35" xfId="119" applyFont="1" applyFill="1" applyBorder="1" applyAlignment="1">
      <alignment horizontal="left"/>
    </xf>
    <xf numFmtId="0" fontId="7" fillId="15" borderId="36" xfId="119" applyFill="1" applyBorder="1" applyAlignment="1">
      <alignment horizontal="center"/>
    </xf>
    <xf numFmtId="0" fontId="7" fillId="15" borderId="0" xfId="119" applyFill="1" applyBorder="1" applyAlignment="1">
      <alignment horizontal="center"/>
    </xf>
    <xf numFmtId="0" fontId="7" fillId="15" borderId="35" xfId="119" applyFill="1" applyBorder="1" applyAlignment="1">
      <alignment horizontal="center"/>
    </xf>
    <xf numFmtId="0" fontId="7" fillId="0" borderId="0" xfId="119" applyFill="1" applyAlignment="1">
      <alignment horizontal="center"/>
    </xf>
    <xf numFmtId="0" fontId="7" fillId="16" borderId="0" xfId="119" applyFill="1" applyAlignment="1">
      <alignment horizontal="center"/>
    </xf>
    <xf numFmtId="0" fontId="7" fillId="15" borderId="0" xfId="119" applyFont="1" applyFill="1" applyBorder="1" applyAlignment="1">
      <alignment horizontal="left"/>
    </xf>
    <xf numFmtId="0" fontId="7" fillId="15" borderId="0" xfId="119" applyFont="1" applyFill="1" applyAlignment="1">
      <alignment horizontal="center"/>
    </xf>
    <xf numFmtId="0" fontId="7" fillId="0" borderId="0" xfId="119" applyFont="1" applyFill="1" applyAlignment="1">
      <alignment horizontal="center"/>
    </xf>
    <xf numFmtId="0" fontId="7" fillId="0" borderId="0" xfId="119" applyFont="1" applyFill="1" applyAlignment="1">
      <alignment horizontal="center" wrapText="1"/>
    </xf>
    <xf numFmtId="0" fontId="7" fillId="16" borderId="0" xfId="119" applyFont="1" applyFill="1" applyAlignment="1">
      <alignment horizontal="center" wrapText="1"/>
    </xf>
    <xf numFmtId="166" fontId="106" fillId="16" borderId="0" xfId="119" applyNumberFormat="1" applyFont="1" applyFill="1" applyAlignment="1">
      <alignment horizontal="center"/>
    </xf>
    <xf numFmtId="166" fontId="106" fillId="0" borderId="0" xfId="119" applyNumberFormat="1" applyFont="1" applyFill="1" applyAlignment="1">
      <alignment horizontal="center"/>
    </xf>
    <xf numFmtId="0" fontId="7" fillId="0" borderId="36" xfId="119" applyFont="1" applyFill="1" applyBorder="1" applyAlignment="1">
      <alignment horizontal="center"/>
    </xf>
    <xf numFmtId="0" fontId="7" fillId="0" borderId="0" xfId="119" applyFont="1" applyFill="1" applyBorder="1" applyAlignment="1">
      <alignment horizontal="center"/>
    </xf>
    <xf numFmtId="0" fontId="7" fillId="0" borderId="35" xfId="119" applyFont="1" applyFill="1" applyBorder="1" applyAlignment="1">
      <alignment horizontal="center"/>
    </xf>
    <xf numFmtId="0" fontId="7" fillId="16" borderId="0" xfId="119" applyFont="1" applyFill="1" applyAlignment="1">
      <alignment horizontal="center"/>
    </xf>
    <xf numFmtId="185" fontId="105" fillId="0" borderId="36" xfId="120" applyNumberFormat="1" applyFont="1" applyFill="1" applyBorder="1" applyAlignment="1">
      <alignment horizontal="center"/>
    </xf>
    <xf numFmtId="185" fontId="105" fillId="0" borderId="0" xfId="120" applyNumberFormat="1" applyFont="1" applyFill="1" applyBorder="1" applyAlignment="1">
      <alignment horizontal="center"/>
    </xf>
    <xf numFmtId="185" fontId="105" fillId="0" borderId="35" xfId="120" applyNumberFormat="1" applyFont="1" applyFill="1" applyBorder="1" applyAlignment="1">
      <alignment horizontal="center"/>
    </xf>
    <xf numFmtId="185" fontId="106" fillId="0" borderId="36" xfId="120" applyNumberFormat="1" applyFont="1" applyFill="1" applyBorder="1" applyAlignment="1">
      <alignment horizontal="center"/>
    </xf>
    <xf numFmtId="185" fontId="106" fillId="0" borderId="0" xfId="120" applyNumberFormat="1" applyFont="1" applyFill="1" applyBorder="1" applyAlignment="1">
      <alignment horizontal="center"/>
    </xf>
    <xf numFmtId="185" fontId="106" fillId="0" borderId="35" xfId="120" applyNumberFormat="1" applyFont="1" applyFill="1" applyBorder="1" applyAlignment="1">
      <alignment horizontal="center"/>
    </xf>
    <xf numFmtId="185" fontId="7" fillId="0" borderId="0" xfId="120" applyNumberFormat="1" applyFont="1" applyFill="1" applyBorder="1" applyAlignment="1">
      <alignment horizontal="center"/>
    </xf>
    <xf numFmtId="185" fontId="7" fillId="0" borderId="35" xfId="120" applyNumberFormat="1" applyFont="1" applyFill="1" applyBorder="1" applyAlignment="1">
      <alignment horizontal="center"/>
    </xf>
    <xf numFmtId="185" fontId="7" fillId="0" borderId="0" xfId="120" applyNumberFormat="1" applyFont="1" applyFill="1" applyAlignment="1">
      <alignment horizontal="center"/>
    </xf>
    <xf numFmtId="43" fontId="0" fillId="0" borderId="35" xfId="120" applyFont="1" applyBorder="1"/>
    <xf numFmtId="191" fontId="115" fillId="0" borderId="37" xfId="120" applyNumberFormat="1" applyFont="1" applyBorder="1"/>
    <xf numFmtId="166" fontId="115" fillId="0" borderId="37" xfId="119" applyNumberFormat="1" applyFont="1" applyBorder="1" applyAlignment="1">
      <alignment horizontal="center"/>
    </xf>
    <xf numFmtId="0" fontId="109" fillId="0" borderId="37" xfId="119" applyFont="1" applyFill="1" applyBorder="1" applyAlignment="1">
      <alignment horizontal="left"/>
    </xf>
    <xf numFmtId="191" fontId="117" fillId="0" borderId="37" xfId="120" applyNumberFormat="1" applyFont="1" applyBorder="1"/>
    <xf numFmtId="166" fontId="117" fillId="0" borderId="36" xfId="119" applyNumberFormat="1" applyFont="1" applyBorder="1" applyAlignment="1">
      <alignment horizontal="center"/>
    </xf>
    <xf numFmtId="166" fontId="117" fillId="0" borderId="0" xfId="119" applyNumberFormat="1" applyFont="1" applyBorder="1" applyAlignment="1">
      <alignment horizontal="center"/>
    </xf>
    <xf numFmtId="166" fontId="117" fillId="0" borderId="37" xfId="119" applyNumberFormat="1" applyFont="1" applyBorder="1" applyAlignment="1">
      <alignment horizontal="center"/>
    </xf>
    <xf numFmtId="165" fontId="111" fillId="0" borderId="0" xfId="120" applyNumberFormat="1" applyFont="1" applyBorder="1" applyAlignment="1">
      <alignment horizontal="center"/>
    </xf>
    <xf numFmtId="165" fontId="7" fillId="0" borderId="0" xfId="119" applyNumberFormat="1" applyFont="1" applyBorder="1" applyAlignment="1">
      <alignment horizontal="center"/>
    </xf>
    <xf numFmtId="165" fontId="30" fillId="0" borderId="0" xfId="120" applyNumberFormat="1" applyFont="1" applyAlignment="1">
      <alignment horizontal="center"/>
    </xf>
    <xf numFmtId="0" fontId="7" fillId="0" borderId="38" xfId="119" applyFont="1" applyFill="1" applyBorder="1" applyAlignment="1">
      <alignment horizontal="left"/>
    </xf>
    <xf numFmtId="191" fontId="115" fillId="0" borderId="38" xfId="120" applyNumberFormat="1" applyFont="1" applyBorder="1"/>
    <xf numFmtId="166" fontId="115" fillId="0" borderId="38" xfId="119" applyNumberFormat="1" applyFont="1" applyBorder="1" applyAlignment="1">
      <alignment horizontal="center"/>
    </xf>
    <xf numFmtId="0" fontId="109" fillId="0" borderId="38" xfId="119" applyFont="1" applyFill="1" applyBorder="1" applyAlignment="1">
      <alignment horizontal="left"/>
    </xf>
    <xf numFmtId="165" fontId="105" fillId="0" borderId="0" xfId="40" applyNumberFormat="1" applyFont="1" applyBorder="1" applyAlignment="1">
      <alignment horizontal="center"/>
    </xf>
    <xf numFmtId="191" fontId="105" fillId="0" borderId="0" xfId="119" applyNumberFormat="1" applyFont="1" applyBorder="1" applyAlignment="1">
      <alignment horizontal="center"/>
    </xf>
    <xf numFmtId="43" fontId="111" fillId="0" borderId="36" xfId="120" applyNumberFormat="1" applyFont="1" applyBorder="1"/>
    <xf numFmtId="0" fontId="0" fillId="0" borderId="0" xfId="0"/>
    <xf numFmtId="191" fontId="118" fillId="18" borderId="0" xfId="120" applyNumberFormat="1" applyFont="1" applyFill="1" applyBorder="1"/>
    <xf numFmtId="165" fontId="18" fillId="0" borderId="0" xfId="40" applyNumberFormat="1" applyFont="1" applyAlignment="1">
      <alignment horizontal="center"/>
    </xf>
    <xf numFmtId="164" fontId="8" fillId="0" borderId="0" xfId="2" applyNumberFormat="1" applyFont="1" applyBorder="1" applyAlignment="1"/>
    <xf numFmtId="165" fontId="18" fillId="0" borderId="0" xfId="40" applyNumberFormat="1" applyFont="1" applyBorder="1"/>
    <xf numFmtId="173" fontId="104" fillId="0" borderId="0" xfId="2" applyNumberFormat="1" applyFont="1" applyFill="1" applyBorder="1" applyAlignment="1"/>
    <xf numFmtId="173" fontId="104" fillId="0" borderId="0" xfId="2" applyNumberFormat="1" applyFont="1" applyFill="1" applyBorder="1"/>
    <xf numFmtId="166" fontId="107" fillId="0" borderId="0" xfId="93" applyNumberFormat="1" applyFont="1" applyFill="1" applyBorder="1"/>
    <xf numFmtId="0" fontId="104" fillId="0" borderId="0" xfId="2" applyFont="1" applyFill="1" applyBorder="1"/>
    <xf numFmtId="185" fontId="104" fillId="0" borderId="0" xfId="2" applyNumberFormat="1" applyFont="1" applyFill="1" applyBorder="1"/>
    <xf numFmtId="173" fontId="21" fillId="0" borderId="0" xfId="2" applyNumberFormat="1" applyFont="1"/>
    <xf numFmtId="173" fontId="21" fillId="0" borderId="0" xfId="2" applyNumberFormat="1" applyFont="1" applyBorder="1"/>
    <xf numFmtId="43" fontId="30" fillId="0" borderId="0" xfId="119" applyNumberFormat="1" applyFont="1" applyBorder="1" applyAlignment="1">
      <alignment horizontal="center"/>
    </xf>
    <xf numFmtId="178" fontId="0" fillId="0" borderId="0" xfId="40" applyNumberFormat="1" applyFont="1"/>
    <xf numFmtId="0" fontId="0" fillId="0" borderId="0" xfId="0"/>
    <xf numFmtId="165" fontId="119" fillId="0" borderId="0" xfId="120" applyNumberFormat="1" applyFont="1" applyFill="1" applyBorder="1"/>
    <xf numFmtId="165" fontId="106" fillId="0" borderId="0" xfId="120" applyNumberFormat="1" applyFont="1" applyFill="1" applyBorder="1"/>
    <xf numFmtId="43" fontId="19" fillId="0" borderId="0" xfId="40" applyFont="1" applyFill="1" applyBorder="1" applyAlignment="1"/>
    <xf numFmtId="183" fontId="106" fillId="0" borderId="0" xfId="120" applyNumberFormat="1" applyFont="1" applyFill="1" applyBorder="1"/>
    <xf numFmtId="165" fontId="7" fillId="0" borderId="0" xfId="120" applyNumberFormat="1" applyFont="1" applyFill="1" applyBorder="1" applyAlignment="1">
      <alignment horizontal="center"/>
    </xf>
    <xf numFmtId="191" fontId="113" fillId="0" borderId="0" xfId="119" applyNumberFormat="1" applyFont="1" applyFill="1" applyBorder="1" applyAlignment="1">
      <alignment horizontal="center"/>
    </xf>
    <xf numFmtId="0" fontId="30" fillId="0" borderId="0" xfId="119" applyFont="1" applyFill="1" applyBorder="1" applyAlignment="1">
      <alignment horizontal="center"/>
    </xf>
    <xf numFmtId="165" fontId="111" fillId="0" borderId="0" xfId="120" applyNumberFormat="1" applyFont="1" applyFill="1" applyBorder="1"/>
    <xf numFmtId="165" fontId="105" fillId="0" borderId="0" xfId="120" applyNumberFormat="1" applyFont="1" applyFill="1" applyBorder="1"/>
    <xf numFmtId="166" fontId="115" fillId="0" borderId="0" xfId="119" applyNumberFormat="1" applyFont="1" applyFill="1" applyBorder="1" applyAlignment="1">
      <alignment horizontal="center"/>
    </xf>
    <xf numFmtId="191" fontId="115" fillId="0" borderId="0" xfId="120" applyNumberFormat="1" applyFont="1" applyFill="1" applyBorder="1"/>
    <xf numFmtId="166" fontId="18" fillId="0" borderId="0" xfId="119" applyNumberFormat="1" applyFont="1" applyFill="1" applyBorder="1" applyAlignment="1">
      <alignment horizontal="center" wrapText="1"/>
    </xf>
    <xf numFmtId="165" fontId="111" fillId="0" borderId="4" xfId="120" applyNumberFormat="1" applyFont="1" applyFill="1" applyBorder="1"/>
    <xf numFmtId="165" fontId="0" fillId="0" borderId="0" xfId="2" applyNumberFormat="1" applyFont="1" applyBorder="1"/>
    <xf numFmtId="165" fontId="7" fillId="0" borderId="0" xfId="2" applyNumberFormat="1" applyFont="1" applyBorder="1"/>
    <xf numFmtId="0" fontId="0" fillId="0" borderId="0" xfId="0"/>
    <xf numFmtId="212" fontId="7" fillId="0" borderId="0" xfId="0" applyNumberFormat="1" applyFont="1"/>
    <xf numFmtId="44" fontId="0" fillId="0" borderId="0" xfId="0" applyNumberFormat="1"/>
    <xf numFmtId="166" fontId="30" fillId="0" borderId="0" xfId="93" applyNumberFormat="1" applyFont="1" applyBorder="1" applyAlignment="1">
      <alignment horizontal="center"/>
    </xf>
    <xf numFmtId="44" fontId="15" fillId="0" borderId="0" xfId="2" applyNumberFormat="1" applyFont="1" applyBorder="1"/>
    <xf numFmtId="186" fontId="7" fillId="0" borderId="0" xfId="2" applyNumberFormat="1" applyFont="1"/>
    <xf numFmtId="37" fontId="14" fillId="0" borderId="38" xfId="2" applyNumberFormat="1" applyFont="1" applyFill="1" applyBorder="1"/>
    <xf numFmtId="172" fontId="100" fillId="0" borderId="1" xfId="2" applyNumberFormat="1" applyFont="1" applyFill="1" applyBorder="1"/>
    <xf numFmtId="172" fontId="100" fillId="0" borderId="38" xfId="2" applyNumberFormat="1" applyFont="1" applyFill="1" applyBorder="1"/>
    <xf numFmtId="41" fontId="21" fillId="0" borderId="38" xfId="2" applyNumberFormat="1" applyFont="1" applyFill="1" applyBorder="1"/>
    <xf numFmtId="186" fontId="14" fillId="0" borderId="38" xfId="2" applyNumberFormat="1" applyFont="1" applyFill="1" applyBorder="1"/>
    <xf numFmtId="186" fontId="21" fillId="0" borderId="38" xfId="2" applyNumberFormat="1" applyFont="1" applyFill="1" applyBorder="1"/>
    <xf numFmtId="186" fontId="100" fillId="0" borderId="38" xfId="2" applyNumberFormat="1" applyFont="1" applyFill="1" applyBorder="1"/>
    <xf numFmtId="186" fontId="100" fillId="0" borderId="1" xfId="2" applyNumberFormat="1" applyFont="1" applyFill="1" applyBorder="1"/>
    <xf numFmtId="186" fontId="15" fillId="0" borderId="38" xfId="2" applyNumberFormat="1" applyFont="1" applyFill="1" applyBorder="1"/>
    <xf numFmtId="186" fontId="20" fillId="0" borderId="38" xfId="2" applyNumberFormat="1" applyFont="1" applyFill="1" applyBorder="1"/>
    <xf numFmtId="171" fontId="22" fillId="0" borderId="5" xfId="2" applyNumberFormat="1" applyFont="1" applyFill="1" applyBorder="1" applyAlignment="1"/>
    <xf numFmtId="165" fontId="24" fillId="0" borderId="1" xfId="40" applyNumberFormat="1" applyFont="1" applyFill="1" applyBorder="1" applyAlignment="1"/>
    <xf numFmtId="173" fontId="99" fillId="0" borderId="1" xfId="2" applyNumberFormat="1" applyFont="1" applyFill="1" applyBorder="1" applyAlignment="1"/>
    <xf numFmtId="166" fontId="102" fillId="0" borderId="1" xfId="2" applyNumberFormat="1" applyFont="1" applyFill="1" applyBorder="1" applyAlignment="1"/>
    <xf numFmtId="167" fontId="100" fillId="0" borderId="1" xfId="2" applyNumberFormat="1" applyFont="1" applyFill="1" applyBorder="1" applyAlignment="1"/>
    <xf numFmtId="166" fontId="101" fillId="0" borderId="1" xfId="93" applyNumberFormat="1" applyFont="1" applyFill="1" applyBorder="1" applyAlignment="1"/>
    <xf numFmtId="178" fontId="21" fillId="0" borderId="1" xfId="40" applyNumberFormat="1" applyFont="1" applyFill="1" applyBorder="1" applyAlignment="1"/>
    <xf numFmtId="173" fontId="21" fillId="0" borderId="0" xfId="2" applyNumberFormat="1" applyFont="1" applyAlignment="1">
      <alignment wrapText="1"/>
    </xf>
    <xf numFmtId="183" fontId="14" fillId="0" borderId="1" xfId="40" applyNumberFormat="1" applyFont="1" applyFill="1" applyBorder="1"/>
    <xf numFmtId="0" fontId="14" fillId="0" borderId="38" xfId="2" applyFont="1" applyBorder="1"/>
    <xf numFmtId="0" fontId="14" fillId="0" borderId="38" xfId="2" applyFont="1" applyFill="1" applyBorder="1"/>
    <xf numFmtId="183" fontId="15" fillId="0" borderId="38" xfId="40" applyNumberFormat="1" applyFont="1" applyBorder="1"/>
    <xf numFmtId="166" fontId="111" fillId="0" borderId="0" xfId="93" applyNumberFormat="1" applyFont="1" applyBorder="1"/>
    <xf numFmtId="166" fontId="21" fillId="0" borderId="0" xfId="93" applyNumberFormat="1" applyFont="1" applyFill="1" applyBorder="1" applyAlignment="1"/>
    <xf numFmtId="166" fontId="21" fillId="0" borderId="1" xfId="93" applyNumberFormat="1" applyFont="1" applyFill="1" applyBorder="1" applyAlignment="1"/>
    <xf numFmtId="166" fontId="99" fillId="0" borderId="0" xfId="93" applyNumberFormat="1" applyFont="1" applyFill="1" applyBorder="1" applyAlignment="1"/>
    <xf numFmtId="166" fontId="99" fillId="0" borderId="1" xfId="93" applyNumberFormat="1" applyFont="1" applyFill="1" applyBorder="1" applyAlignment="1"/>
    <xf numFmtId="166" fontId="14" fillId="0" borderId="0" xfId="93" applyNumberFormat="1" applyFont="1" applyFill="1" applyBorder="1" applyAlignment="1"/>
    <xf numFmtId="166" fontId="14" fillId="0" borderId="1" xfId="93" applyNumberFormat="1" applyFont="1" applyFill="1" applyBorder="1" applyAlignment="1"/>
    <xf numFmtId="165" fontId="7" fillId="0" borderId="5" xfId="120" applyNumberFormat="1" applyFont="1" applyBorder="1" applyAlignment="1">
      <alignment horizontal="center"/>
    </xf>
    <xf numFmtId="165" fontId="7" fillId="0" borderId="10" xfId="120" applyNumberFormat="1" applyFont="1" applyBorder="1" applyAlignment="1">
      <alignment horizontal="center"/>
    </xf>
    <xf numFmtId="165" fontId="7" fillId="0" borderId="12" xfId="120" applyNumberFormat="1" applyFont="1" applyBorder="1" applyAlignment="1">
      <alignment horizontal="center"/>
    </xf>
    <xf numFmtId="165" fontId="7" fillId="0" borderId="16" xfId="120" applyNumberFormat="1" applyFont="1" applyBorder="1" applyAlignment="1">
      <alignment horizontal="center"/>
    </xf>
    <xf numFmtId="165" fontId="7" fillId="0" borderId="2" xfId="120" applyNumberFormat="1" applyFont="1" applyBorder="1" applyAlignment="1">
      <alignment horizontal="center"/>
    </xf>
    <xf numFmtId="165" fontId="7" fillId="0" borderId="17" xfId="120" applyNumberFormat="1" applyFont="1" applyBorder="1" applyAlignment="1">
      <alignment horizontal="center"/>
    </xf>
    <xf numFmtId="186" fontId="14" fillId="0" borderId="5" xfId="2" applyNumberFormat="1" applyFont="1" applyFill="1" applyBorder="1"/>
    <xf numFmtId="186" fontId="21" fillId="0" borderId="10" xfId="2" applyNumberFormat="1" applyFont="1" applyFill="1" applyBorder="1"/>
    <xf numFmtId="186" fontId="21" fillId="0" borderId="12" xfId="2" applyNumberFormat="1" applyFont="1" applyFill="1" applyBorder="1"/>
    <xf numFmtId="186" fontId="14" fillId="0" borderId="16" xfId="2" applyNumberFormat="1" applyFont="1" applyFill="1" applyBorder="1"/>
    <xf numFmtId="186" fontId="100" fillId="0" borderId="2" xfId="2" applyNumberFormat="1" applyFont="1" applyFill="1" applyBorder="1"/>
    <xf numFmtId="186" fontId="100" fillId="0" borderId="17" xfId="2" applyNumberFormat="1" applyFont="1" applyFill="1" applyBorder="1"/>
    <xf numFmtId="0" fontId="0" fillId="0" borderId="0" xfId="0"/>
    <xf numFmtId="0" fontId="14" fillId="0" borderId="38" xfId="2" applyFont="1" applyFill="1" applyBorder="1" applyAlignment="1">
      <alignment horizontal="left" indent="1"/>
    </xf>
    <xf numFmtId="173" fontId="21" fillId="0" borderId="38" xfId="2" applyNumberFormat="1" applyFont="1" applyFill="1" applyBorder="1"/>
    <xf numFmtId="173" fontId="14" fillId="0" borderId="38" xfId="2" applyNumberFormat="1" applyFont="1" applyFill="1" applyBorder="1"/>
    <xf numFmtId="0" fontId="21" fillId="0" borderId="12" xfId="2" applyFont="1" applyFill="1" applyBorder="1"/>
    <xf numFmtId="173" fontId="14" fillId="0" borderId="51" xfId="2" applyNumberFormat="1" applyFont="1" applyFill="1" applyBorder="1"/>
    <xf numFmtId="173" fontId="15" fillId="0" borderId="51" xfId="2" applyNumberFormat="1" applyFont="1" applyFill="1" applyBorder="1"/>
    <xf numFmtId="173" fontId="21" fillId="0" borderId="51" xfId="2" applyNumberFormat="1" applyFont="1" applyFill="1" applyBorder="1"/>
    <xf numFmtId="166" fontId="7" fillId="0" borderId="0" xfId="93" applyNumberFormat="1" applyFont="1" applyAlignment="1">
      <alignment horizontal="center"/>
    </xf>
    <xf numFmtId="0" fontId="0" fillId="0" borderId="0" xfId="0"/>
    <xf numFmtId="0" fontId="0" fillId="0" borderId="0" xfId="0"/>
    <xf numFmtId="166" fontId="107" fillId="0" borderId="0" xfId="2" applyNumberFormat="1" applyFont="1" applyFill="1" applyBorder="1" applyAlignment="1"/>
    <xf numFmtId="165" fontId="105" fillId="0" borderId="57" xfId="120" applyNumberFormat="1" applyFont="1" applyBorder="1"/>
    <xf numFmtId="0" fontId="30" fillId="0" borderId="57" xfId="119" applyFont="1" applyBorder="1" applyAlignment="1">
      <alignment horizontal="center"/>
    </xf>
    <xf numFmtId="166" fontId="18" fillId="0" borderId="57" xfId="119" applyNumberFormat="1" applyFont="1" applyBorder="1" applyAlignment="1">
      <alignment horizontal="center"/>
    </xf>
    <xf numFmtId="166" fontId="112" fillId="0" borderId="57" xfId="119" applyNumberFormat="1" applyFont="1" applyBorder="1" applyAlignment="1">
      <alignment horizontal="center"/>
    </xf>
    <xf numFmtId="165" fontId="105" fillId="0" borderId="57" xfId="120" applyNumberFormat="1" applyFont="1" applyBorder="1" applyAlignment="1">
      <alignment horizontal="center"/>
    </xf>
    <xf numFmtId="165" fontId="7" fillId="0" borderId="57" xfId="120" applyNumberFormat="1" applyFont="1" applyBorder="1" applyAlignment="1">
      <alignment horizontal="center"/>
    </xf>
    <xf numFmtId="0" fontId="30" fillId="14" borderId="57" xfId="119" applyFont="1" applyFill="1" applyBorder="1" applyAlignment="1">
      <alignment horizontal="center"/>
    </xf>
    <xf numFmtId="191" fontId="115" fillId="0" borderId="57" xfId="120" applyNumberFormat="1" applyFont="1" applyBorder="1"/>
    <xf numFmtId="165" fontId="7" fillId="0" borderId="57" xfId="120" applyNumberFormat="1" applyFont="1" applyFill="1" applyBorder="1" applyAlignment="1">
      <alignment horizontal="center"/>
    </xf>
    <xf numFmtId="166" fontId="112" fillId="0" borderId="57" xfId="119" applyNumberFormat="1" applyFont="1" applyFill="1" applyBorder="1" applyAlignment="1">
      <alignment horizontal="center"/>
    </xf>
    <xf numFmtId="191" fontId="113" fillId="0" borderId="57" xfId="119" applyNumberFormat="1" applyFont="1" applyFill="1" applyBorder="1" applyAlignment="1">
      <alignment horizontal="center"/>
    </xf>
    <xf numFmtId="165" fontId="106" fillId="18" borderId="57" xfId="120" applyNumberFormat="1" applyFont="1" applyFill="1" applyBorder="1"/>
    <xf numFmtId="0" fontId="30" fillId="0" borderId="57" xfId="119" applyFont="1" applyFill="1" applyBorder="1" applyAlignment="1">
      <alignment horizontal="center"/>
    </xf>
    <xf numFmtId="166" fontId="111" fillId="0" borderId="57" xfId="194" applyNumberFormat="1" applyFont="1" applyBorder="1"/>
    <xf numFmtId="166" fontId="115" fillId="0" borderId="57" xfId="119" applyNumberFormat="1" applyFont="1" applyBorder="1" applyAlignment="1">
      <alignment horizontal="center"/>
    </xf>
    <xf numFmtId="166" fontId="117" fillId="0" borderId="57" xfId="119" applyNumberFormat="1" applyFont="1" applyBorder="1" applyAlignment="1">
      <alignment horizontal="center"/>
    </xf>
    <xf numFmtId="165" fontId="111" fillId="0" borderId="57" xfId="120" applyNumberFormat="1" applyFont="1" applyBorder="1"/>
    <xf numFmtId="166" fontId="115" fillId="0" borderId="57" xfId="119" applyNumberFormat="1" applyFont="1" applyFill="1" applyBorder="1" applyAlignment="1">
      <alignment horizontal="center"/>
    </xf>
    <xf numFmtId="165" fontId="105" fillId="0" borderId="57" xfId="120" applyNumberFormat="1" applyFont="1" applyFill="1" applyBorder="1"/>
    <xf numFmtId="191" fontId="115" fillId="0" borderId="57" xfId="120" applyNumberFormat="1" applyFont="1" applyFill="1" applyBorder="1"/>
    <xf numFmtId="166" fontId="18" fillId="0" borderId="57" xfId="119" applyNumberFormat="1" applyFont="1" applyFill="1" applyBorder="1" applyAlignment="1">
      <alignment horizontal="center" wrapText="1"/>
    </xf>
    <xf numFmtId="165" fontId="111" fillId="0" borderId="14" xfId="120" applyNumberFormat="1" applyFont="1" applyFill="1" applyBorder="1"/>
    <xf numFmtId="165" fontId="106" fillId="0" borderId="57" xfId="120" applyNumberFormat="1" applyFont="1" applyFill="1" applyBorder="1"/>
    <xf numFmtId="0" fontId="7" fillId="0" borderId="57" xfId="119" applyBorder="1"/>
    <xf numFmtId="191" fontId="112" fillId="18" borderId="57" xfId="120" applyNumberFormat="1" applyFont="1" applyFill="1" applyBorder="1"/>
    <xf numFmtId="165" fontId="111" fillId="0" borderId="12" xfId="120" applyNumberFormat="1" applyFont="1" applyBorder="1"/>
    <xf numFmtId="165" fontId="106" fillId="0" borderId="57" xfId="120" applyNumberFormat="1" applyFont="1" applyBorder="1"/>
    <xf numFmtId="165" fontId="119" fillId="0" borderId="57" xfId="120" applyNumberFormat="1" applyFont="1" applyBorder="1"/>
    <xf numFmtId="165" fontId="119" fillId="0" borderId="57" xfId="120" applyNumberFormat="1" applyFont="1" applyFill="1" applyBorder="1"/>
    <xf numFmtId="180" fontId="21" fillId="0" borderId="57" xfId="2" applyNumberFormat="1" applyFont="1" applyFill="1" applyBorder="1"/>
    <xf numFmtId="167" fontId="14" fillId="0" borderId="57" xfId="2" applyNumberFormat="1" applyFont="1" applyFill="1" applyBorder="1" applyAlignment="1"/>
    <xf numFmtId="173" fontId="14" fillId="0" borderId="57" xfId="2" applyNumberFormat="1" applyFont="1" applyFill="1" applyBorder="1" applyAlignment="1"/>
    <xf numFmtId="170" fontId="17" fillId="5" borderId="57" xfId="86" applyNumberFormat="1" applyFont="1" applyFill="1" applyBorder="1" applyAlignment="1">
      <alignment horizontal="right"/>
    </xf>
    <xf numFmtId="167" fontId="96" fillId="0" borderId="57" xfId="2" applyNumberFormat="1" applyFont="1" applyFill="1" applyBorder="1" applyAlignment="1"/>
    <xf numFmtId="166" fontId="19" fillId="0" borderId="57" xfId="93" applyNumberFormat="1" applyFont="1" applyFill="1" applyBorder="1" applyAlignment="1"/>
    <xf numFmtId="165" fontId="24" fillId="0" borderId="57" xfId="40" applyNumberFormat="1" applyFont="1" applyFill="1" applyBorder="1" applyAlignment="1"/>
    <xf numFmtId="167" fontId="97" fillId="0" borderId="57" xfId="2" applyNumberFormat="1" applyFont="1" applyFill="1" applyBorder="1" applyAlignment="1"/>
    <xf numFmtId="167" fontId="22" fillId="0" borderId="57" xfId="2" applyNumberFormat="1" applyFont="1" applyFill="1" applyBorder="1" applyAlignment="1"/>
    <xf numFmtId="167" fontId="99" fillId="0" borderId="57" xfId="2" applyNumberFormat="1" applyFont="1" applyFill="1" applyBorder="1" applyAlignment="1"/>
    <xf numFmtId="173" fontId="99" fillId="0" borderId="57" xfId="2" applyNumberFormat="1" applyFont="1" applyFill="1" applyBorder="1" applyAlignment="1"/>
    <xf numFmtId="173" fontId="26" fillId="0" borderId="57" xfId="2" applyNumberFormat="1" applyFont="1" applyFill="1" applyBorder="1" applyAlignment="1"/>
    <xf numFmtId="167" fontId="15" fillId="0" borderId="57" xfId="2" applyNumberFormat="1" applyFont="1" applyFill="1" applyBorder="1" applyAlignment="1"/>
    <xf numFmtId="166" fontId="14" fillId="0" borderId="57" xfId="93" applyNumberFormat="1" applyFont="1" applyFill="1" applyBorder="1" applyAlignment="1"/>
    <xf numFmtId="173" fontId="15" fillId="0" borderId="57" xfId="2" applyNumberFormat="1" applyFont="1" applyFill="1" applyBorder="1" applyAlignment="1"/>
    <xf numFmtId="166" fontId="99" fillId="0" borderId="57" xfId="93" applyNumberFormat="1" applyFont="1" applyFill="1" applyBorder="1" applyAlignment="1"/>
    <xf numFmtId="166" fontId="21" fillId="0" borderId="57" xfId="93" applyNumberFormat="1" applyFont="1" applyFill="1" applyBorder="1" applyAlignment="1"/>
    <xf numFmtId="167" fontId="21" fillId="0" borderId="57" xfId="2" applyNumberFormat="1" applyFont="1" applyFill="1" applyBorder="1" applyAlignment="1"/>
    <xf numFmtId="166" fontId="19" fillId="0" borderId="57" xfId="2" applyNumberFormat="1" applyFont="1" applyFill="1" applyBorder="1" applyAlignment="1"/>
    <xf numFmtId="172" fontId="21" fillId="0" borderId="57" xfId="2" applyNumberFormat="1" applyFont="1" applyFill="1" applyBorder="1" applyAlignment="1"/>
    <xf numFmtId="166" fontId="102" fillId="0" borderId="57" xfId="2" applyNumberFormat="1" applyFont="1" applyFill="1" applyBorder="1" applyAlignment="1"/>
    <xf numFmtId="173" fontId="25" fillId="0" borderId="57" xfId="2" applyNumberFormat="1" applyFont="1" applyFill="1" applyBorder="1" applyAlignment="1"/>
    <xf numFmtId="173" fontId="21" fillId="0" borderId="57" xfId="2" applyNumberFormat="1" applyFont="1" applyFill="1" applyBorder="1" applyAlignment="1"/>
    <xf numFmtId="165" fontId="15" fillId="0" borderId="57" xfId="40" applyNumberFormat="1" applyFont="1" applyFill="1" applyBorder="1" applyAlignment="1"/>
    <xf numFmtId="167" fontId="25" fillId="0" borderId="57" xfId="2" applyNumberFormat="1" applyFont="1" applyFill="1" applyBorder="1" applyAlignment="1"/>
    <xf numFmtId="167" fontId="100" fillId="0" borderId="57" xfId="2" applyNumberFormat="1" applyFont="1" applyFill="1" applyBorder="1" applyAlignment="1"/>
    <xf numFmtId="176" fontId="14" fillId="0" borderId="57" xfId="2" applyNumberFormat="1" applyFont="1" applyFill="1" applyBorder="1" applyAlignment="1"/>
    <xf numFmtId="178" fontId="21" fillId="0" borderId="57" xfId="40" applyNumberFormat="1" applyFont="1" applyFill="1" applyBorder="1" applyAlignment="1"/>
    <xf numFmtId="174" fontId="15" fillId="0" borderId="57" xfId="2" applyNumberFormat="1" applyFont="1" applyFill="1" applyBorder="1"/>
    <xf numFmtId="211" fontId="96" fillId="0" borderId="57" xfId="2" applyNumberFormat="1" applyFont="1" applyFill="1" applyBorder="1" applyAlignment="1"/>
    <xf numFmtId="166" fontId="0" fillId="0" borderId="0" xfId="93" applyNumberFormat="1" applyFont="1" applyBorder="1"/>
    <xf numFmtId="166" fontId="101" fillId="0" borderId="57" xfId="93" applyNumberFormat="1" applyFont="1" applyFill="1" applyBorder="1" applyAlignment="1"/>
    <xf numFmtId="174" fontId="15" fillId="0" borderId="16" xfId="2" applyNumberFormat="1" applyFont="1" applyFill="1" applyBorder="1"/>
    <xf numFmtId="174" fontId="15" fillId="0" borderId="2" xfId="2" applyNumberFormat="1" applyFont="1" applyFill="1" applyBorder="1"/>
    <xf numFmtId="0" fontId="15" fillId="0" borderId="16" xfId="2" applyNumberFormat="1" applyFont="1" applyFill="1" applyBorder="1"/>
    <xf numFmtId="180" fontId="14" fillId="0" borderId="57" xfId="2" applyNumberFormat="1" applyFont="1" applyBorder="1"/>
    <xf numFmtId="167" fontId="14" fillId="0" borderId="57" xfId="2" applyNumberFormat="1" applyFont="1" applyBorder="1"/>
    <xf numFmtId="0" fontId="14" fillId="0" borderId="57" xfId="2" applyFont="1" applyBorder="1"/>
    <xf numFmtId="44" fontId="14" fillId="0" borderId="57" xfId="51" applyFont="1" applyFill="1" applyBorder="1"/>
    <xf numFmtId="183" fontId="21" fillId="0" borderId="57" xfId="40" applyNumberFormat="1" applyFont="1" applyBorder="1"/>
    <xf numFmtId="166" fontId="19" fillId="0" borderId="57" xfId="93" applyNumberFormat="1" applyFont="1" applyFill="1" applyBorder="1"/>
    <xf numFmtId="183" fontId="103" fillId="0" borderId="0" xfId="40" applyNumberFormat="1" applyFont="1" applyFill="1" applyBorder="1"/>
    <xf numFmtId="183" fontId="103" fillId="0" borderId="15" xfId="40" applyNumberFormat="1" applyFont="1" applyFill="1" applyBorder="1"/>
    <xf numFmtId="43" fontId="19" fillId="0" borderId="1" xfId="40" applyFont="1" applyFill="1" applyBorder="1" applyAlignment="1"/>
    <xf numFmtId="43" fontId="19" fillId="0" borderId="57" xfId="40" applyFont="1" applyFill="1" applyBorder="1" applyAlignment="1"/>
    <xf numFmtId="167" fontId="19" fillId="0" borderId="57" xfId="2" applyNumberFormat="1" applyFont="1" applyFill="1" applyBorder="1" applyAlignment="1"/>
    <xf numFmtId="165" fontId="15" fillId="0" borderId="57" xfId="2" applyNumberFormat="1" applyFont="1" applyFill="1" applyBorder="1" applyAlignment="1"/>
    <xf numFmtId="174" fontId="19" fillId="0" borderId="57" xfId="2" applyNumberFormat="1" applyFont="1" applyFill="1" applyBorder="1"/>
    <xf numFmtId="191" fontId="18" fillId="0" borderId="57" xfId="0" applyNumberFormat="1" applyFont="1" applyBorder="1"/>
    <xf numFmtId="0" fontId="0" fillId="0" borderId="57" xfId="0" applyBorder="1"/>
    <xf numFmtId="165" fontId="95" fillId="0" borderId="57" xfId="40" applyNumberFormat="1" applyFont="1" applyBorder="1"/>
    <xf numFmtId="167" fontId="228" fillId="0" borderId="1" xfId="2" applyNumberFormat="1" applyFont="1" applyFill="1" applyBorder="1" applyAlignment="1"/>
    <xf numFmtId="167" fontId="228" fillId="0" borderId="0" xfId="2" applyNumberFormat="1" applyFont="1" applyFill="1" applyBorder="1" applyAlignment="1"/>
    <xf numFmtId="165" fontId="95" fillId="0" borderId="1" xfId="40" applyNumberFormat="1" applyFont="1" applyFill="1" applyBorder="1"/>
    <xf numFmtId="165" fontId="116" fillId="18" borderId="13" xfId="120" applyNumberFormat="1" applyFont="1" applyFill="1" applyBorder="1"/>
    <xf numFmtId="165" fontId="111" fillId="0" borderId="5" xfId="120" applyNumberFormat="1" applyFont="1" applyBorder="1"/>
    <xf numFmtId="43" fontId="111" fillId="0" borderId="1" xfId="120" applyFont="1" applyBorder="1"/>
    <xf numFmtId="165" fontId="105" fillId="0" borderId="1" xfId="120" applyNumberFormat="1" applyFont="1" applyBorder="1"/>
    <xf numFmtId="165" fontId="106" fillId="0" borderId="1" xfId="120" applyNumberFormat="1" applyFont="1" applyBorder="1"/>
    <xf numFmtId="165" fontId="105" fillId="0" borderId="16" xfId="120" applyNumberFormat="1" applyFont="1" applyBorder="1"/>
    <xf numFmtId="165" fontId="105" fillId="0" borderId="17" xfId="120" applyNumberFormat="1" applyFont="1" applyBorder="1"/>
    <xf numFmtId="165" fontId="111" fillId="0" borderId="1" xfId="120" applyNumberFormat="1" applyFont="1" applyBorder="1"/>
    <xf numFmtId="0" fontId="30" fillId="0" borderId="1" xfId="119" applyFont="1" applyBorder="1" applyAlignment="1">
      <alignment horizontal="center"/>
    </xf>
    <xf numFmtId="165" fontId="106" fillId="18" borderId="1" xfId="120" applyNumberFormat="1" applyFont="1" applyFill="1" applyBorder="1"/>
    <xf numFmtId="191" fontId="115" fillId="0" borderId="1" xfId="120" applyNumberFormat="1" applyFont="1" applyBorder="1"/>
    <xf numFmtId="191" fontId="115" fillId="0" borderId="57" xfId="119" applyNumberFormat="1" applyFont="1" applyBorder="1" applyAlignment="1">
      <alignment horizontal="center"/>
    </xf>
    <xf numFmtId="166" fontId="18" fillId="0" borderId="1" xfId="119" applyNumberFormat="1" applyFont="1" applyBorder="1" applyAlignment="1">
      <alignment horizontal="center"/>
    </xf>
    <xf numFmtId="183" fontId="14" fillId="0" borderId="57" xfId="40" applyNumberFormat="1" applyFont="1" applyBorder="1"/>
    <xf numFmtId="183" fontId="14" fillId="0" borderId="57" xfId="40" applyNumberFormat="1" applyFont="1" applyFill="1" applyBorder="1"/>
    <xf numFmtId="183" fontId="15" fillId="0" borderId="57" xfId="40" applyNumberFormat="1" applyFont="1" applyBorder="1"/>
    <xf numFmtId="166" fontId="18" fillId="0" borderId="0" xfId="119" applyNumberFormat="1" applyFont="1" applyBorder="1" applyAlignment="1">
      <alignment horizontal="center" wrapText="1"/>
    </xf>
    <xf numFmtId="165" fontId="7" fillId="0" borderId="0" xfId="0" applyNumberFormat="1" applyFont="1"/>
    <xf numFmtId="174" fontId="14" fillId="0" borderId="0" xfId="2" applyNumberFormat="1" applyFont="1" applyFill="1" applyBorder="1"/>
    <xf numFmtId="0" fontId="0" fillId="0" borderId="0" xfId="0"/>
    <xf numFmtId="0" fontId="7" fillId="0" borderId="0" xfId="817"/>
    <xf numFmtId="0" fontId="0" fillId="0" borderId="0" xfId="0"/>
    <xf numFmtId="172" fontId="14" fillId="0" borderId="57" xfId="2" applyNumberFormat="1" applyFont="1" applyFill="1" applyBorder="1"/>
    <xf numFmtId="167" fontId="14" fillId="12" borderId="17" xfId="84" applyNumberFormat="1" applyFont="1" applyFill="1" applyBorder="1"/>
    <xf numFmtId="0" fontId="0" fillId="0" borderId="0" xfId="0"/>
    <xf numFmtId="180" fontId="14" fillId="0" borderId="57" xfId="2" applyNumberFormat="1" applyFont="1" applyFill="1" applyBorder="1"/>
    <xf numFmtId="180" fontId="14" fillId="0" borderId="57" xfId="2" applyNumberFormat="1" applyFont="1" applyFill="1" applyBorder="1" applyAlignment="1"/>
    <xf numFmtId="172" fontId="21" fillId="0" borderId="57" xfId="2" applyNumberFormat="1" applyFont="1" applyFill="1" applyBorder="1"/>
    <xf numFmtId="173" fontId="14" fillId="0" borderId="57" xfId="2" applyNumberFormat="1" applyFont="1" applyFill="1" applyBorder="1"/>
    <xf numFmtId="0" fontId="7" fillId="0" borderId="0" xfId="119" applyFont="1" applyAlignment="1"/>
    <xf numFmtId="191" fontId="18" fillId="0" borderId="0" xfId="119" applyNumberFormat="1" applyFont="1" applyBorder="1" applyAlignment="1"/>
    <xf numFmtId="165" fontId="7" fillId="0" borderId="0" xfId="120" applyNumberFormat="1" applyFont="1" applyAlignment="1"/>
    <xf numFmtId="0" fontId="0" fillId="0" borderId="18" xfId="0" applyBorder="1"/>
    <xf numFmtId="0" fontId="0" fillId="0" borderId="0" xfId="0"/>
    <xf numFmtId="0" fontId="0" fillId="0" borderId="0" xfId="0"/>
    <xf numFmtId="0" fontId="21" fillId="0" borderId="57" xfId="2" applyFont="1" applyFill="1" applyBorder="1"/>
    <xf numFmtId="173" fontId="15" fillId="0" borderId="57" xfId="2" applyNumberFormat="1" applyFont="1" applyFill="1" applyBorder="1"/>
    <xf numFmtId="173" fontId="21" fillId="0" borderId="57" xfId="2" applyNumberFormat="1" applyFont="1" applyFill="1" applyBorder="1"/>
    <xf numFmtId="185" fontId="14" fillId="0" borderId="57" xfId="2" applyNumberFormat="1" applyFont="1" applyFill="1" applyBorder="1"/>
    <xf numFmtId="186" fontId="15" fillId="0" borderId="57" xfId="2" applyNumberFormat="1" applyFont="1" applyFill="1" applyBorder="1"/>
    <xf numFmtId="37" fontId="14" fillId="0" borderId="57" xfId="2" applyNumberFormat="1" applyFont="1" applyFill="1" applyBorder="1"/>
    <xf numFmtId="41" fontId="21" fillId="0" borderId="57" xfId="2" applyNumberFormat="1" applyFont="1" applyFill="1" applyBorder="1"/>
    <xf numFmtId="186" fontId="14" fillId="0" borderId="57" xfId="2" applyNumberFormat="1" applyFont="1" applyFill="1" applyBorder="1"/>
    <xf numFmtId="186" fontId="21" fillId="0" borderId="57" xfId="2" applyNumberFormat="1" applyFont="1" applyFill="1" applyBorder="1"/>
    <xf numFmtId="186" fontId="20" fillId="0" borderId="57" xfId="2" applyNumberFormat="1" applyFont="1" applyFill="1" applyBorder="1"/>
    <xf numFmtId="171" fontId="14" fillId="0" borderId="12" xfId="2" applyNumberFormat="1" applyFont="1" applyFill="1" applyBorder="1" applyAlignment="1"/>
    <xf numFmtId="166" fontId="23" fillId="0" borderId="57" xfId="194" applyNumberFormat="1" applyFont="1" applyFill="1" applyBorder="1" applyAlignment="1"/>
    <xf numFmtId="166" fontId="19" fillId="0" borderId="57" xfId="194" applyNumberFormat="1" applyFont="1" applyFill="1" applyBorder="1" applyAlignment="1"/>
    <xf numFmtId="166" fontId="23" fillId="0" borderId="57" xfId="2" applyNumberFormat="1" applyFont="1" applyFill="1" applyBorder="1" applyAlignment="1"/>
    <xf numFmtId="173" fontId="229" fillId="0" borderId="57" xfId="2" applyNumberFormat="1" applyFont="1" applyFill="1" applyBorder="1" applyAlignment="1"/>
    <xf numFmtId="173" fontId="230" fillId="0" borderId="57" xfId="2" applyNumberFormat="1" applyFont="1" applyFill="1" applyBorder="1" applyAlignment="1"/>
    <xf numFmtId="165" fontId="15" fillId="0" borderId="57" xfId="158" applyNumberFormat="1" applyFont="1" applyFill="1" applyBorder="1" applyAlignment="1"/>
    <xf numFmtId="44" fontId="21" fillId="0" borderId="57" xfId="475" applyFont="1" applyFill="1" applyBorder="1"/>
    <xf numFmtId="166" fontId="21" fillId="0" borderId="17" xfId="194" applyNumberFormat="1" applyFont="1" applyFill="1" applyBorder="1"/>
    <xf numFmtId="165" fontId="7" fillId="0" borderId="0" xfId="2" applyNumberFormat="1" applyFont="1" applyAlignment="1"/>
    <xf numFmtId="43" fontId="0" fillId="0" borderId="0" xfId="158" applyFont="1"/>
    <xf numFmtId="173" fontId="28" fillId="0" borderId="57" xfId="2" applyNumberFormat="1" applyFont="1" applyFill="1" applyBorder="1"/>
    <xf numFmtId="166" fontId="23" fillId="0" borderId="57" xfId="194" applyNumberFormat="1" applyFont="1" applyFill="1" applyBorder="1"/>
    <xf numFmtId="9" fontId="14" fillId="0" borderId="10" xfId="194" applyFont="1" applyFill="1" applyBorder="1"/>
    <xf numFmtId="9" fontId="14" fillId="0" borderId="2" xfId="194" applyFont="1" applyFill="1" applyBorder="1"/>
    <xf numFmtId="183" fontId="14" fillId="0" borderId="12" xfId="158" applyNumberFormat="1" applyFont="1" applyFill="1" applyBorder="1"/>
    <xf numFmtId="183" fontId="34" fillId="0" borderId="14" xfId="158" applyNumberFormat="1" applyFont="1" applyFill="1" applyBorder="1"/>
    <xf numFmtId="189" fontId="35" fillId="12" borderId="57" xfId="84" applyNumberFormat="1" applyFont="1" applyFill="1" applyBorder="1"/>
    <xf numFmtId="173" fontId="35" fillId="12" borderId="57" xfId="84" applyNumberFormat="1" applyFont="1" applyFill="1" applyBorder="1"/>
    <xf numFmtId="173" fontId="36" fillId="12" borderId="57" xfId="84" applyNumberFormat="1" applyFont="1" applyFill="1" applyBorder="1"/>
    <xf numFmtId="173" fontId="17" fillId="12" borderId="57" xfId="84" applyNumberFormat="1" applyFont="1" applyFill="1" applyBorder="1"/>
    <xf numFmtId="186" fontId="37" fillId="0" borderId="57" xfId="2" applyNumberFormat="1" applyFont="1" applyFill="1" applyBorder="1"/>
    <xf numFmtId="183" fontId="14" fillId="0" borderId="14" xfId="158" applyNumberFormat="1" applyFont="1" applyFill="1" applyBorder="1"/>
    <xf numFmtId="183" fontId="34" fillId="0" borderId="17" xfId="158" applyNumberFormat="1" applyFont="1" applyFill="1" applyBorder="1"/>
    <xf numFmtId="183" fontId="21" fillId="0" borderId="57" xfId="158" applyNumberFormat="1" applyFont="1" applyFill="1" applyBorder="1"/>
    <xf numFmtId="183" fontId="14" fillId="0" borderId="17" xfId="158" applyNumberFormat="1" applyFont="1" applyFill="1" applyBorder="1"/>
    <xf numFmtId="183" fontId="14" fillId="0" borderId="57" xfId="158" applyNumberFormat="1" applyFont="1" applyFill="1" applyBorder="1"/>
    <xf numFmtId="166" fontId="19" fillId="0" borderId="57" xfId="194" applyNumberFormat="1" applyFont="1" applyFill="1" applyBorder="1"/>
    <xf numFmtId="183" fontId="15" fillId="0" borderId="14" xfId="158" applyNumberFormat="1" applyFont="1" applyBorder="1"/>
    <xf numFmtId="183" fontId="15" fillId="0" borderId="10" xfId="158" applyNumberFormat="1" applyFont="1" applyBorder="1"/>
    <xf numFmtId="166" fontId="23" fillId="5" borderId="17" xfId="194" applyNumberFormat="1" applyFont="1" applyFill="1" applyBorder="1"/>
    <xf numFmtId="186" fontId="14" fillId="0" borderId="17" xfId="2" applyNumberFormat="1" applyFont="1" applyFill="1" applyBorder="1"/>
    <xf numFmtId="183" fontId="14" fillId="0" borderId="10" xfId="158" applyNumberFormat="1" applyFont="1" applyBorder="1"/>
    <xf numFmtId="171" fontId="14" fillId="0" borderId="1" xfId="2" applyNumberFormat="1" applyFont="1" applyBorder="1"/>
    <xf numFmtId="167" fontId="19" fillId="0" borderId="1" xfId="2" applyNumberFormat="1" applyFont="1" applyBorder="1"/>
    <xf numFmtId="167" fontId="25" fillId="0" borderId="1" xfId="2" applyNumberFormat="1" applyFont="1" applyBorder="1"/>
    <xf numFmtId="165" fontId="19" fillId="0" borderId="1" xfId="40" applyNumberFormat="1" applyFont="1" applyBorder="1"/>
    <xf numFmtId="165" fontId="15" fillId="0" borderId="1" xfId="2" applyNumberFormat="1" applyFont="1" applyBorder="1"/>
    <xf numFmtId="0" fontId="25" fillId="0" borderId="1" xfId="2" applyFont="1" applyFill="1" applyBorder="1"/>
    <xf numFmtId="165" fontId="14" fillId="0" borderId="1" xfId="2" applyNumberFormat="1" applyFont="1" applyBorder="1"/>
    <xf numFmtId="44" fontId="15" fillId="0" borderId="1" xfId="2" applyNumberFormat="1" applyFont="1" applyBorder="1"/>
    <xf numFmtId="166" fontId="18" fillId="0" borderId="57" xfId="93" applyNumberFormat="1" applyFont="1" applyBorder="1"/>
    <xf numFmtId="180" fontId="21" fillId="0" borderId="57" xfId="2" applyNumberFormat="1" applyFont="1" applyFill="1" applyBorder="1" applyAlignment="1"/>
    <xf numFmtId="2" fontId="14" fillId="0" borderId="0" xfId="2" applyNumberFormat="1" applyFont="1" applyFill="1"/>
    <xf numFmtId="2" fontId="14" fillId="0" borderId="0" xfId="2" applyNumberFormat="1" applyFont="1" applyBorder="1"/>
    <xf numFmtId="17" fontId="30" fillId="0" borderId="58" xfId="119" applyNumberFormat="1" applyFont="1" applyBorder="1" applyAlignment="1">
      <alignment horizontal="center"/>
    </xf>
    <xf numFmtId="0" fontId="30" fillId="0" borderId="58" xfId="119" applyFont="1" applyBorder="1" applyAlignment="1">
      <alignment horizontal="center"/>
    </xf>
    <xf numFmtId="165" fontId="105" fillId="0" borderId="58" xfId="120" applyNumberFormat="1" applyFont="1" applyBorder="1"/>
    <xf numFmtId="165" fontId="7" fillId="0" borderId="58" xfId="120" applyNumberFormat="1" applyFont="1" applyBorder="1" applyAlignment="1">
      <alignment horizontal="center"/>
    </xf>
    <xf numFmtId="165" fontId="7" fillId="17" borderId="58" xfId="120" applyNumberFormat="1" applyFont="1" applyFill="1" applyBorder="1" applyAlignment="1">
      <alignment horizontal="center"/>
    </xf>
    <xf numFmtId="0" fontId="30" fillId="0" borderId="12" xfId="119" applyFont="1" applyBorder="1" applyAlignment="1">
      <alignment horizontal="center"/>
    </xf>
    <xf numFmtId="0" fontId="30" fillId="14" borderId="58" xfId="119" applyFont="1" applyFill="1" applyBorder="1" applyAlignment="1">
      <alignment horizontal="center"/>
    </xf>
    <xf numFmtId="191" fontId="18" fillId="0" borderId="58" xfId="119" applyNumberFormat="1" applyFont="1" applyBorder="1" applyAlignment="1">
      <alignment horizontal="center"/>
    </xf>
    <xf numFmtId="166" fontId="18" fillId="0" borderId="58" xfId="119" applyNumberFormat="1" applyFont="1" applyBorder="1" applyAlignment="1">
      <alignment horizontal="center"/>
    </xf>
    <xf numFmtId="166" fontId="112" fillId="0" borderId="58" xfId="119" applyNumberFormat="1" applyFont="1" applyBorder="1" applyAlignment="1">
      <alignment horizontal="center"/>
    </xf>
    <xf numFmtId="165" fontId="105" fillId="0" borderId="58" xfId="120" applyNumberFormat="1" applyFont="1" applyBorder="1" applyAlignment="1">
      <alignment horizontal="center"/>
    </xf>
    <xf numFmtId="165" fontId="7" fillId="0" borderId="58" xfId="120" applyNumberFormat="1" applyFont="1" applyFill="1" applyBorder="1" applyAlignment="1">
      <alignment horizontal="center"/>
    </xf>
    <xf numFmtId="166" fontId="112" fillId="0" borderId="58" xfId="119" applyNumberFormat="1" applyFont="1" applyFill="1" applyBorder="1" applyAlignment="1">
      <alignment horizontal="center"/>
    </xf>
    <xf numFmtId="191" fontId="113" fillId="0" borderId="58" xfId="119" applyNumberFormat="1" applyFont="1" applyBorder="1" applyAlignment="1">
      <alignment horizontal="center"/>
    </xf>
    <xf numFmtId="165" fontId="106" fillId="18" borderId="58" xfId="120" applyNumberFormat="1" applyFont="1" applyFill="1" applyBorder="1"/>
    <xf numFmtId="166" fontId="18" fillId="0" borderId="58" xfId="119" applyNumberFormat="1" applyFont="1" applyBorder="1" applyAlignment="1">
      <alignment horizontal="center" wrapText="1"/>
    </xf>
    <xf numFmtId="165" fontId="111" fillId="0" borderId="58" xfId="120" applyNumberFormat="1" applyFont="1" applyBorder="1"/>
    <xf numFmtId="166" fontId="115" fillId="0" borderId="58" xfId="119" applyNumberFormat="1" applyFont="1" applyBorder="1" applyAlignment="1">
      <alignment horizontal="center"/>
    </xf>
    <xf numFmtId="166" fontId="117" fillId="0" borderId="58" xfId="119" applyNumberFormat="1" applyFont="1" applyBorder="1" applyAlignment="1">
      <alignment horizontal="center"/>
    </xf>
    <xf numFmtId="166" fontId="115" fillId="0" borderId="58" xfId="119" applyNumberFormat="1" applyFont="1" applyFill="1" applyBorder="1" applyAlignment="1">
      <alignment horizontal="center"/>
    </xf>
    <xf numFmtId="0" fontId="30" fillId="0" borderId="58" xfId="119" applyFont="1" applyFill="1" applyBorder="1" applyAlignment="1">
      <alignment horizontal="center"/>
    </xf>
    <xf numFmtId="165" fontId="105" fillId="0" borderId="58" xfId="120" applyNumberFormat="1" applyFont="1" applyFill="1" applyBorder="1"/>
    <xf numFmtId="166" fontId="112" fillId="18" borderId="58" xfId="119" applyNumberFormat="1" applyFont="1" applyFill="1" applyBorder="1" applyAlignment="1">
      <alignment horizontal="center"/>
    </xf>
    <xf numFmtId="191" fontId="115" fillId="0" borderId="58" xfId="120" applyNumberFormat="1" applyFont="1" applyFill="1" applyBorder="1"/>
    <xf numFmtId="166" fontId="18" fillId="0" borderId="58" xfId="119" applyNumberFormat="1" applyFont="1" applyFill="1" applyBorder="1" applyAlignment="1">
      <alignment horizontal="center" wrapText="1"/>
    </xf>
    <xf numFmtId="165" fontId="106" fillId="0" borderId="58" xfId="120" applyNumberFormat="1" applyFont="1" applyFill="1" applyBorder="1"/>
    <xf numFmtId="0" fontId="7" fillId="0" borderId="58" xfId="119" applyBorder="1"/>
    <xf numFmtId="191" fontId="112" fillId="18" borderId="58" xfId="120" applyNumberFormat="1" applyFont="1" applyFill="1" applyBorder="1"/>
    <xf numFmtId="191" fontId="118" fillId="18" borderId="58" xfId="120" applyNumberFormat="1" applyFont="1" applyFill="1" applyBorder="1"/>
    <xf numFmtId="165" fontId="106" fillId="0" borderId="58" xfId="120" applyNumberFormat="1" applyFont="1" applyBorder="1"/>
    <xf numFmtId="165" fontId="119" fillId="0" borderId="58" xfId="120" applyNumberFormat="1" applyFont="1" applyBorder="1"/>
    <xf numFmtId="165" fontId="119" fillId="0" borderId="58" xfId="120" applyNumberFormat="1" applyFont="1" applyFill="1" applyBorder="1"/>
    <xf numFmtId="165" fontId="119" fillId="0" borderId="17" xfId="120" applyNumberFormat="1" applyFont="1" applyFill="1" applyBorder="1"/>
    <xf numFmtId="0" fontId="7" fillId="0" borderId="58" xfId="119" applyFont="1" applyFill="1" applyBorder="1" applyAlignment="1">
      <alignment horizontal="center" wrapText="1"/>
    </xf>
    <xf numFmtId="191" fontId="18" fillId="0" borderId="58" xfId="119" applyNumberFormat="1" applyFont="1" applyFill="1" applyBorder="1" applyAlignment="1">
      <alignment horizontal="center"/>
    </xf>
    <xf numFmtId="0" fontId="7" fillId="15" borderId="58" xfId="119" applyFill="1" applyBorder="1" applyAlignment="1">
      <alignment horizontal="center"/>
    </xf>
    <xf numFmtId="0" fontId="7" fillId="0" borderId="58" xfId="119" applyFill="1" applyBorder="1" applyAlignment="1">
      <alignment horizontal="center"/>
    </xf>
    <xf numFmtId="0" fontId="7" fillId="0" borderId="58" xfId="119" applyFont="1" applyFill="1" applyBorder="1" applyAlignment="1">
      <alignment horizontal="center"/>
    </xf>
    <xf numFmtId="185" fontId="7" fillId="0" borderId="58" xfId="120" applyNumberFormat="1" applyFont="1" applyFill="1" applyBorder="1" applyAlignment="1">
      <alignment horizontal="center"/>
    </xf>
    <xf numFmtId="186" fontId="14" fillId="0" borderId="58" xfId="2" applyNumberFormat="1" applyFont="1" applyBorder="1"/>
    <xf numFmtId="189" fontId="14" fillId="0" borderId="1" xfId="2" applyNumberFormat="1" applyFont="1" applyBorder="1"/>
    <xf numFmtId="165" fontId="105" fillId="0" borderId="2" xfId="120" applyNumberFormat="1" applyFont="1" applyBorder="1"/>
    <xf numFmtId="180" fontId="21" fillId="0" borderId="58" xfId="2" applyNumberFormat="1" applyFont="1" applyFill="1" applyBorder="1"/>
    <xf numFmtId="167" fontId="14" fillId="0" borderId="58" xfId="2" applyNumberFormat="1" applyFont="1" applyFill="1" applyBorder="1" applyAlignment="1"/>
    <xf numFmtId="181" fontId="21" fillId="0" borderId="58" xfId="2" applyNumberFormat="1" applyFont="1" applyFill="1" applyBorder="1"/>
    <xf numFmtId="44" fontId="21" fillId="0" borderId="58" xfId="51" applyFont="1" applyFill="1" applyBorder="1"/>
    <xf numFmtId="173" fontId="14" fillId="0" borderId="58" xfId="2" applyNumberFormat="1" applyFont="1" applyFill="1" applyBorder="1" applyAlignment="1"/>
    <xf numFmtId="0" fontId="0" fillId="0" borderId="0" xfId="0"/>
    <xf numFmtId="186" fontId="103" fillId="0" borderId="0" xfId="2" applyNumberFormat="1" applyFont="1" applyFill="1" applyBorder="1"/>
    <xf numFmtId="186" fontId="231" fillId="0" borderId="0" xfId="2" applyNumberFormat="1" applyFont="1" applyFill="1" applyBorder="1"/>
    <xf numFmtId="183" fontId="231" fillId="0" borderId="1" xfId="40" applyNumberFormat="1" applyFont="1" applyBorder="1"/>
    <xf numFmtId="0" fontId="14" fillId="0" borderId="58" xfId="2" applyFont="1" applyFill="1" applyBorder="1" applyAlignment="1">
      <alignment horizontal="left" indent="1"/>
    </xf>
    <xf numFmtId="167" fontId="21" fillId="0" borderId="58" xfId="2" applyNumberFormat="1" applyFont="1" applyFill="1" applyBorder="1" applyAlignment="1"/>
    <xf numFmtId="173" fontId="21" fillId="0" borderId="58" xfId="2" applyNumberFormat="1" applyFont="1" applyFill="1" applyBorder="1" applyAlignment="1"/>
    <xf numFmtId="165" fontId="7" fillId="0" borderId="59" xfId="120" applyNumberFormat="1" applyFont="1" applyBorder="1" applyAlignment="1">
      <alignment horizontal="center"/>
    </xf>
    <xf numFmtId="0" fontId="30" fillId="0" borderId="5" xfId="119" applyFont="1" applyBorder="1" applyAlignment="1">
      <alignment horizontal="center"/>
    </xf>
    <xf numFmtId="0" fontId="30" fillId="0" borderId="10" xfId="119" applyFont="1" applyBorder="1" applyAlignment="1">
      <alignment horizontal="center"/>
    </xf>
    <xf numFmtId="0" fontId="30" fillId="14" borderId="59" xfId="119" applyFont="1" applyFill="1" applyBorder="1" applyAlignment="1">
      <alignment horizontal="center"/>
    </xf>
    <xf numFmtId="165" fontId="105" fillId="0" borderId="59" xfId="120" applyNumberFormat="1" applyFont="1" applyBorder="1"/>
    <xf numFmtId="191" fontId="18" fillId="0" borderId="59" xfId="119" applyNumberFormat="1" applyFont="1" applyBorder="1" applyAlignment="1">
      <alignment horizontal="center"/>
    </xf>
    <xf numFmtId="0" fontId="30" fillId="0" borderId="59" xfId="119" applyFont="1" applyBorder="1" applyAlignment="1">
      <alignment horizontal="center"/>
    </xf>
    <xf numFmtId="166" fontId="18" fillId="0" borderId="59" xfId="119" applyNumberFormat="1" applyFont="1" applyBorder="1" applyAlignment="1">
      <alignment horizontal="center"/>
    </xf>
    <xf numFmtId="166" fontId="112" fillId="0" borderId="59" xfId="119" applyNumberFormat="1" applyFont="1" applyBorder="1" applyAlignment="1">
      <alignment horizontal="center"/>
    </xf>
    <xf numFmtId="165" fontId="105" fillId="0" borderId="59" xfId="120" applyNumberFormat="1" applyFont="1" applyBorder="1" applyAlignment="1">
      <alignment horizontal="center"/>
    </xf>
    <xf numFmtId="166" fontId="112" fillId="0" borderId="59" xfId="120" applyNumberFormat="1" applyFont="1" applyBorder="1" applyAlignment="1">
      <alignment horizontal="center"/>
    </xf>
    <xf numFmtId="165" fontId="106" fillId="0" borderId="59" xfId="120" applyNumberFormat="1" applyFont="1" applyBorder="1" applyAlignment="1">
      <alignment horizontal="center"/>
    </xf>
    <xf numFmtId="165" fontId="30" fillId="0" borderId="59" xfId="120" applyNumberFormat="1" applyFont="1" applyBorder="1" applyAlignment="1">
      <alignment horizontal="center"/>
    </xf>
    <xf numFmtId="183" fontId="7" fillId="0" borderId="59" xfId="120" applyNumberFormat="1" applyFont="1" applyBorder="1" applyAlignment="1">
      <alignment horizontal="center"/>
    </xf>
    <xf numFmtId="183" fontId="106" fillId="0" borderId="59" xfId="120" applyNumberFormat="1" applyFont="1" applyFill="1" applyBorder="1"/>
    <xf numFmtId="183" fontId="105" fillId="0" borderId="59" xfId="120" applyNumberFormat="1" applyFont="1" applyBorder="1"/>
    <xf numFmtId="0" fontId="7" fillId="43" borderId="0" xfId="1871" applyFont="1" applyFill="1" applyAlignment="1">
      <alignment vertical="top"/>
    </xf>
    <xf numFmtId="0" fontId="7" fillId="43" borderId="0" xfId="817" applyFill="1" applyAlignment="1">
      <alignment vertical="top"/>
    </xf>
    <xf numFmtId="0" fontId="7" fillId="43" borderId="0" xfId="817" applyFill="1"/>
    <xf numFmtId="0" fontId="14" fillId="43" borderId="0" xfId="1871" applyFont="1" applyFill="1" applyAlignment="1">
      <alignment horizontal="left" vertical="top"/>
    </xf>
    <xf numFmtId="0" fontId="7" fillId="43" borderId="0" xfId="817" applyFont="1" applyFill="1" applyAlignment="1">
      <alignment vertical="top"/>
    </xf>
    <xf numFmtId="0" fontId="18" fillId="43" borderId="0" xfId="1871" applyFont="1" applyFill="1" applyAlignment="1">
      <alignment vertical="top"/>
    </xf>
    <xf numFmtId="0" fontId="0" fillId="43" borderId="0" xfId="0" applyFill="1" applyAlignment="1">
      <alignment vertical="top"/>
    </xf>
    <xf numFmtId="0" fontId="105" fillId="43" borderId="0" xfId="0" applyFont="1" applyFill="1" applyAlignment="1">
      <alignment vertical="top"/>
    </xf>
    <xf numFmtId="0" fontId="232" fillId="43" borderId="0" xfId="0" applyFont="1" applyFill="1" applyAlignment="1">
      <alignment vertical="top"/>
    </xf>
    <xf numFmtId="0" fontId="105" fillId="43" borderId="60" xfId="0" applyFont="1" applyFill="1" applyBorder="1" applyAlignment="1">
      <alignment vertical="top"/>
    </xf>
    <xf numFmtId="9" fontId="105" fillId="43" borderId="60" xfId="0" applyNumberFormat="1" applyFont="1" applyFill="1" applyBorder="1" applyAlignment="1">
      <alignment vertical="top"/>
    </xf>
    <xf numFmtId="3" fontId="105" fillId="43" borderId="60" xfId="0" applyNumberFormat="1" applyFont="1" applyFill="1" applyBorder="1" applyAlignment="1">
      <alignment vertical="top"/>
    </xf>
    <xf numFmtId="2" fontId="7" fillId="0" borderId="0" xfId="817" applyNumberFormat="1" applyAlignment="1">
      <alignment horizontal="left"/>
    </xf>
    <xf numFmtId="0" fontId="7" fillId="0" borderId="0" xfId="817" applyNumberFormat="1" applyAlignment="1">
      <alignment horizontal="left"/>
    </xf>
    <xf numFmtId="1" fontId="7" fillId="0" borderId="0" xfId="817" applyNumberFormat="1" applyAlignment="1">
      <alignment horizontal="left"/>
    </xf>
    <xf numFmtId="0" fontId="7" fillId="0" borderId="0" xfId="817" applyFont="1"/>
    <xf numFmtId="255" fontId="7" fillId="0" borderId="0" xfId="817" applyNumberFormat="1" applyAlignment="1">
      <alignment horizontal="left"/>
    </xf>
    <xf numFmtId="49" fontId="7" fillId="0" borderId="0" xfId="817" applyNumberFormat="1"/>
    <xf numFmtId="0" fontId="0" fillId="43" borderId="65" xfId="0" applyFill="1" applyBorder="1" applyAlignment="1">
      <alignment vertical="top"/>
    </xf>
    <xf numFmtId="0" fontId="105" fillId="43" borderId="0" xfId="0" applyFont="1" applyFill="1" applyAlignment="1">
      <alignment vertical="top"/>
    </xf>
    <xf numFmtId="0" fontId="105" fillId="43" borderId="61" xfId="0" applyFont="1" applyFill="1" applyBorder="1" applyAlignment="1">
      <alignment vertical="top"/>
    </xf>
    <xf numFmtId="0" fontId="105" fillId="43" borderId="62" xfId="0" applyFont="1" applyFill="1" applyBorder="1" applyAlignment="1">
      <alignment vertical="top"/>
    </xf>
    <xf numFmtId="0" fontId="105" fillId="43" borderId="63" xfId="0" applyFont="1" applyFill="1" applyBorder="1" applyAlignment="1">
      <alignment vertical="top"/>
    </xf>
    <xf numFmtId="0" fontId="232" fillId="43" borderId="0" xfId="0" applyFont="1" applyFill="1" applyAlignment="1">
      <alignment vertical="top"/>
    </xf>
    <xf numFmtId="0" fontId="0" fillId="43" borderId="0" xfId="0" applyFill="1" applyAlignment="1">
      <alignment vertical="top"/>
    </xf>
    <xf numFmtId="0" fontId="0" fillId="43" borderId="64" xfId="0" applyFill="1" applyBorder="1" applyAlignment="1">
      <alignment vertical="top"/>
    </xf>
  </cellXfs>
  <cellStyles count="1872">
    <cellStyle name="-" xfId="1"/>
    <cellStyle name=" 1" xfId="122"/>
    <cellStyle name=" 1 2" xfId="827"/>
    <cellStyle name="_x000a_386grabber=M" xfId="2"/>
    <cellStyle name="_x000a_386grabber=M 2" xfId="278"/>
    <cellStyle name="_x000a_386grabber=M 2 2" xfId="829"/>
    <cellStyle name="_x000a_386grabber=M 2 3" xfId="828"/>
    <cellStyle name="_x000a_386grabber=M 3" xfId="830"/>
    <cellStyle name="_x000a_386grabber=M 3 2" xfId="831"/>
    <cellStyle name="$" xfId="282"/>
    <cellStyle name="$ &amp; ¢" xfId="283"/>
    <cellStyle name="$ 1 decimal" xfId="3"/>
    <cellStyle name="$_AA - BenefitsBonus " xfId="123"/>
    <cellStyle name="%" xfId="4"/>
    <cellStyle name="% 2" xfId="124"/>
    <cellStyle name="% 2 2" xfId="832"/>
    <cellStyle name="% 3" xfId="833"/>
    <cellStyle name="% 3 2" xfId="834"/>
    <cellStyle name="% 4" xfId="835"/>
    <cellStyle name="% 4 2" xfId="836"/>
    <cellStyle name="% 5" xfId="837"/>
    <cellStyle name="% 5 2" xfId="838"/>
    <cellStyle name="% 6" xfId="839"/>
    <cellStyle name="% 7" xfId="840"/>
    <cellStyle name="% Growth" xfId="284"/>
    <cellStyle name="% of Revenues" xfId="285"/>
    <cellStyle name="%.00" xfId="286"/>
    <cellStyle name="******************************************" xfId="221"/>
    <cellStyle name="****************************************** 2" xfId="277"/>
    <cellStyle name="****************************************** 3" xfId="279"/>
    <cellStyle name="****************************************** 4" xfId="841"/>
    <cellStyle name="??" xfId="287"/>
    <cellStyle name="?? [0.00]_HELPDESK" xfId="288"/>
    <cellStyle name="?? [0]_??" xfId="289"/>
    <cellStyle name="?? 2" xfId="528"/>
    <cellStyle name="???? [0.00]_HELPDESK" xfId="290"/>
    <cellStyle name="?????_VERA" xfId="291"/>
    <cellStyle name="????_HELPDESK" xfId="292"/>
    <cellStyle name="???[0]_For vlookup" xfId="529"/>
    <cellStyle name="???_For vlookup" xfId="530"/>
    <cellStyle name="??_?.????" xfId="293"/>
    <cellStyle name="?@疾_2332JT3_2313COP2 " xfId="842"/>
    <cellStyle name="?Q\?1@" xfId="5"/>
    <cellStyle name="?Q\?1@ 2" xfId="843"/>
    <cellStyle name="_2003AIMInformation for Reports" xfId="844"/>
    <cellStyle name="_2345" xfId="531"/>
    <cellStyle name="_2345_Exhibit NB QoQ" xfId="532"/>
    <cellStyle name="_2345_Exhibt NB MOM" xfId="533"/>
    <cellStyle name="_2345_MBNB shipments_20080909" xfId="534"/>
    <cellStyle name="_2345_MBNB shipments_20090309.wip" xfId="535"/>
    <cellStyle name="_2345_MBNB shipments_Dec06_wip" xfId="536"/>
    <cellStyle name="_2345_MBNB shipments_July07.wip" xfId="537"/>
    <cellStyle name="_2345_NB-Mthly(0)" xfId="538"/>
    <cellStyle name="_2345_TWN Top 4 MB 5 NB" xfId="539"/>
    <cellStyle name="_2379-13" xfId="540"/>
    <cellStyle name="_2379-13_Exhibit NB QoQ" xfId="541"/>
    <cellStyle name="_2379-13_Exhibt NB MOM" xfId="542"/>
    <cellStyle name="_2379-13_MBNB shipments_20080909" xfId="543"/>
    <cellStyle name="_2379-13_MBNB shipments_20090309.wip" xfId="544"/>
    <cellStyle name="_2379-13_MBNB shipments_Dec06_wip" xfId="545"/>
    <cellStyle name="_2379-13_MBNB shipments_July07.wip" xfId="546"/>
    <cellStyle name="_2379-13_NB-Mthly(0)" xfId="547"/>
    <cellStyle name="_2379-13_TWN Top 4 MB 5 NB" xfId="548"/>
    <cellStyle name="_2391_050503" xfId="549"/>
    <cellStyle name="_2391_050503_Exhibit NB QoQ" xfId="550"/>
    <cellStyle name="_2391_050503_Exhibt NB MOM" xfId="551"/>
    <cellStyle name="_2391_050503_MBNB shipments_20080909" xfId="552"/>
    <cellStyle name="_2391_050503_MBNB shipments_20090309.wip" xfId="553"/>
    <cellStyle name="_2391_050503_MBNB shipments_Dec06_wip" xfId="554"/>
    <cellStyle name="_2391_050503_MBNB shipments_July07.wip" xfId="555"/>
    <cellStyle name="_2391_050503_NB-Mthly(0)" xfId="556"/>
    <cellStyle name="_2391_050503_TWN Top 4 MB 5 NB" xfId="557"/>
    <cellStyle name="_AA - BenefitsBonus " xfId="125"/>
    <cellStyle name="_AC_InterContinental" xfId="222"/>
    <cellStyle name="_AIMP Europe Stats May 2004" xfId="845"/>
    <cellStyle name="_Annaul model" xfId="558"/>
    <cellStyle name="_asustek0613" xfId="559"/>
    <cellStyle name="_asustek0613_Exhibit NB QoQ" xfId="560"/>
    <cellStyle name="_asustek0613_Exhibt NB MOM" xfId="561"/>
    <cellStyle name="_asustek0613_MBNB shipments_20080909" xfId="562"/>
    <cellStyle name="_asustek0613_MBNB shipments_20090309.wip" xfId="563"/>
    <cellStyle name="_asustek0613_MBNB shipments_Dec06_wip" xfId="564"/>
    <cellStyle name="_asustek0613_MBNB shipments_July07.wip" xfId="565"/>
    <cellStyle name="_asustek0613_NB-Mthly(0)" xfId="566"/>
    <cellStyle name="_asustek0613_TWN Top 4 MB 5 NB" xfId="567"/>
    <cellStyle name="_Book1" xfId="846"/>
    <cellStyle name="_Book2" xfId="568"/>
    <cellStyle name="_Book2_Exhibit NB QoQ" xfId="569"/>
    <cellStyle name="_Book2_Exhibt NB MOM" xfId="570"/>
    <cellStyle name="_Book2_MBNB shipments_20080909" xfId="571"/>
    <cellStyle name="_Book2_MBNB shipments_20090309.wip" xfId="572"/>
    <cellStyle name="_Book2_MBNB shipments_Dec06_wip" xfId="573"/>
    <cellStyle name="_Book2_MBNB shipments_July07.wip" xfId="574"/>
    <cellStyle name="_Book2_NB-Mthly(0)" xfId="575"/>
    <cellStyle name="_Book2_TWN Top 4 MB 5 NB" xfId="576"/>
    <cellStyle name="_Book7" xfId="577"/>
    <cellStyle name="_Book7_Exhibit NB QoQ" xfId="578"/>
    <cellStyle name="_Book7_Exhibt NB MOM" xfId="579"/>
    <cellStyle name="_Book7_MBNB shipments_20080909" xfId="580"/>
    <cellStyle name="_Book7_MBNB shipments_20090309.wip" xfId="581"/>
    <cellStyle name="_Book7_MBNB shipments_Dec06_wip" xfId="582"/>
    <cellStyle name="_Book7_MBNB shipments_July07.wip" xfId="583"/>
    <cellStyle name="_Book7_NB-Mthly(0)" xfId="584"/>
    <cellStyle name="_Book7_TWN Top 4 MB 5 NB" xfId="585"/>
    <cellStyle name="_By Technology, Market Share_Copy of Model2018_AAC_(WIP) " xfId="847"/>
    <cellStyle name="_CFA10" xfId="443"/>
    <cellStyle name="_CFA4" xfId="444"/>
    <cellStyle name="_Chartered_Copy of Model2018_AAC_(WIP) " xfId="848"/>
    <cellStyle name="_Chartered_Ichia Model2402_Modelware_Copy of Model2018_AAC_(WIP) " xfId="849"/>
    <cellStyle name="_Chartered_Model_2402(New)_Modelware_Copy of Model2018_AAC_(WIP) " xfId="850"/>
    <cellStyle name="_Chartered_Model_3311(New)_Copy of Model2018_AAC_(WIP) " xfId="851"/>
    <cellStyle name="_Comma_AA - BenefitsBonus " xfId="126"/>
    <cellStyle name="_Copy of Model2018_AAC_(WIP) " xfId="852"/>
    <cellStyle name="_Currency_AA - BenefitsBonus " xfId="127"/>
    <cellStyle name="_CurrencySpace_AA - BenefitsBonus " xfId="128"/>
    <cellStyle name="_DA" xfId="294"/>
    <cellStyle name="_DPA" xfId="295"/>
    <cellStyle name="_EBS Template" xfId="586"/>
    <cellStyle name="_EBS Template_Exhibit NB QoQ" xfId="587"/>
    <cellStyle name="_EBS Template_Exhibt NB MOM" xfId="588"/>
    <cellStyle name="_EBS Template_MBNB shipments_20080909" xfId="589"/>
    <cellStyle name="_EBS Template_MBNB shipments_20090309.wip" xfId="590"/>
    <cellStyle name="_EBS Template_MBNB shipments_Dec06_wip" xfId="591"/>
    <cellStyle name="_EBS Template_MBNB shipments_July07.wip" xfId="592"/>
    <cellStyle name="_EBS Template_NB-Mthly(0)" xfId="593"/>
    <cellStyle name="_EBS Template_TWN Top 4 MB 5 NB" xfId="594"/>
    <cellStyle name="_EBS Template1" xfId="595"/>
    <cellStyle name="_EBS Template1_Exhibit NB QoQ" xfId="596"/>
    <cellStyle name="_EBS Template1_Exhibt NB MOM" xfId="597"/>
    <cellStyle name="_EBS Template1_MBNB shipments_20080909" xfId="598"/>
    <cellStyle name="_EBS Template1_MBNB shipments_20090309.wip" xfId="599"/>
    <cellStyle name="_EBS Template1_MBNB shipments_Dec06_wip" xfId="600"/>
    <cellStyle name="_EBS Template1_MBNB shipments_July07.wip" xfId="601"/>
    <cellStyle name="_EBS Template1_NB-Mthly(0)" xfId="602"/>
    <cellStyle name="_EBS Template1_TWN Top 4 MB 5 NB" xfId="603"/>
    <cellStyle name="_EPS" xfId="296"/>
    <cellStyle name="_EPS1" xfId="297"/>
    <cellStyle name="_exchange rates" xfId="853"/>
    <cellStyle name="_Exhibit NB QoQ" xfId="604"/>
    <cellStyle name="_Exhibt NB MOM" xfId="605"/>
    <cellStyle name="_Fall 2002 IT Services Forecast Supplement" xfId="854"/>
    <cellStyle name="_Forecast Review -Fall 2002 IT Services Nov 13" xfId="855"/>
    <cellStyle name="_GMT_070822" xfId="856"/>
    <cellStyle name="_Google Inc_Draft_112907_OPT for MSFT" xfId="223"/>
    <cellStyle name="—_GS_Cash " xfId="129"/>
    <cellStyle name="—_GS_Cash  2" xfId="857"/>
    <cellStyle name="_Ichia Model2402_Modelware_Copy of Model2018_AAC_(WIP) " xfId="858"/>
    <cellStyle name="_Info" xfId="859"/>
    <cellStyle name="_Internal--Forecast Accuracy" xfId="860"/>
    <cellStyle name="_Internal--Market Share and Service Line Forecast" xfId="861"/>
    <cellStyle name="_Internal--Market Share and Vertical Forecast" xfId="862"/>
    <cellStyle name="_IV6" xfId="445"/>
    <cellStyle name="_JapaneseCatalog" xfId="298"/>
    <cellStyle name="_Market sizing Generic" xfId="863"/>
    <cellStyle name="_MBNB shipments_20080909" xfId="606"/>
    <cellStyle name="_MBNB shipments_20090309.wip" xfId="607"/>
    <cellStyle name="_MBNB shipments_Dec06_wip" xfId="608"/>
    <cellStyle name="_MBNB shipments_July07.wip" xfId="609"/>
    <cellStyle name="_Metrics1" xfId="446"/>
    <cellStyle name="_Metrics11" xfId="447"/>
    <cellStyle name="_Metrics13" xfId="448"/>
    <cellStyle name="_Metrics3" xfId="449"/>
    <cellStyle name="_Metrics5" xfId="450"/>
    <cellStyle name="_Metrics7" xfId="451"/>
    <cellStyle name="_Metrics9" xfId="452"/>
    <cellStyle name="_Model_2402(New)_Modelware_Copy of Model2018_AAC_(WIP) " xfId="864"/>
    <cellStyle name="_Model_3311(New)_Copy of Model2018_AAC_(WIP) " xfId="865"/>
    <cellStyle name="_Model2394" xfId="610"/>
    <cellStyle name="_Model2394_Exhibit NB QoQ" xfId="611"/>
    <cellStyle name="_Model2394_Exhibt NB MOM" xfId="612"/>
    <cellStyle name="_Model2394_MBNB shipments_20080909" xfId="613"/>
    <cellStyle name="_Model2394_MBNB shipments_20090309.wip" xfId="614"/>
    <cellStyle name="_Model2394_MBNB shipments_Dec06_wip" xfId="615"/>
    <cellStyle name="_Model2394_MBNB shipments_July07.wip" xfId="616"/>
    <cellStyle name="_Model2394_NB-Mthly(0)" xfId="617"/>
    <cellStyle name="_Model2394_TWN Top 4 MB 5 NB" xfId="618"/>
    <cellStyle name="_Model2401_2Q03result" xfId="619"/>
    <cellStyle name="_Model2401_2Q03result_Exhibit NB QoQ" xfId="620"/>
    <cellStyle name="_Model2401_2Q03result_Exhibt NB MOM" xfId="621"/>
    <cellStyle name="_Model2401_2Q03result_MBNB shipments_20080909" xfId="622"/>
    <cellStyle name="_Model2401_2Q03result_MBNB shipments_20090309.wip" xfId="623"/>
    <cellStyle name="_Model2401_2Q03result_MBNB shipments_Dec06_wip" xfId="624"/>
    <cellStyle name="_Model2401_2Q03result_MBNB shipments_July07.wip" xfId="625"/>
    <cellStyle name="_Model2401_2Q03result_NB-Mthly(0)" xfId="626"/>
    <cellStyle name="_Model2401_2Q03result_TWN Top 4 MB 5 NB" xfId="627"/>
    <cellStyle name="_Model3008_08'03" xfId="628"/>
    <cellStyle name="_Model3008_08'03_Exhibit NB QoQ" xfId="629"/>
    <cellStyle name="_Model3008_08'03_Exhibt NB MOM" xfId="630"/>
    <cellStyle name="_Model3008_08'03_MBNB shipments_20080909" xfId="631"/>
    <cellStyle name="_Model3008_08'03_MBNB shipments_20090309.wip" xfId="632"/>
    <cellStyle name="_Model3008_08'03_MBNB shipments_Dec06_wip" xfId="633"/>
    <cellStyle name="_Model3008_08'03_MBNB shipments_July07.wip" xfId="634"/>
    <cellStyle name="_Model3008_08'03_NB-Mthly(0)" xfId="635"/>
    <cellStyle name="_Model3008_08'03_TWN Top 4 MB 5 NB" xfId="636"/>
    <cellStyle name="_Model3019_08'03" xfId="637"/>
    <cellStyle name="_Model3019_08'03_Exhibit NB QoQ" xfId="638"/>
    <cellStyle name="_Model3019_08'03_Exhibt NB MOM" xfId="639"/>
    <cellStyle name="_Model3019_08'03_MBNB shipments_20080909" xfId="640"/>
    <cellStyle name="_Model3019_08'03_MBNB shipments_20090309.wip" xfId="641"/>
    <cellStyle name="_Model3019_08'03_MBNB shipments_Dec06_wip" xfId="642"/>
    <cellStyle name="_Model3019_08'03_MBNB shipments_July07.wip" xfId="643"/>
    <cellStyle name="_Model3019_08'03_NB-Mthly(0)" xfId="644"/>
    <cellStyle name="_Model3019_08'03_TWN Top 4 MB 5 NB" xfId="645"/>
    <cellStyle name="_Model3059" xfId="646"/>
    <cellStyle name="_Model3059_Exhibit NB QoQ" xfId="647"/>
    <cellStyle name="_Model3059_Exhibt NB MOM" xfId="648"/>
    <cellStyle name="_Model3059_MBNB shipments_20080909" xfId="649"/>
    <cellStyle name="_Model3059_MBNB shipments_20090309.wip" xfId="650"/>
    <cellStyle name="_Model3059_MBNB shipments_Dec06_wip" xfId="651"/>
    <cellStyle name="_Model3059_MBNB shipments_July07.wip" xfId="652"/>
    <cellStyle name="_Model3059_NB-Mthly(0)" xfId="653"/>
    <cellStyle name="_Model3059_TWN Top 4 MB 5 NB" xfId="654"/>
    <cellStyle name="_Monthly sales" xfId="655"/>
    <cellStyle name="_Multiple_AA - BenefitsBonus " xfId="130"/>
    <cellStyle name="_MultipleSpace_AA - BenefitsBonus " xfId="131"/>
    <cellStyle name="_MW_CFA" xfId="453"/>
    <cellStyle name="_MWAnalytics" xfId="299"/>
    <cellStyle name="_NB-Mthly(0)" xfId="656"/>
    <cellStyle name="_Percent_AA - BenefitsBonus " xfId="132"/>
    <cellStyle name="_PercentSpace_AA - BenefitsBonus " xfId="133"/>
    <cellStyle name="_Pivot AIMP 2003 2 June 2004 for publication" xfId="866"/>
    <cellStyle name="_prelim vs final" xfId="867"/>
    <cellStyle name="_Print Generic Charts Library" xfId="868"/>
    <cellStyle name="_quaterly model" xfId="657"/>
    <cellStyle name="_Rama Other Companies" xfId="869"/>
    <cellStyle name="_RI valuation" xfId="658"/>
    <cellStyle name="_ROE2" xfId="454"/>
    <cellStyle name="_ROE4" xfId="455"/>
    <cellStyle name="_ROE8" xfId="456"/>
    <cellStyle name="_RRS1" xfId="6"/>
    <cellStyle name="_RRS1 2" xfId="134"/>
    <cellStyle name="_RRS1 2 2" xfId="870"/>
    <cellStyle name="_RRS1 3" xfId="871"/>
    <cellStyle name="_RRS1 3 2" xfId="872"/>
    <cellStyle name="_RRS1 4" xfId="873"/>
    <cellStyle name="_RRS1 4 2" xfId="874"/>
    <cellStyle name="_RRS1 5" xfId="875"/>
    <cellStyle name="_RRS1 5 2" xfId="876"/>
    <cellStyle name="_RRS1 6" xfId="877"/>
    <cellStyle name="_RRS1 7" xfId="878"/>
    <cellStyle name="_RRS15" xfId="135"/>
    <cellStyle name="_RRS20" xfId="136"/>
    <cellStyle name="_RRS3" xfId="137"/>
    <cellStyle name="_RRS3 2" xfId="879"/>
    <cellStyle name="_RRS3 2 2" xfId="880"/>
    <cellStyle name="_RRS3 3" xfId="881"/>
    <cellStyle name="_RRS3 3 2" xfId="882"/>
    <cellStyle name="_RRS3 4" xfId="883"/>
    <cellStyle name="_RRS3 4 2" xfId="884"/>
    <cellStyle name="_RRS3 5" xfId="885"/>
    <cellStyle name="_RRS3 5 2" xfId="886"/>
    <cellStyle name="_RRS3 6" xfId="887"/>
    <cellStyle name="_RRS3 7" xfId="888"/>
    <cellStyle name="_RRS4" xfId="7"/>
    <cellStyle name="_RRS4 2" xfId="521"/>
    <cellStyle name="_RRS4 2 2" xfId="889"/>
    <cellStyle name="_RRS4 3" xfId="890"/>
    <cellStyle name="_RRS4 3 2" xfId="891"/>
    <cellStyle name="_RRS4 4" xfId="892"/>
    <cellStyle name="_RRS4 4 2" xfId="893"/>
    <cellStyle name="_RRS4 5" xfId="894"/>
    <cellStyle name="_RRS4 5 2" xfId="895"/>
    <cellStyle name="_RRS4 6" xfId="896"/>
    <cellStyle name="_RRS4 7" xfId="897"/>
    <cellStyle name="_RRS6" xfId="138"/>
    <cellStyle name="_SUMMARY " xfId="8"/>
    <cellStyle name="_SUMMARY  10" xfId="898"/>
    <cellStyle name="_SUMMARY  10 2" xfId="899"/>
    <cellStyle name="_SUMMARY  11" xfId="900"/>
    <cellStyle name="_SUMMARY  12" xfId="901"/>
    <cellStyle name="_SUMMARY  13" xfId="902"/>
    <cellStyle name="_SUMMARY  2" xfId="139"/>
    <cellStyle name="_SUMMARY  2 2" xfId="903"/>
    <cellStyle name="_SUMMARY  3" xfId="904"/>
    <cellStyle name="_SUMMARY  3 2" xfId="905"/>
    <cellStyle name="_SUMMARY  3 2 2" xfId="906"/>
    <cellStyle name="_SUMMARY  3 2 2 2" xfId="907"/>
    <cellStyle name="_SUMMARY  3 2 3" xfId="908"/>
    <cellStyle name="_SUMMARY  3 3" xfId="909"/>
    <cellStyle name="_SUMMARY  3 3 2" xfId="910"/>
    <cellStyle name="_SUMMARY  3 4" xfId="911"/>
    <cellStyle name="_SUMMARY  4" xfId="912"/>
    <cellStyle name="_SUMMARY  4 2" xfId="913"/>
    <cellStyle name="_SUMMARY  4 2 2" xfId="914"/>
    <cellStyle name="_SUMMARY  4 3" xfId="915"/>
    <cellStyle name="_SUMMARY  5" xfId="916"/>
    <cellStyle name="_SUMMARY  5 2" xfId="917"/>
    <cellStyle name="_SUMMARY  5 2 2" xfId="918"/>
    <cellStyle name="_SUMMARY  5 3" xfId="919"/>
    <cellStyle name="_SUMMARY  6" xfId="920"/>
    <cellStyle name="_SUMMARY  6 2" xfId="921"/>
    <cellStyle name="_SUMMARY  6 2 2" xfId="922"/>
    <cellStyle name="_SUMMARY  6 3" xfId="923"/>
    <cellStyle name="_SUMMARY  6 4" xfId="924"/>
    <cellStyle name="_SUMMARY  7" xfId="925"/>
    <cellStyle name="_SUMMARY  7 2" xfId="926"/>
    <cellStyle name="_SUMMARY  7 3" xfId="927"/>
    <cellStyle name="_SUMMARY  8" xfId="928"/>
    <cellStyle name="_SUMMARY  8 2" xfId="929"/>
    <cellStyle name="_SUMMARY  8 3" xfId="930"/>
    <cellStyle name="_SUMMARY  9" xfId="931"/>
    <cellStyle name="_SUMMARY  9 2" xfId="932"/>
    <cellStyle name="_SY Earnings(Labor cost)" xfId="457"/>
    <cellStyle name="_Taiwan" xfId="659"/>
    <cellStyle name="_Template Stats" xfId="933"/>
    <cellStyle name="_TWN Top 4 MB 5 NB" xfId="660"/>
    <cellStyle name="_US GAAP" xfId="661"/>
    <cellStyle name="_US GAAP_Copy of Model2018_AAC_(WIP) " xfId="934"/>
    <cellStyle name="_US GAAP_Exhibit NB QoQ" xfId="662"/>
    <cellStyle name="_US GAAP_Exhibt NB MOM" xfId="663"/>
    <cellStyle name="_US GAAP_MBNB shipments_20080909" xfId="664"/>
    <cellStyle name="_US GAAP_MBNB shipments_20090309.wip" xfId="665"/>
    <cellStyle name="_US GAAP_MBNB shipments_Dec06_wip" xfId="666"/>
    <cellStyle name="_US GAAP_MBNB shipments_July07.wip" xfId="667"/>
    <cellStyle name="_US GAAP_NB-Mthly(0)" xfId="668"/>
    <cellStyle name="_US GAAP_TWN Top 4 MB 5 NB" xfId="669"/>
    <cellStyle name="_Valuation_ROC RI" xfId="670"/>
    <cellStyle name="_Wireline Tel Forecast " xfId="9"/>
    <cellStyle name="_Wireline Tel Forecast  2" xfId="935"/>
    <cellStyle name="_Zip Stats_2004" xfId="936"/>
    <cellStyle name="’Ê‰Ý [0.00]_GE 3 MINIMUM" xfId="10"/>
    <cellStyle name="’Ê‰Ý_GE 3 MINIMUM" xfId="11"/>
    <cellStyle name="“ú–{Œê" xfId="300"/>
    <cellStyle name="£ BP" xfId="12"/>
    <cellStyle name="£ BP 2" xfId="301"/>
    <cellStyle name="¤@¯ë_2311" xfId="671"/>
    <cellStyle name="¤d¤À¦ì[0]_2311" xfId="672"/>
    <cellStyle name="¤d¤À¦ì_2311" xfId="673"/>
    <cellStyle name="¥ JY" xfId="13"/>
    <cellStyle name="¥ JY 2" xfId="302"/>
    <cellStyle name="¥ JY 3" xfId="674"/>
    <cellStyle name="=C:\WINNT35\SYSTEM32\COMMAND.COM" xfId="14"/>
    <cellStyle name="=C:\WINNT35\SYSTEM32\COMMAND.COM 2" xfId="140"/>
    <cellStyle name="=C:\WINNT35\SYSTEM32\COMMAND.COM 2 2" xfId="937"/>
    <cellStyle name="=C:\WINNT35\SYSTEM32\COMMAND.COM 3" xfId="938"/>
    <cellStyle name="=C:\WINNT35\SYSTEM32\COMMAND.COM 3 2" xfId="939"/>
    <cellStyle name="=C:\WINNT35\SYSTEM32\COMMAND.COM 4" xfId="940"/>
    <cellStyle name="=C:\WINNT35\SYSTEM32\COMMAND.COM 4 2" xfId="941"/>
    <cellStyle name="=C:\WINNT35\SYSTEM32\COMMAND.COM 5" xfId="942"/>
    <cellStyle name="=C:\WINNT35\SYSTEM32\COMMAND.COM 5 2" xfId="943"/>
    <cellStyle name="=C:\WINNT35\SYSTEM32\COMMAND.COM 6" xfId="944"/>
    <cellStyle name="=C:\WINNT35\SYSTEM32\COMMAND.COM 7" xfId="945"/>
    <cellStyle name="§Q\?1@" xfId="946"/>
    <cellStyle name="•W€_Comparables" xfId="15"/>
    <cellStyle name="•W_EditLog" xfId="303"/>
    <cellStyle name="0" xfId="16"/>
    <cellStyle name="0%" xfId="17"/>
    <cellStyle name="0% 2" xfId="141"/>
    <cellStyle name="0% 2 2" xfId="947"/>
    <cellStyle name="0% 3" xfId="948"/>
    <cellStyle name="0% 3 2" xfId="949"/>
    <cellStyle name="0% 4" xfId="950"/>
    <cellStyle name="0% 4 2" xfId="951"/>
    <cellStyle name="0% 5" xfId="952"/>
    <cellStyle name="0% 5 2" xfId="953"/>
    <cellStyle name="0% 6" xfId="954"/>
    <cellStyle name="0% 7" xfId="955"/>
    <cellStyle name="0,0_x000d__x000a_NA_x000d__x000a_" xfId="956"/>
    <cellStyle name="0.0" xfId="18"/>
    <cellStyle name="0.0%" xfId="19"/>
    <cellStyle name="0.0_40050504 (pension)" xfId="305"/>
    <cellStyle name="0.00" xfId="20"/>
    <cellStyle name="0.00%" xfId="21"/>
    <cellStyle name="0.00_40050504 (pension)" xfId="306"/>
    <cellStyle name="0_40050504 (pension)" xfId="307"/>
    <cellStyle name="0_Capex &amp; Depreciation " xfId="22"/>
    <cellStyle name="0_Capex &amp; Depreciation _RRST1" xfId="142"/>
    <cellStyle name="0_Capex &amp; Depreciation _RRST1 2" xfId="957"/>
    <cellStyle name="0_Capex &amp; Depreciation _RRST12" xfId="958"/>
    <cellStyle name="0_Capex &amp; Depreciation _RRST19" xfId="959"/>
    <cellStyle name="0_Capex &amp; Depreciation _RRST19 2" xfId="960"/>
    <cellStyle name="0_Capex &amp; Depreciation _RRST20" xfId="961"/>
    <cellStyle name="0_Capex &amp; Depreciation _RRST20 2" xfId="962"/>
    <cellStyle name="0_Capex &amp; Depreciation _RRST25" xfId="963"/>
    <cellStyle name="0_Capex &amp; Depreciation _RRST25 2" xfId="964"/>
    <cellStyle name="0_Capex &amp; Depreciation _RRST3" xfId="965"/>
    <cellStyle name="0_Capex &amp; Depreciation _RRST6" xfId="966"/>
    <cellStyle name="0_Capex &amp; Depreciation _RRST6 2" xfId="967"/>
    <cellStyle name="0_Capex &amp; Depreciation _RRST9" xfId="968"/>
    <cellStyle name="0_Capex &amp; Depreciation _RRST9 2" xfId="969"/>
    <cellStyle name="0_ConsensusPanel_v20080325 (2)" xfId="458"/>
    <cellStyle name="0_Copy of Model2018_AAC_(WIP) " xfId="970"/>
    <cellStyle name="0_geconsensusv1" xfId="459"/>
    <cellStyle name="0_Handset component data_Copy of Model2018_AAC_(WIP) " xfId="971"/>
    <cellStyle name="0_IV2" xfId="460"/>
    <cellStyle name="0_IV6" xfId="461"/>
    <cellStyle name="0_Japan Pension Module Sumitomo Chemical" xfId="308"/>
    <cellStyle name="0_JapaneseCatalog" xfId="309"/>
    <cellStyle name="0_MB-Mthly(1)" xfId="675"/>
    <cellStyle name="0_MB-Mthly(1)_Exhibit NB QoQ" xfId="676"/>
    <cellStyle name="0_MB-Mthly(1)_Exhibt NB MOM" xfId="677"/>
    <cellStyle name="0_MB-Mthly(1)_MBNB shipments_20080909" xfId="678"/>
    <cellStyle name="0_MB-Mthly(1)_MBNB shipments_20090309.wip" xfId="679"/>
    <cellStyle name="0_MB-Mthly(1)_MBNB shipments_Dec06_wip" xfId="680"/>
    <cellStyle name="0_MB-Mthly(1)_MBNB shipments_July07.wip" xfId="681"/>
    <cellStyle name="0_MB-Mthly(1)_NB-Mthly(0)" xfId="682"/>
    <cellStyle name="0_ROE2" xfId="462"/>
    <cellStyle name="0_ROE4" xfId="463"/>
    <cellStyle name="0_SmartChart_B1035" xfId="143"/>
    <cellStyle name="0_SmartChart_B1200" xfId="144"/>
    <cellStyle name="0_SmartChart_C1035" xfId="145"/>
    <cellStyle name="0_SmartChart_O1200" xfId="146"/>
    <cellStyle name="0_TWN Top 4 MB 5 NB" xfId="683"/>
    <cellStyle name="0_TWN Top 4 MB 5 NB_Exhibit NB QoQ" xfId="684"/>
    <cellStyle name="0_TWN Top 4 MB 5 NB_Exhibt NB MOM" xfId="685"/>
    <cellStyle name="0_TWN Top 4 MB 5 NB_MBNB shipments_20080909" xfId="686"/>
    <cellStyle name="0_TWN Top 4 MB 5 NB_MBNB shipments_20090309.wip" xfId="687"/>
    <cellStyle name="0_TWN Top 4 MB 5 NB_MBNB shipments_Dec06_wip" xfId="688"/>
    <cellStyle name="0_TWN Top 4 MB 5 NB_MBNB shipments_July07.wip" xfId="689"/>
    <cellStyle name="0_Valuing BP " xfId="23"/>
    <cellStyle name="0_Valuing BP _RRST1" xfId="147"/>
    <cellStyle name="0_Valuing BP _RRST1 2" xfId="972"/>
    <cellStyle name="0_Valuing BP _RRST12" xfId="973"/>
    <cellStyle name="0_Valuing BP _RRST19" xfId="974"/>
    <cellStyle name="0_Valuing BP _RRST19 2" xfId="975"/>
    <cellStyle name="0_Valuing BP _RRST20" xfId="976"/>
    <cellStyle name="0_Valuing BP _RRST20 2" xfId="977"/>
    <cellStyle name="0_Valuing BP _RRST25" xfId="978"/>
    <cellStyle name="0_Valuing BP _RRST25 2" xfId="979"/>
    <cellStyle name="0_Valuing BP _RRST3" xfId="980"/>
    <cellStyle name="0_Valuing BP _RRST6" xfId="981"/>
    <cellStyle name="0_Valuing BP _RRST6 2" xfId="982"/>
    <cellStyle name="0_Valuing BP _RRST9" xfId="983"/>
    <cellStyle name="0_Valuing BP _RRST9 2" xfId="984"/>
    <cellStyle name="0_Vendor revenues_Copy of Model2018_AAC_(WIP) " xfId="985"/>
    <cellStyle name="0_Wireline Tel Forecast " xfId="24"/>
    <cellStyle name="0_WW NB DT PC &amp;TWN NB MB Qly" xfId="690"/>
    <cellStyle name="0_WW NB DT PC &amp;TWN NB MB Qly_Exhibit NB QoQ" xfId="691"/>
    <cellStyle name="0_WW NB DT PC &amp;TWN NB MB Qly_Exhibt NB MOM" xfId="692"/>
    <cellStyle name="0_WW NB DT PC &amp;TWN NB MB Qly_MBNB shipments_20080909" xfId="693"/>
    <cellStyle name="0_WW NB DT PC &amp;TWN NB MB Qly_MBNB shipments_20090309.wip" xfId="694"/>
    <cellStyle name="0_WW NB DT PC &amp;TWN NB MB Qly_MBNB shipments_Dec06_wip" xfId="695"/>
    <cellStyle name="0_WW NB DT PC &amp;TWN NB MB Qly_MBNB shipments_July07.wip" xfId="696"/>
    <cellStyle name="0_Yardstick2012" xfId="464"/>
    <cellStyle name="1,comma" xfId="25"/>
    <cellStyle name="1,comma 2" xfId="148"/>
    <cellStyle name="1,comma 2 2" xfId="986"/>
    <cellStyle name="1,comma 3" xfId="987"/>
    <cellStyle name="1,comma 3 2" xfId="988"/>
    <cellStyle name="1,comma 4" xfId="989"/>
    <cellStyle name="1,comma 4 2" xfId="990"/>
    <cellStyle name="1,comma 5" xfId="991"/>
    <cellStyle name="1,comma 5 2" xfId="992"/>
    <cellStyle name="1,comma 6" xfId="993"/>
    <cellStyle name="1,comma 7" xfId="994"/>
    <cellStyle name="¹eºÐA²_AIAIC°AuCoE² " xfId="995"/>
    <cellStyle name="20% - Accent1 2" xfId="225"/>
    <cellStyle name="20% - Accent1 2 2" xfId="997"/>
    <cellStyle name="20% - Accent1 2 3" xfId="996"/>
    <cellStyle name="20% - Accent2 2" xfId="226"/>
    <cellStyle name="20% - Accent3 2" xfId="227"/>
    <cellStyle name="20% - Accent3 2 2" xfId="999"/>
    <cellStyle name="20% - Accent3 2 3" xfId="998"/>
    <cellStyle name="20% - Accent4 2" xfId="228"/>
    <cellStyle name="20% - Accent5 2" xfId="229"/>
    <cellStyle name="20% - Accent6 2" xfId="230"/>
    <cellStyle name="20% - Accent6 2 2" xfId="1001"/>
    <cellStyle name="20% - Accent6 2 3" xfId="1000"/>
    <cellStyle name="³f¹ô [0]_2311" xfId="697"/>
    <cellStyle name="³f¹ô_2311" xfId="698"/>
    <cellStyle name="40% - Accent1 2" xfId="231"/>
    <cellStyle name="40% - Accent1 2 2" xfId="1003"/>
    <cellStyle name="40% - Accent1 2 3" xfId="1002"/>
    <cellStyle name="40% - Accent2 2" xfId="232"/>
    <cellStyle name="40% - Accent3 2" xfId="233"/>
    <cellStyle name="40% - Accent4 2" xfId="234"/>
    <cellStyle name="40% - Accent4 2 2" xfId="1005"/>
    <cellStyle name="40% - Accent4 2 3" xfId="1004"/>
    <cellStyle name="40% - Accent5 2" xfId="235"/>
    <cellStyle name="40% - Accent5 2 2" xfId="1007"/>
    <cellStyle name="40% - Accent5 2 3" xfId="1006"/>
    <cellStyle name="40% - Accent6 2" xfId="236"/>
    <cellStyle name="40% - Accent6 2 2" xfId="1009"/>
    <cellStyle name="40% - Accent6 2 3" xfId="1008"/>
    <cellStyle name="60% - Accent1 2" xfId="237"/>
    <cellStyle name="60% - Accent1 2 2" xfId="1011"/>
    <cellStyle name="60% - Accent1 2 3" xfId="1010"/>
    <cellStyle name="60% - Accent2 2" xfId="238"/>
    <cellStyle name="60% - Accent2 2 2" xfId="1013"/>
    <cellStyle name="60% - Accent2 2 3" xfId="1012"/>
    <cellStyle name="60% - Accent3 2" xfId="239"/>
    <cellStyle name="60% - Accent3 2 2" xfId="1015"/>
    <cellStyle name="60% - Accent3 2 3" xfId="1014"/>
    <cellStyle name="60% - Accent4 2" xfId="240"/>
    <cellStyle name="60% - Accent4 2 2" xfId="1017"/>
    <cellStyle name="60% - Accent4 2 3" xfId="1016"/>
    <cellStyle name="60% - Accent5 2" xfId="241"/>
    <cellStyle name="60% - Accent5 2 2" xfId="1019"/>
    <cellStyle name="60% - Accent5 2 3" xfId="1018"/>
    <cellStyle name="60% - Accent6 2" xfId="242"/>
    <cellStyle name="60% - Accent6 2 2" xfId="1021"/>
    <cellStyle name="60% - Accent6 2 3" xfId="1020"/>
    <cellStyle name="752131" xfId="26"/>
    <cellStyle name="752131 2" xfId="310"/>
    <cellStyle name="A¨­￠￢￠O [0]_¨oCAuCoEⓒ÷ " xfId="1022"/>
    <cellStyle name="A¨­￠￢￠O_¨oCAuCoEⓒ÷ " xfId="1023"/>
    <cellStyle name="Accent1 2" xfId="243"/>
    <cellStyle name="Accent1 2 2" xfId="1025"/>
    <cellStyle name="Accent1 2 3" xfId="1024"/>
    <cellStyle name="Accent2 2" xfId="244"/>
    <cellStyle name="Accent2 2 2" xfId="1027"/>
    <cellStyle name="Accent2 2 3" xfId="1026"/>
    <cellStyle name="Accent3 2" xfId="245"/>
    <cellStyle name="Accent3 2 2" xfId="1029"/>
    <cellStyle name="Accent3 2 3" xfId="1028"/>
    <cellStyle name="Accent4 2" xfId="246"/>
    <cellStyle name="Accent5 2" xfId="247"/>
    <cellStyle name="Accent6 2" xfId="248"/>
    <cellStyle name="Accent6 2 2" xfId="1031"/>
    <cellStyle name="Accent6 2 3" xfId="1030"/>
    <cellStyle name="Acctg" xfId="27"/>
    <cellStyle name="AeE­ [0]_¼oAa½CAu " xfId="1032"/>
    <cellStyle name="ÅëÈ­ [0]_cover " xfId="149"/>
    <cellStyle name="AeE­ [0]_INQUIRY ¿μ¾÷AßAø " xfId="1033"/>
    <cellStyle name="AeE­_¼oAa½CAu " xfId="1034"/>
    <cellStyle name="ÅëÈ­_cover " xfId="150"/>
    <cellStyle name="AeE­_INQUIRY ¿μ¾÷AßAø " xfId="1035"/>
    <cellStyle name="AeE¡ⓒ [0]_¨oCAuCoEⓒ÷ " xfId="1036"/>
    <cellStyle name="AeE¡ⓒ_¨oCAuCoEⓒ÷ " xfId="1037"/>
    <cellStyle name="AFE" xfId="249"/>
    <cellStyle name="ales" xfId="28"/>
    <cellStyle name="Analyst Name" xfId="699"/>
    <cellStyle name="AÞ¸¶ [0]_¼oAa½CAu " xfId="1038"/>
    <cellStyle name="ÄÞ¸¶ [0]_cover " xfId="151"/>
    <cellStyle name="AÞ¸¶ [0]_INQUIRY ¿μ¾÷AßAø " xfId="1039"/>
    <cellStyle name="AÞ¸¶_¼oAa½CAu " xfId="1040"/>
    <cellStyle name="ÄÞ¸¶_cover " xfId="152"/>
    <cellStyle name="AÞ¸¶_INQUIRY ¿μ¾÷AßAø " xfId="1041"/>
    <cellStyle name="Availability" xfId="700"/>
    <cellStyle name="Background" xfId="701"/>
    <cellStyle name="Bad 2" xfId="250"/>
    <cellStyle name="Bad 2 2" xfId="1043"/>
    <cellStyle name="Bad 2 3" xfId="1042"/>
    <cellStyle name="Balance Sheet" xfId="311"/>
    <cellStyle name="BalanceSheet" xfId="312"/>
    <cellStyle name="Band 2" xfId="29"/>
    <cellStyle name="big-font" xfId="314"/>
    <cellStyle name="Blue" xfId="30"/>
    <cellStyle name="Blue 2" xfId="315"/>
    <cellStyle name="BLuedashZero" xfId="702"/>
    <cellStyle name="Body" xfId="316"/>
    <cellStyle name="Bold/Border" xfId="31"/>
    <cellStyle name="Border, Bottom" xfId="317"/>
    <cellStyle name="Border, Left" xfId="318"/>
    <cellStyle name="Border, Right" xfId="319"/>
    <cellStyle name="Border, Right 2" xfId="1839"/>
    <cellStyle name="Border, Top" xfId="320"/>
    <cellStyle name="bottom-title" xfId="321"/>
    <cellStyle name="Bullet" xfId="32"/>
    <cellStyle name="Bullet 2" xfId="322"/>
    <cellStyle name="C?AØ_laroux_1ON" xfId="703"/>
    <cellStyle name="c_HardInc" xfId="465"/>
    <cellStyle name="c_HardInc " xfId="33"/>
    <cellStyle name="c_HardInc _Catalog" xfId="323"/>
    <cellStyle name="c_HardInc _JapaneseCatalog" xfId="324"/>
    <cellStyle name="c_HardInc _RRST1" xfId="154"/>
    <cellStyle name="c_HardInc _RRST1 2" xfId="1044"/>
    <cellStyle name="c_HardInc _RRST12" xfId="1045"/>
    <cellStyle name="c_HardInc _RRST19" xfId="1046"/>
    <cellStyle name="c_HardInc _RRST19 2" xfId="1047"/>
    <cellStyle name="c_HardInc _RRST20" xfId="1048"/>
    <cellStyle name="c_HardInc _RRST20 2" xfId="1049"/>
    <cellStyle name="c_HardInc _RRST25" xfId="1050"/>
    <cellStyle name="c_HardInc _RRST25 2" xfId="1051"/>
    <cellStyle name="c_HardInc _RRST3" xfId="1052"/>
    <cellStyle name="c_HardInc _RRST6" xfId="1053"/>
    <cellStyle name="c_HardInc _RRST6 2" xfId="1054"/>
    <cellStyle name="c_HardInc _RRST9" xfId="1055"/>
    <cellStyle name="c_HardInc _RRST9 2" xfId="1056"/>
    <cellStyle name="C¡IA¨ª_¡ic¨u¡A¨￢I¨￢¡Æ AN¡Æe " xfId="1057"/>
    <cellStyle name="C￥AØ_  FAB AIA¤  " xfId="1058"/>
    <cellStyle name="Ç¥ÁØ_»ç¾÷ºÎº° ÃÑ°è " xfId="1059"/>
    <cellStyle name="C￥AØ_≫c¾÷ºIº° AN°e " xfId="1060"/>
    <cellStyle name="Ç¥ÁØ_0N-HANDLING " xfId="1061"/>
    <cellStyle name="C￥AØ_¼±AoAc°i_1_³≫ºI°eE¹´e AßA¤A÷AI " xfId="1062"/>
    <cellStyle name="Ç¥ÁØ_5-1±¤°í " xfId="1063"/>
    <cellStyle name="C￥AØ_5-1±¤°i _6RCB1 " xfId="1064"/>
    <cellStyle name="Ç¥ÁØ_Áý°èÇ¥(2¿ù) " xfId="1065"/>
    <cellStyle name="C￥AØ_CoAo¹yAI °A¾×¿ⓒ½A " xfId="1066"/>
    <cellStyle name="Ç¥ÁØ_cover " xfId="155"/>
    <cellStyle name="C05_Style E Text" xfId="34"/>
    <cellStyle name="Calc Currency (0)" xfId="325"/>
    <cellStyle name="Calculation 2" xfId="251"/>
    <cellStyle name="Calculation 2 2" xfId="1068"/>
    <cellStyle name="Calculation 2 3" xfId="1067"/>
    <cellStyle name="CashFlow" xfId="326"/>
    <cellStyle name="Cents" xfId="35"/>
    <cellStyle name="Cents 2" xfId="327"/>
    <cellStyle name="Cents 3" xfId="704"/>
    <cellStyle name="Change" xfId="328"/>
    <cellStyle name="Changeable" xfId="36"/>
    <cellStyle name="Check Cell 2" xfId="252"/>
    <cellStyle name="Colhead_left" xfId="37"/>
    <cellStyle name="ColHeading" xfId="705"/>
    <cellStyle name="ColumnHeadings" xfId="38"/>
    <cellStyle name="ColumnHeadings2" xfId="39"/>
    <cellStyle name="Comma" xfId="40" builtinId="3"/>
    <cellStyle name="Comma  - Style1" xfId="41"/>
    <cellStyle name="Comma  - Style1 2" xfId="707"/>
    <cellStyle name="Comma  - Style2" xfId="42"/>
    <cellStyle name="Comma  - Style2 2" xfId="330"/>
    <cellStyle name="Comma  - Style2 3" xfId="708"/>
    <cellStyle name="Comma  - Style3" xfId="43"/>
    <cellStyle name="Comma  - Style3 2" xfId="331"/>
    <cellStyle name="Comma  - Style3 3" xfId="709"/>
    <cellStyle name="Comma  - Style4" xfId="44"/>
    <cellStyle name="Comma  - Style4 2" xfId="332"/>
    <cellStyle name="Comma  - Style4 3" xfId="710"/>
    <cellStyle name="Comma  - Style5" xfId="45"/>
    <cellStyle name="Comma  - Style5 2" xfId="333"/>
    <cellStyle name="Comma  - Style5 3" xfId="711"/>
    <cellStyle name="Comma  - Style6" xfId="46"/>
    <cellStyle name="Comma  - Style6 2" xfId="334"/>
    <cellStyle name="Comma  - Style6 3" xfId="712"/>
    <cellStyle name="Comma  - Style7" xfId="47"/>
    <cellStyle name="Comma  - Style7 2" xfId="335"/>
    <cellStyle name="Comma  - Style7 3" xfId="713"/>
    <cellStyle name="Comma  - Style8" xfId="48"/>
    <cellStyle name="Comma  - Style8 2" xfId="336"/>
    <cellStyle name="Comma  - Style8 3" xfId="714"/>
    <cellStyle name="Comma (1)" xfId="337"/>
    <cellStyle name="Comma [1]" xfId="338"/>
    <cellStyle name="Comma [2]" xfId="339"/>
    <cellStyle name="Comma 10" xfId="158"/>
    <cellStyle name="Comma 10 2" xfId="1070"/>
    <cellStyle name="Comma 10 2 2" xfId="1071"/>
    <cellStyle name="Comma 10 2 3" xfId="1072"/>
    <cellStyle name="Comma 10 3" xfId="1073"/>
    <cellStyle name="Comma 10 4" xfId="1074"/>
    <cellStyle name="Comma 10 5" xfId="1075"/>
    <cellStyle name="Comma 10 5 2" xfId="1860"/>
    <cellStyle name="Comma 11" xfId="354"/>
    <cellStyle name="Comma 11 2" xfId="1076"/>
    <cellStyle name="Comma 11 3" xfId="1077"/>
    <cellStyle name="Comma 12" xfId="494"/>
    <cellStyle name="Comma 12 2" xfId="1078"/>
    <cellStyle name="Comma 12 3" xfId="1079"/>
    <cellStyle name="Comma 13" xfId="272"/>
    <cellStyle name="Comma 13 2" xfId="1080"/>
    <cellStyle name="Comma 13 3" xfId="1081"/>
    <cellStyle name="Comma 14" xfId="503"/>
    <cellStyle name="Comma 14 2" xfId="1082"/>
    <cellStyle name="Comma 14 3" xfId="1083"/>
    <cellStyle name="Comma 15" xfId="477"/>
    <cellStyle name="Comma 15 2" xfId="1084"/>
    <cellStyle name="Comma 15 3" xfId="1085"/>
    <cellStyle name="Comma 16" xfId="224"/>
    <cellStyle name="Comma 16 2" xfId="1086"/>
    <cellStyle name="Comma 16 3" xfId="1087"/>
    <cellStyle name="Comma 17" xfId="491"/>
    <cellStyle name="Comma 17 2" xfId="1088"/>
    <cellStyle name="Comma 17 2 2" xfId="1089"/>
    <cellStyle name="Comma 17 3" xfId="1090"/>
    <cellStyle name="Comma 17 4" xfId="1091"/>
    <cellStyle name="Comma 18" xfId="270"/>
    <cellStyle name="Comma 18 2" xfId="1092"/>
    <cellStyle name="Comma 18 2 2" xfId="1093"/>
    <cellStyle name="Comma 18 3" xfId="1094"/>
    <cellStyle name="Comma 18 4" xfId="1095"/>
    <cellStyle name="Comma 19" xfId="497"/>
    <cellStyle name="Comma 19 2" xfId="1096"/>
    <cellStyle name="Comma 19 2 2" xfId="1097"/>
    <cellStyle name="Comma 19 3" xfId="1098"/>
    <cellStyle name="Comma 2" xfId="120"/>
    <cellStyle name="Comma 2 2" xfId="159"/>
    <cellStyle name="Comma 2 2 2" xfId="1100"/>
    <cellStyle name="Comma 2 2 3" xfId="1099"/>
    <cellStyle name="Comma 2 2 4" xfId="1833"/>
    <cellStyle name="Comma 2 3" xfId="807"/>
    <cellStyle name="Comma 2 3 2" xfId="1101"/>
    <cellStyle name="Comma 2 3 3" xfId="1847"/>
    <cellStyle name="Comma 2_Exhibits" xfId="1102"/>
    <cellStyle name="Comma 20" xfId="498"/>
    <cellStyle name="Comma 20 2" xfId="1103"/>
    <cellStyle name="Comma 20 2 2" xfId="1104"/>
    <cellStyle name="Comma 20 3" xfId="1105"/>
    <cellStyle name="Comma 21" xfId="480"/>
    <cellStyle name="Comma 21 2" xfId="1106"/>
    <cellStyle name="Comma 21 2 2" xfId="1107"/>
    <cellStyle name="Comma 21 3" xfId="1108"/>
    <cellStyle name="Comma 22" xfId="522"/>
    <cellStyle name="Comma 22 2" xfId="1109"/>
    <cellStyle name="Comma 23" xfId="706"/>
    <cellStyle name="Comma 23 2" xfId="1110"/>
    <cellStyle name="Comma 24" xfId="805"/>
    <cellStyle name="Comma 24 2" xfId="1112"/>
    <cellStyle name="Comma 24 3" xfId="1111"/>
    <cellStyle name="Comma 25" xfId="813"/>
    <cellStyle name="Comma 25 2" xfId="1114"/>
    <cellStyle name="Comma 25 3" xfId="1113"/>
    <cellStyle name="Comma 26" xfId="804"/>
    <cellStyle name="Comma 26 2" xfId="1116"/>
    <cellStyle name="Comma 26 3" xfId="1115"/>
    <cellStyle name="Comma 27" xfId="814"/>
    <cellStyle name="Comma 27 2" xfId="1118"/>
    <cellStyle name="Comma 27 3" xfId="1117"/>
    <cellStyle name="Comma 27 4" xfId="1853"/>
    <cellStyle name="Comma 28" xfId="811"/>
    <cellStyle name="Comma 28 2" xfId="1120"/>
    <cellStyle name="Comma 28 3" xfId="1119"/>
    <cellStyle name="Comma 28 4" xfId="1851"/>
    <cellStyle name="Comma 29" xfId="809"/>
    <cellStyle name="Comma 29 2" xfId="1122"/>
    <cellStyle name="Comma 29 3" xfId="1121"/>
    <cellStyle name="Comma 29 4" xfId="1849"/>
    <cellStyle name="Comma 3" xfId="160"/>
    <cellStyle name="Comma 3 2" xfId="161"/>
    <cellStyle name="Comma 3 2 2" xfId="1124"/>
    <cellStyle name="Comma 3 2 2 2" xfId="1125"/>
    <cellStyle name="Comma 3 2 3" xfId="1126"/>
    <cellStyle name="Comma 3 2 4" xfId="1123"/>
    <cellStyle name="Comma 3 3" xfId="715"/>
    <cellStyle name="Comma 3 3 2" xfId="1127"/>
    <cellStyle name="Comma 3 4" xfId="1128"/>
    <cellStyle name="Comma 30" xfId="1129"/>
    <cellStyle name="Comma 30 2" xfId="1130"/>
    <cellStyle name="Comma 31" xfId="1131"/>
    <cellStyle name="Comma 31 2" xfId="1132"/>
    <cellStyle name="Comma 32" xfId="1133"/>
    <cellStyle name="Comma 32 2" xfId="1134"/>
    <cellStyle name="Comma 33" xfId="1135"/>
    <cellStyle name="Comma 33 2" xfId="1136"/>
    <cellStyle name="Comma 34" xfId="1137"/>
    <cellStyle name="Comma 34 2" xfId="1138"/>
    <cellStyle name="Comma 35" xfId="1139"/>
    <cellStyle name="Comma 35 2" xfId="1140"/>
    <cellStyle name="Comma 36" xfId="1141"/>
    <cellStyle name="Comma 36 2" xfId="1142"/>
    <cellStyle name="Comma 37" xfId="1143"/>
    <cellStyle name="Comma 37 2" xfId="1144"/>
    <cellStyle name="Comma 38" xfId="1145"/>
    <cellStyle name="Comma 38 2" xfId="1146"/>
    <cellStyle name="Comma 39" xfId="1147"/>
    <cellStyle name="Comma 39 2" xfId="1148"/>
    <cellStyle name="Comma 4" xfId="162"/>
    <cellStyle name="Comma 4 2" xfId="1150"/>
    <cellStyle name="Comma 4 2 2" xfId="1151"/>
    <cellStyle name="Comma 4 3" xfId="1152"/>
    <cellStyle name="Comma 4 4" xfId="1149"/>
    <cellStyle name="Comma 40" xfId="1153"/>
    <cellStyle name="Comma 40 2" xfId="1154"/>
    <cellStyle name="Comma 41" xfId="1155"/>
    <cellStyle name="Comma 41 2" xfId="1156"/>
    <cellStyle name="Comma 42" xfId="1157"/>
    <cellStyle name="Comma 42 2" xfId="1158"/>
    <cellStyle name="Comma 43" xfId="1159"/>
    <cellStyle name="Comma 43 2" xfId="1160"/>
    <cellStyle name="Comma 44" xfId="1161"/>
    <cellStyle name="Comma 45" xfId="1162"/>
    <cellStyle name="Comma 46" xfId="1163"/>
    <cellStyle name="Comma 47" xfId="1164"/>
    <cellStyle name="Comma 48" xfId="1165"/>
    <cellStyle name="Comma 49" xfId="1166"/>
    <cellStyle name="Comma 5" xfId="157"/>
    <cellStyle name="Comma 5 2" xfId="1168"/>
    <cellStyle name="Comma 5 2 2" xfId="1169"/>
    <cellStyle name="Comma 5 3" xfId="1170"/>
    <cellStyle name="Comma 5 4" xfId="1167"/>
    <cellStyle name="Comma 50" xfId="1171"/>
    <cellStyle name="Comma 51" xfId="1172"/>
    <cellStyle name="Comma 52" xfId="1173"/>
    <cellStyle name="Comma 52 2" xfId="1174"/>
    <cellStyle name="Comma 52 3" xfId="1175"/>
    <cellStyle name="Comma 53" xfId="1176"/>
    <cellStyle name="Comma 53 2" xfId="1177"/>
    <cellStyle name="Comma 53 3" xfId="1178"/>
    <cellStyle name="Comma 54" xfId="1179"/>
    <cellStyle name="Comma 54 2" xfId="1180"/>
    <cellStyle name="Comma 54 3" xfId="1181"/>
    <cellStyle name="Comma 55" xfId="1182"/>
    <cellStyle name="Comma 55 2" xfId="1183"/>
    <cellStyle name="Comma 55 3" xfId="1184"/>
    <cellStyle name="Comma 56" xfId="1185"/>
    <cellStyle name="Comma 56 2" xfId="1186"/>
    <cellStyle name="Comma 56 3" xfId="1187"/>
    <cellStyle name="Comma 57" xfId="1188"/>
    <cellStyle name="Comma 57 2" xfId="1189"/>
    <cellStyle name="Comma 57 3" xfId="1190"/>
    <cellStyle name="Comma 58" xfId="1191"/>
    <cellStyle name="Comma 58 2" xfId="1192"/>
    <cellStyle name="Comma 58 3" xfId="1193"/>
    <cellStyle name="Comma 59" xfId="1194"/>
    <cellStyle name="Comma 59 2" xfId="1195"/>
    <cellStyle name="Comma 6" xfId="153"/>
    <cellStyle name="Comma 6 2" xfId="1197"/>
    <cellStyle name="Comma 6 2 2" xfId="1198"/>
    <cellStyle name="Comma 6 3" xfId="1199"/>
    <cellStyle name="Comma 6 4" xfId="1196"/>
    <cellStyle name="Comma 60" xfId="1200"/>
    <cellStyle name="Comma 61" xfId="1201"/>
    <cellStyle name="Comma 61 2" xfId="1202"/>
    <cellStyle name="Comma 62" xfId="1203"/>
    <cellStyle name="Comma 62 2" xfId="1204"/>
    <cellStyle name="Comma 63" xfId="1205"/>
    <cellStyle name="Comma 63 2" xfId="1206"/>
    <cellStyle name="Comma 64" xfId="1207"/>
    <cellStyle name="Comma 64 2" xfId="1208"/>
    <cellStyle name="Comma 65" xfId="1209"/>
    <cellStyle name="Comma 65 2" xfId="1210"/>
    <cellStyle name="Comma 66" xfId="1211"/>
    <cellStyle name="Comma 66 2" xfId="1212"/>
    <cellStyle name="Comma 67" xfId="1213"/>
    <cellStyle name="Comma 68" xfId="1214"/>
    <cellStyle name="Comma 69" xfId="1215"/>
    <cellStyle name="Comma 7" xfId="215"/>
    <cellStyle name="Comma 7 2" xfId="1217"/>
    <cellStyle name="Comma 7 3" xfId="1216"/>
    <cellStyle name="Comma 70" xfId="1218"/>
    <cellStyle name="Comma 71" xfId="1219"/>
    <cellStyle name="Comma 72" xfId="1220"/>
    <cellStyle name="Comma 73" xfId="1221"/>
    <cellStyle name="Comma 74" xfId="1222"/>
    <cellStyle name="Comma 75" xfId="1223"/>
    <cellStyle name="Comma 76" xfId="1224"/>
    <cellStyle name="Comma 77" xfId="1225"/>
    <cellStyle name="Comma 78" xfId="1226"/>
    <cellStyle name="Comma 79" xfId="1227"/>
    <cellStyle name="Comma 8" xfId="156"/>
    <cellStyle name="Comma 8 2" xfId="1229"/>
    <cellStyle name="Comma 8 3" xfId="1230"/>
    <cellStyle name="Comma 8 3 2" xfId="1861"/>
    <cellStyle name="Comma 8 4" xfId="1228"/>
    <cellStyle name="Comma 80" xfId="1069"/>
    <cellStyle name="Comma 81" xfId="1816"/>
    <cellStyle name="Comma 82" xfId="1826"/>
    <cellStyle name="Comma 83" xfId="1815"/>
    <cellStyle name="Comma 84" xfId="1830"/>
    <cellStyle name="Comma 9" xfId="253"/>
    <cellStyle name="Comma 9 2" xfId="1231"/>
    <cellStyle name="Comma 9 2 2" xfId="1232"/>
    <cellStyle name="Comma 9 3" xfId="1233"/>
    <cellStyle name="Comma 9 4" xfId="1234"/>
    <cellStyle name="Comma 9 5" xfId="1235"/>
    <cellStyle name="Comma 9 5 2" xfId="1862"/>
    <cellStyle name="Comma0" xfId="716"/>
    <cellStyle name="CommaU [0]" xfId="340"/>
    <cellStyle name="CommaU [1]" xfId="341"/>
    <cellStyle name="CommaU [2]" xfId="342"/>
    <cellStyle name="Comment" xfId="49"/>
    <cellStyle name="Comment 2" xfId="717"/>
    <cellStyle name="Company" xfId="718"/>
    <cellStyle name="CompanyName" xfId="50"/>
    <cellStyle name="CompanyName 2" xfId="343"/>
    <cellStyle name="Copied" xfId="344"/>
    <cellStyle name="CurRatio" xfId="719"/>
    <cellStyle name="Curren - Style7" xfId="720"/>
    <cellStyle name="Curren - Style8" xfId="721"/>
    <cellStyle name="Currency" xfId="51" builtinId="4"/>
    <cellStyle name="Currency (1)" xfId="345"/>
    <cellStyle name="Currency [1]" xfId="346"/>
    <cellStyle name="Currency [2]" xfId="347"/>
    <cellStyle name="Currency 10" xfId="475"/>
    <cellStyle name="Currency 10 2" xfId="1237"/>
    <cellStyle name="Currency 11" xfId="488"/>
    <cellStyle name="Currency 11 2" xfId="1238"/>
    <cellStyle name="Currency 11 3" xfId="1239"/>
    <cellStyle name="Currency 12" xfId="265"/>
    <cellStyle name="Currency 12 2" xfId="1240"/>
    <cellStyle name="Currency 13" xfId="281"/>
    <cellStyle name="Currency 13 2" xfId="1241"/>
    <cellStyle name="Currency 14" xfId="489"/>
    <cellStyle name="Currency 15" xfId="392"/>
    <cellStyle name="Currency 16" xfId="523"/>
    <cellStyle name="Currency 17" xfId="1236"/>
    <cellStyle name="Currency 18" xfId="1819"/>
    <cellStyle name="Currency 19" xfId="1823"/>
    <cellStyle name="Currency 2" xfId="52"/>
    <cellStyle name="Currency 2 2" xfId="722"/>
    <cellStyle name="Currency 2 2 2" xfId="1243"/>
    <cellStyle name="Currency 2 2 3" xfId="1242"/>
    <cellStyle name="Currency 2 3" xfId="1244"/>
    <cellStyle name="Currency 20" xfId="1818"/>
    <cellStyle name="Currency 21" xfId="1831"/>
    <cellStyle name="Currency 3" xfId="53"/>
    <cellStyle name="Currency 3 2" xfId="524"/>
    <cellStyle name="Currency 3 2 2" xfId="1245"/>
    <cellStyle name="Currency 3 2 2 2" xfId="1246"/>
    <cellStyle name="Currency 3 2 3" xfId="1247"/>
    <cellStyle name="Currency 3 3" xfId="1248"/>
    <cellStyle name="Currency 3 3 2" xfId="1249"/>
    <cellStyle name="Currency 3 4" xfId="1250"/>
    <cellStyle name="Currency 4" xfId="163"/>
    <cellStyle name="Currency 4 2" xfId="1252"/>
    <cellStyle name="Currency 4 2 2" xfId="1253"/>
    <cellStyle name="Currency 4 3" xfId="1254"/>
    <cellStyle name="Currency 4 4" xfId="1251"/>
    <cellStyle name="Currency 5" xfId="350"/>
    <cellStyle name="Currency 5 2" xfId="1255"/>
    <cellStyle name="Currency 5 2 2" xfId="1256"/>
    <cellStyle name="Currency 5 3" xfId="1257"/>
    <cellStyle name="Currency 5 4" xfId="1258"/>
    <cellStyle name="Currency 6" xfId="493"/>
    <cellStyle name="Currency 6 2" xfId="1259"/>
    <cellStyle name="Currency 7" xfId="500"/>
    <cellStyle name="Currency 7 2" xfId="1260"/>
    <cellStyle name="Currency 7 2 2" xfId="1261"/>
    <cellStyle name="Currency 7 3" xfId="1262"/>
    <cellStyle name="Currency 8" xfId="478"/>
    <cellStyle name="Currency 8 2" xfId="1263"/>
    <cellStyle name="Currency 8 2 2" xfId="1264"/>
    <cellStyle name="Currency 8 3" xfId="1265"/>
    <cellStyle name="Currency 8 4" xfId="1266"/>
    <cellStyle name="Currency 9" xfId="313"/>
    <cellStyle name="Currency 9 2" xfId="1267"/>
    <cellStyle name="Currency 9 3" xfId="1268"/>
    <cellStyle name="Currency(1)" xfId="348"/>
    <cellStyle name="Currency(1) 2" xfId="723"/>
    <cellStyle name="Currency0" xfId="724"/>
    <cellStyle name="CUS.Work.Area" xfId="725"/>
    <cellStyle name="C㯵rrency_㳔PC Data" xfId="726"/>
    <cellStyle name="d_yield_AA - BenefitsBonus " xfId="164"/>
    <cellStyle name="d_yield_AA - BenefitsBonus  2" xfId="806"/>
    <cellStyle name="d_yield_AA - BenefitsBonus  2 2" xfId="1846"/>
    <cellStyle name="d_yield_AA - BenefitsBonus  3" xfId="1834"/>
    <cellStyle name="Dash" xfId="54"/>
    <cellStyle name="Dash 2" xfId="349"/>
    <cellStyle name="Data_0dp" xfId="727"/>
    <cellStyle name="DataEntry" xfId="728"/>
    <cellStyle name="DataEntry%" xfId="729"/>
    <cellStyle name="DataEntry_Model2401" xfId="730"/>
    <cellStyle name="Date" xfId="55"/>
    <cellStyle name="Date m-yy" xfId="1269"/>
    <cellStyle name="Date2" xfId="56"/>
    <cellStyle name="Dates" xfId="351"/>
    <cellStyle name="DateYear" xfId="352"/>
    <cellStyle name="Decimal" xfId="57"/>
    <cellStyle name="decimal 1" xfId="58"/>
    <cellStyle name="Decimal 2" xfId="731"/>
    <cellStyle name="Decimal_ConsensusPanel_v20080325 (2)" xfId="467"/>
    <cellStyle name="Derive" xfId="732"/>
    <cellStyle name="Dollar" xfId="59"/>
    <cellStyle name="Dollar 2" xfId="353"/>
    <cellStyle name="Dollars" xfId="60"/>
    <cellStyle name="DollarWhole" xfId="355"/>
    <cellStyle name="Entered" xfId="356"/>
    <cellStyle name="Explanatory Text 2" xfId="254"/>
    <cellStyle name="f‰H_x0010_‹Ëf‰h,ÿt$_x0018_è¸Wÿÿé&gt;Ëÿÿ÷Ç_x0001_" xfId="255"/>
    <cellStyle name="Fail" xfId="165"/>
    <cellStyle name="Fail 2" xfId="357"/>
    <cellStyle name="FieldName" xfId="61"/>
    <cellStyle name="FiscalPeriod" xfId="166"/>
    <cellStyle name="FiscalPeriod 2" xfId="358"/>
    <cellStyle name="Fixed" xfId="62"/>
    <cellStyle name="Fixed (1)" xfId="733"/>
    <cellStyle name="Fixed [2]" xfId="734"/>
    <cellStyle name="Fixed 2" xfId="359"/>
    <cellStyle name="Fixed 3" xfId="735"/>
    <cellStyle name="Fixed_1" xfId="736"/>
    <cellStyle name="Footnote" xfId="63"/>
    <cellStyle name="g_rate_AA - BenefitsBonus " xfId="168"/>
    <cellStyle name="g_rate_AA - BenefitsBonus  2" xfId="808"/>
    <cellStyle name="g_rate_AA - BenefitsBonus  2 2" xfId="1848"/>
    <cellStyle name="g_rate_AA - BenefitsBonus  3" xfId="1835"/>
    <cellStyle name="G02 Table Text" xfId="64"/>
    <cellStyle name="G04_Main head" xfId="65"/>
    <cellStyle name="G05 Tab Head Bold" xfId="66"/>
    <cellStyle name="G05 Tab Head Bold 2" xfId="169"/>
    <cellStyle name="G05 Tab Head Bold 2 2" xfId="1270"/>
    <cellStyle name="G05 Tab Head Bold 3" xfId="1271"/>
    <cellStyle name="G05 Tab Head Bold 3 2" xfId="1272"/>
    <cellStyle name="G05 Tab Head Bold 4" xfId="1273"/>
    <cellStyle name="G05 Tab Head Bold 4 2" xfId="1274"/>
    <cellStyle name="G05 Tab Head Bold 5" xfId="1275"/>
    <cellStyle name="G05 Tab Head Bold 5 2" xfId="1276"/>
    <cellStyle name="G05 Tab Head Bold 6" xfId="1277"/>
    <cellStyle name="G05 Tab Head Bold 7" xfId="1278"/>
    <cellStyle name="G05 Tab Head Light" xfId="67"/>
    <cellStyle name="G05 Tab Head Light 2" xfId="170"/>
    <cellStyle name="G05 Tab Head Light 2 2" xfId="1279"/>
    <cellStyle name="G05 Tab Head Light 3" xfId="1280"/>
    <cellStyle name="G05 Tab Head Light 3 2" xfId="1281"/>
    <cellStyle name="G05 Tab Head Light 4" xfId="1282"/>
    <cellStyle name="G05 Tab Head Light 4 2" xfId="1283"/>
    <cellStyle name="G05 Tab Head Light 5" xfId="1284"/>
    <cellStyle name="G05 Tab Head Light 5 2" xfId="1285"/>
    <cellStyle name="G05 Tab Head Light 6" xfId="1286"/>
    <cellStyle name="G05 Tab Head Light 7" xfId="1287"/>
    <cellStyle name="Good 2" xfId="256"/>
    <cellStyle name="Good 2 2" xfId="1289"/>
    <cellStyle name="Good 2 3" xfId="1288"/>
    <cellStyle name="Green" xfId="68"/>
    <cellStyle name="Green 2" xfId="360"/>
    <cellStyle name="Green 2 2" xfId="1290"/>
    <cellStyle name="Green 3" xfId="810"/>
    <cellStyle name="Green 3 2" xfId="1850"/>
    <cellStyle name="Grey" xfId="69"/>
    <cellStyle name="Grey 2" xfId="1291"/>
    <cellStyle name="Growth%" xfId="361"/>
    <cellStyle name="GrowthRate" xfId="362"/>
    <cellStyle name="hard no" xfId="70"/>
    <cellStyle name="hard no 2" xfId="1292"/>
    <cellStyle name="hardno" xfId="71"/>
    <cellStyle name="HEADER" xfId="363"/>
    <cellStyle name="Header1" xfId="72"/>
    <cellStyle name="Header1 2" xfId="364"/>
    <cellStyle name="Header2" xfId="73"/>
    <cellStyle name="Header2 2" xfId="365"/>
    <cellStyle name="Heading 1 2" xfId="257"/>
    <cellStyle name="Heading 1 2 2" xfId="1294"/>
    <cellStyle name="Heading 1 2 3" xfId="1293"/>
    <cellStyle name="Heading 2 2" xfId="258"/>
    <cellStyle name="Heading 2 2 2" xfId="1296"/>
    <cellStyle name="Heading 2 2 3" xfId="1295"/>
    <cellStyle name="Heading 3 2" xfId="259"/>
    <cellStyle name="Heading 3 2 2" xfId="1298"/>
    <cellStyle name="Heading 3 2 3" xfId="1297"/>
    <cellStyle name="Heading 4 2" xfId="260"/>
    <cellStyle name="Heading1" xfId="366"/>
    <cellStyle name="Heading2" xfId="367"/>
    <cellStyle name="Hidden" xfId="171"/>
    <cellStyle name="Hidden 2" xfId="368"/>
    <cellStyle name="HIGHLIGHT" xfId="369"/>
    <cellStyle name="Hyperlink 2" xfId="172"/>
    <cellStyle name="Hyperlink 2 2" xfId="474"/>
    <cellStyle name="Hyperlink 2 3" xfId="1299"/>
    <cellStyle name="Hyperlink 4" xfId="1300"/>
    <cellStyle name="Hyperlink 4 2" xfId="1301"/>
    <cellStyle name="Hyperlink 4 3" xfId="1302"/>
    <cellStyle name="Income Statement" xfId="370"/>
    <cellStyle name="IncomeStatement" xfId="371"/>
    <cellStyle name="Info_Main" xfId="737"/>
    <cellStyle name="Input [yellow]" xfId="74"/>
    <cellStyle name="Input [yellow] 2" xfId="1304"/>
    <cellStyle name="Input 10" xfId="481"/>
    <cellStyle name="Input 11" xfId="486"/>
    <cellStyle name="Input 12" xfId="483"/>
    <cellStyle name="Input 13" xfId="466"/>
    <cellStyle name="Input 14" xfId="1303"/>
    <cellStyle name="Input 15" xfId="1822"/>
    <cellStyle name="Input 16" xfId="1820"/>
    <cellStyle name="Input 17" xfId="1821"/>
    <cellStyle name="Input 2" xfId="261"/>
    <cellStyle name="Input 3" xfId="329"/>
    <cellStyle name="Input 4" xfId="492"/>
    <cellStyle name="Input 5" xfId="501"/>
    <cellStyle name="Input 6" xfId="476"/>
    <cellStyle name="Input 7" xfId="487"/>
    <cellStyle name="Input 8" xfId="262"/>
    <cellStyle name="Input 9" xfId="495"/>
    <cellStyle name="Input Titles" xfId="738"/>
    <cellStyle name="Input%" xfId="739"/>
    <cellStyle name="InputBlueFont" xfId="75"/>
    <cellStyle name="InputDate" xfId="740"/>
    <cellStyle name="InputDecimal" xfId="741"/>
    <cellStyle name="InputDescriptions" xfId="742"/>
    <cellStyle name="InputHeading1" xfId="743"/>
    <cellStyle name="InputValue" xfId="744"/>
    <cellStyle name="Integer" xfId="76"/>
    <cellStyle name="Integer 2" xfId="372"/>
    <cellStyle name="Italic" xfId="373"/>
    <cellStyle name="Item" xfId="745"/>
    <cellStyle name="ItemTypeClass" xfId="746"/>
    <cellStyle name="KP_Normal" xfId="77"/>
    <cellStyle name="KPMG Heading 1" xfId="374"/>
    <cellStyle name="KPMG Heading 2" xfId="375"/>
    <cellStyle name="KPMG Heading 3" xfId="376"/>
    <cellStyle name="KPMG Heading 4" xfId="377"/>
    <cellStyle name="KPMG Normal" xfId="378"/>
    <cellStyle name="KPMG Normal Text" xfId="379"/>
    <cellStyle name="l]_x000d__x000a_Path=M:\RIOCEN01_x000d__x000a_Name=Carlos Emilio Brousse_x000d__x000a_DDEApps=nsf,nsg,nsh,ntf,ns2,ors,org_x000d__x000a_SmartIcons=Todos_x000d__x000a_" xfId="380"/>
    <cellStyle name="Linked Cell 2" xfId="263"/>
    <cellStyle name="Linked Cell 2 2" xfId="1306"/>
    <cellStyle name="Linked Cell 2 3" xfId="1305"/>
    <cellStyle name="m_AA - BenefitsBonus " xfId="173"/>
    <cellStyle name="Margins" xfId="381"/>
    <cellStyle name="MetricLabel" xfId="174"/>
    <cellStyle name="MetricLabel 2" xfId="382"/>
    <cellStyle name="MetricLabelBlue" xfId="175"/>
    <cellStyle name="MetricLabelBlue 2" xfId="383"/>
    <cellStyle name="MetricValue" xfId="176"/>
    <cellStyle name="MetricValue 2" xfId="384"/>
    <cellStyle name="middle" xfId="385"/>
    <cellStyle name="middle-title" xfId="386"/>
    <cellStyle name="mm/dd/yy" xfId="387"/>
    <cellStyle name="MonthYears" xfId="78"/>
    <cellStyle name="MonthYears 2" xfId="1307"/>
    <cellStyle name="Multiple" xfId="388"/>
    <cellStyle name="Multiple 2" xfId="747"/>
    <cellStyle name="Neutral 2" xfId="264"/>
    <cellStyle name="Neutral 2 2" xfId="1309"/>
    <cellStyle name="Neutral 2 3" xfId="1308"/>
    <cellStyle name="No Commas" xfId="468"/>
    <cellStyle name="no dec" xfId="79"/>
    <cellStyle name="Normal" xfId="0" builtinId="0"/>
    <cellStyle name="Normal - Style1" xfId="80"/>
    <cellStyle name="Normal - Style1 2" xfId="389"/>
    <cellStyle name="Normal - Style1 3" xfId="748"/>
    <cellStyle name="Normal 10" xfId="121"/>
    <cellStyle name="Normal 10 2" xfId="817"/>
    <cellStyle name="Normal 10 2 2" xfId="1311"/>
    <cellStyle name="Normal 10 2 2 2" xfId="1863"/>
    <cellStyle name="Normal 10 2 3" xfId="1310"/>
    <cellStyle name="Normal 10 3" xfId="1312"/>
    <cellStyle name="Normal 10 3 2" xfId="1864"/>
    <cellStyle name="Normal 10 4" xfId="1313"/>
    <cellStyle name="Normal 10_Exhibits" xfId="1314"/>
    <cellStyle name="Normal 11" xfId="212"/>
    <cellStyle name="Normal 11 2" xfId="1316"/>
    <cellStyle name="Normal 11 3" xfId="1317"/>
    <cellStyle name="Normal 11 3 2" xfId="1865"/>
    <cellStyle name="Normal 11 4" xfId="1318"/>
    <cellStyle name="Normal 11 5" xfId="1315"/>
    <cellStyle name="Normal 12" xfId="218"/>
    <cellStyle name="Normal 12 2" xfId="1320"/>
    <cellStyle name="Normal 12 2 2" xfId="1321"/>
    <cellStyle name="Normal 12 3" xfId="1322"/>
    <cellStyle name="Normal 12 4" xfId="1323"/>
    <cellStyle name="Normal 12 5" xfId="1324"/>
    <cellStyle name="Normal 12 5 2" xfId="1866"/>
    <cellStyle name="Normal 12 6" xfId="1319"/>
    <cellStyle name="Normal 13" xfId="219"/>
    <cellStyle name="Normal 13 2" xfId="1326"/>
    <cellStyle name="Normal 13 3" xfId="1327"/>
    <cellStyle name="Normal 13 4" xfId="1328"/>
    <cellStyle name="Normal 13 4 2" xfId="1867"/>
    <cellStyle name="Normal 13 5" xfId="1325"/>
    <cellStyle name="Normal 14" xfId="220"/>
    <cellStyle name="Normal 14 2" xfId="1329"/>
    <cellStyle name="Normal 14 3" xfId="1330"/>
    <cellStyle name="Normal 14 4" xfId="1331"/>
    <cellStyle name="Normal 15" xfId="471"/>
    <cellStyle name="Normal 15 2" xfId="1332"/>
    <cellStyle name="Normal 16" xfId="177"/>
    <cellStyle name="Normal 16 2" xfId="1334"/>
    <cellStyle name="Normal 16 2 2" xfId="1335"/>
    <cellStyle name="Normal 16 2 2 2" xfId="1336"/>
    <cellStyle name="Normal 16 3" xfId="1337"/>
    <cellStyle name="Normal 16 4" xfId="1338"/>
    <cellStyle name="Normal 16 5" xfId="1333"/>
    <cellStyle name="Normal 17" xfId="505"/>
    <cellStyle name="Normal 17 2" xfId="1339"/>
    <cellStyle name="Normal 17 3" xfId="1340"/>
    <cellStyle name="Normal 18" xfId="507"/>
    <cellStyle name="Normal 18 2" xfId="1341"/>
    <cellStyle name="Normal 19" xfId="509"/>
    <cellStyle name="Normal 19 2" xfId="1342"/>
    <cellStyle name="Normal 2" xfId="81"/>
    <cellStyle name="Normal 2 2" xfId="750"/>
    <cellStyle name="Normal 2 2 2" xfId="1344"/>
    <cellStyle name="Normal 2 2 3" xfId="1343"/>
    <cellStyle name="Normal 2 3" xfId="178"/>
    <cellStyle name="Normal 2 3 2" xfId="179"/>
    <cellStyle name="Normal 2 3 3" xfId="1345"/>
    <cellStyle name="Normal 2 4" xfId="749"/>
    <cellStyle name="Normal 2 4 2" xfId="1346"/>
    <cellStyle name="Normal 2 5" xfId="1347"/>
    <cellStyle name="Normal 2 6" xfId="1348"/>
    <cellStyle name="Normal 2_Exhibits" xfId="1349"/>
    <cellStyle name="Normal 20" xfId="510"/>
    <cellStyle name="Normal 20 2" xfId="1350"/>
    <cellStyle name="Normal 20 2 2" xfId="1351"/>
    <cellStyle name="Normal 20 3" xfId="1352"/>
    <cellStyle name="Normal 21" xfId="511"/>
    <cellStyle name="Normal 21 2" xfId="1353"/>
    <cellStyle name="Normal 22" xfId="512"/>
    <cellStyle name="Normal 22 2" xfId="1354"/>
    <cellStyle name="Normal 22 3" xfId="1355"/>
    <cellStyle name="Normal 23" xfId="513"/>
    <cellStyle name="Normal 23 2" xfId="1356"/>
    <cellStyle name="Normal 24" xfId="514"/>
    <cellStyle name="Normal 24 2" xfId="1357"/>
    <cellStyle name="Normal 25" xfId="515"/>
    <cellStyle name="Normal 25 2" xfId="1358"/>
    <cellStyle name="Normal 25 3" xfId="1359"/>
    <cellStyle name="Normal 26" xfId="516"/>
    <cellStyle name="Normal 26 2" xfId="1360"/>
    <cellStyle name="Normal 27" xfId="519"/>
    <cellStyle name="Normal 27 2" xfId="1361"/>
    <cellStyle name="Normal 27 3" xfId="1843"/>
    <cellStyle name="Normal 28" xfId="518"/>
    <cellStyle name="Normal 28 2" xfId="1362"/>
    <cellStyle name="Normal 28 3" xfId="1842"/>
    <cellStyle name="Normal 29" xfId="520"/>
    <cellStyle name="Normal 3" xfId="82"/>
    <cellStyle name="Normal 3 2" xfId="180"/>
    <cellStyle name="Normal 3 2 2" xfId="1365"/>
    <cellStyle name="Normal 3 2 2 2" xfId="1366"/>
    <cellStyle name="Normal 3 2 3" xfId="1367"/>
    <cellStyle name="Normal 3 2 3 2" xfId="1368"/>
    <cellStyle name="Normal 3 2 4" xfId="1364"/>
    <cellStyle name="Normal 3 3" xfId="275"/>
    <cellStyle name="Normal 3 3 2" xfId="1369"/>
    <cellStyle name="Normal 3 3 3" xfId="1370"/>
    <cellStyle name="Normal 3 3 4" xfId="1371"/>
    <cellStyle name="Normal 3 4" xfId="517"/>
    <cellStyle name="Normal 3 4 2" xfId="1372"/>
    <cellStyle name="Normal 3 5" xfId="751"/>
    <cellStyle name="Normal 3 6" xfId="1363"/>
    <cellStyle name="Normal 30" xfId="527"/>
    <cellStyle name="Normal 30 2" xfId="1373"/>
    <cellStyle name="Normal 31" xfId="802"/>
    <cellStyle name="Normal 31 2" xfId="1374"/>
    <cellStyle name="Normal 32" xfId="824"/>
    <cellStyle name="Normal 32 2" xfId="1375"/>
    <cellStyle name="Normal 33" xfId="825"/>
    <cellStyle name="Normal 33 2" xfId="1376"/>
    <cellStyle name="Normal 34" xfId="816"/>
    <cellStyle name="Normal 34 2" xfId="1377"/>
    <cellStyle name="Normal 34 3" xfId="1855"/>
    <cellStyle name="Normal 35" xfId="815"/>
    <cellStyle name="Normal 35 2" xfId="1378"/>
    <cellStyle name="Normal 35 3" xfId="1854"/>
    <cellStyle name="Normal 36" xfId="812"/>
    <cellStyle name="Normal 36 2" xfId="1380"/>
    <cellStyle name="Normal 36 3" xfId="1379"/>
    <cellStyle name="Normal 36 4" xfId="1852"/>
    <cellStyle name="Normal 37" xfId="1381"/>
    <cellStyle name="Normal 37 2" xfId="1382"/>
    <cellStyle name="Normal 38" xfId="1383"/>
    <cellStyle name="Normal 39" xfId="1384"/>
    <cellStyle name="Normal 4" xfId="119"/>
    <cellStyle name="Normal 4 2" xfId="181"/>
    <cellStyle name="Normal 4 2 2" xfId="1385"/>
    <cellStyle name="Normal 4 2 3" xfId="1836"/>
    <cellStyle name="Normal 4 3" xfId="752"/>
    <cellStyle name="Normal 4 3 2" xfId="1387"/>
    <cellStyle name="Normal 4 3 3" xfId="1386"/>
    <cellStyle name="Normal 4 3 4" xfId="1844"/>
    <cellStyle name="Normal 4 4" xfId="818"/>
    <cellStyle name="Normal 4 4 2" xfId="1388"/>
    <cellStyle name="Normal 4 4 3" xfId="1856"/>
    <cellStyle name="Normal 40" xfId="1389"/>
    <cellStyle name="Normal 41" xfId="1390"/>
    <cellStyle name="Normal 42" xfId="1391"/>
    <cellStyle name="Normal 43" xfId="1392"/>
    <cellStyle name="Normal 44" xfId="1393"/>
    <cellStyle name="Normal 45" xfId="1394"/>
    <cellStyle name="Normal 46" xfId="1395"/>
    <cellStyle name="Normal 47" xfId="1396"/>
    <cellStyle name="Normal 48" xfId="1397"/>
    <cellStyle name="Normal 49" xfId="1398"/>
    <cellStyle name="Normal 5" xfId="182"/>
    <cellStyle name="Normal 5 2" xfId="183"/>
    <cellStyle name="Normal 5 2 2" xfId="1400"/>
    <cellStyle name="Normal 5 3" xfId="753"/>
    <cellStyle name="Normal 5 3 2" xfId="1401"/>
    <cellStyle name="Normal 5 3 3" xfId="1845"/>
    <cellStyle name="Normal 5 4" xfId="1402"/>
    <cellStyle name="Normal 5 5" xfId="1399"/>
    <cellStyle name="Normal 50" xfId="1403"/>
    <cellStyle name="Normal 51" xfId="1404"/>
    <cellStyle name="Normal 52" xfId="1405"/>
    <cellStyle name="Normal 53" xfId="1406"/>
    <cellStyle name="Normal 54" xfId="1407"/>
    <cellStyle name="Normal 55" xfId="1408"/>
    <cellStyle name="Normal 56" xfId="1409"/>
    <cellStyle name="Normal 57" xfId="1410"/>
    <cellStyle name="Normal 58" xfId="1411"/>
    <cellStyle name="Normal 59" xfId="1412"/>
    <cellStyle name="Normal 6" xfId="184"/>
    <cellStyle name="Normal 6 2" xfId="1414"/>
    <cellStyle name="Normal 6 2 2" xfId="1415"/>
    <cellStyle name="Normal 6 2 2 2" xfId="1416"/>
    <cellStyle name="Normal 6 2 3" xfId="1417"/>
    <cellStyle name="Normal 6 3" xfId="1418"/>
    <cellStyle name="Normal 6 4" xfId="1419"/>
    <cellStyle name="Normal 6 5" xfId="1420"/>
    <cellStyle name="Normal 6 6" xfId="1421"/>
    <cellStyle name="Normal 6 7" xfId="1413"/>
    <cellStyle name="Normal 60" xfId="1422"/>
    <cellStyle name="Normal 61" xfId="1423"/>
    <cellStyle name="Normal 62" xfId="1424"/>
    <cellStyle name="Normal 63" xfId="1425"/>
    <cellStyle name="Normal 64" xfId="1426"/>
    <cellStyle name="Normal 65" xfId="1427"/>
    <cellStyle name="Normal 66" xfId="1428"/>
    <cellStyle name="Normal 67" xfId="1429"/>
    <cellStyle name="Normal 68" xfId="1430"/>
    <cellStyle name="Normal 69" xfId="1431"/>
    <cellStyle name="Normal 7" xfId="185"/>
    <cellStyle name="Normal 7 2" xfId="186"/>
    <cellStyle name="Normal 7 2 2" xfId="1433"/>
    <cellStyle name="Normal 7 3" xfId="1432"/>
    <cellStyle name="Normal 70" xfId="1434"/>
    <cellStyle name="Normal 71" xfId="1435"/>
    <cellStyle name="Normal 72" xfId="1436"/>
    <cellStyle name="Normal 73" xfId="1437"/>
    <cellStyle name="Normal 74" xfId="187"/>
    <cellStyle name="Normal 74 2" xfId="188"/>
    <cellStyle name="Normal 74 3" xfId="1438"/>
    <cellStyle name="Normal 75" xfId="1439"/>
    <cellStyle name="Normal 76" xfId="1440"/>
    <cellStyle name="Normal 77" xfId="1441"/>
    <cellStyle name="Normal 78" xfId="1442"/>
    <cellStyle name="Normal 79" xfId="1443"/>
    <cellStyle name="Normal 8" xfId="189"/>
    <cellStyle name="Normal 8 2" xfId="1445"/>
    <cellStyle name="Normal 8 2 2" xfId="1446"/>
    <cellStyle name="Normal 8 3" xfId="1444"/>
    <cellStyle name="Normal 80" xfId="1447"/>
    <cellStyle name="Normal 81" xfId="1448"/>
    <cellStyle name="Normal 82" xfId="1449"/>
    <cellStyle name="Normal 83" xfId="1450"/>
    <cellStyle name="Normal 84" xfId="1451"/>
    <cellStyle name="Normal 85" xfId="1452"/>
    <cellStyle name="Normal 86" xfId="1453"/>
    <cellStyle name="Normal 87" xfId="1454"/>
    <cellStyle name="Normal 88" xfId="1455"/>
    <cellStyle name="Normal 89" xfId="1456"/>
    <cellStyle name="Normal 9" xfId="190"/>
    <cellStyle name="Normal 9 2" xfId="1458"/>
    <cellStyle name="Normal 9 3" xfId="1457"/>
    <cellStyle name="Normal 90" xfId="1459"/>
    <cellStyle name="Normal 91" xfId="826"/>
    <cellStyle name="Normal 92" xfId="1796"/>
    <cellStyle name="Normal 93" xfId="1827"/>
    <cellStyle name="Normal 94" xfId="1828"/>
    <cellStyle name="Normal 95" xfId="1829"/>
    <cellStyle name="Normal Bold" xfId="83"/>
    <cellStyle name="Normal Bold 2" xfId="390"/>
    <cellStyle name="Normal Bold 3" xfId="754"/>
    <cellStyle name="Normal_AMCCBLSH" xfId="84"/>
    <cellStyle name="Normal_Book3" xfId="85"/>
    <cellStyle name="Normal_DisclaimerSheet Samples" xfId="1871"/>
    <cellStyle name="Normal_intc(1).o" xfId="86"/>
    <cellStyle name="NormalItalic" xfId="391"/>
    <cellStyle name="Note 10" xfId="1460"/>
    <cellStyle name="Note 11" xfId="1461"/>
    <cellStyle name="Note 12" xfId="1462"/>
    <cellStyle name="Note 2" xfId="266"/>
    <cellStyle name="Note 2 2" xfId="1463"/>
    <cellStyle name="Note 2 3" xfId="1464"/>
    <cellStyle name="Note 3" xfId="1465"/>
    <cellStyle name="Note 3 2" xfId="1466"/>
    <cellStyle name="Note 4" xfId="1467"/>
    <cellStyle name="Note 4 2" xfId="1468"/>
    <cellStyle name="Note 5" xfId="1469"/>
    <cellStyle name="Note 5 2" xfId="1470"/>
    <cellStyle name="Note 6" xfId="1471"/>
    <cellStyle name="Note 6 2" xfId="1472"/>
    <cellStyle name="Note 7" xfId="1473"/>
    <cellStyle name="Note 7 2" xfId="1474"/>
    <cellStyle name="Note 7 3" xfId="1475"/>
    <cellStyle name="Note 8" xfId="1476"/>
    <cellStyle name="Note 8 2" xfId="1477"/>
    <cellStyle name="Note 9" xfId="1478"/>
    <cellStyle name="Note 9 2" xfId="1479"/>
    <cellStyle name="Notes" xfId="755"/>
    <cellStyle name="num,nodecpts" xfId="756"/>
    <cellStyle name="number" xfId="87"/>
    <cellStyle name="Number 2" xfId="757"/>
    <cellStyle name="Number 2 2" xfId="1480"/>
    <cellStyle name="Numbers" xfId="758"/>
    <cellStyle name="Numbers [0]" xfId="759"/>
    <cellStyle name="Œ…‹æØ‚è [0.00]_GE 3 MINIMUM" xfId="88"/>
    <cellStyle name="Œ…‹æØ‚è_GE 3 MINIMUM" xfId="89"/>
    <cellStyle name="Onedec_FT Valuation " xfId="90"/>
    <cellStyle name="OneDecimal" xfId="393"/>
    <cellStyle name="Other%" xfId="394"/>
    <cellStyle name="outh America" xfId="91"/>
    <cellStyle name="Output 2" xfId="267"/>
    <cellStyle name="Override" xfId="760"/>
    <cellStyle name="p " xfId="92"/>
    <cellStyle name="Pass" xfId="191"/>
    <cellStyle name="Pass 2" xfId="395"/>
    <cellStyle name="Pec (2dec,fs)" xfId="761"/>
    <cellStyle name="Percent" xfId="93" builtinId="5"/>
    <cellStyle name="Percent (1)" xfId="396"/>
    <cellStyle name="Percent [2]" xfId="94"/>
    <cellStyle name="Percent [2] 2" xfId="193"/>
    <cellStyle name="Percent [2] 2 2" xfId="1482"/>
    <cellStyle name="Percent [2] 3" xfId="1483"/>
    <cellStyle name="Percent [2] 3 2" xfId="1484"/>
    <cellStyle name="Percent [2] 4" xfId="1485"/>
    <cellStyle name="Percent [2] 4 2" xfId="1486"/>
    <cellStyle name="Percent [2] 5" xfId="1487"/>
    <cellStyle name="Percent [2] 5 2" xfId="1488"/>
    <cellStyle name="Percent [2] 6" xfId="1489"/>
    <cellStyle name="Percent [2] 7" xfId="1490"/>
    <cellStyle name="Percent 10" xfId="194"/>
    <cellStyle name="Percent 10 2" xfId="1491"/>
    <cellStyle name="Percent 10 2 2" xfId="1492"/>
    <cellStyle name="Percent 10 2 2 2" xfId="1493"/>
    <cellStyle name="Percent 10 3" xfId="1494"/>
    <cellStyle name="Percent 10 4" xfId="1495"/>
    <cellStyle name="Percent 10 5" xfId="1496"/>
    <cellStyle name="Percent 10 5 2" xfId="1868"/>
    <cellStyle name="Percent 11" xfId="304"/>
    <cellStyle name="Percent 11 2" xfId="1497"/>
    <cellStyle name="Percent 11 3" xfId="1498"/>
    <cellStyle name="Percent 12" xfId="490"/>
    <cellStyle name="Percent 12 2" xfId="1499"/>
    <cellStyle name="Percent 12 3" xfId="1500"/>
    <cellStyle name="Percent 13" xfId="269"/>
    <cellStyle name="Percent 13 2" xfId="1501"/>
    <cellStyle name="Percent 13 3" xfId="1502"/>
    <cellStyle name="Percent 14" xfId="496"/>
    <cellStyle name="Percent 14 2" xfId="1503"/>
    <cellStyle name="Percent 14 3" xfId="1504"/>
    <cellStyle name="Percent 15" xfId="499"/>
    <cellStyle name="Percent 15 2" xfId="1505"/>
    <cellStyle name="Percent 15 3" xfId="1506"/>
    <cellStyle name="Percent 16" xfId="479"/>
    <cellStyle name="Percent 16 2" xfId="1507"/>
    <cellStyle name="Percent 16 3" xfId="1508"/>
    <cellStyle name="Percent 17" xfId="502"/>
    <cellStyle name="Percent 17 2" xfId="1509"/>
    <cellStyle name="Percent 17 2 2" xfId="1510"/>
    <cellStyle name="Percent 17 3" xfId="1511"/>
    <cellStyle name="Percent 18" xfId="440"/>
    <cellStyle name="Percent 18 2" xfId="1512"/>
    <cellStyle name="Percent 19" xfId="504"/>
    <cellStyle name="Percent 19 2" xfId="1513"/>
    <cellStyle name="Percent 2" xfId="195"/>
    <cellStyle name="Percent 2 2" xfId="196"/>
    <cellStyle name="Percent 2 2 2" xfId="821"/>
    <cellStyle name="Percent 2 2 2 2" xfId="1515"/>
    <cellStyle name="Percent 2 2 2 3" xfId="1857"/>
    <cellStyle name="Percent 2 2 3" xfId="1514"/>
    <cellStyle name="Percent 2 2 4" xfId="1837"/>
    <cellStyle name="Percent 2 3" xfId="197"/>
    <cellStyle name="Percent 2 3 2" xfId="822"/>
    <cellStyle name="Percent 2 3 2 2" xfId="1517"/>
    <cellStyle name="Percent 2 3 2 3" xfId="1858"/>
    <cellStyle name="Percent 2 3 3" xfId="1516"/>
    <cellStyle name="Percent 2 3 4" xfId="1838"/>
    <cellStyle name="Percent 2 4" xfId="280"/>
    <cellStyle name="Percent 2 5" xfId="763"/>
    <cellStyle name="Percent 20" xfId="506"/>
    <cellStyle name="Percent 20 2" xfId="1518"/>
    <cellStyle name="Percent 20 2 2" xfId="1519"/>
    <cellStyle name="Percent 20 3" xfId="1520"/>
    <cellStyle name="Percent 20 4" xfId="1521"/>
    <cellStyle name="Percent 21" xfId="508"/>
    <cellStyle name="Percent 21 2" xfId="1522"/>
    <cellStyle name="Percent 21 2 2" xfId="1523"/>
    <cellStyle name="Percent 21 3" xfId="1524"/>
    <cellStyle name="Percent 21 4" xfId="1525"/>
    <cellStyle name="Percent 22" xfId="485"/>
    <cellStyle name="Percent 22 2" xfId="1527"/>
    <cellStyle name="Percent 22 3" xfId="1526"/>
    <cellStyle name="Percent 22 4" xfId="1841"/>
    <cellStyle name="Percent 23" xfId="484"/>
    <cellStyle name="Percent 23 2" xfId="1529"/>
    <cellStyle name="Percent 23 2 2" xfId="1530"/>
    <cellStyle name="Percent 23 3" xfId="1531"/>
    <cellStyle name="Percent 23 4" xfId="1528"/>
    <cellStyle name="Percent 23 5" xfId="1840"/>
    <cellStyle name="Percent 24" xfId="525"/>
    <cellStyle name="Percent 24 2" xfId="1532"/>
    <cellStyle name="Percent 25" xfId="762"/>
    <cellStyle name="Percent 25 2" xfId="1533"/>
    <cellStyle name="Percent 25 2 2" xfId="1534"/>
    <cellStyle name="Percent 25 3" xfId="1535"/>
    <cellStyle name="Percent 26" xfId="820"/>
    <cellStyle name="Percent 26 2" xfId="1537"/>
    <cellStyle name="Percent 26 3" xfId="1536"/>
    <cellStyle name="Percent 27" xfId="803"/>
    <cellStyle name="Percent 27 2" xfId="1538"/>
    <cellStyle name="Percent 28" xfId="819"/>
    <cellStyle name="Percent 28 2" xfId="1540"/>
    <cellStyle name="Percent 28 3" xfId="1539"/>
    <cellStyle name="Percent 29" xfId="1541"/>
    <cellStyle name="Percent 29 2" xfId="1542"/>
    <cellStyle name="Percent 3" xfId="198"/>
    <cellStyle name="Percent 3 2" xfId="764"/>
    <cellStyle name="Percent 3 2 2" xfId="1543"/>
    <cellStyle name="Percent 3 2 2 2" xfId="1544"/>
    <cellStyle name="Percent 3 2 3" xfId="1545"/>
    <cellStyle name="Percent 3 3" xfId="1546"/>
    <cellStyle name="Percent 3 3 2" xfId="1547"/>
    <cellStyle name="Percent 3 4" xfId="1548"/>
    <cellStyle name="Percent 30" xfId="1549"/>
    <cellStyle name="Percent 30 2" xfId="1550"/>
    <cellStyle name="Percent 31" xfId="1551"/>
    <cellStyle name="Percent 32" xfId="1552"/>
    <cellStyle name="Percent 32 2" xfId="1553"/>
    <cellStyle name="Percent 33" xfId="1554"/>
    <cellStyle name="Percent 33 2" xfId="1555"/>
    <cellStyle name="Percent 34" xfId="1556"/>
    <cellStyle name="Percent 34 2" xfId="1557"/>
    <cellStyle name="Percent 35" xfId="1558"/>
    <cellStyle name="Percent 35 2" xfId="1559"/>
    <cellStyle name="Percent 36" xfId="1560"/>
    <cellStyle name="Percent 36 2" xfId="1561"/>
    <cellStyle name="Percent 37" xfId="1562"/>
    <cellStyle name="Percent 37 2" xfId="1563"/>
    <cellStyle name="Percent 38" xfId="1564"/>
    <cellStyle name="Percent 38 2" xfId="1565"/>
    <cellStyle name="Percent 39" xfId="1566"/>
    <cellStyle name="Percent 39 2" xfId="1567"/>
    <cellStyle name="Percent 4" xfId="199"/>
    <cellStyle name="Percent 4 2" xfId="200"/>
    <cellStyle name="Percent 4 2 2" xfId="1569"/>
    <cellStyle name="Percent 4 2 3" xfId="1568"/>
    <cellStyle name="Percent 4 3" xfId="482"/>
    <cellStyle name="Percent 4 3 2" xfId="1570"/>
    <cellStyle name="Percent 4 4" xfId="765"/>
    <cellStyle name="Percent 40" xfId="1571"/>
    <cellStyle name="Percent 41" xfId="1572"/>
    <cellStyle name="Percent 42" xfId="1573"/>
    <cellStyle name="Percent 42 2" xfId="1574"/>
    <cellStyle name="Percent 43" xfId="1575"/>
    <cellStyle name="Percent 43 2" xfId="1576"/>
    <cellStyle name="Percent 44" xfId="1577"/>
    <cellStyle name="Percent 44 2" xfId="1578"/>
    <cellStyle name="Percent 44 2 2" xfId="1579"/>
    <cellStyle name="Percent 45" xfId="1580"/>
    <cellStyle name="Percent 45 2" xfId="1581"/>
    <cellStyle name="Percent 45 2 2" xfId="1582"/>
    <cellStyle name="Percent 46" xfId="1583"/>
    <cellStyle name="Percent 46 2" xfId="1584"/>
    <cellStyle name="Percent 46 2 2" xfId="1585"/>
    <cellStyle name="Percent 47" xfId="1586"/>
    <cellStyle name="Percent 47 2" xfId="1587"/>
    <cellStyle name="Percent 47 2 2" xfId="1588"/>
    <cellStyle name="Percent 48" xfId="1589"/>
    <cellStyle name="Percent 48 2" xfId="1590"/>
    <cellStyle name="Percent 48 2 2" xfId="1591"/>
    <cellStyle name="Percent 49" xfId="1592"/>
    <cellStyle name="Percent 49 2" xfId="1593"/>
    <cellStyle name="Percent 5" xfId="192"/>
    <cellStyle name="Percent 5 2" xfId="1595"/>
    <cellStyle name="Percent 5 2 2" xfId="1596"/>
    <cellStyle name="Percent 5 3" xfId="1597"/>
    <cellStyle name="Percent 5 4" xfId="1594"/>
    <cellStyle name="Percent 50" xfId="1598"/>
    <cellStyle name="Percent 50 2" xfId="1599"/>
    <cellStyle name="Percent 51" xfId="1600"/>
    <cellStyle name="Percent 51 2" xfId="1601"/>
    <cellStyle name="Percent 52" xfId="1602"/>
    <cellStyle name="Percent 52 2" xfId="1603"/>
    <cellStyle name="Percent 53" xfId="1604"/>
    <cellStyle name="Percent 53 2" xfId="1605"/>
    <cellStyle name="Percent 54" xfId="1606"/>
    <cellStyle name="Percent 54 2" xfId="1607"/>
    <cellStyle name="Percent 55" xfId="1608"/>
    <cellStyle name="Percent 55 2" xfId="1609"/>
    <cellStyle name="Percent 56" xfId="1610"/>
    <cellStyle name="Percent 57" xfId="1611"/>
    <cellStyle name="Percent 58" xfId="1612"/>
    <cellStyle name="Percent 59" xfId="1613"/>
    <cellStyle name="Percent 6" xfId="216"/>
    <cellStyle name="Percent 6 2" xfId="1615"/>
    <cellStyle name="Percent 6 2 2" xfId="1616"/>
    <cellStyle name="Percent 6 3" xfId="1617"/>
    <cellStyle name="Percent 6 4" xfId="1614"/>
    <cellStyle name="Percent 60" xfId="1618"/>
    <cellStyle name="Percent 61" xfId="1619"/>
    <cellStyle name="Percent 62" xfId="1620"/>
    <cellStyle name="Percent 63" xfId="1621"/>
    <cellStyle name="Percent 64" xfId="1622"/>
    <cellStyle name="Percent 64 2" xfId="1623"/>
    <cellStyle name="Percent 64 3" xfId="1624"/>
    <cellStyle name="Percent 65" xfId="1625"/>
    <cellStyle name="Percent 65 2" xfId="1626"/>
    <cellStyle name="Percent 65 3" xfId="1627"/>
    <cellStyle name="Percent 66" xfId="1628"/>
    <cellStyle name="Percent 66 2" xfId="1629"/>
    <cellStyle name="Percent 66 3" xfId="1630"/>
    <cellStyle name="Percent 67" xfId="1631"/>
    <cellStyle name="Percent 67 2" xfId="1632"/>
    <cellStyle name="Percent 67 3" xfId="1633"/>
    <cellStyle name="Percent 68" xfId="1634"/>
    <cellStyle name="Percent 68 2" xfId="1635"/>
    <cellStyle name="Percent 68 3" xfId="1636"/>
    <cellStyle name="Percent 69" xfId="1637"/>
    <cellStyle name="Percent 69 2" xfId="1638"/>
    <cellStyle name="Percent 69 3" xfId="1639"/>
    <cellStyle name="Percent 7" xfId="167"/>
    <cellStyle name="Percent 7 2" xfId="1641"/>
    <cellStyle name="Percent 7 3" xfId="1640"/>
    <cellStyle name="Percent 70" xfId="1642"/>
    <cellStyle name="Percent 70 2" xfId="1643"/>
    <cellStyle name="Percent 70 3" xfId="1644"/>
    <cellStyle name="Percent 71" xfId="1645"/>
    <cellStyle name="Percent 71 2" xfId="1646"/>
    <cellStyle name="Percent 72" xfId="1647"/>
    <cellStyle name="Percent 73" xfId="1648"/>
    <cellStyle name="Percent 73 2" xfId="1649"/>
    <cellStyle name="Percent 74" xfId="1650"/>
    <cellStyle name="Percent 74 2" xfId="1651"/>
    <cellStyle name="Percent 75" xfId="1652"/>
    <cellStyle name="Percent 75 2" xfId="1653"/>
    <cellStyle name="Percent 76" xfId="1654"/>
    <cellStyle name="Percent 76 2" xfId="1655"/>
    <cellStyle name="Percent 77" xfId="1656"/>
    <cellStyle name="Percent 77 2" xfId="1657"/>
    <cellStyle name="Percent 78" xfId="1658"/>
    <cellStyle name="Percent 78 2" xfId="1659"/>
    <cellStyle name="Percent 79" xfId="1660"/>
    <cellStyle name="Percent 8" xfId="217"/>
    <cellStyle name="Percent 8 2" xfId="1662"/>
    <cellStyle name="Percent 8 3" xfId="1663"/>
    <cellStyle name="Percent 8 4" xfId="1664"/>
    <cellStyle name="Percent 8 4 2" xfId="1869"/>
    <cellStyle name="Percent 8 5" xfId="1661"/>
    <cellStyle name="Percent 80" xfId="1665"/>
    <cellStyle name="Percent 81" xfId="1666"/>
    <cellStyle name="Percent 82" xfId="1667"/>
    <cellStyle name="Percent 83" xfId="1668"/>
    <cellStyle name="Percent 84" xfId="1669"/>
    <cellStyle name="Percent 85" xfId="1670"/>
    <cellStyle name="Percent 86" xfId="1671"/>
    <cellStyle name="Percent 87" xfId="1672"/>
    <cellStyle name="Percent 88" xfId="1673"/>
    <cellStyle name="Percent 89" xfId="1674"/>
    <cellStyle name="Percent 9" xfId="268"/>
    <cellStyle name="Percent 9 2" xfId="1675"/>
    <cellStyle name="Percent 9 2 2" xfId="1676"/>
    <cellStyle name="Percent 9 3" xfId="1677"/>
    <cellStyle name="Percent 9 4" xfId="1678"/>
    <cellStyle name="Percent 9 4 2" xfId="1679"/>
    <cellStyle name="Percent 9 5" xfId="1680"/>
    <cellStyle name="Percent 9 5 2" xfId="1870"/>
    <cellStyle name="Percent 90" xfId="1681"/>
    <cellStyle name="Percent 91" xfId="1682"/>
    <cellStyle name="Percent 92" xfId="1481"/>
    <cellStyle name="Percent 93" xfId="1825"/>
    <cellStyle name="Percent 94" xfId="1817"/>
    <cellStyle name="Percent 95" xfId="1824"/>
    <cellStyle name="Percent 96" xfId="1832"/>
    <cellStyle name="Percent.0" xfId="1683"/>
    <cellStyle name="Percent[1]" xfId="397"/>
    <cellStyle name="Percent0" xfId="398"/>
    <cellStyle name="Percent1" xfId="399"/>
    <cellStyle name="Percent1 2" xfId="766"/>
    <cellStyle name="Percent2" xfId="400"/>
    <cellStyle name="Percent2 2" xfId="767"/>
    <cellStyle name="percentage" xfId="401"/>
    <cellStyle name="Percentage[1]" xfId="768"/>
    <cellStyle name="PercentChange" xfId="769"/>
    <cellStyle name="Percent-Input" xfId="402"/>
    <cellStyle name="PercentPresentation" xfId="403"/>
    <cellStyle name="POPS" xfId="404"/>
    <cellStyle name="PresentationZero" xfId="405"/>
    <cellStyle name="price" xfId="406"/>
    <cellStyle name="ProgramVariable" xfId="770"/>
    <cellStyle name="ProtectedDates" xfId="95"/>
    <cellStyle name="q_AA - BenefitsBonus " xfId="201"/>
    <cellStyle name="Ratio" xfId="771"/>
    <cellStyle name="Ratios" xfId="772"/>
    <cellStyle name="RatioX" xfId="773"/>
    <cellStyle name="RED" xfId="96"/>
    <cellStyle name="Ref Numbers" xfId="774"/>
    <cellStyle name="Report" xfId="775"/>
    <cellStyle name="Restruct" xfId="97"/>
    <cellStyle name="Restruct 2" xfId="407"/>
    <cellStyle name="Restruct 2 2" xfId="1684"/>
    <cellStyle name="Restruct 3" xfId="823"/>
    <cellStyle name="Restruct 3 2" xfId="1859"/>
    <cellStyle name="RevList" xfId="408"/>
    <cellStyle name="Right" xfId="98"/>
    <cellStyle name="Role" xfId="776"/>
    <cellStyle name="RRSInstruction" xfId="99"/>
    <cellStyle name="RRSInstruction 2" xfId="276"/>
    <cellStyle name="s_DCFLBO Code_Wireline Tel Forecast " xfId="100"/>
    <cellStyle name="s_HardInc " xfId="101"/>
    <cellStyle name="s_HardInc _Catalog" xfId="409"/>
    <cellStyle name="s_HardInc _JapaneseCatalog" xfId="410"/>
    <cellStyle name="s_HardInc _RRST1" xfId="202"/>
    <cellStyle name="s_HardInc _RRST1 2" xfId="1685"/>
    <cellStyle name="s_HardInc _RRST12" xfId="1686"/>
    <cellStyle name="s_HardInc _RRST19" xfId="1687"/>
    <cellStyle name="s_HardInc _RRST19 2" xfId="1688"/>
    <cellStyle name="s_HardInc _RRST20" xfId="1689"/>
    <cellStyle name="s_HardInc _RRST20 2" xfId="1690"/>
    <cellStyle name="s_HardInc _RRST25" xfId="1691"/>
    <cellStyle name="s_HardInc _RRST25 2" xfId="1692"/>
    <cellStyle name="s_HardInc _RRST3" xfId="1693"/>
    <cellStyle name="s_HardInc _RRST6" xfId="1694"/>
    <cellStyle name="s_HardInc _RRST6 2" xfId="1695"/>
    <cellStyle name="s_HardInc _RRST9" xfId="1696"/>
    <cellStyle name="s_HardInc _RRST9 2" xfId="1697"/>
    <cellStyle name="s_Valuation " xfId="102"/>
    <cellStyle name="s_Valuation _Catalog" xfId="411"/>
    <cellStyle name="s_Valuation _JapaneseCatalog" xfId="412"/>
    <cellStyle name="s_Valuation _RRST1" xfId="203"/>
    <cellStyle name="s_Valuation _RRST1 2" xfId="1698"/>
    <cellStyle name="s_Valuation _RRST12" xfId="1699"/>
    <cellStyle name="s_Valuation _RRST19" xfId="1700"/>
    <cellStyle name="s_Valuation _RRST19 2" xfId="1701"/>
    <cellStyle name="s_Valuation _RRST20" xfId="1702"/>
    <cellStyle name="s_Valuation _RRST20 2" xfId="1703"/>
    <cellStyle name="s_Valuation _RRST25" xfId="1704"/>
    <cellStyle name="s_Valuation _RRST25 2" xfId="1705"/>
    <cellStyle name="s_Valuation _RRST3" xfId="1706"/>
    <cellStyle name="s_Valuation _RRST6" xfId="1707"/>
    <cellStyle name="s_Valuation _RRST6 2" xfId="1708"/>
    <cellStyle name="s_Valuation _RRST9" xfId="1709"/>
    <cellStyle name="s_Valuation _RRST9 2" xfId="1710"/>
    <cellStyle name="ScripFactor" xfId="777"/>
    <cellStyle name="SectionHeading" xfId="778"/>
    <cellStyle name="Shade" xfId="779"/>
    <cellStyle name="Shaded" xfId="413"/>
    <cellStyle name="Shares" xfId="414"/>
    <cellStyle name="Source Line" xfId="780"/>
    <cellStyle name="SPEC" xfId="781"/>
    <cellStyle name="ssp " xfId="103"/>
    <cellStyle name="Standard" xfId="782"/>
    <cellStyle name="Style 1" xfId="104"/>
    <cellStyle name="Style 1 10" xfId="1711"/>
    <cellStyle name="Style 1 10 2" xfId="1712"/>
    <cellStyle name="Style 1 11" xfId="1713"/>
    <cellStyle name="Style 1 11 2" xfId="1714"/>
    <cellStyle name="Style 1 12" xfId="1715"/>
    <cellStyle name="Style 1 13" xfId="1716"/>
    <cellStyle name="Style 1 14" xfId="1717"/>
    <cellStyle name="Style 1 15" xfId="1718"/>
    <cellStyle name="Style 1 2" xfId="204"/>
    <cellStyle name="Style 1 2 2" xfId="1719"/>
    <cellStyle name="Style 1 2 2 2" xfId="1720"/>
    <cellStyle name="Style 1 2 3" xfId="1721"/>
    <cellStyle name="Style 1 2 4" xfId="1722"/>
    <cellStyle name="Style 1 3" xfId="1723"/>
    <cellStyle name="Style 1 3 2" xfId="1724"/>
    <cellStyle name="Style 1 3 2 2" xfId="1725"/>
    <cellStyle name="Style 1 3 2 2 2" xfId="1726"/>
    <cellStyle name="Style 1 3 2 3" xfId="1727"/>
    <cellStyle name="Style 1 3 2 4" xfId="1728"/>
    <cellStyle name="Style 1 3 2 5" xfId="1729"/>
    <cellStyle name="Style 1 3 2 6" xfId="1730"/>
    <cellStyle name="Style 1 3 3" xfId="1731"/>
    <cellStyle name="Style 1 3 3 2" xfId="1732"/>
    <cellStyle name="Style 1 3 4" xfId="1733"/>
    <cellStyle name="Style 1 3 5" xfId="1734"/>
    <cellStyle name="Style 1 3 6" xfId="1735"/>
    <cellStyle name="Style 1 3 7" xfId="1736"/>
    <cellStyle name="Style 1 3 8" xfId="1737"/>
    <cellStyle name="Style 1 4" xfId="1738"/>
    <cellStyle name="Style 1 4 2" xfId="1739"/>
    <cellStyle name="Style 1 4 2 2" xfId="1740"/>
    <cellStyle name="Style 1 4 2 2 2" xfId="1741"/>
    <cellStyle name="Style 1 4 2 3" xfId="1742"/>
    <cellStyle name="Style 1 4 2 4" xfId="1743"/>
    <cellStyle name="Style 1 4 3" xfId="1744"/>
    <cellStyle name="Style 1 4 3 2" xfId="1745"/>
    <cellStyle name="Style 1 4 4" xfId="1746"/>
    <cellStyle name="Style 1 4 5" xfId="1747"/>
    <cellStyle name="Style 1 5" xfId="1748"/>
    <cellStyle name="Style 1 5 2" xfId="1749"/>
    <cellStyle name="Style 1 5 2 2" xfId="1750"/>
    <cellStyle name="Style 1 5 2 2 2" xfId="1751"/>
    <cellStyle name="Style 1 5 2 3" xfId="1752"/>
    <cellStyle name="Style 1 5 3" xfId="1753"/>
    <cellStyle name="Style 1 5 4" xfId="1754"/>
    <cellStyle name="Style 1 5 5" xfId="1755"/>
    <cellStyle name="Style 1 6" xfId="1756"/>
    <cellStyle name="Style 1 6 2" xfId="1757"/>
    <cellStyle name="Style 1 6 2 2" xfId="1758"/>
    <cellStyle name="Style 1 6 2 3" xfId="1759"/>
    <cellStyle name="Style 1 6 3" xfId="1760"/>
    <cellStyle name="Style 1 6 4" xfId="1761"/>
    <cellStyle name="Style 1 7" xfId="1762"/>
    <cellStyle name="Style 1 7 2" xfId="1763"/>
    <cellStyle name="Style 1 7 3" xfId="1764"/>
    <cellStyle name="Style 1 7 4" xfId="1765"/>
    <cellStyle name="Style 1 8" xfId="1766"/>
    <cellStyle name="Style 1 8 2" xfId="1767"/>
    <cellStyle name="Style 1 8 3" xfId="1768"/>
    <cellStyle name="Style 1 9" xfId="1769"/>
    <cellStyle name="Style 1 9 2" xfId="1770"/>
    <cellStyle name="Style 1_Exhibits" xfId="1771"/>
    <cellStyle name="Style 2" xfId="105"/>
    <cellStyle name="Style 2 2" xfId="205"/>
    <cellStyle name="Style 2 2 2" xfId="1772"/>
    <cellStyle name="Style 2 3" xfId="1773"/>
    <cellStyle name="Style 2 3 2" xfId="1774"/>
    <cellStyle name="Style 2 4" xfId="1775"/>
    <cellStyle name="Style 2 4 2" xfId="1776"/>
    <cellStyle name="Style 2 5" xfId="1777"/>
    <cellStyle name="Style 2 5 2" xfId="1778"/>
    <cellStyle name="Style 2 6" xfId="1779"/>
    <cellStyle name="Style 24" xfId="415"/>
    <cellStyle name="Style 26" xfId="416"/>
    <cellStyle name="Style 27" xfId="417"/>
    <cellStyle name="Style 3" xfId="106"/>
    <cellStyle name="Style 3 2" xfId="206"/>
    <cellStyle name="Style 3 2 2" xfId="1780"/>
    <cellStyle name="Style 32" xfId="442"/>
    <cellStyle name="Style 4" xfId="107"/>
    <cellStyle name="Style 4 2" xfId="207"/>
    <cellStyle name="Style 4 2 2" xfId="1781"/>
    <cellStyle name="Style 5" xfId="108"/>
    <cellStyle name="Style 5 2" xfId="208"/>
    <cellStyle name="Style 5 2 2" xfId="1783"/>
    <cellStyle name="Style 5 2 3" xfId="1782"/>
    <cellStyle name="Style 5 3" xfId="526"/>
    <cellStyle name="Style 5 3 2" xfId="1784"/>
    <cellStyle name="Style 5 4" xfId="1785"/>
    <cellStyle name="Style 5 4 2" xfId="1786"/>
    <cellStyle name="Style 5 5" xfId="1787"/>
    <cellStyle name="Style 5 5 2" xfId="1788"/>
    <cellStyle name="Style 5 6" xfId="1789"/>
    <cellStyle name="Style 5 7" xfId="1790"/>
    <cellStyle name="Style 6" xfId="209"/>
    <cellStyle name="Style 7" xfId="210"/>
    <cellStyle name="Style 8" xfId="211"/>
    <cellStyle name="STYLE1" xfId="418"/>
    <cellStyle name="STYLE2" xfId="419"/>
    <cellStyle name="SubDollar" xfId="420"/>
    <cellStyle name="SubGrowthRate" xfId="421"/>
    <cellStyle name="Subhead" xfId="422"/>
    <cellStyle name="Subscribers" xfId="423"/>
    <cellStyle name="Subtotal" xfId="424"/>
    <cellStyle name="SubVariable" xfId="425"/>
    <cellStyle name="Synopsis" xfId="783"/>
    <cellStyle name="Table Heading" xfId="426"/>
    <cellStyle name="Table Title" xfId="427"/>
    <cellStyle name="Table Units" xfId="428"/>
    <cellStyle name="TableName" xfId="429"/>
    <cellStyle name="TableName 2" xfId="784"/>
    <cellStyle name="Text Wrap" xfId="430"/>
    <cellStyle name="textbold" xfId="109"/>
    <cellStyle name="textbold 2" xfId="1791"/>
    <cellStyle name="Text-fin statements" xfId="785"/>
    <cellStyle name="Title 2" xfId="271"/>
    <cellStyle name="Title Line" xfId="786"/>
    <cellStyle name="title1" xfId="110"/>
    <cellStyle name="title2" xfId="111"/>
    <cellStyle name="TitleBar" xfId="787"/>
    <cellStyle name="TitleII" xfId="431"/>
    <cellStyle name="Titles" xfId="112"/>
    <cellStyle name="Titles 2" xfId="788"/>
    <cellStyle name="top" xfId="432"/>
    <cellStyle name="Top Line" xfId="113"/>
    <cellStyle name="Top Row" xfId="789"/>
    <cellStyle name="Top Row 2" xfId="1793"/>
    <cellStyle name="Top Row 3" xfId="1792"/>
    <cellStyle name="top-title" xfId="433"/>
    <cellStyle name="Total 2" xfId="273"/>
    <cellStyle name="Total 2 2" xfId="1795"/>
    <cellStyle name="Total 2 3" xfId="1794"/>
    <cellStyle name="Total Row" xfId="790"/>
    <cellStyle name="Totals" xfId="114"/>
    <cellStyle name="underline 1 decimal" xfId="115"/>
    <cellStyle name="UnderlineNormal" xfId="434"/>
    <cellStyle name="UnderlineNormal 2" xfId="791"/>
    <cellStyle name="Unprot" xfId="435"/>
    <cellStyle name="Unprot$" xfId="436"/>
    <cellStyle name="Unprotect" xfId="437"/>
    <cellStyle name="Unprotected" xfId="438"/>
    <cellStyle name="UnProtectedCalc" xfId="116"/>
    <cellStyle name="Upload Only" xfId="117"/>
    <cellStyle name="Upload Only 2" xfId="439"/>
    <cellStyle name="Use_1dp" xfId="792"/>
    <cellStyle name="UseB_1dp" xfId="793"/>
    <cellStyle name="Warning Text 2" xfId="274"/>
    <cellStyle name="WholeNumber" xfId="469"/>
    <cellStyle name="Year" xfId="118"/>
    <cellStyle name="Year 2" xfId="213"/>
    <cellStyle name="Year 2 2" xfId="1797"/>
    <cellStyle name="Year 3" xfId="1798"/>
    <cellStyle name="Year 3 2" xfId="1799"/>
    <cellStyle name="Year 4" xfId="1800"/>
    <cellStyle name="Year 4 2" xfId="1801"/>
    <cellStyle name="Year 5" xfId="1802"/>
    <cellStyle name="Year 5 2" xfId="1803"/>
    <cellStyle name="Year 6" xfId="1804"/>
    <cellStyle name="Year 7" xfId="1805"/>
    <cellStyle name="Year_FT Valuation " xfId="794"/>
    <cellStyle name="Years" xfId="441"/>
    <cellStyle name="パーセント_QTBLNEW" xfId="1806"/>
    <cellStyle name="뷭?_BOOKSHIP_실적현황 " xfId="1807"/>
    <cellStyle name="쉼표_매출총괄(02)" xfId="470"/>
    <cellStyle name="쬞\?1@" xfId="214"/>
    <cellStyle name="콤마 [0]_   " xfId="1808"/>
    <cellStyle name="콤마_   " xfId="1809"/>
    <cellStyle name="통화 [0]_AP02MSEst" xfId="1810"/>
    <cellStyle name="통화_AP02MSEst" xfId="1811"/>
    <cellStyle name="표준_AP02MSEst" xfId="1812"/>
    <cellStyle name="하이퍼링크_000727 IMT-2000 시설투자물량(4210) 4FA고려 필요 " xfId="1813"/>
    <cellStyle name="一般_Book2" xfId="795"/>
    <cellStyle name="千分位[0]_Book2" xfId="796"/>
    <cellStyle name="千分位_Book2" xfId="797"/>
    <cellStyle name="未定義" xfId="472"/>
    <cellStyle name="桁区切り [0.00]_new dif survey sheet" xfId="1814"/>
    <cellStyle name="標準_5401a" xfId="473"/>
    <cellStyle name="百分比_Comp1-QSI,Liteon" xfId="798"/>
    <cellStyle name="貨幣 [0]_Book2" xfId="799"/>
    <cellStyle name="貨幣_Book2" xfId="800"/>
    <cellStyle name="超連結_Comp-Global" xfId="801"/>
  </cellStyles>
  <dxfs count="10"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3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 t="s">
        <v xml:space="preserve">– </v>
        <stp/>
        <stp>2777f96a-436d-42c4-b13d-d63dd7ef8492</stp>
        <tr r="AT92" s="1"/>
      </tp>
      <tp t="s">
        <v xml:space="preserve">– </v>
        <stp/>
        <stp>c9ee187a-ae57-4dbd-9ba1-999cdd0491fc</stp>
        <tr r="BA92" s="1"/>
      </tp>
      <tp t="s">
        <v xml:space="preserve">– </v>
        <stp/>
        <stp>5db78df2-484b-4961-bdbe-3f6a791ad109</stp>
        <tr r="BC92" s="1"/>
      </tp>
      <tp t="s">
        <v xml:space="preserve">– </v>
        <stp/>
        <stp>73af461f-8487-40cb-9956-fed09677a370</stp>
        <tr r="BI92" s="1"/>
      </tp>
      <tp>
        <v>15696</v>
        <stp/>
        <stp>6fb64f10-254c-4171-ae77-f700f143d8a3</stp>
        <tr r="BC9" s="1"/>
      </tp>
      <tp t="s">
        <v xml:space="preserve">– </v>
        <stp/>
        <stp>bbb15dfd-cc41-4c01-8cb7-f872527c2768</stp>
        <tr r="BE92" s="1"/>
      </tp>
      <tp t="s">
        <v xml:space="preserve">                                                      Manual Calculation                                                      </v>
        <stp/>
        <stp>b601cb94-945a-4bef-8fd5-ebe04273945f</stp>
        <tr r="AM9" s="1"/>
      </tp>
      <tp t="s">
        <v xml:space="preserve">– </v>
        <stp/>
        <stp>03536292-95db-4e27-b6c2-057524772a30</stp>
        <tr r="AV92" s="1"/>
      </tp>
      <tp t="s">
        <v xml:space="preserve">– </v>
        <stp/>
        <stp>c730c1c9-0890-43be-95fb-b8b0e435041b</stp>
        <tr r="AY92" s="1"/>
      </tp>
      <tp t="s">
        <v xml:space="preserve">– </v>
        <stp/>
        <stp>89795637-af18-46b3-a6b8-162d65713216</stp>
        <tr r="BF92" s="1"/>
      </tp>
      <tp t="s">
        <v xml:space="preserve">                                                       Manual Calculation                                                       </v>
        <stp/>
        <stp>9bbe7591-a4d7-4547-94fd-5583b9dade97</stp>
        <tr r="AI92" s="1"/>
      </tp>
      <tp t="s">
        <v xml:space="preserve">                                                      Manual Calculation                                                      </v>
        <stp/>
        <stp>4fb0d9ec-2154-4c6f-8c3e-da4060ed1fc6</stp>
        <tr r="AS9" s="1"/>
      </tp>
      <tp t="s">
        <v xml:space="preserve">                                                      Manual Calculation                                                      </v>
        <stp/>
        <stp>9a8bb1c4-0775-4403-b45b-1bf26915924a</stp>
        <tr r="AO9" s="1"/>
      </tp>
      <tp t="s">
        <v xml:space="preserve">– </v>
        <stp/>
        <stp>7281bfe4-4547-4975-b17f-8588ae37c2fb</stp>
        <tr r="AN92" s="1"/>
      </tp>
      <tp t="s">
        <v xml:space="preserve">                                                      Manual Calculation                                                      </v>
        <stp/>
        <stp>12446a46-48b2-4e7b-961b-1a275badc737</stp>
        <tr r="AT9" s="1"/>
      </tp>
      <tp t="s">
        <v xml:space="preserve">– </v>
        <stp/>
        <stp>540ee4a2-99d0-4813-b663-fc4179c76f46</stp>
        <tr r="AK92" s="1"/>
      </tp>
      <tp>
        <v>15320</v>
        <stp/>
        <stp>433d774b-3d52-4ef3-9c52-5bc4be7807cf</stp>
        <tr r="BF9" s="1"/>
      </tp>
      <tp t="s">
        <v xml:space="preserve">                                                      Manual Calculation                                                      </v>
        <stp/>
        <stp>01f21de4-fe53-4f41-9192-c06d38f88240</stp>
        <tr r="AH9" s="1"/>
      </tp>
      <tp>
        <v>14812</v>
        <stp/>
        <stp>66b75518-2af5-4423-a474-51b5b1345646</stp>
        <tr r="BD9" s="1"/>
      </tp>
      <tp t="s">
        <v xml:space="preserve">– </v>
        <stp/>
        <stp>a685ef00-4034-4ea0-a5af-5b30ad219040</stp>
        <tr r="AL92" s="1"/>
      </tp>
      <tp t="s">
        <v xml:space="preserve">                                       Manual Calculation                                       </v>
        <stp/>
        <stp>19acf0c0-995a-451a-ad37-e2b01d2cb76f</stp>
        <tr r="BK9" s="1"/>
      </tp>
      <tp t="s">
        <v xml:space="preserve">                                                      Manual Calculation                                                      </v>
        <stp/>
        <stp>7e84f2ad-b233-49a3-aef2-a608c378df70</stp>
        <tr r="AR9" s="1"/>
      </tp>
      <tp t="s">
        <v xml:space="preserve">– </v>
        <stp/>
        <stp>6ad1d4f3-d894-4bae-afce-be55de0e13f7</stp>
        <tr r="AU92" s="1"/>
      </tp>
      <tp t="s">
        <v xml:space="preserve">                                                      Manual Calculation                                                      </v>
        <stp/>
        <stp>3826bfa9-29ed-4fde-8023-42896400d85f</stp>
        <tr r="AK9" s="1"/>
      </tp>
      <tp t="s">
        <v xml:space="preserve">– </v>
        <stp/>
        <stp>acfd761d-c39a-464d-965e-5aebc6d0c57f</stp>
        <tr r="AR92" s="1"/>
      </tp>
      <tp t="s">
        <v xml:space="preserve">– </v>
        <stp/>
        <stp>25b80890-c6b7-474b-8089-626ccbbdaa56</stp>
        <tr r="AQ92" s="1"/>
      </tp>
      <tp t="s">
        <v xml:space="preserve">                                                      Manual Calculation                                                      </v>
        <stp/>
        <stp>9d4495a9-b251-4b01-903b-b46614c217a3</stp>
        <tr r="AP9" s="1"/>
      </tp>
      <tp t="s">
        <v xml:space="preserve">– </v>
        <stp/>
        <stp>a5c5ccd5-374d-478c-8a49-7017212dd49f</stp>
        <tr r="BG92" s="1"/>
      </tp>
      <tp>
        <v>14405</v>
        <stp/>
        <stp>488e7867-7c44-4c7c-b70e-63cc7c73b3e4</stp>
        <tr r="BE9" s="1"/>
      </tp>
    </main>
    <main first="thomsononeaddinshim.rtdformula">
      <tp t="s">
        <v xml:space="preserve">– </v>
        <stp/>
        <stp>f0de2d0b-8a86-4f3b-94fa-605658d078d0</stp>
        <tr r="AS92" s="1"/>
      </tp>
      <tp t="s">
        <v xml:space="preserve">                     Manual Calculation                     </v>
        <stp/>
        <stp>27514350-de41-4fcb-bb7f-114508bc2d0d</stp>
        <tr r="AY9" s="1"/>
      </tp>
      <tp t="s">
        <v xml:space="preserve">– </v>
        <stp/>
        <stp>1aa869dc-cc3e-4479-9ac1-3c51bb8db815</stp>
        <tr r="AX92" s="1"/>
      </tp>
      <tp t="s">
        <v xml:space="preserve">                                       Manual Calculation                                       </v>
        <stp/>
        <stp>f51457cf-43fe-4685-8d93-f7258b0c47b4</stp>
        <tr r="BJ9" s="1"/>
      </tp>
      <tp t="s">
        <v xml:space="preserve">– </v>
        <stp/>
        <stp>5ccbdaf6-a5ee-45a2-a794-66faccee5e1a</stp>
        <tr r="BB92" s="1"/>
      </tp>
      <tp t="s">
        <v xml:space="preserve">– </v>
        <stp/>
        <stp>7de9fc84-c2e4-47c8-a269-8a7ae4d42f1c</stp>
        <tr r="AJ92" s="1"/>
      </tp>
      <tp t="s">
        <v xml:space="preserve">                                                       Manual Calculation                                                       </v>
        <stp/>
        <stp>2adc9309-812e-4333-89b1-e12bcedaa548</stp>
        <tr r="AG92" s="1"/>
      </tp>
      <tp t="s">
        <v xml:space="preserve">– </v>
        <stp/>
        <stp>d5365a2e-26db-4fd2-a9c6-36b9e888ecb6</stp>
        <tr r="BK92" s="1"/>
      </tp>
      <tp t="s">
        <v xml:space="preserve">– </v>
        <stp/>
        <stp>a2837ab1-bed5-4cc7-9f98-be8eb23623d8</stp>
        <tr r="AP92" s="1"/>
      </tp>
      <tp t="s">
        <v xml:space="preserve">– </v>
        <stp/>
        <stp>63905ee0-fb17-4964-a52f-79587f5dc52c</stp>
        <tr r="AZ92" s="1"/>
      </tp>
      <tp t="s">
        <v xml:space="preserve">                                                      Manual Calculation                                                      </v>
        <stp/>
        <stp>a6b95dc3-2d91-4a68-907e-6ed3ae5ef3ea</stp>
        <tr r="AU9" s="1"/>
      </tp>
      <tp t="s">
        <v xml:space="preserve">                        Manual Calculation                        </v>
        <stp/>
        <stp>cd2d387e-a872-4d3c-9031-956a2c6daf09</stp>
        <tr r="AW9" s="1"/>
      </tp>
      <tp t="s">
        <v xml:space="preserve">                                                      Manual Calculation                                                      </v>
        <stp/>
        <stp>cb8523d6-652f-4ba6-b74c-2a061f904265</stp>
        <tr r="AN9" s="1"/>
      </tp>
      <tp t="s">
        <v xml:space="preserve">                                                      Manual Calculation                                                      </v>
        <stp/>
        <stp>fab6564b-7c70-4b94-874c-a3607b2c6af5</stp>
        <tr r="AI9" s="1"/>
      </tp>
      <tp>
        <v>15696</v>
        <stp/>
        <stp>c5eed388-1463-4c1b-94d5-5ef3b2b9c782</stp>
        <tr r="BG9" s="1"/>
      </tp>
      <tp t="s">
        <v xml:space="preserve">                                                      Manual Calculation                                                      </v>
        <stp/>
        <stp>fe878264-38ae-4751-b3a3-27a5db7e2068</stp>
        <tr r="AG9" s="1"/>
      </tp>
      <tp t="s">
        <v xml:space="preserve">                                                      Manual Calculation                                                      </v>
        <stp/>
        <stp>c679f18c-d633-4a08-b1a1-48f97c1d2346</stp>
        <tr r="AJ9" s="1"/>
      </tp>
      <tp t="s">
        <v xml:space="preserve">                     Manual Calculation                     </v>
        <stp/>
        <stp>18fa653b-a249-47ba-a818-792f6b5de52c</stp>
        <tr r="AX9" s="1"/>
      </tp>
      <tp t="s">
        <v xml:space="preserve">                                       Manual Calculation                                       </v>
        <stp/>
        <stp>6e020b95-303c-4c55-b836-93df7fb99525</stp>
        <tr r="BH9" s="1"/>
      </tp>
      <tp t="s">
        <v xml:space="preserve">                                                       Manual Calculation                                                       </v>
        <stp/>
        <stp>4788bbd0-2c9f-44f2-8574-0b9b26febe79</stp>
        <tr r="AH92" s="1"/>
      </tp>
      <tp t="s">
        <v xml:space="preserve">– </v>
        <stp/>
        <stp>a3b95020-f0af-4e69-be77-7808112ba184</stp>
        <tr r="AW92" s="1"/>
      </tp>
      <tp t="s">
        <v xml:space="preserve">– </v>
        <stp/>
        <stp>7746ee72-5d1c-4f60-b32e-41eed44633b9</stp>
        <tr r="BD92" s="1"/>
      </tp>
      <tp t="s">
        <v xml:space="preserve">– </v>
        <stp/>
        <stp>0dd1c9ae-9a7a-4c30-958d-5e7858c19e27</stp>
        <tr r="AO92" s="1"/>
      </tp>
      <tp t="s">
        <v xml:space="preserve">– </v>
        <stp/>
        <stp>e4b667ee-e31e-48d0-9d19-ce93f7c3da19</stp>
        <tr r="BJ92" s="1"/>
      </tp>
      <tp t="s">
        <v xml:space="preserve">                                                      Manual Calculation                                                      </v>
        <stp/>
        <stp>c345f2b1-8058-4ad9-8855-72333da367e3</stp>
        <tr r="AQ9" s="1"/>
      </tp>
      <tp t="s">
        <v xml:space="preserve">                                       Manual Calculation                                       </v>
        <stp/>
        <stp>fd14b150-309e-46aa-b771-f48c7aefb092</stp>
        <tr r="BI9" s="1"/>
      </tp>
      <tp>
        <v>14812</v>
        <stp/>
        <stp>0bc635d5-57dd-4922-82f2-26b6bac754c3</stp>
        <tr r="AZ9" s="1"/>
      </tp>
      <tp t="s">
        <v xml:space="preserve">– </v>
        <stp/>
        <stp>a9aa2417-5725-42b7-a054-c8d982b6ce2a</stp>
        <tr r="BH92" s="1"/>
      </tp>
      <tp t="s">
        <v xml:space="preserve">                                                      Manual Calculation                                                      </v>
        <stp/>
        <stp>3f42fc69-6845-4da0-99e5-e2cfe0ede11b</stp>
        <tr r="AL9" s="1"/>
      </tp>
      <tp>
        <v>15727</v>
        <stp/>
        <stp>6b679667-469f-46a7-b13b-ba72e106fbc8</stp>
        <tr r="BB9" s="1"/>
      </tp>
      <tp t="s">
        <v xml:space="preserve">                        Manual Calculation                        </v>
        <stp/>
        <stp>1ced3b8a-e6fe-4dbf-9a7c-962f1b53e763</stp>
        <tr r="AV9" s="1"/>
      </tp>
      <tp>
        <v>14405</v>
        <stp/>
        <stp>7442368a-112b-4e87-be38-d064e3675cd3</stp>
        <tr r="BA9" s="1"/>
      </tp>
      <tp t="s">
        <v xml:space="preserve">– </v>
        <stp/>
        <stp>b2ddc39b-d277-48dd-a202-d6a97d5834ef</stp>
        <tr r="AM92" s="1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externalLinks/externalLink3.xml" Type="http://schemas.openxmlformats.org/officeDocument/2006/relationships/externalLink"/>
<Relationship Id="rId13" Target="theme/theme1.xml" Type="http://schemas.openxmlformats.org/officeDocument/2006/relationships/theme"/>
<Relationship Id="rId14" Target="styles.xml" Type="http://schemas.openxmlformats.org/officeDocument/2006/relationships/styles"/>
<Relationship Id="rId15" Target="sharedStrings.xml" Type="http://schemas.openxmlformats.org/officeDocument/2006/relationships/sharedStrings"/>
<Relationship Id="rId16" Target="calcChain.xml" Type="http://schemas.openxmlformats.org/officeDocument/2006/relationships/calcChain"/>
<Relationship Id="rId17" Target="../customXml/item1.xml" Type="http://schemas.openxmlformats.org/officeDocument/2006/relationships/customXml"/>
<Relationship Id="rId18" Target="../customXml/item2.xml" Type="http://schemas.openxmlformats.org/officeDocument/2006/relationships/customXml"/>
<Relationship Id="rId19" Target="volatileDependencies.xml" Type="http://schemas.openxmlformats.org/officeDocument/2006/relationships/volatileDependencies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21344257" name="Picture 1" descr="C:\Users\vinayakr\AppData\Local\Temp\MercuryPriceRatingHistoryChart\INTC.O_2018_04_26_18_41_39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1819275</xdr:colOff>
      <xdr:row>0</xdr:row>
      <xdr:rowOff>771525</xdr:rowOff>
    </xdr:to>
    <xdr:pic>
      <xdr:nvPicPr>
        <xdr:cNvPr id="24100063" name="Picture 14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97" b="6593"/>
        <a:stretch>
          <a:fillRect/>
        </a:stretch>
      </xdr:blipFill>
      <xdr:spPr bwMode="auto">
        <a:xfrm>
          <a:off x="152400" y="57150"/>
          <a:ext cx="178117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1819275</xdr:colOff>
      <xdr:row>0</xdr:row>
      <xdr:rowOff>771525</xdr:rowOff>
    </xdr:to>
    <xdr:pic>
      <xdr:nvPicPr>
        <xdr:cNvPr id="25161914" name="Picture 22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97" b="6593"/>
        <a:stretch>
          <a:fillRect/>
        </a:stretch>
      </xdr:blipFill>
      <xdr:spPr bwMode="auto">
        <a:xfrm>
          <a:off x="152400" y="57150"/>
          <a:ext cx="178117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1819275</xdr:colOff>
      <xdr:row>0</xdr:row>
      <xdr:rowOff>771525</xdr:rowOff>
    </xdr:to>
    <xdr:pic>
      <xdr:nvPicPr>
        <xdr:cNvPr id="20579788" name="Picture 10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97" b="6593"/>
        <a:stretch>
          <a:fillRect/>
        </a:stretch>
      </xdr:blipFill>
      <xdr:spPr bwMode="auto">
        <a:xfrm>
          <a:off x="152400" y="57150"/>
          <a:ext cx="178117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file://///MSAD/ROOT/NA/NY/USERS/alvinsl/Desktop/Alvin%20-%20Companies/INTC%201Q16%20Segment%20WIP.xlsm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oQ Comp"/>
      <sheetName val="Snapshot"/>
      <sheetName val="MS vs. Cons."/>
      <sheetName val="IS"/>
      <sheetName val="BS"/>
      <sheetName val="CFS"/>
      <sheetName val="DS"/>
      <sheetName val="Depreciation"/>
      <sheetName val="New Segment Results"/>
      <sheetName val="Segment Detail"/>
      <sheetName val="MCG"/>
      <sheetName val="Process Node"/>
      <sheetName val="INTC-ALTR"/>
      <sheetName val="Segment Results - old1q15"/>
      <sheetName val="Sheet1"/>
      <sheetName val="Mercury Data"/>
      <sheetName val="Downgrade Charts"/>
      <sheetName val="Gross Margins"/>
      <sheetName val="MCG Charts"/>
      <sheetName val="Estimate vs Actual"/>
      <sheetName val="COGS Build up"/>
      <sheetName val="CFO commentary on gross margins"/>
      <sheetName val="New Guidance Segment"/>
      <sheetName val="Segment Description"/>
      <sheetName val="Segment Model - OLD"/>
      <sheetName val="Segment Results - OLD"/>
      <sheetName val="BU-Seasonality"/>
      <sheetName val="2q prep"/>
      <sheetName val="One Pager"/>
      <sheetName val="By Segm"/>
      <sheetName val="Qtr Exhibits"/>
      <sheetName val="Exhibits"/>
      <sheetName val="PCs"/>
      <sheetName val="Servers"/>
      <sheetName val="Charts"/>
      <sheetName val="Amortization"/>
      <sheetName val="Bull_Base_Bear"/>
      <sheetName val="Variance"/>
      <sheetName val="INTC units from Katy's Model"/>
      <sheetName val="Valuation"/>
      <sheetName val="Computing Model"/>
      <sheetName val="Notes"/>
      <sheetName val="DCF"/>
      <sheetName val="mwareDates"/>
      <sheetName val="MacroForPub"/>
      <sheetName val="MW-Cache"/>
      <sheetName val="mwareSettings"/>
      <sheetName val="MWA RR"/>
      <sheetName val="Sheet2"/>
      <sheetName val="Guidance"/>
      <sheetName val="Guidance (3)"/>
    </sheetNames>
    <sheetDataSet>
      <sheetData sheetId="0"/>
      <sheetData sheetId="1"/>
      <sheetData sheetId="2"/>
      <sheetData sheetId="3"/>
      <sheetData sheetId="4">
        <row r="45">
          <cell r="B45" t="str">
            <v>Check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>
        <row r="2">
          <cell r="B2" t="str">
            <v>2005-Q1</v>
          </cell>
          <cell r="C2">
            <v>38353</v>
          </cell>
          <cell r="D2">
            <v>38442</v>
          </cell>
          <cell r="E2" t="str">
            <v>A</v>
          </cell>
        </row>
        <row r="3">
          <cell r="B3" t="str">
            <v>2005-Q2</v>
          </cell>
          <cell r="C3">
            <v>38443</v>
          </cell>
          <cell r="D3">
            <v>38533</v>
          </cell>
          <cell r="E3" t="str">
            <v>A</v>
          </cell>
        </row>
        <row r="4">
          <cell r="B4" t="str">
            <v>2005-Q3</v>
          </cell>
          <cell r="C4">
            <v>38534</v>
          </cell>
          <cell r="D4">
            <v>38625</v>
          </cell>
          <cell r="E4" t="str">
            <v>A</v>
          </cell>
        </row>
        <row r="5">
          <cell r="B5" t="str">
            <v>2005-Q4</v>
          </cell>
          <cell r="C5">
            <v>38626</v>
          </cell>
          <cell r="D5">
            <v>38717</v>
          </cell>
          <cell r="E5" t="str">
            <v>A</v>
          </cell>
        </row>
        <row r="6">
          <cell r="B6" t="str">
            <v>2005-FY</v>
          </cell>
          <cell r="C6">
            <v>38353</v>
          </cell>
          <cell r="D6">
            <v>38717</v>
          </cell>
          <cell r="E6" t="str">
            <v>A</v>
          </cell>
        </row>
        <row r="7">
          <cell r="B7" t="str">
            <v>2006-Q1</v>
          </cell>
          <cell r="C7">
            <v>38718</v>
          </cell>
          <cell r="D7">
            <v>38807</v>
          </cell>
          <cell r="E7" t="str">
            <v>A</v>
          </cell>
        </row>
        <row r="8">
          <cell r="B8" t="str">
            <v>2006-Q2</v>
          </cell>
          <cell r="C8">
            <v>38808</v>
          </cell>
          <cell r="D8">
            <v>38898</v>
          </cell>
          <cell r="E8" t="str">
            <v>A</v>
          </cell>
        </row>
        <row r="9">
          <cell r="B9" t="str">
            <v>2006-Q3</v>
          </cell>
          <cell r="C9">
            <v>38899</v>
          </cell>
          <cell r="D9">
            <v>38990</v>
          </cell>
          <cell r="E9" t="str">
            <v>A</v>
          </cell>
        </row>
        <row r="10">
          <cell r="B10" t="str">
            <v>2006-Q4</v>
          </cell>
          <cell r="C10">
            <v>38991</v>
          </cell>
          <cell r="D10">
            <v>39082</v>
          </cell>
          <cell r="E10" t="str">
            <v>A</v>
          </cell>
        </row>
        <row r="11">
          <cell r="B11" t="str">
            <v>2006-FY</v>
          </cell>
          <cell r="C11">
            <v>38718</v>
          </cell>
          <cell r="D11">
            <v>39082</v>
          </cell>
          <cell r="E11" t="str">
            <v>A</v>
          </cell>
        </row>
        <row r="12">
          <cell r="B12" t="str">
            <v>2007-Q1</v>
          </cell>
          <cell r="C12">
            <v>39083</v>
          </cell>
          <cell r="D12">
            <v>39172</v>
          </cell>
          <cell r="E12" t="str">
            <v>A</v>
          </cell>
        </row>
        <row r="13">
          <cell r="B13" t="str">
            <v>2007-Q2</v>
          </cell>
          <cell r="C13">
            <v>39173</v>
          </cell>
          <cell r="D13">
            <v>39263</v>
          </cell>
          <cell r="E13" t="str">
            <v>A</v>
          </cell>
        </row>
        <row r="14">
          <cell r="B14" t="str">
            <v>2007-Q3</v>
          </cell>
          <cell r="C14">
            <v>39264</v>
          </cell>
          <cell r="D14">
            <v>39355</v>
          </cell>
          <cell r="E14" t="str">
            <v>A</v>
          </cell>
        </row>
        <row r="15">
          <cell r="B15" t="str">
            <v>2007-Q4</v>
          </cell>
          <cell r="C15">
            <v>39356</v>
          </cell>
          <cell r="D15">
            <v>39447</v>
          </cell>
          <cell r="E15" t="str">
            <v>A</v>
          </cell>
        </row>
        <row r="16">
          <cell r="B16" t="str">
            <v>2007-FY</v>
          </cell>
          <cell r="C16">
            <v>39083</v>
          </cell>
          <cell r="D16">
            <v>39447</v>
          </cell>
          <cell r="E16" t="str">
            <v>A</v>
          </cell>
        </row>
        <row r="17">
          <cell r="B17" t="str">
            <v>2008-Q1</v>
          </cell>
          <cell r="C17">
            <v>39448</v>
          </cell>
          <cell r="D17">
            <v>39538</v>
          </cell>
          <cell r="E17" t="str">
            <v>A</v>
          </cell>
        </row>
        <row r="18">
          <cell r="B18" t="str">
            <v>2008-Q2</v>
          </cell>
          <cell r="C18">
            <v>39539</v>
          </cell>
          <cell r="D18">
            <v>39629</v>
          </cell>
          <cell r="E18" t="str">
            <v>A</v>
          </cell>
        </row>
        <row r="19">
          <cell r="B19" t="str">
            <v>2008-Q3</v>
          </cell>
          <cell r="C19">
            <v>39630</v>
          </cell>
          <cell r="D19">
            <v>39721</v>
          </cell>
          <cell r="E19" t="str">
            <v>A</v>
          </cell>
        </row>
        <row r="20">
          <cell r="B20" t="str">
            <v>2008-Q4</v>
          </cell>
          <cell r="C20">
            <v>39722</v>
          </cell>
          <cell r="D20">
            <v>39813</v>
          </cell>
          <cell r="E20" t="str">
            <v>A</v>
          </cell>
        </row>
        <row r="21">
          <cell r="B21" t="str">
            <v>2008-FY</v>
          </cell>
          <cell r="C21">
            <v>39448</v>
          </cell>
          <cell r="D21">
            <v>39813</v>
          </cell>
          <cell r="E21" t="str">
            <v>A</v>
          </cell>
        </row>
        <row r="22">
          <cell r="B22" t="str">
            <v>2009-Q1</v>
          </cell>
          <cell r="C22">
            <v>39814</v>
          </cell>
          <cell r="D22">
            <v>39903</v>
          </cell>
          <cell r="E22" t="str">
            <v>A</v>
          </cell>
        </row>
        <row r="23">
          <cell r="B23" t="str">
            <v>2009-Q2</v>
          </cell>
          <cell r="C23">
            <v>39904</v>
          </cell>
          <cell r="D23">
            <v>39994</v>
          </cell>
          <cell r="E23" t="str">
            <v>A</v>
          </cell>
        </row>
        <row r="24">
          <cell r="B24" t="str">
            <v>2009-Q3</v>
          </cell>
          <cell r="C24">
            <v>39995</v>
          </cell>
          <cell r="D24">
            <v>40086</v>
          </cell>
          <cell r="E24" t="str">
            <v>A</v>
          </cell>
        </row>
        <row r="25">
          <cell r="B25" t="str">
            <v>2009-Q4</v>
          </cell>
          <cell r="C25">
            <v>40087</v>
          </cell>
          <cell r="D25">
            <v>40178</v>
          </cell>
          <cell r="E25" t="str">
            <v>A</v>
          </cell>
        </row>
        <row r="26">
          <cell r="B26" t="str">
            <v>2009-FY</v>
          </cell>
          <cell r="C26">
            <v>39814</v>
          </cell>
          <cell r="D26">
            <v>40178</v>
          </cell>
          <cell r="E26" t="str">
            <v>A</v>
          </cell>
        </row>
        <row r="27">
          <cell r="B27" t="str">
            <v>2010-Q1</v>
          </cell>
          <cell r="C27">
            <v>40179</v>
          </cell>
          <cell r="D27">
            <v>40268</v>
          </cell>
          <cell r="E27" t="str">
            <v>A</v>
          </cell>
        </row>
        <row r="28">
          <cell r="B28" t="str">
            <v>2010-Q2</v>
          </cell>
          <cell r="C28">
            <v>40269</v>
          </cell>
          <cell r="D28">
            <v>40359</v>
          </cell>
          <cell r="E28" t="str">
            <v>A</v>
          </cell>
        </row>
        <row r="29">
          <cell r="B29" t="str">
            <v>2010-Q3</v>
          </cell>
          <cell r="C29">
            <v>40360</v>
          </cell>
          <cell r="D29">
            <v>40451</v>
          </cell>
          <cell r="E29" t="str">
            <v>A</v>
          </cell>
        </row>
        <row r="30">
          <cell r="B30" t="str">
            <v>2010-Q4</v>
          </cell>
          <cell r="C30">
            <v>40452</v>
          </cell>
          <cell r="D30">
            <v>40543</v>
          </cell>
          <cell r="E30" t="str">
            <v>A</v>
          </cell>
        </row>
        <row r="31">
          <cell r="B31" t="str">
            <v>2010-FY</v>
          </cell>
          <cell r="C31">
            <v>40179</v>
          </cell>
          <cell r="D31">
            <v>40543</v>
          </cell>
          <cell r="E31" t="str">
            <v>A</v>
          </cell>
        </row>
        <row r="32">
          <cell r="B32" t="str">
            <v>2011-Q1</v>
          </cell>
          <cell r="C32">
            <v>40544</v>
          </cell>
          <cell r="D32">
            <v>40633</v>
          </cell>
          <cell r="E32" t="str">
            <v>A</v>
          </cell>
        </row>
        <row r="33">
          <cell r="B33" t="str">
            <v>2011-Q2</v>
          </cell>
          <cell r="C33">
            <v>40634</v>
          </cell>
          <cell r="D33">
            <v>40724</v>
          </cell>
          <cell r="E33" t="str">
            <v>A</v>
          </cell>
        </row>
        <row r="34">
          <cell r="B34" t="str">
            <v>2011-Q3</v>
          </cell>
          <cell r="C34">
            <v>40725</v>
          </cell>
          <cell r="D34">
            <v>40816</v>
          </cell>
          <cell r="E34" t="str">
            <v>A</v>
          </cell>
        </row>
        <row r="35">
          <cell r="B35" t="str">
            <v>2011-Q4</v>
          </cell>
          <cell r="C35">
            <v>40817</v>
          </cell>
          <cell r="D35">
            <v>40908</v>
          </cell>
          <cell r="E35" t="str">
            <v>A</v>
          </cell>
        </row>
        <row r="36">
          <cell r="B36" t="str">
            <v>2011-FY</v>
          </cell>
          <cell r="C36">
            <v>40544</v>
          </cell>
          <cell r="D36">
            <v>40908</v>
          </cell>
          <cell r="E36" t="str">
            <v>A</v>
          </cell>
        </row>
        <row r="37">
          <cell r="B37" t="str">
            <v>2012-Q1</v>
          </cell>
          <cell r="C37">
            <v>40909</v>
          </cell>
          <cell r="D37">
            <v>40999</v>
          </cell>
          <cell r="E37" t="str">
            <v>A</v>
          </cell>
        </row>
        <row r="38">
          <cell r="B38" t="str">
            <v>2012-Q2</v>
          </cell>
          <cell r="C38">
            <v>41000</v>
          </cell>
          <cell r="D38">
            <v>41090</v>
          </cell>
          <cell r="E38" t="str">
            <v>A</v>
          </cell>
        </row>
        <row r="39">
          <cell r="B39" t="str">
            <v>2012-Q3</v>
          </cell>
          <cell r="C39">
            <v>41091</v>
          </cell>
          <cell r="D39">
            <v>41182</v>
          </cell>
          <cell r="E39" t="str">
            <v>A</v>
          </cell>
        </row>
        <row r="40">
          <cell r="B40" t="str">
            <v>2012-Q4</v>
          </cell>
          <cell r="C40">
            <v>41183</v>
          </cell>
          <cell r="D40">
            <v>41274</v>
          </cell>
          <cell r="E40" t="str">
            <v>A</v>
          </cell>
        </row>
        <row r="41">
          <cell r="B41" t="str">
            <v>2012-FY</v>
          </cell>
          <cell r="C41">
            <v>40909</v>
          </cell>
          <cell r="D41">
            <v>41274</v>
          </cell>
          <cell r="E41" t="str">
            <v>A</v>
          </cell>
        </row>
        <row r="42">
          <cell r="B42" t="str">
            <v>2013-Q1</v>
          </cell>
          <cell r="C42">
            <v>41275</v>
          </cell>
          <cell r="D42">
            <v>41364</v>
          </cell>
          <cell r="E42" t="str">
            <v>A</v>
          </cell>
        </row>
        <row r="43">
          <cell r="B43" t="str">
            <v>2013-Q2</v>
          </cell>
          <cell r="C43">
            <v>41365</v>
          </cell>
          <cell r="D43">
            <v>41455</v>
          </cell>
          <cell r="E43" t="str">
            <v>A</v>
          </cell>
        </row>
        <row r="44">
          <cell r="B44" t="str">
            <v>2013-Q3</v>
          </cell>
          <cell r="C44">
            <v>41456</v>
          </cell>
          <cell r="D44">
            <v>41547</v>
          </cell>
          <cell r="E44" t="str">
            <v>A</v>
          </cell>
        </row>
        <row r="45">
          <cell r="B45" t="str">
            <v>2013-Q4</v>
          </cell>
          <cell r="C45">
            <v>41548</v>
          </cell>
          <cell r="D45">
            <v>41639</v>
          </cell>
          <cell r="E45" t="str">
            <v>A</v>
          </cell>
        </row>
        <row r="46">
          <cell r="B46" t="str">
            <v>2013-FY</v>
          </cell>
          <cell r="C46">
            <v>41275</v>
          </cell>
          <cell r="D46">
            <v>41639</v>
          </cell>
          <cell r="E46" t="str">
            <v>A</v>
          </cell>
        </row>
        <row r="47">
          <cell r="B47" t="str">
            <v>2014-Q1</v>
          </cell>
          <cell r="C47">
            <v>41640</v>
          </cell>
          <cell r="D47">
            <v>41729</v>
          </cell>
          <cell r="E47" t="str">
            <v>A</v>
          </cell>
        </row>
        <row r="48">
          <cell r="B48" t="str">
            <v>2014-Q2</v>
          </cell>
          <cell r="C48">
            <v>41730</v>
          </cell>
          <cell r="D48">
            <v>41820</v>
          </cell>
          <cell r="E48" t="str">
            <v>A</v>
          </cell>
        </row>
        <row r="49">
          <cell r="B49" t="str">
            <v>2014-Q3</v>
          </cell>
          <cell r="C49">
            <v>41821</v>
          </cell>
          <cell r="D49">
            <v>41912</v>
          </cell>
          <cell r="E49" t="str">
            <v>A</v>
          </cell>
        </row>
        <row r="50">
          <cell r="B50" t="str">
            <v>2014-Q4</v>
          </cell>
          <cell r="C50">
            <v>41913</v>
          </cell>
          <cell r="D50">
            <v>42004</v>
          </cell>
          <cell r="E50" t="str">
            <v>A</v>
          </cell>
        </row>
        <row r="51">
          <cell r="B51" t="str">
            <v>2014-FY</v>
          </cell>
          <cell r="C51">
            <v>41640</v>
          </cell>
          <cell r="D51">
            <v>42004</v>
          </cell>
          <cell r="E51" t="str">
            <v>A</v>
          </cell>
        </row>
        <row r="52">
          <cell r="B52" t="str">
            <v>2015-Q1</v>
          </cell>
          <cell r="C52">
            <v>42005</v>
          </cell>
          <cell r="D52">
            <v>42094</v>
          </cell>
          <cell r="E52" t="str">
            <v>A</v>
          </cell>
        </row>
        <row r="53">
          <cell r="B53" t="str">
            <v>2015-Q2</v>
          </cell>
          <cell r="C53">
            <v>42095</v>
          </cell>
          <cell r="D53">
            <v>42185</v>
          </cell>
          <cell r="E53" t="str">
            <v>A</v>
          </cell>
        </row>
        <row r="54">
          <cell r="B54" t="str">
            <v>2015-Q3</v>
          </cell>
          <cell r="C54">
            <v>42186</v>
          </cell>
          <cell r="D54">
            <v>42277</v>
          </cell>
          <cell r="E54" t="str">
            <v>A</v>
          </cell>
        </row>
        <row r="55">
          <cell r="B55" t="str">
            <v>2015-Q4</v>
          </cell>
          <cell r="C55">
            <v>42278</v>
          </cell>
          <cell r="D55">
            <v>42369</v>
          </cell>
          <cell r="E55" t="str">
            <v>A</v>
          </cell>
        </row>
        <row r="56">
          <cell r="B56" t="str">
            <v>2015-FY</v>
          </cell>
          <cell r="C56">
            <v>42005</v>
          </cell>
          <cell r="D56">
            <v>42369</v>
          </cell>
          <cell r="E56" t="str">
            <v>A</v>
          </cell>
        </row>
        <row r="57">
          <cell r="B57" t="str">
            <v>2016-Q1</v>
          </cell>
          <cell r="C57">
            <v>42370</v>
          </cell>
          <cell r="D57">
            <v>42460</v>
          </cell>
          <cell r="E57" t="str">
            <v>E</v>
          </cell>
        </row>
        <row r="58">
          <cell r="B58" t="str">
            <v>2016-Q2</v>
          </cell>
          <cell r="C58">
            <v>42461</v>
          </cell>
          <cell r="D58">
            <v>42551</v>
          </cell>
          <cell r="E58" t="str">
            <v>E</v>
          </cell>
        </row>
        <row r="59">
          <cell r="B59" t="str">
            <v>2016-Q3</v>
          </cell>
          <cell r="C59">
            <v>42552</v>
          </cell>
          <cell r="D59">
            <v>42643</v>
          </cell>
          <cell r="E59" t="str">
            <v>E</v>
          </cell>
        </row>
        <row r="60">
          <cell r="B60" t="str">
            <v>2016-Q4</v>
          </cell>
          <cell r="C60">
            <v>42644</v>
          </cell>
          <cell r="D60">
            <v>42735</v>
          </cell>
          <cell r="E60" t="str">
            <v>E</v>
          </cell>
        </row>
        <row r="61">
          <cell r="B61" t="str">
            <v>2016-FY</v>
          </cell>
          <cell r="C61">
            <v>42370</v>
          </cell>
          <cell r="D61">
            <v>42735</v>
          </cell>
          <cell r="E61" t="str">
            <v>E</v>
          </cell>
        </row>
        <row r="62">
          <cell r="B62" t="str">
            <v>2017-Q1</v>
          </cell>
          <cell r="C62">
            <v>42736</v>
          </cell>
          <cell r="D62">
            <v>42825</v>
          </cell>
          <cell r="E62" t="str">
            <v>E</v>
          </cell>
        </row>
        <row r="63">
          <cell r="B63" t="str">
            <v>2017-Q2</v>
          </cell>
          <cell r="C63">
            <v>42826</v>
          </cell>
          <cell r="D63">
            <v>42916</v>
          </cell>
          <cell r="E63" t="str">
            <v>E</v>
          </cell>
        </row>
        <row r="64">
          <cell r="B64" t="str">
            <v>2017-Q3</v>
          </cell>
          <cell r="C64">
            <v>42917</v>
          </cell>
          <cell r="D64">
            <v>43008</v>
          </cell>
          <cell r="E64" t="str">
            <v>E</v>
          </cell>
        </row>
        <row r="65">
          <cell r="B65" t="str">
            <v>2017-Q4</v>
          </cell>
          <cell r="C65">
            <v>43009</v>
          </cell>
          <cell r="D65">
            <v>43100</v>
          </cell>
          <cell r="E65" t="str">
            <v>E</v>
          </cell>
        </row>
        <row r="66">
          <cell r="B66" t="str">
            <v>2017-FY</v>
          </cell>
          <cell r="C66">
            <v>42736</v>
          </cell>
          <cell r="D66">
            <v>43100</v>
          </cell>
          <cell r="E66" t="str">
            <v>E</v>
          </cell>
        </row>
        <row r="67">
          <cell r="B67" t="str">
            <v>2018-Q1</v>
          </cell>
          <cell r="C67">
            <v>43101</v>
          </cell>
          <cell r="D67">
            <v>43190</v>
          </cell>
          <cell r="E67" t="str">
            <v>E</v>
          </cell>
        </row>
        <row r="68">
          <cell r="B68" t="str">
            <v>2018-Q2</v>
          </cell>
          <cell r="C68">
            <v>43191</v>
          </cell>
          <cell r="D68">
            <v>43281</v>
          </cell>
          <cell r="E68" t="str">
            <v>E</v>
          </cell>
        </row>
        <row r="69">
          <cell r="B69" t="str">
            <v>2018-Q3</v>
          </cell>
          <cell r="C69">
            <v>43282</v>
          </cell>
          <cell r="D69">
            <v>43373</v>
          </cell>
          <cell r="E69" t="str">
            <v>E</v>
          </cell>
        </row>
        <row r="70">
          <cell r="B70" t="str">
            <v>2018-Q4</v>
          </cell>
          <cell r="C70">
            <v>43374</v>
          </cell>
          <cell r="D70">
            <v>43465</v>
          </cell>
          <cell r="E70" t="str">
            <v>E</v>
          </cell>
        </row>
        <row r="71">
          <cell r="B71" t="str">
            <v>2018-FY</v>
          </cell>
          <cell r="C71">
            <v>43101</v>
          </cell>
          <cell r="D71">
            <v>43465</v>
          </cell>
          <cell r="E71" t="str">
            <v>E</v>
          </cell>
        </row>
        <row r="72">
          <cell r="B72" t="str">
            <v>2019-Q1</v>
          </cell>
          <cell r="C72">
            <v>43466</v>
          </cell>
          <cell r="D72">
            <v>43555</v>
          </cell>
          <cell r="E72" t="str">
            <v>E</v>
          </cell>
        </row>
        <row r="73">
          <cell r="B73" t="str">
            <v>2019-Q2</v>
          </cell>
          <cell r="C73">
            <v>43556</v>
          </cell>
          <cell r="D73">
            <v>43646</v>
          </cell>
          <cell r="E73" t="str">
            <v>E</v>
          </cell>
        </row>
        <row r="74">
          <cell r="B74" t="str">
            <v>2019-Q3</v>
          </cell>
          <cell r="C74">
            <v>43647</v>
          </cell>
          <cell r="D74">
            <v>43738</v>
          </cell>
          <cell r="E74" t="str">
            <v>E</v>
          </cell>
        </row>
        <row r="75">
          <cell r="B75" t="str">
            <v>2019-Q4</v>
          </cell>
          <cell r="C75">
            <v>43739</v>
          </cell>
          <cell r="D75">
            <v>43830</v>
          </cell>
          <cell r="E75" t="str">
            <v>E</v>
          </cell>
        </row>
        <row r="76">
          <cell r="B76" t="str">
            <v>2019-FY</v>
          </cell>
          <cell r="C76">
            <v>43466</v>
          </cell>
          <cell r="D76">
            <v>43830</v>
          </cell>
          <cell r="E76" t="str">
            <v>E</v>
          </cell>
        </row>
        <row r="77">
          <cell r="B77" t="str">
            <v>2020-Q1</v>
          </cell>
          <cell r="C77">
            <v>43831</v>
          </cell>
          <cell r="D77">
            <v>43921</v>
          </cell>
          <cell r="E77" t="str">
            <v>E</v>
          </cell>
        </row>
        <row r="78">
          <cell r="B78" t="str">
            <v>2020-Q2</v>
          </cell>
          <cell r="C78">
            <v>43922</v>
          </cell>
          <cell r="D78">
            <v>44012</v>
          </cell>
          <cell r="E78" t="str">
            <v>E</v>
          </cell>
        </row>
        <row r="79">
          <cell r="B79" t="str">
            <v>2020-Q3</v>
          </cell>
          <cell r="C79">
            <v>44013</v>
          </cell>
          <cell r="D79">
            <v>44104</v>
          </cell>
          <cell r="E79" t="str">
            <v>E</v>
          </cell>
        </row>
        <row r="80">
          <cell r="B80" t="str">
            <v>2020-Q4</v>
          </cell>
          <cell r="C80">
            <v>44105</v>
          </cell>
          <cell r="D80">
            <v>44196</v>
          </cell>
          <cell r="E80" t="str">
            <v>E</v>
          </cell>
        </row>
        <row r="81">
          <cell r="B81" t="str">
            <v>2020-FY</v>
          </cell>
          <cell r="C81">
            <v>43831</v>
          </cell>
          <cell r="D81">
            <v>44196</v>
          </cell>
          <cell r="E81" t="str">
            <v>E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3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7"/>
  <sheetViews>
    <sheetView showGridLines="0" tabSelected="1" topLeftCell="A52" workbookViewId="0">
      <selection activeCell="A16" sqref="A16"/>
    </sheetView>
  </sheetViews>
  <sheetFormatPr defaultRowHeight="12.75"/>
  <cols>
    <col min="1" max="1" width="25.7109375" style="1308" customWidth="1"/>
    <col min="2" max="5" width="9.140625" style="1308"/>
    <col min="6" max="6" width="18.7109375" style="1308" customWidth="1"/>
    <col min="7" max="256" width="9.140625" style="1308"/>
    <col min="257" max="257" width="100.7109375" style="1308" customWidth="1"/>
    <col min="258" max="512" width="9.140625" style="1308"/>
    <col min="513" max="513" width="100.7109375" style="1308" customWidth="1"/>
    <col min="514" max="768" width="9.140625" style="1308"/>
    <col min="769" max="769" width="100.7109375" style="1308" customWidth="1"/>
    <col min="770" max="1024" width="9.140625" style="1308"/>
    <col min="1025" max="1025" width="100.7109375" style="1308" customWidth="1"/>
    <col min="1026" max="1280" width="9.140625" style="1308"/>
    <col min="1281" max="1281" width="100.7109375" style="1308" customWidth="1"/>
    <col min="1282" max="1536" width="9.140625" style="1308"/>
    <col min="1537" max="1537" width="100.7109375" style="1308" customWidth="1"/>
    <col min="1538" max="1792" width="9.140625" style="1308"/>
    <col min="1793" max="1793" width="100.7109375" style="1308" customWidth="1"/>
    <col min="1794" max="2048" width="9.140625" style="1308"/>
    <col min="2049" max="2049" width="100.7109375" style="1308" customWidth="1"/>
    <col min="2050" max="2304" width="9.140625" style="1308"/>
    <col min="2305" max="2305" width="100.7109375" style="1308" customWidth="1"/>
    <col min="2306" max="2560" width="9.140625" style="1308"/>
    <col min="2561" max="2561" width="100.7109375" style="1308" customWidth="1"/>
    <col min="2562" max="2816" width="9.140625" style="1308"/>
    <col min="2817" max="2817" width="100.7109375" style="1308" customWidth="1"/>
    <col min="2818" max="3072" width="9.140625" style="1308"/>
    <col min="3073" max="3073" width="100.7109375" style="1308" customWidth="1"/>
    <col min="3074" max="3328" width="9.140625" style="1308"/>
    <col min="3329" max="3329" width="100.7109375" style="1308" customWidth="1"/>
    <col min="3330" max="3584" width="9.140625" style="1308"/>
    <col min="3585" max="3585" width="100.7109375" style="1308" customWidth="1"/>
    <col min="3586" max="3840" width="9.140625" style="1308"/>
    <col min="3841" max="3841" width="100.7109375" style="1308" customWidth="1"/>
    <col min="3842" max="4096" width="9.140625" style="1308"/>
    <col min="4097" max="4097" width="100.7109375" style="1308" customWidth="1"/>
    <col min="4098" max="4352" width="9.140625" style="1308"/>
    <col min="4353" max="4353" width="100.7109375" style="1308" customWidth="1"/>
    <col min="4354" max="4608" width="9.140625" style="1308"/>
    <col min="4609" max="4609" width="100.7109375" style="1308" customWidth="1"/>
    <col min="4610" max="4864" width="9.140625" style="1308"/>
    <col min="4865" max="4865" width="100.7109375" style="1308" customWidth="1"/>
    <col min="4866" max="5120" width="9.140625" style="1308"/>
    <col min="5121" max="5121" width="100.7109375" style="1308" customWidth="1"/>
    <col min="5122" max="5376" width="9.140625" style="1308"/>
    <col min="5377" max="5377" width="100.7109375" style="1308" customWidth="1"/>
    <col min="5378" max="5632" width="9.140625" style="1308"/>
    <col min="5633" max="5633" width="100.7109375" style="1308" customWidth="1"/>
    <col min="5634" max="5888" width="9.140625" style="1308"/>
    <col min="5889" max="5889" width="100.7109375" style="1308" customWidth="1"/>
    <col min="5890" max="6144" width="9.140625" style="1308"/>
    <col min="6145" max="6145" width="100.7109375" style="1308" customWidth="1"/>
    <col min="6146" max="6400" width="9.140625" style="1308"/>
    <col min="6401" max="6401" width="100.7109375" style="1308" customWidth="1"/>
    <col min="6402" max="6656" width="9.140625" style="1308"/>
    <col min="6657" max="6657" width="100.7109375" style="1308" customWidth="1"/>
    <col min="6658" max="6912" width="9.140625" style="1308"/>
    <col min="6913" max="6913" width="100.7109375" style="1308" customWidth="1"/>
    <col min="6914" max="7168" width="9.140625" style="1308"/>
    <col min="7169" max="7169" width="100.7109375" style="1308" customWidth="1"/>
    <col min="7170" max="7424" width="9.140625" style="1308"/>
    <col min="7425" max="7425" width="100.7109375" style="1308" customWidth="1"/>
    <col min="7426" max="7680" width="9.140625" style="1308"/>
    <col min="7681" max="7681" width="100.7109375" style="1308" customWidth="1"/>
    <col min="7682" max="7936" width="9.140625" style="1308"/>
    <col min="7937" max="7937" width="100.7109375" style="1308" customWidth="1"/>
    <col min="7938" max="8192" width="9.140625" style="1308"/>
    <col min="8193" max="8193" width="100.7109375" style="1308" customWidth="1"/>
    <col min="8194" max="8448" width="9.140625" style="1308"/>
    <col min="8449" max="8449" width="100.7109375" style="1308" customWidth="1"/>
    <col min="8450" max="8704" width="9.140625" style="1308"/>
    <col min="8705" max="8705" width="100.7109375" style="1308" customWidth="1"/>
    <col min="8706" max="8960" width="9.140625" style="1308"/>
    <col min="8961" max="8961" width="100.7109375" style="1308" customWidth="1"/>
    <col min="8962" max="9216" width="9.140625" style="1308"/>
    <col min="9217" max="9217" width="100.7109375" style="1308" customWidth="1"/>
    <col min="9218" max="9472" width="9.140625" style="1308"/>
    <col min="9473" max="9473" width="100.7109375" style="1308" customWidth="1"/>
    <col min="9474" max="9728" width="9.140625" style="1308"/>
    <col min="9729" max="9729" width="100.7109375" style="1308" customWidth="1"/>
    <col min="9730" max="9984" width="9.140625" style="1308"/>
    <col min="9985" max="9985" width="100.7109375" style="1308" customWidth="1"/>
    <col min="9986" max="10240" width="9.140625" style="1308"/>
    <col min="10241" max="10241" width="100.7109375" style="1308" customWidth="1"/>
    <col min="10242" max="10496" width="9.140625" style="1308"/>
    <col min="10497" max="10497" width="100.7109375" style="1308" customWidth="1"/>
    <col min="10498" max="10752" width="9.140625" style="1308"/>
    <col min="10753" max="10753" width="100.7109375" style="1308" customWidth="1"/>
    <col min="10754" max="11008" width="9.140625" style="1308"/>
    <col min="11009" max="11009" width="100.7109375" style="1308" customWidth="1"/>
    <col min="11010" max="11264" width="9.140625" style="1308"/>
    <col min="11265" max="11265" width="100.7109375" style="1308" customWidth="1"/>
    <col min="11266" max="11520" width="9.140625" style="1308"/>
    <col min="11521" max="11521" width="100.7109375" style="1308" customWidth="1"/>
    <col min="11522" max="11776" width="9.140625" style="1308"/>
    <col min="11777" max="11777" width="100.7109375" style="1308" customWidth="1"/>
    <col min="11778" max="12032" width="9.140625" style="1308"/>
    <col min="12033" max="12033" width="100.7109375" style="1308" customWidth="1"/>
    <col min="12034" max="12288" width="9.140625" style="1308"/>
    <col min="12289" max="12289" width="100.7109375" style="1308" customWidth="1"/>
    <col min="12290" max="12544" width="9.140625" style="1308"/>
    <col min="12545" max="12545" width="100.7109375" style="1308" customWidth="1"/>
    <col min="12546" max="12800" width="9.140625" style="1308"/>
    <col min="12801" max="12801" width="100.7109375" style="1308" customWidth="1"/>
    <col min="12802" max="13056" width="9.140625" style="1308"/>
    <col min="13057" max="13057" width="100.7109375" style="1308" customWidth="1"/>
    <col min="13058" max="13312" width="9.140625" style="1308"/>
    <col min="13313" max="13313" width="100.7109375" style="1308" customWidth="1"/>
    <col min="13314" max="13568" width="9.140625" style="1308"/>
    <col min="13569" max="13569" width="100.7109375" style="1308" customWidth="1"/>
    <col min="13570" max="13824" width="9.140625" style="1308"/>
    <col min="13825" max="13825" width="100.7109375" style="1308" customWidth="1"/>
    <col min="13826" max="14080" width="9.140625" style="1308"/>
    <col min="14081" max="14081" width="100.7109375" style="1308" customWidth="1"/>
    <col min="14082" max="14336" width="9.140625" style="1308"/>
    <col min="14337" max="14337" width="100.7109375" style="1308" customWidth="1"/>
    <col min="14338" max="14592" width="9.140625" style="1308"/>
    <col min="14593" max="14593" width="100.7109375" style="1308" customWidth="1"/>
    <col min="14594" max="14848" width="9.140625" style="1308"/>
    <col min="14849" max="14849" width="100.7109375" style="1308" customWidth="1"/>
    <col min="14850" max="15104" width="9.140625" style="1308"/>
    <col min="15105" max="15105" width="100.7109375" style="1308" customWidth="1"/>
    <col min="15106" max="15360" width="9.140625" style="1308"/>
    <col min="15361" max="15361" width="100.7109375" style="1308" customWidth="1"/>
    <col min="15362" max="15616" width="9.140625" style="1308"/>
    <col min="15617" max="15617" width="100.7109375" style="1308" customWidth="1"/>
    <col min="15618" max="15872" width="9.140625" style="1308"/>
    <col min="15873" max="15873" width="100.7109375" style="1308" customWidth="1"/>
    <col min="15874" max="16128" width="9.140625" style="1308"/>
    <col min="16129" max="16129" width="100.7109375" style="1308" customWidth="1"/>
    <col min="16130" max="16384" width="9.140625" style="1308"/>
  </cols>
  <sheetData>
    <row r="1" spans="1:8" ht="30" customHeight="1">
      <c r="A1" s="1306"/>
      <c r="B1" s="1307"/>
      <c r="C1" s="1307"/>
      <c r="D1" s="1307"/>
      <c r="E1" s="1307"/>
      <c r="F1" s="1307"/>
      <c r="G1" s="1307"/>
      <c r="H1" s="1307"/>
    </row>
    <row r="2" spans="1:8" ht="14.25">
      <c r="A2" s="1309" t="s">
        <v>558</v>
      </c>
      <c r="B2" s="1307"/>
      <c r="C2" s="1307"/>
      <c r="D2" s="1307"/>
      <c r="E2" s="1307"/>
      <c r="F2" s="1307"/>
      <c r="G2" s="1307"/>
      <c r="H2" s="1307"/>
    </row>
    <row r="3" spans="1:8" ht="14.25">
      <c r="A3" s="1309" t="s">
        <v>559</v>
      </c>
      <c r="B3" s="1307"/>
      <c r="C3" s="1307"/>
      <c r="D3" s="1307"/>
      <c r="E3" s="1307"/>
      <c r="F3" s="1307"/>
      <c r="G3" s="1307"/>
      <c r="H3" s="1307"/>
    </row>
    <row r="4" spans="1:8" ht="14.25">
      <c r="A4" s="1309" t="s">
        <v>560</v>
      </c>
      <c r="B4" s="1307"/>
      <c r="C4" s="1307"/>
      <c r="D4" s="1307"/>
      <c r="E4" s="1307"/>
      <c r="F4" s="1307"/>
      <c r="G4" s="1307"/>
      <c r="H4" s="1307"/>
    </row>
    <row r="5" spans="1:8" ht="14.25">
      <c r="A5" s="1309" t="s">
        <v>561</v>
      </c>
      <c r="B5" s="1307"/>
      <c r="C5" s="1307"/>
      <c r="D5" s="1307"/>
      <c r="E5" s="1307"/>
      <c r="F5" s="1307"/>
      <c r="G5" s="1307"/>
      <c r="H5" s="1307"/>
    </row>
    <row r="6" spans="1:8" ht="14.25">
      <c r="A6" s="1309"/>
      <c r="B6" s="1307"/>
      <c r="C6" s="1307"/>
      <c r="D6" s="1307"/>
      <c r="E6" s="1307"/>
      <c r="F6" s="1307"/>
      <c r="G6" s="1307"/>
      <c r="H6" s="1307"/>
    </row>
    <row r="7" spans="1:8">
      <c r="A7" s="1306" t="s">
        <v>562</v>
      </c>
      <c r="B7" s="1307"/>
      <c r="C7" s="1307"/>
      <c r="D7" s="1307"/>
      <c r="E7" s="1307"/>
      <c r="F7" s="1307"/>
      <c r="G7" s="1307"/>
      <c r="H7" s="1307"/>
    </row>
    <row r="8" spans="1:8">
      <c r="A8" s="1306" t="s">
        <v>563</v>
      </c>
      <c r="B8" s="1307"/>
      <c r="C8" s="1307"/>
      <c r="D8" s="1307"/>
      <c r="E8" s="1307"/>
      <c r="F8" s="1307"/>
      <c r="G8" s="1307"/>
      <c r="H8" s="1307"/>
    </row>
    <row r="9" spans="1:8">
      <c r="A9" s="1306"/>
      <c r="B9" s="1307"/>
      <c r="C9" s="1307"/>
      <c r="D9" s="1307"/>
      <c r="E9" s="1307"/>
      <c r="F9" s="1307"/>
      <c r="G9" s="1307"/>
      <c r="H9" s="1307"/>
    </row>
    <row r="10" spans="1:8">
      <c r="A10" s="1310" t="s">
        <v>564</v>
      </c>
      <c r="B10" s="1307"/>
      <c r="C10" s="1307"/>
      <c r="D10" s="1307"/>
      <c r="E10" s="1307"/>
      <c r="F10" s="1307"/>
      <c r="G10" s="1307"/>
      <c r="H10" s="1307"/>
    </row>
    <row r="11" spans="1:8">
      <c r="A11" s="1310" t="s">
        <v>565</v>
      </c>
      <c r="B11" s="1307"/>
      <c r="C11" s="1307"/>
      <c r="D11" s="1307"/>
      <c r="E11" s="1307"/>
      <c r="F11" s="1307"/>
      <c r="G11" s="1307"/>
      <c r="H11" s="1307"/>
    </row>
    <row r="12" spans="1:8">
      <c r="A12" s="1310" t="s">
        <v>566</v>
      </c>
      <c r="B12" s="1307"/>
      <c r="C12" s="1307"/>
      <c r="D12" s="1307"/>
      <c r="E12" s="1307"/>
      <c r="F12" s="1307"/>
      <c r="G12" s="1307"/>
      <c r="H12" s="1307"/>
    </row>
    <row r="13" spans="1:8">
      <c r="A13" s="1310" t="s">
        <v>567</v>
      </c>
      <c r="B13" s="1307"/>
      <c r="C13" s="1307"/>
      <c r="D13" s="1307"/>
      <c r="E13" s="1307"/>
      <c r="F13" s="1307"/>
      <c r="G13" s="1307"/>
      <c r="H13" s="1307"/>
    </row>
    <row r="14" spans="1:8">
      <c r="A14" s="1310" t="s">
        <v>568</v>
      </c>
      <c r="B14" s="1307"/>
      <c r="C14" s="1307"/>
      <c r="D14" s="1307"/>
      <c r="E14" s="1307"/>
      <c r="F14" s="1307"/>
      <c r="G14" s="1307"/>
      <c r="H14" s="1307"/>
    </row>
    <row r="15" spans="1:8">
      <c r="A15" s="1310" t="s">
        <v>923</v>
      </c>
      <c r="B15" s="1307"/>
      <c r="C15" s="1307"/>
      <c r="D15" s="1307"/>
      <c r="E15" s="1307"/>
      <c r="F15" s="1307"/>
      <c r="G15" s="1307"/>
      <c r="H15" s="1307"/>
    </row>
    <row r="16" spans="1:8">
      <c r="A16" s="1310"/>
      <c r="B16" s="1307"/>
      <c r="C16" s="1307"/>
      <c r="D16" s="1307"/>
      <c r="E16" s="1307"/>
      <c r="F16" s="1307"/>
      <c r="G16" s="1307"/>
      <c r="H16" s="1307"/>
    </row>
    <row r="17" spans="1:8">
      <c r="A17" s="1310" t="s">
        <v>555</v>
      </c>
      <c r="B17" s="1307"/>
      <c r="C17" s="1307"/>
      <c r="D17" s="1307"/>
      <c r="E17" s="1307"/>
      <c r="F17" s="1307"/>
      <c r="G17" s="1307"/>
      <c r="H17" s="1307"/>
    </row>
    <row r="18" spans="1:8">
      <c r="A18" s="1310"/>
      <c r="B18" s="1307"/>
      <c r="C18" s="1307"/>
      <c r="D18" s="1307"/>
      <c r="E18" s="1307"/>
      <c r="F18" s="1307"/>
      <c r="G18" s="1307"/>
      <c r="H18" s="1307"/>
    </row>
    <row r="19" spans="1:8">
      <c r="A19" s="1310" t="s">
        <v>556</v>
      </c>
      <c r="B19" s="1307"/>
      <c r="C19" s="1307"/>
      <c r="D19" s="1307"/>
      <c r="E19" s="1307"/>
      <c r="F19" s="1307"/>
      <c r="G19" s="1307"/>
      <c r="H19" s="1307"/>
    </row>
    <row r="20" spans="1:8">
      <c r="A20" s="1306"/>
      <c r="B20" s="1307"/>
      <c r="C20" s="1307"/>
      <c r="D20" s="1307"/>
      <c r="E20" s="1307"/>
      <c r="F20" s="1307"/>
      <c r="G20" s="1307"/>
      <c r="H20" s="1307"/>
    </row>
    <row r="21" spans="1:8">
      <c r="A21" s="1311" t="s">
        <v>557</v>
      </c>
      <c r="B21" s="1307"/>
      <c r="C21" s="1307"/>
      <c r="D21" s="1307"/>
      <c r="E21" s="1307"/>
      <c r="F21" s="1307"/>
      <c r="G21" s="1307"/>
      <c r="H21" s="1307"/>
    </row>
    <row r="22" spans="1:8">
      <c r="A22" s="1312"/>
      <c r="B22" s="1312"/>
      <c r="C22" s="1312"/>
      <c r="D22" s="1312"/>
      <c r="E22" s="1312"/>
      <c r="F22" s="1312"/>
      <c r="G22" s="1312"/>
      <c r="H22" s="1312"/>
    </row>
    <row r="23" spans="1:8">
      <c r="A23" s="1313" t="s">
        <v>851</v>
      </c>
      <c r="B23" s="1312"/>
      <c r="C23" s="1312"/>
      <c r="D23" s="1312"/>
      <c r="E23" s="1312"/>
      <c r="F23" s="1312"/>
      <c r="G23" s="1312"/>
      <c r="H23" s="1312"/>
    </row>
    <row r="24" spans="1:8">
      <c r="A24" s="1313" t="s">
        <v>852</v>
      </c>
      <c r="B24" s="1312"/>
      <c r="C24" s="1312"/>
      <c r="D24" s="1312"/>
      <c r="E24" s="1312"/>
      <c r="F24" s="1312"/>
      <c r="G24" s="1312"/>
      <c r="H24" s="1312"/>
    </row>
    <row r="25" spans="1:8">
      <c r="A25" s="1313" t="s">
        <v>853</v>
      </c>
      <c r="B25" s="1312"/>
      <c r="C25" s="1312"/>
      <c r="D25" s="1312"/>
      <c r="E25" s="1312"/>
      <c r="F25" s="1312"/>
      <c r="G25" s="1312"/>
      <c r="H25" s="1312"/>
    </row>
    <row r="26" spans="1:8">
      <c r="A26" s="1313" t="s">
        <v>854</v>
      </c>
      <c r="B26" s="1312"/>
      <c r="C26" s="1312"/>
      <c r="D26" s="1312"/>
      <c r="E26" s="1312"/>
      <c r="F26" s="1312"/>
      <c r="G26" s="1312"/>
      <c r="H26" s="1312"/>
    </row>
    <row r="27" spans="1:8">
      <c r="A27" s="1312"/>
      <c r="B27" s="1312"/>
      <c r="C27" s="1312"/>
      <c r="D27" s="1312"/>
      <c r="E27" s="1312"/>
      <c r="F27" s="1312"/>
      <c r="G27" s="1312"/>
      <c r="H27" s="1312"/>
    </row>
    <row r="28" spans="1:8">
      <c r="A28" s="1312"/>
      <c r="B28" s="1312"/>
      <c r="C28" s="1312"/>
      <c r="D28" s="1312"/>
      <c r="E28" s="1312"/>
      <c r="F28" s="1312"/>
      <c r="G28" s="1312"/>
      <c r="H28" s="1312"/>
    </row>
    <row r="29" spans="1:8">
      <c r="A29" s="1313" t="s">
        <v>846</v>
      </c>
      <c r="B29" s="1312"/>
      <c r="C29" s="1312"/>
      <c r="D29" s="1312"/>
      <c r="E29" s="1312"/>
      <c r="F29" s="1312"/>
      <c r="G29" s="1312"/>
      <c r="H29" s="1312"/>
    </row>
    <row r="30" spans="1:8">
      <c r="A30" s="1313" t="s">
        <v>847</v>
      </c>
      <c r="B30" s="1312"/>
      <c r="C30" s="1312"/>
      <c r="D30" s="1312"/>
      <c r="E30" s="1312"/>
      <c r="F30" s="1312"/>
      <c r="G30" s="1312"/>
      <c r="H30" s="1312"/>
    </row>
    <row r="31" spans="1:8">
      <c r="A31" s="1313" t="s">
        <v>848</v>
      </c>
      <c r="B31" s="1312"/>
      <c r="C31" s="1312"/>
      <c r="D31" s="1312"/>
      <c r="E31" s="1312"/>
      <c r="F31" s="1312"/>
      <c r="G31" s="1312"/>
      <c r="H31" s="1312"/>
    </row>
    <row r="32" spans="1:8">
      <c r="A32" s="1313" t="s">
        <v>849</v>
      </c>
      <c r="B32" s="1312"/>
      <c r="C32" s="1312"/>
      <c r="D32" s="1312"/>
      <c r="E32" s="1312"/>
      <c r="F32" s="1312"/>
      <c r="G32" s="1312"/>
      <c r="H32" s="1312"/>
    </row>
    <row r="33" spans="1:8">
      <c r="A33" s="1313" t="s">
        <v>850</v>
      </c>
      <c r="B33" s="1312"/>
      <c r="C33" s="1312"/>
      <c r="D33" s="1312"/>
      <c r="E33" s="1312"/>
      <c r="F33" s="1312"/>
      <c r="G33" s="1312"/>
      <c r="H33" s="1312"/>
    </row>
    <row r="34" spans="1:8">
      <c r="A34" s="1312"/>
      <c r="B34" s="1312"/>
      <c r="C34" s="1312"/>
      <c r="D34" s="1312"/>
      <c r="E34" s="1312"/>
      <c r="F34" s="1312"/>
      <c r="G34" s="1312"/>
      <c r="H34" s="1312"/>
    </row>
    <row r="35" spans="1:8">
      <c r="A35" s="1313" t="s">
        <v>842</v>
      </c>
      <c r="B35" s="1312"/>
      <c r="C35" s="1312"/>
      <c r="D35" s="1312"/>
      <c r="E35" s="1312"/>
      <c r="F35" s="1312"/>
      <c r="G35" s="1312"/>
      <c r="H35" s="1312"/>
    </row>
    <row r="36" spans="1:8">
      <c r="A36" s="1313" t="s">
        <v>843</v>
      </c>
      <c r="B36" s="1312"/>
      <c r="C36" s="1312"/>
      <c r="D36" s="1312"/>
      <c r="E36" s="1312"/>
      <c r="F36" s="1312"/>
      <c r="G36" s="1312"/>
      <c r="H36" s="1312"/>
    </row>
    <row r="37" spans="1:8">
      <c r="A37" s="1313" t="s">
        <v>844</v>
      </c>
      <c r="B37" s="1312"/>
      <c r="C37" s="1312"/>
      <c r="D37" s="1312"/>
      <c r="E37" s="1312"/>
      <c r="F37" s="1312"/>
      <c r="G37" s="1312"/>
      <c r="H37" s="1312"/>
    </row>
    <row r="38" spans="1:8">
      <c r="A38" s="1313" t="s">
        <v>845</v>
      </c>
      <c r="B38" s="1312"/>
      <c r="C38" s="1312"/>
      <c r="D38" s="1312"/>
      <c r="E38" s="1312"/>
      <c r="F38" s="1312"/>
      <c r="G38" s="1312"/>
      <c r="H38" s="1312"/>
    </row>
    <row r="39" spans="1:8">
      <c r="A39" s="1312"/>
      <c r="B39" s="1312"/>
      <c r="C39" s="1312"/>
      <c r="D39" s="1312"/>
      <c r="E39" s="1312"/>
      <c r="F39" s="1312"/>
      <c r="G39" s="1312"/>
      <c r="H39" s="1312"/>
    </row>
    <row r="40" spans="1:8">
      <c r="A40" s="1313" t="s">
        <v>836</v>
      </c>
      <c r="B40" s="1312"/>
      <c r="C40" s="1312"/>
      <c r="D40" s="1312"/>
      <c r="E40" s="1312"/>
      <c r="F40" s="1312"/>
      <c r="G40" s="1312"/>
      <c r="H40" s="1312"/>
    </row>
    <row r="41" spans="1:8">
      <c r="A41" s="1313" t="s">
        <v>837</v>
      </c>
      <c r="B41" s="1312"/>
      <c r="C41" s="1312"/>
      <c r="D41" s="1312"/>
      <c r="E41" s="1312"/>
      <c r="F41" s="1312"/>
      <c r="G41" s="1312"/>
      <c r="H41" s="1312"/>
    </row>
    <row r="42" spans="1:8">
      <c r="A42" s="1313" t="s">
        <v>838</v>
      </c>
      <c r="B42" s="1312"/>
      <c r="C42" s="1312"/>
      <c r="D42" s="1312"/>
      <c r="E42" s="1312"/>
      <c r="F42" s="1312"/>
      <c r="G42" s="1312"/>
      <c r="H42" s="1312"/>
    </row>
    <row r="43" spans="1:8">
      <c r="A43" s="1313" t="s">
        <v>839</v>
      </c>
      <c r="B43" s="1312"/>
      <c r="C43" s="1312"/>
      <c r="D43" s="1312"/>
      <c r="E43" s="1312"/>
      <c r="F43" s="1312"/>
      <c r="G43" s="1312"/>
      <c r="H43" s="1312"/>
    </row>
    <row r="44" spans="1:8">
      <c r="A44" s="1313" t="s">
        <v>840</v>
      </c>
      <c r="B44" s="1312"/>
      <c r="C44" s="1312"/>
      <c r="D44" s="1312"/>
      <c r="E44" s="1312"/>
      <c r="F44" s="1312"/>
      <c r="G44" s="1312"/>
      <c r="H44" s="1312"/>
    </row>
    <row r="45" spans="1:8">
      <c r="A45" s="1313" t="s">
        <v>841</v>
      </c>
      <c r="B45" s="1312"/>
      <c r="C45" s="1312"/>
      <c r="D45" s="1312"/>
      <c r="E45" s="1312"/>
      <c r="F45" s="1312"/>
      <c r="G45" s="1312"/>
      <c r="H45" s="1312"/>
    </row>
    <row r="46" spans="1:8">
      <c r="A46" s="1312"/>
      <c r="B46" s="1312"/>
      <c r="C46" s="1312"/>
      <c r="D46" s="1312"/>
      <c r="E46" s="1312"/>
      <c r="F46" s="1312"/>
      <c r="G46" s="1312"/>
      <c r="H46" s="1312"/>
    </row>
    <row r="47" spans="1:8" ht="15.75">
      <c r="A47" s="1314" t="s">
        <v>569</v>
      </c>
      <c r="B47" s="1312"/>
      <c r="C47" s="1312"/>
      <c r="D47" s="1312"/>
      <c r="E47" s="1312"/>
      <c r="F47" s="1312"/>
      <c r="G47" s="1312"/>
      <c r="H47" s="1312"/>
    </row>
    <row r="48" spans="1:8">
      <c r="A48" s="1312"/>
      <c r="B48" s="1312"/>
      <c r="C48" s="1312"/>
      <c r="D48" s="1312"/>
      <c r="E48" s="1312"/>
      <c r="F48" s="1312"/>
      <c r="G48" s="1312"/>
      <c r="H48" s="1312"/>
    </row>
    <row r="49" spans="1:8">
      <c r="A49" s="1313" t="s">
        <v>832</v>
      </c>
      <c r="B49" s="1312"/>
      <c r="C49" s="1312"/>
      <c r="D49" s="1312"/>
      <c r="E49" s="1312"/>
      <c r="F49" s="1312"/>
      <c r="G49" s="1312"/>
      <c r="H49" s="1312"/>
    </row>
    <row r="50" spans="1:8">
      <c r="A50" s="1313" t="s">
        <v>833</v>
      </c>
      <c r="B50" s="1312"/>
      <c r="C50" s="1312"/>
      <c r="D50" s="1312"/>
      <c r="E50" s="1312"/>
      <c r="F50" s="1312"/>
      <c r="G50" s="1312"/>
      <c r="H50" s="1312"/>
    </row>
    <row r="51" spans="1:8">
      <c r="A51" s="1313" t="s">
        <v>834</v>
      </c>
      <c r="B51" s="1312"/>
      <c r="C51" s="1312"/>
      <c r="D51" s="1312"/>
      <c r="E51" s="1312"/>
      <c r="F51" s="1312"/>
      <c r="G51" s="1312"/>
      <c r="H51" s="1312"/>
    </row>
    <row r="52" spans="1:8">
      <c r="A52" s="1313" t="s">
        <v>835</v>
      </c>
      <c r="B52" s="1312"/>
      <c r="C52" s="1312"/>
      <c r="D52" s="1312"/>
      <c r="E52" s="1312"/>
      <c r="F52" s="1312"/>
      <c r="G52" s="1312"/>
      <c r="H52" s="1312"/>
    </row>
    <row r="53" spans="1:8">
      <c r="A53" s="1312"/>
      <c r="B53" s="1312"/>
      <c r="C53" s="1312"/>
      <c r="D53" s="1312"/>
      <c r="E53" s="1312"/>
      <c r="F53" s="1312"/>
      <c r="G53" s="1312"/>
      <c r="H53" s="1312"/>
    </row>
    <row r="54" spans="1:8">
      <c r="A54" s="1313" t="s">
        <v>570</v>
      </c>
      <c r="B54" s="1312"/>
      <c r="C54" s="1312"/>
      <c r="D54" s="1312"/>
      <c r="E54" s="1312"/>
      <c r="F54" s="1312"/>
      <c r="G54" s="1312"/>
      <c r="H54" s="1312"/>
    </row>
    <row r="55" spans="1:8">
      <c r="A55" s="1312"/>
      <c r="B55" s="1312"/>
      <c r="C55" s="1312"/>
      <c r="D55" s="1312"/>
      <c r="E55" s="1312"/>
      <c r="F55" s="1312"/>
      <c r="G55" s="1312"/>
      <c r="H55" s="1312"/>
    </row>
    <row r="56" spans="1:8" ht="15.75">
      <c r="A56" s="1314" t="s">
        <v>571</v>
      </c>
      <c r="B56" s="1312"/>
      <c r="C56" s="1312"/>
      <c r="D56" s="1312"/>
      <c r="E56" s="1312"/>
      <c r="F56" s="1312"/>
      <c r="G56" s="1312"/>
      <c r="H56" s="1312"/>
    </row>
    <row r="57" spans="1:8">
      <c r="A57" s="1312"/>
      <c r="B57" s="1312"/>
      <c r="C57" s="1312"/>
      <c r="D57" s="1312"/>
      <c r="E57" s="1312"/>
      <c r="F57" s="1312"/>
      <c r="G57" s="1312"/>
      <c r="H57" s="1312"/>
    </row>
    <row r="58" spans="1:8">
      <c r="A58" s="1313" t="s">
        <v>830</v>
      </c>
      <c r="B58" s="1312"/>
      <c r="C58" s="1312"/>
      <c r="D58" s="1312"/>
      <c r="E58" s="1312"/>
      <c r="F58" s="1312"/>
      <c r="G58" s="1312"/>
      <c r="H58" s="1312"/>
    </row>
    <row r="59" spans="1:8">
      <c r="A59" s="1313" t="s">
        <v>831</v>
      </c>
      <c r="B59" s="1312"/>
      <c r="C59" s="1312"/>
      <c r="D59" s="1312"/>
      <c r="E59" s="1312"/>
      <c r="F59" s="1312"/>
      <c r="G59" s="1312"/>
      <c r="H59" s="1312"/>
    </row>
    <row r="60" spans="1:8">
      <c r="A60" s="1312"/>
      <c r="B60" s="1312"/>
      <c r="C60" s="1312"/>
      <c r="D60" s="1312"/>
      <c r="E60" s="1312"/>
      <c r="F60" s="1312"/>
      <c r="G60" s="1312"/>
      <c r="H60" s="1312"/>
    </row>
    <row r="61" spans="1:8" ht="15.75">
      <c r="A61" s="1314" t="s">
        <v>572</v>
      </c>
      <c r="B61" s="1312"/>
      <c r="C61" s="1312"/>
      <c r="D61" s="1312"/>
      <c r="E61" s="1312"/>
      <c r="F61" s="1312"/>
      <c r="G61" s="1312"/>
      <c r="H61" s="1312"/>
    </row>
    <row r="62" spans="1:8">
      <c r="A62" s="1312"/>
      <c r="B62" s="1312"/>
      <c r="C62" s="1312"/>
      <c r="D62" s="1312"/>
      <c r="E62" s="1312"/>
      <c r="F62" s="1312"/>
      <c r="G62" s="1312"/>
      <c r="H62" s="1312"/>
    </row>
    <row r="63" spans="1:8">
      <c r="A63" s="1313" t="s">
        <v>828</v>
      </c>
      <c r="B63" s="1312"/>
      <c r="C63" s="1312"/>
      <c r="D63" s="1312"/>
      <c r="E63" s="1312"/>
      <c r="F63" s="1312"/>
      <c r="G63" s="1312"/>
      <c r="H63" s="1312"/>
    </row>
    <row r="64" spans="1:8">
      <c r="A64" s="1313" t="s">
        <v>829</v>
      </c>
      <c r="B64" s="1312"/>
      <c r="C64" s="1312"/>
      <c r="D64" s="1312"/>
      <c r="E64" s="1312"/>
      <c r="F64" s="1312"/>
      <c r="G64" s="1312"/>
      <c r="H64" s="1312"/>
    </row>
    <row r="65" spans="1:8">
      <c r="A65" s="1312"/>
      <c r="B65" s="1312"/>
      <c r="C65" s="1312"/>
      <c r="D65" s="1312"/>
      <c r="E65" s="1312"/>
      <c r="F65" s="1312"/>
      <c r="G65" s="1312"/>
      <c r="H65" s="1312"/>
    </row>
    <row r="66" spans="1:8">
      <c r="A66" s="1313" t="s">
        <v>826</v>
      </c>
      <c r="B66" s="1312"/>
      <c r="C66" s="1312"/>
      <c r="D66" s="1312"/>
      <c r="E66" s="1312"/>
      <c r="F66" s="1312"/>
      <c r="G66" s="1312"/>
      <c r="H66" s="1312"/>
    </row>
    <row r="67" spans="1:8">
      <c r="A67" s="1313" t="s">
        <v>827</v>
      </c>
      <c r="B67" s="1312"/>
      <c r="C67" s="1312"/>
      <c r="D67" s="1312"/>
      <c r="E67" s="1312"/>
      <c r="F67" s="1312"/>
      <c r="G67" s="1312"/>
      <c r="H67" s="1312"/>
    </row>
    <row r="68" spans="1:8">
      <c r="A68" s="1312"/>
      <c r="B68" s="1312"/>
      <c r="C68" s="1312"/>
      <c r="D68" s="1312"/>
      <c r="E68" s="1312"/>
      <c r="F68" s="1312"/>
      <c r="G68" s="1312"/>
      <c r="H68" s="1312"/>
    </row>
    <row r="69" spans="1:8">
      <c r="A69" s="1313" t="s">
        <v>824</v>
      </c>
      <c r="B69" s="1312"/>
      <c r="C69" s="1312"/>
      <c r="D69" s="1312"/>
      <c r="E69" s="1312"/>
      <c r="F69" s="1312"/>
      <c r="G69" s="1312"/>
      <c r="H69" s="1312"/>
    </row>
    <row r="70" spans="1:8">
      <c r="A70" s="1313" t="s">
        <v>825</v>
      </c>
      <c r="B70" s="1312"/>
      <c r="C70" s="1312"/>
      <c r="D70" s="1312"/>
      <c r="E70" s="1312"/>
      <c r="F70" s="1312"/>
      <c r="G70" s="1312"/>
      <c r="H70" s="1312"/>
    </row>
    <row r="71" spans="1:8">
      <c r="A71" s="1312"/>
      <c r="B71" s="1312"/>
      <c r="C71" s="1312"/>
      <c r="D71" s="1312"/>
      <c r="E71" s="1312"/>
      <c r="F71" s="1312"/>
      <c r="G71" s="1312"/>
      <c r="H71" s="1312"/>
    </row>
    <row r="72" spans="1:8">
      <c r="A72" s="1313" t="s">
        <v>822</v>
      </c>
      <c r="B72" s="1312"/>
      <c r="C72" s="1312"/>
      <c r="D72" s="1312"/>
      <c r="E72" s="1312"/>
      <c r="F72" s="1312"/>
      <c r="G72" s="1312"/>
      <c r="H72" s="1312"/>
    </row>
    <row r="73" spans="1:8">
      <c r="A73" s="1313" t="s">
        <v>823</v>
      </c>
      <c r="B73" s="1312"/>
      <c r="C73" s="1312"/>
      <c r="D73" s="1312"/>
      <c r="E73" s="1312"/>
      <c r="F73" s="1312"/>
      <c r="G73" s="1312"/>
      <c r="H73" s="1312"/>
    </row>
    <row r="74" spans="1:8">
      <c r="A74" s="1312"/>
      <c r="B74" s="1312"/>
      <c r="C74" s="1312"/>
      <c r="D74" s="1312"/>
      <c r="E74" s="1312"/>
      <c r="F74" s="1312"/>
      <c r="G74" s="1312"/>
      <c r="H74" s="1312"/>
    </row>
    <row r="75" spans="1:8">
      <c r="A75" s="1313" t="s">
        <v>820</v>
      </c>
      <c r="B75" s="1312"/>
      <c r="C75" s="1312"/>
      <c r="D75" s="1312"/>
      <c r="E75" s="1312"/>
      <c r="F75" s="1312"/>
      <c r="G75" s="1312"/>
      <c r="H75" s="1312"/>
    </row>
    <row r="76" spans="1:8">
      <c r="A76" s="1313" t="s">
        <v>821</v>
      </c>
      <c r="B76" s="1312"/>
      <c r="C76" s="1312"/>
      <c r="D76" s="1312"/>
      <c r="E76" s="1312"/>
      <c r="F76" s="1312"/>
      <c r="G76" s="1312"/>
      <c r="H76" s="1312"/>
    </row>
    <row r="77" spans="1:8">
      <c r="A77" s="1312"/>
      <c r="B77" s="1312"/>
      <c r="C77" s="1312"/>
      <c r="D77" s="1312"/>
      <c r="E77" s="1312"/>
      <c r="F77" s="1312"/>
      <c r="G77" s="1312"/>
      <c r="H77" s="1312"/>
    </row>
    <row r="78" spans="1:8">
      <c r="A78" s="1313" t="s">
        <v>817</v>
      </c>
      <c r="B78" s="1312"/>
      <c r="C78" s="1312"/>
      <c r="D78" s="1312"/>
      <c r="E78" s="1312"/>
      <c r="F78" s="1312"/>
      <c r="G78" s="1312"/>
      <c r="H78" s="1312"/>
    </row>
    <row r="79" spans="1:8">
      <c r="A79" s="1313" t="s">
        <v>818</v>
      </c>
      <c r="B79" s="1312"/>
      <c r="C79" s="1312"/>
      <c r="D79" s="1312"/>
      <c r="E79" s="1312"/>
      <c r="F79" s="1312"/>
      <c r="G79" s="1312"/>
      <c r="H79" s="1312"/>
    </row>
    <row r="80" spans="1:8">
      <c r="A80" s="1313" t="s">
        <v>819</v>
      </c>
      <c r="B80" s="1312"/>
      <c r="C80" s="1312"/>
      <c r="D80" s="1312"/>
      <c r="E80" s="1312"/>
      <c r="F80" s="1312"/>
      <c r="G80" s="1312"/>
      <c r="H80" s="1312"/>
    </row>
    <row r="81" spans="1:8">
      <c r="A81" s="1312"/>
      <c r="B81" s="1312"/>
      <c r="C81" s="1312"/>
      <c r="D81" s="1312"/>
      <c r="E81" s="1312"/>
      <c r="F81" s="1312"/>
      <c r="G81" s="1312"/>
      <c r="H81" s="1312"/>
    </row>
    <row r="82" spans="1:8">
      <c r="A82" s="1313" t="s">
        <v>573</v>
      </c>
      <c r="B82" s="1312"/>
      <c r="C82" s="1312"/>
      <c r="D82" s="1312"/>
      <c r="E82" s="1312"/>
      <c r="F82" s="1312"/>
      <c r="G82" s="1312"/>
      <c r="H82" s="1312"/>
    </row>
    <row r="83" spans="1:8">
      <c r="A83" s="1312"/>
      <c r="B83" s="1312"/>
      <c r="C83" s="1312"/>
      <c r="D83" s="1312"/>
      <c r="E83" s="1312"/>
      <c r="F83" s="1312"/>
      <c r="G83" s="1312"/>
      <c r="H83" s="1312"/>
    </row>
    <row r="84" spans="1:8">
      <c r="A84" s="1313" t="s">
        <v>812</v>
      </c>
      <c r="B84" s="1312"/>
      <c r="C84" s="1312"/>
      <c r="D84" s="1312"/>
      <c r="E84" s="1312"/>
      <c r="F84" s="1312"/>
      <c r="G84" s="1312"/>
      <c r="H84" s="1312"/>
    </row>
    <row r="85" spans="1:8">
      <c r="A85" s="1313" t="s">
        <v>813</v>
      </c>
      <c r="B85" s="1312"/>
      <c r="C85" s="1312"/>
      <c r="D85" s="1312"/>
      <c r="E85" s="1312"/>
      <c r="F85" s="1312"/>
      <c r="G85" s="1312"/>
      <c r="H85" s="1312"/>
    </row>
    <row r="86" spans="1:8">
      <c r="A86" s="1313" t="s">
        <v>814</v>
      </c>
      <c r="B86" s="1312"/>
      <c r="C86" s="1312"/>
      <c r="D86" s="1312"/>
      <c r="E86" s="1312"/>
      <c r="F86" s="1312"/>
      <c r="G86" s="1312"/>
      <c r="H86" s="1312"/>
    </row>
    <row r="87" spans="1:8">
      <c r="A87" s="1313" t="s">
        <v>815</v>
      </c>
      <c r="B87" s="1312"/>
      <c r="C87" s="1312"/>
      <c r="D87" s="1312"/>
      <c r="E87" s="1312"/>
      <c r="F87" s="1312"/>
      <c r="G87" s="1312"/>
      <c r="H87" s="1312"/>
    </row>
    <row r="88" spans="1:8">
      <c r="A88" s="1313" t="s">
        <v>816</v>
      </c>
      <c r="B88" s="1312"/>
      <c r="C88" s="1312"/>
      <c r="D88" s="1312"/>
      <c r="E88" s="1312"/>
      <c r="F88" s="1312"/>
      <c r="G88" s="1312"/>
      <c r="H88" s="1312"/>
    </row>
    <row r="89" spans="1:8">
      <c r="A89" s="1313" t="s">
        <v>699</v>
      </c>
      <c r="B89" s="1312"/>
      <c r="C89" s="1312"/>
      <c r="D89" s="1312"/>
      <c r="E89" s="1312"/>
      <c r="F89" s="1312"/>
      <c r="G89" s="1312"/>
      <c r="H89" s="1312"/>
    </row>
    <row r="90" spans="1:8">
      <c r="A90" s="1312"/>
      <c r="B90" s="1312"/>
      <c r="C90" s="1312"/>
      <c r="D90" s="1312"/>
      <c r="E90" s="1312"/>
      <c r="F90" s="1312"/>
      <c r="G90" s="1312"/>
      <c r="H90" s="1312"/>
    </row>
    <row r="91" spans="1:8">
      <c r="A91" s="1313" t="s">
        <v>805</v>
      </c>
      <c r="B91" s="1312"/>
      <c r="C91" s="1312"/>
      <c r="D91" s="1312"/>
      <c r="E91" s="1312"/>
      <c r="F91" s="1312"/>
      <c r="G91" s="1312"/>
      <c r="H91" s="1312"/>
    </row>
    <row r="92" spans="1:8">
      <c r="A92" s="1313" t="s">
        <v>806</v>
      </c>
      <c r="B92" s="1312"/>
      <c r="C92" s="1312"/>
      <c r="D92" s="1312"/>
      <c r="E92" s="1312"/>
      <c r="F92" s="1312"/>
      <c r="G92" s="1312"/>
      <c r="H92" s="1312"/>
    </row>
    <row r="93" spans="1:8">
      <c r="A93" s="1313" t="s">
        <v>807</v>
      </c>
      <c r="B93" s="1312"/>
      <c r="C93" s="1312"/>
      <c r="D93" s="1312"/>
      <c r="E93" s="1312"/>
      <c r="F93" s="1312"/>
      <c r="G93" s="1312"/>
      <c r="H93" s="1312"/>
    </row>
    <row r="94" spans="1:8">
      <c r="A94" s="1313" t="s">
        <v>808</v>
      </c>
      <c r="B94" s="1312"/>
      <c r="C94" s="1312"/>
      <c r="D94" s="1312"/>
      <c r="E94" s="1312"/>
      <c r="F94" s="1312"/>
      <c r="G94" s="1312"/>
      <c r="H94" s="1312"/>
    </row>
    <row r="95" spans="1:8">
      <c r="A95" s="1313" t="s">
        <v>809</v>
      </c>
      <c r="B95" s="1312"/>
      <c r="C95" s="1312"/>
      <c r="D95" s="1312"/>
      <c r="E95" s="1312"/>
      <c r="F95" s="1312"/>
      <c r="G95" s="1312"/>
      <c r="H95" s="1312"/>
    </row>
    <row r="96" spans="1:8">
      <c r="A96" s="1313" t="s">
        <v>810</v>
      </c>
      <c r="B96" s="1312"/>
      <c r="C96" s="1312"/>
      <c r="D96" s="1312"/>
      <c r="E96" s="1312"/>
      <c r="F96" s="1312"/>
      <c r="G96" s="1312"/>
      <c r="H96" s="1312"/>
    </row>
    <row r="97" spans="1:8">
      <c r="A97" s="1313" t="s">
        <v>811</v>
      </c>
      <c r="B97" s="1312"/>
      <c r="C97" s="1312"/>
      <c r="D97" s="1312"/>
      <c r="E97" s="1312"/>
      <c r="F97" s="1312"/>
      <c r="G97" s="1312"/>
      <c r="H97" s="1312"/>
    </row>
    <row r="98" spans="1:8">
      <c r="A98" s="1312"/>
      <c r="B98" s="1312"/>
      <c r="C98" s="1312"/>
      <c r="D98" s="1312"/>
      <c r="E98" s="1312"/>
      <c r="F98" s="1312"/>
      <c r="G98" s="1312"/>
      <c r="H98" s="1312"/>
    </row>
    <row r="99" spans="1:8">
      <c r="A99" s="1313" t="s">
        <v>803</v>
      </c>
      <c r="B99" s="1312"/>
      <c r="C99" s="1312"/>
      <c r="D99" s="1312"/>
      <c r="E99" s="1312"/>
      <c r="F99" s="1312"/>
      <c r="G99" s="1312"/>
      <c r="H99" s="1312"/>
    </row>
    <row r="100" spans="1:8">
      <c r="A100" s="1313" t="s">
        <v>804</v>
      </c>
      <c r="B100" s="1312"/>
      <c r="C100" s="1312"/>
      <c r="D100" s="1312"/>
      <c r="E100" s="1312"/>
      <c r="F100" s="1312"/>
      <c r="G100" s="1312"/>
      <c r="H100" s="1312"/>
    </row>
    <row r="101" spans="1:8">
      <c r="A101" s="1312"/>
      <c r="B101" s="1312"/>
      <c r="C101" s="1312"/>
      <c r="D101" s="1312"/>
      <c r="E101" s="1312"/>
      <c r="F101" s="1312"/>
      <c r="G101" s="1312"/>
      <c r="H101" s="1312"/>
    </row>
    <row r="102" spans="1:8" ht="15.75">
      <c r="A102" s="1314" t="s">
        <v>574</v>
      </c>
      <c r="B102" s="1312"/>
      <c r="C102" s="1312"/>
      <c r="D102" s="1312"/>
      <c r="E102" s="1312"/>
      <c r="F102" s="1312"/>
      <c r="G102" s="1312"/>
      <c r="H102" s="1312"/>
    </row>
    <row r="103" spans="1:8">
      <c r="A103" s="1312"/>
      <c r="B103" s="1312"/>
      <c r="C103" s="1312"/>
      <c r="D103" s="1312"/>
      <c r="E103" s="1312"/>
      <c r="F103" s="1312"/>
      <c r="G103" s="1312"/>
      <c r="H103" s="1312"/>
    </row>
    <row r="104" spans="1:8">
      <c r="A104" s="1313" t="s">
        <v>794</v>
      </c>
      <c r="B104" s="1312"/>
      <c r="C104" s="1312"/>
      <c r="D104" s="1312"/>
      <c r="E104" s="1312"/>
      <c r="F104" s="1312"/>
      <c r="G104" s="1312"/>
      <c r="H104" s="1312"/>
    </row>
    <row r="105" spans="1:8">
      <c r="A105" s="1313" t="s">
        <v>795</v>
      </c>
      <c r="B105" s="1312"/>
      <c r="C105" s="1312"/>
      <c r="D105" s="1312"/>
      <c r="E105" s="1312"/>
      <c r="F105" s="1312"/>
      <c r="G105" s="1312"/>
      <c r="H105" s="1312"/>
    </row>
    <row r="106" spans="1:8">
      <c r="A106" s="1313" t="s">
        <v>796</v>
      </c>
      <c r="B106" s="1312"/>
      <c r="C106" s="1312"/>
      <c r="D106" s="1312"/>
      <c r="E106" s="1312"/>
      <c r="F106" s="1312"/>
      <c r="G106" s="1312"/>
      <c r="H106" s="1312"/>
    </row>
    <row r="107" spans="1:8">
      <c r="A107" s="1313" t="s">
        <v>797</v>
      </c>
      <c r="B107" s="1312"/>
      <c r="C107" s="1312"/>
      <c r="D107" s="1312"/>
      <c r="E107" s="1312"/>
      <c r="F107" s="1312"/>
      <c r="G107" s="1312"/>
      <c r="H107" s="1312"/>
    </row>
    <row r="108" spans="1:8">
      <c r="A108" s="1313" t="s">
        <v>798</v>
      </c>
      <c r="B108" s="1312"/>
      <c r="C108" s="1312"/>
      <c r="D108" s="1312"/>
      <c r="E108" s="1312"/>
      <c r="F108" s="1312"/>
      <c r="G108" s="1312"/>
      <c r="H108" s="1312"/>
    </row>
    <row r="109" spans="1:8">
      <c r="A109" s="1313" t="s">
        <v>799</v>
      </c>
      <c r="B109" s="1312"/>
      <c r="C109" s="1312"/>
      <c r="D109" s="1312"/>
      <c r="E109" s="1312"/>
      <c r="F109" s="1312"/>
      <c r="G109" s="1312"/>
      <c r="H109" s="1312"/>
    </row>
    <row r="110" spans="1:8">
      <c r="A110" s="1313" t="s">
        <v>800</v>
      </c>
      <c r="B110" s="1312"/>
      <c r="C110" s="1312"/>
      <c r="D110" s="1312"/>
      <c r="E110" s="1312"/>
      <c r="F110" s="1312"/>
      <c r="G110" s="1312"/>
      <c r="H110" s="1312"/>
    </row>
    <row r="111" spans="1:8">
      <c r="A111" s="1313" t="s">
        <v>801</v>
      </c>
      <c r="B111" s="1312"/>
      <c r="C111" s="1312"/>
      <c r="D111" s="1312"/>
      <c r="E111" s="1312"/>
      <c r="F111" s="1312"/>
      <c r="G111" s="1312"/>
      <c r="H111" s="1312"/>
    </row>
    <row r="112" spans="1:8">
      <c r="A112" s="1313" t="s">
        <v>802</v>
      </c>
      <c r="B112" s="1312"/>
      <c r="C112" s="1312"/>
      <c r="D112" s="1312"/>
      <c r="E112" s="1312"/>
      <c r="F112" s="1312"/>
      <c r="G112" s="1312"/>
      <c r="H112" s="1312"/>
    </row>
    <row r="113" spans="1:8">
      <c r="A113" s="1312"/>
      <c r="B113" s="1312"/>
      <c r="C113" s="1312"/>
      <c r="D113" s="1312"/>
      <c r="E113" s="1312"/>
      <c r="F113" s="1312"/>
      <c r="G113" s="1312"/>
      <c r="H113" s="1312"/>
    </row>
    <row r="114" spans="1:8" ht="15.75">
      <c r="A114" s="1329" t="s">
        <v>575</v>
      </c>
      <c r="B114" s="1329"/>
      <c r="C114" s="1329"/>
      <c r="D114" s="1329"/>
      <c r="E114" s="1329"/>
      <c r="F114" s="1329"/>
      <c r="G114" s="1329"/>
      <c r="H114" s="1329"/>
    </row>
    <row r="115" spans="1:8">
      <c r="A115" s="1325" t="s">
        <v>576</v>
      </c>
      <c r="B115" s="1325"/>
      <c r="C115" s="1325"/>
      <c r="D115" s="1325"/>
      <c r="E115" s="1325"/>
      <c r="F115" s="1325"/>
      <c r="G115" s="1325"/>
      <c r="H115" s="1325"/>
    </row>
    <row r="116" spans="1:8">
      <c r="A116" s="1330"/>
      <c r="B116" s="1330"/>
      <c r="C116" s="1330"/>
      <c r="D116" s="1330"/>
      <c r="E116" s="1330"/>
      <c r="F116" s="1330"/>
      <c r="G116" s="1330"/>
      <c r="H116" s="1330"/>
    </row>
    <row r="117" spans="1:8">
      <c r="A117" s="1325" t="s">
        <v>792</v>
      </c>
      <c r="B117" s="1325"/>
      <c r="C117" s="1325"/>
      <c r="D117" s="1325"/>
      <c r="E117" s="1325"/>
      <c r="F117" s="1325"/>
      <c r="G117" s="1325"/>
      <c r="H117" s="1325"/>
    </row>
    <row r="118" spans="1:8">
      <c r="A118" s="1313" t="s">
        <v>793</v>
      </c>
      <c r="B118" s="1313"/>
      <c r="C118" s="1313"/>
      <c r="D118" s="1313"/>
      <c r="E118" s="1313"/>
      <c r="F118" s="1313"/>
      <c r="G118" s="1313"/>
      <c r="H118" s="1313"/>
    </row>
    <row r="119" spans="1:8">
      <c r="A119" s="1330"/>
      <c r="B119" s="1330"/>
      <c r="C119" s="1330"/>
      <c r="D119" s="1330"/>
      <c r="E119" s="1330"/>
      <c r="F119" s="1330"/>
      <c r="G119" s="1330"/>
      <c r="H119" s="1330"/>
    </row>
    <row r="120" spans="1:8">
      <c r="A120" s="1325" t="s">
        <v>785</v>
      </c>
      <c r="B120" s="1325"/>
      <c r="C120" s="1325"/>
      <c r="D120" s="1325"/>
      <c r="E120" s="1325"/>
      <c r="F120" s="1325"/>
      <c r="G120" s="1325"/>
      <c r="H120" s="1325"/>
    </row>
    <row r="121" spans="1:8">
      <c r="A121" s="1313" t="s">
        <v>786</v>
      </c>
      <c r="B121" s="1313"/>
      <c r="C121" s="1313"/>
      <c r="D121" s="1313"/>
      <c r="E121" s="1313"/>
      <c r="F121" s="1313"/>
      <c r="G121" s="1313"/>
      <c r="H121" s="1313"/>
    </row>
    <row r="122" spans="1:8">
      <c r="A122" s="1313" t="s">
        <v>787</v>
      </c>
      <c r="B122" s="1313"/>
      <c r="C122" s="1313"/>
      <c r="D122" s="1313"/>
      <c r="E122" s="1313"/>
      <c r="F122" s="1313"/>
      <c r="G122" s="1313"/>
      <c r="H122" s="1313"/>
    </row>
    <row r="123" spans="1:8">
      <c r="A123" s="1313" t="s">
        <v>788</v>
      </c>
      <c r="B123" s="1313"/>
      <c r="C123" s="1313"/>
      <c r="D123" s="1313"/>
      <c r="E123" s="1313"/>
      <c r="F123" s="1313"/>
      <c r="G123" s="1313"/>
      <c r="H123" s="1313"/>
    </row>
    <row r="124" spans="1:8">
      <c r="A124" s="1313" t="s">
        <v>789</v>
      </c>
      <c r="B124" s="1313"/>
      <c r="C124" s="1313"/>
      <c r="D124" s="1313"/>
      <c r="E124" s="1313"/>
      <c r="F124" s="1313"/>
      <c r="G124" s="1313"/>
      <c r="H124" s="1313"/>
    </row>
    <row r="125" spans="1:8">
      <c r="A125" s="1313" t="s">
        <v>790</v>
      </c>
      <c r="B125" s="1313"/>
      <c r="C125" s="1313"/>
      <c r="D125" s="1313"/>
      <c r="E125" s="1313"/>
      <c r="F125" s="1313"/>
      <c r="G125" s="1313"/>
      <c r="H125" s="1313"/>
    </row>
    <row r="126" spans="1:8">
      <c r="A126" s="1313" t="s">
        <v>791</v>
      </c>
      <c r="B126" s="1313"/>
      <c r="C126" s="1313"/>
      <c r="D126" s="1313"/>
      <c r="E126" s="1313"/>
      <c r="F126" s="1313"/>
      <c r="G126" s="1313"/>
      <c r="H126" s="1313"/>
    </row>
    <row r="127" spans="1:8">
      <c r="A127" s="1331"/>
      <c r="B127" s="1331"/>
      <c r="C127" s="1331"/>
      <c r="D127" s="1331"/>
      <c r="E127" s="1331"/>
      <c r="F127" s="1331"/>
      <c r="G127" s="1331"/>
      <c r="H127" s="1331"/>
    </row>
    <row r="128" spans="1:8">
      <c r="A128" s="1315"/>
      <c r="B128" s="1326" t="s">
        <v>577</v>
      </c>
      <c r="C128" s="1327"/>
      <c r="D128" s="1326" t="s">
        <v>578</v>
      </c>
      <c r="E128" s="1328"/>
      <c r="F128" s="1327"/>
      <c r="G128" s="1326" t="s">
        <v>579</v>
      </c>
      <c r="H128" s="1327"/>
    </row>
    <row r="129" spans="1:8">
      <c r="A129" s="1315" t="s">
        <v>580</v>
      </c>
      <c r="B129" s="1315" t="s">
        <v>339</v>
      </c>
      <c r="C129" s="1315" t="s">
        <v>581</v>
      </c>
      <c r="D129" s="1315" t="s">
        <v>339</v>
      </c>
      <c r="E129" s="1315" t="s">
        <v>582</v>
      </c>
      <c r="F129" s="1315" t="s">
        <v>583</v>
      </c>
      <c r="G129" s="1315" t="s">
        <v>339</v>
      </c>
      <c r="H129" s="1315" t="s">
        <v>584</v>
      </c>
    </row>
    <row r="130" spans="1:8">
      <c r="A130" s="1315" t="s">
        <v>585</v>
      </c>
      <c r="B130" s="1315">
        <v>1189</v>
      </c>
      <c r="C130" s="1316">
        <v>0.38</v>
      </c>
      <c r="D130" s="1315">
        <v>315</v>
      </c>
      <c r="E130" s="1316">
        <v>0.41</v>
      </c>
      <c r="F130" s="1316">
        <v>0.26</v>
      </c>
      <c r="G130" s="1315">
        <v>555</v>
      </c>
      <c r="H130" s="1316">
        <v>0.39</v>
      </c>
    </row>
    <row r="131" spans="1:8">
      <c r="A131" s="1315" t="s">
        <v>586</v>
      </c>
      <c r="B131" s="1315">
        <v>1355</v>
      </c>
      <c r="C131" s="1316">
        <v>0.43</v>
      </c>
      <c r="D131" s="1315">
        <v>364</v>
      </c>
      <c r="E131" s="1316">
        <v>0.47</v>
      </c>
      <c r="F131" s="1316">
        <v>0.27</v>
      </c>
      <c r="G131" s="1315">
        <v>644</v>
      </c>
      <c r="H131" s="1316">
        <v>0.45</v>
      </c>
    </row>
    <row r="132" spans="1:8">
      <c r="A132" s="1315" t="s">
        <v>587</v>
      </c>
      <c r="B132" s="1315">
        <v>53</v>
      </c>
      <c r="C132" s="1316">
        <v>0.02</v>
      </c>
      <c r="D132" s="1315">
        <v>4</v>
      </c>
      <c r="E132" s="1316">
        <v>0.01</v>
      </c>
      <c r="F132" s="1316">
        <v>0.08</v>
      </c>
      <c r="G132" s="1315">
        <v>7</v>
      </c>
      <c r="H132" s="1316">
        <v>0</v>
      </c>
    </row>
    <row r="133" spans="1:8">
      <c r="A133" s="1315" t="s">
        <v>588</v>
      </c>
      <c r="B133" s="1315">
        <v>545</v>
      </c>
      <c r="C133" s="1316">
        <v>0.17</v>
      </c>
      <c r="D133" s="1315">
        <v>84</v>
      </c>
      <c r="E133" s="1316">
        <v>0.11</v>
      </c>
      <c r="F133" s="1316">
        <v>0.15</v>
      </c>
      <c r="G133" s="1315">
        <v>214</v>
      </c>
      <c r="H133" s="1316">
        <v>0.15</v>
      </c>
    </row>
    <row r="134" spans="1:8">
      <c r="A134" s="1315" t="s">
        <v>297</v>
      </c>
      <c r="B134" s="1317">
        <v>3142</v>
      </c>
      <c r="C134" s="1315"/>
      <c r="D134" s="1315">
        <v>767</v>
      </c>
      <c r="E134" s="1315"/>
      <c r="F134" s="1315"/>
      <c r="G134" s="1315">
        <v>1420</v>
      </c>
      <c r="H134" s="1315"/>
    </row>
    <row r="135" spans="1:8">
      <c r="A135" s="1324"/>
      <c r="B135" s="1324"/>
      <c r="C135" s="1324"/>
      <c r="D135" s="1324"/>
      <c r="E135" s="1324"/>
      <c r="F135" s="1324"/>
      <c r="G135" s="1324"/>
      <c r="H135" s="1324"/>
    </row>
    <row r="136" spans="1:8">
      <c r="A136" s="1325" t="s">
        <v>781</v>
      </c>
      <c r="B136" s="1325"/>
      <c r="C136" s="1325"/>
      <c r="D136" s="1325"/>
      <c r="E136" s="1325"/>
      <c r="F136" s="1325"/>
      <c r="G136" s="1325"/>
      <c r="H136" s="1325"/>
    </row>
    <row r="137" spans="1:8">
      <c r="A137" s="1313" t="s">
        <v>782</v>
      </c>
      <c r="B137" s="1313"/>
      <c r="C137" s="1313"/>
      <c r="D137" s="1313"/>
      <c r="E137" s="1313"/>
      <c r="F137" s="1313"/>
      <c r="G137" s="1313"/>
      <c r="H137" s="1313"/>
    </row>
    <row r="138" spans="1:8">
      <c r="A138" s="1313" t="s">
        <v>783</v>
      </c>
      <c r="B138" s="1313"/>
      <c r="C138" s="1313"/>
      <c r="D138" s="1313"/>
      <c r="E138" s="1313"/>
      <c r="F138" s="1313"/>
      <c r="G138" s="1313"/>
      <c r="H138" s="1313"/>
    </row>
    <row r="139" spans="1:8">
      <c r="A139" s="1313" t="s">
        <v>784</v>
      </c>
      <c r="B139" s="1313"/>
      <c r="C139" s="1313"/>
      <c r="D139" s="1313"/>
      <c r="E139" s="1313"/>
      <c r="F139" s="1313"/>
      <c r="G139" s="1313"/>
      <c r="H139" s="1313"/>
    </row>
    <row r="140" spans="1:8">
      <c r="A140" s="1312"/>
      <c r="B140" s="1312"/>
      <c r="C140" s="1312"/>
      <c r="D140" s="1312"/>
      <c r="E140" s="1312"/>
      <c r="F140" s="1312"/>
      <c r="G140" s="1312"/>
      <c r="H140" s="1312"/>
    </row>
    <row r="141" spans="1:8" ht="15.75">
      <c r="A141" s="1314" t="s">
        <v>589</v>
      </c>
      <c r="B141" s="1312"/>
      <c r="C141" s="1312"/>
      <c r="D141" s="1312"/>
      <c r="E141" s="1312"/>
      <c r="F141" s="1312"/>
      <c r="G141" s="1312"/>
      <c r="H141" s="1312"/>
    </row>
    <row r="142" spans="1:8">
      <c r="A142" s="1312"/>
      <c r="B142" s="1312"/>
      <c r="C142" s="1312"/>
      <c r="D142" s="1312"/>
      <c r="E142" s="1312"/>
      <c r="F142" s="1312"/>
      <c r="G142" s="1312"/>
      <c r="H142" s="1312"/>
    </row>
    <row r="143" spans="1:8">
      <c r="A143" s="1313" t="s">
        <v>779</v>
      </c>
      <c r="B143" s="1312"/>
      <c r="C143" s="1312"/>
      <c r="D143" s="1312"/>
      <c r="E143" s="1312"/>
      <c r="F143" s="1312"/>
      <c r="G143" s="1312"/>
      <c r="H143" s="1312"/>
    </row>
    <row r="144" spans="1:8">
      <c r="A144" s="1313" t="s">
        <v>780</v>
      </c>
      <c r="B144" s="1312"/>
      <c r="C144" s="1312"/>
      <c r="D144" s="1312"/>
      <c r="E144" s="1312"/>
      <c r="F144" s="1312"/>
      <c r="G144" s="1312"/>
      <c r="H144" s="1312"/>
    </row>
    <row r="145" spans="1:8">
      <c r="A145" s="1312"/>
      <c r="B145" s="1312"/>
      <c r="C145" s="1312"/>
      <c r="D145" s="1312"/>
      <c r="E145" s="1312"/>
      <c r="F145" s="1312"/>
      <c r="G145" s="1312"/>
      <c r="H145" s="1312"/>
    </row>
    <row r="146" spans="1:8">
      <c r="A146" s="1313" t="s">
        <v>776</v>
      </c>
      <c r="B146" s="1312"/>
      <c r="C146" s="1312"/>
      <c r="D146" s="1312"/>
      <c r="E146" s="1312"/>
      <c r="F146" s="1312"/>
      <c r="G146" s="1312"/>
      <c r="H146" s="1312"/>
    </row>
    <row r="147" spans="1:8">
      <c r="A147" s="1313" t="s">
        <v>777</v>
      </c>
      <c r="B147" s="1312"/>
      <c r="C147" s="1312"/>
      <c r="D147" s="1312"/>
      <c r="E147" s="1312"/>
      <c r="F147" s="1312"/>
      <c r="G147" s="1312"/>
      <c r="H147" s="1312"/>
    </row>
    <row r="148" spans="1:8">
      <c r="A148" s="1313" t="s">
        <v>778</v>
      </c>
      <c r="B148" s="1312"/>
      <c r="C148" s="1312"/>
      <c r="D148" s="1312"/>
      <c r="E148" s="1312"/>
      <c r="F148" s="1312"/>
      <c r="G148" s="1312"/>
      <c r="H148" s="1312"/>
    </row>
    <row r="149" spans="1:8">
      <c r="A149" s="1312"/>
      <c r="B149" s="1312"/>
      <c r="C149" s="1312"/>
      <c r="D149" s="1312"/>
      <c r="E149" s="1312"/>
      <c r="F149" s="1312"/>
      <c r="G149" s="1312"/>
      <c r="H149" s="1312"/>
    </row>
    <row r="150" spans="1:8">
      <c r="A150" s="1313" t="s">
        <v>773</v>
      </c>
      <c r="B150" s="1312"/>
      <c r="C150" s="1312"/>
      <c r="D150" s="1312"/>
      <c r="E150" s="1312"/>
      <c r="F150" s="1312"/>
      <c r="G150" s="1312"/>
      <c r="H150" s="1312"/>
    </row>
    <row r="151" spans="1:8">
      <c r="A151" s="1313" t="s">
        <v>774</v>
      </c>
      <c r="B151" s="1312"/>
      <c r="C151" s="1312"/>
      <c r="D151" s="1312"/>
      <c r="E151" s="1312"/>
      <c r="F151" s="1312"/>
      <c r="G151" s="1312"/>
      <c r="H151" s="1312"/>
    </row>
    <row r="152" spans="1:8">
      <c r="A152" s="1313" t="s">
        <v>775</v>
      </c>
      <c r="B152" s="1312"/>
      <c r="C152" s="1312"/>
      <c r="D152" s="1312"/>
      <c r="E152" s="1312"/>
      <c r="F152" s="1312"/>
      <c r="G152" s="1312"/>
      <c r="H152" s="1312"/>
    </row>
    <row r="153" spans="1:8">
      <c r="A153" s="1312"/>
      <c r="B153" s="1312"/>
      <c r="C153" s="1312"/>
      <c r="D153" s="1312"/>
      <c r="E153" s="1312"/>
      <c r="F153" s="1312"/>
      <c r="G153" s="1312"/>
      <c r="H153" s="1312"/>
    </row>
    <row r="154" spans="1:8">
      <c r="A154" s="1313" t="s">
        <v>770</v>
      </c>
      <c r="B154" s="1312"/>
      <c r="C154" s="1312"/>
      <c r="D154" s="1312"/>
      <c r="E154" s="1312"/>
      <c r="F154" s="1312"/>
      <c r="G154" s="1312"/>
      <c r="H154" s="1312"/>
    </row>
    <row r="155" spans="1:8">
      <c r="A155" s="1313" t="s">
        <v>771</v>
      </c>
      <c r="B155" s="1312"/>
      <c r="C155" s="1312"/>
      <c r="D155" s="1312"/>
      <c r="E155" s="1312"/>
      <c r="F155" s="1312"/>
      <c r="G155" s="1312"/>
      <c r="H155" s="1312"/>
    </row>
    <row r="156" spans="1:8">
      <c r="A156" s="1313" t="s">
        <v>772</v>
      </c>
      <c r="B156" s="1312"/>
      <c r="C156" s="1312"/>
      <c r="D156" s="1312"/>
      <c r="E156" s="1312"/>
      <c r="F156" s="1312"/>
      <c r="G156" s="1312"/>
      <c r="H156" s="1312"/>
    </row>
    <row r="157" spans="1:8">
      <c r="A157" s="1312"/>
      <c r="B157" s="1312"/>
      <c r="C157" s="1312"/>
      <c r="D157" s="1312"/>
      <c r="E157" s="1312"/>
      <c r="F157" s="1312"/>
      <c r="G157" s="1312"/>
      <c r="H157" s="1312"/>
    </row>
    <row r="158" spans="1:8">
      <c r="A158" s="1313" t="s">
        <v>768</v>
      </c>
      <c r="B158" s="1312"/>
      <c r="C158" s="1312"/>
      <c r="D158" s="1312"/>
      <c r="E158" s="1312"/>
      <c r="F158" s="1312"/>
      <c r="G158" s="1312"/>
      <c r="H158" s="1312"/>
    </row>
    <row r="159" spans="1:8">
      <c r="A159" s="1313" t="s">
        <v>769</v>
      </c>
      <c r="B159" s="1312"/>
      <c r="C159" s="1312"/>
      <c r="D159" s="1312"/>
      <c r="E159" s="1312"/>
      <c r="F159" s="1312"/>
      <c r="G159" s="1312"/>
      <c r="H159" s="1312"/>
    </row>
    <row r="160" spans="1:8">
      <c r="A160" s="1312"/>
      <c r="B160" s="1312"/>
      <c r="C160" s="1312"/>
      <c r="D160" s="1312"/>
      <c r="E160" s="1312"/>
      <c r="F160" s="1312"/>
      <c r="G160" s="1312"/>
      <c r="H160" s="1312"/>
    </row>
    <row r="161" spans="1:8" ht="15.75">
      <c r="A161" s="1314" t="s">
        <v>590</v>
      </c>
      <c r="B161" s="1312"/>
      <c r="C161" s="1312"/>
      <c r="D161" s="1312"/>
      <c r="E161" s="1312"/>
      <c r="F161" s="1312"/>
      <c r="G161" s="1312"/>
      <c r="H161" s="1312"/>
    </row>
    <row r="162" spans="1:8">
      <c r="A162" s="1312"/>
      <c r="B162" s="1312"/>
      <c r="C162" s="1312"/>
      <c r="D162" s="1312"/>
      <c r="E162" s="1312"/>
      <c r="F162" s="1312"/>
      <c r="G162" s="1312"/>
      <c r="H162" s="1312"/>
    </row>
    <row r="163" spans="1:8">
      <c r="A163" s="1313" t="s">
        <v>766</v>
      </c>
      <c r="B163" s="1312"/>
      <c r="C163" s="1312"/>
      <c r="D163" s="1312"/>
      <c r="E163" s="1312"/>
      <c r="F163" s="1312"/>
      <c r="G163" s="1312"/>
      <c r="H163" s="1312"/>
    </row>
    <row r="164" spans="1:8">
      <c r="A164" s="1313" t="s">
        <v>767</v>
      </c>
      <c r="B164" s="1312"/>
      <c r="C164" s="1312"/>
      <c r="D164" s="1312"/>
      <c r="E164" s="1312"/>
      <c r="F164" s="1312"/>
      <c r="G164" s="1312"/>
      <c r="H164" s="1312"/>
    </row>
    <row r="165" spans="1:8">
      <c r="A165" s="1312"/>
      <c r="B165" s="1312"/>
      <c r="C165" s="1312"/>
      <c r="D165" s="1312"/>
      <c r="E165" s="1312"/>
      <c r="F165" s="1312"/>
      <c r="G165" s="1312"/>
      <c r="H165" s="1312"/>
    </row>
    <row r="166" spans="1:8">
      <c r="A166" s="1313" t="s">
        <v>764</v>
      </c>
      <c r="B166" s="1312"/>
      <c r="C166" s="1312"/>
      <c r="D166" s="1312"/>
      <c r="E166" s="1312"/>
      <c r="F166" s="1312"/>
      <c r="G166" s="1312"/>
      <c r="H166" s="1312"/>
    </row>
    <row r="167" spans="1:8">
      <c r="A167" s="1313" t="s">
        <v>765</v>
      </c>
      <c r="B167" s="1312"/>
      <c r="C167" s="1312"/>
      <c r="D167" s="1312"/>
      <c r="E167" s="1312"/>
      <c r="F167" s="1312"/>
      <c r="G167" s="1312"/>
      <c r="H167" s="1312"/>
    </row>
    <row r="168" spans="1:8">
      <c r="A168" s="1312"/>
      <c r="B168" s="1312"/>
      <c r="C168" s="1312"/>
      <c r="D168" s="1312"/>
      <c r="E168" s="1312"/>
      <c r="F168" s="1312"/>
      <c r="G168" s="1312"/>
      <c r="H168" s="1312"/>
    </row>
    <row r="169" spans="1:8">
      <c r="A169" s="1313" t="s">
        <v>762</v>
      </c>
      <c r="B169" s="1312"/>
      <c r="C169" s="1312"/>
      <c r="D169" s="1312"/>
      <c r="E169" s="1312"/>
      <c r="F169" s="1312"/>
      <c r="G169" s="1312"/>
      <c r="H169" s="1312"/>
    </row>
    <row r="170" spans="1:8">
      <c r="A170" s="1313" t="s">
        <v>763</v>
      </c>
      <c r="B170" s="1312"/>
      <c r="C170" s="1312"/>
      <c r="D170" s="1312"/>
      <c r="E170" s="1312"/>
      <c r="F170" s="1312"/>
      <c r="G170" s="1312"/>
      <c r="H170" s="1312"/>
    </row>
    <row r="171" spans="1:8">
      <c r="A171" s="1312"/>
      <c r="B171" s="1312"/>
      <c r="C171" s="1312"/>
      <c r="D171" s="1312"/>
      <c r="E171" s="1312"/>
      <c r="F171" s="1312"/>
      <c r="G171" s="1312"/>
      <c r="H171" s="1312"/>
    </row>
    <row r="172" spans="1:8">
      <c r="A172" s="1313" t="s">
        <v>759</v>
      </c>
      <c r="B172" s="1312"/>
      <c r="C172" s="1312"/>
      <c r="D172" s="1312"/>
      <c r="E172" s="1312"/>
      <c r="F172" s="1312"/>
      <c r="G172" s="1312"/>
      <c r="H172" s="1312"/>
    </row>
    <row r="173" spans="1:8">
      <c r="A173" s="1313" t="s">
        <v>760</v>
      </c>
      <c r="B173" s="1312"/>
      <c r="C173" s="1312"/>
      <c r="D173" s="1312"/>
      <c r="E173" s="1312"/>
      <c r="F173" s="1312"/>
      <c r="G173" s="1312"/>
      <c r="H173" s="1312"/>
    </row>
    <row r="174" spans="1:8">
      <c r="A174" s="1313" t="s">
        <v>761</v>
      </c>
      <c r="B174" s="1312"/>
      <c r="C174" s="1312"/>
      <c r="D174" s="1312"/>
      <c r="E174" s="1312"/>
      <c r="F174" s="1312"/>
      <c r="G174" s="1312"/>
      <c r="H174" s="1312"/>
    </row>
    <row r="175" spans="1:8">
      <c r="A175" s="1312"/>
      <c r="B175" s="1312"/>
      <c r="C175" s="1312"/>
      <c r="D175" s="1312"/>
      <c r="E175" s="1312"/>
      <c r="F175" s="1312"/>
      <c r="G175" s="1312"/>
      <c r="H175" s="1312"/>
    </row>
    <row r="176" spans="1:8">
      <c r="A176" s="1312"/>
      <c r="B176" s="1312"/>
      <c r="C176" s="1312"/>
      <c r="D176" s="1312"/>
      <c r="E176" s="1312"/>
      <c r="F176" s="1312"/>
      <c r="G176" s="1312"/>
      <c r="H176" s="1312"/>
    </row>
    <row r="177" spans="1:8">
      <c r="A177" s="1313" t="s">
        <v>591</v>
      </c>
      <c r="B177" s="1312"/>
      <c r="C177" s="1312"/>
      <c r="D177" s="1312"/>
      <c r="E177" s="1312"/>
      <c r="F177" s="1312"/>
      <c r="G177" s="1312"/>
      <c r="H177" s="1312"/>
    </row>
    <row r="178" spans="1:8">
      <c r="A178" s="1312"/>
      <c r="B178" s="1312"/>
      <c r="C178" s="1312"/>
      <c r="D178" s="1312"/>
      <c r="E178" s="1312"/>
      <c r="F178" s="1312"/>
      <c r="G178" s="1312"/>
      <c r="H178" s="1312"/>
    </row>
    <row r="179" spans="1:8" ht="15.75">
      <c r="A179" s="1314" t="s">
        <v>592</v>
      </c>
      <c r="B179" s="1312"/>
      <c r="C179" s="1312"/>
      <c r="D179" s="1312"/>
      <c r="E179" s="1312"/>
      <c r="F179" s="1312"/>
      <c r="G179" s="1312"/>
      <c r="H179" s="1312"/>
    </row>
    <row r="180" spans="1:8">
      <c r="A180" s="1312"/>
      <c r="B180" s="1312"/>
      <c r="C180" s="1312"/>
      <c r="D180" s="1312"/>
      <c r="E180" s="1312"/>
      <c r="F180" s="1312"/>
      <c r="G180" s="1312"/>
      <c r="H180" s="1312"/>
    </row>
    <row r="181" spans="1:8">
      <c r="A181" s="1312"/>
      <c r="B181" s="1312"/>
      <c r="C181" s="1312"/>
      <c r="D181" s="1312"/>
      <c r="E181" s="1312"/>
      <c r="F181" s="1312"/>
      <c r="G181" s="1312"/>
      <c r="H181" s="1312"/>
    </row>
    <row r="182" spans="1:8">
      <c r="A182" s="1312"/>
      <c r="B182" s="1312"/>
      <c r="C182" s="1312"/>
      <c r="D182" s="1312"/>
      <c r="E182" s="1312"/>
      <c r="F182" s="1312"/>
      <c r="G182" s="1312"/>
      <c r="H182" s="1312"/>
    </row>
    <row r="183" spans="1:8">
      <c r="A183" s="1312"/>
      <c r="B183" s="1312"/>
      <c r="C183" s="1312"/>
      <c r="D183" s="1312"/>
      <c r="E183" s="1312"/>
      <c r="F183" s="1312"/>
      <c r="G183" s="1312"/>
      <c r="H183" s="1312"/>
    </row>
    <row r="184" spans="1:8">
      <c r="A184" s="1312"/>
      <c r="B184" s="1312"/>
      <c r="C184" s="1312"/>
      <c r="D184" s="1312"/>
      <c r="E184" s="1312"/>
      <c r="F184" s="1312"/>
      <c r="G184" s="1312"/>
      <c r="H184" s="1312"/>
    </row>
    <row r="185" spans="1:8">
      <c r="A185" s="1312"/>
      <c r="B185" s="1312"/>
      <c r="C185" s="1312"/>
      <c r="D185" s="1312"/>
      <c r="E185" s="1312"/>
      <c r="F185" s="1312"/>
      <c r="G185" s="1312"/>
      <c r="H185" s="1312"/>
    </row>
    <row r="186" spans="1:8">
      <c r="A186" s="1312"/>
      <c r="B186" s="1312"/>
      <c r="C186" s="1312"/>
      <c r="D186" s="1312"/>
      <c r="E186" s="1312"/>
      <c r="F186" s="1312"/>
      <c r="G186" s="1312"/>
      <c r="H186" s="1312"/>
    </row>
    <row r="187" spans="1:8">
      <c r="A187" s="1312"/>
      <c r="B187" s="1312"/>
      <c r="C187" s="1312"/>
      <c r="D187" s="1312"/>
      <c r="E187" s="1312"/>
      <c r="F187" s="1312"/>
      <c r="G187" s="1312"/>
      <c r="H187" s="1312"/>
    </row>
    <row r="188" spans="1:8">
      <c r="A188" s="1312"/>
      <c r="B188" s="1312"/>
      <c r="C188" s="1312"/>
      <c r="D188" s="1312"/>
      <c r="E188" s="1312"/>
      <c r="F188" s="1312"/>
      <c r="G188" s="1312"/>
      <c r="H188" s="1312"/>
    </row>
    <row r="189" spans="1:8">
      <c r="A189" s="1312"/>
      <c r="B189" s="1312"/>
      <c r="C189" s="1312"/>
      <c r="D189" s="1312"/>
      <c r="E189" s="1312"/>
      <c r="F189" s="1312"/>
      <c r="G189" s="1312"/>
      <c r="H189" s="1312"/>
    </row>
    <row r="190" spans="1:8">
      <c r="A190" s="1312"/>
      <c r="B190" s="1312"/>
      <c r="C190" s="1312"/>
      <c r="D190" s="1312"/>
      <c r="E190" s="1312"/>
      <c r="F190" s="1312"/>
      <c r="G190" s="1312"/>
      <c r="H190" s="1312"/>
    </row>
    <row r="191" spans="1:8">
      <c r="A191" s="1312"/>
      <c r="B191" s="1312"/>
      <c r="C191" s="1312"/>
      <c r="D191" s="1312"/>
      <c r="E191" s="1312"/>
      <c r="F191" s="1312"/>
      <c r="G191" s="1312"/>
      <c r="H191" s="1312"/>
    </row>
    <row r="192" spans="1:8">
      <c r="A192" s="1312"/>
      <c r="B192" s="1312"/>
      <c r="C192" s="1312"/>
      <c r="D192" s="1312"/>
      <c r="E192" s="1312"/>
      <c r="F192" s="1312"/>
      <c r="G192" s="1312"/>
      <c r="H192" s="1312"/>
    </row>
    <row r="193" spans="1:8">
      <c r="A193" s="1312"/>
      <c r="B193" s="1312"/>
      <c r="C193" s="1312"/>
      <c r="D193" s="1312"/>
      <c r="E193" s="1312"/>
      <c r="F193" s="1312"/>
      <c r="G193" s="1312"/>
      <c r="H193" s="1312"/>
    </row>
    <row r="194" spans="1:8">
      <c r="A194" s="1312"/>
      <c r="B194" s="1312"/>
      <c r="C194" s="1312"/>
      <c r="D194" s="1312"/>
      <c r="E194" s="1312"/>
      <c r="F194" s="1312"/>
      <c r="G194" s="1312"/>
      <c r="H194" s="1312"/>
    </row>
    <row r="195" spans="1:8">
      <c r="A195" s="1312"/>
      <c r="B195" s="1312"/>
      <c r="C195" s="1312"/>
      <c r="D195" s="1312"/>
      <c r="E195" s="1312"/>
      <c r="F195" s="1312"/>
      <c r="G195" s="1312"/>
      <c r="H195" s="1312"/>
    </row>
    <row r="196" spans="1:8">
      <c r="A196" s="1312"/>
      <c r="B196" s="1312"/>
      <c r="C196" s="1312"/>
      <c r="D196" s="1312"/>
      <c r="E196" s="1312"/>
      <c r="F196" s="1312"/>
      <c r="G196" s="1312"/>
      <c r="H196" s="1312"/>
    </row>
    <row r="197" spans="1:8">
      <c r="A197" s="1312"/>
      <c r="B197" s="1312"/>
      <c r="C197" s="1312"/>
      <c r="D197" s="1312"/>
      <c r="E197" s="1312"/>
      <c r="F197" s="1312"/>
      <c r="G197" s="1312"/>
      <c r="H197" s="1312"/>
    </row>
    <row r="198" spans="1:8">
      <c r="A198" s="1312"/>
      <c r="B198" s="1312"/>
      <c r="C198" s="1312"/>
      <c r="D198" s="1312"/>
      <c r="E198" s="1312"/>
      <c r="F198" s="1312"/>
      <c r="G198" s="1312"/>
      <c r="H198" s="1312"/>
    </row>
    <row r="199" spans="1:8">
      <c r="A199" s="1312"/>
      <c r="B199" s="1312"/>
      <c r="C199" s="1312"/>
      <c r="D199" s="1312"/>
      <c r="E199" s="1312"/>
      <c r="F199" s="1312"/>
      <c r="G199" s="1312"/>
      <c r="H199" s="1312"/>
    </row>
    <row r="200" spans="1:8">
      <c r="A200" s="1312"/>
      <c r="B200" s="1312"/>
      <c r="C200" s="1312"/>
      <c r="D200" s="1312"/>
      <c r="E200" s="1312"/>
      <c r="F200" s="1312"/>
      <c r="G200" s="1312"/>
      <c r="H200" s="1312"/>
    </row>
    <row r="201" spans="1:8">
      <c r="A201" s="1312"/>
      <c r="B201" s="1312"/>
      <c r="C201" s="1312"/>
      <c r="D201" s="1312"/>
      <c r="E201" s="1312"/>
      <c r="F201" s="1312"/>
      <c r="G201" s="1312"/>
      <c r="H201" s="1312"/>
    </row>
    <row r="202" spans="1:8">
      <c r="A202" s="1312"/>
      <c r="B202" s="1312"/>
      <c r="C202" s="1312"/>
      <c r="D202" s="1312"/>
      <c r="E202" s="1312"/>
      <c r="F202" s="1312"/>
      <c r="G202" s="1312"/>
      <c r="H202" s="1312"/>
    </row>
    <row r="203" spans="1:8">
      <c r="A203" s="1312"/>
      <c r="B203" s="1312"/>
      <c r="C203" s="1312"/>
      <c r="D203" s="1312"/>
      <c r="E203" s="1312"/>
      <c r="F203" s="1312"/>
      <c r="G203" s="1312"/>
      <c r="H203" s="1312"/>
    </row>
    <row r="204" spans="1:8">
      <c r="A204" s="1312"/>
      <c r="B204" s="1312"/>
      <c r="C204" s="1312"/>
      <c r="D204" s="1312"/>
      <c r="E204" s="1312"/>
      <c r="F204" s="1312"/>
      <c r="G204" s="1312"/>
      <c r="H204" s="1312"/>
    </row>
    <row r="205" spans="1:8">
      <c r="A205" s="1312"/>
      <c r="B205" s="1312"/>
      <c r="C205" s="1312"/>
      <c r="D205" s="1312"/>
      <c r="E205" s="1312"/>
      <c r="F205" s="1312"/>
      <c r="G205" s="1312"/>
      <c r="H205" s="1312"/>
    </row>
    <row r="206" spans="1:8" ht="15.75">
      <c r="A206" s="1314" t="s">
        <v>593</v>
      </c>
      <c r="B206" s="1312"/>
      <c r="C206" s="1312"/>
      <c r="D206" s="1312"/>
      <c r="E206" s="1312"/>
      <c r="F206" s="1312"/>
      <c r="G206" s="1312"/>
      <c r="H206" s="1312"/>
    </row>
    <row r="207" spans="1:8">
      <c r="A207" s="1312"/>
      <c r="B207" s="1312"/>
      <c r="C207" s="1312"/>
      <c r="D207" s="1312"/>
      <c r="E207" s="1312"/>
      <c r="F207" s="1312"/>
      <c r="G207" s="1312"/>
      <c r="H207" s="1312"/>
    </row>
    <row r="208" spans="1:8">
      <c r="A208" s="1313" t="s">
        <v>754</v>
      </c>
      <c r="B208" s="1312"/>
      <c r="C208" s="1312"/>
      <c r="D208" s="1312"/>
      <c r="E208" s="1312"/>
      <c r="F208" s="1312"/>
      <c r="G208" s="1312"/>
      <c r="H208" s="1312"/>
    </row>
    <row r="209" spans="1:8">
      <c r="A209" s="1313" t="s">
        <v>755</v>
      </c>
      <c r="B209" s="1312"/>
      <c r="C209" s="1312"/>
      <c r="D209" s="1312"/>
      <c r="E209" s="1312"/>
      <c r="F209" s="1312"/>
      <c r="G209" s="1312"/>
      <c r="H209" s="1312"/>
    </row>
    <row r="210" spans="1:8">
      <c r="A210" s="1313" t="s">
        <v>756</v>
      </c>
      <c r="B210" s="1312"/>
      <c r="C210" s="1312"/>
      <c r="D210" s="1312"/>
      <c r="E210" s="1312"/>
      <c r="F210" s="1312"/>
      <c r="G210" s="1312"/>
      <c r="H210" s="1312"/>
    </row>
    <row r="211" spans="1:8">
      <c r="A211" s="1313" t="s">
        <v>757</v>
      </c>
      <c r="B211" s="1312"/>
      <c r="C211" s="1312"/>
      <c r="D211" s="1312"/>
      <c r="E211" s="1312"/>
      <c r="F211" s="1312"/>
      <c r="G211" s="1312"/>
      <c r="H211" s="1312"/>
    </row>
    <row r="212" spans="1:8">
      <c r="A212" s="1313" t="s">
        <v>758</v>
      </c>
      <c r="B212" s="1312"/>
      <c r="C212" s="1312"/>
      <c r="D212" s="1312"/>
      <c r="E212" s="1312"/>
      <c r="F212" s="1312"/>
      <c r="G212" s="1312"/>
      <c r="H212" s="1312"/>
    </row>
    <row r="213" spans="1:8">
      <c r="A213" s="1312"/>
      <c r="B213" s="1312"/>
      <c r="C213" s="1312"/>
      <c r="D213" s="1312"/>
      <c r="E213" s="1312"/>
      <c r="F213" s="1312"/>
      <c r="G213" s="1312"/>
      <c r="H213" s="1312"/>
    </row>
    <row r="214" spans="1:8">
      <c r="A214" s="1313" t="s">
        <v>751</v>
      </c>
      <c r="B214" s="1312"/>
      <c r="C214" s="1312"/>
      <c r="D214" s="1312"/>
      <c r="E214" s="1312"/>
      <c r="F214" s="1312"/>
      <c r="G214" s="1312"/>
      <c r="H214" s="1312"/>
    </row>
    <row r="215" spans="1:8">
      <c r="A215" s="1313" t="s">
        <v>752</v>
      </c>
      <c r="B215" s="1312"/>
      <c r="C215" s="1312"/>
      <c r="D215" s="1312"/>
      <c r="E215" s="1312"/>
      <c r="F215" s="1312"/>
      <c r="G215" s="1312"/>
      <c r="H215" s="1312"/>
    </row>
    <row r="216" spans="1:8">
      <c r="A216" s="1313" t="s">
        <v>753</v>
      </c>
      <c r="B216" s="1312"/>
      <c r="C216" s="1312"/>
      <c r="D216" s="1312"/>
      <c r="E216" s="1312"/>
      <c r="F216" s="1312"/>
      <c r="G216" s="1312"/>
      <c r="H216" s="1312"/>
    </row>
    <row r="217" spans="1:8" ht="15.75">
      <c r="A217" s="1314" t="s">
        <v>594</v>
      </c>
      <c r="B217" s="1312"/>
      <c r="C217" s="1312"/>
      <c r="D217" s="1312"/>
      <c r="E217" s="1312"/>
      <c r="F217" s="1312"/>
      <c r="G217" s="1312"/>
      <c r="H217" s="1312"/>
    </row>
    <row r="218" spans="1:8">
      <c r="A218" s="1312"/>
      <c r="B218" s="1312"/>
      <c r="C218" s="1312"/>
      <c r="D218" s="1312"/>
      <c r="E218" s="1312"/>
      <c r="F218" s="1312"/>
      <c r="G218" s="1312"/>
      <c r="H218" s="1312"/>
    </row>
    <row r="219" spans="1:8">
      <c r="A219" s="1313" t="s">
        <v>749</v>
      </c>
      <c r="B219" s="1312"/>
      <c r="C219" s="1312"/>
      <c r="D219" s="1312"/>
      <c r="E219" s="1312"/>
      <c r="F219" s="1312"/>
      <c r="G219" s="1312"/>
      <c r="H219" s="1312"/>
    </row>
    <row r="220" spans="1:8">
      <c r="A220" s="1313" t="s">
        <v>750</v>
      </c>
      <c r="B220" s="1312"/>
      <c r="C220" s="1312"/>
      <c r="D220" s="1312"/>
      <c r="E220" s="1312"/>
      <c r="F220" s="1312"/>
      <c r="G220" s="1312"/>
      <c r="H220" s="1312"/>
    </row>
    <row r="221" spans="1:8">
      <c r="A221" s="1312"/>
      <c r="B221" s="1312"/>
      <c r="C221" s="1312"/>
      <c r="D221" s="1312"/>
      <c r="E221" s="1312"/>
      <c r="F221" s="1312"/>
      <c r="G221" s="1312"/>
      <c r="H221" s="1312"/>
    </row>
    <row r="222" spans="1:8">
      <c r="A222" s="1313" t="s">
        <v>742</v>
      </c>
      <c r="B222" s="1312"/>
      <c r="C222" s="1312"/>
      <c r="D222" s="1312"/>
      <c r="E222" s="1312"/>
      <c r="F222" s="1312"/>
      <c r="G222" s="1312"/>
      <c r="H222" s="1312"/>
    </row>
    <row r="223" spans="1:8">
      <c r="A223" s="1313" t="s">
        <v>743</v>
      </c>
      <c r="B223" s="1312"/>
      <c r="C223" s="1312"/>
      <c r="D223" s="1312"/>
      <c r="E223" s="1312"/>
      <c r="F223" s="1312"/>
      <c r="G223" s="1312"/>
      <c r="H223" s="1312"/>
    </row>
    <row r="224" spans="1:8">
      <c r="A224" s="1313" t="s">
        <v>744</v>
      </c>
      <c r="B224" s="1312"/>
      <c r="C224" s="1312"/>
      <c r="D224" s="1312"/>
      <c r="E224" s="1312"/>
      <c r="F224" s="1312"/>
      <c r="G224" s="1312"/>
      <c r="H224" s="1312"/>
    </row>
    <row r="225" spans="1:8">
      <c r="A225" s="1313" t="s">
        <v>745</v>
      </c>
      <c r="B225" s="1312"/>
      <c r="C225" s="1312"/>
      <c r="D225" s="1312"/>
      <c r="E225" s="1312"/>
      <c r="F225" s="1312"/>
      <c r="G225" s="1312"/>
      <c r="H225" s="1312"/>
    </row>
    <row r="226" spans="1:8">
      <c r="A226" s="1313" t="s">
        <v>746</v>
      </c>
      <c r="B226" s="1312"/>
      <c r="C226" s="1312"/>
      <c r="D226" s="1312"/>
      <c r="E226" s="1312"/>
      <c r="F226" s="1312"/>
      <c r="G226" s="1312"/>
      <c r="H226" s="1312"/>
    </row>
    <row r="227" spans="1:8">
      <c r="A227" s="1313" t="s">
        <v>747</v>
      </c>
      <c r="B227" s="1312"/>
      <c r="C227" s="1312"/>
      <c r="D227" s="1312"/>
      <c r="E227" s="1312"/>
      <c r="F227" s="1312"/>
      <c r="G227" s="1312"/>
      <c r="H227" s="1312"/>
    </row>
    <row r="228" spans="1:8">
      <c r="A228" s="1313" t="s">
        <v>748</v>
      </c>
      <c r="B228" s="1312"/>
      <c r="C228" s="1312"/>
      <c r="D228" s="1312"/>
      <c r="E228" s="1312"/>
      <c r="F228" s="1312"/>
      <c r="G228" s="1312"/>
      <c r="H228" s="1312"/>
    </row>
    <row r="229" spans="1:8">
      <c r="A229" s="1312"/>
      <c r="B229" s="1312"/>
      <c r="C229" s="1312"/>
      <c r="D229" s="1312"/>
      <c r="E229" s="1312"/>
      <c r="F229" s="1312"/>
      <c r="G229" s="1312"/>
      <c r="H229" s="1312"/>
    </row>
    <row r="230" spans="1:8">
      <c r="A230" s="1313" t="s">
        <v>739</v>
      </c>
      <c r="B230" s="1312"/>
      <c r="C230" s="1312"/>
      <c r="D230" s="1312"/>
      <c r="E230" s="1312"/>
      <c r="F230" s="1312"/>
      <c r="G230" s="1312"/>
      <c r="H230" s="1312"/>
    </row>
    <row r="231" spans="1:8">
      <c r="A231" s="1313" t="s">
        <v>740</v>
      </c>
      <c r="B231" s="1312"/>
      <c r="C231" s="1312"/>
      <c r="D231" s="1312"/>
      <c r="E231" s="1312"/>
      <c r="F231" s="1312"/>
      <c r="G231" s="1312"/>
      <c r="H231" s="1312"/>
    </row>
    <row r="232" spans="1:8">
      <c r="A232" s="1313" t="s">
        <v>741</v>
      </c>
      <c r="B232" s="1312"/>
      <c r="C232" s="1312"/>
      <c r="D232" s="1312"/>
      <c r="E232" s="1312"/>
      <c r="F232" s="1312"/>
      <c r="G232" s="1312"/>
      <c r="H232" s="1312"/>
    </row>
    <row r="233" spans="1:8">
      <c r="A233" s="1312"/>
      <c r="B233" s="1312"/>
      <c r="C233" s="1312"/>
      <c r="D233" s="1312"/>
      <c r="E233" s="1312"/>
      <c r="F233" s="1312"/>
      <c r="G233" s="1312"/>
      <c r="H233" s="1312"/>
    </row>
    <row r="234" spans="1:8">
      <c r="A234" s="1313" t="s">
        <v>734</v>
      </c>
      <c r="B234" s="1312"/>
      <c r="C234" s="1312"/>
      <c r="D234" s="1312"/>
      <c r="E234" s="1312"/>
      <c r="F234" s="1312"/>
      <c r="G234" s="1312"/>
      <c r="H234" s="1312"/>
    </row>
    <row r="235" spans="1:8">
      <c r="A235" s="1313" t="s">
        <v>735</v>
      </c>
      <c r="B235" s="1312"/>
      <c r="C235" s="1312"/>
      <c r="D235" s="1312"/>
      <c r="E235" s="1312"/>
      <c r="F235" s="1312"/>
      <c r="G235" s="1312"/>
      <c r="H235" s="1312"/>
    </row>
    <row r="236" spans="1:8">
      <c r="A236" s="1313" t="s">
        <v>736</v>
      </c>
      <c r="B236" s="1312"/>
      <c r="C236" s="1312"/>
      <c r="D236" s="1312"/>
      <c r="E236" s="1312"/>
      <c r="F236" s="1312"/>
      <c r="G236" s="1312"/>
      <c r="H236" s="1312"/>
    </row>
    <row r="237" spans="1:8">
      <c r="A237" s="1313" t="s">
        <v>737</v>
      </c>
      <c r="B237" s="1312"/>
      <c r="C237" s="1312"/>
      <c r="D237" s="1312"/>
      <c r="E237" s="1312"/>
      <c r="F237" s="1312"/>
      <c r="G237" s="1312"/>
      <c r="H237" s="1312"/>
    </row>
    <row r="238" spans="1:8">
      <c r="A238" s="1313" t="s">
        <v>738</v>
      </c>
      <c r="B238" s="1312"/>
      <c r="C238" s="1312"/>
      <c r="D238" s="1312"/>
      <c r="E238" s="1312"/>
      <c r="F238" s="1312"/>
      <c r="G238" s="1312"/>
      <c r="H238" s="1312"/>
    </row>
    <row r="239" spans="1:8">
      <c r="A239" s="1312"/>
      <c r="B239" s="1312"/>
      <c r="C239" s="1312"/>
      <c r="D239" s="1312"/>
      <c r="E239" s="1312"/>
      <c r="F239" s="1312"/>
      <c r="G239" s="1312"/>
      <c r="H239" s="1312"/>
    </row>
    <row r="240" spans="1:8">
      <c r="A240" s="1313" t="s">
        <v>728</v>
      </c>
      <c r="B240" s="1312"/>
      <c r="C240" s="1312"/>
      <c r="D240" s="1312"/>
      <c r="E240" s="1312"/>
      <c r="F240" s="1312"/>
      <c r="G240" s="1312"/>
      <c r="H240" s="1312"/>
    </row>
    <row r="241" spans="1:8">
      <c r="A241" s="1313" t="s">
        <v>729</v>
      </c>
      <c r="B241" s="1312"/>
      <c r="C241" s="1312"/>
      <c r="D241" s="1312"/>
      <c r="E241" s="1312"/>
      <c r="F241" s="1312"/>
      <c r="G241" s="1312"/>
      <c r="H241" s="1312"/>
    </row>
    <row r="242" spans="1:8">
      <c r="A242" s="1313" t="s">
        <v>730</v>
      </c>
      <c r="B242" s="1312"/>
      <c r="C242" s="1312"/>
      <c r="D242" s="1312"/>
      <c r="E242" s="1312"/>
      <c r="F242" s="1312"/>
      <c r="G242" s="1312"/>
      <c r="H242" s="1312"/>
    </row>
    <row r="243" spans="1:8">
      <c r="A243" s="1313" t="s">
        <v>731</v>
      </c>
      <c r="B243" s="1312"/>
      <c r="C243" s="1312"/>
      <c r="D243" s="1312"/>
      <c r="E243" s="1312"/>
      <c r="F243" s="1312"/>
      <c r="G243" s="1312"/>
      <c r="H243" s="1312"/>
    </row>
    <row r="244" spans="1:8">
      <c r="A244" s="1313" t="s">
        <v>732</v>
      </c>
      <c r="B244" s="1312"/>
      <c r="C244" s="1312"/>
      <c r="D244" s="1312"/>
      <c r="E244" s="1312"/>
      <c r="F244" s="1312"/>
      <c r="G244" s="1312"/>
      <c r="H244" s="1312"/>
    </row>
    <row r="245" spans="1:8">
      <c r="A245" s="1313" t="s">
        <v>733</v>
      </c>
      <c r="B245" s="1312"/>
      <c r="C245" s="1312"/>
      <c r="D245" s="1312"/>
      <c r="E245" s="1312"/>
      <c r="F245" s="1312"/>
      <c r="G245" s="1312"/>
      <c r="H245" s="1312"/>
    </row>
    <row r="246" spans="1:8">
      <c r="A246" s="1312"/>
      <c r="B246" s="1312"/>
      <c r="C246" s="1312"/>
      <c r="D246" s="1312"/>
      <c r="E246" s="1312"/>
      <c r="F246" s="1312"/>
      <c r="G246" s="1312"/>
      <c r="H246" s="1312"/>
    </row>
    <row r="247" spans="1:8">
      <c r="A247" s="1313" t="s">
        <v>718</v>
      </c>
      <c r="B247" s="1312"/>
      <c r="C247" s="1312"/>
      <c r="D247" s="1312"/>
      <c r="E247" s="1312"/>
      <c r="F247" s="1312"/>
      <c r="G247" s="1312"/>
      <c r="H247" s="1312"/>
    </row>
    <row r="248" spans="1:8">
      <c r="A248" s="1313" t="s">
        <v>719</v>
      </c>
      <c r="B248" s="1312"/>
      <c r="C248" s="1312"/>
      <c r="D248" s="1312"/>
      <c r="E248" s="1312"/>
      <c r="F248" s="1312"/>
      <c r="G248" s="1312"/>
      <c r="H248" s="1312"/>
    </row>
    <row r="249" spans="1:8">
      <c r="A249" s="1313" t="s">
        <v>720</v>
      </c>
      <c r="B249" s="1312"/>
      <c r="C249" s="1312"/>
      <c r="D249" s="1312"/>
      <c r="E249" s="1312"/>
      <c r="F249" s="1312"/>
      <c r="G249" s="1312"/>
      <c r="H249" s="1312"/>
    </row>
    <row r="250" spans="1:8">
      <c r="A250" s="1313" t="s">
        <v>721</v>
      </c>
      <c r="B250" s="1312"/>
      <c r="C250" s="1312"/>
      <c r="D250" s="1312"/>
      <c r="E250" s="1312"/>
      <c r="F250" s="1312"/>
      <c r="G250" s="1312"/>
      <c r="H250" s="1312"/>
    </row>
    <row r="251" spans="1:8">
      <c r="A251" s="1313" t="s">
        <v>722</v>
      </c>
      <c r="B251" s="1312"/>
      <c r="C251" s="1312"/>
      <c r="D251" s="1312"/>
      <c r="E251" s="1312"/>
      <c r="F251" s="1312"/>
      <c r="G251" s="1312"/>
      <c r="H251" s="1312"/>
    </row>
    <row r="252" spans="1:8">
      <c r="A252" s="1313" t="s">
        <v>723</v>
      </c>
      <c r="B252" s="1312"/>
      <c r="C252" s="1312"/>
      <c r="D252" s="1312"/>
      <c r="E252" s="1312"/>
      <c r="F252" s="1312"/>
      <c r="G252" s="1312"/>
      <c r="H252" s="1312"/>
    </row>
    <row r="253" spans="1:8">
      <c r="A253" s="1313" t="s">
        <v>724</v>
      </c>
      <c r="B253" s="1312"/>
      <c r="C253" s="1312"/>
      <c r="D253" s="1312"/>
      <c r="E253" s="1312"/>
      <c r="F253" s="1312"/>
      <c r="G253" s="1312"/>
      <c r="H253" s="1312"/>
    </row>
    <row r="254" spans="1:8">
      <c r="A254" s="1313" t="s">
        <v>725</v>
      </c>
      <c r="B254" s="1312"/>
      <c r="C254" s="1312"/>
      <c r="D254" s="1312"/>
      <c r="E254" s="1312"/>
      <c r="F254" s="1312"/>
      <c r="G254" s="1312"/>
      <c r="H254" s="1312"/>
    </row>
    <row r="255" spans="1:8">
      <c r="A255" s="1313" t="s">
        <v>726</v>
      </c>
      <c r="B255" s="1312"/>
      <c r="C255" s="1312"/>
      <c r="D255" s="1312"/>
      <c r="E255" s="1312"/>
      <c r="F255" s="1312"/>
      <c r="G255" s="1312"/>
      <c r="H255" s="1312"/>
    </row>
    <row r="256" spans="1:8">
      <c r="A256" s="1313" t="s">
        <v>727</v>
      </c>
      <c r="B256" s="1312"/>
      <c r="C256" s="1312"/>
      <c r="D256" s="1312"/>
      <c r="E256" s="1312"/>
      <c r="F256" s="1312"/>
      <c r="G256" s="1312"/>
      <c r="H256" s="1312"/>
    </row>
    <row r="257" spans="1:8">
      <c r="A257" s="1312"/>
      <c r="B257" s="1312"/>
      <c r="C257" s="1312"/>
      <c r="D257" s="1312"/>
      <c r="E257" s="1312"/>
      <c r="F257" s="1312"/>
      <c r="G257" s="1312"/>
      <c r="H257" s="1312"/>
    </row>
    <row r="258" spans="1:8">
      <c r="A258" s="1313" t="s">
        <v>716</v>
      </c>
      <c r="B258" s="1312"/>
      <c r="C258" s="1312"/>
      <c r="D258" s="1312"/>
      <c r="E258" s="1312"/>
      <c r="F258" s="1312"/>
      <c r="G258" s="1312"/>
      <c r="H258" s="1312"/>
    </row>
    <row r="259" spans="1:8">
      <c r="A259" s="1313" t="s">
        <v>717</v>
      </c>
      <c r="B259" s="1312"/>
      <c r="C259" s="1312"/>
      <c r="D259" s="1312"/>
      <c r="E259" s="1312"/>
      <c r="F259" s="1312"/>
      <c r="G259" s="1312"/>
      <c r="H259" s="1312"/>
    </row>
    <row r="260" spans="1:8">
      <c r="A260" s="1312"/>
      <c r="B260" s="1312"/>
      <c r="C260" s="1312"/>
      <c r="D260" s="1312"/>
      <c r="E260" s="1312"/>
      <c r="F260" s="1312"/>
      <c r="G260" s="1312"/>
      <c r="H260" s="1312"/>
    </row>
    <row r="261" spans="1:8">
      <c r="A261" s="1313" t="s">
        <v>700</v>
      </c>
      <c r="B261" s="1312"/>
      <c r="C261" s="1312"/>
      <c r="D261" s="1312"/>
      <c r="E261" s="1312"/>
      <c r="F261" s="1312"/>
      <c r="G261" s="1312"/>
      <c r="H261" s="1312"/>
    </row>
    <row r="262" spans="1:8">
      <c r="A262" s="1313" t="s">
        <v>701</v>
      </c>
      <c r="B262" s="1312"/>
      <c r="C262" s="1312"/>
      <c r="D262" s="1312"/>
      <c r="E262" s="1312"/>
      <c r="F262" s="1312"/>
      <c r="G262" s="1312"/>
      <c r="H262" s="1312"/>
    </row>
    <row r="263" spans="1:8">
      <c r="A263" s="1313" t="s">
        <v>702</v>
      </c>
      <c r="B263" s="1312"/>
      <c r="C263" s="1312"/>
      <c r="D263" s="1312"/>
      <c r="E263" s="1312"/>
      <c r="F263" s="1312"/>
      <c r="G263" s="1312"/>
      <c r="H263" s="1312"/>
    </row>
    <row r="264" spans="1:8">
      <c r="A264" s="1313" t="s">
        <v>703</v>
      </c>
      <c r="B264" s="1312"/>
      <c r="C264" s="1312"/>
      <c r="D264" s="1312"/>
      <c r="E264" s="1312"/>
      <c r="F264" s="1312"/>
      <c r="G264" s="1312"/>
      <c r="H264" s="1312"/>
    </row>
    <row r="265" spans="1:8">
      <c r="A265" s="1313" t="s">
        <v>704</v>
      </c>
      <c r="B265" s="1312"/>
      <c r="C265" s="1312"/>
      <c r="D265" s="1312"/>
      <c r="E265" s="1312"/>
      <c r="F265" s="1312"/>
      <c r="G265" s="1312"/>
      <c r="H265" s="1312"/>
    </row>
    <row r="266" spans="1:8">
      <c r="A266" s="1313" t="s">
        <v>705</v>
      </c>
      <c r="B266" s="1312"/>
      <c r="C266" s="1312"/>
      <c r="D266" s="1312"/>
      <c r="E266" s="1312"/>
      <c r="F266" s="1312"/>
      <c r="G266" s="1312"/>
      <c r="H266" s="1312"/>
    </row>
    <row r="267" spans="1:8">
      <c r="A267" s="1313" t="s">
        <v>706</v>
      </c>
      <c r="B267" s="1312"/>
      <c r="C267" s="1312"/>
      <c r="D267" s="1312"/>
      <c r="E267" s="1312"/>
      <c r="F267" s="1312"/>
      <c r="G267" s="1312"/>
      <c r="H267" s="1312"/>
    </row>
    <row r="268" spans="1:8">
      <c r="A268" s="1313" t="s">
        <v>707</v>
      </c>
      <c r="B268" s="1312"/>
      <c r="C268" s="1312"/>
      <c r="D268" s="1312"/>
      <c r="E268" s="1312"/>
      <c r="F268" s="1312"/>
      <c r="G268" s="1312"/>
      <c r="H268" s="1312"/>
    </row>
    <row r="269" spans="1:8">
      <c r="A269" s="1313" t="s">
        <v>708</v>
      </c>
      <c r="B269" s="1312"/>
      <c r="C269" s="1312"/>
      <c r="D269" s="1312"/>
      <c r="E269" s="1312"/>
      <c r="F269" s="1312"/>
      <c r="G269" s="1312"/>
      <c r="H269" s="1312"/>
    </row>
    <row r="270" spans="1:8">
      <c r="A270" s="1313" t="s">
        <v>709</v>
      </c>
      <c r="B270" s="1312"/>
      <c r="C270" s="1312"/>
      <c r="D270" s="1312"/>
      <c r="E270" s="1312"/>
      <c r="F270" s="1312"/>
      <c r="G270" s="1312"/>
      <c r="H270" s="1312"/>
    </row>
    <row r="271" spans="1:8">
      <c r="A271" s="1313" t="s">
        <v>710</v>
      </c>
      <c r="B271" s="1312"/>
      <c r="C271" s="1312"/>
      <c r="D271" s="1312"/>
      <c r="E271" s="1312"/>
      <c r="F271" s="1312"/>
      <c r="G271" s="1312"/>
      <c r="H271" s="1312"/>
    </row>
    <row r="272" spans="1:8">
      <c r="A272" s="1313" t="s">
        <v>711</v>
      </c>
      <c r="B272" s="1312"/>
      <c r="C272" s="1312"/>
      <c r="D272" s="1312"/>
      <c r="E272" s="1312"/>
      <c r="F272" s="1312"/>
      <c r="G272" s="1312"/>
      <c r="H272" s="1312"/>
    </row>
    <row r="273" spans="1:8">
      <c r="A273" s="1313" t="s">
        <v>712</v>
      </c>
      <c r="B273" s="1312"/>
      <c r="C273" s="1312"/>
      <c r="D273" s="1312"/>
      <c r="E273" s="1312"/>
      <c r="F273" s="1312"/>
      <c r="G273" s="1312"/>
      <c r="H273" s="1312"/>
    </row>
    <row r="274" spans="1:8">
      <c r="A274" s="1313" t="s">
        <v>713</v>
      </c>
      <c r="B274" s="1312"/>
      <c r="C274" s="1312"/>
      <c r="D274" s="1312"/>
      <c r="E274" s="1312"/>
      <c r="F274" s="1312"/>
      <c r="G274" s="1312"/>
      <c r="H274" s="1312"/>
    </row>
    <row r="275" spans="1:8">
      <c r="A275" s="1313" t="s">
        <v>714</v>
      </c>
      <c r="B275" s="1312"/>
      <c r="C275" s="1312"/>
      <c r="D275" s="1312"/>
      <c r="E275" s="1312"/>
      <c r="F275" s="1312"/>
      <c r="G275" s="1312"/>
      <c r="H275" s="1312"/>
    </row>
    <row r="276" spans="1:8">
      <c r="A276" s="1313" t="s">
        <v>715</v>
      </c>
      <c r="B276" s="1312"/>
      <c r="C276" s="1312"/>
      <c r="D276" s="1312"/>
      <c r="E276" s="1312"/>
      <c r="F276" s="1312"/>
      <c r="G276" s="1312"/>
      <c r="H276" s="1312"/>
    </row>
    <row r="277" spans="1:8">
      <c r="A277" s="1312"/>
      <c r="B277" s="1312"/>
      <c r="C277" s="1312"/>
      <c r="D277" s="1312"/>
      <c r="E277" s="1312"/>
      <c r="F277" s="1312"/>
      <c r="G277" s="1312"/>
      <c r="H277" s="1312"/>
    </row>
    <row r="278" spans="1:8">
      <c r="A278" s="1313" t="s">
        <v>693</v>
      </c>
      <c r="B278" s="1312"/>
      <c r="C278" s="1312"/>
      <c r="D278" s="1312"/>
      <c r="E278" s="1312"/>
      <c r="F278" s="1312"/>
      <c r="G278" s="1312"/>
      <c r="H278" s="1312"/>
    </row>
    <row r="279" spans="1:8">
      <c r="A279" s="1313" t="s">
        <v>694</v>
      </c>
      <c r="B279" s="1312"/>
      <c r="C279" s="1312"/>
      <c r="D279" s="1312"/>
      <c r="E279" s="1312"/>
      <c r="F279" s="1312"/>
      <c r="G279" s="1312"/>
      <c r="H279" s="1312"/>
    </row>
    <row r="280" spans="1:8">
      <c r="A280" s="1313" t="s">
        <v>695</v>
      </c>
      <c r="B280" s="1312"/>
      <c r="C280" s="1312"/>
      <c r="D280" s="1312"/>
      <c r="E280" s="1312"/>
      <c r="F280" s="1312"/>
      <c r="G280" s="1312"/>
      <c r="H280" s="1312"/>
    </row>
    <row r="281" spans="1:8">
      <c r="A281" s="1313" t="s">
        <v>696</v>
      </c>
      <c r="B281" s="1312"/>
      <c r="C281" s="1312"/>
      <c r="D281" s="1312"/>
      <c r="E281" s="1312"/>
      <c r="F281" s="1312"/>
      <c r="G281" s="1312"/>
      <c r="H281" s="1312"/>
    </row>
    <row r="282" spans="1:8">
      <c r="A282" s="1313" t="s">
        <v>697</v>
      </c>
      <c r="B282" s="1312"/>
      <c r="C282" s="1312"/>
      <c r="D282" s="1312"/>
      <c r="E282" s="1312"/>
      <c r="F282" s="1312"/>
      <c r="G282" s="1312"/>
      <c r="H282" s="1312"/>
    </row>
    <row r="283" spans="1:8">
      <c r="A283" s="1313" t="s">
        <v>698</v>
      </c>
      <c r="B283" s="1312"/>
      <c r="C283" s="1312"/>
      <c r="D283" s="1312"/>
      <c r="E283" s="1312"/>
      <c r="F283" s="1312"/>
      <c r="G283" s="1312"/>
      <c r="H283" s="1312"/>
    </row>
    <row r="284" spans="1:8">
      <c r="A284" s="1313" t="s">
        <v>699</v>
      </c>
      <c r="B284" s="1312"/>
      <c r="C284" s="1312"/>
      <c r="D284" s="1312"/>
      <c r="E284" s="1312"/>
      <c r="F284" s="1312"/>
      <c r="G284" s="1312"/>
      <c r="H284" s="1312"/>
    </row>
    <row r="285" spans="1:8">
      <c r="A285" s="1312"/>
      <c r="B285" s="1312"/>
      <c r="C285" s="1312"/>
      <c r="D285" s="1312"/>
      <c r="E285" s="1312"/>
      <c r="F285" s="1312"/>
      <c r="G285" s="1312"/>
      <c r="H285" s="1312"/>
    </row>
    <row r="286" spans="1:8">
      <c r="A286" s="1313" t="s">
        <v>684</v>
      </c>
      <c r="B286" s="1312"/>
      <c r="C286" s="1312"/>
      <c r="D286" s="1312"/>
      <c r="E286" s="1312"/>
      <c r="F286" s="1312"/>
      <c r="G286" s="1312"/>
      <c r="H286" s="1312"/>
    </row>
    <row r="287" spans="1:8">
      <c r="A287" s="1313" t="s">
        <v>685</v>
      </c>
      <c r="B287" s="1312"/>
      <c r="C287" s="1312"/>
      <c r="D287" s="1312"/>
      <c r="E287" s="1312"/>
      <c r="F287" s="1312"/>
      <c r="G287" s="1312"/>
      <c r="H287" s="1312"/>
    </row>
    <row r="288" spans="1:8">
      <c r="A288" s="1313" t="s">
        <v>686</v>
      </c>
      <c r="B288" s="1312"/>
      <c r="C288" s="1312"/>
      <c r="D288" s="1312"/>
      <c r="E288" s="1312"/>
      <c r="F288" s="1312"/>
      <c r="G288" s="1312"/>
      <c r="H288" s="1312"/>
    </row>
    <row r="289" spans="1:8">
      <c r="A289" s="1313" t="s">
        <v>687</v>
      </c>
      <c r="B289" s="1312"/>
      <c r="C289" s="1312"/>
      <c r="D289" s="1312"/>
      <c r="E289" s="1312"/>
      <c r="F289" s="1312"/>
      <c r="G289" s="1312"/>
      <c r="H289" s="1312"/>
    </row>
    <row r="290" spans="1:8">
      <c r="A290" s="1313" t="s">
        <v>688</v>
      </c>
      <c r="B290" s="1312"/>
      <c r="C290" s="1312"/>
      <c r="D290" s="1312"/>
      <c r="E290" s="1312"/>
      <c r="F290" s="1312"/>
      <c r="G290" s="1312"/>
      <c r="H290" s="1312"/>
    </row>
    <row r="291" spans="1:8">
      <c r="A291" s="1313" t="s">
        <v>689</v>
      </c>
      <c r="B291" s="1312"/>
      <c r="C291" s="1312"/>
      <c r="D291" s="1312"/>
      <c r="E291" s="1312"/>
      <c r="F291" s="1312"/>
      <c r="G291" s="1312"/>
      <c r="H291" s="1312"/>
    </row>
    <row r="292" spans="1:8">
      <c r="A292" s="1313" t="s">
        <v>690</v>
      </c>
      <c r="B292" s="1312"/>
      <c r="C292" s="1312"/>
      <c r="D292" s="1312"/>
      <c r="E292" s="1312"/>
      <c r="F292" s="1312"/>
      <c r="G292" s="1312"/>
      <c r="H292" s="1312"/>
    </row>
    <row r="293" spans="1:8">
      <c r="A293" s="1313" t="s">
        <v>691</v>
      </c>
      <c r="B293" s="1312"/>
      <c r="C293" s="1312"/>
      <c r="D293" s="1312"/>
      <c r="E293" s="1312"/>
      <c r="F293" s="1312"/>
      <c r="G293" s="1312"/>
      <c r="H293" s="1312"/>
    </row>
    <row r="294" spans="1:8">
      <c r="A294" s="1313" t="s">
        <v>692</v>
      </c>
      <c r="B294" s="1312"/>
      <c r="C294" s="1312"/>
      <c r="D294" s="1312"/>
      <c r="E294" s="1312"/>
      <c r="F294" s="1312"/>
      <c r="G294" s="1312"/>
      <c r="H294" s="1312"/>
    </row>
    <row r="295" spans="1:8">
      <c r="A295" s="1312"/>
      <c r="B295" s="1312"/>
      <c r="C295" s="1312"/>
      <c r="D295" s="1312"/>
      <c r="E295" s="1312"/>
      <c r="F295" s="1312"/>
      <c r="G295" s="1312"/>
      <c r="H295" s="1312"/>
    </row>
    <row r="296" spans="1:8">
      <c r="A296" s="1313" t="s">
        <v>677</v>
      </c>
      <c r="B296" s="1312"/>
      <c r="C296" s="1312"/>
      <c r="D296" s="1312"/>
      <c r="E296" s="1312"/>
      <c r="F296" s="1312"/>
      <c r="G296" s="1312"/>
      <c r="H296" s="1312"/>
    </row>
    <row r="297" spans="1:8">
      <c r="A297" s="1313" t="s">
        <v>678</v>
      </c>
      <c r="B297" s="1312"/>
      <c r="C297" s="1312"/>
      <c r="D297" s="1312"/>
      <c r="E297" s="1312"/>
      <c r="F297" s="1312"/>
      <c r="G297" s="1312"/>
      <c r="H297" s="1312"/>
    </row>
    <row r="298" spans="1:8">
      <c r="A298" s="1313" t="s">
        <v>679</v>
      </c>
      <c r="B298" s="1312"/>
      <c r="C298" s="1312"/>
      <c r="D298" s="1312"/>
      <c r="E298" s="1312"/>
      <c r="F298" s="1312"/>
      <c r="G298" s="1312"/>
      <c r="H298" s="1312"/>
    </row>
    <row r="299" spans="1:8">
      <c r="A299" s="1313" t="s">
        <v>680</v>
      </c>
      <c r="B299" s="1312"/>
      <c r="C299" s="1312"/>
      <c r="D299" s="1312"/>
      <c r="E299" s="1312"/>
      <c r="F299" s="1312"/>
      <c r="G299" s="1312"/>
      <c r="H299" s="1312"/>
    </row>
    <row r="300" spans="1:8">
      <c r="A300" s="1313" t="s">
        <v>681</v>
      </c>
      <c r="B300" s="1312"/>
      <c r="C300" s="1312"/>
      <c r="D300" s="1312"/>
      <c r="E300" s="1312"/>
      <c r="F300" s="1312"/>
      <c r="G300" s="1312"/>
      <c r="H300" s="1312"/>
    </row>
    <row r="301" spans="1:8">
      <c r="A301" s="1313" t="s">
        <v>682</v>
      </c>
      <c r="B301" s="1312"/>
      <c r="C301" s="1312"/>
      <c r="D301" s="1312"/>
      <c r="E301" s="1312"/>
      <c r="F301" s="1312"/>
      <c r="G301" s="1312"/>
      <c r="H301" s="1312"/>
    </row>
    <row r="302" spans="1:8">
      <c r="A302" s="1313" t="s">
        <v>683</v>
      </c>
      <c r="B302" s="1312"/>
      <c r="C302" s="1312"/>
      <c r="D302" s="1312"/>
      <c r="E302" s="1312"/>
      <c r="F302" s="1312"/>
      <c r="G302" s="1312"/>
      <c r="H302" s="1312"/>
    </row>
    <row r="303" spans="1:8">
      <c r="A303" s="1312"/>
      <c r="B303" s="1312"/>
      <c r="C303" s="1312"/>
      <c r="D303" s="1312"/>
      <c r="E303" s="1312"/>
      <c r="F303" s="1312"/>
      <c r="G303" s="1312"/>
      <c r="H303" s="1312"/>
    </row>
    <row r="304" spans="1:8">
      <c r="A304" s="1313" t="s">
        <v>674</v>
      </c>
      <c r="B304" s="1312"/>
      <c r="C304" s="1312"/>
      <c r="D304" s="1312"/>
      <c r="E304" s="1312"/>
      <c r="F304" s="1312"/>
      <c r="G304" s="1312"/>
      <c r="H304" s="1312"/>
    </row>
    <row r="305" spans="1:8">
      <c r="A305" s="1313" t="s">
        <v>675</v>
      </c>
      <c r="B305" s="1312"/>
      <c r="C305" s="1312"/>
      <c r="D305" s="1312"/>
      <c r="E305" s="1312"/>
      <c r="F305" s="1312"/>
      <c r="G305" s="1312"/>
      <c r="H305" s="1312"/>
    </row>
    <row r="306" spans="1:8">
      <c r="A306" s="1313" t="s">
        <v>676</v>
      </c>
      <c r="B306" s="1312"/>
      <c r="C306" s="1312"/>
      <c r="D306" s="1312"/>
      <c r="E306" s="1312"/>
      <c r="F306" s="1312"/>
      <c r="G306" s="1312"/>
      <c r="H306" s="1312"/>
    </row>
    <row r="307" spans="1:8">
      <c r="A307" s="1312"/>
      <c r="B307" s="1312"/>
      <c r="C307" s="1312"/>
      <c r="D307" s="1312"/>
      <c r="E307" s="1312"/>
      <c r="F307" s="1312"/>
      <c r="G307" s="1312"/>
      <c r="H307" s="1312"/>
    </row>
    <row r="308" spans="1:8">
      <c r="A308" s="1313" t="s">
        <v>672</v>
      </c>
      <c r="B308" s="1312"/>
      <c r="C308" s="1312"/>
      <c r="D308" s="1312"/>
      <c r="E308" s="1312"/>
      <c r="F308" s="1312"/>
      <c r="G308" s="1312"/>
      <c r="H308" s="1312"/>
    </row>
    <row r="309" spans="1:8">
      <c r="A309" s="1313" t="s">
        <v>673</v>
      </c>
      <c r="B309" s="1312"/>
      <c r="C309" s="1312"/>
      <c r="D309" s="1312"/>
      <c r="E309" s="1312"/>
      <c r="F309" s="1312"/>
      <c r="G309" s="1312"/>
      <c r="H309" s="1312"/>
    </row>
    <row r="310" spans="1:8">
      <c r="A310" s="1312"/>
      <c r="B310" s="1312"/>
      <c r="C310" s="1312"/>
      <c r="D310" s="1312"/>
      <c r="E310" s="1312"/>
      <c r="F310" s="1312"/>
      <c r="G310" s="1312"/>
      <c r="H310" s="1312"/>
    </row>
    <row r="311" spans="1:8">
      <c r="A311" s="1313" t="s">
        <v>659</v>
      </c>
      <c r="B311" s="1312"/>
      <c r="C311" s="1312"/>
      <c r="D311" s="1312"/>
      <c r="E311" s="1312"/>
      <c r="F311" s="1312"/>
      <c r="G311" s="1312"/>
      <c r="H311" s="1312"/>
    </row>
    <row r="312" spans="1:8">
      <c r="A312" s="1313" t="s">
        <v>660</v>
      </c>
      <c r="B312" s="1312"/>
      <c r="C312" s="1312"/>
      <c r="D312" s="1312"/>
      <c r="E312" s="1312"/>
      <c r="F312" s="1312"/>
      <c r="G312" s="1312"/>
      <c r="H312" s="1312"/>
    </row>
    <row r="313" spans="1:8">
      <c r="A313" s="1313" t="s">
        <v>661</v>
      </c>
      <c r="B313" s="1312"/>
      <c r="C313" s="1312"/>
      <c r="D313" s="1312"/>
      <c r="E313" s="1312"/>
      <c r="F313" s="1312"/>
      <c r="G313" s="1312"/>
      <c r="H313" s="1312"/>
    </row>
    <row r="314" spans="1:8">
      <c r="A314" s="1313" t="s">
        <v>662</v>
      </c>
      <c r="B314" s="1312"/>
      <c r="C314" s="1312"/>
      <c r="D314" s="1312"/>
      <c r="E314" s="1312"/>
      <c r="F314" s="1312"/>
      <c r="G314" s="1312"/>
      <c r="H314" s="1312"/>
    </row>
    <row r="315" spans="1:8">
      <c r="A315" s="1313" t="s">
        <v>663</v>
      </c>
      <c r="B315" s="1312"/>
      <c r="C315" s="1312"/>
      <c r="D315" s="1312"/>
      <c r="E315" s="1312"/>
      <c r="F315" s="1312"/>
      <c r="G315" s="1312"/>
      <c r="H315" s="1312"/>
    </row>
    <row r="316" spans="1:8">
      <c r="A316" s="1313" t="s">
        <v>664</v>
      </c>
      <c r="B316" s="1312"/>
      <c r="C316" s="1312"/>
      <c r="D316" s="1312"/>
      <c r="E316" s="1312"/>
      <c r="F316" s="1312"/>
      <c r="G316" s="1312"/>
      <c r="H316" s="1312"/>
    </row>
    <row r="317" spans="1:8">
      <c r="A317" s="1313" t="s">
        <v>665</v>
      </c>
      <c r="B317" s="1312"/>
      <c r="C317" s="1312"/>
      <c r="D317" s="1312"/>
      <c r="E317" s="1312"/>
      <c r="F317" s="1312"/>
      <c r="G317" s="1312"/>
      <c r="H317" s="1312"/>
    </row>
    <row r="318" spans="1:8">
      <c r="A318" s="1313" t="s">
        <v>666</v>
      </c>
      <c r="B318" s="1312"/>
      <c r="C318" s="1312"/>
      <c r="D318" s="1312"/>
      <c r="E318" s="1312"/>
      <c r="F318" s="1312"/>
      <c r="G318" s="1312"/>
      <c r="H318" s="1312"/>
    </row>
    <row r="319" spans="1:8">
      <c r="A319" s="1313" t="s">
        <v>667</v>
      </c>
      <c r="B319" s="1312"/>
      <c r="C319" s="1312"/>
      <c r="D319" s="1312"/>
      <c r="E319" s="1312"/>
      <c r="F319" s="1312"/>
      <c r="G319" s="1312"/>
      <c r="H319" s="1312"/>
    </row>
    <row r="320" spans="1:8">
      <c r="A320" s="1313" t="s">
        <v>668</v>
      </c>
      <c r="B320" s="1312"/>
      <c r="C320" s="1312"/>
      <c r="D320" s="1312"/>
      <c r="E320" s="1312"/>
      <c r="F320" s="1312"/>
      <c r="G320" s="1312"/>
      <c r="H320" s="1312"/>
    </row>
    <row r="321" spans="1:8">
      <c r="A321" s="1313" t="s">
        <v>669</v>
      </c>
      <c r="B321" s="1312"/>
      <c r="C321" s="1312"/>
      <c r="D321" s="1312"/>
      <c r="E321" s="1312"/>
      <c r="F321" s="1312"/>
      <c r="G321" s="1312"/>
      <c r="H321" s="1312"/>
    </row>
    <row r="322" spans="1:8">
      <c r="A322" s="1313" t="s">
        <v>670</v>
      </c>
      <c r="B322" s="1312"/>
      <c r="C322" s="1312"/>
      <c r="D322" s="1312"/>
      <c r="E322" s="1312"/>
      <c r="F322" s="1312"/>
      <c r="G322" s="1312"/>
      <c r="H322" s="1312"/>
    </row>
    <row r="323" spans="1:8">
      <c r="A323" s="1313" t="s">
        <v>671</v>
      </c>
      <c r="B323" s="1312"/>
      <c r="C323" s="1312"/>
      <c r="D323" s="1312"/>
      <c r="E323" s="1312"/>
      <c r="F323" s="1312"/>
      <c r="G323" s="1312"/>
      <c r="H323" s="1312"/>
    </row>
    <row r="324" spans="1:8">
      <c r="A324" s="1312"/>
      <c r="B324" s="1312"/>
      <c r="C324" s="1312"/>
      <c r="D324" s="1312"/>
      <c r="E324" s="1312"/>
      <c r="F324" s="1312"/>
      <c r="G324" s="1312"/>
      <c r="H324" s="1312"/>
    </row>
    <row r="325" spans="1:8">
      <c r="A325" s="1313" t="s">
        <v>651</v>
      </c>
      <c r="B325" s="1312"/>
      <c r="C325" s="1312"/>
      <c r="D325" s="1312"/>
      <c r="E325" s="1312"/>
      <c r="F325" s="1312"/>
      <c r="G325" s="1312"/>
      <c r="H325" s="1312"/>
    </row>
    <row r="326" spans="1:8">
      <c r="A326" s="1313" t="s">
        <v>652</v>
      </c>
      <c r="B326" s="1312"/>
      <c r="C326" s="1312"/>
      <c r="D326" s="1312"/>
      <c r="E326" s="1312"/>
      <c r="F326" s="1312"/>
      <c r="G326" s="1312"/>
      <c r="H326" s="1312"/>
    </row>
    <row r="327" spans="1:8">
      <c r="A327" s="1313" t="s">
        <v>653</v>
      </c>
      <c r="B327" s="1312"/>
      <c r="C327" s="1312"/>
      <c r="D327" s="1312"/>
      <c r="E327" s="1312"/>
      <c r="F327" s="1312"/>
      <c r="G327" s="1312"/>
      <c r="H327" s="1312"/>
    </row>
    <row r="328" spans="1:8">
      <c r="A328" s="1313" t="s">
        <v>654</v>
      </c>
      <c r="B328" s="1312"/>
      <c r="C328" s="1312"/>
      <c r="D328" s="1312"/>
      <c r="E328" s="1312"/>
      <c r="F328" s="1312"/>
      <c r="G328" s="1312"/>
      <c r="H328" s="1312"/>
    </row>
    <row r="329" spans="1:8">
      <c r="A329" s="1313" t="s">
        <v>655</v>
      </c>
      <c r="B329" s="1312"/>
      <c r="C329" s="1312"/>
      <c r="D329" s="1312"/>
      <c r="E329" s="1312"/>
      <c r="F329" s="1312"/>
      <c r="G329" s="1312"/>
      <c r="H329" s="1312"/>
    </row>
    <row r="330" spans="1:8">
      <c r="A330" s="1313" t="s">
        <v>656</v>
      </c>
      <c r="B330" s="1312"/>
      <c r="C330" s="1312"/>
      <c r="D330" s="1312"/>
      <c r="E330" s="1312"/>
      <c r="F330" s="1312"/>
      <c r="G330" s="1312"/>
      <c r="H330" s="1312"/>
    </row>
    <row r="331" spans="1:8">
      <c r="A331" s="1313" t="s">
        <v>657</v>
      </c>
      <c r="B331" s="1312"/>
      <c r="C331" s="1312"/>
      <c r="D331" s="1312"/>
      <c r="E331" s="1312"/>
      <c r="F331" s="1312"/>
      <c r="G331" s="1312"/>
      <c r="H331" s="1312"/>
    </row>
    <row r="332" spans="1:8">
      <c r="A332" s="1313" t="s">
        <v>658</v>
      </c>
      <c r="B332" s="1312"/>
      <c r="C332" s="1312"/>
      <c r="D332" s="1312"/>
      <c r="E332" s="1312"/>
      <c r="F332" s="1312"/>
      <c r="G332" s="1312"/>
      <c r="H332" s="1312"/>
    </row>
    <row r="333" spans="1:8">
      <c r="A333" s="1312"/>
      <c r="B333" s="1312"/>
      <c r="C333" s="1312"/>
      <c r="D333" s="1312"/>
      <c r="E333" s="1312"/>
      <c r="F333" s="1312"/>
      <c r="G333" s="1312"/>
      <c r="H333" s="1312"/>
    </row>
    <row r="334" spans="1:8">
      <c r="A334" s="1313" t="s">
        <v>616</v>
      </c>
      <c r="B334" s="1312"/>
      <c r="C334" s="1312"/>
      <c r="D334" s="1312"/>
      <c r="E334" s="1312"/>
      <c r="F334" s="1312"/>
      <c r="G334" s="1312"/>
      <c r="H334" s="1312"/>
    </row>
    <row r="335" spans="1:8">
      <c r="A335" s="1313" t="s">
        <v>617</v>
      </c>
      <c r="B335" s="1312"/>
      <c r="C335" s="1312"/>
      <c r="D335" s="1312"/>
      <c r="E335" s="1312"/>
      <c r="F335" s="1312"/>
      <c r="G335" s="1312"/>
      <c r="H335" s="1312"/>
    </row>
    <row r="336" spans="1:8">
      <c r="A336" s="1313" t="s">
        <v>618</v>
      </c>
      <c r="B336" s="1312"/>
      <c r="C336" s="1312"/>
      <c r="D336" s="1312"/>
      <c r="E336" s="1312"/>
      <c r="F336" s="1312"/>
      <c r="G336" s="1312"/>
      <c r="H336" s="1312"/>
    </row>
    <row r="337" spans="1:8">
      <c r="A337" s="1313" t="s">
        <v>619</v>
      </c>
      <c r="B337" s="1312"/>
      <c r="C337" s="1312"/>
      <c r="D337" s="1312"/>
      <c r="E337" s="1312"/>
      <c r="F337" s="1312"/>
      <c r="G337" s="1312"/>
      <c r="H337" s="1312"/>
    </row>
    <row r="338" spans="1:8">
      <c r="A338" s="1313" t="s">
        <v>620</v>
      </c>
      <c r="B338" s="1312"/>
      <c r="C338" s="1312"/>
      <c r="D338" s="1312"/>
      <c r="E338" s="1312"/>
      <c r="F338" s="1312"/>
      <c r="G338" s="1312"/>
      <c r="H338" s="1312"/>
    </row>
    <row r="339" spans="1:8">
      <c r="A339" s="1313" t="s">
        <v>621</v>
      </c>
      <c r="B339" s="1312"/>
      <c r="C339" s="1312"/>
      <c r="D339" s="1312"/>
      <c r="E339" s="1312"/>
      <c r="F339" s="1312"/>
      <c r="G339" s="1312"/>
      <c r="H339" s="1312"/>
    </row>
    <row r="340" spans="1:8">
      <c r="A340" s="1313" t="s">
        <v>622</v>
      </c>
      <c r="B340" s="1312"/>
      <c r="C340" s="1312"/>
      <c r="D340" s="1312"/>
      <c r="E340" s="1312"/>
      <c r="F340" s="1312"/>
      <c r="G340" s="1312"/>
      <c r="H340" s="1312"/>
    </row>
    <row r="341" spans="1:8">
      <c r="A341" s="1313" t="s">
        <v>623</v>
      </c>
      <c r="B341" s="1312"/>
      <c r="C341" s="1312"/>
      <c r="D341" s="1312"/>
      <c r="E341" s="1312"/>
      <c r="F341" s="1312"/>
      <c r="G341" s="1312"/>
      <c r="H341" s="1312"/>
    </row>
    <row r="342" spans="1:8">
      <c r="A342" s="1313" t="s">
        <v>624</v>
      </c>
      <c r="B342" s="1312"/>
      <c r="C342" s="1312"/>
      <c r="D342" s="1312"/>
      <c r="E342" s="1312"/>
      <c r="F342" s="1312"/>
      <c r="G342" s="1312"/>
      <c r="H342" s="1312"/>
    </row>
    <row r="343" spans="1:8">
      <c r="A343" s="1313" t="s">
        <v>625</v>
      </c>
      <c r="B343" s="1312"/>
      <c r="C343" s="1312"/>
      <c r="D343" s="1312"/>
      <c r="E343" s="1312"/>
      <c r="F343" s="1312"/>
      <c r="G343" s="1312"/>
      <c r="H343" s="1312"/>
    </row>
    <row r="344" spans="1:8">
      <c r="A344" s="1313" t="s">
        <v>626</v>
      </c>
      <c r="B344" s="1312"/>
      <c r="C344" s="1312"/>
      <c r="D344" s="1312"/>
      <c r="E344" s="1312"/>
      <c r="F344" s="1312"/>
      <c r="G344" s="1312"/>
      <c r="H344" s="1312"/>
    </row>
    <row r="345" spans="1:8">
      <c r="A345" s="1313" t="s">
        <v>627</v>
      </c>
      <c r="B345" s="1312"/>
      <c r="C345" s="1312"/>
      <c r="D345" s="1312"/>
      <c r="E345" s="1312"/>
      <c r="F345" s="1312"/>
      <c r="G345" s="1312"/>
      <c r="H345" s="1312"/>
    </row>
    <row r="346" spans="1:8">
      <c r="A346" s="1313" t="s">
        <v>628</v>
      </c>
      <c r="B346" s="1312"/>
      <c r="C346" s="1312"/>
      <c r="D346" s="1312"/>
      <c r="E346" s="1312"/>
      <c r="F346" s="1312"/>
      <c r="G346" s="1312"/>
      <c r="H346" s="1312"/>
    </row>
    <row r="347" spans="1:8">
      <c r="A347" s="1313" t="s">
        <v>629</v>
      </c>
      <c r="B347" s="1312"/>
      <c r="C347" s="1312"/>
      <c r="D347" s="1312"/>
      <c r="E347" s="1312"/>
      <c r="F347" s="1312"/>
      <c r="G347" s="1312"/>
      <c r="H347" s="1312"/>
    </row>
    <row r="348" spans="1:8">
      <c r="A348" s="1313" t="s">
        <v>630</v>
      </c>
      <c r="B348" s="1312"/>
      <c r="C348" s="1312"/>
      <c r="D348" s="1312"/>
      <c r="E348" s="1312"/>
      <c r="F348" s="1312"/>
      <c r="G348" s="1312"/>
      <c r="H348" s="1312"/>
    </row>
    <row r="349" spans="1:8">
      <c r="A349" s="1313" t="s">
        <v>631</v>
      </c>
      <c r="B349" s="1312"/>
      <c r="C349" s="1312"/>
      <c r="D349" s="1312"/>
      <c r="E349" s="1312"/>
      <c r="F349" s="1312"/>
      <c r="G349" s="1312"/>
      <c r="H349" s="1312"/>
    </row>
    <row r="350" spans="1:8">
      <c r="A350" s="1313" t="s">
        <v>632</v>
      </c>
      <c r="B350" s="1312"/>
      <c r="C350" s="1312"/>
      <c r="D350" s="1312"/>
      <c r="E350" s="1312"/>
      <c r="F350" s="1312"/>
      <c r="G350" s="1312"/>
      <c r="H350" s="1312"/>
    </row>
    <row r="351" spans="1:8">
      <c r="A351" s="1313" t="s">
        <v>633</v>
      </c>
      <c r="B351" s="1312"/>
      <c r="C351" s="1312"/>
      <c r="D351" s="1312"/>
      <c r="E351" s="1312"/>
      <c r="F351" s="1312"/>
      <c r="G351" s="1312"/>
      <c r="H351" s="1312"/>
    </row>
    <row r="352" spans="1:8">
      <c r="A352" s="1313" t="s">
        <v>634</v>
      </c>
      <c r="B352" s="1312"/>
      <c r="C352" s="1312"/>
      <c r="D352" s="1312"/>
      <c r="E352" s="1312"/>
      <c r="F352" s="1312"/>
      <c r="G352" s="1312"/>
      <c r="H352" s="1312"/>
    </row>
    <row r="353" spans="1:8">
      <c r="A353" s="1313" t="s">
        <v>635</v>
      </c>
      <c r="B353" s="1312"/>
      <c r="C353" s="1312"/>
      <c r="D353" s="1312"/>
      <c r="E353" s="1312"/>
      <c r="F353" s="1312"/>
      <c r="G353" s="1312"/>
      <c r="H353" s="1312"/>
    </row>
    <row r="354" spans="1:8">
      <c r="A354" s="1313" t="s">
        <v>636</v>
      </c>
      <c r="B354" s="1312"/>
      <c r="C354" s="1312"/>
      <c r="D354" s="1312"/>
      <c r="E354" s="1312"/>
      <c r="F354" s="1312"/>
      <c r="G354" s="1312"/>
      <c r="H354" s="1312"/>
    </row>
    <row r="355" spans="1:8">
      <c r="A355" s="1313" t="s">
        <v>637</v>
      </c>
      <c r="B355" s="1312"/>
      <c r="C355" s="1312"/>
      <c r="D355" s="1312"/>
      <c r="E355" s="1312"/>
      <c r="F355" s="1312"/>
      <c r="G355" s="1312"/>
      <c r="H355" s="1312"/>
    </row>
    <row r="356" spans="1:8">
      <c r="A356" s="1313" t="s">
        <v>638</v>
      </c>
      <c r="B356" s="1312"/>
      <c r="C356" s="1312"/>
      <c r="D356" s="1312"/>
      <c r="E356" s="1312"/>
      <c r="F356" s="1312"/>
      <c r="G356" s="1312"/>
      <c r="H356" s="1312"/>
    </row>
    <row r="357" spans="1:8">
      <c r="A357" s="1313" t="s">
        <v>639</v>
      </c>
      <c r="B357" s="1312"/>
      <c r="C357" s="1312"/>
      <c r="D357" s="1312"/>
      <c r="E357" s="1312"/>
      <c r="F357" s="1312"/>
      <c r="G357" s="1312"/>
      <c r="H357" s="1312"/>
    </row>
    <row r="358" spans="1:8">
      <c r="A358" s="1313" t="s">
        <v>640</v>
      </c>
      <c r="B358" s="1312"/>
      <c r="C358" s="1312"/>
      <c r="D358" s="1312"/>
      <c r="E358" s="1312"/>
      <c r="F358" s="1312"/>
      <c r="G358" s="1312"/>
      <c r="H358" s="1312"/>
    </row>
    <row r="359" spans="1:8">
      <c r="A359" s="1313" t="s">
        <v>641</v>
      </c>
      <c r="B359" s="1312"/>
      <c r="C359" s="1312"/>
      <c r="D359" s="1312"/>
      <c r="E359" s="1312"/>
      <c r="F359" s="1312"/>
      <c r="G359" s="1312"/>
      <c r="H359" s="1312"/>
    </row>
    <row r="360" spans="1:8">
      <c r="A360" s="1313" t="s">
        <v>642</v>
      </c>
      <c r="B360" s="1312"/>
      <c r="C360" s="1312"/>
      <c r="D360" s="1312"/>
      <c r="E360" s="1312"/>
      <c r="F360" s="1312"/>
      <c r="G360" s="1312"/>
      <c r="H360" s="1312"/>
    </row>
    <row r="361" spans="1:8">
      <c r="A361" s="1313" t="s">
        <v>643</v>
      </c>
      <c r="B361" s="1312"/>
      <c r="C361" s="1312"/>
      <c r="D361" s="1312"/>
      <c r="E361" s="1312"/>
      <c r="F361" s="1312"/>
      <c r="G361" s="1312"/>
      <c r="H361" s="1312"/>
    </row>
    <row r="362" spans="1:8">
      <c r="A362" s="1313" t="s">
        <v>644</v>
      </c>
      <c r="B362" s="1312"/>
      <c r="C362" s="1312"/>
      <c r="D362" s="1312"/>
      <c r="E362" s="1312"/>
      <c r="F362" s="1312"/>
      <c r="G362" s="1312"/>
      <c r="H362" s="1312"/>
    </row>
    <row r="363" spans="1:8">
      <c r="A363" s="1313" t="s">
        <v>645</v>
      </c>
      <c r="B363" s="1312"/>
      <c r="C363" s="1312"/>
      <c r="D363" s="1312"/>
      <c r="E363" s="1312"/>
      <c r="F363" s="1312"/>
      <c r="G363" s="1312"/>
      <c r="H363" s="1312"/>
    </row>
    <row r="364" spans="1:8">
      <c r="A364" s="1313" t="s">
        <v>646</v>
      </c>
      <c r="B364" s="1312"/>
      <c r="C364" s="1312"/>
      <c r="D364" s="1312"/>
      <c r="E364" s="1312"/>
      <c r="F364" s="1312"/>
      <c r="G364" s="1312"/>
      <c r="H364" s="1312"/>
    </row>
    <row r="365" spans="1:8">
      <c r="A365" s="1313" t="s">
        <v>647</v>
      </c>
      <c r="B365" s="1312"/>
      <c r="C365" s="1312"/>
      <c r="D365" s="1312"/>
      <c r="E365" s="1312"/>
      <c r="F365" s="1312"/>
      <c r="G365" s="1312"/>
      <c r="H365" s="1312"/>
    </row>
    <row r="366" spans="1:8">
      <c r="A366" s="1313" t="s">
        <v>648</v>
      </c>
      <c r="B366" s="1312"/>
      <c r="C366" s="1312"/>
      <c r="D366" s="1312"/>
      <c r="E366" s="1312"/>
      <c r="F366" s="1312"/>
      <c r="G366" s="1312"/>
      <c r="H366" s="1312"/>
    </row>
    <row r="367" spans="1:8">
      <c r="A367" s="1313" t="s">
        <v>649</v>
      </c>
      <c r="B367" s="1312"/>
      <c r="C367" s="1312"/>
      <c r="D367" s="1312"/>
      <c r="E367" s="1312"/>
      <c r="F367" s="1312"/>
      <c r="G367" s="1312"/>
      <c r="H367" s="1312"/>
    </row>
    <row r="368" spans="1:8">
      <c r="A368" s="1313" t="s">
        <v>650</v>
      </c>
      <c r="B368" s="1312"/>
      <c r="C368" s="1312"/>
      <c r="D368" s="1312"/>
      <c r="E368" s="1312"/>
      <c r="F368" s="1312"/>
      <c r="G368" s="1312"/>
      <c r="H368" s="1312"/>
    </row>
    <row r="369" spans="1:8">
      <c r="A369" s="1312"/>
      <c r="B369" s="1312"/>
      <c r="C369" s="1312"/>
      <c r="D369" s="1312"/>
      <c r="E369" s="1312"/>
      <c r="F369" s="1312"/>
      <c r="G369" s="1312"/>
      <c r="H369" s="1312"/>
    </row>
    <row r="370" spans="1:8">
      <c r="A370" s="1313" t="s">
        <v>608</v>
      </c>
      <c r="B370" s="1312"/>
      <c r="C370" s="1312"/>
      <c r="D370" s="1312"/>
      <c r="E370" s="1312"/>
      <c r="F370" s="1312"/>
      <c r="G370" s="1312"/>
      <c r="H370" s="1312"/>
    </row>
    <row r="371" spans="1:8">
      <c r="A371" s="1313" t="s">
        <v>612</v>
      </c>
      <c r="B371" s="1312"/>
      <c r="C371" s="1312"/>
      <c r="D371" s="1312"/>
      <c r="E371" s="1312"/>
      <c r="F371" s="1312"/>
      <c r="G371" s="1312"/>
      <c r="H371" s="1312"/>
    </row>
    <row r="372" spans="1:8">
      <c r="A372" s="1313" t="s">
        <v>613</v>
      </c>
      <c r="B372" s="1312"/>
      <c r="C372" s="1312"/>
      <c r="D372" s="1312"/>
      <c r="E372" s="1312"/>
      <c r="F372" s="1312"/>
      <c r="G372" s="1312"/>
      <c r="H372" s="1312"/>
    </row>
    <row r="373" spans="1:8">
      <c r="A373" s="1313" t="s">
        <v>614</v>
      </c>
      <c r="B373" s="1312"/>
      <c r="C373" s="1312"/>
      <c r="D373" s="1312"/>
      <c r="E373" s="1312"/>
      <c r="F373" s="1312"/>
      <c r="G373" s="1312"/>
      <c r="H373" s="1312"/>
    </row>
    <row r="374" spans="1:8">
      <c r="A374" s="1313" t="s">
        <v>615</v>
      </c>
      <c r="B374" s="1312"/>
      <c r="C374" s="1312"/>
      <c r="D374" s="1312"/>
      <c r="E374" s="1312"/>
      <c r="F374" s="1312"/>
      <c r="G374" s="1312"/>
      <c r="H374" s="1312"/>
    </row>
    <row r="375" spans="1:8">
      <c r="A375" s="1312"/>
      <c r="B375" s="1312"/>
      <c r="C375" s="1312"/>
      <c r="D375" s="1312"/>
      <c r="E375" s="1312"/>
      <c r="F375" s="1312"/>
      <c r="G375" s="1312"/>
      <c r="H375" s="1312"/>
    </row>
    <row r="376" spans="1:8">
      <c r="A376" s="1313" t="s">
        <v>608</v>
      </c>
      <c r="B376" s="1312"/>
      <c r="C376" s="1312"/>
      <c r="D376" s="1312"/>
      <c r="E376" s="1312"/>
      <c r="F376" s="1312"/>
      <c r="G376" s="1312"/>
      <c r="H376" s="1312"/>
    </row>
    <row r="377" spans="1:8">
      <c r="A377" s="1313" t="s">
        <v>609</v>
      </c>
      <c r="B377" s="1312"/>
      <c r="C377" s="1312"/>
      <c r="D377" s="1312"/>
      <c r="E377" s="1312"/>
      <c r="F377" s="1312"/>
      <c r="G377" s="1312"/>
      <c r="H377" s="1312"/>
    </row>
    <row r="378" spans="1:8">
      <c r="A378" s="1313" t="s">
        <v>610</v>
      </c>
      <c r="B378" s="1312"/>
      <c r="C378" s="1312"/>
      <c r="D378" s="1312"/>
      <c r="E378" s="1312"/>
      <c r="F378" s="1312"/>
      <c r="G378" s="1312"/>
      <c r="H378" s="1312"/>
    </row>
    <row r="379" spans="1:8">
      <c r="A379" s="1313" t="s">
        <v>611</v>
      </c>
      <c r="B379" s="1312"/>
      <c r="C379" s="1312"/>
      <c r="D379" s="1312"/>
      <c r="E379" s="1312"/>
      <c r="F379" s="1312"/>
      <c r="G379" s="1312"/>
      <c r="H379" s="1312"/>
    </row>
    <row r="380" spans="1:8">
      <c r="A380" s="1312"/>
      <c r="B380" s="1312"/>
      <c r="C380" s="1312"/>
      <c r="D380" s="1312"/>
      <c r="E380" s="1312"/>
      <c r="F380" s="1312"/>
      <c r="G380" s="1312"/>
      <c r="H380" s="1312"/>
    </row>
    <row r="381" spans="1:8">
      <c r="A381" s="1313" t="s">
        <v>602</v>
      </c>
      <c r="B381" s="1312"/>
      <c r="C381" s="1312"/>
      <c r="D381" s="1312"/>
      <c r="E381" s="1312"/>
      <c r="F381" s="1312"/>
      <c r="G381" s="1312"/>
      <c r="H381" s="1312"/>
    </row>
    <row r="382" spans="1:8">
      <c r="A382" s="1313" t="s">
        <v>603</v>
      </c>
      <c r="B382" s="1312"/>
      <c r="C382" s="1312"/>
      <c r="D382" s="1312"/>
      <c r="E382" s="1312"/>
      <c r="F382" s="1312"/>
      <c r="G382" s="1312"/>
      <c r="H382" s="1312"/>
    </row>
    <row r="383" spans="1:8">
      <c r="A383" s="1313" t="s">
        <v>604</v>
      </c>
      <c r="B383" s="1312"/>
      <c r="C383" s="1312"/>
      <c r="D383" s="1312"/>
      <c r="E383" s="1312"/>
      <c r="F383" s="1312"/>
      <c r="G383" s="1312"/>
      <c r="H383" s="1312"/>
    </row>
    <row r="384" spans="1:8">
      <c r="A384" s="1313" t="s">
        <v>605</v>
      </c>
      <c r="B384" s="1312"/>
      <c r="C384" s="1312"/>
      <c r="D384" s="1312"/>
      <c r="E384" s="1312"/>
      <c r="F384" s="1312"/>
      <c r="G384" s="1312"/>
      <c r="H384" s="1312"/>
    </row>
    <row r="385" spans="1:8">
      <c r="A385" s="1313" t="s">
        <v>606</v>
      </c>
      <c r="B385" s="1312"/>
      <c r="C385" s="1312"/>
      <c r="D385" s="1312"/>
      <c r="E385" s="1312"/>
      <c r="F385" s="1312"/>
      <c r="G385" s="1312"/>
      <c r="H385" s="1312"/>
    </row>
    <row r="386" spans="1:8">
      <c r="A386" s="1313" t="s">
        <v>607</v>
      </c>
      <c r="B386" s="1312"/>
      <c r="C386" s="1312"/>
      <c r="D386" s="1312"/>
      <c r="E386" s="1312"/>
      <c r="F386" s="1312"/>
      <c r="G386" s="1312"/>
      <c r="H386" s="1312"/>
    </row>
    <row r="387" spans="1:8">
      <c r="A387" s="1312"/>
      <c r="B387" s="1312"/>
      <c r="C387" s="1312"/>
      <c r="D387" s="1312"/>
      <c r="E387" s="1312"/>
      <c r="F387" s="1312"/>
      <c r="G387" s="1312"/>
      <c r="H387" s="1312"/>
    </row>
    <row r="388" spans="1:8">
      <c r="A388" s="1313" t="s">
        <v>597</v>
      </c>
      <c r="B388" s="1312"/>
      <c r="C388" s="1312"/>
      <c r="D388" s="1312"/>
      <c r="E388" s="1312"/>
      <c r="F388" s="1312"/>
      <c r="G388" s="1312"/>
      <c r="H388" s="1312"/>
    </row>
    <row r="389" spans="1:8">
      <c r="A389" s="1313" t="s">
        <v>598</v>
      </c>
      <c r="B389" s="1312"/>
      <c r="C389" s="1312"/>
      <c r="D389" s="1312"/>
      <c r="E389" s="1312"/>
      <c r="F389" s="1312"/>
      <c r="G389" s="1312"/>
      <c r="H389" s="1312"/>
    </row>
    <row r="390" spans="1:8">
      <c r="A390" s="1313" t="s">
        <v>599</v>
      </c>
      <c r="B390" s="1312"/>
      <c r="C390" s="1312"/>
      <c r="D390" s="1312"/>
      <c r="E390" s="1312"/>
      <c r="F390" s="1312"/>
      <c r="G390" s="1312"/>
      <c r="H390" s="1312"/>
    </row>
    <row r="391" spans="1:8">
      <c r="A391" s="1313" t="s">
        <v>600</v>
      </c>
      <c r="B391" s="1312"/>
      <c r="C391" s="1312"/>
      <c r="D391" s="1312"/>
      <c r="E391" s="1312"/>
      <c r="F391" s="1312"/>
      <c r="G391" s="1312"/>
      <c r="H391" s="1312"/>
    </row>
    <row r="392" spans="1:8">
      <c r="A392" s="1313" t="s">
        <v>601</v>
      </c>
      <c r="B392" s="1312"/>
      <c r="C392" s="1312"/>
      <c r="D392" s="1312"/>
      <c r="E392" s="1312"/>
      <c r="F392" s="1312"/>
      <c r="G392" s="1312"/>
      <c r="H392" s="1312"/>
    </row>
    <row r="393" spans="1:8">
      <c r="A393" s="1312"/>
      <c r="B393" s="1312"/>
      <c r="C393" s="1312"/>
      <c r="D393" s="1312"/>
      <c r="E393" s="1312"/>
      <c r="F393" s="1312"/>
      <c r="G393" s="1312"/>
      <c r="H393" s="1312"/>
    </row>
    <row r="394" spans="1:8">
      <c r="A394" s="1313" t="s">
        <v>595</v>
      </c>
      <c r="B394" s="1312"/>
      <c r="C394" s="1312"/>
      <c r="D394" s="1312"/>
      <c r="E394" s="1312"/>
      <c r="F394" s="1312"/>
      <c r="G394" s="1312"/>
      <c r="H394" s="1312"/>
    </row>
    <row r="395" spans="1:8">
      <c r="A395" s="1313" t="s">
        <v>596</v>
      </c>
      <c r="B395" s="1312"/>
      <c r="C395" s="1312"/>
      <c r="D395" s="1312"/>
      <c r="E395" s="1312"/>
      <c r="F395" s="1312"/>
      <c r="G395" s="1312"/>
      <c r="H395" s="1312"/>
    </row>
    <row r="397" spans="1:8">
      <c r="A397" s="1308" t="s">
        <v>855</v>
      </c>
    </row>
  </sheetData>
  <mergeCells count="12">
    <mergeCell ref="A120:H120"/>
    <mergeCell ref="A127:H127"/>
    <mergeCell ref="A114:H114"/>
    <mergeCell ref="A115:H115"/>
    <mergeCell ref="A116:H116"/>
    <mergeCell ref="A117:H117"/>
    <mergeCell ref="A119:H119"/>
    <mergeCell ref="A135:H135"/>
    <mergeCell ref="A136:H136"/>
    <mergeCell ref="B128:C128"/>
    <mergeCell ref="D128:F128"/>
    <mergeCell ref="G128:H12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7"/>
    <pageSetUpPr fitToPage="1"/>
  </sheetPr>
  <dimension ref="A1:CK121"/>
  <sheetViews>
    <sheetView topLeftCell="A4" zoomScale="85" zoomScaleNormal="85" workbookViewId="0">
      <pane xSplit="2" ySplit="4" topLeftCell="AZ8" activePane="bottomRight" state="frozen"/>
      <selection activeCell="BI53" sqref="BI53"/>
      <selection pane="topRight" activeCell="BI53" sqref="BI53"/>
      <selection pane="bottomLeft" activeCell="BI53" sqref="BI53"/>
      <selection pane="bottomRight" activeCell="B4" sqref="B4"/>
    </sheetView>
  </sheetViews>
  <sheetFormatPr defaultRowHeight="14.25" customHeight="1" outlineLevelRow="1" outlineLevelCol="1"/>
  <cols>
    <col min="1" max="1" width="1.7109375" customWidth="1"/>
    <col min="2" max="2" width="44.5703125" style="259" customWidth="1"/>
    <col min="3" max="3" width="0.7109375" hidden="1" customWidth="1" outlineLevel="1"/>
    <col min="4" max="27" width="11.42578125" hidden="1" customWidth="1" outlineLevel="1"/>
    <col min="28" max="28" width="11.42578125" hidden="1" customWidth="1" outlineLevel="1" collapsed="1"/>
    <col min="29" max="31" width="11.42578125" hidden="1" customWidth="1" outlineLevel="1"/>
    <col min="32" max="32" width="11.85546875" hidden="1" customWidth="1" outlineLevel="1" collapsed="1"/>
    <col min="33" max="35" width="11.42578125" hidden="1" customWidth="1" outlineLevel="1"/>
    <col min="36" max="36" width="10.140625" hidden="1" customWidth="1" outlineLevel="1" collapsed="1"/>
    <col min="37" max="43" width="10.140625" hidden="1" customWidth="1" outlineLevel="1"/>
    <col min="44" max="44" width="10.140625" hidden="1" customWidth="1" outlineLevel="1" collapsed="1"/>
    <col min="45" max="45" width="10.140625" style="688" hidden="1" customWidth="1" outlineLevel="1"/>
    <col min="46" max="46" width="10.140625" style="693" hidden="1" customWidth="1" outlineLevel="1"/>
    <col min="47" max="47" width="10.140625" style="701" hidden="1" customWidth="1" outlineLevel="1"/>
    <col min="48" max="48" width="10.7109375" style="706" hidden="1" customWidth="1" outlineLevel="1"/>
    <col min="49" max="49" width="10.140625" style="988" hidden="1" customWidth="1" outlineLevel="1"/>
    <col min="50" max="50" width="10.28515625" hidden="1" customWidth="1" outlineLevel="1"/>
    <col min="51" max="51" width="11" hidden="1" customWidth="1" outlineLevel="1"/>
    <col min="52" max="52" width="11" style="974" customWidth="1" collapsed="1"/>
    <col min="53" max="53" width="10.28515625" style="552" customWidth="1"/>
    <col min="54" max="54" width="10.28515625" style="974" customWidth="1"/>
    <col min="55" max="55" width="11" style="974" customWidth="1"/>
    <col min="56" max="59" width="11" style="1060" customWidth="1"/>
    <col min="60" max="63" width="11" style="1167" customWidth="1"/>
    <col min="64" max="64" width="2.7109375" customWidth="1"/>
    <col min="65" max="69" width="11.42578125" hidden="1" customWidth="1" outlineLevel="1"/>
    <col min="70" max="70" width="11.42578125" style="1180" hidden="1" customWidth="1" outlineLevel="1"/>
    <col min="71" max="71" width="11.42578125" hidden="1" customWidth="1" outlineLevel="1" collapsed="1"/>
    <col min="72" max="72" width="11.42578125" hidden="1" customWidth="1" outlineLevel="1"/>
    <col min="73" max="73" width="11.42578125" style="1180" hidden="1" customWidth="1" outlineLevel="1"/>
    <col min="74" max="75" width="11.140625" hidden="1" customWidth="1" outlineLevel="1"/>
    <col min="76" max="76" width="12.140625" style="698" hidden="1" customWidth="1" outlineLevel="1"/>
    <col min="77" max="77" width="11.42578125" customWidth="1" collapsed="1"/>
    <col min="78" max="78" width="11.42578125" style="1170" customWidth="1"/>
    <col min="79" max="79" width="11.42578125" style="1179" customWidth="1"/>
    <col min="80" max="80" width="11.42578125" style="1179" hidden="1" customWidth="1" outlineLevel="1"/>
    <col min="81" max="81" width="11.42578125" style="260" customWidth="1" collapsed="1"/>
    <col min="82" max="83" width="11.42578125" style="260" customWidth="1"/>
    <col min="84" max="84" width="29.42578125" customWidth="1"/>
  </cols>
  <sheetData>
    <row r="1" spans="1:89" ht="67.5" customHeight="1">
      <c r="A1" s="1"/>
      <c r="B1" s="2"/>
      <c r="C1" s="1"/>
      <c r="D1" s="3"/>
      <c r="E1" s="1"/>
      <c r="F1" s="3"/>
      <c r="G1" s="1"/>
      <c r="H1" s="3"/>
      <c r="I1" s="1"/>
      <c r="J1" s="3"/>
      <c r="K1" s="1"/>
      <c r="L1" s="3"/>
      <c r="M1" s="1"/>
      <c r="N1" s="3"/>
      <c r="O1" s="1"/>
      <c r="P1" s="3"/>
      <c r="Q1" s="1"/>
      <c r="R1" s="3"/>
      <c r="S1" s="1"/>
      <c r="T1" s="3"/>
      <c r="U1" s="1"/>
      <c r="V1" s="3"/>
      <c r="W1" s="1"/>
      <c r="X1" s="3"/>
      <c r="Y1" s="1"/>
      <c r="Z1" s="3"/>
      <c r="AA1" s="1"/>
      <c r="AB1" s="3"/>
      <c r="AC1" s="1"/>
      <c r="AD1" s="3"/>
      <c r="AE1" s="1"/>
      <c r="AF1" s="3"/>
      <c r="AG1" s="1"/>
      <c r="AH1" s="3"/>
      <c r="AI1" s="1"/>
      <c r="AJ1" s="3"/>
      <c r="AK1" s="1"/>
      <c r="AL1" s="3"/>
      <c r="AM1" s="1"/>
      <c r="AN1" s="3"/>
      <c r="AO1" s="1"/>
      <c r="AP1" s="1"/>
      <c r="AQ1" s="1"/>
      <c r="AR1" s="3"/>
      <c r="AS1" s="1"/>
      <c r="AT1" s="1"/>
      <c r="AU1" s="1"/>
      <c r="AV1" s="3"/>
      <c r="AW1" s="1"/>
      <c r="AX1" s="3"/>
      <c r="AY1" s="1"/>
      <c r="AZ1" s="1"/>
      <c r="BA1" s="9"/>
      <c r="BB1" s="3"/>
      <c r="BC1" s="1"/>
      <c r="BD1" s="1"/>
      <c r="BE1" s="1"/>
      <c r="BF1" s="1"/>
      <c r="BG1" s="1"/>
      <c r="BH1" s="1"/>
      <c r="BI1" s="1"/>
      <c r="BJ1" s="1"/>
      <c r="BK1" s="1"/>
      <c r="BL1" s="3"/>
      <c r="BM1" s="3"/>
      <c r="BN1" s="1"/>
      <c r="BO1" s="3"/>
      <c r="BP1" s="1"/>
      <c r="BQ1" s="3"/>
      <c r="BR1" s="3"/>
      <c r="BS1" s="3"/>
      <c r="BT1" s="1"/>
      <c r="BU1" s="1"/>
      <c r="BV1" s="1"/>
      <c r="BW1" s="3"/>
      <c r="BX1" s="3"/>
      <c r="BY1" s="3"/>
      <c r="BZ1" s="3"/>
      <c r="CA1" s="3"/>
      <c r="CB1" s="3"/>
      <c r="CC1" s="4"/>
      <c r="CD1" s="4"/>
      <c r="CE1" s="4"/>
    </row>
    <row r="2" spans="1:89" ht="18" customHeight="1">
      <c r="A2" s="1"/>
      <c r="B2" s="5" t="s">
        <v>0</v>
      </c>
      <c r="C2" s="5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6">
        <f t="shared" ref="AF2:AU2" si="0">AF21-AF18</f>
        <v>4504</v>
      </c>
      <c r="AG2" s="6">
        <f t="shared" si="0"/>
        <v>4805</v>
      </c>
      <c r="AH2" s="6">
        <f t="shared" si="0"/>
        <v>4801</v>
      </c>
      <c r="AI2" s="6">
        <f t="shared" si="0"/>
        <v>5523</v>
      </c>
      <c r="AJ2" s="6">
        <f t="shared" si="0"/>
        <v>5380.5</v>
      </c>
      <c r="AK2" s="6">
        <f t="shared" si="0"/>
        <v>5207.5</v>
      </c>
      <c r="AL2" s="6">
        <f t="shared" si="0"/>
        <v>4935.5</v>
      </c>
      <c r="AM2" s="6">
        <f t="shared" si="0"/>
        <v>5129.5</v>
      </c>
      <c r="AN2" s="6">
        <f t="shared" si="0"/>
        <v>5023</v>
      </c>
      <c r="AO2" s="6">
        <f t="shared" si="0"/>
        <v>4786</v>
      </c>
      <c r="AP2" s="6">
        <f t="shared" si="0"/>
        <v>4968</v>
      </c>
      <c r="AQ2" s="6">
        <f t="shared" si="0"/>
        <v>4972</v>
      </c>
      <c r="AR2" s="6">
        <f t="shared" si="0"/>
        <v>4931</v>
      </c>
      <c r="AS2" s="6">
        <f t="shared" si="0"/>
        <v>4872</v>
      </c>
      <c r="AT2" s="6">
        <f t="shared" si="0"/>
        <v>5278</v>
      </c>
      <c r="AU2" s="6">
        <f t="shared" si="0"/>
        <v>5252</v>
      </c>
      <c r="AV2" s="6"/>
      <c r="AW2" s="6"/>
      <c r="AX2" s="6"/>
      <c r="AY2" s="6"/>
      <c r="AZ2" s="6"/>
      <c r="BA2" s="977"/>
      <c r="BB2" s="6"/>
      <c r="BC2" s="6"/>
      <c r="BD2" s="6"/>
      <c r="BE2" s="6"/>
      <c r="BF2" s="6"/>
      <c r="BG2" s="6"/>
      <c r="BH2" s="6"/>
      <c r="BI2" s="6"/>
      <c r="BJ2" s="6"/>
      <c r="BK2" s="6"/>
      <c r="BL2" s="1"/>
      <c r="BM2" s="1"/>
      <c r="BN2" s="1"/>
      <c r="BO2" s="1"/>
      <c r="BP2" s="1"/>
      <c r="BQ2" s="1"/>
      <c r="BR2" s="1"/>
      <c r="BS2" s="8"/>
      <c r="BT2" s="8"/>
      <c r="BU2" s="8"/>
      <c r="BV2" s="8"/>
      <c r="BW2" s="8"/>
      <c r="BX2" s="8"/>
      <c r="BY2" s="8"/>
      <c r="BZ2" s="8"/>
      <c r="CA2" s="8"/>
      <c r="CB2" s="1200"/>
      <c r="CC2" s="9"/>
      <c r="CD2" s="9"/>
      <c r="CE2" s="9"/>
    </row>
    <row r="3" spans="1:89" ht="14.25" customHeight="1">
      <c r="A3" s="1"/>
      <c r="B3" s="10" t="s">
        <v>1</v>
      </c>
      <c r="C3" s="1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1"/>
      <c r="AF3" s="11"/>
      <c r="AG3" s="11"/>
      <c r="AH3" s="12"/>
      <c r="AI3" s="12"/>
      <c r="AJ3" s="12"/>
      <c r="AK3" s="12"/>
      <c r="AL3" s="12"/>
      <c r="AM3" s="12"/>
      <c r="AN3" s="12">
        <f>AVERAGE(AF2:AN2)</f>
        <v>5034.333333333333</v>
      </c>
      <c r="AO3" s="12"/>
      <c r="AP3" s="12"/>
      <c r="AQ3" s="12"/>
      <c r="AR3" s="12">
        <f>AR2/AQ2-1</f>
        <v>-8.2461786001608584E-3</v>
      </c>
      <c r="AS3" s="12">
        <f>AS2/AR2-1</f>
        <v>-1.1965118637193295E-2</v>
      </c>
      <c r="AT3" s="12"/>
      <c r="AU3" s="12"/>
      <c r="AV3" s="12"/>
      <c r="AW3" s="12"/>
      <c r="AX3" s="11"/>
      <c r="AY3" s="11"/>
      <c r="AZ3" s="11"/>
      <c r="BA3" s="977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"/>
      <c r="BM3" s="1"/>
      <c r="BN3" s="1"/>
      <c r="BO3" s="1"/>
      <c r="BP3" s="1"/>
      <c r="BQ3" s="1"/>
      <c r="BR3" s="1"/>
      <c r="BS3" s="1"/>
      <c r="BT3" s="1"/>
      <c r="BU3" s="1"/>
      <c r="BV3" t="s">
        <v>2</v>
      </c>
      <c r="BW3" s="1" t="s">
        <v>2</v>
      </c>
      <c r="BX3" s="1"/>
      <c r="BY3" s="1"/>
      <c r="BZ3" s="1"/>
      <c r="CA3" s="1"/>
      <c r="CB3" s="14" t="s">
        <v>2</v>
      </c>
      <c r="CC3" s="9"/>
      <c r="CD3" s="9"/>
      <c r="CE3" s="9"/>
    </row>
    <row r="4" spans="1:89" ht="14.25" customHeight="1">
      <c r="A4" s="1"/>
      <c r="B4" s="10"/>
      <c r="C4" s="1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689"/>
      <c r="AD4" s="689"/>
      <c r="AE4" s="689"/>
      <c r="AF4" s="689"/>
      <c r="AG4" s="689"/>
      <c r="AH4" s="689"/>
      <c r="AI4" s="689"/>
      <c r="AJ4" s="689"/>
      <c r="AK4" s="689"/>
      <c r="AL4" s="696"/>
      <c r="AM4" s="696"/>
      <c r="AN4" s="696"/>
      <c r="AO4" s="696"/>
      <c r="AP4" s="696"/>
      <c r="AQ4" s="696"/>
      <c r="AR4" s="696"/>
      <c r="AS4" s="696"/>
      <c r="AT4" s="696"/>
      <c r="AU4" s="696"/>
      <c r="AV4" s="696"/>
      <c r="AW4" s="696"/>
      <c r="AX4" s="570"/>
      <c r="AY4" s="570"/>
      <c r="AZ4" s="570"/>
      <c r="BA4" s="978"/>
      <c r="BB4" s="696"/>
      <c r="BC4" s="696"/>
      <c r="BD4" s="696"/>
      <c r="BE4" s="696"/>
      <c r="BF4" s="696"/>
      <c r="BG4" s="696"/>
      <c r="BH4" s="696"/>
      <c r="BI4" s="696"/>
      <c r="BJ4" s="696"/>
      <c r="BK4" s="696"/>
      <c r="BL4" s="1"/>
      <c r="BM4" s="1"/>
      <c r="BN4" s="1"/>
      <c r="BO4" s="1"/>
      <c r="BP4" s="1"/>
      <c r="BQ4" s="1"/>
      <c r="BR4" s="1"/>
      <c r="BS4" s="1"/>
      <c r="BT4" s="695"/>
      <c r="BU4" s="695"/>
      <c r="BV4" s="16"/>
      <c r="BW4" s="16"/>
      <c r="BX4" s="555"/>
      <c r="BY4" s="1"/>
      <c r="BZ4" s="1"/>
      <c r="CA4" s="1"/>
      <c r="CB4" s="14" t="s">
        <v>2</v>
      </c>
      <c r="CC4" s="9"/>
      <c r="CD4" s="9"/>
      <c r="CE4" s="9"/>
    </row>
    <row r="5" spans="1:89" ht="14.25" customHeight="1">
      <c r="A5" s="18"/>
      <c r="B5" s="19" t="s">
        <v>3</v>
      </c>
      <c r="C5" s="20"/>
      <c r="D5" s="21" t="s">
        <v>4</v>
      </c>
      <c r="E5" s="22" t="s">
        <v>5</v>
      </c>
      <c r="F5" s="22" t="s">
        <v>6</v>
      </c>
      <c r="G5" s="23" t="s">
        <v>7</v>
      </c>
      <c r="H5" s="21" t="s">
        <v>8</v>
      </c>
      <c r="I5" s="22" t="s">
        <v>9</v>
      </c>
      <c r="J5" s="22" t="s">
        <v>10</v>
      </c>
      <c r="K5" s="23" t="s">
        <v>11</v>
      </c>
      <c r="L5" s="21" t="s">
        <v>12</v>
      </c>
      <c r="M5" s="22" t="s">
        <v>13</v>
      </c>
      <c r="N5" s="22" t="s">
        <v>14</v>
      </c>
      <c r="O5" s="23" t="s">
        <v>15</v>
      </c>
      <c r="P5" s="21" t="s">
        <v>16</v>
      </c>
      <c r="Q5" s="22" t="s">
        <v>17</v>
      </c>
      <c r="R5" s="22" t="s">
        <v>18</v>
      </c>
      <c r="S5" s="23" t="s">
        <v>19</v>
      </c>
      <c r="T5" s="21" t="s">
        <v>20</v>
      </c>
      <c r="U5" s="22" t="s">
        <v>21</v>
      </c>
      <c r="V5" s="22" t="s">
        <v>22</v>
      </c>
      <c r="W5" s="23" t="s">
        <v>23</v>
      </c>
      <c r="X5" s="21" t="s">
        <v>24</v>
      </c>
      <c r="Y5" s="22" t="s">
        <v>25</v>
      </c>
      <c r="Z5" s="22" t="s">
        <v>26</v>
      </c>
      <c r="AA5" s="23" t="s">
        <v>27</v>
      </c>
      <c r="AB5" s="21" t="s">
        <v>28</v>
      </c>
      <c r="AC5" s="22" t="s">
        <v>29</v>
      </c>
      <c r="AD5" s="22" t="s">
        <v>30</v>
      </c>
      <c r="AE5" s="23" t="s">
        <v>31</v>
      </c>
      <c r="AF5" s="21" t="s">
        <v>32</v>
      </c>
      <c r="AG5" s="22" t="s">
        <v>33</v>
      </c>
      <c r="AH5" s="22" t="s">
        <v>34</v>
      </c>
      <c r="AI5" s="23" t="s">
        <v>35</v>
      </c>
      <c r="AJ5" s="21" t="s">
        <v>36</v>
      </c>
      <c r="AK5" s="22" t="s">
        <v>37</v>
      </c>
      <c r="AL5" s="22" t="s">
        <v>38</v>
      </c>
      <c r="AM5" s="23" t="s">
        <v>39</v>
      </c>
      <c r="AN5" s="21" t="s">
        <v>40</v>
      </c>
      <c r="AO5" s="22" t="s">
        <v>41</v>
      </c>
      <c r="AP5" s="22" t="s">
        <v>42</v>
      </c>
      <c r="AQ5" s="23" t="s">
        <v>363</v>
      </c>
      <c r="AR5" s="21" t="s">
        <v>364</v>
      </c>
      <c r="AS5" s="22" t="s">
        <v>365</v>
      </c>
      <c r="AT5" s="22" t="s">
        <v>366</v>
      </c>
      <c r="AU5" s="23" t="s">
        <v>374</v>
      </c>
      <c r="AV5" s="21" t="s">
        <v>382</v>
      </c>
      <c r="AW5" s="22" t="s">
        <v>505</v>
      </c>
      <c r="AX5" s="22" t="s">
        <v>341</v>
      </c>
      <c r="AY5" s="22" t="s">
        <v>342</v>
      </c>
      <c r="AZ5" s="21" t="s">
        <v>522</v>
      </c>
      <c r="BA5" s="22" t="s">
        <v>525</v>
      </c>
      <c r="BB5" s="22" t="s">
        <v>540</v>
      </c>
      <c r="BC5" s="22" t="s">
        <v>544</v>
      </c>
      <c r="BD5" s="21" t="s">
        <v>551</v>
      </c>
      <c r="BE5" s="22" t="s">
        <v>514</v>
      </c>
      <c r="BF5" s="22" t="s">
        <v>515</v>
      </c>
      <c r="BG5" s="23" t="s">
        <v>516</v>
      </c>
      <c r="BH5" s="21" t="s">
        <v>528</v>
      </c>
      <c r="BI5" s="22" t="s">
        <v>529</v>
      </c>
      <c r="BJ5" s="22" t="s">
        <v>530</v>
      </c>
      <c r="BK5" s="23" t="s">
        <v>531</v>
      </c>
      <c r="BL5" s="18"/>
      <c r="BM5" s="18"/>
      <c r="BN5" s="18"/>
      <c r="BO5" s="18"/>
      <c r="BP5" s="18"/>
      <c r="BQ5" s="18"/>
      <c r="BR5" s="18"/>
      <c r="BS5" s="25"/>
      <c r="BT5" s="699"/>
      <c r="BU5" s="699"/>
      <c r="BV5" t="s">
        <v>2</v>
      </c>
      <c r="BW5" s="627"/>
      <c r="BX5" s="1006"/>
      <c r="BY5" s="1005"/>
      <c r="BZ5" s="1005"/>
      <c r="CA5" s="1005"/>
      <c r="CB5" s="697"/>
      <c r="CC5" s="26"/>
      <c r="CD5" s="26"/>
      <c r="CE5" s="26"/>
    </row>
    <row r="6" spans="1:89" ht="14.25" customHeight="1">
      <c r="A6" s="18"/>
      <c r="B6" s="27" t="s">
        <v>43</v>
      </c>
      <c r="C6" s="28"/>
      <c r="D6" s="29">
        <v>38442</v>
      </c>
      <c r="E6" s="30">
        <v>38533</v>
      </c>
      <c r="F6" s="30">
        <v>38625</v>
      </c>
      <c r="G6" s="31">
        <v>38717</v>
      </c>
      <c r="H6" s="30">
        <v>38807</v>
      </c>
      <c r="I6" s="30">
        <v>38898</v>
      </c>
      <c r="J6" s="30">
        <v>38990</v>
      </c>
      <c r="K6" s="31">
        <v>39082</v>
      </c>
      <c r="L6" s="30">
        <v>39172</v>
      </c>
      <c r="M6" s="30">
        <v>39263</v>
      </c>
      <c r="N6" s="30">
        <v>39355</v>
      </c>
      <c r="O6" s="31">
        <v>39447</v>
      </c>
      <c r="P6" s="30">
        <v>39538</v>
      </c>
      <c r="Q6" s="30">
        <v>39629</v>
      </c>
      <c r="R6" s="30">
        <v>39721</v>
      </c>
      <c r="S6" s="31">
        <v>39813</v>
      </c>
      <c r="T6" s="30">
        <v>39903</v>
      </c>
      <c r="U6" s="30">
        <v>39994</v>
      </c>
      <c r="V6" s="30">
        <v>40086</v>
      </c>
      <c r="W6" s="31">
        <v>40178</v>
      </c>
      <c r="X6" s="30">
        <v>40268</v>
      </c>
      <c r="Y6" s="30">
        <v>40359</v>
      </c>
      <c r="Z6" s="30">
        <v>40451</v>
      </c>
      <c r="AA6" s="31">
        <v>40543</v>
      </c>
      <c r="AB6" s="30">
        <v>40633</v>
      </c>
      <c r="AC6" s="30">
        <v>40724</v>
      </c>
      <c r="AD6" s="30">
        <v>40816</v>
      </c>
      <c r="AE6" s="31">
        <v>40908</v>
      </c>
      <c r="AF6" s="32">
        <v>40999</v>
      </c>
      <c r="AG6" s="30">
        <v>41090</v>
      </c>
      <c r="AH6" s="30">
        <v>41182</v>
      </c>
      <c r="AI6" s="31">
        <v>41274</v>
      </c>
      <c r="AJ6" s="32">
        <v>41364</v>
      </c>
      <c r="AK6" s="30">
        <v>41455</v>
      </c>
      <c r="AL6" s="30">
        <v>41547</v>
      </c>
      <c r="AM6" s="31">
        <v>41639</v>
      </c>
      <c r="AN6" s="32">
        <v>41729</v>
      </c>
      <c r="AO6" s="30">
        <v>41820</v>
      </c>
      <c r="AP6" s="30">
        <v>41912</v>
      </c>
      <c r="AQ6" s="31">
        <v>42004</v>
      </c>
      <c r="AR6" s="32">
        <v>42094</v>
      </c>
      <c r="AS6" s="30">
        <v>42185</v>
      </c>
      <c r="AT6" s="30">
        <v>42277</v>
      </c>
      <c r="AU6" s="31">
        <v>42369</v>
      </c>
      <c r="AV6" s="32">
        <v>42460</v>
      </c>
      <c r="AW6" s="30">
        <v>42551</v>
      </c>
      <c r="AX6" s="30">
        <v>42643</v>
      </c>
      <c r="AY6" s="30">
        <v>42735</v>
      </c>
      <c r="AZ6" s="32">
        <v>42825</v>
      </c>
      <c r="BA6" s="30">
        <v>42916</v>
      </c>
      <c r="BB6" s="30">
        <v>43008</v>
      </c>
      <c r="BC6" s="30">
        <v>43100</v>
      </c>
      <c r="BD6" s="32">
        <v>43190</v>
      </c>
      <c r="BE6" s="30">
        <v>43281</v>
      </c>
      <c r="BF6" s="30">
        <v>43373</v>
      </c>
      <c r="BG6" s="1095">
        <v>43465</v>
      </c>
      <c r="BH6" s="32">
        <v>43555</v>
      </c>
      <c r="BI6" s="30">
        <v>43646</v>
      </c>
      <c r="BJ6" s="30">
        <v>43738</v>
      </c>
      <c r="BK6" s="1095">
        <v>43830</v>
      </c>
      <c r="BL6" s="18"/>
      <c r="BM6" s="18"/>
      <c r="BT6" s="699"/>
      <c r="BU6" s="699"/>
      <c r="BV6" s="687"/>
      <c r="BW6" s="673"/>
      <c r="BX6" s="673"/>
      <c r="BY6" s="987"/>
      <c r="BZ6" s="987"/>
      <c r="CA6" s="987"/>
      <c r="CB6" s="1201"/>
      <c r="CC6" s="26"/>
      <c r="CD6" s="26"/>
      <c r="CE6" s="26"/>
    </row>
    <row r="7" spans="1:89" ht="14.25" customHeight="1">
      <c r="A7" s="18"/>
      <c r="B7" s="33"/>
      <c r="C7" s="34"/>
      <c r="D7" s="22" t="s">
        <v>44</v>
      </c>
      <c r="E7" s="22" t="s">
        <v>45</v>
      </c>
      <c r="F7" s="22" t="s">
        <v>46</v>
      </c>
      <c r="G7" s="23" t="s">
        <v>47</v>
      </c>
      <c r="H7" s="22" t="s">
        <v>48</v>
      </c>
      <c r="I7" s="22" t="s">
        <v>49</v>
      </c>
      <c r="J7" s="22" t="s">
        <v>50</v>
      </c>
      <c r="K7" s="23" t="s">
        <v>51</v>
      </c>
      <c r="L7" s="22" t="s">
        <v>52</v>
      </c>
      <c r="M7" s="22" t="s">
        <v>53</v>
      </c>
      <c r="N7" s="22" t="s">
        <v>54</v>
      </c>
      <c r="O7" s="23" t="s">
        <v>55</v>
      </c>
      <c r="P7" s="22" t="s">
        <v>56</v>
      </c>
      <c r="Q7" s="22" t="s">
        <v>57</v>
      </c>
      <c r="R7" s="22" t="s">
        <v>58</v>
      </c>
      <c r="S7" s="23" t="s">
        <v>59</v>
      </c>
      <c r="T7" s="22" t="s">
        <v>60</v>
      </c>
      <c r="U7" s="22" t="s">
        <v>61</v>
      </c>
      <c r="V7" s="22" t="s">
        <v>62</v>
      </c>
      <c r="W7" s="23" t="s">
        <v>63</v>
      </c>
      <c r="X7" s="22" t="s">
        <v>64</v>
      </c>
      <c r="Y7" s="22" t="s">
        <v>65</v>
      </c>
      <c r="Z7" s="22" t="s">
        <v>66</v>
      </c>
      <c r="AA7" s="23" t="s">
        <v>67</v>
      </c>
      <c r="AB7" s="22" t="s">
        <v>68</v>
      </c>
      <c r="AC7" s="22" t="s">
        <v>69</v>
      </c>
      <c r="AD7" s="22" t="s">
        <v>70</v>
      </c>
      <c r="AE7" s="23" t="s">
        <v>71</v>
      </c>
      <c r="AF7" s="21" t="s">
        <v>72</v>
      </c>
      <c r="AG7" s="22" t="s">
        <v>73</v>
      </c>
      <c r="AH7" s="22" t="s">
        <v>74</v>
      </c>
      <c r="AI7" s="23" t="s">
        <v>75</v>
      </c>
      <c r="AJ7" s="21" t="s">
        <v>76</v>
      </c>
      <c r="AK7" s="22" t="s">
        <v>77</v>
      </c>
      <c r="AL7" s="22" t="s">
        <v>78</v>
      </c>
      <c r="AM7" s="23" t="s">
        <v>79</v>
      </c>
      <c r="AN7" s="21" t="s">
        <v>80</v>
      </c>
      <c r="AO7" s="22" t="s">
        <v>81</v>
      </c>
      <c r="AP7" s="22" t="s">
        <v>82</v>
      </c>
      <c r="AQ7" s="23" t="s">
        <v>307</v>
      </c>
      <c r="AR7" s="21" t="s">
        <v>358</v>
      </c>
      <c r="AS7" s="22" t="s">
        <v>359</v>
      </c>
      <c r="AT7" s="22" t="s">
        <v>367</v>
      </c>
      <c r="AU7" s="23" t="s">
        <v>375</v>
      </c>
      <c r="AV7" s="21" t="s">
        <v>381</v>
      </c>
      <c r="AW7" s="22" t="s">
        <v>506</v>
      </c>
      <c r="AX7" s="22" t="s">
        <v>511</v>
      </c>
      <c r="AY7" s="22" t="s">
        <v>520</v>
      </c>
      <c r="AZ7" s="343" t="s">
        <v>523</v>
      </c>
      <c r="BA7" s="630" t="s">
        <v>526</v>
      </c>
      <c r="BB7" s="630" t="s">
        <v>541</v>
      </c>
      <c r="BC7" s="630" t="s">
        <v>545</v>
      </c>
      <c r="BD7" s="343" t="s">
        <v>552</v>
      </c>
      <c r="BE7" s="630" t="s">
        <v>286</v>
      </c>
      <c r="BF7" s="630" t="s">
        <v>287</v>
      </c>
      <c r="BG7" s="36" t="s">
        <v>288</v>
      </c>
      <c r="BH7" s="343" t="s">
        <v>532</v>
      </c>
      <c r="BI7" s="630" t="s">
        <v>533</v>
      </c>
      <c r="BJ7" s="630" t="s">
        <v>534</v>
      </c>
      <c r="BK7" s="36" t="s">
        <v>535</v>
      </c>
      <c r="BL7" s="35"/>
      <c r="BM7" s="21" t="s">
        <v>83</v>
      </c>
      <c r="BN7" s="22" t="s">
        <v>84</v>
      </c>
      <c r="BO7" s="22" t="s">
        <v>85</v>
      </c>
      <c r="BP7" s="22" t="s">
        <v>86</v>
      </c>
      <c r="BQ7" s="22" t="s">
        <v>87</v>
      </c>
      <c r="BR7" s="22" t="s">
        <v>88</v>
      </c>
      <c r="BS7" s="22" t="s">
        <v>89</v>
      </c>
      <c r="BT7" s="22" t="s">
        <v>90</v>
      </c>
      <c r="BU7" s="22" t="s">
        <v>91</v>
      </c>
      <c r="BV7" s="22" t="s">
        <v>343</v>
      </c>
      <c r="BW7" s="22" t="s">
        <v>376</v>
      </c>
      <c r="BX7" s="22" t="s">
        <v>521</v>
      </c>
      <c r="BY7" s="22" t="s">
        <v>546</v>
      </c>
      <c r="BZ7" s="22" t="s">
        <v>93</v>
      </c>
      <c r="CA7" s="22" t="s">
        <v>94</v>
      </c>
      <c r="CB7" s="36" t="s">
        <v>543</v>
      </c>
      <c r="CC7" s="37"/>
      <c r="CD7" s="26"/>
      <c r="CE7" s="26"/>
    </row>
    <row r="8" spans="1:89" s="52" customFormat="1" ht="14.25" customHeight="1">
      <c r="A8" s="38"/>
      <c r="B8" s="39" t="s">
        <v>95</v>
      </c>
      <c r="C8" s="40"/>
      <c r="D8" s="41">
        <v>9434</v>
      </c>
      <c r="E8" s="41">
        <v>9231</v>
      </c>
      <c r="F8" s="41">
        <v>9960</v>
      </c>
      <c r="G8" s="42">
        <f>38826-F8-E8-D8</f>
        <v>10201</v>
      </c>
      <c r="H8" s="41">
        <v>8940</v>
      </c>
      <c r="I8" s="41">
        <v>8009</v>
      </c>
      <c r="J8" s="41">
        <v>8739</v>
      </c>
      <c r="K8" s="42">
        <f>35382-J8-I8-H8</f>
        <v>9694</v>
      </c>
      <c r="L8" s="41">
        <v>8852</v>
      </c>
      <c r="M8" s="41">
        <v>8680</v>
      </c>
      <c r="N8" s="41">
        <v>10090</v>
      </c>
      <c r="O8" s="42">
        <f>38334-N8-M8-L8</f>
        <v>10712</v>
      </c>
      <c r="P8" s="41">
        <v>9673</v>
      </c>
      <c r="Q8" s="41">
        <v>9470</v>
      </c>
      <c r="R8" s="41">
        <v>10217</v>
      </c>
      <c r="S8" s="42">
        <f>37586-R8-Q8-P8</f>
        <v>8226</v>
      </c>
      <c r="T8" s="41">
        <v>7145</v>
      </c>
      <c r="U8" s="41">
        <v>8024</v>
      </c>
      <c r="V8" s="41">
        <v>9389</v>
      </c>
      <c r="W8" s="42">
        <f>35127-V8-U8-T8</f>
        <v>10569</v>
      </c>
      <c r="X8" s="41">
        <v>10299</v>
      </c>
      <c r="Y8" s="41">
        <v>10765</v>
      </c>
      <c r="Z8" s="41">
        <v>11102</v>
      </c>
      <c r="AA8" s="42">
        <f>43623-Z8-Y8-X8</f>
        <v>11457</v>
      </c>
      <c r="AB8" s="41">
        <v>12847</v>
      </c>
      <c r="AC8" s="41">
        <v>13032</v>
      </c>
      <c r="AD8" s="41">
        <v>14233</v>
      </c>
      <c r="AE8" s="42">
        <v>13887</v>
      </c>
      <c r="AF8" s="41">
        <v>12906</v>
      </c>
      <c r="AG8" s="41">
        <v>13501</v>
      </c>
      <c r="AH8" s="41">
        <v>13457</v>
      </c>
      <c r="AI8" s="42">
        <v>13477</v>
      </c>
      <c r="AJ8" s="43">
        <v>12580</v>
      </c>
      <c r="AK8" s="44">
        <v>12811</v>
      </c>
      <c r="AL8" s="41">
        <v>13483</v>
      </c>
      <c r="AM8" s="42">
        <v>13834</v>
      </c>
      <c r="AN8" s="43">
        <v>12764</v>
      </c>
      <c r="AO8" s="44">
        <v>13831</v>
      </c>
      <c r="AP8" s="44">
        <v>14554</v>
      </c>
      <c r="AQ8" s="42">
        <v>14721</v>
      </c>
      <c r="AR8" s="43">
        <v>12781</v>
      </c>
      <c r="AS8" s="44">
        <v>13195</v>
      </c>
      <c r="AT8" s="44">
        <v>14465</v>
      </c>
      <c r="AU8" s="42">
        <v>14914</v>
      </c>
      <c r="AV8" s="43">
        <v>13702</v>
      </c>
      <c r="AW8" s="44">
        <v>13533</v>
      </c>
      <c r="AX8" s="44">
        <v>15778</v>
      </c>
      <c r="AY8" s="42">
        <v>16374</v>
      </c>
      <c r="AZ8" s="43">
        <v>14796</v>
      </c>
      <c r="BA8" s="44">
        <v>14763</v>
      </c>
      <c r="BB8" s="44">
        <v>16149</v>
      </c>
      <c r="BC8" s="42">
        <v>17053</v>
      </c>
      <c r="BD8" s="43">
        <v>16066</v>
      </c>
      <c r="BE8" s="46">
        <f>'New Segment Results'!BE76</f>
        <v>16310.410474309041</v>
      </c>
      <c r="BF8" s="46">
        <f>'New Segment Results'!BF76</f>
        <v>17551.727939624008</v>
      </c>
      <c r="BG8" s="45">
        <f>'New Segment Results'!BG76</f>
        <v>17763.765032363321</v>
      </c>
      <c r="BH8" s="1020">
        <f>'New Segment Results'!BH76</f>
        <v>16131.32272051673</v>
      </c>
      <c r="BI8" s="46">
        <f>'New Segment Results'!BI76</f>
        <v>16486.220502257405</v>
      </c>
      <c r="BJ8" s="46">
        <f>'New Segment Results'!BJ76</f>
        <v>17973.1226693797</v>
      </c>
      <c r="BK8" s="45">
        <f>'New Segment Results'!BK76</f>
        <v>18322.919293829244</v>
      </c>
      <c r="BL8" s="47"/>
      <c r="BM8" s="48">
        <f>SUM(D8:G8)</f>
        <v>38826</v>
      </c>
      <c r="BN8" s="49">
        <f>SUM(H8:K8)</f>
        <v>35382</v>
      </c>
      <c r="BO8" s="49">
        <f>SUM(L8:O8)</f>
        <v>38334</v>
      </c>
      <c r="BP8" s="49">
        <f>SUM(P8:S8)</f>
        <v>37586</v>
      </c>
      <c r="BQ8" s="49">
        <f>SUM(T8:W8)</f>
        <v>35127</v>
      </c>
      <c r="BR8" s="49">
        <f>SUM(X8:AA8)</f>
        <v>43623</v>
      </c>
      <c r="BS8" s="49">
        <f>SUM(AB8:AE8)</f>
        <v>53999</v>
      </c>
      <c r="BT8" s="49">
        <f>SUM(AF8:AI8)</f>
        <v>53341</v>
      </c>
      <c r="BU8" s="49">
        <f>SUM(AJ8:AM8)</f>
        <v>52708</v>
      </c>
      <c r="BV8" s="49">
        <f>SUM(AN8:AQ8)</f>
        <v>55870</v>
      </c>
      <c r="BW8" s="49">
        <f>SUM(AR8:AU8)</f>
        <v>55355</v>
      </c>
      <c r="BX8" s="49">
        <f>SUM(AV8:AY8)</f>
        <v>59387</v>
      </c>
      <c r="BY8" s="49">
        <f>SUM(AZ8:BC8)</f>
        <v>62761</v>
      </c>
      <c r="BZ8" s="49">
        <f>SUM(BD8:BG8)</f>
        <v>67691.903446296375</v>
      </c>
      <c r="CA8" s="49">
        <f>SUM(BH8:BK8)</f>
        <v>68913.585185983073</v>
      </c>
      <c r="CB8" s="1191">
        <f>CA8*(1+CB11)</f>
        <v>69602.721037842901</v>
      </c>
      <c r="CC8" s="1224"/>
      <c r="CD8" s="50"/>
      <c r="CE8" s="50"/>
      <c r="CF8"/>
      <c r="CG8"/>
      <c r="CH8"/>
      <c r="CI8"/>
      <c r="CJ8"/>
      <c r="CK8"/>
    </row>
    <row r="9" spans="1:89" s="61" customFormat="1" ht="14.25" hidden="1" customHeight="1" outlineLevel="1">
      <c r="A9" s="53"/>
      <c r="B9" s="54" t="s">
        <v>96</v>
      </c>
      <c r="C9" s="55"/>
      <c r="D9" s="56">
        <v>0</v>
      </c>
      <c r="E9" s="56">
        <v>0</v>
      </c>
      <c r="F9" s="56">
        <v>0</v>
      </c>
      <c r="G9" s="57">
        <v>0</v>
      </c>
      <c r="H9" s="56">
        <v>0</v>
      </c>
      <c r="I9" s="56">
        <v>0</v>
      </c>
      <c r="J9" s="56">
        <v>0</v>
      </c>
      <c r="K9" s="57">
        <v>0</v>
      </c>
      <c r="L9" s="56">
        <v>0</v>
      </c>
      <c r="M9" s="56">
        <v>0</v>
      </c>
      <c r="N9" s="56">
        <v>0</v>
      </c>
      <c r="O9" s="57">
        <v>0</v>
      </c>
      <c r="P9" s="56">
        <v>0</v>
      </c>
      <c r="Q9" s="56">
        <v>0</v>
      </c>
      <c r="R9" s="56">
        <v>0</v>
      </c>
      <c r="S9" s="57">
        <v>0</v>
      </c>
      <c r="T9" s="56">
        <v>0</v>
      </c>
      <c r="U9" s="56">
        <v>0</v>
      </c>
      <c r="V9" s="56">
        <v>0</v>
      </c>
      <c r="W9" s="57">
        <v>0</v>
      </c>
      <c r="X9" s="56">
        <v>0</v>
      </c>
      <c r="Y9" s="56">
        <v>0</v>
      </c>
      <c r="Z9" s="56">
        <v>0</v>
      </c>
      <c r="AA9" s="57">
        <v>0</v>
      </c>
      <c r="AB9" s="56">
        <f>AA9</f>
        <v>0</v>
      </c>
      <c r="AC9" s="56">
        <v>0</v>
      </c>
      <c r="AD9" s="56">
        <v>0</v>
      </c>
      <c r="AE9" s="57">
        <f>AD9</f>
        <v>0</v>
      </c>
      <c r="AF9" s="56"/>
      <c r="AG9" s="58" t="str">
        <f>_xll.ThomsonONEAddinShim.SpreadsheetFormulas.TF($B$3,"TF.es.sales.prevmean(period=2QCY2012,sdate=0d,scale=6)")</f>
        <v xml:space="preserve">                                                      Manual Calculation                                                      </v>
      </c>
      <c r="AH9" s="58" t="str">
        <f>_xll.ThomsonONEAddinShim.SpreadsheetFormulas.TF($B$3,"TF.es.sales.prevmean(period=3QCY2012,sdate=0d,scale=6)")</f>
        <v xml:space="preserve">                                                      Manual Calculation                                                      </v>
      </c>
      <c r="AI9" s="59" t="str">
        <f>_xll.ThomsonONEAddinShim.SpreadsheetFormulas.TF($B$3,"TF.es.sales.prevmean(period=4QCY2012,sdate=0d,scale=6)")</f>
        <v xml:space="preserve">                                                      Manual Calculation                                                      </v>
      </c>
      <c r="AJ9" s="572" t="str">
        <f>_xll.ThomsonONEAddinShim.SpreadsheetFormulas.TF($B$3,"TF.es.sales.prevmean(period=1QCY2013,sdate=0d,scale=6)")</f>
        <v xml:space="preserve">                                                      Manual Calculation                                                      </v>
      </c>
      <c r="AK9" s="573" t="str">
        <f>_xll.ThomsonONEAddinShim.SpreadsheetFormulas.TF($B$3,"TF.es.sales.prevmean(period=2QCY2013,sdate=0d,scale=6)")</f>
        <v xml:space="preserve">                                                      Manual Calculation                                                      </v>
      </c>
      <c r="AL9" s="573" t="str">
        <f>_xll.ThomsonONEAddinShim.SpreadsheetFormulas.TF($B$3,"TF.es.sales.prevmean(period=3QCY2013,sdate=0d,scale=6)")</f>
        <v xml:space="preserve">                                                      Manual Calculation                                                      </v>
      </c>
      <c r="AM9" s="574" t="str">
        <f>_xll.ThomsonONEAddinShim.SpreadsheetFormulas.TF($B$3,"TF.es.sales.prevmean(period=4QCY2014,sdate=0d,scale=6)")</f>
        <v xml:space="preserve">                                                      Manual Calculation                                                      </v>
      </c>
      <c r="AN9" s="572" t="str">
        <f>_xll.ThomsonONEAddinShim.SpreadsheetFormulas.TF($B$3,"TF.es.sales.prevmean(period=1QCY2014,sdate=0d,scale=6)")</f>
        <v xml:space="preserve">                                                      Manual Calculation                                                      </v>
      </c>
      <c r="AO9" s="573" t="str">
        <f>_xll.ThomsonONEAddinShim.SpreadsheetFormulas.TF($B$3,"TF.es.sales.prevmean(period=2QCY2014,sdate=0d,scale=6)")</f>
        <v xml:space="preserve">                                                      Manual Calculation                                                      </v>
      </c>
      <c r="AP9" s="573" t="str">
        <f>_xll.ThomsonONEAddinShim.SpreadsheetFormulas.TF($B$3,"TF.es.sales.prevmean(period=3QCY2014,sdate=0d,scale=6)")</f>
        <v xml:space="preserve">                                                      Manual Calculation                                                      </v>
      </c>
      <c r="AQ9" s="574" t="str">
        <f>_xll.ThomsonONEAddinShim.SpreadsheetFormulas.TF($B$3,"TF.es.sales.prevmean(period=4QCY2014,sdate=0d,scale=6)")</f>
        <v xml:space="preserve">                                                      Manual Calculation                                                      </v>
      </c>
      <c r="AR9" s="572" t="str">
        <f>_xll.ThomsonONEAddinShim.SpreadsheetFormulas.TF($B$3,"TF.es.sales.mean(period=1QCY2015,sdate=0d,scale=6)")</f>
        <v xml:space="preserve">                                                      Manual Calculation                                                      </v>
      </c>
      <c r="AS9" s="573" t="str">
        <f>_xll.ThomsonONEAddinShim.SpreadsheetFormulas.TF($B$3,"TF.es.sales.mean(period=2QCY2015,sdate=0d,scale=6)")</f>
        <v xml:space="preserve">                                                      Manual Calculation                                                      </v>
      </c>
      <c r="AT9" s="573" t="str">
        <f>_xll.ThomsonONEAddinShim.SpreadsheetFormulas.TF($B$3,"TF.es.sales.mean(period=3QCY2015,sdate=0d,scale=6)")</f>
        <v xml:space="preserve">                                                      Manual Calculation                                                      </v>
      </c>
      <c r="AU9" s="574" t="str">
        <f>_xll.ThomsonONEAddinShim.SpreadsheetFormulas.TF($B$3,"TF.es.sales.mean(period=4QCY2015,sdate=0d,scale=6)")</f>
        <v xml:space="preserve">                                                      Manual Calculation                                                      </v>
      </c>
      <c r="AV9" s="572" t="str">
        <f>_xll.ThomsonONEAddinShim.SpreadsheetFormulas.TF($B$3,"TF.es.sales.mean(period=1QCY2016,sdate=0d,scale=6)")</f>
        <v xml:space="preserve">                        Manual Calculation                        </v>
      </c>
      <c r="AW9" s="573" t="str">
        <f>_xll.ThomsonONEAddinShim.SpreadsheetFormulas.TF($B$3,"TF.es.sales.mean(period=2QCY2016,sdate=0d,scale=6)")</f>
        <v xml:space="preserve">                        Manual Calculation                        </v>
      </c>
      <c r="AX9" s="573" t="str">
        <f>_xll.ThomsonONEAddinShim.SpreadsheetFormulas.TF($B$3,"TF.es.sales.mean(period=3QCY2016,sdate=0d,scale=6)")</f>
        <v xml:space="preserve">                     Manual Calculation                     </v>
      </c>
      <c r="AY9" s="574" t="str">
        <f>_xll.ThomsonONEAddinShim.SpreadsheetFormulas.TF($B$3,"TF.es.sales.mean(period=4QCY2016,sdate=0d,scale=6)")</f>
        <v xml:space="preserve">                     Manual Calculation                     </v>
      </c>
      <c r="AZ9" s="572">
        <f>_xll.ThomsonONEAddinShim.SpreadsheetFormulas.TF($B$3,"TF.es.sales.mean(period=1QCY2017,sdate=0d,scale=6)")</f>
        <v>14812</v>
      </c>
      <c r="BA9" s="573">
        <f>_xll.ThomsonONEAddinShim.SpreadsheetFormulas.TF($B$3,"TF.es.sales.mean(period=2QCY2017,sdate=0d,scale=6)")</f>
        <v>14405</v>
      </c>
      <c r="BB9" s="573">
        <f>_xll.ThomsonONEAddinShim.SpreadsheetFormulas.TF($B$3,"TF.es.sales.mean(period=3QCY2017,sdate=0d,scale=6)")</f>
        <v>15727</v>
      </c>
      <c r="BC9" s="574">
        <f>_xll.ThomsonONEAddinShim.SpreadsheetFormulas.TF($B$3,"TF.es.sales.mean(period=4QCY2017,sdate=0d,scale=6)")</f>
        <v>15696</v>
      </c>
      <c r="BD9" s="572">
        <f>_xll.ThomsonONEAddinShim.SpreadsheetFormulas.TF($B$3,"TF.es.sales.mean(period=1QCY2017,sdate=0d,scale=6)")</f>
        <v>14812</v>
      </c>
      <c r="BE9" s="573">
        <f>_xll.ThomsonONEAddinShim.SpreadsheetFormulas.TF($B$3,"TF.es.sales.mean(period=2QCY2017,sdate=0d,scale=6)")</f>
        <v>14405</v>
      </c>
      <c r="BF9" s="573">
        <f>_xll.ThomsonONEAddinShim.SpreadsheetFormulas.TF($B$3,"TF.es.sales.mean(period=3QCY2017,sdate=0d,scale=6)")</f>
        <v>15320</v>
      </c>
      <c r="BG9" s="1096">
        <f>_xll.ThomsonONEAddinShim.SpreadsheetFormulas.TF($B$3,"TF.es.sales.mean(period=4QCY2017,sdate=0d,scale=6)")</f>
        <v>15696</v>
      </c>
      <c r="BH9" s="572" t="str">
        <f>_xll.ThomsonONEAddinShim.SpreadsheetFormulas.TF($B$3,"TF.es.sales.mean(period=1QCY2017,sdate=0d,scale=6)")</f>
        <v xml:space="preserve">                                       Manual Calculation                                       </v>
      </c>
      <c r="BI9" s="573" t="str">
        <f>_xll.ThomsonONEAddinShim.SpreadsheetFormulas.TF($B$3,"TF.es.sales.mean(period=2QCY2017,sdate=0d,scale=6)")</f>
        <v xml:space="preserve">                                       Manual Calculation                                       </v>
      </c>
      <c r="BJ9" s="573" t="str">
        <f>_xll.ThomsonONEAddinShim.SpreadsheetFormulas.TF($B$3,"TF.es.sales.mean(period=3QCY2017,sdate=0d,scale=6)")</f>
        <v xml:space="preserve">                                       Manual Calculation                                       </v>
      </c>
      <c r="BK9" s="1096" t="str">
        <f>_xll.ThomsonONEAddinShim.SpreadsheetFormulas.TF($B$3,"TF.es.sales.mean(period=4QCY2017,sdate=0d,scale=6)")</f>
        <v xml:space="preserve">                                       Manual Calculation                                       </v>
      </c>
      <c r="BL9" s="593"/>
      <c r="BM9" s="58">
        <f>SUM(D9:G9)</f>
        <v>0</v>
      </c>
      <c r="BN9" s="58">
        <f>SUM(H9:K9)</f>
        <v>0</v>
      </c>
      <c r="BO9" s="58">
        <f>SUM(L9:O9)</f>
        <v>0</v>
      </c>
      <c r="BP9" s="58">
        <f>SUM(P9:S9)</f>
        <v>0</v>
      </c>
      <c r="BQ9" s="58">
        <f>SUM(T9:W9)</f>
        <v>0</v>
      </c>
      <c r="BR9" s="58">
        <f>SUM(X9:AA9)</f>
        <v>0</v>
      </c>
      <c r="BS9" s="58">
        <f>SUM(AB9:AE9)</f>
        <v>0</v>
      </c>
      <c r="BT9" s="58"/>
      <c r="BU9" s="58">
        <f>SUM(AJ9:AM9)</f>
        <v>0</v>
      </c>
      <c r="BV9" s="58">
        <f>SUM(AN9:AQ9)</f>
        <v>0</v>
      </c>
      <c r="BW9" s="58">
        <f>SUM(AR9:AU9)</f>
        <v>0</v>
      </c>
      <c r="BX9" s="58">
        <f>SUM(AV9:AY9)</f>
        <v>0</v>
      </c>
      <c r="BY9" s="58">
        <f>SUM(AZ9:BC9)</f>
        <v>60640</v>
      </c>
      <c r="BZ9" s="58">
        <f>SUM(BD9:BG9)</f>
        <v>60233</v>
      </c>
      <c r="CA9" s="58">
        <f>SUM(BH9:BK9)</f>
        <v>0</v>
      </c>
      <c r="CB9" s="1137">
        <f>CA9</f>
        <v>0</v>
      </c>
      <c r="CC9" s="1225"/>
      <c r="CD9" s="60"/>
      <c r="CE9" s="60"/>
      <c r="CF9"/>
      <c r="CG9"/>
      <c r="CH9"/>
      <c r="CI9"/>
      <c r="CJ9"/>
      <c r="CK9"/>
    </row>
    <row r="10" spans="1:89" ht="14.25" customHeight="1" collapsed="1">
      <c r="A10" s="18"/>
      <c r="B10" s="54" t="s">
        <v>97</v>
      </c>
      <c r="C10" s="62"/>
      <c r="D10" s="63"/>
      <c r="E10" s="63">
        <f t="shared" ref="E10:AQ10" si="1">E8/D8-1</f>
        <v>-2.1517913928344234E-2</v>
      </c>
      <c r="F10" s="63">
        <f t="shared" si="1"/>
        <v>7.8973025674358155E-2</v>
      </c>
      <c r="G10" s="64">
        <f t="shared" si="1"/>
        <v>2.4196787148594412E-2</v>
      </c>
      <c r="H10" s="63">
        <f t="shared" si="1"/>
        <v>-0.12361533183021267</v>
      </c>
      <c r="I10" s="63">
        <f t="shared" si="1"/>
        <v>-0.10413870246085011</v>
      </c>
      <c r="J10" s="63">
        <f t="shared" si="1"/>
        <v>9.114745910850286E-2</v>
      </c>
      <c r="K10" s="64">
        <f t="shared" si="1"/>
        <v>0.10928023801350273</v>
      </c>
      <c r="L10" s="63">
        <f t="shared" si="1"/>
        <v>-8.685785021662884E-2</v>
      </c>
      <c r="M10" s="63">
        <f t="shared" si="1"/>
        <v>-1.9430637144148166E-2</v>
      </c>
      <c r="N10" s="63">
        <f t="shared" si="1"/>
        <v>0.1624423963133641</v>
      </c>
      <c r="O10" s="64">
        <f t="shared" si="1"/>
        <v>6.1645193260654096E-2</v>
      </c>
      <c r="P10" s="63">
        <f t="shared" si="1"/>
        <v>-9.6994025392083683E-2</v>
      </c>
      <c r="Q10" s="63">
        <f t="shared" si="1"/>
        <v>-2.0986250387676986E-2</v>
      </c>
      <c r="R10" s="63">
        <f t="shared" si="1"/>
        <v>7.8880675818373769E-2</v>
      </c>
      <c r="S10" s="64">
        <f t="shared" si="1"/>
        <v>-0.19487129294313399</v>
      </c>
      <c r="T10" s="63">
        <f t="shared" si="1"/>
        <v>-0.13141259421346951</v>
      </c>
      <c r="U10" s="63">
        <f t="shared" si="1"/>
        <v>0.12302309307207837</v>
      </c>
      <c r="V10" s="63">
        <f t="shared" si="1"/>
        <v>0.17011465603190423</v>
      </c>
      <c r="W10" s="64">
        <f t="shared" si="1"/>
        <v>0.12567898604750249</v>
      </c>
      <c r="X10" s="63">
        <f t="shared" si="1"/>
        <v>-2.5546409310246987E-2</v>
      </c>
      <c r="Y10" s="63">
        <f t="shared" si="1"/>
        <v>4.5247111370035897E-2</v>
      </c>
      <c r="Z10" s="63">
        <f t="shared" si="1"/>
        <v>3.130515559684155E-2</v>
      </c>
      <c r="AA10" s="64">
        <f t="shared" si="1"/>
        <v>3.1976220500810726E-2</v>
      </c>
      <c r="AB10" s="63">
        <f t="shared" si="1"/>
        <v>0.1213232085188094</v>
      </c>
      <c r="AC10" s="63">
        <f>AC8/AB8-1</f>
        <v>1.4400249085389616E-2</v>
      </c>
      <c r="AD10" s="63">
        <f>AD8/AC8-1</f>
        <v>9.2157765500306965E-2</v>
      </c>
      <c r="AE10" s="64">
        <f t="shared" si="1"/>
        <v>-2.4309702803344324E-2</v>
      </c>
      <c r="AF10" s="63">
        <f t="shared" si="1"/>
        <v>-7.0641607258587147E-2</v>
      </c>
      <c r="AG10" s="63">
        <f t="shared" si="1"/>
        <v>4.6102587943592122E-2</v>
      </c>
      <c r="AH10" s="63">
        <f t="shared" si="1"/>
        <v>-3.2590178505296219E-3</v>
      </c>
      <c r="AI10" s="64">
        <f>AI8/AH8-1</f>
        <v>1.4862153526045141E-3</v>
      </c>
      <c r="AJ10" s="65">
        <f t="shared" si="1"/>
        <v>-6.6557839281739306E-2</v>
      </c>
      <c r="AK10" s="63">
        <f t="shared" si="1"/>
        <v>1.8362480127185998E-2</v>
      </c>
      <c r="AL10" s="63">
        <f t="shared" si="1"/>
        <v>5.2454921551791323E-2</v>
      </c>
      <c r="AM10" s="64">
        <f>AM8/AL8-1</f>
        <v>2.6032782021805145E-2</v>
      </c>
      <c r="AN10" s="65">
        <f t="shared" si="1"/>
        <v>-7.734567008818849E-2</v>
      </c>
      <c r="AO10" s="63">
        <f t="shared" si="1"/>
        <v>8.3594484487621523E-2</v>
      </c>
      <c r="AP10" s="63">
        <f t="shared" si="1"/>
        <v>5.2273877521509693E-2</v>
      </c>
      <c r="AQ10" s="64">
        <f t="shared" si="1"/>
        <v>1.1474508726123434E-2</v>
      </c>
      <c r="AR10" s="65">
        <f t="shared" ref="AR10:BD10" si="2">AR8/AQ8-1</f>
        <v>-0.13178452550777797</v>
      </c>
      <c r="AS10" s="63">
        <f t="shared" si="2"/>
        <v>3.2391831625068424E-2</v>
      </c>
      <c r="AT10" s="63">
        <f t="shared" si="2"/>
        <v>9.6248579007199631E-2</v>
      </c>
      <c r="AU10" s="64">
        <f t="shared" si="2"/>
        <v>3.1040442447286543E-2</v>
      </c>
      <c r="AV10" s="65">
        <f t="shared" si="2"/>
        <v>-8.1265924634571496E-2</v>
      </c>
      <c r="AW10" s="63">
        <f t="shared" si="2"/>
        <v>-1.2333965844402273E-2</v>
      </c>
      <c r="AX10" s="63">
        <f t="shared" si="2"/>
        <v>0.16589078548732727</v>
      </c>
      <c r="AY10" s="64">
        <f t="shared" si="2"/>
        <v>3.7774115857523105E-2</v>
      </c>
      <c r="AZ10" s="65">
        <f t="shared" si="2"/>
        <v>-9.6372297544888186E-2</v>
      </c>
      <c r="BA10" s="63">
        <f t="shared" si="2"/>
        <v>-2.2303325223033132E-3</v>
      </c>
      <c r="BB10" s="63">
        <f t="shared" si="2"/>
        <v>9.3883357041251836E-2</v>
      </c>
      <c r="BC10" s="64">
        <f t="shared" si="2"/>
        <v>5.5978698371416113E-2</v>
      </c>
      <c r="BD10" s="65">
        <f t="shared" si="2"/>
        <v>-5.7878379170820393E-2</v>
      </c>
      <c r="BE10" s="63">
        <f t="shared" ref="BE10" si="3">BE8/BD8-1</f>
        <v>1.5212901425933012E-2</v>
      </c>
      <c r="BF10" s="63">
        <f t="shared" ref="BF10" si="4">BF8/BE8-1</f>
        <v>7.6105838493163658E-2</v>
      </c>
      <c r="BG10" s="1097">
        <f t="shared" ref="BG10" si="5">BG8/BF8-1</f>
        <v>1.2080696183800033E-2</v>
      </c>
      <c r="BH10" s="65">
        <f t="shared" ref="BH10" si="6">BH8/BG8-1</f>
        <v>-9.1897315060883167E-2</v>
      </c>
      <c r="BI10" s="63">
        <f t="shared" ref="BI10" si="7">BI8/BH8-1</f>
        <v>2.200053820070802E-2</v>
      </c>
      <c r="BJ10" s="63">
        <f t="shared" ref="BJ10" si="8">BJ8/BI8-1</f>
        <v>9.0190602929197672E-2</v>
      </c>
      <c r="BK10" s="1097">
        <f t="shared" ref="BK10" si="9">BK8/BJ8-1</f>
        <v>1.9462206478203292E-2</v>
      </c>
      <c r="BL10" s="35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1192"/>
      <c r="CC10" s="37"/>
      <c r="CD10" s="26"/>
      <c r="CE10" s="26"/>
    </row>
    <row r="11" spans="1:89" ht="14.25" customHeight="1">
      <c r="A11" s="18"/>
      <c r="B11" s="54" t="s">
        <v>98</v>
      </c>
      <c r="C11" s="62"/>
      <c r="D11" s="63"/>
      <c r="E11" s="63"/>
      <c r="F11" s="63"/>
      <c r="G11" s="64"/>
      <c r="H11" s="63">
        <f t="shared" ref="H11:W11" si="10">H8/D8-1</f>
        <v>-5.2363790544837863E-2</v>
      </c>
      <c r="I11" s="63">
        <f t="shared" si="10"/>
        <v>-0.1323800238327375</v>
      </c>
      <c r="J11" s="63">
        <f t="shared" si="10"/>
        <v>-0.12259036144578317</v>
      </c>
      <c r="K11" s="64">
        <f t="shared" si="10"/>
        <v>-4.9701009704930854E-2</v>
      </c>
      <c r="L11" s="63">
        <f t="shared" si="10"/>
        <v>-9.8434004474272641E-3</v>
      </c>
      <c r="M11" s="63">
        <f t="shared" si="10"/>
        <v>8.3780746660007566E-2</v>
      </c>
      <c r="N11" s="63">
        <f t="shared" si="10"/>
        <v>0.1545943471793112</v>
      </c>
      <c r="O11" s="64">
        <f t="shared" si="10"/>
        <v>0.1050134103569218</v>
      </c>
      <c r="P11" s="63">
        <f t="shared" si="10"/>
        <v>9.2747401717126143E-2</v>
      </c>
      <c r="Q11" s="63">
        <f t="shared" si="10"/>
        <v>9.1013824884792704E-2</v>
      </c>
      <c r="R11" s="63">
        <f t="shared" si="10"/>
        <v>1.2586719524281476E-2</v>
      </c>
      <c r="S11" s="64">
        <f t="shared" si="10"/>
        <v>-0.23207617625093357</v>
      </c>
      <c r="T11" s="63">
        <f t="shared" si="10"/>
        <v>-0.26134601468003726</v>
      </c>
      <c r="U11" s="63">
        <f t="shared" si="10"/>
        <v>-0.1526927138331573</v>
      </c>
      <c r="V11" s="63">
        <f t="shared" si="10"/>
        <v>-8.1041401585592587E-2</v>
      </c>
      <c r="W11" s="64">
        <f t="shared" si="10"/>
        <v>0.28482859226841728</v>
      </c>
      <c r="X11" s="63">
        <f>X8/T8-1</f>
        <v>0.44142757172848146</v>
      </c>
      <c r="Y11" s="63">
        <f>Y8/U8-1</f>
        <v>0.34160019940179454</v>
      </c>
      <c r="Z11" s="63">
        <f>Z8/V8-1</f>
        <v>0.18244754499946736</v>
      </c>
      <c r="AA11" s="64">
        <f>AA8/W8-1</f>
        <v>8.4019301731478757E-2</v>
      </c>
      <c r="AB11" s="63">
        <f t="shared" ref="AB11:AQ11" si="11">AB8/X8-1</f>
        <v>0.24740266045247106</v>
      </c>
      <c r="AC11" s="63">
        <f>AC8/Y8-1</f>
        <v>0.21058987459359035</v>
      </c>
      <c r="AD11" s="63">
        <f>AD8/Z8-1</f>
        <v>0.28202125743109341</v>
      </c>
      <c r="AE11" s="64">
        <f t="shared" si="11"/>
        <v>0.21209740769835039</v>
      </c>
      <c r="AF11" s="63">
        <f t="shared" si="11"/>
        <v>4.5925118704754908E-3</v>
      </c>
      <c r="AG11" s="63">
        <f t="shared" si="11"/>
        <v>3.5988336402700938E-2</v>
      </c>
      <c r="AH11" s="63">
        <f t="shared" si="11"/>
        <v>-5.4521183165882059E-2</v>
      </c>
      <c r="AI11" s="64">
        <f t="shared" si="11"/>
        <v>-2.9524015266076176E-2</v>
      </c>
      <c r="AJ11" s="65">
        <f t="shared" si="11"/>
        <v>-2.5259569192623621E-2</v>
      </c>
      <c r="AK11" s="63">
        <f t="shared" si="11"/>
        <v>-5.110732538330498E-2</v>
      </c>
      <c r="AL11" s="63">
        <f t="shared" si="11"/>
        <v>1.9320799583859571E-3</v>
      </c>
      <c r="AM11" s="64">
        <f t="shared" si="11"/>
        <v>2.6489574831193963E-2</v>
      </c>
      <c r="AN11" s="65">
        <f t="shared" si="11"/>
        <v>1.4626391096979274E-2</v>
      </c>
      <c r="AO11" s="63">
        <f t="shared" si="11"/>
        <v>7.9619077355397749E-2</v>
      </c>
      <c r="AP11" s="63">
        <f t="shared" si="11"/>
        <v>7.9433360528072372E-2</v>
      </c>
      <c r="AQ11" s="64">
        <f t="shared" si="11"/>
        <v>6.4117391932918988E-2</v>
      </c>
      <c r="AR11" s="65">
        <f t="shared" ref="AR11:BD11" si="12">AR8/AN8-1</f>
        <v>1.3318708868692575E-3</v>
      </c>
      <c r="AS11" s="63">
        <f t="shared" si="12"/>
        <v>-4.5983659894439977E-2</v>
      </c>
      <c r="AT11" s="63">
        <f t="shared" si="12"/>
        <v>-6.1151573450597407E-3</v>
      </c>
      <c r="AU11" s="64">
        <f t="shared" si="12"/>
        <v>1.3110522382990375E-2</v>
      </c>
      <c r="AV11" s="65">
        <f t="shared" si="12"/>
        <v>7.2060089194898591E-2</v>
      </c>
      <c r="AW11" s="63">
        <f t="shared" si="12"/>
        <v>2.5615763546797954E-2</v>
      </c>
      <c r="AX11" s="63">
        <f t="shared" si="12"/>
        <v>9.0770826132042792E-2</v>
      </c>
      <c r="AY11" s="64">
        <f t="shared" si="12"/>
        <v>9.7894595681909724E-2</v>
      </c>
      <c r="AZ11" s="65">
        <f t="shared" si="12"/>
        <v>7.9842358779740108E-2</v>
      </c>
      <c r="BA11" s="63">
        <f t="shared" si="12"/>
        <v>9.0888938151185927E-2</v>
      </c>
      <c r="BB11" s="63">
        <f t="shared" si="12"/>
        <v>2.3513753327417897E-2</v>
      </c>
      <c r="BC11" s="64">
        <f t="shared" si="12"/>
        <v>4.1468181262977799E-2</v>
      </c>
      <c r="BD11" s="65">
        <f t="shared" si="12"/>
        <v>8.5834009191673388E-2</v>
      </c>
      <c r="BE11" s="63">
        <f t="shared" ref="BE11" si="13">BE8/BA8-1</f>
        <v>0.10481680378710578</v>
      </c>
      <c r="BF11" s="63">
        <f t="shared" ref="BF11" si="14">BF8/BB8-1</f>
        <v>8.686159759886114E-2</v>
      </c>
      <c r="BG11" s="1097">
        <f t="shared" ref="BG11" si="15">BG8/BC8-1</f>
        <v>4.1679764989346113E-2</v>
      </c>
      <c r="BH11" s="65">
        <f t="shared" ref="BH11" si="16">BH8/BD8-1</f>
        <v>4.065898202211482E-3</v>
      </c>
      <c r="BI11" s="63">
        <f t="shared" ref="BI11" si="17">BI8/BE8-1</f>
        <v>1.0779006955421888E-2</v>
      </c>
      <c r="BJ11" s="63">
        <f t="shared" ref="BJ11" si="18">BJ8/BF8-1</f>
        <v>2.4008731858495169E-2</v>
      </c>
      <c r="BK11" s="1097">
        <f t="shared" ref="BK11" si="19">BK8/BG8-1</f>
        <v>3.1477238099423932E-2</v>
      </c>
      <c r="BL11" s="35"/>
      <c r="BM11" s="63"/>
      <c r="BN11" s="63">
        <f t="shared" ref="BN11:BW11" si="20">BN8/BM8-1</f>
        <v>-8.8703446144336229E-2</v>
      </c>
      <c r="BO11" s="63">
        <f t="shared" si="20"/>
        <v>8.3432253688316083E-2</v>
      </c>
      <c r="BP11" s="63">
        <f t="shared" si="20"/>
        <v>-1.9512704126884772E-2</v>
      </c>
      <c r="BQ11" s="63">
        <f t="shared" si="20"/>
        <v>-6.5423295908050849E-2</v>
      </c>
      <c r="BR11" s="63">
        <f t="shared" si="20"/>
        <v>0.2418652318729182</v>
      </c>
      <c r="BS11" s="63">
        <f t="shared" si="20"/>
        <v>0.2378561767874745</v>
      </c>
      <c r="BT11" s="63">
        <f t="shared" si="20"/>
        <v>-1.2185410840941491E-2</v>
      </c>
      <c r="BU11" s="63">
        <f t="shared" si="20"/>
        <v>-1.1867044112408798E-2</v>
      </c>
      <c r="BV11" s="63">
        <f t="shared" si="20"/>
        <v>5.9990893223040187E-2</v>
      </c>
      <c r="BW11" s="63">
        <f t="shared" si="20"/>
        <v>-9.2178270986218447E-3</v>
      </c>
      <c r="BX11" s="63">
        <f>BX8/BW8-1</f>
        <v>7.283894860446205E-2</v>
      </c>
      <c r="BY11" s="63">
        <f>BY8/BX8-1</f>
        <v>5.6813780793776525E-2</v>
      </c>
      <c r="BZ11" s="63">
        <f>BZ8/BY8-1</f>
        <v>7.8566362012975732E-2</v>
      </c>
      <c r="CA11" s="63">
        <f>CA8/BZ8-1</f>
        <v>1.804767893188175E-2</v>
      </c>
      <c r="CB11" s="1192">
        <v>0.01</v>
      </c>
      <c r="CC11" s="37"/>
      <c r="CD11" s="26"/>
      <c r="CE11" s="26"/>
    </row>
    <row r="12" spans="1:89" ht="14.25" customHeight="1">
      <c r="A12" s="18"/>
      <c r="B12" s="39"/>
      <c r="C12" s="68"/>
      <c r="D12" s="69"/>
      <c r="E12" s="69"/>
      <c r="F12" s="69"/>
      <c r="G12" s="70"/>
      <c r="H12" s="69"/>
      <c r="I12" s="69"/>
      <c r="J12" s="69"/>
      <c r="K12" s="70"/>
      <c r="L12" s="69"/>
      <c r="M12" s="69"/>
      <c r="N12" s="69"/>
      <c r="O12" s="70"/>
      <c r="P12" s="69"/>
      <c r="Q12" s="69"/>
      <c r="R12" s="69"/>
      <c r="S12" s="70"/>
      <c r="T12" s="69"/>
      <c r="U12" s="69"/>
      <c r="V12" s="69"/>
      <c r="W12" s="70"/>
      <c r="X12" s="69"/>
      <c r="Y12" s="69"/>
      <c r="Z12" s="69"/>
      <c r="AA12" s="70"/>
      <c r="AB12" s="69"/>
      <c r="AC12" s="69"/>
      <c r="AD12" s="69"/>
      <c r="AE12" s="70"/>
      <c r="AF12" s="69"/>
      <c r="AG12" s="69"/>
      <c r="AH12" s="69"/>
      <c r="AI12" s="70"/>
      <c r="AJ12" s="71"/>
      <c r="AK12" s="72"/>
      <c r="AL12" s="69"/>
      <c r="AM12" s="70"/>
      <c r="AN12" s="71"/>
      <c r="AO12" s="72"/>
      <c r="AP12" s="72"/>
      <c r="AQ12" s="70"/>
      <c r="AR12" s="71"/>
      <c r="AS12" s="72"/>
      <c r="AT12" s="72"/>
      <c r="AU12" s="70"/>
      <c r="AV12" s="71"/>
      <c r="AW12" s="72"/>
      <c r="AX12" s="72"/>
      <c r="AY12" s="70"/>
      <c r="AZ12" s="71"/>
      <c r="BA12" s="72"/>
      <c r="BB12" s="72"/>
      <c r="BC12" s="70"/>
      <c r="BD12" s="71"/>
      <c r="BE12" s="72"/>
      <c r="BF12" s="72"/>
      <c r="BG12" s="1098"/>
      <c r="BH12" s="1021"/>
      <c r="BI12" s="72"/>
      <c r="BJ12" s="72"/>
      <c r="BK12" s="1098"/>
      <c r="BL12" s="35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1173"/>
      <c r="CC12" s="37"/>
      <c r="CD12" s="26"/>
      <c r="CE12" s="26"/>
    </row>
    <row r="13" spans="1:89" s="88" customFormat="1" ht="14.25" customHeight="1">
      <c r="A13" s="77"/>
      <c r="B13" s="78" t="s">
        <v>99</v>
      </c>
      <c r="C13" s="79"/>
      <c r="D13" s="80">
        <v>3836</v>
      </c>
      <c r="E13" s="80">
        <v>4028</v>
      </c>
      <c r="F13" s="80">
        <v>4012</v>
      </c>
      <c r="G13" s="81">
        <f>15777-F13-E13-D13</f>
        <v>3901</v>
      </c>
      <c r="H13" s="80">
        <v>3997</v>
      </c>
      <c r="I13" s="80">
        <v>3838</v>
      </c>
      <c r="J13" s="80">
        <v>4445</v>
      </c>
      <c r="K13" s="81">
        <f>17164-J13-I13-H13</f>
        <v>4884</v>
      </c>
      <c r="L13" s="80">
        <v>4420</v>
      </c>
      <c r="M13" s="80">
        <v>4605</v>
      </c>
      <c r="N13" s="80">
        <v>4919</v>
      </c>
      <c r="O13" s="81">
        <f>18430-N13-M13-L13</f>
        <v>4486</v>
      </c>
      <c r="P13" s="80">
        <v>4466</v>
      </c>
      <c r="Q13" s="80">
        <v>4221</v>
      </c>
      <c r="R13" s="80">
        <v>4198</v>
      </c>
      <c r="S13" s="81">
        <f>16742-R13-Q13-P13</f>
        <v>3857</v>
      </c>
      <c r="T13" s="80">
        <v>3907</v>
      </c>
      <c r="U13" s="80">
        <v>3945</v>
      </c>
      <c r="V13" s="80">
        <v>3985</v>
      </c>
      <c r="W13" s="81">
        <f>15566-V13-U13-T13</f>
        <v>3729</v>
      </c>
      <c r="X13" s="80">
        <v>3770</v>
      </c>
      <c r="Y13" s="80">
        <v>3530</v>
      </c>
      <c r="Z13" s="80">
        <v>3781</v>
      </c>
      <c r="AA13" s="81">
        <f>15132-Z13-Y13-X13</f>
        <v>4051</v>
      </c>
      <c r="AB13" s="80">
        <v>4962</v>
      </c>
      <c r="AC13" s="80">
        <v>5130</v>
      </c>
      <c r="AD13" s="80">
        <v>5215</v>
      </c>
      <c r="AE13" s="81">
        <v>4935</v>
      </c>
      <c r="AF13" s="80">
        <v>4641</v>
      </c>
      <c r="AG13" s="80">
        <v>4947</v>
      </c>
      <c r="AH13" s="80">
        <v>4942</v>
      </c>
      <c r="AI13" s="81">
        <v>5660</v>
      </c>
      <c r="AJ13" s="82">
        <v>5514</v>
      </c>
      <c r="AK13" s="80">
        <v>5341</v>
      </c>
      <c r="AL13" s="80">
        <v>5069</v>
      </c>
      <c r="AM13" s="81">
        <v>5263</v>
      </c>
      <c r="AN13" s="82">
        <v>5151</v>
      </c>
      <c r="AO13" s="80">
        <v>4914</v>
      </c>
      <c r="AP13" s="80">
        <v>5096</v>
      </c>
      <c r="AQ13" s="81">
        <v>5100</v>
      </c>
      <c r="AR13" s="82">
        <v>5051</v>
      </c>
      <c r="AS13" s="80">
        <v>4947</v>
      </c>
      <c r="AT13" s="80">
        <v>5354</v>
      </c>
      <c r="AU13" s="81">
        <v>5324</v>
      </c>
      <c r="AV13" s="82">
        <v>5572</v>
      </c>
      <c r="AW13" s="80">
        <v>5560</v>
      </c>
      <c r="AX13" s="80">
        <v>5795</v>
      </c>
      <c r="AY13" s="81">
        <v>6269</v>
      </c>
      <c r="AZ13" s="82">
        <v>5649</v>
      </c>
      <c r="BA13" s="80">
        <v>5665</v>
      </c>
      <c r="BB13" s="80">
        <v>6092</v>
      </c>
      <c r="BC13" s="81">
        <v>6286</v>
      </c>
      <c r="BD13" s="82">
        <v>6335</v>
      </c>
      <c r="BE13" s="575">
        <f t="shared" ref="BE13:BG13" si="21">BE21+BE20+BE19</f>
        <v>6279.508032608981</v>
      </c>
      <c r="BF13" s="575">
        <f t="shared" si="21"/>
        <v>6669.6566170571241</v>
      </c>
      <c r="BG13" s="1099">
        <f t="shared" si="21"/>
        <v>6750.2307122980619</v>
      </c>
      <c r="BH13" s="576">
        <f t="shared" ref="BH13:BK13" si="22">BH21+BH20+BH19</f>
        <v>6129.9026337963569</v>
      </c>
      <c r="BI13" s="575">
        <f t="shared" si="22"/>
        <v>6347.1948933691019</v>
      </c>
      <c r="BJ13" s="575">
        <f t="shared" si="22"/>
        <v>6919.6522277111853</v>
      </c>
      <c r="BK13" s="1099">
        <f t="shared" si="22"/>
        <v>6962.7093316551127</v>
      </c>
      <c r="BL13" s="83"/>
      <c r="BM13" s="84">
        <f>SUM(D13:G13)</f>
        <v>15777</v>
      </c>
      <c r="BN13" s="84">
        <f>SUM(H13:K13)</f>
        <v>17164</v>
      </c>
      <c r="BO13" s="84">
        <f>SUM(L13:O13)</f>
        <v>18430</v>
      </c>
      <c r="BP13" s="84">
        <f>SUM(P13:S13)</f>
        <v>16742</v>
      </c>
      <c r="BQ13" s="84">
        <f>SUM(T13:W13)</f>
        <v>15566</v>
      </c>
      <c r="BR13" s="84">
        <f>SUM(X13:AA13)</f>
        <v>15132</v>
      </c>
      <c r="BS13" s="84">
        <f>SUM(AB13:AE13)</f>
        <v>20242</v>
      </c>
      <c r="BT13" s="84">
        <f>SUM(AF13:AI13)</f>
        <v>20190</v>
      </c>
      <c r="BU13" s="84">
        <f>SUM(AJ13:AM13)</f>
        <v>21187</v>
      </c>
      <c r="BV13" s="84">
        <f>SUM(AN13:AQ13)</f>
        <v>20261</v>
      </c>
      <c r="BW13" s="84">
        <f>SUM(AR13:AU13)</f>
        <v>20676</v>
      </c>
      <c r="BX13" s="84">
        <f>SUM(AV13:AY13)</f>
        <v>23196</v>
      </c>
      <c r="BY13" s="84">
        <f>SUM(AZ13:BC13)</f>
        <v>23692</v>
      </c>
      <c r="BZ13" s="84">
        <f>SUM(BD13:BG13)</f>
        <v>26034.395361964169</v>
      </c>
      <c r="CA13" s="84">
        <f>SUM(BH13:BK13)</f>
        <v>26359.459086531759</v>
      </c>
      <c r="CB13" s="1116">
        <f>CB8*(1-CB24)</f>
        <v>26483.848235321388</v>
      </c>
      <c r="CC13" s="1226"/>
      <c r="CD13" s="87"/>
      <c r="CE13" s="87"/>
      <c r="CF13"/>
      <c r="CG13"/>
      <c r="CH13"/>
      <c r="CI13"/>
      <c r="CJ13"/>
      <c r="CK13"/>
    </row>
    <row r="14" spans="1:89" s="101" customFormat="1" ht="14.25" hidden="1" customHeight="1" outlineLevel="1">
      <c r="A14" s="51"/>
      <c r="B14" s="39"/>
      <c r="C14" s="89"/>
      <c r="D14" s="90"/>
      <c r="E14" s="90"/>
      <c r="F14" s="90"/>
      <c r="G14" s="91"/>
      <c r="H14" s="90"/>
      <c r="I14" s="90"/>
      <c r="J14" s="90"/>
      <c r="K14" s="91"/>
      <c r="L14" s="90"/>
      <c r="M14" s="90"/>
      <c r="N14" s="90"/>
      <c r="O14" s="91"/>
      <c r="P14" s="90"/>
      <c r="Q14" s="90"/>
      <c r="R14" s="90"/>
      <c r="S14" s="91"/>
      <c r="T14" s="90"/>
      <c r="U14" s="90"/>
      <c r="V14" s="90"/>
      <c r="W14" s="91"/>
      <c r="X14" s="90"/>
      <c r="Y14" s="90"/>
      <c r="Z14" s="90"/>
      <c r="AA14" s="91"/>
      <c r="AB14" s="90"/>
      <c r="AC14" s="90"/>
      <c r="AD14" s="90"/>
      <c r="AE14" s="92"/>
      <c r="AF14" s="90"/>
      <c r="AG14" s="90"/>
      <c r="AH14" s="90"/>
      <c r="AI14" s="92"/>
      <c r="AJ14" s="93"/>
      <c r="AK14" s="94"/>
      <c r="AL14" s="94"/>
      <c r="AM14" s="92"/>
      <c r="AN14" s="93"/>
      <c r="AO14" s="94"/>
      <c r="AP14" s="94"/>
      <c r="AQ14" s="92"/>
      <c r="AR14" s="93"/>
      <c r="AS14" s="94"/>
      <c r="AT14" s="94"/>
      <c r="AU14" s="92"/>
      <c r="AV14" s="93"/>
      <c r="AW14" s="94"/>
      <c r="AX14" s="94"/>
      <c r="AY14" s="92"/>
      <c r="AZ14" s="93"/>
      <c r="BA14" s="94"/>
      <c r="BB14" s="94"/>
      <c r="BC14" s="92"/>
      <c r="BD14" s="93"/>
      <c r="BE14" s="94"/>
      <c r="BF14" s="94"/>
      <c r="BG14" s="1100"/>
      <c r="BH14" s="93"/>
      <c r="BI14" s="94"/>
      <c r="BJ14" s="94"/>
      <c r="BK14" s="1100"/>
      <c r="BL14" s="95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1093"/>
      <c r="CC14" s="99"/>
      <c r="CD14" s="100"/>
      <c r="CE14" s="100"/>
      <c r="CF14"/>
      <c r="CG14"/>
      <c r="CH14"/>
      <c r="CI14"/>
      <c r="CJ14"/>
      <c r="CK14"/>
    </row>
    <row r="15" spans="1:89" s="101" customFormat="1" ht="14.25" hidden="1" customHeight="1" outlineLevel="1">
      <c r="A15" s="51"/>
      <c r="B15" s="39"/>
      <c r="C15" s="89"/>
      <c r="D15" s="90"/>
      <c r="E15" s="90"/>
      <c r="F15" s="90"/>
      <c r="G15" s="91"/>
      <c r="H15" s="90"/>
      <c r="I15" s="90"/>
      <c r="J15" s="90"/>
      <c r="K15" s="91"/>
      <c r="L15" s="90"/>
      <c r="M15" s="90"/>
      <c r="N15" s="90"/>
      <c r="O15" s="91"/>
      <c r="P15" s="90"/>
      <c r="Q15" s="90"/>
      <c r="R15" s="90"/>
      <c r="S15" s="91"/>
      <c r="T15" s="90"/>
      <c r="U15" s="90"/>
      <c r="V15" s="90"/>
      <c r="W15" s="91"/>
      <c r="X15" s="90"/>
      <c r="Y15" s="90"/>
      <c r="Z15" s="90"/>
      <c r="AA15" s="91"/>
      <c r="AB15" s="90"/>
      <c r="AC15" s="90"/>
      <c r="AD15" s="90"/>
      <c r="AE15" s="92"/>
      <c r="AF15" s="90"/>
      <c r="AG15" s="90"/>
      <c r="AH15" s="90"/>
      <c r="AI15" s="92"/>
      <c r="AJ15" s="93"/>
      <c r="AK15" s="94"/>
      <c r="AL15" s="94"/>
      <c r="AM15" s="92"/>
      <c r="AN15" s="584"/>
      <c r="AO15" s="583"/>
      <c r="AP15" s="583"/>
      <c r="AQ15" s="92"/>
      <c r="AR15" s="584"/>
      <c r="AS15" s="583"/>
      <c r="AT15" s="583"/>
      <c r="AU15" s="92"/>
      <c r="AV15" s="584"/>
      <c r="AW15" s="583"/>
      <c r="AX15" s="583"/>
      <c r="AY15" s="92"/>
      <c r="AZ15" s="584"/>
      <c r="BA15" s="583"/>
      <c r="BB15" s="583"/>
      <c r="BC15" s="92"/>
      <c r="BD15" s="584"/>
      <c r="BE15" s="583"/>
      <c r="BF15" s="583"/>
      <c r="BG15" s="1101"/>
      <c r="BH15" s="584"/>
      <c r="BI15" s="583"/>
      <c r="BJ15" s="583"/>
      <c r="BK15" s="1101"/>
      <c r="BL15" s="95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6"/>
      <c r="BY15" s="96"/>
      <c r="BZ15" s="96"/>
      <c r="CA15" s="96"/>
      <c r="CB15" s="1093"/>
      <c r="CC15" s="99"/>
      <c r="CD15" s="100"/>
      <c r="CE15" s="100"/>
      <c r="CF15"/>
      <c r="CG15"/>
      <c r="CH15"/>
      <c r="CI15"/>
      <c r="CJ15"/>
      <c r="CK15"/>
    </row>
    <row r="16" spans="1:89" s="101" customFormat="1" ht="14.25" hidden="1" customHeight="1" outlineLevel="1">
      <c r="A16" s="51"/>
      <c r="B16" s="39"/>
      <c r="C16" s="89"/>
      <c r="D16" s="90"/>
      <c r="E16" s="90"/>
      <c r="F16" s="90"/>
      <c r="G16" s="91"/>
      <c r="H16" s="90"/>
      <c r="I16" s="90"/>
      <c r="J16" s="90"/>
      <c r="K16" s="91"/>
      <c r="L16" s="90"/>
      <c r="M16" s="90"/>
      <c r="N16" s="90"/>
      <c r="O16" s="91"/>
      <c r="P16" s="90"/>
      <c r="Q16" s="90"/>
      <c r="R16" s="90"/>
      <c r="S16" s="91"/>
      <c r="T16" s="90"/>
      <c r="U16" s="90"/>
      <c r="V16" s="90"/>
      <c r="W16" s="91"/>
      <c r="X16" s="90"/>
      <c r="Y16" s="90"/>
      <c r="Z16" s="90"/>
      <c r="AA16" s="91"/>
      <c r="AB16" s="90"/>
      <c r="AC16" s="90"/>
      <c r="AD16" s="90"/>
      <c r="AE16" s="92"/>
      <c r="AF16" s="90"/>
      <c r="AG16" s="90"/>
      <c r="AH16" s="90"/>
      <c r="AI16" s="92"/>
      <c r="AJ16" s="93"/>
      <c r="AK16" s="94"/>
      <c r="AL16" s="94"/>
      <c r="AM16" s="92"/>
      <c r="AN16" s="583"/>
      <c r="AO16" s="583"/>
      <c r="AP16" s="583"/>
      <c r="AQ16" s="92"/>
      <c r="AR16" s="583"/>
      <c r="AS16" s="583"/>
      <c r="AT16" s="583"/>
      <c r="AU16" s="92"/>
      <c r="AV16" s="583"/>
      <c r="AW16" s="583"/>
      <c r="AX16" s="583"/>
      <c r="AY16" s="92"/>
      <c r="AZ16" s="583"/>
      <c r="BA16" s="583"/>
      <c r="BB16" s="583"/>
      <c r="BC16" s="92"/>
      <c r="BD16" s="583"/>
      <c r="BE16" s="583"/>
      <c r="BF16" s="583"/>
      <c r="BG16" s="1101"/>
      <c r="BH16" s="584"/>
      <c r="BI16" s="583"/>
      <c r="BJ16" s="583"/>
      <c r="BK16" s="1101"/>
      <c r="BL16" s="95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6"/>
      <c r="BY16" s="96"/>
      <c r="BZ16" s="96"/>
      <c r="CA16" s="96"/>
      <c r="CB16" s="1093"/>
      <c r="CC16" s="99"/>
      <c r="CD16" s="100"/>
      <c r="CE16" s="100"/>
      <c r="CF16"/>
      <c r="CG16"/>
      <c r="CH16"/>
      <c r="CI16"/>
      <c r="CJ16"/>
      <c r="CK16"/>
    </row>
    <row r="17" spans="1:89" s="101" customFormat="1" ht="14.25" hidden="1" customHeight="1" outlineLevel="1">
      <c r="A17" s="51"/>
      <c r="B17" s="39"/>
      <c r="C17" s="89"/>
      <c r="D17" s="90"/>
      <c r="E17" s="90"/>
      <c r="F17" s="90"/>
      <c r="G17" s="91"/>
      <c r="H17" s="90"/>
      <c r="I17" s="90"/>
      <c r="J17" s="90"/>
      <c r="K17" s="91"/>
      <c r="L17" s="90"/>
      <c r="M17" s="90"/>
      <c r="N17" s="90"/>
      <c r="O17" s="91"/>
      <c r="P17" s="90"/>
      <c r="Q17" s="90"/>
      <c r="R17" s="90"/>
      <c r="S17" s="91"/>
      <c r="T17" s="90"/>
      <c r="U17" s="90"/>
      <c r="V17" s="90"/>
      <c r="W17" s="91"/>
      <c r="X17" s="90"/>
      <c r="Y17" s="90"/>
      <c r="Z17" s="90"/>
      <c r="AA17" s="91"/>
      <c r="AB17" s="90"/>
      <c r="AC17" s="90"/>
      <c r="AD17" s="90"/>
      <c r="AE17" s="92"/>
      <c r="AF17" s="90"/>
      <c r="AG17" s="90"/>
      <c r="AH17" s="90"/>
      <c r="AI17" s="92"/>
      <c r="AJ17" s="94"/>
      <c r="AK17" s="94"/>
      <c r="AL17" s="94"/>
      <c r="AM17" s="92"/>
      <c r="AN17" s="583"/>
      <c r="AO17" s="583"/>
      <c r="AP17" s="583"/>
      <c r="AQ17" s="92"/>
      <c r="AR17" s="583"/>
      <c r="AS17" s="583"/>
      <c r="AT17" s="583"/>
      <c r="AU17" s="92"/>
      <c r="AV17" s="583"/>
      <c r="AW17" s="583"/>
      <c r="AX17" s="583"/>
      <c r="AY17" s="92"/>
      <c r="AZ17" s="583"/>
      <c r="BA17" s="583"/>
      <c r="BB17" s="583"/>
      <c r="BC17" s="92"/>
      <c r="BD17" s="583"/>
      <c r="BE17" s="583"/>
      <c r="BF17" s="583"/>
      <c r="BG17" s="1101"/>
      <c r="BH17" s="584"/>
      <c r="BI17" s="583"/>
      <c r="BJ17" s="583"/>
      <c r="BK17" s="1101"/>
      <c r="BL17" s="95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1093"/>
      <c r="CC17" s="99"/>
      <c r="CD17" s="100"/>
      <c r="CE17" s="100"/>
      <c r="CF17"/>
      <c r="CG17"/>
      <c r="CH17"/>
      <c r="CI17"/>
      <c r="CJ17"/>
      <c r="CK17"/>
    </row>
    <row r="18" spans="1:89" s="101" customFormat="1" ht="14.25" hidden="1" customHeight="1" outlineLevel="1">
      <c r="A18" s="51"/>
      <c r="B18" s="39"/>
      <c r="C18" s="89"/>
      <c r="D18" s="90"/>
      <c r="E18" s="90"/>
      <c r="F18" s="90"/>
      <c r="G18" s="91"/>
      <c r="H18" s="90"/>
      <c r="I18" s="90"/>
      <c r="J18" s="90"/>
      <c r="K18" s="91"/>
      <c r="L18" s="90"/>
      <c r="M18" s="90"/>
      <c r="N18" s="90"/>
      <c r="O18" s="91"/>
      <c r="P18" s="90"/>
      <c r="Q18" s="90"/>
      <c r="R18" s="90"/>
      <c r="S18" s="91"/>
      <c r="T18" s="90"/>
      <c r="U18" s="90"/>
      <c r="V18" s="90"/>
      <c r="W18" s="91"/>
      <c r="X18" s="90"/>
      <c r="Y18" s="90"/>
      <c r="Z18" s="90"/>
      <c r="AA18" s="91"/>
      <c r="AB18" s="90"/>
      <c r="AC18" s="90"/>
      <c r="AD18" s="90"/>
      <c r="AE18" s="92"/>
      <c r="AF18" s="90"/>
      <c r="AG18" s="90"/>
      <c r="AH18" s="90"/>
      <c r="AI18" s="92"/>
      <c r="AJ18" s="90"/>
      <c r="AK18" s="90"/>
      <c r="AL18" s="90"/>
      <c r="AM18" s="92"/>
      <c r="AN18" s="90"/>
      <c r="AO18" s="90"/>
      <c r="AP18" s="90"/>
      <c r="AQ18" s="92"/>
      <c r="AR18" s="90"/>
      <c r="AS18" s="90"/>
      <c r="AT18" s="90"/>
      <c r="AU18" s="92"/>
      <c r="AV18" s="90"/>
      <c r="AW18" s="90"/>
      <c r="AX18" s="90"/>
      <c r="AY18" s="92"/>
      <c r="AZ18" s="90"/>
      <c r="BA18" s="90"/>
      <c r="BB18" s="90"/>
      <c r="BC18" s="92"/>
      <c r="BD18" s="90"/>
      <c r="BE18" s="583"/>
      <c r="BF18" s="583"/>
      <c r="BG18" s="1101"/>
      <c r="BH18" s="584"/>
      <c r="BI18" s="583"/>
      <c r="BJ18" s="583"/>
      <c r="BK18" s="1101"/>
      <c r="BL18" s="95"/>
      <c r="BM18" s="96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6"/>
      <c r="CB18" s="1093"/>
      <c r="CC18" s="99"/>
      <c r="CD18" s="100"/>
      <c r="CE18" s="100"/>
      <c r="CF18"/>
      <c r="CG18"/>
      <c r="CH18"/>
      <c r="CI18"/>
      <c r="CJ18"/>
      <c r="CK18"/>
    </row>
    <row r="19" spans="1:89" ht="14.25" hidden="1" customHeight="1" outlineLevel="1">
      <c r="A19" s="18"/>
      <c r="B19" s="102" t="s">
        <v>101</v>
      </c>
      <c r="C19" s="103"/>
      <c r="D19" s="104">
        <v>0</v>
      </c>
      <c r="E19" s="104">
        <v>0</v>
      </c>
      <c r="F19" s="104">
        <v>0</v>
      </c>
      <c r="G19" s="105">
        <v>0</v>
      </c>
      <c r="H19" s="104">
        <v>0</v>
      </c>
      <c r="I19" s="104">
        <v>0</v>
      </c>
      <c r="J19" s="104">
        <v>0</v>
      </c>
      <c r="K19" s="105">
        <v>0</v>
      </c>
      <c r="L19" s="104">
        <v>0</v>
      </c>
      <c r="M19" s="104">
        <v>0</v>
      </c>
      <c r="N19" s="104">
        <v>0</v>
      </c>
      <c r="O19" s="105">
        <v>0</v>
      </c>
      <c r="P19" s="104">
        <v>0</v>
      </c>
      <c r="Q19" s="104">
        <v>0</v>
      </c>
      <c r="R19" s="104">
        <v>0</v>
      </c>
      <c r="S19" s="105">
        <v>0</v>
      </c>
      <c r="T19" s="104">
        <v>0</v>
      </c>
      <c r="U19" s="104">
        <v>0</v>
      </c>
      <c r="V19" s="104">
        <v>0</v>
      </c>
      <c r="W19" s="105">
        <v>0</v>
      </c>
      <c r="X19" s="104">
        <v>16</v>
      </c>
      <c r="Y19" s="104">
        <v>16</v>
      </c>
      <c r="Z19" s="104">
        <v>16</v>
      </c>
      <c r="AA19" s="105">
        <v>17</v>
      </c>
      <c r="AB19" s="104">
        <f>28+74+33</f>
        <v>135</v>
      </c>
      <c r="AC19" s="104">
        <f>75+136</f>
        <v>211</v>
      </c>
      <c r="AD19" s="104">
        <f>55+135</f>
        <v>190</v>
      </c>
      <c r="AE19" s="105">
        <f>32+137</f>
        <v>169</v>
      </c>
      <c r="AF19" s="104">
        <v>137</v>
      </c>
      <c r="AG19" s="104">
        <v>142</v>
      </c>
      <c r="AH19" s="104">
        <v>141</v>
      </c>
      <c r="AI19" s="105">
        <v>137</v>
      </c>
      <c r="AJ19" s="580">
        <v>133.5</v>
      </c>
      <c r="AK19" s="581">
        <v>133.5</v>
      </c>
      <c r="AL19" s="581">
        <v>133.5</v>
      </c>
      <c r="AM19" s="582">
        <v>133.5</v>
      </c>
      <c r="AN19" s="581">
        <v>128</v>
      </c>
      <c r="AO19" s="581">
        <v>128</v>
      </c>
      <c r="AP19" s="581">
        <v>128</v>
      </c>
      <c r="AQ19" s="582">
        <v>128</v>
      </c>
      <c r="AR19" s="581">
        <v>120</v>
      </c>
      <c r="AS19" s="581">
        <v>75</v>
      </c>
      <c r="AT19" s="581">
        <v>76</v>
      </c>
      <c r="AU19" s="582">
        <v>72</v>
      </c>
      <c r="AV19" s="581">
        <v>235</v>
      </c>
      <c r="AW19" s="581">
        <v>235</v>
      </c>
      <c r="AX19" s="581">
        <v>235</v>
      </c>
      <c r="AY19" s="582">
        <v>232</v>
      </c>
      <c r="AZ19" s="581">
        <v>209</v>
      </c>
      <c r="BA19" s="581">
        <v>198</v>
      </c>
      <c r="BB19" s="581">
        <v>243</v>
      </c>
      <c r="BC19" s="582">
        <v>262</v>
      </c>
      <c r="BD19" s="581">
        <v>275</v>
      </c>
      <c r="BE19" s="579">
        <v>0</v>
      </c>
      <c r="BF19" s="579">
        <v>0</v>
      </c>
      <c r="BG19" s="1102">
        <v>0</v>
      </c>
      <c r="BH19" s="1022">
        <v>0</v>
      </c>
      <c r="BI19" s="579">
        <v>0</v>
      </c>
      <c r="BJ19" s="579">
        <v>0</v>
      </c>
      <c r="BK19" s="1102">
        <v>0</v>
      </c>
      <c r="BL19" s="35"/>
      <c r="BM19" s="107">
        <f>SUM(D19:G19)</f>
        <v>0</v>
      </c>
      <c r="BN19" s="107">
        <f>SUM(H19:K19)</f>
        <v>0</v>
      </c>
      <c r="BO19" s="107">
        <f>SUM(L19:O19)</f>
        <v>0</v>
      </c>
      <c r="BP19" s="107">
        <f>SUM(P19:S19)</f>
        <v>0</v>
      </c>
      <c r="BQ19" s="107">
        <f>SUM(T19:W19)</f>
        <v>0</v>
      </c>
      <c r="BR19" s="107">
        <f>SUM(X19:AA19)</f>
        <v>65</v>
      </c>
      <c r="BS19" s="107">
        <f>SUM(AB19:AE19)</f>
        <v>705</v>
      </c>
      <c r="BT19" s="107">
        <f>SUM(AF19:AI19)</f>
        <v>557</v>
      </c>
      <c r="BU19" s="107">
        <f>SUM(AJ19:AM19)</f>
        <v>534</v>
      </c>
      <c r="BV19" s="107">
        <f>SUM(AN19:AQ19)</f>
        <v>512</v>
      </c>
      <c r="BW19" s="107">
        <f>SUM(AR19:AU19)</f>
        <v>343</v>
      </c>
      <c r="BX19" s="107">
        <f>SUM(AV19:AY19)</f>
        <v>937</v>
      </c>
      <c r="BY19" s="107">
        <f>SUM(AZ19:BC19)</f>
        <v>912</v>
      </c>
      <c r="BZ19" s="107">
        <f>SUM(BD19:BG19)</f>
        <v>275</v>
      </c>
      <c r="CA19" s="107">
        <f>SUM(BH19:BK19)</f>
        <v>0</v>
      </c>
      <c r="CB19" s="1094">
        <f>CA19</f>
        <v>0</v>
      </c>
      <c r="CC19" s="172"/>
      <c r="CD19" s="133"/>
      <c r="CE19" s="133"/>
    </row>
    <row r="20" spans="1:89" s="121" customFormat="1" ht="14.25" hidden="1" customHeight="1" outlineLevel="1">
      <c r="A20" s="110"/>
      <c r="B20" s="111" t="s">
        <v>102</v>
      </c>
      <c r="C20" s="112"/>
      <c r="D20" s="113">
        <v>0</v>
      </c>
      <c r="E20" s="113">
        <v>0</v>
      </c>
      <c r="F20" s="113">
        <v>0</v>
      </c>
      <c r="G20" s="114">
        <v>0</v>
      </c>
      <c r="H20" s="113">
        <v>0</v>
      </c>
      <c r="I20" s="113">
        <v>0</v>
      </c>
      <c r="J20" s="113">
        <v>0</v>
      </c>
      <c r="K20" s="114">
        <v>0</v>
      </c>
      <c r="L20" s="113">
        <v>0</v>
      </c>
      <c r="M20" s="113">
        <v>0</v>
      </c>
      <c r="N20" s="113">
        <v>0</v>
      </c>
      <c r="O20" s="114">
        <v>0</v>
      </c>
      <c r="P20" s="113">
        <v>0</v>
      </c>
      <c r="Q20" s="113">
        <v>0</v>
      </c>
      <c r="R20" s="113">
        <v>0</v>
      </c>
      <c r="S20" s="114">
        <v>0</v>
      </c>
      <c r="T20" s="113">
        <v>0</v>
      </c>
      <c r="U20" s="113">
        <v>0</v>
      </c>
      <c r="V20" s="113">
        <v>0</v>
      </c>
      <c r="W20" s="114">
        <v>0</v>
      </c>
      <c r="X20" s="113">
        <v>0</v>
      </c>
      <c r="Y20" s="113">
        <v>0</v>
      </c>
      <c r="Z20" s="113">
        <v>0</v>
      </c>
      <c r="AA20" s="114">
        <v>0</v>
      </c>
      <c r="AB20" s="113">
        <v>0</v>
      </c>
      <c r="AC20" s="113">
        <v>0</v>
      </c>
      <c r="AD20" s="113">
        <v>0</v>
      </c>
      <c r="AE20" s="114">
        <v>0</v>
      </c>
      <c r="AF20" s="113">
        <v>0</v>
      </c>
      <c r="AG20" s="113">
        <v>0</v>
      </c>
      <c r="AH20" s="113">
        <v>0</v>
      </c>
      <c r="AI20" s="114">
        <v>0</v>
      </c>
      <c r="AJ20" s="115">
        <v>0</v>
      </c>
      <c r="AK20" s="113">
        <v>0</v>
      </c>
      <c r="AL20" s="113">
        <v>0</v>
      </c>
      <c r="AM20" s="114">
        <v>0</v>
      </c>
      <c r="AN20" s="115">
        <v>0</v>
      </c>
      <c r="AO20" s="113">
        <v>0</v>
      </c>
      <c r="AP20" s="113"/>
      <c r="AQ20" s="114"/>
      <c r="AR20" s="115"/>
      <c r="AS20" s="113"/>
      <c r="AT20" s="113"/>
      <c r="AU20" s="114"/>
      <c r="AV20" s="115">
        <f>226+64</f>
        <v>290</v>
      </c>
      <c r="AW20" s="113">
        <v>161</v>
      </c>
      <c r="AX20" s="113">
        <v>0</v>
      </c>
      <c r="AY20" s="114"/>
      <c r="AZ20" s="115">
        <v>0</v>
      </c>
      <c r="BA20" s="113">
        <v>0</v>
      </c>
      <c r="BB20" s="113">
        <v>27</v>
      </c>
      <c r="BC20" s="114">
        <v>28</v>
      </c>
      <c r="BD20" s="115">
        <v>0</v>
      </c>
      <c r="BE20" s="113">
        <v>0</v>
      </c>
      <c r="BF20" s="113">
        <v>0</v>
      </c>
      <c r="BG20" s="1103">
        <v>0</v>
      </c>
      <c r="BH20" s="115">
        <v>0</v>
      </c>
      <c r="BI20" s="113">
        <v>0</v>
      </c>
      <c r="BJ20" s="113">
        <v>0</v>
      </c>
      <c r="BK20" s="1103">
        <v>0</v>
      </c>
      <c r="BL20" s="116"/>
      <c r="BM20" s="117">
        <f>SUM(D20:G20)</f>
        <v>0</v>
      </c>
      <c r="BN20" s="117">
        <f>SUM(H20:K20)</f>
        <v>0</v>
      </c>
      <c r="BO20" s="117">
        <f>SUM(L20:O20)</f>
        <v>0</v>
      </c>
      <c r="BP20" s="117">
        <f>SUM(P20:S20)</f>
        <v>0</v>
      </c>
      <c r="BQ20" s="117">
        <f>SUM(T20:W20)</f>
        <v>0</v>
      </c>
      <c r="BR20" s="117">
        <f>SUM(X20:AA20)</f>
        <v>0</v>
      </c>
      <c r="BS20" s="117">
        <f>SUM(AB20:AE20)</f>
        <v>0</v>
      </c>
      <c r="BT20" s="117">
        <f>SUM(AF20:AI20)</f>
        <v>0</v>
      </c>
      <c r="BU20" s="117">
        <f>SUM(AJ20:AM20)</f>
        <v>0</v>
      </c>
      <c r="BV20" s="117">
        <f>SUM(AN20:AQ20)</f>
        <v>0</v>
      </c>
      <c r="BW20" s="595">
        <f>SUM(AR20:AU20)</f>
        <v>0</v>
      </c>
      <c r="BX20" s="595">
        <f>SUM(AV20:AY20)</f>
        <v>451</v>
      </c>
      <c r="BY20" s="117">
        <f>SUM(AZ20:BC20)</f>
        <v>55</v>
      </c>
      <c r="BZ20" s="117">
        <f>SUM(BD20:BG20)</f>
        <v>0</v>
      </c>
      <c r="CA20" s="117">
        <f>SUM(BH20:BK20)</f>
        <v>0</v>
      </c>
      <c r="CB20" s="1103">
        <v>0</v>
      </c>
      <c r="CC20" s="119"/>
      <c r="CD20" s="120"/>
      <c r="CE20" s="120"/>
      <c r="CF20"/>
      <c r="CG20"/>
      <c r="CH20"/>
      <c r="CI20"/>
      <c r="CJ20"/>
      <c r="CK20"/>
    </row>
    <row r="21" spans="1:89" ht="14.25" hidden="1" customHeight="1" outlineLevel="1">
      <c r="A21" s="18"/>
      <c r="B21" s="39" t="s">
        <v>103</v>
      </c>
      <c r="C21" s="68"/>
      <c r="D21" s="107">
        <f t="shared" ref="D21:AW21" si="23">D13-D19-D20</f>
        <v>3836</v>
      </c>
      <c r="E21" s="107">
        <f t="shared" si="23"/>
        <v>4028</v>
      </c>
      <c r="F21" s="107">
        <f t="shared" si="23"/>
        <v>4012</v>
      </c>
      <c r="G21" s="109">
        <f t="shared" si="23"/>
        <v>3901</v>
      </c>
      <c r="H21" s="107">
        <f t="shared" si="23"/>
        <v>3997</v>
      </c>
      <c r="I21" s="107">
        <f t="shared" si="23"/>
        <v>3838</v>
      </c>
      <c r="J21" s="107">
        <f t="shared" si="23"/>
        <v>4445</v>
      </c>
      <c r="K21" s="109">
        <f t="shared" si="23"/>
        <v>4884</v>
      </c>
      <c r="L21" s="107">
        <f t="shared" si="23"/>
        <v>4420</v>
      </c>
      <c r="M21" s="107">
        <f t="shared" si="23"/>
        <v>4605</v>
      </c>
      <c r="N21" s="107">
        <f t="shared" si="23"/>
        <v>4919</v>
      </c>
      <c r="O21" s="109">
        <f t="shared" si="23"/>
        <v>4486</v>
      </c>
      <c r="P21" s="107">
        <f t="shared" si="23"/>
        <v>4466</v>
      </c>
      <c r="Q21" s="107">
        <f t="shared" si="23"/>
        <v>4221</v>
      </c>
      <c r="R21" s="107">
        <f t="shared" si="23"/>
        <v>4198</v>
      </c>
      <c r="S21" s="109">
        <f t="shared" si="23"/>
        <v>3857</v>
      </c>
      <c r="T21" s="107">
        <f t="shared" si="23"/>
        <v>3907</v>
      </c>
      <c r="U21" s="107">
        <f t="shared" si="23"/>
        <v>3945</v>
      </c>
      <c r="V21" s="107">
        <f t="shared" si="23"/>
        <v>3985</v>
      </c>
      <c r="W21" s="109">
        <f t="shared" si="23"/>
        <v>3729</v>
      </c>
      <c r="X21" s="107">
        <f t="shared" si="23"/>
        <v>3754</v>
      </c>
      <c r="Y21" s="107">
        <f t="shared" si="23"/>
        <v>3514</v>
      </c>
      <c r="Z21" s="107">
        <f t="shared" si="23"/>
        <v>3765</v>
      </c>
      <c r="AA21" s="109">
        <f t="shared" si="23"/>
        <v>4034</v>
      </c>
      <c r="AB21" s="107">
        <f t="shared" si="23"/>
        <v>4827</v>
      </c>
      <c r="AC21" s="107">
        <f t="shared" si="23"/>
        <v>4919</v>
      </c>
      <c r="AD21" s="107">
        <f t="shared" si="23"/>
        <v>5025</v>
      </c>
      <c r="AE21" s="109">
        <f t="shared" si="23"/>
        <v>4766</v>
      </c>
      <c r="AF21" s="107">
        <f t="shared" si="23"/>
        <v>4504</v>
      </c>
      <c r="AG21" s="107">
        <f t="shared" si="23"/>
        <v>4805</v>
      </c>
      <c r="AH21" s="107">
        <f t="shared" si="23"/>
        <v>4801</v>
      </c>
      <c r="AI21" s="109">
        <f t="shared" si="23"/>
        <v>5523</v>
      </c>
      <c r="AJ21" s="108">
        <f t="shared" si="23"/>
        <v>5380.5</v>
      </c>
      <c r="AK21" s="107">
        <f t="shared" si="23"/>
        <v>5207.5</v>
      </c>
      <c r="AL21" s="107">
        <f t="shared" si="23"/>
        <v>4935.5</v>
      </c>
      <c r="AM21" s="109">
        <f t="shared" si="23"/>
        <v>5129.5</v>
      </c>
      <c r="AN21" s="108">
        <f t="shared" si="23"/>
        <v>5023</v>
      </c>
      <c r="AO21" s="107">
        <f t="shared" si="23"/>
        <v>4786</v>
      </c>
      <c r="AP21" s="107">
        <f t="shared" si="23"/>
        <v>4968</v>
      </c>
      <c r="AQ21" s="109">
        <f t="shared" si="23"/>
        <v>4972</v>
      </c>
      <c r="AR21" s="108">
        <f t="shared" si="23"/>
        <v>4931</v>
      </c>
      <c r="AS21" s="107">
        <f t="shared" si="23"/>
        <v>4872</v>
      </c>
      <c r="AT21" s="107">
        <f t="shared" si="23"/>
        <v>5278</v>
      </c>
      <c r="AU21" s="109">
        <f t="shared" si="23"/>
        <v>5252</v>
      </c>
      <c r="AV21" s="108">
        <f t="shared" si="23"/>
        <v>5047</v>
      </c>
      <c r="AW21" s="107">
        <f t="shared" si="23"/>
        <v>5164</v>
      </c>
      <c r="AX21" s="107">
        <f t="shared" ref="AX21:BA21" si="24">AX13-AX19-AX20</f>
        <v>5560</v>
      </c>
      <c r="AY21" s="109">
        <f t="shared" si="24"/>
        <v>6037</v>
      </c>
      <c r="AZ21" s="108">
        <f t="shared" si="24"/>
        <v>5440</v>
      </c>
      <c r="BA21" s="107">
        <f t="shared" si="24"/>
        <v>5467</v>
      </c>
      <c r="BB21" s="107">
        <f t="shared" ref="BB21:BD21" si="25">BB13-BB19-BB20</f>
        <v>5822</v>
      </c>
      <c r="BC21" s="109">
        <f t="shared" si="25"/>
        <v>5996</v>
      </c>
      <c r="BD21" s="108">
        <f t="shared" si="25"/>
        <v>6060</v>
      </c>
      <c r="BE21" s="107">
        <f t="shared" ref="BE21:BG21" si="26">BE8-BE26</f>
        <v>6279.508032608981</v>
      </c>
      <c r="BF21" s="107">
        <f t="shared" si="26"/>
        <v>6669.6566170571241</v>
      </c>
      <c r="BG21" s="1094">
        <f t="shared" si="26"/>
        <v>6750.2307122980619</v>
      </c>
      <c r="BH21" s="108">
        <f t="shared" ref="BH21:BK21" si="27">BH8-BH26</f>
        <v>6129.9026337963569</v>
      </c>
      <c r="BI21" s="107">
        <f t="shared" si="27"/>
        <v>6347.1948933691019</v>
      </c>
      <c r="BJ21" s="107">
        <f t="shared" si="27"/>
        <v>6919.6522277111853</v>
      </c>
      <c r="BK21" s="1094">
        <f t="shared" si="27"/>
        <v>6962.7093316551127</v>
      </c>
      <c r="BL21" s="35"/>
      <c r="BM21" s="107">
        <f t="shared" ref="BM21:BW21" si="28">BM13-BM19</f>
        <v>15777</v>
      </c>
      <c r="BN21" s="107">
        <f t="shared" si="28"/>
        <v>17164</v>
      </c>
      <c r="BO21" s="107">
        <f t="shared" si="28"/>
        <v>18430</v>
      </c>
      <c r="BP21" s="107">
        <f t="shared" si="28"/>
        <v>16742</v>
      </c>
      <c r="BQ21" s="107">
        <f t="shared" si="28"/>
        <v>15566</v>
      </c>
      <c r="BR21" s="107">
        <f t="shared" si="28"/>
        <v>15067</v>
      </c>
      <c r="BS21" s="107">
        <f t="shared" si="28"/>
        <v>19537</v>
      </c>
      <c r="BT21" s="107">
        <f t="shared" si="28"/>
        <v>19633</v>
      </c>
      <c r="BU21" s="107">
        <f t="shared" si="28"/>
        <v>20653</v>
      </c>
      <c r="BV21" s="107">
        <f t="shared" si="28"/>
        <v>19749</v>
      </c>
      <c r="BW21" s="107">
        <f t="shared" si="28"/>
        <v>20333</v>
      </c>
      <c r="BX21" s="107">
        <f t="shared" ref="BX21:BY21" si="29">BX13-BX19-BX20</f>
        <v>21808</v>
      </c>
      <c r="BY21" s="107">
        <f t="shared" si="29"/>
        <v>22725</v>
      </c>
      <c r="BZ21" s="107">
        <f t="shared" ref="BZ21:CB21" si="30">BZ13-BZ19-BZ20</f>
        <v>25759.395361964169</v>
      </c>
      <c r="CA21" s="107">
        <f t="shared" si="30"/>
        <v>26359.459086531759</v>
      </c>
      <c r="CB21" s="1094">
        <f t="shared" si="30"/>
        <v>26483.848235321388</v>
      </c>
      <c r="CC21" s="37"/>
      <c r="CD21" s="26"/>
      <c r="CE21" s="26"/>
    </row>
    <row r="22" spans="1:89" ht="14.25" customHeight="1" collapsed="1">
      <c r="A22" s="18"/>
      <c r="B22" s="54"/>
      <c r="C22" s="62"/>
      <c r="D22" s="63"/>
      <c r="E22" s="63"/>
      <c r="F22" s="63"/>
      <c r="G22" s="64"/>
      <c r="H22" s="63"/>
      <c r="I22" s="63"/>
      <c r="J22" s="63"/>
      <c r="K22" s="64"/>
      <c r="L22" s="63"/>
      <c r="M22" s="63"/>
      <c r="N22" s="63"/>
      <c r="O22" s="64"/>
      <c r="P22" s="63"/>
      <c r="Q22" s="63"/>
      <c r="R22" s="63"/>
      <c r="S22" s="64"/>
      <c r="T22" s="63"/>
      <c r="U22" s="63"/>
      <c r="V22" s="63"/>
      <c r="W22" s="64"/>
      <c r="X22" s="63"/>
      <c r="Y22" s="63"/>
      <c r="Z22" s="63"/>
      <c r="AA22" s="64"/>
      <c r="AB22" s="63"/>
      <c r="AC22" s="63"/>
      <c r="AD22" s="63"/>
      <c r="AE22" s="64"/>
      <c r="AF22" s="63"/>
      <c r="AG22" s="63"/>
      <c r="AH22" s="63"/>
      <c r="AI22" s="64"/>
      <c r="AJ22" s="65"/>
      <c r="AK22" s="63"/>
      <c r="AL22" s="63"/>
      <c r="AM22" s="64"/>
      <c r="AN22" s="65"/>
      <c r="AO22" s="63"/>
      <c r="AP22" s="63"/>
      <c r="AQ22" s="64"/>
      <c r="AR22" s="65"/>
      <c r="AS22" s="63"/>
      <c r="AT22" s="63"/>
      <c r="AU22" s="64"/>
      <c r="AV22" s="65"/>
      <c r="AW22" s="63"/>
      <c r="AX22" s="63"/>
      <c r="AY22" s="64"/>
      <c r="AZ22" s="65"/>
      <c r="BA22" s="63"/>
      <c r="BB22" s="63"/>
      <c r="BC22" s="64"/>
      <c r="BD22" s="65"/>
      <c r="BE22" s="991"/>
      <c r="BF22" s="991"/>
      <c r="BG22" s="1136"/>
      <c r="BH22" s="1135"/>
      <c r="BI22" s="991"/>
      <c r="BJ22" s="991"/>
      <c r="BK22" s="1136"/>
      <c r="BL22" s="35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1193"/>
      <c r="CC22" s="37"/>
      <c r="CD22" s="26"/>
      <c r="CE22" s="26"/>
    </row>
    <row r="23" spans="1:89" s="127" customFormat="1" ht="14.25" customHeight="1">
      <c r="A23" s="51"/>
      <c r="B23" s="122" t="s">
        <v>104</v>
      </c>
      <c r="C23" s="123"/>
      <c r="D23" s="124">
        <f t="shared" ref="D23:AV23" si="31">D8-D13</f>
        <v>5598</v>
      </c>
      <c r="E23" s="124">
        <f t="shared" si="31"/>
        <v>5203</v>
      </c>
      <c r="F23" s="124">
        <f t="shared" si="31"/>
        <v>5948</v>
      </c>
      <c r="G23" s="125">
        <f t="shared" si="31"/>
        <v>6300</v>
      </c>
      <c r="H23" s="124">
        <f t="shared" si="31"/>
        <v>4943</v>
      </c>
      <c r="I23" s="124">
        <f t="shared" si="31"/>
        <v>4171</v>
      </c>
      <c r="J23" s="124">
        <f t="shared" si="31"/>
        <v>4294</v>
      </c>
      <c r="K23" s="125">
        <f t="shared" si="31"/>
        <v>4810</v>
      </c>
      <c r="L23" s="124">
        <f t="shared" si="31"/>
        <v>4432</v>
      </c>
      <c r="M23" s="124">
        <f t="shared" si="31"/>
        <v>4075</v>
      </c>
      <c r="N23" s="124">
        <f t="shared" si="31"/>
        <v>5171</v>
      </c>
      <c r="O23" s="125">
        <f t="shared" si="31"/>
        <v>6226</v>
      </c>
      <c r="P23" s="124">
        <f t="shared" si="31"/>
        <v>5207</v>
      </c>
      <c r="Q23" s="124">
        <f t="shared" si="31"/>
        <v>5249</v>
      </c>
      <c r="R23" s="124">
        <f t="shared" si="31"/>
        <v>6019</v>
      </c>
      <c r="S23" s="125">
        <f t="shared" si="31"/>
        <v>4369</v>
      </c>
      <c r="T23" s="124">
        <f t="shared" si="31"/>
        <v>3238</v>
      </c>
      <c r="U23" s="124">
        <f t="shared" si="31"/>
        <v>4079</v>
      </c>
      <c r="V23" s="124">
        <f t="shared" si="31"/>
        <v>5404</v>
      </c>
      <c r="W23" s="125">
        <f t="shared" si="31"/>
        <v>6840</v>
      </c>
      <c r="X23" s="124">
        <f t="shared" si="31"/>
        <v>6529</v>
      </c>
      <c r="Y23" s="124">
        <f t="shared" si="31"/>
        <v>7235</v>
      </c>
      <c r="Z23" s="124">
        <f t="shared" si="31"/>
        <v>7321</v>
      </c>
      <c r="AA23" s="125">
        <f t="shared" si="31"/>
        <v>7406</v>
      </c>
      <c r="AB23" s="124">
        <f t="shared" si="31"/>
        <v>7885</v>
      </c>
      <c r="AC23" s="124">
        <f t="shared" si="31"/>
        <v>7902</v>
      </c>
      <c r="AD23" s="124">
        <f t="shared" si="31"/>
        <v>9018</v>
      </c>
      <c r="AE23" s="125">
        <f t="shared" si="31"/>
        <v>8952</v>
      </c>
      <c r="AF23" s="124">
        <f t="shared" si="31"/>
        <v>8265</v>
      </c>
      <c r="AG23" s="124">
        <f t="shared" si="31"/>
        <v>8554</v>
      </c>
      <c r="AH23" s="124">
        <f t="shared" si="31"/>
        <v>8515</v>
      </c>
      <c r="AI23" s="125">
        <f t="shared" si="31"/>
        <v>7817</v>
      </c>
      <c r="AJ23" s="126">
        <f t="shared" si="31"/>
        <v>7066</v>
      </c>
      <c r="AK23" s="124">
        <f t="shared" si="31"/>
        <v>7470</v>
      </c>
      <c r="AL23" s="124">
        <f t="shared" si="31"/>
        <v>8414</v>
      </c>
      <c r="AM23" s="125">
        <f t="shared" si="31"/>
        <v>8571</v>
      </c>
      <c r="AN23" s="126">
        <f t="shared" si="31"/>
        <v>7613</v>
      </c>
      <c r="AO23" s="124">
        <f t="shared" si="31"/>
        <v>8917</v>
      </c>
      <c r="AP23" s="124">
        <f t="shared" si="31"/>
        <v>9458</v>
      </c>
      <c r="AQ23" s="125">
        <f t="shared" si="31"/>
        <v>9621</v>
      </c>
      <c r="AR23" s="126">
        <f t="shared" si="31"/>
        <v>7730</v>
      </c>
      <c r="AS23" s="124">
        <f t="shared" si="31"/>
        <v>8248</v>
      </c>
      <c r="AT23" s="124">
        <f t="shared" si="31"/>
        <v>9111</v>
      </c>
      <c r="AU23" s="125">
        <f t="shared" si="31"/>
        <v>9590</v>
      </c>
      <c r="AV23" s="126">
        <f t="shared" si="31"/>
        <v>8130</v>
      </c>
      <c r="AW23" s="124">
        <f>AW8-AW13</f>
        <v>7973</v>
      </c>
      <c r="AX23" s="124">
        <f t="shared" ref="AX23:AZ23" si="32">AX8-AX13</f>
        <v>9983</v>
      </c>
      <c r="AY23" s="125">
        <f t="shared" si="32"/>
        <v>10105</v>
      </c>
      <c r="AZ23" s="126">
        <f t="shared" si="32"/>
        <v>9147</v>
      </c>
      <c r="BA23" s="124">
        <f>BA8-BA13</f>
        <v>9098</v>
      </c>
      <c r="BB23" s="124">
        <f t="shared" ref="BB23:BD23" si="33">BB8-BB13</f>
        <v>10057</v>
      </c>
      <c r="BC23" s="125">
        <f t="shared" si="33"/>
        <v>10767</v>
      </c>
      <c r="BD23" s="126">
        <f t="shared" si="33"/>
        <v>9731</v>
      </c>
      <c r="BE23" s="124">
        <f t="shared" ref="BE23:BG23" si="34">BE8-BE13</f>
        <v>10030.90244170006</v>
      </c>
      <c r="BF23" s="124">
        <f t="shared" si="34"/>
        <v>10882.071322566884</v>
      </c>
      <c r="BG23" s="1104">
        <f t="shared" si="34"/>
        <v>11013.534320065259</v>
      </c>
      <c r="BH23" s="126">
        <f t="shared" ref="BH23:BK23" si="35">BH8-BH13</f>
        <v>10001.420086720373</v>
      </c>
      <c r="BI23" s="124">
        <f t="shared" si="35"/>
        <v>10139.025608888303</v>
      </c>
      <c r="BJ23" s="124">
        <f t="shared" si="35"/>
        <v>11053.470441668514</v>
      </c>
      <c r="BK23" s="1104">
        <f t="shared" si="35"/>
        <v>11360.209962174131</v>
      </c>
      <c r="BL23" s="95"/>
      <c r="BM23" s="124">
        <f t="shared" ref="BM23:BX23" si="36">BM8-BM13</f>
        <v>23049</v>
      </c>
      <c r="BN23" s="124">
        <f t="shared" si="36"/>
        <v>18218</v>
      </c>
      <c r="BO23" s="124">
        <f t="shared" si="36"/>
        <v>19904</v>
      </c>
      <c r="BP23" s="124">
        <f t="shared" si="36"/>
        <v>20844</v>
      </c>
      <c r="BQ23" s="124">
        <f t="shared" si="36"/>
        <v>19561</v>
      </c>
      <c r="BR23" s="124">
        <f t="shared" si="36"/>
        <v>28491</v>
      </c>
      <c r="BS23" s="124">
        <f t="shared" si="36"/>
        <v>33757</v>
      </c>
      <c r="BT23" s="124">
        <f t="shared" si="36"/>
        <v>33151</v>
      </c>
      <c r="BU23" s="124">
        <f t="shared" si="36"/>
        <v>31521</v>
      </c>
      <c r="BV23" s="124">
        <f t="shared" si="36"/>
        <v>35609</v>
      </c>
      <c r="BW23" s="124">
        <f t="shared" si="36"/>
        <v>34679</v>
      </c>
      <c r="BX23" s="124">
        <f t="shared" si="36"/>
        <v>36191</v>
      </c>
      <c r="BY23" s="124">
        <f t="shared" ref="BY23:BZ23" si="37">BY8-BY13</f>
        <v>39069</v>
      </c>
      <c r="BZ23" s="124">
        <f t="shared" si="37"/>
        <v>41657.508084332207</v>
      </c>
      <c r="CA23" s="124">
        <f t="shared" ref="CA23" si="38">CA8-CA13</f>
        <v>42554.126099451314</v>
      </c>
      <c r="CB23" s="1104">
        <f>CB8*CB24</f>
        <v>43118.87280252151</v>
      </c>
      <c r="CC23" s="99"/>
      <c r="CD23" s="100"/>
      <c r="CE23" s="100"/>
      <c r="CF23"/>
      <c r="CG23"/>
      <c r="CH23"/>
      <c r="CI23"/>
      <c r="CJ23"/>
      <c r="CK23"/>
    </row>
    <row r="24" spans="1:89" ht="14.25" customHeight="1">
      <c r="A24" s="18"/>
      <c r="B24" s="54" t="s">
        <v>105</v>
      </c>
      <c r="C24" s="62"/>
      <c r="D24" s="63">
        <f t="shared" ref="D24:AW24" si="39">D23/D8</f>
        <v>0.59338562645749415</v>
      </c>
      <c r="E24" s="63">
        <f t="shared" si="39"/>
        <v>0.5636442422272776</v>
      </c>
      <c r="F24" s="63">
        <f t="shared" si="39"/>
        <v>0.59718875502008029</v>
      </c>
      <c r="G24" s="64">
        <f t="shared" si="39"/>
        <v>0.6175865111263602</v>
      </c>
      <c r="H24" s="63">
        <f t="shared" si="39"/>
        <v>0.55290827740492166</v>
      </c>
      <c r="I24" s="63">
        <f t="shared" si="39"/>
        <v>0.52078911224872015</v>
      </c>
      <c r="J24" s="63">
        <f t="shared" si="39"/>
        <v>0.49136056757066027</v>
      </c>
      <c r="K24" s="64">
        <f t="shared" si="39"/>
        <v>0.49618320610687022</v>
      </c>
      <c r="L24" s="63">
        <f t="shared" si="39"/>
        <v>0.50067781292363311</v>
      </c>
      <c r="M24" s="63">
        <f t="shared" si="39"/>
        <v>0.46947004608294929</v>
      </c>
      <c r="N24" s="63">
        <f t="shared" si="39"/>
        <v>0.51248761149653121</v>
      </c>
      <c r="O24" s="64">
        <f t="shared" si="39"/>
        <v>0.58121732636295742</v>
      </c>
      <c r="P24" s="63">
        <f t="shared" si="39"/>
        <v>0.53830249147110509</v>
      </c>
      <c r="Q24" s="63">
        <f t="shared" si="39"/>
        <v>0.55427666314677926</v>
      </c>
      <c r="R24" s="63">
        <f t="shared" si="39"/>
        <v>0.58911617891749046</v>
      </c>
      <c r="S24" s="64">
        <f t="shared" si="39"/>
        <v>0.53112083637247753</v>
      </c>
      <c r="T24" s="63">
        <f t="shared" si="39"/>
        <v>0.45318404478656404</v>
      </c>
      <c r="U24" s="63">
        <f t="shared" si="39"/>
        <v>0.50834995014955131</v>
      </c>
      <c r="V24" s="63">
        <f t="shared" si="39"/>
        <v>0.57556715305144313</v>
      </c>
      <c r="W24" s="64">
        <f t="shared" si="39"/>
        <v>0.647175702526256</v>
      </c>
      <c r="X24" s="63">
        <f t="shared" si="39"/>
        <v>0.63394504320807843</v>
      </c>
      <c r="Y24" s="63">
        <f t="shared" si="39"/>
        <v>0.67208546214584297</v>
      </c>
      <c r="Z24" s="63">
        <f t="shared" si="39"/>
        <v>0.65943073320122503</v>
      </c>
      <c r="AA24" s="64">
        <f t="shared" si="39"/>
        <v>0.64641703761892289</v>
      </c>
      <c r="AB24" s="63">
        <f t="shared" si="39"/>
        <v>0.6137619677745777</v>
      </c>
      <c r="AC24" s="63">
        <f t="shared" si="39"/>
        <v>0.60635359116022103</v>
      </c>
      <c r="AD24" s="63">
        <f t="shared" si="39"/>
        <v>0.63359797653340832</v>
      </c>
      <c r="AE24" s="64">
        <f t="shared" si="39"/>
        <v>0.64463166990710741</v>
      </c>
      <c r="AF24" s="63">
        <f t="shared" si="39"/>
        <v>0.64039981403998136</v>
      </c>
      <c r="AG24" s="63">
        <f t="shared" si="39"/>
        <v>0.63358269757795715</v>
      </c>
      <c r="AH24" s="63">
        <f t="shared" si="39"/>
        <v>0.63275618637140518</v>
      </c>
      <c r="AI24" s="64">
        <f t="shared" si="39"/>
        <v>0.58002522816650592</v>
      </c>
      <c r="AJ24" s="65">
        <f t="shared" si="39"/>
        <v>0.56168521462639109</v>
      </c>
      <c r="AK24" s="63">
        <f t="shared" si="39"/>
        <v>0.58309265474982441</v>
      </c>
      <c r="AL24" s="63">
        <f t="shared" si="39"/>
        <v>0.62404509382184969</v>
      </c>
      <c r="AM24" s="64">
        <f t="shared" si="39"/>
        <v>0.61956050310828392</v>
      </c>
      <c r="AN24" s="65">
        <f t="shared" si="39"/>
        <v>0.596443121278596</v>
      </c>
      <c r="AO24" s="63">
        <f t="shared" si="39"/>
        <v>0.64471115609861906</v>
      </c>
      <c r="AP24" s="63">
        <f t="shared" si="39"/>
        <v>0.64985570977050977</v>
      </c>
      <c r="AQ24" s="64">
        <f t="shared" si="39"/>
        <v>0.65355614428367637</v>
      </c>
      <c r="AR24" s="65">
        <f t="shared" si="39"/>
        <v>0.60480400594632655</v>
      </c>
      <c r="AS24" s="63">
        <f t="shared" si="39"/>
        <v>0.62508525956801819</v>
      </c>
      <c r="AT24" s="63">
        <f t="shared" si="39"/>
        <v>0.6298651918423781</v>
      </c>
      <c r="AU24" s="64">
        <f t="shared" si="39"/>
        <v>0.64301998122569393</v>
      </c>
      <c r="AV24" s="65">
        <f t="shared" si="39"/>
        <v>0.59334403736680774</v>
      </c>
      <c r="AW24" s="63">
        <f t="shared" si="39"/>
        <v>0.58915244217837881</v>
      </c>
      <c r="AX24" s="63">
        <f t="shared" ref="AX24:BA24" si="40">AX23/AX8</f>
        <v>0.63271644061351251</v>
      </c>
      <c r="AY24" s="64">
        <f t="shared" si="40"/>
        <v>0.61713692439232926</v>
      </c>
      <c r="AZ24" s="65">
        <f t="shared" si="40"/>
        <v>0.61820762368207627</v>
      </c>
      <c r="BA24" s="63">
        <f t="shared" si="40"/>
        <v>0.61627040574408998</v>
      </c>
      <c r="BB24" s="63">
        <f t="shared" ref="BB24:BD24" si="41">BB23/BB8</f>
        <v>0.62276301938200507</v>
      </c>
      <c r="BC24" s="64">
        <f t="shared" si="41"/>
        <v>0.63138450712484606</v>
      </c>
      <c r="BD24" s="65">
        <f t="shared" si="41"/>
        <v>0.60568903273994767</v>
      </c>
      <c r="BE24" s="1037">
        <f t="shared" ref="BE24:BG24" si="42">BE23/BE8</f>
        <v>0.61499999999999999</v>
      </c>
      <c r="BF24" s="1037">
        <f t="shared" si="42"/>
        <v>0.62</v>
      </c>
      <c r="BG24" s="1105">
        <f t="shared" si="42"/>
        <v>0.62</v>
      </c>
      <c r="BH24" s="1038">
        <f t="shared" ref="BH24:BK24" si="43">BH23/BH8</f>
        <v>0.62</v>
      </c>
      <c r="BI24" s="1037">
        <f t="shared" si="43"/>
        <v>0.61499999999999999</v>
      </c>
      <c r="BJ24" s="1037">
        <f t="shared" si="43"/>
        <v>0.61499999999999999</v>
      </c>
      <c r="BK24" s="1105">
        <f t="shared" si="43"/>
        <v>0.62</v>
      </c>
      <c r="BL24" s="35"/>
      <c r="BM24" s="63">
        <f t="shared" ref="BM24:BX24" si="44">BM23/BM8</f>
        <v>0.59364858599907278</v>
      </c>
      <c r="BN24" s="63">
        <f t="shared" si="44"/>
        <v>0.51489457916454695</v>
      </c>
      <c r="BO24" s="63">
        <f t="shared" si="44"/>
        <v>0.51922575259560699</v>
      </c>
      <c r="BP24" s="63">
        <f t="shared" si="44"/>
        <v>0.55456819028361626</v>
      </c>
      <c r="BQ24" s="63">
        <f t="shared" si="44"/>
        <v>0.55686508953226865</v>
      </c>
      <c r="BR24" s="63">
        <f t="shared" si="44"/>
        <v>0.65311876762258436</v>
      </c>
      <c r="BS24" s="63">
        <f t="shared" si="44"/>
        <v>0.62514120631863557</v>
      </c>
      <c r="BT24" s="63">
        <f t="shared" si="44"/>
        <v>0.62149191053786024</v>
      </c>
      <c r="BU24" s="63">
        <f t="shared" si="44"/>
        <v>0.5980306594824315</v>
      </c>
      <c r="BV24" s="63">
        <f t="shared" si="44"/>
        <v>0.6373545731161625</v>
      </c>
      <c r="BW24" s="63">
        <f t="shared" si="44"/>
        <v>0.62648360581699936</v>
      </c>
      <c r="BX24" s="63">
        <f t="shared" si="44"/>
        <v>0.60940946671830531</v>
      </c>
      <c r="BY24" s="1062">
        <f t="shared" ref="BY24:BZ24" si="45">BY23/BY8</f>
        <v>0.6225044215356671</v>
      </c>
      <c r="BZ24" s="1062">
        <f t="shared" si="45"/>
        <v>0.61539868083900684</v>
      </c>
      <c r="CA24" s="1062">
        <f t="shared" ref="CA24" si="46">CA23/CA8</f>
        <v>0.61749981494369799</v>
      </c>
      <c r="CB24" s="1193">
        <f>CA24+0.2%</f>
        <v>0.61949981494369799</v>
      </c>
      <c r="CC24" s="37"/>
      <c r="CD24" s="26"/>
      <c r="CE24" s="26"/>
    </row>
    <row r="25" spans="1:89" ht="14.25" hidden="1" customHeight="1" outlineLevel="1">
      <c r="A25" s="18"/>
      <c r="B25" s="122"/>
      <c r="C25" s="128"/>
      <c r="D25" s="129"/>
      <c r="E25" s="129"/>
      <c r="F25" s="129"/>
      <c r="G25" s="130"/>
      <c r="H25" s="129"/>
      <c r="I25" s="129"/>
      <c r="J25" s="129"/>
      <c r="K25" s="130"/>
      <c r="L25" s="129"/>
      <c r="M25" s="129"/>
      <c r="N25" s="129"/>
      <c r="O25" s="130"/>
      <c r="P25" s="129"/>
      <c r="Q25" s="129"/>
      <c r="R25" s="129"/>
      <c r="S25" s="130"/>
      <c r="T25" s="129"/>
      <c r="U25" s="129"/>
      <c r="V25" s="129"/>
      <c r="W25" s="130"/>
      <c r="X25" s="129"/>
      <c r="Y25" s="129"/>
      <c r="Z25" s="129"/>
      <c r="AA25" s="130"/>
      <c r="AB25" s="129"/>
      <c r="AC25" s="129"/>
      <c r="AD25" s="129"/>
      <c r="AE25" s="130"/>
      <c r="AF25" s="129"/>
      <c r="AG25" s="129"/>
      <c r="AH25" s="129"/>
      <c r="AI25" s="130"/>
      <c r="AJ25" s="131"/>
      <c r="AK25" s="129"/>
      <c r="AL25" s="129"/>
      <c r="AM25" s="130"/>
      <c r="AN25" s="131"/>
      <c r="AO25" s="129"/>
      <c r="AP25" s="129"/>
      <c r="AQ25" s="130"/>
      <c r="AR25" s="131"/>
      <c r="AS25" s="129"/>
      <c r="AT25" s="129"/>
      <c r="AU25" s="130"/>
      <c r="AV25" s="131"/>
      <c r="AW25" s="129"/>
      <c r="AX25" s="129"/>
      <c r="AY25" s="130"/>
      <c r="AZ25" s="131"/>
      <c r="BA25" s="129"/>
      <c r="BB25" s="129"/>
      <c r="BC25" s="130"/>
      <c r="BD25" s="131"/>
      <c r="BE25" s="129"/>
      <c r="BF25" s="129"/>
      <c r="BG25" s="1106"/>
      <c r="BH25" s="131"/>
      <c r="BI25" s="129"/>
      <c r="BJ25" s="129"/>
      <c r="BK25" s="1106"/>
      <c r="BL25" s="132"/>
      <c r="BM25" s="129"/>
      <c r="BN25" s="129"/>
      <c r="BO25" s="129"/>
      <c r="BP25" s="129"/>
      <c r="BQ25" s="129"/>
      <c r="BR25" s="129"/>
      <c r="BS25" s="129"/>
      <c r="BT25" s="129"/>
      <c r="BU25" s="129"/>
      <c r="BV25" s="129"/>
      <c r="BW25" s="129"/>
      <c r="BX25" s="129"/>
      <c r="BY25" s="129"/>
      <c r="BZ25" s="129"/>
      <c r="CA25" s="129"/>
      <c r="CB25" s="1106"/>
      <c r="CC25" s="37"/>
      <c r="CD25" s="26"/>
      <c r="CE25" s="26"/>
    </row>
    <row r="26" spans="1:89" ht="14.25" hidden="1" customHeight="1" outlineLevel="1">
      <c r="A26" s="18"/>
      <c r="B26" s="122" t="s">
        <v>106</v>
      </c>
      <c r="C26" s="128"/>
      <c r="D26" s="129">
        <f t="shared" ref="D26:AW26" si="47">D8-D21</f>
        <v>5598</v>
      </c>
      <c r="E26" s="129">
        <f t="shared" si="47"/>
        <v>5203</v>
      </c>
      <c r="F26" s="129">
        <f t="shared" si="47"/>
        <v>5948</v>
      </c>
      <c r="G26" s="130">
        <f t="shared" si="47"/>
        <v>6300</v>
      </c>
      <c r="H26" s="129">
        <f t="shared" si="47"/>
        <v>4943</v>
      </c>
      <c r="I26" s="129">
        <f t="shared" si="47"/>
        <v>4171</v>
      </c>
      <c r="J26" s="129">
        <f t="shared" si="47"/>
        <v>4294</v>
      </c>
      <c r="K26" s="130">
        <f t="shared" si="47"/>
        <v>4810</v>
      </c>
      <c r="L26" s="129">
        <f t="shared" si="47"/>
        <v>4432</v>
      </c>
      <c r="M26" s="129">
        <f t="shared" si="47"/>
        <v>4075</v>
      </c>
      <c r="N26" s="129">
        <f t="shared" si="47"/>
        <v>5171</v>
      </c>
      <c r="O26" s="130">
        <f t="shared" si="47"/>
        <v>6226</v>
      </c>
      <c r="P26" s="129">
        <f t="shared" si="47"/>
        <v>5207</v>
      </c>
      <c r="Q26" s="129">
        <f t="shared" si="47"/>
        <v>5249</v>
      </c>
      <c r="R26" s="129">
        <f t="shared" si="47"/>
        <v>6019</v>
      </c>
      <c r="S26" s="130">
        <f t="shared" si="47"/>
        <v>4369</v>
      </c>
      <c r="T26" s="129">
        <f t="shared" si="47"/>
        <v>3238</v>
      </c>
      <c r="U26" s="129">
        <f t="shared" si="47"/>
        <v>4079</v>
      </c>
      <c r="V26" s="129">
        <f t="shared" si="47"/>
        <v>5404</v>
      </c>
      <c r="W26" s="130">
        <f t="shared" si="47"/>
        <v>6840</v>
      </c>
      <c r="X26" s="129">
        <f t="shared" si="47"/>
        <v>6545</v>
      </c>
      <c r="Y26" s="129">
        <f t="shared" si="47"/>
        <v>7251</v>
      </c>
      <c r="Z26" s="129">
        <f t="shared" si="47"/>
        <v>7337</v>
      </c>
      <c r="AA26" s="130">
        <f t="shared" si="47"/>
        <v>7423</v>
      </c>
      <c r="AB26" s="129">
        <f t="shared" si="47"/>
        <v>8020</v>
      </c>
      <c r="AC26" s="129">
        <f t="shared" si="47"/>
        <v>8113</v>
      </c>
      <c r="AD26" s="129">
        <f t="shared" si="47"/>
        <v>9208</v>
      </c>
      <c r="AE26" s="130">
        <f t="shared" si="47"/>
        <v>9121</v>
      </c>
      <c r="AF26" s="129">
        <f t="shared" si="47"/>
        <v>8402</v>
      </c>
      <c r="AG26" s="129">
        <f t="shared" si="47"/>
        <v>8696</v>
      </c>
      <c r="AH26" s="129">
        <f t="shared" si="47"/>
        <v>8656</v>
      </c>
      <c r="AI26" s="130">
        <f t="shared" si="47"/>
        <v>7954</v>
      </c>
      <c r="AJ26" s="131">
        <f t="shared" si="47"/>
        <v>7199.5</v>
      </c>
      <c r="AK26" s="129">
        <f t="shared" si="47"/>
        <v>7603.5</v>
      </c>
      <c r="AL26" s="129">
        <f t="shared" si="47"/>
        <v>8547.5</v>
      </c>
      <c r="AM26" s="130">
        <f t="shared" si="47"/>
        <v>8704.5</v>
      </c>
      <c r="AN26" s="131">
        <f t="shared" si="47"/>
        <v>7741</v>
      </c>
      <c r="AO26" s="124">
        <f t="shared" si="47"/>
        <v>9045</v>
      </c>
      <c r="AP26" s="124">
        <f t="shared" si="47"/>
        <v>9586</v>
      </c>
      <c r="AQ26" s="125">
        <f t="shared" si="47"/>
        <v>9749</v>
      </c>
      <c r="AR26" s="126">
        <f t="shared" si="47"/>
        <v>7850</v>
      </c>
      <c r="AS26" s="124">
        <f t="shared" si="47"/>
        <v>8323</v>
      </c>
      <c r="AT26" s="124">
        <f t="shared" si="47"/>
        <v>9187</v>
      </c>
      <c r="AU26" s="125">
        <f t="shared" si="47"/>
        <v>9662</v>
      </c>
      <c r="AV26" s="126">
        <f t="shared" si="47"/>
        <v>8655</v>
      </c>
      <c r="AW26" s="124">
        <f t="shared" si="47"/>
        <v>8369</v>
      </c>
      <c r="AX26" s="124">
        <f t="shared" ref="AX26:BA26" si="48">AX8-AX21</f>
        <v>10218</v>
      </c>
      <c r="AY26" s="125">
        <f t="shared" si="48"/>
        <v>10337</v>
      </c>
      <c r="AZ26" s="126">
        <f t="shared" si="48"/>
        <v>9356</v>
      </c>
      <c r="BA26" s="124">
        <f t="shared" si="48"/>
        <v>9296</v>
      </c>
      <c r="BB26" s="124">
        <f t="shared" ref="BB26:BD26" si="49">BB8-BB21</f>
        <v>10327</v>
      </c>
      <c r="BC26" s="125">
        <f t="shared" si="49"/>
        <v>11057</v>
      </c>
      <c r="BD26" s="126">
        <f t="shared" si="49"/>
        <v>10006</v>
      </c>
      <c r="BE26" s="124">
        <f t="shared" ref="BE26:BG26" si="50">BE8*BE27</f>
        <v>10030.90244170006</v>
      </c>
      <c r="BF26" s="124">
        <f t="shared" si="50"/>
        <v>10882.071322566884</v>
      </c>
      <c r="BG26" s="1104">
        <f t="shared" si="50"/>
        <v>11013.534320065259</v>
      </c>
      <c r="BH26" s="126">
        <f t="shared" ref="BH26:BK26" si="51">BH8*BH27</f>
        <v>10001.420086720373</v>
      </c>
      <c r="BI26" s="124">
        <f t="shared" si="51"/>
        <v>10139.025608888303</v>
      </c>
      <c r="BJ26" s="124">
        <f t="shared" si="51"/>
        <v>11053.470441668514</v>
      </c>
      <c r="BK26" s="1104">
        <f t="shared" si="51"/>
        <v>11360.209962174131</v>
      </c>
      <c r="BL26" s="35"/>
      <c r="BM26" s="124">
        <f t="shared" ref="BM26:BY26" si="52">BM8-BM21</f>
        <v>23049</v>
      </c>
      <c r="BN26" s="124">
        <f t="shared" si="52"/>
        <v>18218</v>
      </c>
      <c r="BO26" s="124">
        <f t="shared" si="52"/>
        <v>19904</v>
      </c>
      <c r="BP26" s="124">
        <f t="shared" si="52"/>
        <v>20844</v>
      </c>
      <c r="BQ26" s="124">
        <f t="shared" si="52"/>
        <v>19561</v>
      </c>
      <c r="BR26" s="124">
        <f t="shared" si="52"/>
        <v>28556</v>
      </c>
      <c r="BS26" s="124">
        <f t="shared" si="52"/>
        <v>34462</v>
      </c>
      <c r="BT26" s="124">
        <f t="shared" si="52"/>
        <v>33708</v>
      </c>
      <c r="BU26" s="124">
        <f t="shared" si="52"/>
        <v>32055</v>
      </c>
      <c r="BV26" s="124">
        <f t="shared" si="52"/>
        <v>36121</v>
      </c>
      <c r="BW26" s="124">
        <f t="shared" si="52"/>
        <v>35022</v>
      </c>
      <c r="BX26" s="124">
        <f t="shared" si="52"/>
        <v>37579</v>
      </c>
      <c r="BY26" s="124">
        <f t="shared" si="52"/>
        <v>40036</v>
      </c>
      <c r="BZ26" s="124">
        <f t="shared" ref="BZ26:CB26" si="53">BZ8-BZ21</f>
        <v>41932.508084332207</v>
      </c>
      <c r="CA26" s="124">
        <f t="shared" si="53"/>
        <v>42554.126099451314</v>
      </c>
      <c r="CB26" s="1106">
        <f t="shared" si="53"/>
        <v>43118.87280252151</v>
      </c>
      <c r="CC26" s="172"/>
      <c r="CD26" s="133"/>
      <c r="CE26" s="133"/>
    </row>
    <row r="27" spans="1:89" ht="14.25" hidden="1" customHeight="1" outlineLevel="1">
      <c r="A27" s="18"/>
      <c r="B27" s="54" t="s">
        <v>107</v>
      </c>
      <c r="C27" s="62"/>
      <c r="D27" s="63">
        <f t="shared" ref="D27:AW27" si="54">D26/D8</f>
        <v>0.59338562645749415</v>
      </c>
      <c r="E27" s="63">
        <f t="shared" si="54"/>
        <v>0.5636442422272776</v>
      </c>
      <c r="F27" s="63">
        <f t="shared" si="54"/>
        <v>0.59718875502008029</v>
      </c>
      <c r="G27" s="64">
        <f t="shared" si="54"/>
        <v>0.6175865111263602</v>
      </c>
      <c r="H27" s="63">
        <f t="shared" si="54"/>
        <v>0.55290827740492166</v>
      </c>
      <c r="I27" s="63">
        <f t="shared" si="54"/>
        <v>0.52078911224872015</v>
      </c>
      <c r="J27" s="63">
        <f t="shared" si="54"/>
        <v>0.49136056757066027</v>
      </c>
      <c r="K27" s="64">
        <f t="shared" si="54"/>
        <v>0.49618320610687022</v>
      </c>
      <c r="L27" s="63">
        <f t="shared" si="54"/>
        <v>0.50067781292363311</v>
      </c>
      <c r="M27" s="63">
        <f t="shared" si="54"/>
        <v>0.46947004608294929</v>
      </c>
      <c r="N27" s="63">
        <f t="shared" si="54"/>
        <v>0.51248761149653121</v>
      </c>
      <c r="O27" s="64">
        <f t="shared" si="54"/>
        <v>0.58121732636295742</v>
      </c>
      <c r="P27" s="63">
        <f t="shared" si="54"/>
        <v>0.53830249147110509</v>
      </c>
      <c r="Q27" s="63">
        <f t="shared" si="54"/>
        <v>0.55427666314677926</v>
      </c>
      <c r="R27" s="63">
        <f t="shared" si="54"/>
        <v>0.58911617891749046</v>
      </c>
      <c r="S27" s="64">
        <f t="shared" si="54"/>
        <v>0.53112083637247753</v>
      </c>
      <c r="T27" s="63">
        <f t="shared" si="54"/>
        <v>0.45318404478656404</v>
      </c>
      <c r="U27" s="63">
        <f t="shared" si="54"/>
        <v>0.50834995014955131</v>
      </c>
      <c r="V27" s="63">
        <f t="shared" si="54"/>
        <v>0.57556715305144313</v>
      </c>
      <c r="W27" s="64">
        <f t="shared" si="54"/>
        <v>0.647175702526256</v>
      </c>
      <c r="X27" s="63">
        <f t="shared" si="54"/>
        <v>0.63549859209631998</v>
      </c>
      <c r="Y27" s="63">
        <f t="shared" si="54"/>
        <v>0.67357176033441712</v>
      </c>
      <c r="Z27" s="63">
        <f t="shared" si="54"/>
        <v>0.66087191497027564</v>
      </c>
      <c r="AA27" s="64">
        <f t="shared" si="54"/>
        <v>0.64790084664397307</v>
      </c>
      <c r="AB27" s="63">
        <f t="shared" si="54"/>
        <v>0.62427025764769983</v>
      </c>
      <c r="AC27" s="63">
        <f t="shared" si="54"/>
        <v>0.62254450583179866</v>
      </c>
      <c r="AD27" s="63">
        <f t="shared" si="54"/>
        <v>0.64694723529825049</v>
      </c>
      <c r="AE27" s="64">
        <f t="shared" si="54"/>
        <v>0.65680132498019728</v>
      </c>
      <c r="AF27" s="63">
        <f t="shared" si="54"/>
        <v>0.65101503176816988</v>
      </c>
      <c r="AG27" s="63">
        <f t="shared" si="54"/>
        <v>0.64410043700466635</v>
      </c>
      <c r="AH27" s="63">
        <f t="shared" si="54"/>
        <v>0.64323400460726754</v>
      </c>
      <c r="AI27" s="64">
        <f t="shared" si="54"/>
        <v>0.59019069525858869</v>
      </c>
      <c r="AJ27" s="65">
        <f t="shared" si="54"/>
        <v>0.57229729729729728</v>
      </c>
      <c r="AK27" s="63">
        <f t="shared" si="54"/>
        <v>0.5935133869331044</v>
      </c>
      <c r="AL27" s="63">
        <f t="shared" si="54"/>
        <v>0.63394645108655345</v>
      </c>
      <c r="AM27" s="64">
        <f t="shared" si="54"/>
        <v>0.62921064045106256</v>
      </c>
      <c r="AN27" s="65">
        <f t="shared" si="54"/>
        <v>0.60647132560325911</v>
      </c>
      <c r="AO27" s="63">
        <f t="shared" si="54"/>
        <v>0.65396572915913531</v>
      </c>
      <c r="AP27" s="63">
        <f t="shared" si="54"/>
        <v>0.65865054280610147</v>
      </c>
      <c r="AQ27" s="64">
        <f t="shared" si="54"/>
        <v>0.66225120576047825</v>
      </c>
      <c r="AR27" s="65">
        <f t="shared" si="54"/>
        <v>0.61419294264924496</v>
      </c>
      <c r="AS27" s="63">
        <f t="shared" si="54"/>
        <v>0.63076923076923075</v>
      </c>
      <c r="AT27" s="63">
        <f t="shared" si="54"/>
        <v>0.63511925337020392</v>
      </c>
      <c r="AU27" s="64">
        <f t="shared" si="54"/>
        <v>0.64784765991685667</v>
      </c>
      <c r="AV27" s="65">
        <f t="shared" si="54"/>
        <v>0.6316596117355131</v>
      </c>
      <c r="AW27" s="63">
        <f t="shared" si="54"/>
        <v>0.61841424665632161</v>
      </c>
      <c r="AX27" s="63">
        <f t="shared" ref="AX27:BA27" si="55">AX26/AX8</f>
        <v>0.6476105970338446</v>
      </c>
      <c r="AY27" s="64">
        <f t="shared" si="55"/>
        <v>0.6313057285941126</v>
      </c>
      <c r="AZ27" s="65">
        <f t="shared" si="55"/>
        <v>0.63233306298999725</v>
      </c>
      <c r="BA27" s="63">
        <f t="shared" si="55"/>
        <v>0.62968231389284024</v>
      </c>
      <c r="BB27" s="63">
        <f t="shared" ref="BB27:BD27" si="56">BB26/BB8</f>
        <v>0.63948232088674217</v>
      </c>
      <c r="BC27" s="64">
        <f t="shared" si="56"/>
        <v>0.6483903125549757</v>
      </c>
      <c r="BD27" s="65">
        <f t="shared" si="56"/>
        <v>0.62280592555707703</v>
      </c>
      <c r="BE27" s="1035">
        <v>0.61499999999999999</v>
      </c>
      <c r="BF27" s="1035">
        <v>0.62</v>
      </c>
      <c r="BG27" s="1107">
        <v>0.62</v>
      </c>
      <c r="BH27" s="1036">
        <v>0.62</v>
      </c>
      <c r="BI27" s="1035">
        <f>BE27</f>
        <v>0.61499999999999999</v>
      </c>
      <c r="BJ27" s="1035">
        <v>0.61499999999999999</v>
      </c>
      <c r="BK27" s="1035">
        <v>0.62</v>
      </c>
      <c r="BL27" s="35"/>
      <c r="BM27" s="63">
        <f t="shared" ref="BM27:BY27" si="57">BM26/BM8</f>
        <v>0.59364858599907278</v>
      </c>
      <c r="BN27" s="63">
        <f t="shared" si="57"/>
        <v>0.51489457916454695</v>
      </c>
      <c r="BO27" s="63">
        <f t="shared" si="57"/>
        <v>0.51922575259560699</v>
      </c>
      <c r="BP27" s="63">
        <f t="shared" si="57"/>
        <v>0.55456819028361626</v>
      </c>
      <c r="BQ27" s="63">
        <f t="shared" si="57"/>
        <v>0.55686508953226865</v>
      </c>
      <c r="BR27" s="63">
        <f t="shared" si="57"/>
        <v>0.65460880728056303</v>
      </c>
      <c r="BS27" s="63">
        <f t="shared" si="57"/>
        <v>0.63819700364821574</v>
      </c>
      <c r="BT27" s="63">
        <f t="shared" si="57"/>
        <v>0.63193415946457698</v>
      </c>
      <c r="BU27" s="63">
        <f t="shared" si="57"/>
        <v>0.60816194885026942</v>
      </c>
      <c r="BV27" s="63">
        <f t="shared" si="57"/>
        <v>0.64651870413459822</v>
      </c>
      <c r="BW27" s="63">
        <f t="shared" si="57"/>
        <v>0.63267997470869841</v>
      </c>
      <c r="BX27" s="63">
        <f t="shared" si="57"/>
        <v>0.63278158519541317</v>
      </c>
      <c r="BY27" s="63">
        <f t="shared" si="57"/>
        <v>0.63791207915743853</v>
      </c>
      <c r="BZ27" s="63">
        <f t="shared" ref="BZ27:CB27" si="58">BZ26/BZ8</f>
        <v>0.61946120509965452</v>
      </c>
      <c r="CA27" s="63">
        <f t="shared" si="58"/>
        <v>0.61749981494369799</v>
      </c>
      <c r="CB27" s="1193">
        <f t="shared" si="58"/>
        <v>0.61949981494369799</v>
      </c>
      <c r="CC27" s="37"/>
      <c r="CD27" s="26"/>
      <c r="CE27" s="26"/>
    </row>
    <row r="28" spans="1:89" ht="14.25" customHeight="1" collapsed="1">
      <c r="A28" s="18"/>
      <c r="B28" s="39"/>
      <c r="C28" s="68"/>
      <c r="D28" s="69"/>
      <c r="E28" s="69"/>
      <c r="F28" s="69"/>
      <c r="G28" s="70"/>
      <c r="H28" s="69"/>
      <c r="I28" s="69"/>
      <c r="J28" s="69"/>
      <c r="K28" s="70"/>
      <c r="L28" s="69"/>
      <c r="M28" s="69"/>
      <c r="N28" s="69"/>
      <c r="O28" s="70"/>
      <c r="P28" s="69"/>
      <c r="Q28" s="69"/>
      <c r="R28" s="69"/>
      <c r="S28" s="70"/>
      <c r="T28" s="69"/>
      <c r="U28" s="69"/>
      <c r="V28" s="69"/>
      <c r="W28" s="70"/>
      <c r="X28" s="69"/>
      <c r="Y28" s="69"/>
      <c r="Z28" s="69"/>
      <c r="AA28" s="70"/>
      <c r="AB28" s="69"/>
      <c r="AC28" s="69"/>
      <c r="AD28" s="69"/>
      <c r="AE28" s="134"/>
      <c r="AF28" s="69"/>
      <c r="AG28" s="135"/>
      <c r="AH28" s="69"/>
      <c r="AI28" s="134"/>
      <c r="AJ28" s="71"/>
      <c r="AK28" s="69"/>
      <c r="AL28" s="69"/>
      <c r="AM28" s="134"/>
      <c r="AN28" s="71"/>
      <c r="AO28" s="69"/>
      <c r="AP28" s="69"/>
      <c r="AQ28" s="134"/>
      <c r="AR28" s="71"/>
      <c r="AS28" s="69"/>
      <c r="AT28" s="69"/>
      <c r="AU28" s="134"/>
      <c r="AV28" s="71"/>
      <c r="AW28" s="69"/>
      <c r="AX28" s="69"/>
      <c r="AY28" s="134"/>
      <c r="AZ28" s="71"/>
      <c r="BA28" s="69"/>
      <c r="BB28" s="69"/>
      <c r="BC28" s="134"/>
      <c r="BD28" s="71"/>
      <c r="BE28" s="1033"/>
      <c r="BF28" s="1033"/>
      <c r="BG28" s="1108"/>
      <c r="BH28" s="1034"/>
      <c r="BI28" s="1033"/>
      <c r="BJ28" s="1033"/>
      <c r="BK28" s="1108"/>
      <c r="BL28" s="35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1173"/>
      <c r="CC28" s="37"/>
      <c r="CD28" s="26"/>
      <c r="CE28" s="26"/>
    </row>
    <row r="29" spans="1:89" s="127" customFormat="1" ht="14.25" customHeight="1">
      <c r="A29" s="51"/>
      <c r="B29" s="39" t="s">
        <v>108</v>
      </c>
      <c r="C29" s="89"/>
      <c r="D29" s="90">
        <v>1266</v>
      </c>
      <c r="E29" s="90">
        <v>1176</v>
      </c>
      <c r="F29" s="90">
        <v>1341</v>
      </c>
      <c r="G29" s="92">
        <f>5145-F29-E29-D29</f>
        <v>1362</v>
      </c>
      <c r="H29" s="90">
        <v>1562</v>
      </c>
      <c r="I29" s="90">
        <v>1496</v>
      </c>
      <c r="J29" s="90">
        <v>1389</v>
      </c>
      <c r="K29" s="92">
        <f>5873-J29-I29-H29</f>
        <v>1426</v>
      </c>
      <c r="L29" s="90">
        <v>1400</v>
      </c>
      <c r="M29" s="90">
        <v>1353</v>
      </c>
      <c r="N29" s="90">
        <v>1521</v>
      </c>
      <c r="O29" s="92">
        <f>5755-N29-M29-L29</f>
        <v>1481</v>
      </c>
      <c r="P29" s="90">
        <v>1467</v>
      </c>
      <c r="Q29" s="90">
        <v>1468</v>
      </c>
      <c r="R29" s="90">
        <v>1471</v>
      </c>
      <c r="S29" s="92">
        <f>5722-R29-Q29-P29</f>
        <v>1316</v>
      </c>
      <c r="T29" s="90">
        <v>1317</v>
      </c>
      <c r="U29" s="90">
        <v>1303</v>
      </c>
      <c r="V29" s="90">
        <v>1430</v>
      </c>
      <c r="W29" s="92">
        <f>5653-V29-U29-T29</f>
        <v>1603</v>
      </c>
      <c r="X29" s="90">
        <v>1564</v>
      </c>
      <c r="Y29" s="90">
        <v>1666</v>
      </c>
      <c r="Z29" s="90">
        <v>1675</v>
      </c>
      <c r="AA29" s="92">
        <f>6576-Z29-Y29-X29</f>
        <v>1671</v>
      </c>
      <c r="AB29" s="90">
        <v>1916</v>
      </c>
      <c r="AC29" s="90">
        <v>1986</v>
      </c>
      <c r="AD29" s="90">
        <v>2140</v>
      </c>
      <c r="AE29" s="92">
        <v>2308</v>
      </c>
      <c r="AF29" s="90">
        <v>2401</v>
      </c>
      <c r="AG29" s="90">
        <v>2513</v>
      </c>
      <c r="AH29" s="90">
        <v>2605</v>
      </c>
      <c r="AI29" s="92">
        <v>2629</v>
      </c>
      <c r="AJ29" s="136">
        <v>2527</v>
      </c>
      <c r="AK29" s="90">
        <v>2516</v>
      </c>
      <c r="AL29" s="90">
        <v>2742</v>
      </c>
      <c r="AM29" s="92">
        <v>2826</v>
      </c>
      <c r="AN29" s="136">
        <v>2846</v>
      </c>
      <c r="AO29" s="90">
        <v>2859</v>
      </c>
      <c r="AP29" s="90">
        <v>2842</v>
      </c>
      <c r="AQ29" s="92">
        <v>2990</v>
      </c>
      <c r="AR29" s="136">
        <v>2995</v>
      </c>
      <c r="AS29" s="90">
        <v>3087</v>
      </c>
      <c r="AT29" s="90">
        <v>2927</v>
      </c>
      <c r="AU29" s="92">
        <v>3119</v>
      </c>
      <c r="AV29" s="136">
        <v>3246</v>
      </c>
      <c r="AW29" s="90">
        <v>3145</v>
      </c>
      <c r="AX29" s="90">
        <v>3069</v>
      </c>
      <c r="AY29" s="92">
        <v>3280</v>
      </c>
      <c r="AZ29" s="136">
        <v>3326</v>
      </c>
      <c r="BA29" s="90">
        <v>3275</v>
      </c>
      <c r="BB29" s="90">
        <v>3223</v>
      </c>
      <c r="BC29" s="92">
        <v>3274</v>
      </c>
      <c r="BD29" s="136">
        <v>3311</v>
      </c>
      <c r="BE29" s="90">
        <v>3300</v>
      </c>
      <c r="BF29" s="90">
        <v>3250</v>
      </c>
      <c r="BG29" s="90">
        <v>3250</v>
      </c>
      <c r="BH29" s="136">
        <v>3275</v>
      </c>
      <c r="BI29" s="90">
        <v>3325</v>
      </c>
      <c r="BJ29" s="90">
        <f t="shared" ref="BJ29" si="59">BF29+50</f>
        <v>3300</v>
      </c>
      <c r="BK29" s="90">
        <v>3350</v>
      </c>
      <c r="BL29" s="95"/>
      <c r="BM29" s="96">
        <f>SUM(D29:G29)</f>
        <v>5145</v>
      </c>
      <c r="BN29" s="96">
        <f>SUM(H29:K29)</f>
        <v>5873</v>
      </c>
      <c r="BO29" s="96">
        <f>SUM(L29:O29)</f>
        <v>5755</v>
      </c>
      <c r="BP29" s="96">
        <f>SUM(P29:S29)</f>
        <v>5722</v>
      </c>
      <c r="BQ29" s="96">
        <f>SUM(T29:W29)</f>
        <v>5653</v>
      </c>
      <c r="BR29" s="96">
        <f>SUM(X29:AA29)</f>
        <v>6576</v>
      </c>
      <c r="BS29" s="96">
        <f>SUM(AB29:AE29)</f>
        <v>8350</v>
      </c>
      <c r="BT29" s="96">
        <f>SUM(AF29:AI29)</f>
        <v>10148</v>
      </c>
      <c r="BU29" s="96">
        <f>SUM(AJ29:AM29)</f>
        <v>10611</v>
      </c>
      <c r="BV29" s="96">
        <f>SUM(AN29:AQ29)</f>
        <v>11537</v>
      </c>
      <c r="BW29" s="96">
        <f>SUM(AR29:AU29)</f>
        <v>12128</v>
      </c>
      <c r="BX29" s="96">
        <f>SUM(AV29:AY29)</f>
        <v>12740</v>
      </c>
      <c r="BY29" s="96">
        <f>SUM(AZ29:BC29)</f>
        <v>13098</v>
      </c>
      <c r="BZ29" s="96">
        <f>SUM(BD29:BG29)</f>
        <v>13111</v>
      </c>
      <c r="CA29" s="96">
        <f>SUM(BH29:BK29)</f>
        <v>13250</v>
      </c>
      <c r="CB29" s="1093">
        <f>CA29*(1+CB31*CB$11)</f>
        <v>13349.375</v>
      </c>
      <c r="CC29" s="1227"/>
      <c r="CD29" s="569"/>
      <c r="CE29" s="569"/>
      <c r="CF29"/>
      <c r="CG29"/>
      <c r="CH29"/>
      <c r="CI29"/>
      <c r="CJ29"/>
      <c r="CK29"/>
    </row>
    <row r="30" spans="1:89" ht="14.25" customHeight="1">
      <c r="A30" s="18"/>
      <c r="B30" s="54" t="s">
        <v>109</v>
      </c>
      <c r="C30" s="62"/>
      <c r="D30" s="63">
        <f t="shared" ref="D30:AW30" si="60">D29/D8</f>
        <v>0.13419546321814713</v>
      </c>
      <c r="E30" s="63">
        <f t="shared" si="60"/>
        <v>0.127396815079623</v>
      </c>
      <c r="F30" s="63">
        <f t="shared" si="60"/>
        <v>0.13463855421686746</v>
      </c>
      <c r="G30" s="64">
        <f t="shared" si="60"/>
        <v>0.13351632192922264</v>
      </c>
      <c r="H30" s="63">
        <f t="shared" si="60"/>
        <v>0.17472035794183446</v>
      </c>
      <c r="I30" s="63">
        <f t="shared" si="60"/>
        <v>0.18678986140591833</v>
      </c>
      <c r="J30" s="63">
        <f t="shared" si="60"/>
        <v>0.15894267078613114</v>
      </c>
      <c r="K30" s="64">
        <f t="shared" si="60"/>
        <v>0.1471012997730555</v>
      </c>
      <c r="L30" s="63">
        <f t="shared" si="60"/>
        <v>0.15815634884771804</v>
      </c>
      <c r="M30" s="63">
        <f t="shared" si="60"/>
        <v>0.15587557603686636</v>
      </c>
      <c r="N30" s="63">
        <f t="shared" si="60"/>
        <v>0.15074331020812687</v>
      </c>
      <c r="O30" s="64">
        <f t="shared" si="60"/>
        <v>0.13825616131441373</v>
      </c>
      <c r="P30" s="63">
        <f t="shared" si="60"/>
        <v>0.15165925772769565</v>
      </c>
      <c r="Q30" s="63">
        <f t="shared" si="60"/>
        <v>0.15501583949313621</v>
      </c>
      <c r="R30" s="63">
        <f t="shared" si="60"/>
        <v>0.14397572672995987</v>
      </c>
      <c r="S30" s="64">
        <f t="shared" si="60"/>
        <v>0.1599805494772672</v>
      </c>
      <c r="T30" s="63">
        <f t="shared" si="60"/>
        <v>0.18432470258922323</v>
      </c>
      <c r="U30" s="63">
        <f t="shared" si="60"/>
        <v>0.1623878364905284</v>
      </c>
      <c r="V30" s="63">
        <f t="shared" si="60"/>
        <v>0.15230588987112578</v>
      </c>
      <c r="W30" s="64">
        <f t="shared" si="60"/>
        <v>0.15166997823824391</v>
      </c>
      <c r="X30" s="63">
        <f t="shared" si="60"/>
        <v>0.15185940382561414</v>
      </c>
      <c r="Y30" s="63">
        <f t="shared" si="60"/>
        <v>0.15476079888527636</v>
      </c>
      <c r="Z30" s="63">
        <f t="shared" si="60"/>
        <v>0.15087371644748693</v>
      </c>
      <c r="AA30" s="64">
        <f t="shared" si="60"/>
        <v>0.1458496988740508</v>
      </c>
      <c r="AB30" s="63">
        <f t="shared" si="60"/>
        <v>0.1491398770140889</v>
      </c>
      <c r="AC30" s="63">
        <f t="shared" si="60"/>
        <v>0.15239410681399632</v>
      </c>
      <c r="AD30" s="63">
        <f t="shared" si="60"/>
        <v>0.15035480924611819</v>
      </c>
      <c r="AE30" s="64">
        <f t="shared" si="60"/>
        <v>0.16619860301000935</v>
      </c>
      <c r="AF30" s="63">
        <f t="shared" si="60"/>
        <v>0.18603750193708352</v>
      </c>
      <c r="AG30" s="137">
        <f t="shared" si="60"/>
        <v>0.18613436041774684</v>
      </c>
      <c r="AH30" s="137">
        <f t="shared" si="60"/>
        <v>0.19357954967674815</v>
      </c>
      <c r="AI30" s="64">
        <f t="shared" si="60"/>
        <v>0.19507308748237739</v>
      </c>
      <c r="AJ30" s="138">
        <f t="shared" si="60"/>
        <v>0.20087440381558028</v>
      </c>
      <c r="AK30" s="137">
        <f t="shared" si="60"/>
        <v>0.19639372414331435</v>
      </c>
      <c r="AL30" s="137">
        <f t="shared" si="60"/>
        <v>0.20336720314470075</v>
      </c>
      <c r="AM30" s="64">
        <f t="shared" si="60"/>
        <v>0.20427931184039325</v>
      </c>
      <c r="AN30" s="138">
        <f t="shared" si="60"/>
        <v>0.22297085553118146</v>
      </c>
      <c r="AO30" s="137">
        <f t="shared" si="60"/>
        <v>0.20670956546887426</v>
      </c>
      <c r="AP30" s="137">
        <f t="shared" si="60"/>
        <v>0.19527277724336953</v>
      </c>
      <c r="AQ30" s="64">
        <f t="shared" si="60"/>
        <v>0.20311120168466817</v>
      </c>
      <c r="AR30" s="138">
        <f t="shared" si="60"/>
        <v>0.23433221187700493</v>
      </c>
      <c r="AS30" s="137">
        <f t="shared" si="60"/>
        <v>0.2339522546419098</v>
      </c>
      <c r="AT30" s="137">
        <f t="shared" si="60"/>
        <v>0.20235050120981679</v>
      </c>
      <c r="AU30" s="64">
        <f t="shared" si="60"/>
        <v>0.20913235885744938</v>
      </c>
      <c r="AV30" s="138">
        <f t="shared" si="60"/>
        <v>0.23689972266822362</v>
      </c>
      <c r="AW30" s="137">
        <f t="shared" si="60"/>
        <v>0.23239488657356092</v>
      </c>
      <c r="AX30" s="137">
        <f t="shared" ref="AX30:BA30" si="61">AX29/AX8</f>
        <v>0.19451134491063507</v>
      </c>
      <c r="AY30" s="64">
        <f t="shared" si="61"/>
        <v>0.20031757664590205</v>
      </c>
      <c r="AZ30" s="138">
        <f t="shared" si="61"/>
        <v>0.22479048391457152</v>
      </c>
      <c r="BA30" s="137">
        <f t="shared" si="61"/>
        <v>0.22183837973311657</v>
      </c>
      <c r="BB30" s="137">
        <f t="shared" ref="BB30:BD30" si="62">BB29/BB8</f>
        <v>0.19957892129543625</v>
      </c>
      <c r="BC30" s="64">
        <f t="shared" si="62"/>
        <v>0.19198967923532517</v>
      </c>
      <c r="BD30" s="138">
        <f t="shared" si="62"/>
        <v>0.20608738951823727</v>
      </c>
      <c r="BE30" s="137">
        <f t="shared" ref="BE30:BG30" si="63">BE29/BE8</f>
        <v>0.20232476706811992</v>
      </c>
      <c r="BF30" s="137">
        <f t="shared" si="63"/>
        <v>0.18516695399903865</v>
      </c>
      <c r="BG30" s="1110">
        <f t="shared" si="63"/>
        <v>0.18295670957586488</v>
      </c>
      <c r="BH30" s="138">
        <f t="shared" ref="BH30:BK30" si="64">BH29/BH8</f>
        <v>0.20302116923336172</v>
      </c>
      <c r="BI30" s="137">
        <f t="shared" si="64"/>
        <v>0.20168358172479364</v>
      </c>
      <c r="BJ30" s="137">
        <f t="shared" si="64"/>
        <v>0.18360749329453566</v>
      </c>
      <c r="BK30" s="1110">
        <f t="shared" si="64"/>
        <v>0.18283112785025507</v>
      </c>
      <c r="BL30" s="35"/>
      <c r="BM30" s="63">
        <f t="shared" ref="BM30:BX30" si="65">BM29/BM8</f>
        <v>0.13251429454489261</v>
      </c>
      <c r="BN30" s="63">
        <f t="shared" si="65"/>
        <v>0.16598835566107059</v>
      </c>
      <c r="BO30" s="63">
        <f t="shared" si="65"/>
        <v>0.15012782386393281</v>
      </c>
      <c r="BP30" s="63">
        <f t="shared" si="65"/>
        <v>0.15223753525248762</v>
      </c>
      <c r="BQ30" s="63">
        <f t="shared" si="65"/>
        <v>0.16093033848606486</v>
      </c>
      <c r="BR30" s="63">
        <f t="shared" si="65"/>
        <v>0.15074616601334159</v>
      </c>
      <c r="BS30" s="63">
        <f t="shared" si="65"/>
        <v>0.1546324931943184</v>
      </c>
      <c r="BT30" s="63">
        <f t="shared" si="65"/>
        <v>0.19024765190003937</v>
      </c>
      <c r="BU30" s="63">
        <f t="shared" si="65"/>
        <v>0.20131668816877893</v>
      </c>
      <c r="BV30" s="63">
        <f t="shared" si="65"/>
        <v>0.20649722570252371</v>
      </c>
      <c r="BW30" s="137">
        <f t="shared" si="65"/>
        <v>0.21909493270707253</v>
      </c>
      <c r="BX30" s="137">
        <f t="shared" si="65"/>
        <v>0.21452506440803543</v>
      </c>
      <c r="BY30" s="137">
        <f>BY29/BY8</f>
        <v>0.20869648348496678</v>
      </c>
      <c r="BZ30" s="137">
        <f>BZ29/BZ8</f>
        <v>0.19368638393218859</v>
      </c>
      <c r="CA30" s="137">
        <f>CA29/CA8</f>
        <v>0.1922697819920568</v>
      </c>
      <c r="CB30" s="1110">
        <f t="shared" ref="CB30" si="66">CB29/CB8</f>
        <v>0.19179386669009627</v>
      </c>
      <c r="CC30" s="37"/>
      <c r="CD30" s="26"/>
      <c r="CE30" s="26"/>
    </row>
    <row r="31" spans="1:89" ht="14.25" hidden="1" customHeight="1" outlineLevel="1">
      <c r="A31" s="18"/>
      <c r="B31" s="54" t="s">
        <v>110</v>
      </c>
      <c r="C31" s="62"/>
      <c r="D31" s="63"/>
      <c r="E31" s="63">
        <f t="shared" ref="E31:BD31" si="67">(E29/D29-1)/E10</f>
        <v>3.303761118763576</v>
      </c>
      <c r="F31" s="63">
        <f t="shared" si="67"/>
        <v>1.7766334929033347</v>
      </c>
      <c r="G31" s="64">
        <f t="shared" si="67"/>
        <v>0.64719151187724488</v>
      </c>
      <c r="H31" s="63">
        <f t="shared" si="67"/>
        <v>-1.1879018237163483</v>
      </c>
      <c r="I31" s="63">
        <f t="shared" si="67"/>
        <v>0.40574272703892583</v>
      </c>
      <c r="J31" s="63">
        <f t="shared" si="67"/>
        <v>-0.78470716431030763</v>
      </c>
      <c r="K31" s="64">
        <f t="shared" si="67"/>
        <v>0.24375742087229779</v>
      </c>
      <c r="L31" s="63">
        <f t="shared" si="67"/>
        <v>0.20991561532849423</v>
      </c>
      <c r="M31" s="63">
        <f t="shared" si="67"/>
        <v>1.7277574750830615</v>
      </c>
      <c r="N31" s="63">
        <f t="shared" si="67"/>
        <v>0.76438489723388559</v>
      </c>
      <c r="O31" s="64">
        <f t="shared" si="67"/>
        <v>-0.42661051812671824</v>
      </c>
      <c r="P31" s="63">
        <f t="shared" si="67"/>
        <v>9.7460356040160026E-2</v>
      </c>
      <c r="Q31" s="63">
        <f t="shared" si="67"/>
        <v>-3.2481422157750711E-2</v>
      </c>
      <c r="R31" s="63">
        <f t="shared" si="67"/>
        <v>2.5907444491863958E-2</v>
      </c>
      <c r="S31" s="64">
        <f t="shared" si="67"/>
        <v>0.54071841300809442</v>
      </c>
      <c r="T31" s="63">
        <f t="shared" si="67"/>
        <v>-5.7823865665306414E-3</v>
      </c>
      <c r="U31" s="63">
        <f t="shared" si="67"/>
        <v>-8.6408331411324174E-2</v>
      </c>
      <c r="V31" s="63">
        <f t="shared" si="67"/>
        <v>0.57295112153132099</v>
      </c>
      <c r="W31" s="64">
        <f t="shared" si="67"/>
        <v>0.96260341353561563</v>
      </c>
      <c r="X31" s="63">
        <f t="shared" si="67"/>
        <v>0.95236015803701102</v>
      </c>
      <c r="Y31" s="63">
        <f t="shared" si="67"/>
        <v>1.4413603284194836</v>
      </c>
      <c r="Z31" s="63">
        <f t="shared" si="67"/>
        <v>0.17256457479134163</v>
      </c>
      <c r="AA31" s="64">
        <f t="shared" si="67"/>
        <v>-7.4682362833720053E-2</v>
      </c>
      <c r="AB31" s="63">
        <f t="shared" si="67"/>
        <v>1.2084974749105568</v>
      </c>
      <c r="AC31" s="63">
        <f t="shared" si="67"/>
        <v>2.5370704733961418</v>
      </c>
      <c r="AD31" s="63">
        <f t="shared" si="67"/>
        <v>0.84141362560404054</v>
      </c>
      <c r="AE31" s="64">
        <f t="shared" si="67"/>
        <v>-3.2293555183404505</v>
      </c>
      <c r="AF31" s="63">
        <f t="shared" si="67"/>
        <v>-0.5704092665320466</v>
      </c>
      <c r="AG31" s="137">
        <f t="shared" si="67"/>
        <v>1.0118137050738669</v>
      </c>
      <c r="AH31" s="137">
        <f t="shared" si="67"/>
        <v>-11.233332127482452</v>
      </c>
      <c r="AI31" s="64">
        <f t="shared" si="67"/>
        <v>6.1990019193861761</v>
      </c>
      <c r="AJ31" s="138">
        <f t="shared" si="67"/>
        <v>0.58292189891243928</v>
      </c>
      <c r="AK31" s="137">
        <f t="shared" si="67"/>
        <v>-0.23705881244464766</v>
      </c>
      <c r="AL31" s="137">
        <f t="shared" si="67"/>
        <v>1.7124250037853017</v>
      </c>
      <c r="AM31" s="64">
        <f t="shared" si="67"/>
        <v>1.1767690936181123</v>
      </c>
      <c r="AN31" s="138">
        <f t="shared" si="67"/>
        <v>-9.1500155432533328E-2</v>
      </c>
      <c r="AO31" s="137">
        <f t="shared" si="67"/>
        <v>5.4642534186985225E-2</v>
      </c>
      <c r="AP31" s="137">
        <f t="shared" si="67"/>
        <v>-0.1137496450267218</v>
      </c>
      <c r="AQ31" s="64">
        <f t="shared" si="67"/>
        <v>4.5384080537025673</v>
      </c>
      <c r="AR31" s="138">
        <f t="shared" si="67"/>
        <v>-1.2689204565045832E-2</v>
      </c>
      <c r="AS31" s="137">
        <f t="shared" si="67"/>
        <v>0.94832127620107454</v>
      </c>
      <c r="AT31" s="137">
        <f t="shared" si="67"/>
        <v>-0.53850411555698485</v>
      </c>
      <c r="AU31" s="64">
        <f t="shared" si="67"/>
        <v>2.1132486648004165</v>
      </c>
      <c r="AV31" s="138">
        <f t="shared" si="67"/>
        <v>-0.5010486139989444</v>
      </c>
      <c r="AW31" s="137">
        <f t="shared" si="67"/>
        <v>2.5227261955542915</v>
      </c>
      <c r="AX31" s="137">
        <f t="shared" si="67"/>
        <v>-0.14567018741524154</v>
      </c>
      <c r="AY31" s="64">
        <f t="shared" si="67"/>
        <v>1.8200832748353875</v>
      </c>
      <c r="AZ31" s="138">
        <f t="shared" si="67"/>
        <v>-0.14552304553463691</v>
      </c>
      <c r="BA31" s="137">
        <f t="shared" si="67"/>
        <v>6.8750888317936276</v>
      </c>
      <c r="BB31" s="137">
        <f t="shared" si="67"/>
        <v>-0.16912329400879064</v>
      </c>
      <c r="BC31" s="64">
        <f t="shared" si="67"/>
        <v>0.28267478768475357</v>
      </c>
      <c r="BD31" s="138">
        <f t="shared" si="67"/>
        <v>-0.19525703417487955</v>
      </c>
      <c r="BE31" s="137">
        <f t="shared" ref="BE31" si="68">(BE29/BD29-1)/BE10</f>
        <v>-0.2183843202026724</v>
      </c>
      <c r="BF31" s="137">
        <f t="shared" ref="BF31" si="69">(BF29/BE29-1)/BF10</f>
        <v>-0.19908479364400078</v>
      </c>
      <c r="BG31" s="1110">
        <f t="shared" ref="BG31" si="70">(BG29/BF29-1)/BG10</f>
        <v>0</v>
      </c>
      <c r="BH31" s="138">
        <f t="shared" ref="BH31" si="71">(BH29/BG29-1)/BH10</f>
        <v>-8.3705467207735182E-2</v>
      </c>
      <c r="BI31" s="137">
        <f t="shared" ref="BI31" si="72">(BI29/BH29-1)/BI10</f>
        <v>0.69394554956968202</v>
      </c>
      <c r="BJ31" s="137">
        <f t="shared" ref="BJ31" si="73">(BJ29/BI29-1)/BJ10</f>
        <v>-8.3365636200300589E-2</v>
      </c>
      <c r="BK31" s="1110">
        <f t="shared" ref="BK31" si="74">(BK29/BJ29-1)/BK10</f>
        <v>0.77850962934156953</v>
      </c>
      <c r="BL31" s="35"/>
      <c r="BM31" s="63"/>
      <c r="BN31" s="63">
        <f t="shared" ref="BN31:CA31" si="75">(BN29/BM29-1)/BN11</f>
        <v>-1.5951646163691973</v>
      </c>
      <c r="BO31" s="63">
        <f t="shared" si="75"/>
        <v>-0.24081749331029875</v>
      </c>
      <c r="BP31" s="63">
        <f t="shared" si="75"/>
        <v>0.29386722543056942</v>
      </c>
      <c r="BQ31" s="63">
        <f t="shared" si="75"/>
        <v>0.18431845353628237</v>
      </c>
      <c r="BR31" s="63">
        <f t="shared" si="75"/>
        <v>0.67507072141086077</v>
      </c>
      <c r="BS31" s="63">
        <f t="shared" si="75"/>
        <v>1.1341679669253584</v>
      </c>
      <c r="BT31" s="63">
        <f t="shared" si="75"/>
        <v>-17.67107766230459</v>
      </c>
      <c r="BU31" s="63">
        <f t="shared" si="75"/>
        <v>-3.8446603226435268</v>
      </c>
      <c r="BV31" s="63">
        <f t="shared" si="75"/>
        <v>1.4546862835107615</v>
      </c>
      <c r="BW31" s="63">
        <f t="shared" si="75"/>
        <v>-5.5573280058839485</v>
      </c>
      <c r="BX31" s="63">
        <f t="shared" si="75"/>
        <v>0.69278514299849248</v>
      </c>
      <c r="BY31" s="63">
        <f t="shared" si="75"/>
        <v>0.49460660010664143</v>
      </c>
      <c r="BZ31" s="63">
        <f t="shared" si="75"/>
        <v>1.2632861141090189E-2</v>
      </c>
      <c r="CA31" s="63">
        <f t="shared" si="75"/>
        <v>0.58743203493938212</v>
      </c>
      <c r="CB31" s="1194">
        <v>0.75</v>
      </c>
      <c r="CC31" s="37"/>
      <c r="CD31" s="26"/>
      <c r="CE31" s="26"/>
    </row>
    <row r="32" spans="1:89" ht="14.25" hidden="1" customHeight="1" outlineLevel="1">
      <c r="A32" s="18"/>
      <c r="B32" s="139"/>
      <c r="C32" s="103"/>
      <c r="D32" s="104"/>
      <c r="E32" s="104"/>
      <c r="F32" s="104"/>
      <c r="G32" s="105"/>
      <c r="H32" s="104"/>
      <c r="I32" s="104"/>
      <c r="J32" s="104"/>
      <c r="K32" s="105"/>
      <c r="L32" s="104"/>
      <c r="M32" s="104"/>
      <c r="N32" s="104"/>
      <c r="O32" s="105"/>
      <c r="P32" s="104"/>
      <c r="Q32" s="104"/>
      <c r="R32" s="104"/>
      <c r="S32" s="105"/>
      <c r="T32" s="104"/>
      <c r="U32" s="104"/>
      <c r="V32" s="104"/>
      <c r="W32" s="105"/>
      <c r="X32" s="104"/>
      <c r="Y32" s="104"/>
      <c r="Z32" s="104"/>
      <c r="AA32" s="105"/>
      <c r="AB32" s="104"/>
      <c r="AC32" s="104"/>
      <c r="AD32" s="104"/>
      <c r="AE32" s="105"/>
      <c r="AF32" s="104"/>
      <c r="AG32" s="107"/>
      <c r="AH32" s="107"/>
      <c r="AI32" s="105"/>
      <c r="AJ32" s="108"/>
      <c r="AK32" s="107"/>
      <c r="AL32" s="107"/>
      <c r="AM32" s="105"/>
      <c r="AN32" s="108"/>
      <c r="AO32" s="107"/>
      <c r="AP32" s="107"/>
      <c r="AQ32" s="105"/>
      <c r="AR32" s="108"/>
      <c r="AS32" s="107"/>
      <c r="AT32" s="107"/>
      <c r="AU32" s="105"/>
      <c r="AV32" s="108"/>
      <c r="AW32" s="107"/>
      <c r="AX32" s="107"/>
      <c r="AY32" s="105"/>
      <c r="AZ32" s="108"/>
      <c r="BA32" s="107"/>
      <c r="BB32" s="107"/>
      <c r="BC32" s="105"/>
      <c r="BD32" s="108"/>
      <c r="BE32" s="107"/>
      <c r="BF32" s="107"/>
      <c r="BG32" s="1094"/>
      <c r="BH32" s="108"/>
      <c r="BI32" s="107"/>
      <c r="BJ32" s="107"/>
      <c r="BK32" s="1094"/>
      <c r="BL32" s="35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94"/>
      <c r="CC32" s="37"/>
      <c r="CD32" s="26"/>
      <c r="CE32" s="26"/>
    </row>
    <row r="33" spans="1:89" s="121" customFormat="1" ht="14.25" hidden="1" customHeight="1" outlineLevel="1">
      <c r="A33" s="110"/>
      <c r="B33" s="111" t="s">
        <v>102</v>
      </c>
      <c r="C33" s="140"/>
      <c r="D33" s="113">
        <v>0</v>
      </c>
      <c r="E33" s="113">
        <v>0</v>
      </c>
      <c r="F33" s="113">
        <v>0</v>
      </c>
      <c r="G33" s="114">
        <v>0</v>
      </c>
      <c r="H33" s="113">
        <v>0</v>
      </c>
      <c r="I33" s="113">
        <v>0</v>
      </c>
      <c r="J33" s="113">
        <v>0</v>
      </c>
      <c r="K33" s="114">
        <v>0</v>
      </c>
      <c r="L33" s="113">
        <v>0</v>
      </c>
      <c r="M33" s="113">
        <v>0</v>
      </c>
      <c r="N33" s="113">
        <v>0</v>
      </c>
      <c r="O33" s="114">
        <v>0</v>
      </c>
      <c r="P33" s="113">
        <v>0</v>
      </c>
      <c r="Q33" s="113">
        <v>0</v>
      </c>
      <c r="R33" s="113">
        <v>0</v>
      </c>
      <c r="S33" s="114">
        <v>0</v>
      </c>
      <c r="T33" s="113">
        <v>0</v>
      </c>
      <c r="U33" s="113">
        <v>0</v>
      </c>
      <c r="V33" s="113">
        <v>0</v>
      </c>
      <c r="W33" s="114">
        <v>0</v>
      </c>
      <c r="X33" s="113">
        <v>0</v>
      </c>
      <c r="Y33" s="113">
        <v>0</v>
      </c>
      <c r="Z33" s="113">
        <v>0</v>
      </c>
      <c r="AA33" s="114">
        <v>0</v>
      </c>
      <c r="AB33" s="113">
        <v>0</v>
      </c>
      <c r="AC33" s="113">
        <v>0</v>
      </c>
      <c r="AD33" s="113">
        <v>0</v>
      </c>
      <c r="AE33" s="114">
        <v>0</v>
      </c>
      <c r="AF33" s="113">
        <v>0</v>
      </c>
      <c r="AG33" s="113">
        <v>0</v>
      </c>
      <c r="AH33" s="113">
        <v>0</v>
      </c>
      <c r="AI33" s="114">
        <v>0</v>
      </c>
      <c r="AJ33" s="115">
        <v>0</v>
      </c>
      <c r="AK33" s="113">
        <v>0</v>
      </c>
      <c r="AL33" s="113">
        <v>0</v>
      </c>
      <c r="AM33" s="114">
        <v>0</v>
      </c>
      <c r="AN33" s="115">
        <v>0</v>
      </c>
      <c r="AO33" s="113">
        <v>0</v>
      </c>
      <c r="AP33" s="113">
        <v>0</v>
      </c>
      <c r="AQ33" s="114">
        <v>0</v>
      </c>
      <c r="AR33" s="115">
        <v>0</v>
      </c>
      <c r="AS33" s="113">
        <v>0</v>
      </c>
      <c r="AT33" s="113">
        <v>0</v>
      </c>
      <c r="AU33" s="114">
        <v>0</v>
      </c>
      <c r="AV33" s="115">
        <v>50</v>
      </c>
      <c r="AW33" s="113">
        <v>0</v>
      </c>
      <c r="AX33" s="113">
        <v>0</v>
      </c>
      <c r="AY33" s="114">
        <v>0</v>
      </c>
      <c r="AZ33" s="115">
        <v>0</v>
      </c>
      <c r="BA33" s="113">
        <v>0</v>
      </c>
      <c r="BB33" s="113">
        <v>113</v>
      </c>
      <c r="BC33" s="114">
        <v>0</v>
      </c>
      <c r="BD33" s="115">
        <v>0</v>
      </c>
      <c r="BE33" s="113">
        <v>0</v>
      </c>
      <c r="BF33" s="113">
        <v>0</v>
      </c>
      <c r="BG33" s="1103">
        <v>0</v>
      </c>
      <c r="BH33" s="115">
        <v>0</v>
      </c>
      <c r="BI33" s="113">
        <v>0</v>
      </c>
      <c r="BJ33" s="113">
        <v>0</v>
      </c>
      <c r="BK33" s="1103">
        <v>0</v>
      </c>
      <c r="BL33" s="116"/>
      <c r="BM33" s="117">
        <f>SUM(D33:G33)</f>
        <v>0</v>
      </c>
      <c r="BN33" s="117">
        <f>SUM(H33:K33)</f>
        <v>0</v>
      </c>
      <c r="BO33" s="117">
        <f>SUM(L33:O33)</f>
        <v>0</v>
      </c>
      <c r="BP33" s="117">
        <f>SUM(P33:S33)</f>
        <v>0</v>
      </c>
      <c r="BQ33" s="117">
        <f>SUM(T33:W33)</f>
        <v>0</v>
      </c>
      <c r="BR33" s="117">
        <f>SUM(X33:AA33)</f>
        <v>0</v>
      </c>
      <c r="BS33" s="117">
        <f>SUM(AB33:AE33)</f>
        <v>0</v>
      </c>
      <c r="BT33" s="117">
        <f>SUM(AF33:AI33)</f>
        <v>0</v>
      </c>
      <c r="BU33" s="117">
        <f>SUM(AJ33:AM33)</f>
        <v>0</v>
      </c>
      <c r="BV33" s="117">
        <f>SUM(AN33:AQ33)</f>
        <v>0</v>
      </c>
      <c r="BW33" s="595">
        <f>SUM(AR33:AU33)</f>
        <v>0</v>
      </c>
      <c r="BX33" s="595">
        <f>SUM(AV33:AY33)</f>
        <v>50</v>
      </c>
      <c r="BY33" s="117">
        <f>SUM(AZ33:BC33)</f>
        <v>113</v>
      </c>
      <c r="BZ33" s="117">
        <f>SUM(BD33:BG33)</f>
        <v>0</v>
      </c>
      <c r="CA33" s="117">
        <f>SUM(BH33:BK33)</f>
        <v>0</v>
      </c>
      <c r="CB33" s="1103">
        <v>0</v>
      </c>
      <c r="CC33" s="119"/>
      <c r="CD33" s="120"/>
      <c r="CE33" s="120"/>
      <c r="CF33"/>
      <c r="CG33"/>
      <c r="CH33"/>
      <c r="CI33"/>
      <c r="CJ33"/>
      <c r="CK33"/>
    </row>
    <row r="34" spans="1:89" ht="14.25" hidden="1" customHeight="1" outlineLevel="1">
      <c r="A34" s="18"/>
      <c r="B34" s="39" t="s">
        <v>111</v>
      </c>
      <c r="C34" s="68"/>
      <c r="D34" s="107">
        <f>D29-D33</f>
        <v>1266</v>
      </c>
      <c r="E34" s="107">
        <f t="shared" ref="E34:AR34" si="76">E29-E33</f>
        <v>1176</v>
      </c>
      <c r="F34" s="107">
        <f t="shared" si="76"/>
        <v>1341</v>
      </c>
      <c r="G34" s="109">
        <f t="shared" si="76"/>
        <v>1362</v>
      </c>
      <c r="H34" s="107">
        <f t="shared" si="76"/>
        <v>1562</v>
      </c>
      <c r="I34" s="107">
        <f t="shared" si="76"/>
        <v>1496</v>
      </c>
      <c r="J34" s="107">
        <f t="shared" si="76"/>
        <v>1389</v>
      </c>
      <c r="K34" s="109">
        <f t="shared" si="76"/>
        <v>1426</v>
      </c>
      <c r="L34" s="107">
        <f t="shared" si="76"/>
        <v>1400</v>
      </c>
      <c r="M34" s="107">
        <f t="shared" si="76"/>
        <v>1353</v>
      </c>
      <c r="N34" s="107">
        <f t="shared" si="76"/>
        <v>1521</v>
      </c>
      <c r="O34" s="109">
        <f t="shared" si="76"/>
        <v>1481</v>
      </c>
      <c r="P34" s="107">
        <f t="shared" si="76"/>
        <v>1467</v>
      </c>
      <c r="Q34" s="107">
        <f t="shared" si="76"/>
        <v>1468</v>
      </c>
      <c r="R34" s="107">
        <f t="shared" si="76"/>
        <v>1471</v>
      </c>
      <c r="S34" s="109">
        <f t="shared" si="76"/>
        <v>1316</v>
      </c>
      <c r="T34" s="107">
        <f t="shared" si="76"/>
        <v>1317</v>
      </c>
      <c r="U34" s="107">
        <f t="shared" si="76"/>
        <v>1303</v>
      </c>
      <c r="V34" s="107">
        <f t="shared" si="76"/>
        <v>1430</v>
      </c>
      <c r="W34" s="109">
        <f t="shared" si="76"/>
        <v>1603</v>
      </c>
      <c r="X34" s="107">
        <f t="shared" si="76"/>
        <v>1564</v>
      </c>
      <c r="Y34" s="107">
        <f t="shared" si="76"/>
        <v>1666</v>
      </c>
      <c r="Z34" s="107">
        <f t="shared" si="76"/>
        <v>1675</v>
      </c>
      <c r="AA34" s="109">
        <f t="shared" si="76"/>
        <v>1671</v>
      </c>
      <c r="AB34" s="107">
        <f t="shared" si="76"/>
        <v>1916</v>
      </c>
      <c r="AC34" s="107">
        <f t="shared" si="76"/>
        <v>1986</v>
      </c>
      <c r="AD34" s="107">
        <f t="shared" si="76"/>
        <v>2140</v>
      </c>
      <c r="AE34" s="109">
        <f t="shared" si="76"/>
        <v>2308</v>
      </c>
      <c r="AF34" s="107">
        <f t="shared" si="76"/>
        <v>2401</v>
      </c>
      <c r="AG34" s="107">
        <f t="shared" si="76"/>
        <v>2513</v>
      </c>
      <c r="AH34" s="107">
        <f t="shared" si="76"/>
        <v>2605</v>
      </c>
      <c r="AI34" s="109">
        <f t="shared" si="76"/>
        <v>2629</v>
      </c>
      <c r="AJ34" s="108">
        <f t="shared" si="76"/>
        <v>2527</v>
      </c>
      <c r="AK34" s="107">
        <f t="shared" si="76"/>
        <v>2516</v>
      </c>
      <c r="AL34" s="107">
        <f t="shared" si="76"/>
        <v>2742</v>
      </c>
      <c r="AM34" s="109">
        <f t="shared" si="76"/>
        <v>2826</v>
      </c>
      <c r="AN34" s="108">
        <f>AN29-AN33</f>
        <v>2846</v>
      </c>
      <c r="AO34" s="107">
        <f>AO29-AO33</f>
        <v>2859</v>
      </c>
      <c r="AP34" s="107">
        <f>AP29-AP33</f>
        <v>2842</v>
      </c>
      <c r="AQ34" s="109">
        <f t="shared" si="76"/>
        <v>2990</v>
      </c>
      <c r="AR34" s="108">
        <f t="shared" si="76"/>
        <v>2995</v>
      </c>
      <c r="AS34" s="107">
        <f t="shared" ref="AS34:AW34" si="77">AS29-AS33</f>
        <v>3087</v>
      </c>
      <c r="AT34" s="107">
        <f t="shared" si="77"/>
        <v>2927</v>
      </c>
      <c r="AU34" s="109">
        <f t="shared" si="77"/>
        <v>3119</v>
      </c>
      <c r="AV34" s="108">
        <f t="shared" si="77"/>
        <v>3196</v>
      </c>
      <c r="AW34" s="107">
        <f t="shared" si="77"/>
        <v>3145</v>
      </c>
      <c r="AX34" s="107">
        <f t="shared" ref="AX34:BA34" si="78">AX29-AX33</f>
        <v>3069</v>
      </c>
      <c r="AY34" s="109">
        <f t="shared" si="78"/>
        <v>3280</v>
      </c>
      <c r="AZ34" s="108">
        <f t="shared" si="78"/>
        <v>3326</v>
      </c>
      <c r="BA34" s="107">
        <f t="shared" si="78"/>
        <v>3275</v>
      </c>
      <c r="BB34" s="107">
        <f t="shared" ref="BB34:BD34" si="79">BB29-BB33</f>
        <v>3110</v>
      </c>
      <c r="BC34" s="109">
        <f t="shared" si="79"/>
        <v>3274</v>
      </c>
      <c r="BD34" s="108">
        <f t="shared" si="79"/>
        <v>3311</v>
      </c>
      <c r="BE34" s="107">
        <f t="shared" ref="BE34:BG34" si="80">BE29-BE33</f>
        <v>3300</v>
      </c>
      <c r="BF34" s="107">
        <f t="shared" si="80"/>
        <v>3250</v>
      </c>
      <c r="BG34" s="1094">
        <f t="shared" si="80"/>
        <v>3250</v>
      </c>
      <c r="BH34" s="108">
        <f t="shared" ref="BH34:BK34" si="81">BH29-BH33</f>
        <v>3275</v>
      </c>
      <c r="BI34" s="107">
        <f t="shared" si="81"/>
        <v>3325</v>
      </c>
      <c r="BJ34" s="107">
        <f t="shared" si="81"/>
        <v>3300</v>
      </c>
      <c r="BK34" s="1094">
        <f t="shared" si="81"/>
        <v>3350</v>
      </c>
      <c r="BL34" s="35"/>
      <c r="BM34" s="107">
        <f t="shared" ref="BM34:BY34" si="82">BM29-BM33</f>
        <v>5145</v>
      </c>
      <c r="BN34" s="107">
        <f t="shared" si="82"/>
        <v>5873</v>
      </c>
      <c r="BO34" s="107">
        <f t="shared" si="82"/>
        <v>5755</v>
      </c>
      <c r="BP34" s="107">
        <f t="shared" si="82"/>
        <v>5722</v>
      </c>
      <c r="BQ34" s="107">
        <f t="shared" si="82"/>
        <v>5653</v>
      </c>
      <c r="BR34" s="107">
        <f t="shared" si="82"/>
        <v>6576</v>
      </c>
      <c r="BS34" s="107">
        <f t="shared" si="82"/>
        <v>8350</v>
      </c>
      <c r="BT34" s="107">
        <f t="shared" si="82"/>
        <v>10148</v>
      </c>
      <c r="BU34" s="107">
        <f t="shared" si="82"/>
        <v>10611</v>
      </c>
      <c r="BV34" s="107">
        <f t="shared" si="82"/>
        <v>11537</v>
      </c>
      <c r="BW34" s="107">
        <f>BW29-BW33</f>
        <v>12128</v>
      </c>
      <c r="BX34" s="107">
        <f t="shared" si="82"/>
        <v>12690</v>
      </c>
      <c r="BY34" s="107">
        <f t="shared" si="82"/>
        <v>12985</v>
      </c>
      <c r="BZ34" s="107">
        <f t="shared" ref="BZ34:CB34" si="83">BZ29-BZ33</f>
        <v>13111</v>
      </c>
      <c r="CA34" s="107">
        <f t="shared" si="83"/>
        <v>13250</v>
      </c>
      <c r="CB34" s="1094">
        <f t="shared" si="83"/>
        <v>13349.375</v>
      </c>
      <c r="CC34" s="37"/>
      <c r="CD34" s="26"/>
      <c r="CE34" s="26"/>
    </row>
    <row r="35" spans="1:89" ht="14.25" hidden="1" customHeight="1" outlineLevel="1">
      <c r="A35" s="18"/>
      <c r="B35" s="54" t="s">
        <v>109</v>
      </c>
      <c r="C35" s="62"/>
      <c r="D35" s="63">
        <f t="shared" ref="D35:AW35" si="84">D34/D8</f>
        <v>0.13419546321814713</v>
      </c>
      <c r="E35" s="63">
        <f t="shared" si="84"/>
        <v>0.127396815079623</v>
      </c>
      <c r="F35" s="63">
        <f t="shared" si="84"/>
        <v>0.13463855421686746</v>
      </c>
      <c r="G35" s="64">
        <f t="shared" si="84"/>
        <v>0.13351632192922264</v>
      </c>
      <c r="H35" s="63">
        <f t="shared" si="84"/>
        <v>0.17472035794183446</v>
      </c>
      <c r="I35" s="63">
        <f t="shared" si="84"/>
        <v>0.18678986140591833</v>
      </c>
      <c r="J35" s="63">
        <f t="shared" si="84"/>
        <v>0.15894267078613114</v>
      </c>
      <c r="K35" s="64">
        <f t="shared" si="84"/>
        <v>0.1471012997730555</v>
      </c>
      <c r="L35" s="63">
        <f t="shared" si="84"/>
        <v>0.15815634884771804</v>
      </c>
      <c r="M35" s="63">
        <f t="shared" si="84"/>
        <v>0.15587557603686636</v>
      </c>
      <c r="N35" s="63">
        <f t="shared" si="84"/>
        <v>0.15074331020812687</v>
      </c>
      <c r="O35" s="64">
        <f t="shared" si="84"/>
        <v>0.13825616131441373</v>
      </c>
      <c r="P35" s="63">
        <f t="shared" si="84"/>
        <v>0.15165925772769565</v>
      </c>
      <c r="Q35" s="63">
        <f t="shared" si="84"/>
        <v>0.15501583949313621</v>
      </c>
      <c r="R35" s="63">
        <f t="shared" si="84"/>
        <v>0.14397572672995987</v>
      </c>
      <c r="S35" s="64">
        <f t="shared" si="84"/>
        <v>0.1599805494772672</v>
      </c>
      <c r="T35" s="63">
        <f t="shared" si="84"/>
        <v>0.18432470258922323</v>
      </c>
      <c r="U35" s="63">
        <f t="shared" si="84"/>
        <v>0.1623878364905284</v>
      </c>
      <c r="V35" s="63">
        <f t="shared" si="84"/>
        <v>0.15230588987112578</v>
      </c>
      <c r="W35" s="64">
        <f t="shared" si="84"/>
        <v>0.15166997823824391</v>
      </c>
      <c r="X35" s="63">
        <f t="shared" si="84"/>
        <v>0.15185940382561414</v>
      </c>
      <c r="Y35" s="63">
        <f t="shared" si="84"/>
        <v>0.15476079888527636</v>
      </c>
      <c r="Z35" s="63">
        <f t="shared" si="84"/>
        <v>0.15087371644748693</v>
      </c>
      <c r="AA35" s="64">
        <f t="shared" si="84"/>
        <v>0.1458496988740508</v>
      </c>
      <c r="AB35" s="63">
        <f t="shared" si="84"/>
        <v>0.1491398770140889</v>
      </c>
      <c r="AC35" s="63">
        <f t="shared" si="84"/>
        <v>0.15239410681399632</v>
      </c>
      <c r="AD35" s="63">
        <f t="shared" si="84"/>
        <v>0.15035480924611819</v>
      </c>
      <c r="AE35" s="64">
        <f t="shared" si="84"/>
        <v>0.16619860301000935</v>
      </c>
      <c r="AF35" s="63">
        <f t="shared" si="84"/>
        <v>0.18603750193708352</v>
      </c>
      <c r="AG35" s="63">
        <f t="shared" si="84"/>
        <v>0.18613436041774684</v>
      </c>
      <c r="AH35" s="63">
        <f t="shared" si="84"/>
        <v>0.19357954967674815</v>
      </c>
      <c r="AI35" s="64">
        <f t="shared" si="84"/>
        <v>0.19507308748237739</v>
      </c>
      <c r="AJ35" s="65">
        <f t="shared" si="84"/>
        <v>0.20087440381558028</v>
      </c>
      <c r="AK35" s="63">
        <f t="shared" si="84"/>
        <v>0.19639372414331435</v>
      </c>
      <c r="AL35" s="63">
        <f t="shared" si="84"/>
        <v>0.20336720314470075</v>
      </c>
      <c r="AM35" s="64">
        <f t="shared" si="84"/>
        <v>0.20427931184039325</v>
      </c>
      <c r="AN35" s="65">
        <f t="shared" si="84"/>
        <v>0.22297085553118146</v>
      </c>
      <c r="AO35" s="63">
        <f t="shared" si="84"/>
        <v>0.20670956546887426</v>
      </c>
      <c r="AP35" s="63">
        <f t="shared" si="84"/>
        <v>0.19527277724336953</v>
      </c>
      <c r="AQ35" s="64">
        <f t="shared" si="84"/>
        <v>0.20311120168466817</v>
      </c>
      <c r="AR35" s="65">
        <f t="shared" si="84"/>
        <v>0.23433221187700493</v>
      </c>
      <c r="AS35" s="63">
        <f t="shared" si="84"/>
        <v>0.2339522546419098</v>
      </c>
      <c r="AT35" s="63">
        <f t="shared" si="84"/>
        <v>0.20235050120981679</v>
      </c>
      <c r="AU35" s="64">
        <f t="shared" si="84"/>
        <v>0.20913235885744938</v>
      </c>
      <c r="AV35" s="65">
        <f t="shared" si="84"/>
        <v>0.23325062034739455</v>
      </c>
      <c r="AW35" s="63">
        <f t="shared" si="84"/>
        <v>0.23239488657356092</v>
      </c>
      <c r="AX35" s="63">
        <f t="shared" ref="AX35:BA35" si="85">AX34/AX8</f>
        <v>0.19451134491063507</v>
      </c>
      <c r="AY35" s="64">
        <f t="shared" si="85"/>
        <v>0.20031757664590205</v>
      </c>
      <c r="AZ35" s="65">
        <f t="shared" si="85"/>
        <v>0.22479048391457152</v>
      </c>
      <c r="BA35" s="63">
        <f t="shared" si="85"/>
        <v>0.22183837973311657</v>
      </c>
      <c r="BB35" s="63">
        <f t="shared" ref="BB35:BD35" si="86">BB34/BB8</f>
        <v>0.19258158399900924</v>
      </c>
      <c r="BC35" s="64">
        <f t="shared" si="86"/>
        <v>0.19198967923532517</v>
      </c>
      <c r="BD35" s="65">
        <f t="shared" si="86"/>
        <v>0.20608738951823727</v>
      </c>
      <c r="BE35" s="63">
        <f t="shared" ref="BE35:BG35" si="87">BE34/BE8</f>
        <v>0.20232476706811992</v>
      </c>
      <c r="BF35" s="63">
        <f t="shared" si="87"/>
        <v>0.18516695399903865</v>
      </c>
      <c r="BG35" s="1097">
        <f t="shared" si="87"/>
        <v>0.18295670957586488</v>
      </c>
      <c r="BH35" s="65">
        <f t="shared" ref="BH35:BK35" si="88">BH34/BH8</f>
        <v>0.20302116923336172</v>
      </c>
      <c r="BI35" s="63">
        <f t="shared" si="88"/>
        <v>0.20168358172479364</v>
      </c>
      <c r="BJ35" s="63">
        <f t="shared" si="88"/>
        <v>0.18360749329453566</v>
      </c>
      <c r="BK35" s="1097">
        <f t="shared" si="88"/>
        <v>0.18283112785025507</v>
      </c>
      <c r="BL35" s="35"/>
      <c r="BM35" s="63">
        <f t="shared" ref="BM35:BY35" si="89">BM34/BM8</f>
        <v>0.13251429454489261</v>
      </c>
      <c r="BN35" s="63">
        <f t="shared" si="89"/>
        <v>0.16598835566107059</v>
      </c>
      <c r="BO35" s="63">
        <f t="shared" si="89"/>
        <v>0.15012782386393281</v>
      </c>
      <c r="BP35" s="63">
        <f t="shared" si="89"/>
        <v>0.15223753525248762</v>
      </c>
      <c r="BQ35" s="63">
        <f t="shared" si="89"/>
        <v>0.16093033848606486</v>
      </c>
      <c r="BR35" s="63">
        <f t="shared" si="89"/>
        <v>0.15074616601334159</v>
      </c>
      <c r="BS35" s="63">
        <f t="shared" si="89"/>
        <v>0.1546324931943184</v>
      </c>
      <c r="BT35" s="63">
        <f t="shared" si="89"/>
        <v>0.19024765190003937</v>
      </c>
      <c r="BU35" s="63">
        <f t="shared" si="89"/>
        <v>0.20131668816877893</v>
      </c>
      <c r="BV35" s="63">
        <f t="shared" si="89"/>
        <v>0.20649722570252371</v>
      </c>
      <c r="BW35" s="63">
        <f t="shared" si="89"/>
        <v>0.21909493270707253</v>
      </c>
      <c r="BX35" s="63">
        <f t="shared" si="89"/>
        <v>0.2136831293043932</v>
      </c>
      <c r="BY35" s="63">
        <f t="shared" si="89"/>
        <v>0.20689600229441851</v>
      </c>
      <c r="BZ35" s="63">
        <f t="shared" ref="BZ35:CB35" si="90">BZ34/BZ8</f>
        <v>0.19368638393218859</v>
      </c>
      <c r="CA35" s="63">
        <f t="shared" si="90"/>
        <v>0.1922697819920568</v>
      </c>
      <c r="CB35" s="1193">
        <f t="shared" si="90"/>
        <v>0.19179386669009627</v>
      </c>
      <c r="CC35" s="37"/>
      <c r="CD35" s="26"/>
      <c r="CE35" s="26"/>
    </row>
    <row r="36" spans="1:89" ht="14.25" customHeight="1" collapsed="1">
      <c r="A36" s="18"/>
      <c r="B36" s="141"/>
      <c r="C36" s="142"/>
      <c r="D36" s="69"/>
      <c r="E36" s="69"/>
      <c r="F36" s="69"/>
      <c r="G36" s="70"/>
      <c r="H36" s="69"/>
      <c r="I36" s="69"/>
      <c r="J36" s="69"/>
      <c r="K36" s="70"/>
      <c r="L36" s="69"/>
      <c r="M36" s="69"/>
      <c r="N36" s="69"/>
      <c r="O36" s="70"/>
      <c r="P36" s="69"/>
      <c r="Q36" s="69"/>
      <c r="R36" s="69"/>
      <c r="S36" s="70"/>
      <c r="T36" s="69"/>
      <c r="U36" s="69"/>
      <c r="V36" s="69"/>
      <c r="W36" s="70"/>
      <c r="X36" s="69"/>
      <c r="Y36" s="69"/>
      <c r="Z36" s="69"/>
      <c r="AA36" s="70"/>
      <c r="AB36" s="69"/>
      <c r="AC36" s="69"/>
      <c r="AD36" s="69"/>
      <c r="AE36" s="70"/>
      <c r="AF36" s="69"/>
      <c r="AG36" s="143" t="s">
        <v>2</v>
      </c>
      <c r="AH36" s="69"/>
      <c r="AI36" s="70"/>
      <c r="AJ36" s="71"/>
      <c r="AK36" s="69"/>
      <c r="AL36" s="69"/>
      <c r="AM36" s="70"/>
      <c r="AN36" s="71"/>
      <c r="AO36" s="69"/>
      <c r="AP36" s="69"/>
      <c r="AQ36" s="70"/>
      <c r="AR36" s="71"/>
      <c r="AS36" s="69"/>
      <c r="AT36" s="69"/>
      <c r="AU36" s="70"/>
      <c r="AV36" s="71" t="s">
        <v>2</v>
      </c>
      <c r="AW36" s="69"/>
      <c r="AX36" s="69"/>
      <c r="AY36" s="70"/>
      <c r="AZ36" s="71" t="s">
        <v>2</v>
      </c>
      <c r="BA36" s="69"/>
      <c r="BB36" s="69"/>
      <c r="BC36" s="70"/>
      <c r="BD36" s="71" t="s">
        <v>2</v>
      </c>
      <c r="BE36" s="69" t="s">
        <v>2</v>
      </c>
      <c r="BF36" s="69"/>
      <c r="BG36" s="1111"/>
      <c r="BH36" s="71" t="s">
        <v>2</v>
      </c>
      <c r="BI36" s="69" t="s">
        <v>2</v>
      </c>
      <c r="BJ36" s="69"/>
      <c r="BK36" s="1111"/>
      <c r="BL36" s="35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1173"/>
      <c r="CC36" s="37"/>
      <c r="CD36" s="26"/>
      <c r="CE36" s="26"/>
    </row>
    <row r="37" spans="1:89" s="127" customFormat="1" ht="14.25" customHeight="1">
      <c r="A37" s="51"/>
      <c r="B37" s="39" t="s">
        <v>112</v>
      </c>
      <c r="C37" s="89"/>
      <c r="D37" s="90">
        <v>1262</v>
      </c>
      <c r="E37" s="90">
        <v>1342</v>
      </c>
      <c r="F37" s="90">
        <v>1478</v>
      </c>
      <c r="G37" s="92">
        <f>5688-F37-E37-D37</f>
        <v>1606</v>
      </c>
      <c r="H37" s="90">
        <v>1644</v>
      </c>
      <c r="I37" s="90">
        <v>1593</v>
      </c>
      <c r="J37" s="90">
        <v>1425</v>
      </c>
      <c r="K37" s="92">
        <f>6096-J37-I37-H37</f>
        <v>1434</v>
      </c>
      <c r="L37" s="90">
        <v>1282</v>
      </c>
      <c r="M37" s="90">
        <v>1290</v>
      </c>
      <c r="N37" s="90">
        <v>1381</v>
      </c>
      <c r="O37" s="92">
        <f>5401-N37-M37-L37</f>
        <v>1448</v>
      </c>
      <c r="P37" s="90">
        <v>1349</v>
      </c>
      <c r="Q37" s="90">
        <v>1430</v>
      </c>
      <c r="R37" s="90">
        <v>1415</v>
      </c>
      <c r="S37" s="92">
        <f>5452-R37-Q37-P37</f>
        <v>1258</v>
      </c>
      <c r="T37" s="90">
        <v>1200</v>
      </c>
      <c r="U37" s="90">
        <v>2697</v>
      </c>
      <c r="V37" s="90">
        <v>1320</v>
      </c>
      <c r="W37" s="92">
        <f>7931-V37-U37-T37</f>
        <v>2714</v>
      </c>
      <c r="X37" s="90">
        <v>1514</v>
      </c>
      <c r="Y37" s="90">
        <v>1584</v>
      </c>
      <c r="Z37" s="90">
        <v>1506</v>
      </c>
      <c r="AA37" s="92">
        <f>6309-Z37-Y37-X37</f>
        <v>1705</v>
      </c>
      <c r="AB37" s="90">
        <v>1775</v>
      </c>
      <c r="AC37" s="90">
        <v>1905</v>
      </c>
      <c r="AD37" s="90">
        <v>2017</v>
      </c>
      <c r="AE37" s="92">
        <v>1973</v>
      </c>
      <c r="AF37" s="90">
        <v>1973</v>
      </c>
      <c r="AG37" s="90">
        <v>2131</v>
      </c>
      <c r="AH37" s="90">
        <v>1995</v>
      </c>
      <c r="AI37" s="92">
        <v>1958</v>
      </c>
      <c r="AJ37" s="136">
        <v>1947</v>
      </c>
      <c r="AK37" s="90">
        <v>2165</v>
      </c>
      <c r="AL37" s="90">
        <v>1970</v>
      </c>
      <c r="AM37" s="92">
        <v>2006</v>
      </c>
      <c r="AN37" s="136">
        <v>2047</v>
      </c>
      <c r="AO37" s="90">
        <v>2061</v>
      </c>
      <c r="AP37" s="90">
        <v>1979</v>
      </c>
      <c r="AQ37" s="92">
        <v>2049</v>
      </c>
      <c r="AR37" s="136">
        <v>1953</v>
      </c>
      <c r="AS37" s="90">
        <v>1949</v>
      </c>
      <c r="AT37" s="90">
        <v>1910</v>
      </c>
      <c r="AU37" s="92">
        <v>2118</v>
      </c>
      <c r="AV37" s="136">
        <v>2226</v>
      </c>
      <c r="AW37" s="90">
        <v>2007</v>
      </c>
      <c r="AX37" s="90">
        <v>2006</v>
      </c>
      <c r="AY37" s="92">
        <v>2158</v>
      </c>
      <c r="AZ37" s="136">
        <v>2104</v>
      </c>
      <c r="BA37" s="90">
        <v>1854</v>
      </c>
      <c r="BB37" s="90">
        <v>1666</v>
      </c>
      <c r="BC37" s="92">
        <v>1850</v>
      </c>
      <c r="BD37" s="136">
        <v>1900</v>
      </c>
      <c r="BE37" s="90">
        <v>1900</v>
      </c>
      <c r="BF37" s="90">
        <v>1850</v>
      </c>
      <c r="BG37" s="90">
        <v>1850</v>
      </c>
      <c r="BH37" s="136">
        <v>1875</v>
      </c>
      <c r="BI37" s="90">
        <v>1875</v>
      </c>
      <c r="BJ37" s="90">
        <v>1900</v>
      </c>
      <c r="BK37" s="1109">
        <v>1900</v>
      </c>
      <c r="BL37" s="1128"/>
      <c r="BM37" s="96">
        <f>SUM(D37:G37)</f>
        <v>5688</v>
      </c>
      <c r="BN37" s="96">
        <f>SUM(H37:K37)</f>
        <v>6096</v>
      </c>
      <c r="BO37" s="96">
        <f>SUM(L37:O37)</f>
        <v>5401</v>
      </c>
      <c r="BP37" s="96">
        <f>SUM(P37:S37)</f>
        <v>5452</v>
      </c>
      <c r="BQ37" s="96">
        <f>SUM(T37:W37)</f>
        <v>7931</v>
      </c>
      <c r="BR37" s="96">
        <f>SUM(X37:AA37)</f>
        <v>6309</v>
      </c>
      <c r="BS37" s="96">
        <f>SUM(AB37:AE37)</f>
        <v>7670</v>
      </c>
      <c r="BT37" s="96">
        <f>SUM(AF37:AI37)</f>
        <v>8057</v>
      </c>
      <c r="BU37" s="96">
        <f>SUM(AJ37:AM37)</f>
        <v>8088</v>
      </c>
      <c r="BV37" s="96">
        <f>SUM(AN37:AQ37)</f>
        <v>8136</v>
      </c>
      <c r="BW37" s="96">
        <f>SUM(AR37:AU37)</f>
        <v>7930</v>
      </c>
      <c r="BX37" s="96">
        <f>SUM(AV37:AY37)</f>
        <v>8397</v>
      </c>
      <c r="BY37" s="96">
        <f>SUM(AZ37:BC37)</f>
        <v>7474</v>
      </c>
      <c r="BZ37" s="96">
        <f>SUM(BD37:BG37)</f>
        <v>7500</v>
      </c>
      <c r="CA37" s="96">
        <f>SUM(BH37:BK37)</f>
        <v>7550</v>
      </c>
      <c r="CB37" s="1093">
        <f>CA37*(1+CB39*CB$11)</f>
        <v>7606.6250000000009</v>
      </c>
      <c r="CC37" s="99"/>
      <c r="CD37" s="100"/>
      <c r="CE37" s="100"/>
      <c r="CF37"/>
      <c r="CG37"/>
      <c r="CH37"/>
      <c r="CI37"/>
      <c r="CJ37"/>
      <c r="CK37"/>
    </row>
    <row r="38" spans="1:89" ht="14.25" customHeight="1">
      <c r="A38" s="18"/>
      <c r="B38" s="54" t="s">
        <v>109</v>
      </c>
      <c r="C38" s="62"/>
      <c r="D38" s="63">
        <f t="shared" ref="D38:AW38" si="91">D37/D8</f>
        <v>0.13377146491414035</v>
      </c>
      <c r="E38" s="63">
        <f t="shared" si="91"/>
        <v>0.1453796988408623</v>
      </c>
      <c r="F38" s="63">
        <f t="shared" si="91"/>
        <v>0.14839357429718875</v>
      </c>
      <c r="G38" s="64">
        <f t="shared" si="91"/>
        <v>0.1574355455347515</v>
      </c>
      <c r="H38" s="63">
        <f t="shared" si="91"/>
        <v>0.18389261744966443</v>
      </c>
      <c r="I38" s="63">
        <f t="shared" si="91"/>
        <v>0.19890123610937696</v>
      </c>
      <c r="J38" s="63">
        <f t="shared" si="91"/>
        <v>0.16306213525575008</v>
      </c>
      <c r="K38" s="64">
        <f t="shared" si="91"/>
        <v>0.14792655250670517</v>
      </c>
      <c r="L38" s="63">
        <f t="shared" si="91"/>
        <v>0.14482602801626751</v>
      </c>
      <c r="M38" s="63">
        <f t="shared" si="91"/>
        <v>0.14861751152073732</v>
      </c>
      <c r="N38" s="63">
        <f t="shared" si="91"/>
        <v>0.13686818632309217</v>
      </c>
      <c r="O38" s="64">
        <f t="shared" si="91"/>
        <v>0.13517550410754295</v>
      </c>
      <c r="P38" s="63">
        <f t="shared" si="91"/>
        <v>0.13946035356145972</v>
      </c>
      <c r="Q38" s="63">
        <f t="shared" si="91"/>
        <v>0.15100316789862725</v>
      </c>
      <c r="R38" s="63">
        <f t="shared" si="91"/>
        <v>0.1384946657531565</v>
      </c>
      <c r="S38" s="64">
        <f t="shared" si="91"/>
        <v>0.15292973498662776</v>
      </c>
      <c r="T38" s="63">
        <f t="shared" si="91"/>
        <v>0.16794961511546536</v>
      </c>
      <c r="U38" s="63">
        <f t="shared" si="91"/>
        <v>0.33611665004985047</v>
      </c>
      <c r="V38" s="63">
        <f t="shared" si="91"/>
        <v>0.1405900521887315</v>
      </c>
      <c r="W38" s="64">
        <f t="shared" si="91"/>
        <v>0.25678872173337119</v>
      </c>
      <c r="X38" s="63">
        <f t="shared" si="91"/>
        <v>0.14700456354985922</v>
      </c>
      <c r="Y38" s="63">
        <f t="shared" si="91"/>
        <v>0.14714352066883418</v>
      </c>
      <c r="Z38" s="63">
        <f t="shared" si="91"/>
        <v>0.13565123401188975</v>
      </c>
      <c r="AA38" s="64">
        <f t="shared" si="91"/>
        <v>0.14881731692415118</v>
      </c>
      <c r="AB38" s="63">
        <f t="shared" si="91"/>
        <v>0.13816455203549466</v>
      </c>
      <c r="AC38" s="63">
        <f t="shared" si="91"/>
        <v>0.14617863720073665</v>
      </c>
      <c r="AD38" s="63">
        <f t="shared" si="91"/>
        <v>0.14171292067729924</v>
      </c>
      <c r="AE38" s="64">
        <f t="shared" si="91"/>
        <v>0.14207532224382516</v>
      </c>
      <c r="AF38" s="63">
        <f t="shared" si="91"/>
        <v>0.15287463195412987</v>
      </c>
      <c r="AG38" s="63">
        <f t="shared" si="91"/>
        <v>0.15784015998814901</v>
      </c>
      <c r="AH38" s="63">
        <f t="shared" si="91"/>
        <v>0.14824998142230808</v>
      </c>
      <c r="AI38" s="64">
        <f t="shared" si="91"/>
        <v>0.14528455887808858</v>
      </c>
      <c r="AJ38" s="65">
        <f t="shared" si="91"/>
        <v>0.15476947535771066</v>
      </c>
      <c r="AK38" s="63">
        <f t="shared" si="91"/>
        <v>0.16899539458278043</v>
      </c>
      <c r="AL38" s="63">
        <f t="shared" si="91"/>
        <v>0.14610991619075872</v>
      </c>
      <c r="AM38" s="64">
        <f t="shared" si="91"/>
        <v>0.14500505999710858</v>
      </c>
      <c r="AN38" s="65">
        <f t="shared" si="91"/>
        <v>0.16037292384832341</v>
      </c>
      <c r="AO38" s="63">
        <f t="shared" si="91"/>
        <v>0.1490130865447184</v>
      </c>
      <c r="AP38" s="63">
        <f t="shared" si="91"/>
        <v>0.13597636388621684</v>
      </c>
      <c r="AQ38" s="64">
        <f t="shared" si="91"/>
        <v>0.13918891379661708</v>
      </c>
      <c r="AR38" s="65">
        <f t="shared" si="91"/>
        <v>0.15280494483999688</v>
      </c>
      <c r="AS38" s="63">
        <f t="shared" si="91"/>
        <v>0.14770746494884426</v>
      </c>
      <c r="AT38" s="63">
        <f t="shared" si="91"/>
        <v>0.13204286208088489</v>
      </c>
      <c r="AU38" s="64">
        <f t="shared" si="91"/>
        <v>0.14201421483170176</v>
      </c>
      <c r="AV38" s="65">
        <f t="shared" si="91"/>
        <v>0.16245803532331046</v>
      </c>
      <c r="AW38" s="63">
        <f t="shared" si="91"/>
        <v>0.14830414542230105</v>
      </c>
      <c r="AX38" s="63">
        <f t="shared" ref="AX38:BA38" si="92">AX37/AX8</f>
        <v>0.12713905437951578</v>
      </c>
      <c r="AY38" s="64">
        <f t="shared" si="92"/>
        <v>0.13179430804934653</v>
      </c>
      <c r="AZ38" s="65">
        <f t="shared" si="92"/>
        <v>0.14220059475533928</v>
      </c>
      <c r="BA38" s="63">
        <f t="shared" si="92"/>
        <v>0.12558423084738873</v>
      </c>
      <c r="BB38" s="63">
        <f t="shared" ref="BB38:BD38" si="93">BB37/BB8</f>
        <v>0.10316428261811877</v>
      </c>
      <c r="BC38" s="64">
        <f t="shared" si="93"/>
        <v>0.10848531050255088</v>
      </c>
      <c r="BD38" s="65">
        <f t="shared" si="93"/>
        <v>0.11826216855471182</v>
      </c>
      <c r="BE38" s="63">
        <f t="shared" ref="BE38:BG38" si="94">BE37/BE8</f>
        <v>0.11649001740285692</v>
      </c>
      <c r="BF38" s="63">
        <f t="shared" si="94"/>
        <v>0.10540272766099122</v>
      </c>
      <c r="BG38" s="1097">
        <f t="shared" si="94"/>
        <v>0.10414458852780001</v>
      </c>
      <c r="BH38" s="65">
        <f t="shared" ref="BH38:BK38" si="95">BH37/BH8</f>
        <v>0.11623349383589411</v>
      </c>
      <c r="BI38" s="63">
        <f t="shared" si="95"/>
        <v>0.11373134307789115</v>
      </c>
      <c r="BJ38" s="63">
        <f t="shared" si="95"/>
        <v>0.1057134052301872</v>
      </c>
      <c r="BK38" s="1097">
        <f t="shared" si="95"/>
        <v>0.10369526654193571</v>
      </c>
      <c r="BL38" s="35"/>
      <c r="BM38" s="63">
        <f t="shared" ref="BM38:BY38" si="96">BM37/BM8</f>
        <v>0.14649976819656932</v>
      </c>
      <c r="BN38" s="63">
        <f t="shared" si="96"/>
        <v>0.17229099542140072</v>
      </c>
      <c r="BO38" s="63">
        <f t="shared" si="96"/>
        <v>0.14089320185735901</v>
      </c>
      <c r="BP38" s="63">
        <f t="shared" si="96"/>
        <v>0.14505400947161176</v>
      </c>
      <c r="BQ38" s="63">
        <f t="shared" si="96"/>
        <v>0.22578073846329036</v>
      </c>
      <c r="BR38" s="63">
        <f t="shared" si="96"/>
        <v>0.14462554157210647</v>
      </c>
      <c r="BS38" s="63">
        <f t="shared" si="96"/>
        <v>0.14203966740124818</v>
      </c>
      <c r="BT38" s="63">
        <f t="shared" si="96"/>
        <v>0.15104703698843291</v>
      </c>
      <c r="BU38" s="63">
        <f t="shared" si="96"/>
        <v>0.15344919177354482</v>
      </c>
      <c r="BV38" s="63">
        <f t="shared" si="96"/>
        <v>0.14562376946482908</v>
      </c>
      <c r="BW38" s="137">
        <f t="shared" si="96"/>
        <v>0.14325715834161323</v>
      </c>
      <c r="BX38" s="137">
        <f t="shared" si="96"/>
        <v>0.14139458130567295</v>
      </c>
      <c r="BY38" s="137">
        <f t="shared" si="96"/>
        <v>0.119086693965998</v>
      </c>
      <c r="BZ38" s="137">
        <f t="shared" ref="BZ38:CB38" si="97">BZ37/BZ8</f>
        <v>0.11079611619948246</v>
      </c>
      <c r="CA38" s="137">
        <f t="shared" si="97"/>
        <v>0.10955749841811538</v>
      </c>
      <c r="CB38" s="1110">
        <f t="shared" si="97"/>
        <v>0.10928631649133788</v>
      </c>
      <c r="CC38" s="99" t="s">
        <v>2</v>
      </c>
      <c r="CD38" s="100"/>
      <c r="CE38" s="100"/>
    </row>
    <row r="39" spans="1:89" ht="14.25" hidden="1" customHeight="1" outlineLevel="1">
      <c r="A39" s="18"/>
      <c r="B39" s="54" t="s">
        <v>110</v>
      </c>
      <c r="C39" s="62"/>
      <c r="D39" s="63"/>
      <c r="E39" s="63">
        <f t="shared" ref="E39:BD39" si="98">(E37/D37-1)/E10</f>
        <v>-2.9459845580945152</v>
      </c>
      <c r="F39" s="63">
        <f t="shared" si="98"/>
        <v>1.2832391921645114</v>
      </c>
      <c r="G39" s="64">
        <f t="shared" si="98"/>
        <v>3.5791329541434784</v>
      </c>
      <c r="H39" s="63">
        <f t="shared" si="98"/>
        <v>-0.19141048190617546</v>
      </c>
      <c r="I39" s="63">
        <f t="shared" si="98"/>
        <v>0.29789018949877344</v>
      </c>
      <c r="J39" s="63">
        <f t="shared" si="98"/>
        <v>-1.1570415086551618</v>
      </c>
      <c r="K39" s="64">
        <f t="shared" si="98"/>
        <v>5.7794433728300371E-2</v>
      </c>
      <c r="L39" s="63">
        <f t="shared" si="98"/>
        <v>1.220352683555459</v>
      </c>
      <c r="M39" s="63">
        <f t="shared" si="98"/>
        <v>-0.32115517178827196</v>
      </c>
      <c r="N39" s="63">
        <f t="shared" si="98"/>
        <v>0.43426246632580112</v>
      </c>
      <c r="O39" s="64">
        <f t="shared" si="98"/>
        <v>0.78701299910824707</v>
      </c>
      <c r="P39" s="63">
        <f t="shared" si="98"/>
        <v>0.70489048649625841</v>
      </c>
      <c r="Q39" s="63">
        <f t="shared" si="98"/>
        <v>-2.8611341369450853</v>
      </c>
      <c r="R39" s="63">
        <f t="shared" si="98"/>
        <v>-0.13297947032886842</v>
      </c>
      <c r="S39" s="64">
        <f t="shared" si="98"/>
        <v>0.5693710034377315</v>
      </c>
      <c r="T39" s="63">
        <f t="shared" si="98"/>
        <v>0.35084101895877468</v>
      </c>
      <c r="U39" s="63">
        <f t="shared" si="98"/>
        <v>10.140372582480092</v>
      </c>
      <c r="V39" s="63">
        <f t="shared" si="98"/>
        <v>-3.0013128139935716</v>
      </c>
      <c r="W39" s="64">
        <f t="shared" si="98"/>
        <v>8.4028415511042578</v>
      </c>
      <c r="X39" s="63">
        <f t="shared" si="98"/>
        <v>17.307786784573789</v>
      </c>
      <c r="Y39" s="63">
        <f t="shared" si="98"/>
        <v>1.0218362522040352</v>
      </c>
      <c r="Z39" s="63">
        <f t="shared" si="98"/>
        <v>-1.5729812966459871</v>
      </c>
      <c r="AA39" s="64">
        <f t="shared" si="98"/>
        <v>4.132386884387329</v>
      </c>
      <c r="AB39" s="63">
        <f t="shared" si="98"/>
        <v>0.33839954429418329</v>
      </c>
      <c r="AC39" s="63">
        <f t="shared" si="98"/>
        <v>5.0859840121811777</v>
      </c>
      <c r="AD39" s="63">
        <f t="shared" si="98"/>
        <v>0.6379565585109519</v>
      </c>
      <c r="AE39" s="64">
        <f t="shared" si="98"/>
        <v>0.89736087189524849</v>
      </c>
      <c r="AF39" s="63">
        <f t="shared" si="98"/>
        <v>0</v>
      </c>
      <c r="AG39" s="63">
        <f t="shared" si="98"/>
        <v>1.7370195113017346</v>
      </c>
      <c r="AH39" s="137">
        <f t="shared" si="98"/>
        <v>19.582526342732642</v>
      </c>
      <c r="AI39" s="64">
        <f t="shared" si="98"/>
        <v>-12.478922305765076</v>
      </c>
      <c r="AJ39" s="137">
        <f t="shared" si="98"/>
        <v>8.4407450553029589E-2</v>
      </c>
      <c r="AK39" s="137">
        <f t="shared" si="98"/>
        <v>6.0976038171723825</v>
      </c>
      <c r="AL39" s="137">
        <f t="shared" si="98"/>
        <v>-1.7170797591553968</v>
      </c>
      <c r="AM39" s="64">
        <f t="shared" si="98"/>
        <v>0.70196537810750947</v>
      </c>
      <c r="AN39" s="137">
        <f t="shared" si="98"/>
        <v>-0.26425117171849066</v>
      </c>
      <c r="AO39" s="137">
        <f t="shared" si="98"/>
        <v>8.1814931124205015E-2</v>
      </c>
      <c r="AP39" s="137">
        <f t="shared" si="98"/>
        <v>-0.76111651342222508</v>
      </c>
      <c r="AQ39" s="64">
        <f t="shared" si="98"/>
        <v>3.0826068933381259</v>
      </c>
      <c r="AR39" s="137">
        <f t="shared" si="98"/>
        <v>0.35552067138609239</v>
      </c>
      <c r="AS39" s="137">
        <f t="shared" si="98"/>
        <v>-6.3229863136361683E-2</v>
      </c>
      <c r="AT39" s="137">
        <f t="shared" si="98"/>
        <v>-0.20790189194539499</v>
      </c>
      <c r="AU39" s="64">
        <f t="shared" si="98"/>
        <v>3.5083431476579725</v>
      </c>
      <c r="AV39" s="137">
        <f t="shared" si="98"/>
        <v>-0.62746472947578091</v>
      </c>
      <c r="AW39" s="594">
        <f t="shared" si="98"/>
        <v>7.9765705992121108</v>
      </c>
      <c r="AX39" s="137">
        <f t="shared" si="98"/>
        <v>-3.0035188643757339E-3</v>
      </c>
      <c r="AY39" s="64">
        <f t="shared" si="98"/>
        <v>2.0059419058261465</v>
      </c>
      <c r="AZ39" s="137">
        <f t="shared" si="98"/>
        <v>0.25965106403972171</v>
      </c>
      <c r="BA39" s="594">
        <f t="shared" si="98"/>
        <v>53.275146906325922</v>
      </c>
      <c r="BB39" s="137">
        <f t="shared" si="98"/>
        <v>-1.0800889150403712</v>
      </c>
      <c r="BC39" s="64">
        <f t="shared" si="98"/>
        <v>1.9729679482412474</v>
      </c>
      <c r="BD39" s="137">
        <f t="shared" si="98"/>
        <v>-0.46696240313261489</v>
      </c>
      <c r="BE39" s="137">
        <f t="shared" ref="BE39" si="99">(BE37/BD37-1)/BE10</f>
        <v>0</v>
      </c>
      <c r="BF39" s="594">
        <f t="shared" ref="BF39" si="100">(BF37/BE37-1)/BF10</f>
        <v>-0.3457788521185276</v>
      </c>
      <c r="BG39" s="1112">
        <f t="shared" ref="BG39" si="101">(BG37/BF37-1)/BG10</f>
        <v>0</v>
      </c>
      <c r="BH39" s="1023">
        <f t="shared" ref="BH39" si="102">(BH37/BG37-1)/BH10</f>
        <v>-0.14705014509467138</v>
      </c>
      <c r="BI39" s="137">
        <f t="shared" ref="BI39" si="103">(BI37/BH37-1)/BI10</f>
        <v>0</v>
      </c>
      <c r="BJ39" s="594">
        <f t="shared" ref="BJ39" si="104">(BJ37/BI37-1)/BJ10</f>
        <v>0.14783506152853293</v>
      </c>
      <c r="BK39" s="1112">
        <f t="shared" ref="BK39" si="105">(BK37/BJ37-1)/BK10</f>
        <v>0</v>
      </c>
      <c r="BL39" s="35"/>
      <c r="BM39" s="63"/>
      <c r="BN39" s="63">
        <f t="shared" ref="BN39:CA39" si="106">(BN37/BM37-1)/BN11</f>
        <v>-0.80864905394081121</v>
      </c>
      <c r="BO39" s="63">
        <f t="shared" si="106"/>
        <v>-1.3664881543008338</v>
      </c>
      <c r="BP39" s="63">
        <f t="shared" si="106"/>
        <v>-0.48392553567520896</v>
      </c>
      <c r="BQ39" s="63">
        <f t="shared" si="106"/>
        <v>-6.9500553016648414</v>
      </c>
      <c r="BR39" s="63">
        <f t="shared" si="106"/>
        <v>-0.84556978729679078</v>
      </c>
      <c r="BS39" s="63">
        <f t="shared" si="106"/>
        <v>0.90694962147917302</v>
      </c>
      <c r="BT39" s="63">
        <f t="shared" si="106"/>
        <v>-4.1407158114154248</v>
      </c>
      <c r="BU39" s="63">
        <f t="shared" si="106"/>
        <v>-0.32422445839585656</v>
      </c>
      <c r="BV39" s="63">
        <f t="shared" si="106"/>
        <v>9.8926983447729266E-2</v>
      </c>
      <c r="BW39" s="63">
        <f t="shared" si="106"/>
        <v>2.7468043264503268</v>
      </c>
      <c r="BX39" s="63">
        <f t="shared" si="106"/>
        <v>0.80850000125102583</v>
      </c>
      <c r="BY39" s="63">
        <f t="shared" si="106"/>
        <v>-1.9347455505145164</v>
      </c>
      <c r="BZ39" s="63">
        <f t="shared" si="106"/>
        <v>4.4277552910352326E-2</v>
      </c>
      <c r="CA39" s="63">
        <f t="shared" si="106"/>
        <v>0.3693919141530016</v>
      </c>
      <c r="CB39" s="1194">
        <v>0.75</v>
      </c>
      <c r="CC39" s="99" t="s">
        <v>2</v>
      </c>
      <c r="CD39" s="100"/>
      <c r="CE39" s="100"/>
    </row>
    <row r="40" spans="1:89" ht="14.25" hidden="1" customHeight="1" outlineLevel="1">
      <c r="A40" s="18"/>
      <c r="B40" s="139"/>
      <c r="C40" s="103"/>
      <c r="D40" s="104"/>
      <c r="E40" s="104"/>
      <c r="F40" s="104"/>
      <c r="G40" s="105"/>
      <c r="H40" s="104"/>
      <c r="I40" s="104"/>
      <c r="J40" s="104"/>
      <c r="K40" s="105"/>
      <c r="L40" s="104"/>
      <c r="M40" s="104"/>
      <c r="N40" s="104"/>
      <c r="O40" s="105"/>
      <c r="P40" s="104"/>
      <c r="Q40" s="104"/>
      <c r="R40" s="104"/>
      <c r="S40" s="105"/>
      <c r="T40" s="104"/>
      <c r="U40" s="104"/>
      <c r="V40" s="104"/>
      <c r="W40" s="105"/>
      <c r="X40" s="104"/>
      <c r="Y40" s="104"/>
      <c r="Z40" s="104"/>
      <c r="AA40" s="105"/>
      <c r="AB40" s="104"/>
      <c r="AC40" s="104"/>
      <c r="AD40" s="104"/>
      <c r="AE40" s="105"/>
      <c r="AF40" s="104"/>
      <c r="AG40" s="107"/>
      <c r="AH40" s="107"/>
      <c r="AI40" s="105"/>
      <c r="AJ40" s="108"/>
      <c r="AK40" s="107"/>
      <c r="AL40" s="107"/>
      <c r="AM40" s="105"/>
      <c r="AN40" s="108"/>
      <c r="AO40" s="107"/>
      <c r="AP40" s="107"/>
      <c r="AQ40" s="105"/>
      <c r="AR40" s="108"/>
      <c r="AS40" s="107"/>
      <c r="AT40" s="107"/>
      <c r="AU40" s="105"/>
      <c r="AV40" s="108"/>
      <c r="AW40" s="107"/>
      <c r="AX40" s="107"/>
      <c r="AY40" s="105"/>
      <c r="AZ40" s="108"/>
      <c r="BA40" s="107"/>
      <c r="BB40" s="107"/>
      <c r="BC40" s="105"/>
      <c r="BD40" s="108"/>
      <c r="BE40" s="107"/>
      <c r="BF40" s="107"/>
      <c r="BG40" s="1094"/>
      <c r="BH40" s="108"/>
      <c r="BI40" s="107"/>
      <c r="BJ40" s="107"/>
      <c r="BK40" s="1094"/>
      <c r="BL40" s="35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578"/>
      <c r="BX40" s="578"/>
      <c r="BY40" s="107"/>
      <c r="BZ40" s="107"/>
      <c r="CA40" s="107"/>
      <c r="CB40" s="1094"/>
      <c r="CC40" s="37"/>
      <c r="CD40" s="26"/>
      <c r="CE40" s="26"/>
    </row>
    <row r="41" spans="1:89" s="121" customFormat="1" ht="14.25" hidden="1" customHeight="1" outlineLevel="1">
      <c r="A41" s="110"/>
      <c r="B41" s="111" t="s">
        <v>102</v>
      </c>
      <c r="C41" s="140"/>
      <c r="D41" s="113">
        <v>0</v>
      </c>
      <c r="E41" s="113">
        <v>0</v>
      </c>
      <c r="F41" s="113">
        <v>0</v>
      </c>
      <c r="G41" s="114">
        <v>0</v>
      </c>
      <c r="H41" s="113">
        <v>0</v>
      </c>
      <c r="I41" s="113">
        <v>0</v>
      </c>
      <c r="J41" s="113">
        <v>0</v>
      </c>
      <c r="K41" s="114">
        <v>0</v>
      </c>
      <c r="L41" s="113">
        <v>0</v>
      </c>
      <c r="M41" s="113">
        <v>0</v>
      </c>
      <c r="N41" s="113">
        <v>0</v>
      </c>
      <c r="O41" s="114">
        <v>0</v>
      </c>
      <c r="P41" s="113">
        <v>0</v>
      </c>
      <c r="Q41" s="113">
        <v>0</v>
      </c>
      <c r="R41" s="113">
        <v>0</v>
      </c>
      <c r="S41" s="114">
        <v>0</v>
      </c>
      <c r="T41" s="113">
        <v>0</v>
      </c>
      <c r="U41" s="113">
        <v>0</v>
      </c>
      <c r="V41" s="113">
        <v>0</v>
      </c>
      <c r="W41" s="114">
        <v>0</v>
      </c>
      <c r="X41" s="113">
        <v>0</v>
      </c>
      <c r="Y41" s="113">
        <v>0</v>
      </c>
      <c r="Z41" s="113">
        <v>0</v>
      </c>
      <c r="AA41" s="114">
        <v>0</v>
      </c>
      <c r="AB41" s="113">
        <v>0</v>
      </c>
      <c r="AC41" s="113">
        <v>0</v>
      </c>
      <c r="AD41" s="113">
        <v>0</v>
      </c>
      <c r="AE41" s="114">
        <v>0</v>
      </c>
      <c r="AF41" s="113">
        <v>0</v>
      </c>
      <c r="AG41" s="113">
        <v>0</v>
      </c>
      <c r="AH41" s="113">
        <v>0</v>
      </c>
      <c r="AI41" s="114">
        <v>0</v>
      </c>
      <c r="AJ41" s="115">
        <v>0</v>
      </c>
      <c r="AK41" s="113">
        <v>0</v>
      </c>
      <c r="AL41" s="113">
        <v>0</v>
      </c>
      <c r="AM41" s="114">
        <v>0</v>
      </c>
      <c r="AN41" s="115">
        <v>0</v>
      </c>
      <c r="AO41" s="113">
        <v>0</v>
      </c>
      <c r="AP41" s="113">
        <v>0</v>
      </c>
      <c r="AQ41" s="114">
        <v>0</v>
      </c>
      <c r="AR41" s="115">
        <v>0</v>
      </c>
      <c r="AS41" s="113">
        <v>0</v>
      </c>
      <c r="AT41" s="113">
        <v>0</v>
      </c>
      <c r="AU41" s="114">
        <v>0</v>
      </c>
      <c r="AV41" s="115">
        <v>50</v>
      </c>
      <c r="AW41" s="113">
        <v>0</v>
      </c>
      <c r="AX41" s="113">
        <v>0</v>
      </c>
      <c r="AY41" s="114">
        <v>0</v>
      </c>
      <c r="AZ41" s="115">
        <v>0</v>
      </c>
      <c r="BA41" s="113">
        <v>0</v>
      </c>
      <c r="BB41" s="113">
        <v>0</v>
      </c>
      <c r="BC41" s="114">
        <v>0</v>
      </c>
      <c r="BD41" s="115">
        <v>0</v>
      </c>
      <c r="BE41" s="113">
        <v>0</v>
      </c>
      <c r="BF41" s="113">
        <v>0</v>
      </c>
      <c r="BG41" s="1103">
        <v>0</v>
      </c>
      <c r="BH41" s="115">
        <v>0</v>
      </c>
      <c r="BI41" s="113">
        <v>0</v>
      </c>
      <c r="BJ41" s="113">
        <v>0</v>
      </c>
      <c r="BK41" s="1103">
        <v>0</v>
      </c>
      <c r="BL41" s="116"/>
      <c r="BM41" s="117">
        <f>SUM(D41:G41)</f>
        <v>0</v>
      </c>
      <c r="BN41" s="117">
        <f>SUM(H41:K41)</f>
        <v>0</v>
      </c>
      <c r="BO41" s="117">
        <f>SUM(L41:O41)</f>
        <v>0</v>
      </c>
      <c r="BP41" s="117">
        <f>SUM(P41:S41)</f>
        <v>0</v>
      </c>
      <c r="BQ41" s="117">
        <f>SUM(T41:W41)</f>
        <v>0</v>
      </c>
      <c r="BR41" s="117">
        <f>SUM(X41:AA41)</f>
        <v>0</v>
      </c>
      <c r="BS41" s="117">
        <f>SUM(AB41:AE41)</f>
        <v>0</v>
      </c>
      <c r="BT41" s="117">
        <f>SUM(AF41:AI41)</f>
        <v>0</v>
      </c>
      <c r="BU41" s="117">
        <f>SUM(AJ41:AM41)</f>
        <v>0</v>
      </c>
      <c r="BV41" s="117">
        <f>SUM(AN41:AQ41)</f>
        <v>0</v>
      </c>
      <c r="BW41" s="595">
        <f>SUM(AR41:AU41)</f>
        <v>0</v>
      </c>
      <c r="BX41" s="595">
        <f>SUM(AV41:AY41)</f>
        <v>50</v>
      </c>
      <c r="BY41" s="117">
        <f>SUM(AZ41:BC41)</f>
        <v>0</v>
      </c>
      <c r="BZ41" s="117">
        <f>SUM(BD41:BG41)</f>
        <v>0</v>
      </c>
      <c r="CA41" s="117">
        <f>SUM(BH41:BK41)</f>
        <v>0</v>
      </c>
      <c r="CB41" s="1103">
        <v>0</v>
      </c>
      <c r="CC41" s="119"/>
      <c r="CD41" s="120"/>
      <c r="CE41" s="120"/>
      <c r="CF41"/>
      <c r="CG41"/>
      <c r="CH41"/>
      <c r="CI41"/>
      <c r="CJ41"/>
      <c r="CK41"/>
    </row>
    <row r="42" spans="1:89" ht="14.25" hidden="1" customHeight="1" outlineLevel="1">
      <c r="A42" s="18"/>
      <c r="B42" s="39" t="s">
        <v>113</v>
      </c>
      <c r="C42" s="68"/>
      <c r="D42" s="107">
        <f>D37-D41</f>
        <v>1262</v>
      </c>
      <c r="E42" s="107">
        <f t="shared" ref="E42:AR42" si="107">E37-E41</f>
        <v>1342</v>
      </c>
      <c r="F42" s="107">
        <f t="shared" si="107"/>
        <v>1478</v>
      </c>
      <c r="G42" s="109">
        <f t="shared" si="107"/>
        <v>1606</v>
      </c>
      <c r="H42" s="107">
        <f t="shared" si="107"/>
        <v>1644</v>
      </c>
      <c r="I42" s="107">
        <f t="shared" si="107"/>
        <v>1593</v>
      </c>
      <c r="J42" s="107">
        <f t="shared" si="107"/>
        <v>1425</v>
      </c>
      <c r="K42" s="109">
        <f t="shared" si="107"/>
        <v>1434</v>
      </c>
      <c r="L42" s="107">
        <f t="shared" si="107"/>
        <v>1282</v>
      </c>
      <c r="M42" s="107">
        <f t="shared" si="107"/>
        <v>1290</v>
      </c>
      <c r="N42" s="107">
        <f t="shared" si="107"/>
        <v>1381</v>
      </c>
      <c r="O42" s="109">
        <f t="shared" si="107"/>
        <v>1448</v>
      </c>
      <c r="P42" s="107">
        <f t="shared" si="107"/>
        <v>1349</v>
      </c>
      <c r="Q42" s="107">
        <f t="shared" si="107"/>
        <v>1430</v>
      </c>
      <c r="R42" s="107">
        <f t="shared" si="107"/>
        <v>1415</v>
      </c>
      <c r="S42" s="109">
        <f t="shared" si="107"/>
        <v>1258</v>
      </c>
      <c r="T42" s="107">
        <f t="shared" si="107"/>
        <v>1200</v>
      </c>
      <c r="U42" s="107">
        <f t="shared" si="107"/>
        <v>2697</v>
      </c>
      <c r="V42" s="107">
        <f t="shared" si="107"/>
        <v>1320</v>
      </c>
      <c r="W42" s="109">
        <f t="shared" si="107"/>
        <v>2714</v>
      </c>
      <c r="X42" s="107">
        <f t="shared" si="107"/>
        <v>1514</v>
      </c>
      <c r="Y42" s="107">
        <f t="shared" si="107"/>
        <v>1584</v>
      </c>
      <c r="Z42" s="107">
        <f t="shared" si="107"/>
        <v>1506</v>
      </c>
      <c r="AA42" s="109">
        <f t="shared" si="107"/>
        <v>1705</v>
      </c>
      <c r="AB42" s="107">
        <f t="shared" si="107"/>
        <v>1775</v>
      </c>
      <c r="AC42" s="107">
        <f t="shared" si="107"/>
        <v>1905</v>
      </c>
      <c r="AD42" s="107">
        <f t="shared" si="107"/>
        <v>2017</v>
      </c>
      <c r="AE42" s="109">
        <f t="shared" si="107"/>
        <v>1973</v>
      </c>
      <c r="AF42" s="107">
        <f t="shared" si="107"/>
        <v>1973</v>
      </c>
      <c r="AG42" s="107">
        <f t="shared" si="107"/>
        <v>2131</v>
      </c>
      <c r="AH42" s="107">
        <f t="shared" si="107"/>
        <v>1995</v>
      </c>
      <c r="AI42" s="109">
        <f t="shared" si="107"/>
        <v>1958</v>
      </c>
      <c r="AJ42" s="108">
        <f t="shared" si="107"/>
        <v>1947</v>
      </c>
      <c r="AK42" s="107">
        <f t="shared" si="107"/>
        <v>2165</v>
      </c>
      <c r="AL42" s="107">
        <f t="shared" si="107"/>
        <v>1970</v>
      </c>
      <c r="AM42" s="109">
        <f t="shared" si="107"/>
        <v>2006</v>
      </c>
      <c r="AN42" s="108">
        <f>AN37-AN41</f>
        <v>2047</v>
      </c>
      <c r="AO42" s="107">
        <f>AO37-AO41</f>
        <v>2061</v>
      </c>
      <c r="AP42" s="107">
        <f>AP37-AP41</f>
        <v>1979</v>
      </c>
      <c r="AQ42" s="109">
        <f t="shared" si="107"/>
        <v>2049</v>
      </c>
      <c r="AR42" s="108">
        <f t="shared" si="107"/>
        <v>1953</v>
      </c>
      <c r="AS42" s="107">
        <f t="shared" ref="AS42:AW42" si="108">AS37-AS41</f>
        <v>1949</v>
      </c>
      <c r="AT42" s="107">
        <f t="shared" si="108"/>
        <v>1910</v>
      </c>
      <c r="AU42" s="109">
        <f t="shared" si="108"/>
        <v>2118</v>
      </c>
      <c r="AV42" s="108">
        <f t="shared" si="108"/>
        <v>2176</v>
      </c>
      <c r="AW42" s="107">
        <f t="shared" si="108"/>
        <v>2007</v>
      </c>
      <c r="AX42" s="107">
        <f>AX37-AX41</f>
        <v>2006</v>
      </c>
      <c r="AY42" s="109">
        <f t="shared" ref="AY42:BA42" si="109">AY37-AY41</f>
        <v>2158</v>
      </c>
      <c r="AZ42" s="108">
        <f t="shared" si="109"/>
        <v>2104</v>
      </c>
      <c r="BA42" s="107">
        <f t="shared" si="109"/>
        <v>1854</v>
      </c>
      <c r="BB42" s="107">
        <f>BB37-BB41</f>
        <v>1666</v>
      </c>
      <c r="BC42" s="109">
        <f t="shared" ref="BC42:BD42" si="110">BC37-BC41</f>
        <v>1850</v>
      </c>
      <c r="BD42" s="108">
        <f t="shared" si="110"/>
        <v>1900</v>
      </c>
      <c r="BE42" s="107">
        <f t="shared" ref="BE42:BG42" si="111">BE37-BE41</f>
        <v>1900</v>
      </c>
      <c r="BF42" s="107">
        <f t="shared" si="111"/>
        <v>1850</v>
      </c>
      <c r="BG42" s="1094">
        <f t="shared" si="111"/>
        <v>1850</v>
      </c>
      <c r="BH42" s="108">
        <f t="shared" ref="BH42:BK42" si="112">BH37-BH41</f>
        <v>1875</v>
      </c>
      <c r="BI42" s="107">
        <f t="shared" si="112"/>
        <v>1875</v>
      </c>
      <c r="BJ42" s="107">
        <f t="shared" si="112"/>
        <v>1900</v>
      </c>
      <c r="BK42" s="1094">
        <f t="shared" si="112"/>
        <v>1900</v>
      </c>
      <c r="BL42" s="35"/>
      <c r="BM42" s="107">
        <f t="shared" ref="BM42:BY42" si="113">BM37-BM41</f>
        <v>5688</v>
      </c>
      <c r="BN42" s="107">
        <f t="shared" si="113"/>
        <v>6096</v>
      </c>
      <c r="BO42" s="107">
        <f t="shared" si="113"/>
        <v>5401</v>
      </c>
      <c r="BP42" s="107">
        <f t="shared" si="113"/>
        <v>5452</v>
      </c>
      <c r="BQ42" s="107">
        <f t="shared" si="113"/>
        <v>7931</v>
      </c>
      <c r="BR42" s="107">
        <f t="shared" si="113"/>
        <v>6309</v>
      </c>
      <c r="BS42" s="107">
        <f t="shared" si="113"/>
        <v>7670</v>
      </c>
      <c r="BT42" s="107">
        <f t="shared" si="113"/>
        <v>8057</v>
      </c>
      <c r="BU42" s="107">
        <f t="shared" si="113"/>
        <v>8088</v>
      </c>
      <c r="BV42" s="107">
        <f t="shared" si="113"/>
        <v>8136</v>
      </c>
      <c r="BW42" s="107">
        <f>BW37-BW41</f>
        <v>7930</v>
      </c>
      <c r="BX42" s="107">
        <f t="shared" si="113"/>
        <v>8347</v>
      </c>
      <c r="BY42" s="107">
        <f t="shared" si="113"/>
        <v>7474</v>
      </c>
      <c r="BZ42" s="107">
        <f t="shared" ref="BZ42:CB42" si="114">BZ37-BZ41</f>
        <v>7500</v>
      </c>
      <c r="CA42" s="107">
        <f t="shared" si="114"/>
        <v>7550</v>
      </c>
      <c r="CB42" s="1094">
        <f t="shared" si="114"/>
        <v>7606.6250000000009</v>
      </c>
      <c r="CC42" s="37"/>
      <c r="CD42" s="26"/>
      <c r="CE42" s="26"/>
    </row>
    <row r="43" spans="1:89" ht="14.25" hidden="1" customHeight="1" outlineLevel="1">
      <c r="A43" s="18"/>
      <c r="B43" s="54" t="s">
        <v>109</v>
      </c>
      <c r="C43" s="62"/>
      <c r="D43" s="63">
        <f t="shared" ref="D43:AW43" si="115">D42/D8</f>
        <v>0.13377146491414035</v>
      </c>
      <c r="E43" s="63">
        <f t="shared" si="115"/>
        <v>0.1453796988408623</v>
      </c>
      <c r="F43" s="63">
        <f t="shared" si="115"/>
        <v>0.14839357429718875</v>
      </c>
      <c r="G43" s="64">
        <f t="shared" si="115"/>
        <v>0.1574355455347515</v>
      </c>
      <c r="H43" s="63">
        <f t="shared" si="115"/>
        <v>0.18389261744966443</v>
      </c>
      <c r="I43" s="63">
        <f t="shared" si="115"/>
        <v>0.19890123610937696</v>
      </c>
      <c r="J43" s="63">
        <f t="shared" si="115"/>
        <v>0.16306213525575008</v>
      </c>
      <c r="K43" s="64">
        <f t="shared" si="115"/>
        <v>0.14792655250670517</v>
      </c>
      <c r="L43" s="63">
        <f t="shared" si="115"/>
        <v>0.14482602801626751</v>
      </c>
      <c r="M43" s="63">
        <f t="shared" si="115"/>
        <v>0.14861751152073732</v>
      </c>
      <c r="N43" s="63">
        <f t="shared" si="115"/>
        <v>0.13686818632309217</v>
      </c>
      <c r="O43" s="64">
        <f t="shared" si="115"/>
        <v>0.13517550410754295</v>
      </c>
      <c r="P43" s="63">
        <f t="shared" si="115"/>
        <v>0.13946035356145972</v>
      </c>
      <c r="Q43" s="63">
        <f t="shared" si="115"/>
        <v>0.15100316789862725</v>
      </c>
      <c r="R43" s="63">
        <f t="shared" si="115"/>
        <v>0.1384946657531565</v>
      </c>
      <c r="S43" s="64">
        <f t="shared" si="115"/>
        <v>0.15292973498662776</v>
      </c>
      <c r="T43" s="63">
        <f t="shared" si="115"/>
        <v>0.16794961511546536</v>
      </c>
      <c r="U43" s="63">
        <f t="shared" si="115"/>
        <v>0.33611665004985047</v>
      </c>
      <c r="V43" s="63">
        <f t="shared" si="115"/>
        <v>0.1405900521887315</v>
      </c>
      <c r="W43" s="64">
        <f t="shared" si="115"/>
        <v>0.25678872173337119</v>
      </c>
      <c r="X43" s="63">
        <f t="shared" si="115"/>
        <v>0.14700456354985922</v>
      </c>
      <c r="Y43" s="63">
        <f t="shared" si="115"/>
        <v>0.14714352066883418</v>
      </c>
      <c r="Z43" s="63">
        <f t="shared" si="115"/>
        <v>0.13565123401188975</v>
      </c>
      <c r="AA43" s="64">
        <f t="shared" si="115"/>
        <v>0.14881731692415118</v>
      </c>
      <c r="AB43" s="63">
        <f t="shared" si="115"/>
        <v>0.13816455203549466</v>
      </c>
      <c r="AC43" s="63">
        <f t="shared" si="115"/>
        <v>0.14617863720073665</v>
      </c>
      <c r="AD43" s="63">
        <f t="shared" si="115"/>
        <v>0.14171292067729924</v>
      </c>
      <c r="AE43" s="64">
        <f t="shared" si="115"/>
        <v>0.14207532224382516</v>
      </c>
      <c r="AF43" s="63">
        <f t="shared" si="115"/>
        <v>0.15287463195412987</v>
      </c>
      <c r="AG43" s="63">
        <f t="shared" si="115"/>
        <v>0.15784015998814901</v>
      </c>
      <c r="AH43" s="63">
        <f t="shared" si="115"/>
        <v>0.14824998142230808</v>
      </c>
      <c r="AI43" s="64">
        <f t="shared" si="115"/>
        <v>0.14528455887808858</v>
      </c>
      <c r="AJ43" s="65">
        <f t="shared" si="115"/>
        <v>0.15476947535771066</v>
      </c>
      <c r="AK43" s="63">
        <f t="shared" si="115"/>
        <v>0.16899539458278043</v>
      </c>
      <c r="AL43" s="63">
        <f t="shared" si="115"/>
        <v>0.14610991619075872</v>
      </c>
      <c r="AM43" s="64">
        <f t="shared" si="115"/>
        <v>0.14500505999710858</v>
      </c>
      <c r="AN43" s="65">
        <f t="shared" si="115"/>
        <v>0.16037292384832341</v>
      </c>
      <c r="AO43" s="63">
        <f t="shared" si="115"/>
        <v>0.1490130865447184</v>
      </c>
      <c r="AP43" s="63">
        <f t="shared" si="115"/>
        <v>0.13597636388621684</v>
      </c>
      <c r="AQ43" s="64">
        <f t="shared" si="115"/>
        <v>0.13918891379661708</v>
      </c>
      <c r="AR43" s="65">
        <f t="shared" si="115"/>
        <v>0.15280494483999688</v>
      </c>
      <c r="AS43" s="63">
        <f t="shared" si="115"/>
        <v>0.14770746494884426</v>
      </c>
      <c r="AT43" s="63">
        <f t="shared" si="115"/>
        <v>0.13204286208088489</v>
      </c>
      <c r="AU43" s="64">
        <f t="shared" si="115"/>
        <v>0.14201421483170176</v>
      </c>
      <c r="AV43" s="65">
        <f t="shared" si="115"/>
        <v>0.15880893300248139</v>
      </c>
      <c r="AW43" s="63">
        <f t="shared" si="115"/>
        <v>0.14830414542230105</v>
      </c>
      <c r="AX43" s="63">
        <f t="shared" ref="AX43:BA43" si="116">AX42/AX8</f>
        <v>0.12713905437951578</v>
      </c>
      <c r="AY43" s="64">
        <f t="shared" si="116"/>
        <v>0.13179430804934653</v>
      </c>
      <c r="AZ43" s="65">
        <f t="shared" si="116"/>
        <v>0.14220059475533928</v>
      </c>
      <c r="BA43" s="63">
        <f t="shared" si="116"/>
        <v>0.12558423084738873</v>
      </c>
      <c r="BB43" s="63">
        <f t="shared" ref="BB43:BD43" si="117">BB42/BB8</f>
        <v>0.10316428261811877</v>
      </c>
      <c r="BC43" s="64">
        <f t="shared" si="117"/>
        <v>0.10848531050255088</v>
      </c>
      <c r="BD43" s="65">
        <f t="shared" si="117"/>
        <v>0.11826216855471182</v>
      </c>
      <c r="BE43" s="63">
        <f t="shared" ref="BE43:BG43" si="118">BE42/BE8</f>
        <v>0.11649001740285692</v>
      </c>
      <c r="BF43" s="63">
        <f t="shared" si="118"/>
        <v>0.10540272766099122</v>
      </c>
      <c r="BG43" s="1097">
        <f t="shared" si="118"/>
        <v>0.10414458852780001</v>
      </c>
      <c r="BH43" s="65">
        <f t="shared" ref="BH43:BK43" si="119">BH42/BH8</f>
        <v>0.11623349383589411</v>
      </c>
      <c r="BI43" s="63">
        <f t="shared" si="119"/>
        <v>0.11373134307789115</v>
      </c>
      <c r="BJ43" s="63">
        <f t="shared" si="119"/>
        <v>0.1057134052301872</v>
      </c>
      <c r="BK43" s="1097">
        <f t="shared" si="119"/>
        <v>0.10369526654193571</v>
      </c>
      <c r="BL43" s="35"/>
      <c r="BM43" s="63">
        <f t="shared" ref="BM43:BY43" si="120">BM42/BM8</f>
        <v>0.14649976819656932</v>
      </c>
      <c r="BN43" s="63">
        <f t="shared" si="120"/>
        <v>0.17229099542140072</v>
      </c>
      <c r="BO43" s="63">
        <f t="shared" si="120"/>
        <v>0.14089320185735901</v>
      </c>
      <c r="BP43" s="63">
        <f t="shared" si="120"/>
        <v>0.14505400947161176</v>
      </c>
      <c r="BQ43" s="63">
        <f t="shared" si="120"/>
        <v>0.22578073846329036</v>
      </c>
      <c r="BR43" s="63">
        <f t="shared" si="120"/>
        <v>0.14462554157210647</v>
      </c>
      <c r="BS43" s="63">
        <f t="shared" si="120"/>
        <v>0.14203966740124818</v>
      </c>
      <c r="BT43" s="63">
        <f t="shared" si="120"/>
        <v>0.15104703698843291</v>
      </c>
      <c r="BU43" s="63">
        <f t="shared" si="120"/>
        <v>0.15344919177354482</v>
      </c>
      <c r="BV43" s="63">
        <f t="shared" si="120"/>
        <v>0.14562376946482908</v>
      </c>
      <c r="BW43" s="63">
        <f t="shared" si="120"/>
        <v>0.14325715834161323</v>
      </c>
      <c r="BX43" s="63">
        <f t="shared" si="120"/>
        <v>0.14055264620203076</v>
      </c>
      <c r="BY43" s="63">
        <f t="shared" si="120"/>
        <v>0.119086693965998</v>
      </c>
      <c r="BZ43" s="63">
        <f t="shared" ref="BZ43:CB43" si="121">BZ42/BZ8</f>
        <v>0.11079611619948246</v>
      </c>
      <c r="CA43" s="63">
        <f t="shared" si="121"/>
        <v>0.10955749841811538</v>
      </c>
      <c r="CB43" s="1193">
        <f t="shared" si="121"/>
        <v>0.10928631649133788</v>
      </c>
      <c r="CC43" s="37"/>
      <c r="CD43" s="26"/>
      <c r="CE43" s="26"/>
    </row>
    <row r="44" spans="1:89" ht="14.25" customHeight="1" collapsed="1">
      <c r="A44" s="18"/>
      <c r="B44" s="141"/>
      <c r="C44" s="142"/>
      <c r="D44" s="69"/>
      <c r="E44" s="69"/>
      <c r="F44" s="143"/>
      <c r="G44" s="70"/>
      <c r="H44" s="69"/>
      <c r="I44" s="69"/>
      <c r="J44" s="143"/>
      <c r="K44" s="70"/>
      <c r="L44" s="69"/>
      <c r="M44" s="69"/>
      <c r="N44" s="143"/>
      <c r="O44" s="70"/>
      <c r="P44" s="69"/>
      <c r="Q44" s="69"/>
      <c r="R44" s="143"/>
      <c r="S44" s="70"/>
      <c r="T44" s="69"/>
      <c r="U44" s="69"/>
      <c r="V44" s="143"/>
      <c r="W44" s="70"/>
      <c r="X44" s="69"/>
      <c r="Y44" s="69"/>
      <c r="Z44" s="143"/>
      <c r="AA44" s="70"/>
      <c r="AB44" s="69"/>
      <c r="AC44" s="69"/>
      <c r="AD44" s="143"/>
      <c r="AE44" s="70"/>
      <c r="AF44" s="69"/>
      <c r="AG44" s="69"/>
      <c r="AH44" s="69"/>
      <c r="AI44" s="70"/>
      <c r="AJ44" s="71"/>
      <c r="AK44" s="69"/>
      <c r="AL44" s="69"/>
      <c r="AM44" s="70"/>
      <c r="AN44" s="71"/>
      <c r="AO44" s="69"/>
      <c r="AP44" s="69"/>
      <c r="AQ44" s="70"/>
      <c r="AR44" s="71"/>
      <c r="AS44" s="69"/>
      <c r="AT44" s="69"/>
      <c r="AU44" s="70"/>
      <c r="AV44" s="71"/>
      <c r="AW44" s="69"/>
      <c r="AX44" s="69"/>
      <c r="AY44" s="70"/>
      <c r="AZ44" s="71"/>
      <c r="BA44" s="69"/>
      <c r="BB44" s="69"/>
      <c r="BC44" s="70"/>
      <c r="BD44" s="71"/>
      <c r="BE44" s="69"/>
      <c r="BF44" s="69"/>
      <c r="BG44" s="1111"/>
      <c r="BH44" s="71"/>
      <c r="BI44" s="69"/>
      <c r="BJ44" s="69"/>
      <c r="BK44" s="1111"/>
      <c r="BL44" s="35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1173"/>
      <c r="CC44" s="37"/>
      <c r="CD44" s="26"/>
      <c r="CE44" s="26"/>
    </row>
    <row r="45" spans="1:89" s="121" customFormat="1" ht="14.25" customHeight="1">
      <c r="A45" s="110"/>
      <c r="B45" s="78" t="s">
        <v>114</v>
      </c>
      <c r="C45" s="144"/>
      <c r="D45" s="117">
        <f>SUM(D46:D48)</f>
        <v>38</v>
      </c>
      <c r="E45" s="117">
        <f t="shared" ref="E45:AC45" si="122">SUM(E46:E48)</f>
        <v>36</v>
      </c>
      <c r="F45" s="117">
        <f t="shared" si="122"/>
        <v>29</v>
      </c>
      <c r="G45" s="145">
        <f t="shared" si="122"/>
        <v>23</v>
      </c>
      <c r="H45" s="117">
        <f t="shared" si="122"/>
        <v>19</v>
      </c>
      <c r="I45" s="117">
        <f t="shared" si="122"/>
        <v>10</v>
      </c>
      <c r="J45" s="117">
        <f t="shared" si="122"/>
        <v>106</v>
      </c>
      <c r="K45" s="145">
        <f t="shared" si="122"/>
        <v>462</v>
      </c>
      <c r="L45" s="117">
        <f t="shared" si="122"/>
        <v>75</v>
      </c>
      <c r="M45" s="117">
        <f t="shared" si="122"/>
        <v>82</v>
      </c>
      <c r="N45" s="117">
        <f t="shared" si="122"/>
        <v>125</v>
      </c>
      <c r="O45" s="145">
        <f t="shared" si="122"/>
        <v>250</v>
      </c>
      <c r="P45" s="117">
        <f t="shared" si="122"/>
        <v>329</v>
      </c>
      <c r="Q45" s="117">
        <f t="shared" si="122"/>
        <v>96</v>
      </c>
      <c r="R45" s="117">
        <f t="shared" si="122"/>
        <v>35</v>
      </c>
      <c r="S45" s="145">
        <f t="shared" si="122"/>
        <v>256</v>
      </c>
      <c r="T45" s="117">
        <f t="shared" si="122"/>
        <v>74</v>
      </c>
      <c r="U45" s="117">
        <f t="shared" si="122"/>
        <v>91</v>
      </c>
      <c r="V45" s="117">
        <f t="shared" si="122"/>
        <v>75</v>
      </c>
      <c r="W45" s="145">
        <f t="shared" si="122"/>
        <v>26</v>
      </c>
      <c r="X45" s="117">
        <f t="shared" si="122"/>
        <v>3</v>
      </c>
      <c r="Y45" s="117">
        <f t="shared" si="122"/>
        <v>4</v>
      </c>
      <c r="Z45" s="117">
        <f t="shared" si="122"/>
        <v>4</v>
      </c>
      <c r="AA45" s="145">
        <f t="shared" si="122"/>
        <v>7</v>
      </c>
      <c r="AB45" s="117">
        <f t="shared" si="122"/>
        <v>36</v>
      </c>
      <c r="AC45" s="117">
        <f t="shared" si="122"/>
        <v>76</v>
      </c>
      <c r="AD45" s="117">
        <f>SUM(AD46:AD48)</f>
        <v>76</v>
      </c>
      <c r="AE45" s="145">
        <f>SUM(AE46:AE48)</f>
        <v>72</v>
      </c>
      <c r="AF45" s="117">
        <f t="shared" ref="AF45:AU45" si="123">(SUM(AF46:AF48))</f>
        <v>81</v>
      </c>
      <c r="AG45" s="117">
        <f t="shared" si="123"/>
        <v>78</v>
      </c>
      <c r="AH45" s="117">
        <f t="shared" si="123"/>
        <v>74</v>
      </c>
      <c r="AI45" s="145">
        <f t="shared" si="123"/>
        <v>75</v>
      </c>
      <c r="AJ45" s="118">
        <f t="shared" si="123"/>
        <v>73</v>
      </c>
      <c r="AK45" s="117">
        <f t="shared" si="123"/>
        <v>70</v>
      </c>
      <c r="AL45" s="117">
        <f t="shared" si="123"/>
        <v>198</v>
      </c>
      <c r="AM45" s="145">
        <f t="shared" si="123"/>
        <v>190</v>
      </c>
      <c r="AN45" s="118">
        <f t="shared" si="123"/>
        <v>210</v>
      </c>
      <c r="AO45" s="117">
        <f t="shared" si="123"/>
        <v>153</v>
      </c>
      <c r="AP45" s="117">
        <f t="shared" si="123"/>
        <v>97</v>
      </c>
      <c r="AQ45" s="145">
        <f t="shared" si="123"/>
        <v>129</v>
      </c>
      <c r="AR45" s="118">
        <f t="shared" si="123"/>
        <v>167</v>
      </c>
      <c r="AS45" s="117">
        <f t="shared" si="123"/>
        <v>316</v>
      </c>
      <c r="AT45" s="117">
        <f t="shared" si="123"/>
        <v>82</v>
      </c>
      <c r="AU45" s="145">
        <f t="shared" si="123"/>
        <v>54</v>
      </c>
      <c r="AV45" s="118">
        <f>(SUM(AV46:AV48))</f>
        <v>90</v>
      </c>
      <c r="AW45" s="117">
        <f>(SUM(AW46:AW48))</f>
        <v>1503</v>
      </c>
      <c r="AX45" s="117">
        <f t="shared" ref="AX45" si="124">(SUM(AX46:AX48))</f>
        <v>446</v>
      </c>
      <c r="AY45" s="145">
        <f t="shared" ref="AY45" si="125">(SUM(AY46:AY48))</f>
        <v>141</v>
      </c>
      <c r="AZ45" s="118">
        <f>(SUM(AZ46:AZ48))</f>
        <v>118</v>
      </c>
      <c r="BA45" s="117">
        <f>(SUM(BA46:BA48))</f>
        <v>142</v>
      </c>
      <c r="BB45" s="117">
        <f t="shared" ref="BB45:BC45" si="126">(SUM(BB46:BB48))</f>
        <v>53</v>
      </c>
      <c r="BC45" s="145">
        <f t="shared" si="126"/>
        <v>248</v>
      </c>
      <c r="BD45" s="118">
        <f>(SUM(BD46:BD48))</f>
        <v>50</v>
      </c>
      <c r="BE45" s="117">
        <f t="shared" ref="BE45:BG45" si="127">(SUM(BE46:BE48))</f>
        <v>40</v>
      </c>
      <c r="BF45" s="117">
        <f t="shared" si="127"/>
        <v>40</v>
      </c>
      <c r="BG45" s="1113">
        <f t="shared" si="127"/>
        <v>40</v>
      </c>
      <c r="BH45" s="118">
        <f t="shared" ref="BH45:BK45" si="128">(SUM(BH46:BH48))</f>
        <v>40</v>
      </c>
      <c r="BI45" s="117">
        <f t="shared" si="128"/>
        <v>40</v>
      </c>
      <c r="BJ45" s="117">
        <f t="shared" si="128"/>
        <v>40</v>
      </c>
      <c r="BK45" s="1113">
        <f t="shared" si="128"/>
        <v>40</v>
      </c>
      <c r="BL45" s="116"/>
      <c r="BM45" s="117">
        <f>SUM(D45:G45)</f>
        <v>126</v>
      </c>
      <c r="BN45" s="117">
        <f>SUM(H45:K45)</f>
        <v>597</v>
      </c>
      <c r="BO45" s="117">
        <f>SUM(L45:O45)</f>
        <v>532</v>
      </c>
      <c r="BP45" s="117">
        <f>SUM(P45:S45)</f>
        <v>716</v>
      </c>
      <c r="BQ45" s="117">
        <f>SUM(T45:W45)</f>
        <v>266</v>
      </c>
      <c r="BR45" s="117">
        <f>SUM(X45:AA45)</f>
        <v>18</v>
      </c>
      <c r="BS45" s="117">
        <f>SUM(AB45:AE45)</f>
        <v>260</v>
      </c>
      <c r="BT45" s="117">
        <f>SUM(AF45:AI45)</f>
        <v>308</v>
      </c>
      <c r="BU45" s="117">
        <f>SUM(AJ45:AM45)</f>
        <v>531</v>
      </c>
      <c r="BV45" s="117">
        <f>SUM(AN45:AQ45)</f>
        <v>589</v>
      </c>
      <c r="BW45" s="117">
        <f>SUM(AR45:AU45)</f>
        <v>619</v>
      </c>
      <c r="BX45" s="117">
        <f>SUM(AV45:AY45)</f>
        <v>2180</v>
      </c>
      <c r="BY45" s="117">
        <f>SUM(AZ45:BC45)</f>
        <v>561</v>
      </c>
      <c r="BZ45" s="117">
        <f>SUM(BD45:BG45)</f>
        <v>170</v>
      </c>
      <c r="CA45" s="117">
        <f>SUM(BH45:BK45)</f>
        <v>160</v>
      </c>
      <c r="CB45" s="1113">
        <f t="shared" ref="CB45:CB48" si="129">CA45</f>
        <v>160</v>
      </c>
      <c r="CC45" s="119"/>
      <c r="CD45" s="120"/>
      <c r="CE45" s="120"/>
      <c r="CF45"/>
      <c r="CG45"/>
      <c r="CH45"/>
      <c r="CI45"/>
      <c r="CJ45"/>
      <c r="CK45"/>
    </row>
    <row r="46" spans="1:89" ht="14.25" hidden="1" customHeight="1" outlineLevel="1">
      <c r="A46" s="18"/>
      <c r="B46" s="139" t="s">
        <v>115</v>
      </c>
      <c r="C46" s="103"/>
      <c r="D46" s="104">
        <v>38</v>
      </c>
      <c r="E46" s="104">
        <v>36</v>
      </c>
      <c r="F46" s="104">
        <v>29</v>
      </c>
      <c r="G46" s="146">
        <f>126-F46-E46-D46</f>
        <v>23</v>
      </c>
      <c r="H46" s="104">
        <v>19</v>
      </c>
      <c r="I46" s="104">
        <v>10</v>
      </c>
      <c r="J46" s="104">
        <v>8</v>
      </c>
      <c r="K46" s="146">
        <f>42-J46-I46-H46</f>
        <v>5</v>
      </c>
      <c r="L46" s="104">
        <v>0</v>
      </c>
      <c r="M46" s="104">
        <v>0</v>
      </c>
      <c r="N46" s="104">
        <v>0</v>
      </c>
      <c r="O46" s="146">
        <f>16-N46-M46-L46</f>
        <v>16</v>
      </c>
      <c r="P46" s="104">
        <v>0</v>
      </c>
      <c r="Q46" s="104">
        <v>0</v>
      </c>
      <c r="R46" s="104">
        <v>1</v>
      </c>
      <c r="S46" s="146">
        <f>6-R46-Q46-P46</f>
        <v>5</v>
      </c>
      <c r="T46" s="104">
        <v>0</v>
      </c>
      <c r="U46" s="104">
        <v>0</v>
      </c>
      <c r="V46" s="104">
        <v>12</v>
      </c>
      <c r="W46" s="146">
        <f>35-V46-U46-T46</f>
        <v>23</v>
      </c>
      <c r="X46" s="104">
        <v>3</v>
      </c>
      <c r="Y46" s="104">
        <v>4</v>
      </c>
      <c r="Z46" s="104">
        <v>4</v>
      </c>
      <c r="AA46" s="146">
        <f>18-Z46-Y46-X46</f>
        <v>7</v>
      </c>
      <c r="AB46" s="104">
        <v>36</v>
      </c>
      <c r="AC46" s="104">
        <v>76</v>
      </c>
      <c r="AD46" s="104">
        <v>76</v>
      </c>
      <c r="AE46" s="105">
        <v>72</v>
      </c>
      <c r="AF46" s="104">
        <v>81</v>
      </c>
      <c r="AG46" s="104">
        <v>78</v>
      </c>
      <c r="AH46" s="104">
        <v>74</v>
      </c>
      <c r="AI46" s="105">
        <v>75</v>
      </c>
      <c r="AJ46" s="147">
        <v>73</v>
      </c>
      <c r="AK46" s="104">
        <v>70</v>
      </c>
      <c r="AL46" s="104">
        <v>74</v>
      </c>
      <c r="AM46" s="105">
        <v>74</v>
      </c>
      <c r="AN46" s="147">
        <v>73</v>
      </c>
      <c r="AO46" s="104">
        <v>72</v>
      </c>
      <c r="AP46" s="104">
        <v>77</v>
      </c>
      <c r="AQ46" s="105">
        <v>72</v>
      </c>
      <c r="AR46" s="147">
        <v>62</v>
      </c>
      <c r="AS46" s="104">
        <v>68</v>
      </c>
      <c r="AT46" s="104">
        <v>68</v>
      </c>
      <c r="AU46" s="105">
        <v>67</v>
      </c>
      <c r="AV46" s="147">
        <v>90</v>
      </c>
      <c r="AW46" s="104">
        <v>89</v>
      </c>
      <c r="AX46" s="104">
        <v>74</v>
      </c>
      <c r="AY46" s="105">
        <v>41</v>
      </c>
      <c r="AZ46" s="147">
        <v>38</v>
      </c>
      <c r="BA46" s="104">
        <v>37</v>
      </c>
      <c r="BB46" s="104">
        <v>49</v>
      </c>
      <c r="BC46" s="105">
        <v>53</v>
      </c>
      <c r="BD46" s="147">
        <v>50</v>
      </c>
      <c r="BE46" s="104">
        <v>40</v>
      </c>
      <c r="BF46" s="104">
        <v>40</v>
      </c>
      <c r="BG46" s="1114">
        <v>40</v>
      </c>
      <c r="BH46" s="147">
        <v>40</v>
      </c>
      <c r="BI46" s="104">
        <v>40</v>
      </c>
      <c r="BJ46" s="104">
        <v>40</v>
      </c>
      <c r="BK46" s="1114">
        <v>40</v>
      </c>
      <c r="BL46" s="35"/>
      <c r="BM46" s="107">
        <f>SUM(D46:G46)</f>
        <v>126</v>
      </c>
      <c r="BN46" s="107">
        <f>SUM(H46:K46)</f>
        <v>42</v>
      </c>
      <c r="BO46" s="107">
        <f>SUM(L46:O46)</f>
        <v>16</v>
      </c>
      <c r="BP46" s="107">
        <f>SUM(P46:S46)</f>
        <v>6</v>
      </c>
      <c r="BQ46" s="107">
        <f>SUM(T46:W46)</f>
        <v>35</v>
      </c>
      <c r="BR46" s="107">
        <f>SUM(X46:AA46)</f>
        <v>18</v>
      </c>
      <c r="BS46" s="107">
        <f>SUM(AB46:AE46)</f>
        <v>260</v>
      </c>
      <c r="BT46" s="107">
        <f>SUM(AF46:AI46)</f>
        <v>308</v>
      </c>
      <c r="BU46" s="107">
        <f>SUM(AJ46:AM46)</f>
        <v>291</v>
      </c>
      <c r="BV46" s="107">
        <f>SUM(AN46:AQ46)</f>
        <v>294</v>
      </c>
      <c r="BW46" s="107">
        <f>SUM(AR46:AU46)</f>
        <v>265</v>
      </c>
      <c r="BX46" s="107">
        <f>SUM(AV46:AY46)</f>
        <v>294</v>
      </c>
      <c r="BY46" s="107">
        <f>SUM(AZ46:BC46)</f>
        <v>177</v>
      </c>
      <c r="BZ46" s="107">
        <f>SUM(BD46:BG46)</f>
        <v>170</v>
      </c>
      <c r="CA46" s="107">
        <f>SUM(BH46:BK46)</f>
        <v>160</v>
      </c>
      <c r="CB46" s="1094">
        <f t="shared" si="129"/>
        <v>160</v>
      </c>
      <c r="CC46" s="37"/>
      <c r="CD46" s="26"/>
      <c r="CE46" s="26"/>
    </row>
    <row r="47" spans="1:89" ht="14.25" hidden="1" customHeight="1" outlineLevel="1">
      <c r="A47" s="18"/>
      <c r="B47" s="139" t="s">
        <v>116</v>
      </c>
      <c r="C47" s="103"/>
      <c r="D47" s="104">
        <v>0</v>
      </c>
      <c r="E47" s="104">
        <v>0</v>
      </c>
      <c r="F47" s="104">
        <v>0</v>
      </c>
      <c r="G47" s="105">
        <v>0</v>
      </c>
      <c r="H47" s="104">
        <v>0</v>
      </c>
      <c r="I47" s="104">
        <v>0</v>
      </c>
      <c r="J47" s="104">
        <v>98</v>
      </c>
      <c r="K47" s="146">
        <f>555-J47-I47-H47</f>
        <v>457</v>
      </c>
      <c r="L47" s="104">
        <v>75</v>
      </c>
      <c r="M47" s="104">
        <v>82</v>
      </c>
      <c r="N47" s="104">
        <v>125</v>
      </c>
      <c r="O47" s="146">
        <f>516-N47-M47-L47</f>
        <v>234</v>
      </c>
      <c r="P47" s="104">
        <v>329</v>
      </c>
      <c r="Q47" s="104">
        <v>96</v>
      </c>
      <c r="R47" s="104">
        <v>34</v>
      </c>
      <c r="S47" s="146">
        <f>710-R47-Q47-P47</f>
        <v>251</v>
      </c>
      <c r="T47" s="104">
        <v>74</v>
      </c>
      <c r="U47" s="104">
        <v>91</v>
      </c>
      <c r="V47" s="104">
        <v>63</v>
      </c>
      <c r="W47" s="146">
        <f>231-V47-U47-T47</f>
        <v>3</v>
      </c>
      <c r="X47" s="104">
        <v>0</v>
      </c>
      <c r="Y47" s="104">
        <v>0</v>
      </c>
      <c r="Z47" s="104">
        <v>0</v>
      </c>
      <c r="AA47" s="146">
        <f>0-Z47-Y47-X47</f>
        <v>0</v>
      </c>
      <c r="AB47" s="104">
        <v>0</v>
      </c>
      <c r="AC47" s="104">
        <v>0</v>
      </c>
      <c r="AD47" s="104">
        <v>0</v>
      </c>
      <c r="AE47" s="105">
        <v>0</v>
      </c>
      <c r="AF47" s="104">
        <v>0</v>
      </c>
      <c r="AG47" s="104">
        <v>0</v>
      </c>
      <c r="AH47" s="104">
        <v>0</v>
      </c>
      <c r="AI47" s="105">
        <v>0</v>
      </c>
      <c r="AJ47" s="147">
        <v>0</v>
      </c>
      <c r="AK47" s="104">
        <v>0</v>
      </c>
      <c r="AL47" s="104">
        <v>124</v>
      </c>
      <c r="AM47" s="105">
        <v>116</v>
      </c>
      <c r="AN47" s="147">
        <v>137</v>
      </c>
      <c r="AO47" s="104">
        <v>81</v>
      </c>
      <c r="AP47" s="104">
        <v>20</v>
      </c>
      <c r="AQ47" s="105">
        <v>57</v>
      </c>
      <c r="AR47" s="147">
        <v>105</v>
      </c>
      <c r="AS47" s="104">
        <v>248</v>
      </c>
      <c r="AT47" s="104">
        <v>14</v>
      </c>
      <c r="AU47" s="105">
        <v>-13</v>
      </c>
      <c r="AV47" s="147">
        <v>0</v>
      </c>
      <c r="AW47" s="104">
        <v>1414</v>
      </c>
      <c r="AX47" s="104">
        <v>372</v>
      </c>
      <c r="AY47" s="105">
        <v>100</v>
      </c>
      <c r="AZ47" s="147">
        <v>80</v>
      </c>
      <c r="BA47" s="104">
        <v>105</v>
      </c>
      <c r="BB47" s="104">
        <v>4</v>
      </c>
      <c r="BC47" s="105">
        <v>195</v>
      </c>
      <c r="BD47" s="147">
        <v>0</v>
      </c>
      <c r="BE47" s="104">
        <v>0</v>
      </c>
      <c r="BF47" s="104">
        <v>0</v>
      </c>
      <c r="BG47" s="1114">
        <v>0</v>
      </c>
      <c r="BH47" s="147">
        <v>0</v>
      </c>
      <c r="BI47" s="104">
        <v>0</v>
      </c>
      <c r="BJ47" s="104">
        <v>0</v>
      </c>
      <c r="BK47" s="1114">
        <v>0</v>
      </c>
      <c r="BL47" s="35"/>
      <c r="BM47" s="107">
        <f>SUM(D47:G47)</f>
        <v>0</v>
      </c>
      <c r="BN47" s="107">
        <f>SUM(H47:K47)</f>
        <v>555</v>
      </c>
      <c r="BO47" s="107">
        <f>SUM(L47:O47)</f>
        <v>516</v>
      </c>
      <c r="BP47" s="107">
        <f>SUM(P47:S47)</f>
        <v>710</v>
      </c>
      <c r="BQ47" s="107">
        <f>SUM(T47:W47)</f>
        <v>231</v>
      </c>
      <c r="BR47" s="107">
        <f>SUM(X47:AA47)</f>
        <v>0</v>
      </c>
      <c r="BS47" s="107">
        <f>SUM(AB47:AE47)</f>
        <v>0</v>
      </c>
      <c r="BT47" s="107">
        <f>SUM(AF47:AI47)</f>
        <v>0</v>
      </c>
      <c r="BU47" s="107">
        <f>SUM(AJ47:AM47)</f>
        <v>240</v>
      </c>
      <c r="BV47" s="107">
        <f>SUM(AN47:AQ47)</f>
        <v>295</v>
      </c>
      <c r="BW47" s="107">
        <f>SUM(AR47:AU47)</f>
        <v>354</v>
      </c>
      <c r="BX47" s="107">
        <f>SUM(AV47:AY47)</f>
        <v>1886</v>
      </c>
      <c r="BY47" s="107">
        <f>SUM(AZ47:BC47)</f>
        <v>384</v>
      </c>
      <c r="BZ47" s="107">
        <f>SUM(BD47:BG47)</f>
        <v>0</v>
      </c>
      <c r="CA47" s="107">
        <f>SUM(BH47:BK47)</f>
        <v>0</v>
      </c>
      <c r="CB47" s="1094">
        <f t="shared" si="129"/>
        <v>0</v>
      </c>
      <c r="CC47" s="37"/>
      <c r="CD47" s="26"/>
      <c r="CE47" s="26"/>
    </row>
    <row r="48" spans="1:89" ht="14.25" hidden="1" customHeight="1" outlineLevel="1">
      <c r="A48" s="18"/>
      <c r="B48" s="139" t="s">
        <v>117</v>
      </c>
      <c r="C48" s="103"/>
      <c r="D48" s="104">
        <v>0</v>
      </c>
      <c r="E48" s="104">
        <v>0</v>
      </c>
      <c r="F48" s="104">
        <v>0</v>
      </c>
      <c r="G48" s="105">
        <v>0</v>
      </c>
      <c r="H48" s="104">
        <v>0</v>
      </c>
      <c r="I48" s="104">
        <v>0</v>
      </c>
      <c r="J48" s="104">
        <v>0</v>
      </c>
      <c r="K48" s="105">
        <v>0</v>
      </c>
      <c r="L48" s="104">
        <v>0</v>
      </c>
      <c r="M48" s="104">
        <v>0</v>
      </c>
      <c r="N48" s="104">
        <v>0</v>
      </c>
      <c r="O48" s="105">
        <v>0</v>
      </c>
      <c r="P48" s="104">
        <v>0</v>
      </c>
      <c r="Q48" s="104">
        <v>0</v>
      </c>
      <c r="R48" s="104">
        <v>0</v>
      </c>
      <c r="S48" s="105">
        <v>0</v>
      </c>
      <c r="T48" s="104">
        <v>0</v>
      </c>
      <c r="U48" s="104">
        <v>0</v>
      </c>
      <c r="V48" s="104">
        <v>0</v>
      </c>
      <c r="W48" s="146">
        <f>0-V48-U48-T48</f>
        <v>0</v>
      </c>
      <c r="X48" s="104">
        <v>0</v>
      </c>
      <c r="Y48" s="104">
        <v>0</v>
      </c>
      <c r="Z48" s="104">
        <v>0</v>
      </c>
      <c r="AA48" s="146">
        <f>0-Z48-Y48-X48</f>
        <v>0</v>
      </c>
      <c r="AB48" s="104">
        <v>0</v>
      </c>
      <c r="AC48" s="104">
        <v>0</v>
      </c>
      <c r="AD48" s="104">
        <v>0</v>
      </c>
      <c r="AE48" s="105">
        <v>0</v>
      </c>
      <c r="AF48" s="104">
        <v>0</v>
      </c>
      <c r="AG48" s="104">
        <v>0</v>
      </c>
      <c r="AH48" s="104">
        <v>0</v>
      </c>
      <c r="AI48" s="105">
        <v>0</v>
      </c>
      <c r="AJ48" s="147">
        <v>0</v>
      </c>
      <c r="AK48" s="104">
        <v>0</v>
      </c>
      <c r="AL48" s="104">
        <v>0</v>
      </c>
      <c r="AM48" s="105">
        <v>0</v>
      </c>
      <c r="AN48" s="147">
        <v>0</v>
      </c>
      <c r="AO48" s="104">
        <v>0</v>
      </c>
      <c r="AP48" s="104">
        <v>0</v>
      </c>
      <c r="AQ48" s="105">
        <v>0</v>
      </c>
      <c r="AR48" s="147">
        <v>0</v>
      </c>
      <c r="AS48" s="104">
        <v>0</v>
      </c>
      <c r="AT48" s="104">
        <v>0</v>
      </c>
      <c r="AU48" s="105">
        <v>0</v>
      </c>
      <c r="AV48" s="147">
        <v>0</v>
      </c>
      <c r="AW48" s="104">
        <v>0</v>
      </c>
      <c r="AX48" s="104">
        <v>0</v>
      </c>
      <c r="AY48" s="105">
        <v>0</v>
      </c>
      <c r="AZ48" s="147">
        <v>0</v>
      </c>
      <c r="BA48" s="104">
        <v>0</v>
      </c>
      <c r="BB48" s="104">
        <v>0</v>
      </c>
      <c r="BC48" s="105">
        <v>0</v>
      </c>
      <c r="BD48" s="147">
        <v>0</v>
      </c>
      <c r="BE48" s="104">
        <v>0</v>
      </c>
      <c r="BF48" s="104">
        <v>0</v>
      </c>
      <c r="BG48" s="1114">
        <v>0</v>
      </c>
      <c r="BH48" s="147">
        <v>0</v>
      </c>
      <c r="BI48" s="104">
        <v>0</v>
      </c>
      <c r="BJ48" s="104">
        <v>0</v>
      </c>
      <c r="BK48" s="1114">
        <v>0</v>
      </c>
      <c r="BL48" s="35"/>
      <c r="BM48" s="107">
        <f>SUM(D48:G48)</f>
        <v>0</v>
      </c>
      <c r="BN48" s="107">
        <f>SUM(H48:K48)</f>
        <v>0</v>
      </c>
      <c r="BO48" s="107">
        <f>SUM(L48:O48)</f>
        <v>0</v>
      </c>
      <c r="BP48" s="107">
        <f>SUM(P48:S48)</f>
        <v>0</v>
      </c>
      <c r="BQ48" s="107">
        <f>SUM(T48:W48)</f>
        <v>0</v>
      </c>
      <c r="BR48" s="107">
        <f>SUM(X48:AA48)</f>
        <v>0</v>
      </c>
      <c r="BS48" s="107">
        <f>SUM(AB48:AE48)</f>
        <v>0</v>
      </c>
      <c r="BT48" s="107">
        <f>SUM(AF48:AI48)</f>
        <v>0</v>
      </c>
      <c r="BU48" s="107">
        <f>SUM(AJ48:AM48)</f>
        <v>0</v>
      </c>
      <c r="BV48" s="107">
        <f>SUM(AN48:AQ48)</f>
        <v>0</v>
      </c>
      <c r="BW48" s="107">
        <f>SUM(AR48:AU48)</f>
        <v>0</v>
      </c>
      <c r="BX48" s="107">
        <f>SUM(AV48:AY48)</f>
        <v>0</v>
      </c>
      <c r="BY48" s="107">
        <f>SUM(AZ48:BC48)</f>
        <v>0</v>
      </c>
      <c r="BZ48" s="107">
        <f>SUM(BD48:BG48)</f>
        <v>0</v>
      </c>
      <c r="CA48" s="107">
        <f>SUM(BH48:BK48)</f>
        <v>0</v>
      </c>
      <c r="CB48" s="1094">
        <f t="shared" si="129"/>
        <v>0</v>
      </c>
      <c r="CC48" s="37"/>
      <c r="CD48" s="26"/>
      <c r="CE48" s="26"/>
    </row>
    <row r="49" spans="1:89" ht="14.25" hidden="1" customHeight="1" outlineLevel="1">
      <c r="A49" s="18"/>
      <c r="B49" s="39" t="s">
        <v>118</v>
      </c>
      <c r="C49" s="68"/>
      <c r="D49" s="104">
        <v>0</v>
      </c>
      <c r="E49" s="104">
        <v>0</v>
      </c>
      <c r="F49" s="104">
        <v>0</v>
      </c>
      <c r="G49" s="105">
        <v>0</v>
      </c>
      <c r="H49" s="104">
        <v>0</v>
      </c>
      <c r="I49" s="104">
        <v>0</v>
      </c>
      <c r="J49" s="104">
        <v>0</v>
      </c>
      <c r="K49" s="105">
        <v>0</v>
      </c>
      <c r="L49" s="104">
        <v>0</v>
      </c>
      <c r="M49" s="104">
        <v>0</v>
      </c>
      <c r="N49" s="104">
        <v>0</v>
      </c>
      <c r="O49" s="105">
        <v>0</v>
      </c>
      <c r="P49" s="104">
        <v>0</v>
      </c>
      <c r="Q49" s="104">
        <v>0</v>
      </c>
      <c r="R49" s="104">
        <v>0</v>
      </c>
      <c r="S49" s="105">
        <v>0</v>
      </c>
      <c r="T49" s="104">
        <v>0</v>
      </c>
      <c r="U49" s="104">
        <v>0</v>
      </c>
      <c r="V49" s="104">
        <v>0</v>
      </c>
      <c r="W49" s="105">
        <v>0</v>
      </c>
      <c r="X49" s="104">
        <v>0</v>
      </c>
      <c r="Y49" s="104">
        <v>0</v>
      </c>
      <c r="Z49" s="104">
        <v>0</v>
      </c>
      <c r="AA49" s="105">
        <v>0</v>
      </c>
      <c r="AB49" s="104">
        <v>0</v>
      </c>
      <c r="AC49" s="104">
        <v>0</v>
      </c>
      <c r="AD49" s="104">
        <v>0</v>
      </c>
      <c r="AE49" s="105">
        <v>0</v>
      </c>
      <c r="AF49" s="104">
        <v>0</v>
      </c>
      <c r="AG49" s="104">
        <v>0</v>
      </c>
      <c r="AH49" s="104">
        <v>0</v>
      </c>
      <c r="AI49" s="105">
        <v>0</v>
      </c>
      <c r="AJ49" s="147">
        <v>0</v>
      </c>
      <c r="AK49" s="104">
        <v>0</v>
      </c>
      <c r="AL49" s="104">
        <v>0</v>
      </c>
      <c r="AM49" s="105">
        <v>0</v>
      </c>
      <c r="AN49" s="147">
        <v>0</v>
      </c>
      <c r="AO49" s="104">
        <v>0</v>
      </c>
      <c r="AP49" s="104">
        <v>0</v>
      </c>
      <c r="AQ49" s="105">
        <v>0</v>
      </c>
      <c r="AR49" s="147">
        <v>0</v>
      </c>
      <c r="AS49" s="104">
        <v>0</v>
      </c>
      <c r="AT49" s="104">
        <v>0</v>
      </c>
      <c r="AU49" s="105">
        <v>0</v>
      </c>
      <c r="AV49" s="147">
        <v>0</v>
      </c>
      <c r="AW49" s="104">
        <v>0</v>
      </c>
      <c r="AX49" s="104">
        <v>0</v>
      </c>
      <c r="AY49" s="105">
        <v>0</v>
      </c>
      <c r="AZ49" s="147">
        <v>0</v>
      </c>
      <c r="BA49" s="104">
        <v>0</v>
      </c>
      <c r="BB49" s="104">
        <v>0</v>
      </c>
      <c r="BC49" s="105">
        <v>0</v>
      </c>
      <c r="BD49" s="147">
        <v>0</v>
      </c>
      <c r="BE49" s="104">
        <v>0</v>
      </c>
      <c r="BF49" s="104">
        <v>0</v>
      </c>
      <c r="BG49" s="1114">
        <v>0</v>
      </c>
      <c r="BH49" s="147">
        <v>0</v>
      </c>
      <c r="BI49" s="104">
        <v>0</v>
      </c>
      <c r="BJ49" s="104">
        <v>0</v>
      </c>
      <c r="BK49" s="1114">
        <v>0</v>
      </c>
      <c r="BL49" s="35"/>
      <c r="BM49" s="107">
        <f>SUM(D49:G49)</f>
        <v>0</v>
      </c>
      <c r="BN49" s="107">
        <f>SUM(H49:K49)</f>
        <v>0</v>
      </c>
      <c r="BO49" s="107">
        <f>SUM(L49:O49)</f>
        <v>0</v>
      </c>
      <c r="BP49" s="107">
        <f>SUM(P49:S49)</f>
        <v>0</v>
      </c>
      <c r="BQ49" s="107">
        <f>SUM(T49:W49)</f>
        <v>0</v>
      </c>
      <c r="BR49" s="107">
        <f>SUM(X49:AA49)</f>
        <v>0</v>
      </c>
      <c r="BS49" s="107">
        <f>SUM(AB49:AE49)</f>
        <v>0</v>
      </c>
      <c r="BT49" s="107">
        <f>SUM(AF49:AI49)</f>
        <v>0</v>
      </c>
      <c r="BU49" s="107">
        <f>SUM(AJ49:AM49)</f>
        <v>0</v>
      </c>
      <c r="BV49" s="107">
        <f>SUM(AN49:AQ49)</f>
        <v>0</v>
      </c>
      <c r="BW49" s="578">
        <f>SUM(AR49:AU49)</f>
        <v>0</v>
      </c>
      <c r="BX49" s="578">
        <f>SUM(AV49:AY49)</f>
        <v>0</v>
      </c>
      <c r="BY49" s="104">
        <f>SUM(AZ49:BC49)</f>
        <v>0</v>
      </c>
      <c r="BZ49" s="104">
        <f>SUM(BD49:BG49)</f>
        <v>0</v>
      </c>
      <c r="CA49" s="104">
        <f>SUM(BH49:BK49)</f>
        <v>0</v>
      </c>
      <c r="CB49" s="1114">
        <v>0</v>
      </c>
      <c r="CC49" s="37"/>
      <c r="CD49" s="26"/>
      <c r="CE49" s="26"/>
    </row>
    <row r="50" spans="1:89" ht="14.25" hidden="1" customHeight="1" outlineLevel="1">
      <c r="A50" s="18"/>
      <c r="B50" s="54"/>
      <c r="C50" s="62"/>
      <c r="D50" s="63"/>
      <c r="E50" s="63"/>
      <c r="F50" s="63"/>
      <c r="G50" s="64"/>
      <c r="H50" s="63"/>
      <c r="I50" s="63"/>
      <c r="J50" s="63"/>
      <c r="K50" s="64"/>
      <c r="L50" s="63"/>
      <c r="M50" s="63"/>
      <c r="N50" s="63"/>
      <c r="O50" s="64"/>
      <c r="P50" s="63"/>
      <c r="Q50" s="63"/>
      <c r="R50" s="63"/>
      <c r="S50" s="64"/>
      <c r="T50" s="63"/>
      <c r="U50" s="63"/>
      <c r="V50" s="63"/>
      <c r="W50" s="64"/>
      <c r="X50" s="63"/>
      <c r="Y50" s="63"/>
      <c r="Z50" s="63"/>
      <c r="AA50" s="64"/>
      <c r="AB50" s="63"/>
      <c r="AC50" s="63"/>
      <c r="AD50" s="63"/>
      <c r="AE50" s="64"/>
      <c r="AF50" s="63"/>
      <c r="AG50" s="63"/>
      <c r="AH50" s="63"/>
      <c r="AI50" s="64"/>
      <c r="AJ50" s="65"/>
      <c r="AK50" s="63"/>
      <c r="AL50" s="63"/>
      <c r="AM50" s="64"/>
      <c r="AN50" s="65"/>
      <c r="AO50" s="63"/>
      <c r="AP50" s="63"/>
      <c r="AQ50" s="64"/>
      <c r="AR50" s="65"/>
      <c r="AS50" s="63"/>
      <c r="AT50" s="63"/>
      <c r="AU50" s="64"/>
      <c r="AV50" s="65"/>
      <c r="AW50" s="63"/>
      <c r="AX50" s="63"/>
      <c r="AY50" s="64"/>
      <c r="AZ50" s="65"/>
      <c r="BA50" s="63"/>
      <c r="BB50" s="63"/>
      <c r="BC50" s="64"/>
      <c r="BD50" s="65"/>
      <c r="BE50" s="63"/>
      <c r="BF50" s="63"/>
      <c r="BG50" s="1097"/>
      <c r="BH50" s="65"/>
      <c r="BI50" s="63"/>
      <c r="BJ50" s="63"/>
      <c r="BK50" s="1097"/>
      <c r="BL50" s="35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1193"/>
      <c r="CC50" s="37"/>
      <c r="CD50" s="26"/>
      <c r="CE50" s="26"/>
    </row>
    <row r="51" spans="1:89" ht="14.25" hidden="1" customHeight="1" outlineLevel="1">
      <c r="A51" s="18"/>
      <c r="B51" s="39"/>
      <c r="C51" s="68"/>
      <c r="D51" s="69"/>
      <c r="E51" s="69"/>
      <c r="F51" s="69"/>
      <c r="G51" s="70"/>
      <c r="H51" s="69"/>
      <c r="I51" s="69"/>
      <c r="J51" s="69"/>
      <c r="K51" s="70"/>
      <c r="L51" s="69"/>
      <c r="M51" s="69"/>
      <c r="N51" s="69"/>
      <c r="O51" s="70"/>
      <c r="P51" s="69"/>
      <c r="Q51" s="69"/>
      <c r="R51" s="69"/>
      <c r="S51" s="70"/>
      <c r="T51" s="69"/>
      <c r="U51" s="69"/>
      <c r="V51" s="69"/>
      <c r="W51" s="70"/>
      <c r="X51" s="69"/>
      <c r="Y51" s="69"/>
      <c r="Z51" s="69"/>
      <c r="AA51" s="70"/>
      <c r="AB51" s="69"/>
      <c r="AC51" s="69"/>
      <c r="AD51" s="69"/>
      <c r="AE51" s="70"/>
      <c r="AF51" s="69"/>
      <c r="AG51" s="69"/>
      <c r="AH51" s="69"/>
      <c r="AI51" s="70"/>
      <c r="AJ51" s="71"/>
      <c r="AK51" s="69"/>
      <c r="AL51" s="69"/>
      <c r="AM51" s="70"/>
      <c r="AN51" s="71"/>
      <c r="AO51" s="69"/>
      <c r="AP51" s="69"/>
      <c r="AQ51" s="70"/>
      <c r="AR51" s="71"/>
      <c r="AS51" s="69"/>
      <c r="AT51" s="69"/>
      <c r="AU51" s="70"/>
      <c r="AV51" s="71"/>
      <c r="AW51" s="69"/>
      <c r="AX51" s="69"/>
      <c r="AY51" s="70"/>
      <c r="AZ51" s="71"/>
      <c r="BA51" s="69"/>
      <c r="BB51" s="69"/>
      <c r="BC51" s="70"/>
      <c r="BD51" s="71"/>
      <c r="BE51" s="69"/>
      <c r="BF51" s="69"/>
      <c r="BG51" s="1111"/>
      <c r="BH51" s="71"/>
      <c r="BI51" s="69"/>
      <c r="BJ51" s="69"/>
      <c r="BK51" s="1111"/>
      <c r="BL51" s="35"/>
      <c r="BM51" s="69"/>
      <c r="BN51" s="69"/>
      <c r="BO51" s="69"/>
      <c r="BP51" s="69"/>
      <c r="BQ51" s="69"/>
      <c r="BR51" s="69"/>
      <c r="BS51" s="69"/>
      <c r="BT51" s="69"/>
      <c r="BU51" s="69"/>
      <c r="BV51" s="69"/>
      <c r="BW51" s="69"/>
      <c r="BX51" s="69"/>
      <c r="BY51" s="69"/>
      <c r="BZ51" s="69"/>
      <c r="CA51" s="69"/>
      <c r="CB51" s="1111"/>
      <c r="CC51" s="37"/>
      <c r="CD51" s="26">
        <f>0.316*65</f>
        <v>20.54</v>
      </c>
      <c r="CE51" s="26"/>
    </row>
    <row r="52" spans="1:89" s="158" customFormat="1" ht="14.25" customHeight="1" collapsed="1">
      <c r="A52" s="148"/>
      <c r="B52" s="149" t="s">
        <v>119</v>
      </c>
      <c r="C52" s="150"/>
      <c r="D52" s="151">
        <f t="shared" ref="D52:AU52" si="130">D29+D37+D45</f>
        <v>2566</v>
      </c>
      <c r="E52" s="151">
        <f t="shared" si="130"/>
        <v>2554</v>
      </c>
      <c r="F52" s="151">
        <f t="shared" si="130"/>
        <v>2848</v>
      </c>
      <c r="G52" s="152">
        <f t="shared" si="130"/>
        <v>2991</v>
      </c>
      <c r="H52" s="151">
        <f t="shared" si="130"/>
        <v>3225</v>
      </c>
      <c r="I52" s="151">
        <f t="shared" si="130"/>
        <v>3099</v>
      </c>
      <c r="J52" s="151">
        <f t="shared" si="130"/>
        <v>2920</v>
      </c>
      <c r="K52" s="152">
        <f t="shared" si="130"/>
        <v>3322</v>
      </c>
      <c r="L52" s="151">
        <f t="shared" si="130"/>
        <v>2757</v>
      </c>
      <c r="M52" s="151">
        <f t="shared" si="130"/>
        <v>2725</v>
      </c>
      <c r="N52" s="151">
        <f t="shared" si="130"/>
        <v>3027</v>
      </c>
      <c r="O52" s="152">
        <f t="shared" si="130"/>
        <v>3179</v>
      </c>
      <c r="P52" s="151">
        <f t="shared" si="130"/>
        <v>3145</v>
      </c>
      <c r="Q52" s="151">
        <f t="shared" si="130"/>
        <v>2994</v>
      </c>
      <c r="R52" s="151">
        <f t="shared" si="130"/>
        <v>2921</v>
      </c>
      <c r="S52" s="152">
        <f t="shared" si="130"/>
        <v>2830</v>
      </c>
      <c r="T52" s="151">
        <f t="shared" si="130"/>
        <v>2591</v>
      </c>
      <c r="U52" s="151">
        <f t="shared" si="130"/>
        <v>4091</v>
      </c>
      <c r="V52" s="151">
        <f t="shared" si="130"/>
        <v>2825</v>
      </c>
      <c r="W52" s="152">
        <f t="shared" si="130"/>
        <v>4343</v>
      </c>
      <c r="X52" s="151">
        <f t="shared" si="130"/>
        <v>3081</v>
      </c>
      <c r="Y52" s="151">
        <f t="shared" si="130"/>
        <v>3254</v>
      </c>
      <c r="Z52" s="151">
        <f t="shared" si="130"/>
        <v>3185</v>
      </c>
      <c r="AA52" s="152">
        <f t="shared" si="130"/>
        <v>3383</v>
      </c>
      <c r="AB52" s="153">
        <f t="shared" si="130"/>
        <v>3727</v>
      </c>
      <c r="AC52" s="153">
        <f t="shared" si="130"/>
        <v>3967</v>
      </c>
      <c r="AD52" s="153">
        <f t="shared" si="130"/>
        <v>4233</v>
      </c>
      <c r="AE52" s="154">
        <f t="shared" si="130"/>
        <v>4353</v>
      </c>
      <c r="AF52" s="153">
        <f t="shared" si="130"/>
        <v>4455</v>
      </c>
      <c r="AG52" s="153">
        <f t="shared" si="130"/>
        <v>4722</v>
      </c>
      <c r="AH52" s="153">
        <f t="shared" si="130"/>
        <v>4674</v>
      </c>
      <c r="AI52" s="154">
        <f t="shared" si="130"/>
        <v>4662</v>
      </c>
      <c r="AJ52" s="155">
        <f t="shared" si="130"/>
        <v>4547</v>
      </c>
      <c r="AK52" s="153">
        <f t="shared" si="130"/>
        <v>4751</v>
      </c>
      <c r="AL52" s="153">
        <f>AL29+AL37+AL45</f>
        <v>4910</v>
      </c>
      <c r="AM52" s="154">
        <f>AM29+AM37+AM45</f>
        <v>5022</v>
      </c>
      <c r="AN52" s="155">
        <f>AN29+AN37+AN45</f>
        <v>5103</v>
      </c>
      <c r="AO52" s="153">
        <f>AO29+AO37+AO45</f>
        <v>5073</v>
      </c>
      <c r="AP52" s="153">
        <f>AP29+AP37+AP45</f>
        <v>4918</v>
      </c>
      <c r="AQ52" s="154">
        <f t="shared" si="130"/>
        <v>5168</v>
      </c>
      <c r="AR52" s="155">
        <f t="shared" si="130"/>
        <v>5115</v>
      </c>
      <c r="AS52" s="153">
        <f t="shared" si="130"/>
        <v>5352</v>
      </c>
      <c r="AT52" s="153">
        <f t="shared" si="130"/>
        <v>4919</v>
      </c>
      <c r="AU52" s="154">
        <f t="shared" si="130"/>
        <v>5291</v>
      </c>
      <c r="AV52" s="155">
        <f>AV29+AV37+AV45</f>
        <v>5562</v>
      </c>
      <c r="AW52" s="153">
        <f>AW29+AW37+AW45</f>
        <v>6655</v>
      </c>
      <c r="AX52" s="153">
        <f t="shared" ref="AX52:AY52" si="131">AX29+AX37+AX45</f>
        <v>5521</v>
      </c>
      <c r="AY52" s="154">
        <f t="shared" si="131"/>
        <v>5579</v>
      </c>
      <c r="AZ52" s="155">
        <f>AZ29+AZ37+AZ45</f>
        <v>5548</v>
      </c>
      <c r="BA52" s="153">
        <f>BA29+BA37+BA45</f>
        <v>5271</v>
      </c>
      <c r="BB52" s="153">
        <f t="shared" ref="BB52:BC52" si="132">BB29+BB37+BB45</f>
        <v>4942</v>
      </c>
      <c r="BC52" s="154">
        <f t="shared" si="132"/>
        <v>5372</v>
      </c>
      <c r="BD52" s="155">
        <f>BD29+BD37+BD45</f>
        <v>5261</v>
      </c>
      <c r="BE52" s="153">
        <f t="shared" ref="BE52:BG52" si="133">BE29+BE37+BE45</f>
        <v>5240</v>
      </c>
      <c r="BF52" s="153">
        <f t="shared" si="133"/>
        <v>5140</v>
      </c>
      <c r="BG52" s="1115">
        <f t="shared" si="133"/>
        <v>5140</v>
      </c>
      <c r="BH52" s="155">
        <f t="shared" ref="BH52:BK52" si="134">BH29+BH37+BH45</f>
        <v>5190</v>
      </c>
      <c r="BI52" s="153">
        <f t="shared" si="134"/>
        <v>5240</v>
      </c>
      <c r="BJ52" s="153">
        <f t="shared" si="134"/>
        <v>5240</v>
      </c>
      <c r="BK52" s="1115">
        <f t="shared" si="134"/>
        <v>5290</v>
      </c>
      <c r="BL52" s="156"/>
      <c r="BM52" s="151">
        <f t="shared" ref="BM52:BY52" si="135">BM29+BM37+BM45</f>
        <v>10959</v>
      </c>
      <c r="BN52" s="151">
        <f t="shared" si="135"/>
        <v>12566</v>
      </c>
      <c r="BO52" s="151">
        <f t="shared" si="135"/>
        <v>11688</v>
      </c>
      <c r="BP52" s="151">
        <f t="shared" si="135"/>
        <v>11890</v>
      </c>
      <c r="BQ52" s="151">
        <f t="shared" si="135"/>
        <v>13850</v>
      </c>
      <c r="BR52" s="151">
        <f t="shared" si="135"/>
        <v>12903</v>
      </c>
      <c r="BS52" s="151">
        <f t="shared" si="135"/>
        <v>16280</v>
      </c>
      <c r="BT52" s="151">
        <f t="shared" si="135"/>
        <v>18513</v>
      </c>
      <c r="BU52" s="151">
        <f t="shared" si="135"/>
        <v>19230</v>
      </c>
      <c r="BV52" s="151">
        <f t="shared" si="135"/>
        <v>20262</v>
      </c>
      <c r="BW52" s="151">
        <f>BW29+BW37+BW45</f>
        <v>20677</v>
      </c>
      <c r="BX52" s="151">
        <f>BX29+BX37+BX45</f>
        <v>23317</v>
      </c>
      <c r="BY52" s="151">
        <f t="shared" si="135"/>
        <v>21133</v>
      </c>
      <c r="BZ52" s="151">
        <f t="shared" ref="BZ52:CB52" si="136">BZ29+BZ37+BZ45</f>
        <v>20781</v>
      </c>
      <c r="CA52" s="151">
        <f t="shared" si="136"/>
        <v>20960</v>
      </c>
      <c r="CB52" s="1138">
        <f t="shared" si="136"/>
        <v>21116</v>
      </c>
      <c r="CC52" s="1228"/>
      <c r="CD52" s="157"/>
      <c r="CE52" s="157"/>
      <c r="CF52"/>
      <c r="CG52"/>
      <c r="CH52"/>
      <c r="CI52"/>
      <c r="CJ52"/>
      <c r="CK52"/>
    </row>
    <row r="53" spans="1:89" s="127" customFormat="1" ht="14.25" hidden="1" customHeight="1" outlineLevel="1">
      <c r="A53" s="51"/>
      <c r="B53" s="159" t="s">
        <v>120</v>
      </c>
      <c r="C53" s="89"/>
      <c r="D53" s="96">
        <f t="shared" ref="D53:AR53" si="137">D34+D42+D49</f>
        <v>2528</v>
      </c>
      <c r="E53" s="96">
        <f t="shared" si="137"/>
        <v>2518</v>
      </c>
      <c r="F53" s="96">
        <f t="shared" si="137"/>
        <v>2819</v>
      </c>
      <c r="G53" s="98">
        <f t="shared" si="137"/>
        <v>2968</v>
      </c>
      <c r="H53" s="96">
        <f t="shared" si="137"/>
        <v>3206</v>
      </c>
      <c r="I53" s="96">
        <f t="shared" si="137"/>
        <v>3089</v>
      </c>
      <c r="J53" s="96">
        <f t="shared" si="137"/>
        <v>2814</v>
      </c>
      <c r="K53" s="98">
        <f t="shared" si="137"/>
        <v>2860</v>
      </c>
      <c r="L53" s="96">
        <f t="shared" si="137"/>
        <v>2682</v>
      </c>
      <c r="M53" s="96">
        <f t="shared" si="137"/>
        <v>2643</v>
      </c>
      <c r="N53" s="96">
        <f t="shared" si="137"/>
        <v>2902</v>
      </c>
      <c r="O53" s="98">
        <f t="shared" si="137"/>
        <v>2929</v>
      </c>
      <c r="P53" s="96">
        <f t="shared" si="137"/>
        <v>2816</v>
      </c>
      <c r="Q53" s="96">
        <f t="shared" si="137"/>
        <v>2898</v>
      </c>
      <c r="R53" s="96">
        <f t="shared" si="137"/>
        <v>2886</v>
      </c>
      <c r="S53" s="98">
        <f t="shared" si="137"/>
        <v>2574</v>
      </c>
      <c r="T53" s="96">
        <f t="shared" si="137"/>
        <v>2517</v>
      </c>
      <c r="U53" s="96">
        <f t="shared" si="137"/>
        <v>4000</v>
      </c>
      <c r="V53" s="96">
        <f t="shared" si="137"/>
        <v>2750</v>
      </c>
      <c r="W53" s="98">
        <f t="shared" si="137"/>
        <v>4317</v>
      </c>
      <c r="X53" s="96">
        <f t="shared" si="137"/>
        <v>3078</v>
      </c>
      <c r="Y53" s="96">
        <f t="shared" si="137"/>
        <v>3250</v>
      </c>
      <c r="Z53" s="96">
        <f t="shared" si="137"/>
        <v>3181</v>
      </c>
      <c r="AA53" s="98">
        <f t="shared" si="137"/>
        <v>3376</v>
      </c>
      <c r="AB53" s="96">
        <f t="shared" si="137"/>
        <v>3691</v>
      </c>
      <c r="AC53" s="96">
        <f t="shared" si="137"/>
        <v>3891</v>
      </c>
      <c r="AD53" s="96">
        <f t="shared" si="137"/>
        <v>4157</v>
      </c>
      <c r="AE53" s="98">
        <f t="shared" si="137"/>
        <v>4281</v>
      </c>
      <c r="AF53" s="96">
        <f t="shared" si="137"/>
        <v>4374</v>
      </c>
      <c r="AG53" s="96">
        <f t="shared" si="137"/>
        <v>4644</v>
      </c>
      <c r="AH53" s="96">
        <f t="shared" si="137"/>
        <v>4600</v>
      </c>
      <c r="AI53" s="98">
        <f t="shared" si="137"/>
        <v>4587</v>
      </c>
      <c r="AJ53" s="97">
        <f t="shared" si="137"/>
        <v>4474</v>
      </c>
      <c r="AK53" s="96">
        <f t="shared" si="137"/>
        <v>4681</v>
      </c>
      <c r="AL53" s="96">
        <f>AL34+AL42+AL49</f>
        <v>4712</v>
      </c>
      <c r="AM53" s="98">
        <f>AM34+AM42+AM49</f>
        <v>4832</v>
      </c>
      <c r="AN53" s="97">
        <f>AN34+AN42+AN49</f>
        <v>4893</v>
      </c>
      <c r="AO53" s="96">
        <f>AO34+AO42+AO49</f>
        <v>4920</v>
      </c>
      <c r="AP53" s="96">
        <f>AP34+AP42+AP49</f>
        <v>4821</v>
      </c>
      <c r="AQ53" s="98">
        <f t="shared" si="137"/>
        <v>5039</v>
      </c>
      <c r="AR53" s="97">
        <f t="shared" si="137"/>
        <v>4948</v>
      </c>
      <c r="AS53" s="96">
        <f t="shared" ref="AS53:AW53" si="138">AS34+AS42+AS49</f>
        <v>5036</v>
      </c>
      <c r="AT53" s="96">
        <f t="shared" si="138"/>
        <v>4837</v>
      </c>
      <c r="AU53" s="98">
        <f t="shared" si="138"/>
        <v>5237</v>
      </c>
      <c r="AV53" s="97">
        <f>AV34+AV42+AV49</f>
        <v>5372</v>
      </c>
      <c r="AW53" s="96">
        <f t="shared" si="138"/>
        <v>5152</v>
      </c>
      <c r="AX53" s="96">
        <f>AX34+AX42+AX49</f>
        <v>5075</v>
      </c>
      <c r="AY53" s="98">
        <f t="shared" ref="AY53" si="139">AY34+AY42+AY49</f>
        <v>5438</v>
      </c>
      <c r="AZ53" s="97">
        <f>AZ34+AZ42+AZ49</f>
        <v>5430</v>
      </c>
      <c r="BA53" s="96">
        <f t="shared" ref="BA53" si="140">BA34+BA42+BA49</f>
        <v>5129</v>
      </c>
      <c r="BB53" s="96">
        <f>BB34+BB42+BB49</f>
        <v>4776</v>
      </c>
      <c r="BC53" s="98">
        <f t="shared" ref="BC53" si="141">BC34+BC42+BC49</f>
        <v>5124</v>
      </c>
      <c r="BD53" s="97">
        <f>BD34+BD42+BD49</f>
        <v>5211</v>
      </c>
      <c r="BE53" s="96">
        <f t="shared" ref="BE53:BG53" si="142">BE34+BE42+BE49</f>
        <v>5200</v>
      </c>
      <c r="BF53" s="96">
        <f t="shared" si="142"/>
        <v>5100</v>
      </c>
      <c r="BG53" s="1093">
        <f t="shared" si="142"/>
        <v>5100</v>
      </c>
      <c r="BH53" s="97">
        <f t="shared" ref="BH53:BK53" si="143">BH34+BH42+BH49</f>
        <v>5150</v>
      </c>
      <c r="BI53" s="96">
        <f t="shared" si="143"/>
        <v>5200</v>
      </c>
      <c r="BJ53" s="96">
        <f t="shared" si="143"/>
        <v>5200</v>
      </c>
      <c r="BK53" s="1093">
        <f t="shared" si="143"/>
        <v>5250</v>
      </c>
      <c r="BL53" s="95"/>
      <c r="BM53" s="96">
        <f t="shared" ref="BM53:BY53" si="144">BM34+BM42+BM49</f>
        <v>10833</v>
      </c>
      <c r="BN53" s="96">
        <f t="shared" si="144"/>
        <v>11969</v>
      </c>
      <c r="BO53" s="96">
        <f t="shared" si="144"/>
        <v>11156</v>
      </c>
      <c r="BP53" s="96">
        <f t="shared" si="144"/>
        <v>11174</v>
      </c>
      <c r="BQ53" s="96">
        <f t="shared" si="144"/>
        <v>13584</v>
      </c>
      <c r="BR53" s="96">
        <f t="shared" si="144"/>
        <v>12885</v>
      </c>
      <c r="BS53" s="96">
        <f t="shared" si="144"/>
        <v>16020</v>
      </c>
      <c r="BT53" s="96">
        <f t="shared" si="144"/>
        <v>18205</v>
      </c>
      <c r="BU53" s="96">
        <f t="shared" si="144"/>
        <v>18699</v>
      </c>
      <c r="BV53" s="96">
        <f t="shared" si="144"/>
        <v>19673</v>
      </c>
      <c r="BW53" s="96">
        <f>BW34+BW42+BW49</f>
        <v>20058</v>
      </c>
      <c r="BX53" s="96">
        <f t="shared" si="144"/>
        <v>21037</v>
      </c>
      <c r="BY53" s="96">
        <f t="shared" si="144"/>
        <v>20459</v>
      </c>
      <c r="BZ53" s="96">
        <f t="shared" ref="BZ53:CB53" si="145">BZ34+BZ42+BZ49</f>
        <v>20611</v>
      </c>
      <c r="CA53" s="96">
        <f t="shared" si="145"/>
        <v>20800</v>
      </c>
      <c r="CB53" s="1093">
        <f t="shared" si="145"/>
        <v>20956</v>
      </c>
      <c r="CC53" s="99"/>
      <c r="CD53" s="100"/>
      <c r="CE53" s="100"/>
      <c r="CF53"/>
      <c r="CG53"/>
      <c r="CH53"/>
      <c r="CI53"/>
      <c r="CJ53"/>
      <c r="CK53"/>
    </row>
    <row r="54" spans="1:89" ht="14.25" customHeight="1" collapsed="1">
      <c r="A54" s="18"/>
      <c r="B54" s="39"/>
      <c r="C54" s="68"/>
      <c r="D54" s="69"/>
      <c r="E54" s="69"/>
      <c r="F54" s="69"/>
      <c r="G54" s="70"/>
      <c r="H54" s="69"/>
      <c r="I54" s="69"/>
      <c r="J54" s="69"/>
      <c r="K54" s="70"/>
      <c r="L54" s="69"/>
      <c r="M54" s="69"/>
      <c r="N54" s="69"/>
      <c r="O54" s="70"/>
      <c r="P54" s="69"/>
      <c r="Q54" s="69"/>
      <c r="R54" s="69"/>
      <c r="S54" s="70"/>
      <c r="T54" s="69"/>
      <c r="U54" s="69"/>
      <c r="V54" s="69"/>
      <c r="W54" s="70"/>
      <c r="X54" s="69"/>
      <c r="Y54" s="69"/>
      <c r="Z54" s="69"/>
      <c r="AA54" s="70"/>
      <c r="AB54" s="69"/>
      <c r="AC54" s="69"/>
      <c r="AD54" s="69"/>
      <c r="AE54" s="70"/>
      <c r="AF54" s="69"/>
      <c r="AG54" s="69"/>
      <c r="AH54" s="69"/>
      <c r="AI54" s="70"/>
      <c r="AJ54" s="71"/>
      <c r="AK54" s="69"/>
      <c r="AL54" s="69"/>
      <c r="AM54" s="70"/>
      <c r="AN54" s="71"/>
      <c r="AO54" s="69"/>
      <c r="AP54" s="69"/>
      <c r="AQ54" s="70"/>
      <c r="AR54" s="71"/>
      <c r="AS54" s="69"/>
      <c r="AT54" s="69"/>
      <c r="AU54" s="70"/>
      <c r="AV54" s="71"/>
      <c r="AW54" s="69"/>
      <c r="AX54" s="69"/>
      <c r="AY54" s="70"/>
      <c r="AZ54" s="1122"/>
      <c r="BA54" s="69"/>
      <c r="BB54" s="1122"/>
      <c r="BC54" s="1122"/>
      <c r="BD54" s="1122">
        <f>BD53/BD8</f>
        <v>0.32434955807294907</v>
      </c>
      <c r="BE54" s="1122">
        <f>BE53/BE8</f>
        <v>0.31881478447097683</v>
      </c>
      <c r="BF54" s="69"/>
      <c r="BG54" s="1111"/>
      <c r="BH54" s="71"/>
      <c r="BI54" s="69"/>
      <c r="BJ54" s="69"/>
      <c r="BK54" s="1111"/>
      <c r="BL54" s="35"/>
      <c r="BM54" s="69"/>
      <c r="BN54" s="69"/>
      <c r="BO54" s="69"/>
      <c r="BP54" s="69"/>
      <c r="BQ54" s="69"/>
      <c r="BR54" s="69"/>
      <c r="BS54" s="69"/>
      <c r="BT54" s="69"/>
      <c r="BU54" s="69"/>
      <c r="BV54" s="69"/>
      <c r="BW54" s="552"/>
      <c r="BX54" s="1122">
        <f>BX53/BX8</f>
        <v>0.35423577550642399</v>
      </c>
      <c r="BY54" s="1122">
        <f>BY53/BY8</f>
        <v>0.32598269626041648</v>
      </c>
      <c r="BZ54" s="1122">
        <f>BZ53/BZ8</f>
        <v>0.30448250013167105</v>
      </c>
      <c r="CA54" s="1122">
        <f>CA53/CA8</f>
        <v>0.30182728041017215</v>
      </c>
      <c r="CB54" s="1122">
        <f>CB53/CB8</f>
        <v>0.30108018318143415</v>
      </c>
      <c r="CC54" s="37"/>
      <c r="CD54" s="26"/>
      <c r="CE54" s="26"/>
    </row>
    <row r="55" spans="1:89" s="127" customFormat="1" ht="14.25" customHeight="1">
      <c r="A55" s="51"/>
      <c r="B55" s="122" t="s">
        <v>121</v>
      </c>
      <c r="C55" s="123"/>
      <c r="D55" s="124">
        <f t="shared" ref="D55:AR55" si="146">D23-D52</f>
        <v>3032</v>
      </c>
      <c r="E55" s="124">
        <f t="shared" si="146"/>
        <v>2649</v>
      </c>
      <c r="F55" s="124">
        <f t="shared" si="146"/>
        <v>3100</v>
      </c>
      <c r="G55" s="125">
        <f t="shared" si="146"/>
        <v>3309</v>
      </c>
      <c r="H55" s="124">
        <f t="shared" si="146"/>
        <v>1718</v>
      </c>
      <c r="I55" s="124">
        <f t="shared" si="146"/>
        <v>1072</v>
      </c>
      <c r="J55" s="124">
        <f t="shared" si="146"/>
        <v>1374</v>
      </c>
      <c r="K55" s="125">
        <f t="shared" si="146"/>
        <v>1488</v>
      </c>
      <c r="L55" s="124">
        <f t="shared" si="146"/>
        <v>1675</v>
      </c>
      <c r="M55" s="124">
        <f t="shared" si="146"/>
        <v>1350</v>
      </c>
      <c r="N55" s="124">
        <f t="shared" si="146"/>
        <v>2144</v>
      </c>
      <c r="O55" s="125">
        <f t="shared" si="146"/>
        <v>3047</v>
      </c>
      <c r="P55" s="124">
        <f t="shared" si="146"/>
        <v>2062</v>
      </c>
      <c r="Q55" s="124">
        <f t="shared" si="146"/>
        <v>2255</v>
      </c>
      <c r="R55" s="124">
        <f t="shared" si="146"/>
        <v>3098</v>
      </c>
      <c r="S55" s="125">
        <f t="shared" si="146"/>
        <v>1539</v>
      </c>
      <c r="T55" s="124">
        <f t="shared" si="146"/>
        <v>647</v>
      </c>
      <c r="U55" s="124">
        <f t="shared" si="146"/>
        <v>-12</v>
      </c>
      <c r="V55" s="124">
        <f t="shared" si="146"/>
        <v>2579</v>
      </c>
      <c r="W55" s="125">
        <f t="shared" si="146"/>
        <v>2497</v>
      </c>
      <c r="X55" s="124">
        <f t="shared" si="146"/>
        <v>3448</v>
      </c>
      <c r="Y55" s="124">
        <f t="shared" si="146"/>
        <v>3981</v>
      </c>
      <c r="Z55" s="124">
        <f t="shared" si="146"/>
        <v>4136</v>
      </c>
      <c r="AA55" s="125">
        <f t="shared" si="146"/>
        <v>4023</v>
      </c>
      <c r="AB55" s="124">
        <f t="shared" si="146"/>
        <v>4158</v>
      </c>
      <c r="AC55" s="124">
        <f t="shared" si="146"/>
        <v>3935</v>
      </c>
      <c r="AD55" s="124">
        <f t="shared" si="146"/>
        <v>4785</v>
      </c>
      <c r="AE55" s="125">
        <f t="shared" si="146"/>
        <v>4599</v>
      </c>
      <c r="AF55" s="124">
        <f t="shared" si="146"/>
        <v>3810</v>
      </c>
      <c r="AG55" s="124">
        <f t="shared" si="146"/>
        <v>3832</v>
      </c>
      <c r="AH55" s="124">
        <f t="shared" si="146"/>
        <v>3841</v>
      </c>
      <c r="AI55" s="125">
        <f t="shared" si="146"/>
        <v>3155</v>
      </c>
      <c r="AJ55" s="126">
        <f t="shared" si="146"/>
        <v>2519</v>
      </c>
      <c r="AK55" s="124">
        <f t="shared" si="146"/>
        <v>2719</v>
      </c>
      <c r="AL55" s="124">
        <f>AL23-AL52</f>
        <v>3504</v>
      </c>
      <c r="AM55" s="125">
        <f>AM23-AM52</f>
        <v>3549</v>
      </c>
      <c r="AN55" s="126">
        <f>AN23-AN52</f>
        <v>2510</v>
      </c>
      <c r="AO55" s="124">
        <f>AO23-AO52</f>
        <v>3844</v>
      </c>
      <c r="AP55" s="124">
        <f>AP23-AP52</f>
        <v>4540</v>
      </c>
      <c r="AQ55" s="125">
        <f t="shared" si="146"/>
        <v>4453</v>
      </c>
      <c r="AR55" s="126">
        <f t="shared" si="146"/>
        <v>2615</v>
      </c>
      <c r="AS55" s="124">
        <f t="shared" ref="AS55:AW55" si="147">AS23-AS52</f>
        <v>2896</v>
      </c>
      <c r="AT55" s="124">
        <f t="shared" si="147"/>
        <v>4192</v>
      </c>
      <c r="AU55" s="125">
        <f t="shared" si="147"/>
        <v>4299</v>
      </c>
      <c r="AV55" s="126">
        <f t="shared" si="147"/>
        <v>2568</v>
      </c>
      <c r="AW55" s="124">
        <f t="shared" si="147"/>
        <v>1318</v>
      </c>
      <c r="AX55" s="124">
        <f t="shared" ref="AX55:BA55" si="148">AX23-AX52</f>
        <v>4462</v>
      </c>
      <c r="AY55" s="125">
        <f t="shared" si="148"/>
        <v>4526</v>
      </c>
      <c r="AZ55" s="126">
        <f t="shared" si="148"/>
        <v>3599</v>
      </c>
      <c r="BA55" s="124">
        <f t="shared" si="148"/>
        <v>3827</v>
      </c>
      <c r="BB55" s="124">
        <f t="shared" ref="BB55:BD55" si="149">BB23-BB52</f>
        <v>5115</v>
      </c>
      <c r="BC55" s="125">
        <f t="shared" si="149"/>
        <v>5395</v>
      </c>
      <c r="BD55" s="126">
        <f t="shared" si="149"/>
        <v>4470</v>
      </c>
      <c r="BE55" s="124">
        <f t="shared" ref="BE55:BG55" si="150">BE23-BE52</f>
        <v>4790.9024417000601</v>
      </c>
      <c r="BF55" s="124">
        <f t="shared" si="150"/>
        <v>5742.0713225668842</v>
      </c>
      <c r="BG55" s="1104">
        <f t="shared" si="150"/>
        <v>5873.5343200652587</v>
      </c>
      <c r="BH55" s="126">
        <f t="shared" ref="BH55:BK55" si="151">BH23-BH52</f>
        <v>4811.4200867203726</v>
      </c>
      <c r="BI55" s="124">
        <f t="shared" si="151"/>
        <v>4899.0256088883034</v>
      </c>
      <c r="BJ55" s="124">
        <f t="shared" si="151"/>
        <v>5813.4704416685145</v>
      </c>
      <c r="BK55" s="1104">
        <f t="shared" si="151"/>
        <v>6070.2099621741309</v>
      </c>
      <c r="BL55" s="95"/>
      <c r="BM55" s="124">
        <f t="shared" ref="BM55:BY55" si="152">BM23-BM52</f>
        <v>12090</v>
      </c>
      <c r="BN55" s="124">
        <f t="shared" si="152"/>
        <v>5652</v>
      </c>
      <c r="BO55" s="124">
        <f t="shared" si="152"/>
        <v>8216</v>
      </c>
      <c r="BP55" s="124">
        <f t="shared" si="152"/>
        <v>8954</v>
      </c>
      <c r="BQ55" s="124">
        <f t="shared" si="152"/>
        <v>5711</v>
      </c>
      <c r="BR55" s="124">
        <f t="shared" si="152"/>
        <v>15588</v>
      </c>
      <c r="BS55" s="124">
        <f t="shared" si="152"/>
        <v>17477</v>
      </c>
      <c r="BT55" s="124">
        <f t="shared" si="152"/>
        <v>14638</v>
      </c>
      <c r="BU55" s="124">
        <f t="shared" si="152"/>
        <v>12291</v>
      </c>
      <c r="BV55" s="124">
        <f t="shared" si="152"/>
        <v>15347</v>
      </c>
      <c r="BW55" s="124">
        <f>BW23-BW52</f>
        <v>14002</v>
      </c>
      <c r="BX55" s="124">
        <f>BX23-BX52</f>
        <v>12874</v>
      </c>
      <c r="BY55" s="124">
        <f t="shared" si="152"/>
        <v>17936</v>
      </c>
      <c r="BZ55" s="124">
        <f t="shared" ref="BZ55:CB55" si="153">BZ23-BZ52</f>
        <v>20876.508084332207</v>
      </c>
      <c r="CA55" s="124">
        <f t="shared" si="153"/>
        <v>21594.126099451314</v>
      </c>
      <c r="CB55" s="1104">
        <f t="shared" si="153"/>
        <v>22002.87280252151</v>
      </c>
      <c r="CC55" s="99"/>
      <c r="CD55" s="100"/>
      <c r="CE55" s="100"/>
      <c r="CF55"/>
      <c r="CG55"/>
      <c r="CH55"/>
      <c r="CI55"/>
      <c r="CJ55"/>
      <c r="CK55"/>
    </row>
    <row r="56" spans="1:89" ht="14.25" customHeight="1">
      <c r="A56" s="18"/>
      <c r="B56" s="54" t="s">
        <v>122</v>
      </c>
      <c r="C56" s="62"/>
      <c r="D56" s="63">
        <f t="shared" ref="D56:AW56" si="154">D55/D8</f>
        <v>0.32139071443714223</v>
      </c>
      <c r="E56" s="63">
        <f t="shared" si="154"/>
        <v>0.28696782580435487</v>
      </c>
      <c r="F56" s="63">
        <f t="shared" si="154"/>
        <v>0.3112449799196787</v>
      </c>
      <c r="G56" s="64">
        <f t="shared" si="154"/>
        <v>0.32437996274875014</v>
      </c>
      <c r="H56" s="63">
        <f t="shared" si="154"/>
        <v>0.19217002237136466</v>
      </c>
      <c r="I56" s="63">
        <f t="shared" si="154"/>
        <v>0.13384941940317144</v>
      </c>
      <c r="J56" s="63">
        <f t="shared" si="154"/>
        <v>0.15722622725712324</v>
      </c>
      <c r="K56" s="64">
        <f t="shared" si="154"/>
        <v>0.15349700845884051</v>
      </c>
      <c r="L56" s="63">
        <f t="shared" si="154"/>
        <v>0.18922277451423408</v>
      </c>
      <c r="M56" s="63">
        <f t="shared" si="154"/>
        <v>0.15552995391705068</v>
      </c>
      <c r="N56" s="63">
        <f t="shared" si="154"/>
        <v>0.21248761149653123</v>
      </c>
      <c r="O56" s="64">
        <f t="shared" si="154"/>
        <v>0.28444734876773714</v>
      </c>
      <c r="P56" s="63">
        <f t="shared" si="154"/>
        <v>0.21317068127778352</v>
      </c>
      <c r="Q56" s="63">
        <f t="shared" si="154"/>
        <v>0.23812038014783526</v>
      </c>
      <c r="R56" s="63">
        <f t="shared" si="154"/>
        <v>0.30322012332387199</v>
      </c>
      <c r="S56" s="64">
        <f t="shared" si="154"/>
        <v>0.18708971553610504</v>
      </c>
      <c r="T56" s="63">
        <f t="shared" si="154"/>
        <v>9.0552834149755068E-2</v>
      </c>
      <c r="U56" s="63">
        <f t="shared" si="154"/>
        <v>-1.4955134596211367E-3</v>
      </c>
      <c r="V56" s="63">
        <f t="shared" si="154"/>
        <v>0.27468313984449888</v>
      </c>
      <c r="W56" s="64">
        <f t="shared" si="154"/>
        <v>0.23625697795439493</v>
      </c>
      <c r="X56" s="63">
        <f t="shared" si="154"/>
        <v>0.3347897854160598</v>
      </c>
      <c r="Y56" s="63">
        <f t="shared" si="154"/>
        <v>0.36980956804458892</v>
      </c>
      <c r="Z56" s="63">
        <f t="shared" si="154"/>
        <v>0.37254548729958564</v>
      </c>
      <c r="AA56" s="64">
        <f t="shared" si="154"/>
        <v>0.35113904163393561</v>
      </c>
      <c r="AB56" s="63">
        <f t="shared" si="154"/>
        <v>0.32365532809216158</v>
      </c>
      <c r="AC56" s="63">
        <f t="shared" si="154"/>
        <v>0.30194904849600984</v>
      </c>
      <c r="AD56" s="63">
        <f t="shared" si="154"/>
        <v>0.33619054310405394</v>
      </c>
      <c r="AE56" s="64">
        <f t="shared" si="154"/>
        <v>0.33117303953337651</v>
      </c>
      <c r="AF56" s="63">
        <f t="shared" si="154"/>
        <v>0.29521152952115293</v>
      </c>
      <c r="AG56" s="63">
        <f t="shared" si="154"/>
        <v>0.28383082734612253</v>
      </c>
      <c r="AH56" s="63">
        <f t="shared" si="154"/>
        <v>0.28542765846771195</v>
      </c>
      <c r="AI56" s="64">
        <f t="shared" si="154"/>
        <v>0.23410254507679751</v>
      </c>
      <c r="AJ56" s="65">
        <f t="shared" si="154"/>
        <v>0.20023847376788553</v>
      </c>
      <c r="AK56" s="63">
        <f t="shared" si="154"/>
        <v>0.21223948169541801</v>
      </c>
      <c r="AL56" s="63">
        <f t="shared" si="154"/>
        <v>0.25988281539716679</v>
      </c>
      <c r="AM56" s="64">
        <f t="shared" si="154"/>
        <v>0.25654185340465518</v>
      </c>
      <c r="AN56" s="65">
        <f t="shared" si="154"/>
        <v>0.19664681917894078</v>
      </c>
      <c r="AO56" s="63">
        <f t="shared" si="154"/>
        <v>0.27792639722362811</v>
      </c>
      <c r="AP56" s="63">
        <f t="shared" si="154"/>
        <v>0.31194173423113919</v>
      </c>
      <c r="AQ56" s="64">
        <f t="shared" si="154"/>
        <v>0.30249303715780179</v>
      </c>
      <c r="AR56" s="65">
        <f t="shared" si="154"/>
        <v>0.20460057898443001</v>
      </c>
      <c r="AS56" s="63">
        <f t="shared" si="154"/>
        <v>0.21947707464948843</v>
      </c>
      <c r="AT56" s="63">
        <f t="shared" si="154"/>
        <v>0.28980297269270655</v>
      </c>
      <c r="AU56" s="64">
        <f t="shared" si="154"/>
        <v>0.28825264851817084</v>
      </c>
      <c r="AV56" s="65">
        <f t="shared" si="154"/>
        <v>0.18741789519778135</v>
      </c>
      <c r="AW56" s="63">
        <f t="shared" si="154"/>
        <v>9.7391561368506616E-2</v>
      </c>
      <c r="AX56" s="63">
        <f t="shared" ref="AX56:BA56" si="155">AX55/AX8</f>
        <v>0.28279883381924198</v>
      </c>
      <c r="AY56" s="64">
        <f t="shared" si="155"/>
        <v>0.27641382679858312</v>
      </c>
      <c r="AZ56" s="65">
        <f t="shared" si="155"/>
        <v>0.24324141659908083</v>
      </c>
      <c r="BA56" s="63">
        <f t="shared" si="155"/>
        <v>0.25922915396599605</v>
      </c>
      <c r="BB56" s="63">
        <f t="shared" ref="BB56:BD56" si="156">BB55/BB8</f>
        <v>0.31673787850640905</v>
      </c>
      <c r="BC56" s="64">
        <f t="shared" si="156"/>
        <v>0.31636662170879026</v>
      </c>
      <c r="BD56" s="65">
        <f t="shared" si="156"/>
        <v>0.27822731233661147</v>
      </c>
      <c r="BE56" s="63">
        <f t="shared" ref="BE56:BG56" si="157">BE55/BE8</f>
        <v>0.29373279411001563</v>
      </c>
      <c r="BF56" s="63">
        <f t="shared" si="157"/>
        <v>0.32715134044459732</v>
      </c>
      <c r="BG56" s="1097">
        <f t="shared" si="157"/>
        <v>0.33064692700924753</v>
      </c>
      <c r="BH56" s="65">
        <f t="shared" ref="BH56:BK56" si="158">BH55/BH8</f>
        <v>0.2982656890622451</v>
      </c>
      <c r="BI56" s="63">
        <f t="shared" si="158"/>
        <v>0.29715880654498678</v>
      </c>
      <c r="BJ56" s="63">
        <f t="shared" si="158"/>
        <v>0.32345355610200999</v>
      </c>
      <c r="BK56" s="1097">
        <f t="shared" si="158"/>
        <v>0.33129054736482105</v>
      </c>
      <c r="BL56" s="35"/>
      <c r="BM56" s="63">
        <f t="shared" ref="BM56:BY56" si="159">BM55/BM8</f>
        <v>0.31138927522794002</v>
      </c>
      <c r="BN56" s="63">
        <f t="shared" si="159"/>
        <v>0.1597422418178735</v>
      </c>
      <c r="BO56" s="63">
        <f t="shared" si="159"/>
        <v>0.21432670736161111</v>
      </c>
      <c r="BP56" s="63">
        <f t="shared" si="159"/>
        <v>0.23822699941467568</v>
      </c>
      <c r="BQ56" s="63">
        <f t="shared" si="159"/>
        <v>0.16258149002192046</v>
      </c>
      <c r="BR56" s="63">
        <f t="shared" si="159"/>
        <v>0.35733443367031154</v>
      </c>
      <c r="BS56" s="63">
        <f t="shared" si="159"/>
        <v>0.3236541417433656</v>
      </c>
      <c r="BT56" s="63">
        <f t="shared" si="159"/>
        <v>0.27442305168632009</v>
      </c>
      <c r="BU56" s="63">
        <f t="shared" si="159"/>
        <v>0.23319040752826894</v>
      </c>
      <c r="BV56" s="63">
        <f t="shared" si="159"/>
        <v>0.27469124753892965</v>
      </c>
      <c r="BW56" s="63">
        <f t="shared" si="159"/>
        <v>0.25294914641857102</v>
      </c>
      <c r="BX56" s="63">
        <f t="shared" si="159"/>
        <v>0.21678145048579656</v>
      </c>
      <c r="BY56" s="63">
        <f t="shared" si="159"/>
        <v>0.28578257197941398</v>
      </c>
      <c r="BZ56" s="63">
        <f t="shared" ref="BZ56:CB56" si="160">BZ55/BZ8</f>
        <v>0.30840480207348081</v>
      </c>
      <c r="CA56" s="63">
        <f t="shared" si="160"/>
        <v>0.31335078622267831</v>
      </c>
      <c r="CB56" s="1193">
        <f t="shared" si="160"/>
        <v>0.31612087105845443</v>
      </c>
      <c r="CC56" s="37"/>
      <c r="CD56" s="26"/>
      <c r="CE56" s="26"/>
    </row>
    <row r="57" spans="1:89" ht="12.75" hidden="1" customHeight="1" outlineLevel="1">
      <c r="A57" s="18"/>
      <c r="B57" s="122"/>
      <c r="C57" s="128"/>
      <c r="D57" s="129"/>
      <c r="E57" s="129"/>
      <c r="F57" s="129"/>
      <c r="G57" s="130"/>
      <c r="H57" s="129"/>
      <c r="I57" s="129"/>
      <c r="J57" s="129"/>
      <c r="K57" s="130"/>
      <c r="L57" s="129"/>
      <c r="M57" s="129"/>
      <c r="N57" s="129"/>
      <c r="O57" s="130"/>
      <c r="P57" s="129"/>
      <c r="Q57" s="129"/>
      <c r="R57" s="129"/>
      <c r="S57" s="130"/>
      <c r="T57" s="129"/>
      <c r="U57" s="129"/>
      <c r="V57" s="129"/>
      <c r="W57" s="130"/>
      <c r="X57" s="129"/>
      <c r="Y57" s="129"/>
      <c r="Z57" s="129"/>
      <c r="AA57" s="130"/>
      <c r="AB57" s="129"/>
      <c r="AC57" s="129"/>
      <c r="AD57" s="129"/>
      <c r="AE57" s="130"/>
      <c r="AF57" s="129"/>
      <c r="AG57" s="129"/>
      <c r="AH57" s="129"/>
      <c r="AI57" s="130"/>
      <c r="AJ57" s="131"/>
      <c r="AK57" s="129"/>
      <c r="AL57" s="129"/>
      <c r="AM57" s="130"/>
      <c r="AN57" s="131"/>
      <c r="AO57" s="129"/>
      <c r="AP57" s="129"/>
      <c r="AQ57" s="130"/>
      <c r="AR57" s="131"/>
      <c r="AS57" s="129"/>
      <c r="AT57" s="129"/>
      <c r="AU57" s="130"/>
      <c r="AV57" s="131"/>
      <c r="AW57" s="129"/>
      <c r="AX57" s="129"/>
      <c r="AY57" s="130"/>
      <c r="AZ57" s="131"/>
      <c r="BA57" s="129"/>
      <c r="BB57" s="129"/>
      <c r="BC57" s="130"/>
      <c r="BD57" s="131"/>
      <c r="BE57" s="129"/>
      <c r="BF57" s="129"/>
      <c r="BG57" s="1106"/>
      <c r="BH57" s="131"/>
      <c r="BI57" s="129"/>
      <c r="BJ57" s="129"/>
      <c r="BK57" s="1106"/>
      <c r="BL57" s="35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106"/>
      <c r="CC57" s="37"/>
      <c r="CD57" s="26"/>
      <c r="CE57" s="26"/>
    </row>
    <row r="58" spans="1:89" ht="14.25" hidden="1" customHeight="1" outlineLevel="1">
      <c r="A58" s="18"/>
      <c r="B58" s="54"/>
      <c r="C58" s="62"/>
      <c r="D58" s="63"/>
      <c r="E58" s="63"/>
      <c r="F58" s="63"/>
      <c r="G58" s="64"/>
      <c r="H58" s="63"/>
      <c r="I58" s="63"/>
      <c r="J58" s="63"/>
      <c r="K58" s="64"/>
      <c r="L58" s="63"/>
      <c r="M58" s="63"/>
      <c r="N58" s="63"/>
      <c r="O58" s="64"/>
      <c r="P58" s="63"/>
      <c r="Q58" s="63"/>
      <c r="R58" s="63"/>
      <c r="S58" s="64"/>
      <c r="T58" s="63"/>
      <c r="U58" s="63"/>
      <c r="V58" s="63"/>
      <c r="W58" s="64"/>
      <c r="X58" s="63"/>
      <c r="Y58" s="63"/>
      <c r="Z58" s="63"/>
      <c r="AA58" s="64"/>
      <c r="AB58" s="63"/>
      <c r="AC58" s="63"/>
      <c r="AD58" s="63"/>
      <c r="AE58" s="64"/>
      <c r="AF58" s="63"/>
      <c r="AG58" s="63"/>
      <c r="AH58" s="63"/>
      <c r="AI58" s="64"/>
      <c r="AJ58" s="65"/>
      <c r="AK58" s="63"/>
      <c r="AL58" s="63"/>
      <c r="AM58" s="64"/>
      <c r="AN58" s="65"/>
      <c r="AO58" s="63"/>
      <c r="AP58" s="63"/>
      <c r="AQ58" s="64"/>
      <c r="AR58" s="65"/>
      <c r="AS58" s="63"/>
      <c r="AT58" s="63"/>
      <c r="AU58" s="64"/>
      <c r="AV58" s="65"/>
      <c r="AW58" s="991"/>
      <c r="AX58" s="63"/>
      <c r="AY58" s="64"/>
      <c r="AZ58" s="65"/>
      <c r="BA58" s="991"/>
      <c r="BB58" s="63"/>
      <c r="BC58" s="64"/>
      <c r="BD58" s="65"/>
      <c r="BE58" s="63"/>
      <c r="BF58" s="63"/>
      <c r="BG58" s="1097"/>
      <c r="BH58" s="65"/>
      <c r="BI58" s="63"/>
      <c r="BJ58" s="63"/>
      <c r="BK58" s="1097"/>
      <c r="BL58" s="35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1193"/>
      <c r="CC58" s="37"/>
      <c r="CD58" s="26"/>
      <c r="CE58" s="26"/>
    </row>
    <row r="59" spans="1:89" s="127" customFormat="1" ht="14.25" hidden="1" customHeight="1" outlineLevel="1">
      <c r="A59" s="51"/>
      <c r="B59" s="160" t="s">
        <v>123</v>
      </c>
      <c r="C59" s="123"/>
      <c r="D59" s="124">
        <f t="shared" ref="D59:AR59" si="161">D26-D53</f>
        <v>3070</v>
      </c>
      <c r="E59" s="124">
        <f t="shared" si="161"/>
        <v>2685</v>
      </c>
      <c r="F59" s="124">
        <f t="shared" si="161"/>
        <v>3129</v>
      </c>
      <c r="G59" s="125">
        <f t="shared" si="161"/>
        <v>3332</v>
      </c>
      <c r="H59" s="124">
        <f t="shared" si="161"/>
        <v>1737</v>
      </c>
      <c r="I59" s="124">
        <f t="shared" si="161"/>
        <v>1082</v>
      </c>
      <c r="J59" s="124">
        <f t="shared" si="161"/>
        <v>1480</v>
      </c>
      <c r="K59" s="125">
        <f t="shared" si="161"/>
        <v>1950</v>
      </c>
      <c r="L59" s="124">
        <f t="shared" si="161"/>
        <v>1750</v>
      </c>
      <c r="M59" s="124">
        <f t="shared" si="161"/>
        <v>1432</v>
      </c>
      <c r="N59" s="124">
        <f t="shared" si="161"/>
        <v>2269</v>
      </c>
      <c r="O59" s="125">
        <f t="shared" si="161"/>
        <v>3297</v>
      </c>
      <c r="P59" s="124">
        <f t="shared" si="161"/>
        <v>2391</v>
      </c>
      <c r="Q59" s="124">
        <f t="shared" si="161"/>
        <v>2351</v>
      </c>
      <c r="R59" s="124">
        <f t="shared" si="161"/>
        <v>3133</v>
      </c>
      <c r="S59" s="125">
        <f t="shared" si="161"/>
        <v>1795</v>
      </c>
      <c r="T59" s="124">
        <f t="shared" si="161"/>
        <v>721</v>
      </c>
      <c r="U59" s="124">
        <f t="shared" si="161"/>
        <v>79</v>
      </c>
      <c r="V59" s="124">
        <f t="shared" si="161"/>
        <v>2654</v>
      </c>
      <c r="W59" s="125">
        <f t="shared" si="161"/>
        <v>2523</v>
      </c>
      <c r="X59" s="124">
        <f t="shared" si="161"/>
        <v>3467</v>
      </c>
      <c r="Y59" s="124">
        <f t="shared" si="161"/>
        <v>4001</v>
      </c>
      <c r="Z59" s="124">
        <f t="shared" si="161"/>
        <v>4156</v>
      </c>
      <c r="AA59" s="125">
        <f t="shared" si="161"/>
        <v>4047</v>
      </c>
      <c r="AB59" s="124">
        <f t="shared" si="161"/>
        <v>4329</v>
      </c>
      <c r="AC59" s="124">
        <f t="shared" si="161"/>
        <v>4222</v>
      </c>
      <c r="AD59" s="124">
        <f t="shared" si="161"/>
        <v>5051</v>
      </c>
      <c r="AE59" s="125">
        <f t="shared" si="161"/>
        <v>4840</v>
      </c>
      <c r="AF59" s="124">
        <f t="shared" si="161"/>
        <v>4028</v>
      </c>
      <c r="AG59" s="124">
        <f t="shared" si="161"/>
        <v>4052</v>
      </c>
      <c r="AH59" s="124">
        <f t="shared" si="161"/>
        <v>4056</v>
      </c>
      <c r="AI59" s="125">
        <f t="shared" si="161"/>
        <v>3367</v>
      </c>
      <c r="AJ59" s="126">
        <f t="shared" si="161"/>
        <v>2725.5</v>
      </c>
      <c r="AK59" s="124">
        <f t="shared" si="161"/>
        <v>2922.5</v>
      </c>
      <c r="AL59" s="124">
        <f>AL26-AL53</f>
        <v>3835.5</v>
      </c>
      <c r="AM59" s="125">
        <f>AM26-AM53</f>
        <v>3872.5</v>
      </c>
      <c r="AN59" s="126">
        <f>AN26-AN53</f>
        <v>2848</v>
      </c>
      <c r="AO59" s="124">
        <f>AO26-AO53</f>
        <v>4125</v>
      </c>
      <c r="AP59" s="124">
        <f>AP26-AP53</f>
        <v>4765</v>
      </c>
      <c r="AQ59" s="125">
        <f t="shared" si="161"/>
        <v>4710</v>
      </c>
      <c r="AR59" s="126">
        <f t="shared" si="161"/>
        <v>2902</v>
      </c>
      <c r="AS59" s="124">
        <f t="shared" ref="AS59:AW59" si="162">AS26-AS53</f>
        <v>3287</v>
      </c>
      <c r="AT59" s="124">
        <f t="shared" si="162"/>
        <v>4350</v>
      </c>
      <c r="AU59" s="125">
        <f t="shared" si="162"/>
        <v>4425</v>
      </c>
      <c r="AV59" s="126">
        <f t="shared" si="162"/>
        <v>3283</v>
      </c>
      <c r="AW59" s="124">
        <f t="shared" si="162"/>
        <v>3217</v>
      </c>
      <c r="AX59" s="124">
        <f>AX26-AX53</f>
        <v>5143</v>
      </c>
      <c r="AY59" s="125">
        <f t="shared" ref="AY59:BA59" si="163">AY26-AY53</f>
        <v>4899</v>
      </c>
      <c r="AZ59" s="126">
        <f t="shared" si="163"/>
        <v>3926</v>
      </c>
      <c r="BA59" s="124">
        <f t="shared" si="163"/>
        <v>4167</v>
      </c>
      <c r="BB59" s="124">
        <f>BB26-BB53</f>
        <v>5551</v>
      </c>
      <c r="BC59" s="125">
        <f t="shared" ref="BC59:BD59" si="164">BC26-BC53</f>
        <v>5933</v>
      </c>
      <c r="BD59" s="126">
        <f t="shared" si="164"/>
        <v>4795</v>
      </c>
      <c r="BE59" s="124">
        <f t="shared" ref="BE59:BG59" si="165">BE26-BE53</f>
        <v>4830.9024417000601</v>
      </c>
      <c r="BF59" s="124">
        <f t="shared" si="165"/>
        <v>5782.0713225668842</v>
      </c>
      <c r="BG59" s="1104">
        <f t="shared" si="165"/>
        <v>5913.5343200652587</v>
      </c>
      <c r="BH59" s="126">
        <f t="shared" ref="BH59:BK59" si="166">BH26-BH53</f>
        <v>4851.4200867203726</v>
      </c>
      <c r="BI59" s="124">
        <f t="shared" si="166"/>
        <v>4939.0256088883034</v>
      </c>
      <c r="BJ59" s="124">
        <f t="shared" si="166"/>
        <v>5853.4704416685145</v>
      </c>
      <c r="BK59" s="1104">
        <f t="shared" si="166"/>
        <v>6110.2099621741309</v>
      </c>
      <c r="BL59" s="95"/>
      <c r="BM59" s="124">
        <f t="shared" ref="BM59:BX59" si="167">BM26-BM53</f>
        <v>12216</v>
      </c>
      <c r="BN59" s="124">
        <f t="shared" si="167"/>
        <v>6249</v>
      </c>
      <c r="BO59" s="124">
        <f t="shared" si="167"/>
        <v>8748</v>
      </c>
      <c r="BP59" s="124">
        <f t="shared" si="167"/>
        <v>9670</v>
      </c>
      <c r="BQ59" s="124">
        <f t="shared" si="167"/>
        <v>5977</v>
      </c>
      <c r="BR59" s="124">
        <f t="shared" si="167"/>
        <v>15671</v>
      </c>
      <c r="BS59" s="124">
        <f t="shared" si="167"/>
        <v>18442</v>
      </c>
      <c r="BT59" s="124">
        <f t="shared" si="167"/>
        <v>15503</v>
      </c>
      <c r="BU59" s="124">
        <f t="shared" si="167"/>
        <v>13356</v>
      </c>
      <c r="BV59" s="124">
        <f t="shared" si="167"/>
        <v>16448</v>
      </c>
      <c r="BW59" s="124">
        <f>BW26-BW53</f>
        <v>14964</v>
      </c>
      <c r="BX59" s="124">
        <f t="shared" si="167"/>
        <v>16542</v>
      </c>
      <c r="BY59" s="124">
        <f>BY26-BY53</f>
        <v>19577</v>
      </c>
      <c r="BZ59" s="124">
        <f>BZ26-BZ53</f>
        <v>21321.508084332207</v>
      </c>
      <c r="CA59" s="124">
        <f>CA26-CA53</f>
        <v>21754.126099451314</v>
      </c>
      <c r="CB59" s="1104">
        <f t="shared" ref="CB59" si="168">CB26-CB53</f>
        <v>22162.87280252151</v>
      </c>
      <c r="CC59" s="99"/>
      <c r="CD59" s="100"/>
      <c r="CE59" s="100"/>
      <c r="CF59"/>
      <c r="CG59"/>
      <c r="CH59"/>
      <c r="CI59"/>
      <c r="CJ59"/>
      <c r="CK59"/>
    </row>
    <row r="60" spans="1:89" ht="14.25" hidden="1" customHeight="1" outlineLevel="1">
      <c r="A60" s="18"/>
      <c r="B60" s="54" t="s">
        <v>124</v>
      </c>
      <c r="C60" s="62"/>
      <c r="D60" s="63">
        <f t="shared" ref="D60:AW60" si="169">D59/D8</f>
        <v>0.3254186983252067</v>
      </c>
      <c r="E60" s="63">
        <f t="shared" si="169"/>
        <v>0.29086772830679231</v>
      </c>
      <c r="F60" s="63">
        <f t="shared" si="169"/>
        <v>0.31415662650602411</v>
      </c>
      <c r="G60" s="64">
        <f t="shared" si="169"/>
        <v>0.32663464366238604</v>
      </c>
      <c r="H60" s="63">
        <f t="shared" si="169"/>
        <v>0.19429530201342282</v>
      </c>
      <c r="I60" s="63">
        <f t="shared" si="169"/>
        <v>0.13509801473342489</v>
      </c>
      <c r="J60" s="63">
        <f t="shared" si="169"/>
        <v>0.16935576152877904</v>
      </c>
      <c r="K60" s="64">
        <f t="shared" si="169"/>
        <v>0.20115535382710956</v>
      </c>
      <c r="L60" s="63">
        <f t="shared" si="169"/>
        <v>0.19769543605964754</v>
      </c>
      <c r="M60" s="63">
        <f t="shared" si="169"/>
        <v>0.16497695852534563</v>
      </c>
      <c r="N60" s="63">
        <f t="shared" si="169"/>
        <v>0.22487611496531218</v>
      </c>
      <c r="O60" s="64">
        <f t="shared" si="169"/>
        <v>0.30778566094100074</v>
      </c>
      <c r="P60" s="63">
        <f t="shared" si="169"/>
        <v>0.24718288018194975</v>
      </c>
      <c r="Q60" s="63">
        <f t="shared" si="169"/>
        <v>0.24825765575501585</v>
      </c>
      <c r="R60" s="63">
        <f t="shared" si="169"/>
        <v>0.30664578643437407</v>
      </c>
      <c r="S60" s="64">
        <f t="shared" si="169"/>
        <v>0.21821055190858255</v>
      </c>
      <c r="T60" s="63">
        <f t="shared" si="169"/>
        <v>0.10090972708187544</v>
      </c>
      <c r="U60" s="63">
        <f t="shared" si="169"/>
        <v>9.845463609172482E-3</v>
      </c>
      <c r="V60" s="63">
        <f t="shared" si="169"/>
        <v>0.28267121099158588</v>
      </c>
      <c r="W60" s="64">
        <f t="shared" si="169"/>
        <v>0.23871700255464093</v>
      </c>
      <c r="X60" s="63">
        <f t="shared" si="169"/>
        <v>0.33663462472084671</v>
      </c>
      <c r="Y60" s="63">
        <f t="shared" si="169"/>
        <v>0.37166744078030656</v>
      </c>
      <c r="Z60" s="63">
        <f t="shared" si="169"/>
        <v>0.37434696451089894</v>
      </c>
      <c r="AA60" s="64">
        <f t="shared" si="169"/>
        <v>0.35323383084577115</v>
      </c>
      <c r="AB60" s="63">
        <f t="shared" si="169"/>
        <v>0.3369658285981163</v>
      </c>
      <c r="AC60" s="63">
        <f t="shared" si="169"/>
        <v>0.32397176181706566</v>
      </c>
      <c r="AD60" s="63">
        <f t="shared" si="169"/>
        <v>0.35487950537483315</v>
      </c>
      <c r="AE60" s="64">
        <f t="shared" si="169"/>
        <v>0.34852739972636276</v>
      </c>
      <c r="AF60" s="63">
        <f t="shared" si="169"/>
        <v>0.31210289787695644</v>
      </c>
      <c r="AG60" s="63">
        <f t="shared" si="169"/>
        <v>0.30012591659877047</v>
      </c>
      <c r="AH60" s="63">
        <f t="shared" si="169"/>
        <v>0.30140447350821131</v>
      </c>
      <c r="AI60" s="64">
        <f t="shared" si="169"/>
        <v>0.24983304889812272</v>
      </c>
      <c r="AJ60" s="65">
        <f t="shared" si="169"/>
        <v>0.21665341812400635</v>
      </c>
      <c r="AK60" s="63">
        <f t="shared" si="169"/>
        <v>0.2281242682070096</v>
      </c>
      <c r="AL60" s="63">
        <f t="shared" si="169"/>
        <v>0.28446933175109396</v>
      </c>
      <c r="AM60" s="64">
        <f t="shared" si="169"/>
        <v>0.27992626861356079</v>
      </c>
      <c r="AN60" s="65">
        <f t="shared" si="169"/>
        <v>0.2231275462237543</v>
      </c>
      <c r="AO60" s="63">
        <f t="shared" si="169"/>
        <v>0.2982430771455426</v>
      </c>
      <c r="AP60" s="63">
        <f t="shared" si="169"/>
        <v>0.32740140167651505</v>
      </c>
      <c r="AQ60" s="64">
        <f t="shared" si="169"/>
        <v>0.319951090279193</v>
      </c>
      <c r="AR60" s="65">
        <f t="shared" si="169"/>
        <v>0.22705578593224318</v>
      </c>
      <c r="AS60" s="63">
        <f t="shared" si="169"/>
        <v>0.24910951117847668</v>
      </c>
      <c r="AT60" s="63">
        <f t="shared" si="169"/>
        <v>0.30072589007950223</v>
      </c>
      <c r="AU60" s="64">
        <f t="shared" si="169"/>
        <v>0.29670108622770552</v>
      </c>
      <c r="AV60" s="65">
        <f t="shared" si="169"/>
        <v>0.23960005838563714</v>
      </c>
      <c r="AW60" s="63">
        <f t="shared" si="169"/>
        <v>0.23771521466045961</v>
      </c>
      <c r="AX60" s="63">
        <f t="shared" ref="AX60:BA60" si="170">AX59/AX8</f>
        <v>0.32596019774369372</v>
      </c>
      <c r="AY60" s="64">
        <f t="shared" si="170"/>
        <v>0.29919384389886405</v>
      </c>
      <c r="AZ60" s="65">
        <f t="shared" si="170"/>
        <v>0.26534198432008649</v>
      </c>
      <c r="BA60" s="63">
        <f t="shared" si="170"/>
        <v>0.28225970331233491</v>
      </c>
      <c r="BB60" s="63">
        <f t="shared" ref="BB60:BD60" si="171">BB59/BB8</f>
        <v>0.34373645426961424</v>
      </c>
      <c r="BC60" s="64">
        <f t="shared" si="171"/>
        <v>0.34791532281709964</v>
      </c>
      <c r="BD60" s="65">
        <f t="shared" si="171"/>
        <v>0.29845636748412796</v>
      </c>
      <c r="BE60" s="63">
        <f t="shared" ref="BE60:BG60" si="172">BE59/BE8</f>
        <v>0.29618521552902316</v>
      </c>
      <c r="BF60" s="63">
        <f t="shared" si="172"/>
        <v>0.32943031833997005</v>
      </c>
      <c r="BG60" s="1097">
        <f t="shared" si="172"/>
        <v>0.33289870189633514</v>
      </c>
      <c r="BH60" s="65">
        <f t="shared" ref="BH60:BK60" si="173">BH59/BH8</f>
        <v>0.30074533693074418</v>
      </c>
      <c r="BI60" s="63">
        <f t="shared" si="173"/>
        <v>0.29958507519731514</v>
      </c>
      <c r="BJ60" s="63">
        <f t="shared" si="173"/>
        <v>0.32567910147527712</v>
      </c>
      <c r="BK60" s="1097">
        <f t="shared" si="173"/>
        <v>0.3334736056078092</v>
      </c>
      <c r="BL60" s="35"/>
      <c r="BM60" s="63">
        <f t="shared" ref="BM60:BY60" si="174">BM59/BM8</f>
        <v>0.31463452325761088</v>
      </c>
      <c r="BN60" s="63">
        <f t="shared" si="174"/>
        <v>0.17661522808207564</v>
      </c>
      <c r="BO60" s="63">
        <f t="shared" si="174"/>
        <v>0.22820472687431523</v>
      </c>
      <c r="BP60" s="63">
        <f t="shared" si="174"/>
        <v>0.25727664555951685</v>
      </c>
      <c r="BQ60" s="63">
        <f t="shared" si="174"/>
        <v>0.17015401258291343</v>
      </c>
      <c r="BR60" s="63">
        <f t="shared" si="174"/>
        <v>0.35923709969511497</v>
      </c>
      <c r="BS60" s="63">
        <f t="shared" si="174"/>
        <v>0.34152484305264913</v>
      </c>
      <c r="BT60" s="63">
        <f t="shared" si="174"/>
        <v>0.29063947057610467</v>
      </c>
      <c r="BU60" s="63">
        <f t="shared" si="174"/>
        <v>0.25339606890794564</v>
      </c>
      <c r="BV60" s="63">
        <f t="shared" si="174"/>
        <v>0.29439770896724538</v>
      </c>
      <c r="BW60" s="63">
        <f t="shared" si="174"/>
        <v>0.27032788366001265</v>
      </c>
      <c r="BX60" s="63">
        <f t="shared" si="174"/>
        <v>0.27854580968898918</v>
      </c>
      <c r="BY60" s="63">
        <f t="shared" si="174"/>
        <v>0.31192938289702205</v>
      </c>
      <c r="BZ60" s="63">
        <f t="shared" ref="BZ60:CB60" si="175">BZ59/BZ8</f>
        <v>0.31497870496798341</v>
      </c>
      <c r="CA60" s="63">
        <f t="shared" si="175"/>
        <v>0.31567253453352578</v>
      </c>
      <c r="CB60" s="1193">
        <f t="shared" si="175"/>
        <v>0.31841963176226384</v>
      </c>
      <c r="CC60" s="37"/>
      <c r="CD60" s="26"/>
      <c r="CE60" s="26"/>
    </row>
    <row r="61" spans="1:89" ht="14.25" customHeight="1" collapsed="1">
      <c r="A61" s="18"/>
      <c r="B61" s="39"/>
      <c r="C61" s="68"/>
      <c r="D61" s="69"/>
      <c r="E61" s="69"/>
      <c r="F61" s="69"/>
      <c r="G61" s="70"/>
      <c r="H61" s="69"/>
      <c r="I61" s="69"/>
      <c r="J61" s="69"/>
      <c r="K61" s="70"/>
      <c r="L61" s="69"/>
      <c r="M61" s="69"/>
      <c r="N61" s="69"/>
      <c r="O61" s="70"/>
      <c r="P61" s="69"/>
      <c r="Q61" s="69"/>
      <c r="R61" s="69"/>
      <c r="S61" s="70"/>
      <c r="T61" s="69"/>
      <c r="U61" s="69"/>
      <c r="V61" s="69"/>
      <c r="W61" s="70"/>
      <c r="X61" s="69"/>
      <c r="Y61" s="69"/>
      <c r="Z61" s="69"/>
      <c r="AA61" s="70"/>
      <c r="AB61" s="69"/>
      <c r="AC61" s="69"/>
      <c r="AD61" s="69"/>
      <c r="AE61" s="70"/>
      <c r="AF61" s="69"/>
      <c r="AG61" s="69"/>
      <c r="AH61" s="69"/>
      <c r="AI61" s="70"/>
      <c r="AJ61" s="71"/>
      <c r="AK61" s="69"/>
      <c r="AL61" s="69"/>
      <c r="AM61" s="70"/>
      <c r="AN61" s="71"/>
      <c r="AO61" s="69"/>
      <c r="AP61" s="69"/>
      <c r="AQ61" s="70"/>
      <c r="AR61" s="71"/>
      <c r="AS61" s="69"/>
      <c r="AT61" s="69"/>
      <c r="AU61" s="70"/>
      <c r="AV61" s="71"/>
      <c r="AW61" s="69"/>
      <c r="AX61" s="69"/>
      <c r="AY61" s="70"/>
      <c r="AZ61" s="71"/>
      <c r="BA61" s="69"/>
      <c r="BB61" s="69"/>
      <c r="BC61" s="70"/>
      <c r="BD61" s="71"/>
      <c r="BE61" s="69"/>
      <c r="BF61" s="69"/>
      <c r="BG61" s="1111"/>
      <c r="BH61" s="71"/>
      <c r="BI61" s="69"/>
      <c r="BJ61" s="69"/>
      <c r="BK61" s="1111"/>
      <c r="BL61" s="35"/>
      <c r="BM61" s="69"/>
      <c r="BN61" s="69"/>
      <c r="BO61" s="69"/>
      <c r="BP61" s="69"/>
      <c r="BQ61" s="69"/>
      <c r="BR61" s="69"/>
      <c r="BS61" s="69"/>
      <c r="BT61" s="69"/>
      <c r="BU61" s="69"/>
      <c r="BV61" s="69"/>
      <c r="BW61" s="69"/>
      <c r="BX61" s="69"/>
      <c r="BY61" s="69"/>
      <c r="BZ61" s="69"/>
      <c r="CA61" s="69"/>
      <c r="CB61" s="1111"/>
      <c r="CC61" s="37"/>
      <c r="CD61" s="26"/>
      <c r="CE61" s="26"/>
    </row>
    <row r="62" spans="1:89" s="88" customFormat="1" ht="14.25" customHeight="1">
      <c r="A62" s="77"/>
      <c r="B62" s="78" t="s">
        <v>125</v>
      </c>
      <c r="C62" s="79"/>
      <c r="D62" s="84">
        <f t="shared" ref="D62:AE62" si="176">D63+D64+D65</f>
        <v>119</v>
      </c>
      <c r="E62" s="84">
        <f t="shared" si="176"/>
        <v>105</v>
      </c>
      <c r="F62" s="84">
        <f t="shared" si="176"/>
        <v>143</v>
      </c>
      <c r="G62" s="86">
        <f t="shared" si="176"/>
        <v>153</v>
      </c>
      <c r="H62" s="84">
        <f t="shared" si="176"/>
        <v>156</v>
      </c>
      <c r="I62" s="84">
        <f t="shared" si="176"/>
        <v>181</v>
      </c>
      <c r="J62" s="84">
        <f t="shared" si="176"/>
        <v>440</v>
      </c>
      <c r="K62" s="86">
        <f t="shared" si="176"/>
        <v>639</v>
      </c>
      <c r="L62" s="84">
        <f t="shared" si="176"/>
        <v>198</v>
      </c>
      <c r="M62" s="84">
        <f t="shared" si="176"/>
        <v>179</v>
      </c>
      <c r="N62" s="84">
        <f t="shared" si="176"/>
        <v>359</v>
      </c>
      <c r="O62" s="86">
        <f t="shared" si="176"/>
        <v>214</v>
      </c>
      <c r="P62" s="84">
        <f t="shared" si="176"/>
        <v>109</v>
      </c>
      <c r="Q62" s="84">
        <f t="shared" si="176"/>
        <v>58</v>
      </c>
      <c r="R62" s="84">
        <f t="shared" si="176"/>
        <v>-265</v>
      </c>
      <c r="S62" s="86">
        <f t="shared" si="176"/>
        <v>-1170</v>
      </c>
      <c r="T62" s="84">
        <f t="shared" si="176"/>
        <v>-18</v>
      </c>
      <c r="U62" s="84">
        <f t="shared" si="176"/>
        <v>-38</v>
      </c>
      <c r="V62" s="84">
        <f t="shared" si="176"/>
        <v>-47</v>
      </c>
      <c r="W62" s="86">
        <f t="shared" si="176"/>
        <v>96</v>
      </c>
      <c r="X62" s="84">
        <f t="shared" si="176"/>
        <v>-2</v>
      </c>
      <c r="Y62" s="84">
        <f t="shared" si="176"/>
        <v>204</v>
      </c>
      <c r="Z62" s="84">
        <f t="shared" si="176"/>
        <v>115</v>
      </c>
      <c r="AA62" s="86">
        <f t="shared" si="176"/>
        <v>140</v>
      </c>
      <c r="AB62" s="84">
        <f t="shared" si="176"/>
        <v>213</v>
      </c>
      <c r="AC62" s="84">
        <f t="shared" si="176"/>
        <v>-4</v>
      </c>
      <c r="AD62" s="84">
        <f t="shared" si="176"/>
        <v>107</v>
      </c>
      <c r="AE62" s="86">
        <f t="shared" si="176"/>
        <v>-12</v>
      </c>
      <c r="AF62" s="84">
        <f t="shared" ref="AF62:AU62" si="177">SUM(AF63:AF66)</f>
        <v>4</v>
      </c>
      <c r="AG62" s="84">
        <f t="shared" si="177"/>
        <v>102</v>
      </c>
      <c r="AH62" s="84">
        <f t="shared" si="177"/>
        <v>80</v>
      </c>
      <c r="AI62" s="86">
        <f t="shared" si="177"/>
        <v>49</v>
      </c>
      <c r="AJ62" s="84">
        <f t="shared" si="177"/>
        <v>-76</v>
      </c>
      <c r="AK62" s="84">
        <f t="shared" si="177"/>
        <v>-26</v>
      </c>
      <c r="AL62" s="84">
        <f t="shared" si="177"/>
        <v>420</v>
      </c>
      <c r="AM62" s="86">
        <f t="shared" si="177"/>
        <v>2</v>
      </c>
      <c r="AN62" s="84">
        <f t="shared" si="177"/>
        <v>160</v>
      </c>
      <c r="AO62" s="84">
        <f t="shared" si="177"/>
        <v>78</v>
      </c>
      <c r="AP62" s="84">
        <f t="shared" si="177"/>
        <v>10</v>
      </c>
      <c r="AQ62" s="86">
        <f t="shared" si="177"/>
        <v>206</v>
      </c>
      <c r="AR62" s="84">
        <f t="shared" si="177"/>
        <v>58</v>
      </c>
      <c r="AS62" s="84">
        <f t="shared" si="177"/>
        <v>87</v>
      </c>
      <c r="AT62" s="84">
        <f>+SUM(AT63:AT66)</f>
        <v>61</v>
      </c>
      <c r="AU62" s="86">
        <f t="shared" si="177"/>
        <v>4</v>
      </c>
      <c r="AV62" s="84">
        <f>SUM(AV63:AV66)</f>
        <v>-60</v>
      </c>
      <c r="AW62" s="84">
        <f>SUM(AW63:AW66)</f>
        <v>352</v>
      </c>
      <c r="AX62" s="84">
        <f>+SUM(AX63:AX66)</f>
        <v>-144</v>
      </c>
      <c r="AY62" s="86">
        <f t="shared" ref="AY62" si="178">SUM(AY63:AY66)</f>
        <v>-86</v>
      </c>
      <c r="AZ62" s="84">
        <f>SUM(AZ63:AZ66)</f>
        <v>216</v>
      </c>
      <c r="BA62" s="84">
        <f>SUM(BA63:BA66)</f>
        <v>745</v>
      </c>
      <c r="BB62" s="84">
        <f>+SUM(BB63:BB66)</f>
        <v>815</v>
      </c>
      <c r="BC62" s="86">
        <f t="shared" ref="BC62" si="179">SUM(BC63:BC66)</f>
        <v>640</v>
      </c>
      <c r="BD62" s="84">
        <f>SUM(BD63:BD66)</f>
        <v>541</v>
      </c>
      <c r="BE62" s="84">
        <f t="shared" ref="BE62:BG62" si="180">+SUM(BE63:BE66)</f>
        <v>-137</v>
      </c>
      <c r="BF62" s="84">
        <f t="shared" si="180"/>
        <v>-62</v>
      </c>
      <c r="BG62" s="1116">
        <f t="shared" si="180"/>
        <v>-62</v>
      </c>
      <c r="BH62" s="85">
        <f t="shared" ref="BH62:BK62" si="181">+SUM(BH63:BH66)</f>
        <v>-62</v>
      </c>
      <c r="BI62" s="84">
        <f t="shared" si="181"/>
        <v>-62</v>
      </c>
      <c r="BJ62" s="84">
        <f t="shared" si="181"/>
        <v>-62</v>
      </c>
      <c r="BK62" s="1116">
        <f t="shared" si="181"/>
        <v>-62</v>
      </c>
      <c r="BL62" s="83"/>
      <c r="BM62" s="84">
        <f t="shared" ref="BM62:BR62" si="182">BM63+BM64+BM65</f>
        <v>520</v>
      </c>
      <c r="BN62" s="84">
        <f t="shared" si="182"/>
        <v>1416</v>
      </c>
      <c r="BO62" s="84">
        <f t="shared" si="182"/>
        <v>950</v>
      </c>
      <c r="BP62" s="84">
        <f t="shared" si="182"/>
        <v>-1268</v>
      </c>
      <c r="BQ62" s="84">
        <f t="shared" si="182"/>
        <v>-7</v>
      </c>
      <c r="BR62" s="84">
        <f t="shared" si="182"/>
        <v>457</v>
      </c>
      <c r="BS62" s="84">
        <f t="shared" ref="BS62:BY62" si="183">BS63+BS64+BS65+BS66</f>
        <v>304</v>
      </c>
      <c r="BT62" s="84">
        <f t="shared" si="183"/>
        <v>235</v>
      </c>
      <c r="BU62" s="84">
        <f t="shared" si="183"/>
        <v>320</v>
      </c>
      <c r="BV62" s="84">
        <f t="shared" si="183"/>
        <v>454</v>
      </c>
      <c r="BW62" s="84">
        <f t="shared" si="183"/>
        <v>210</v>
      </c>
      <c r="BX62" s="84">
        <f t="shared" si="183"/>
        <v>62</v>
      </c>
      <c r="BY62" s="84">
        <f t="shared" si="183"/>
        <v>2416</v>
      </c>
      <c r="BZ62" s="84">
        <f t="shared" ref="BZ62" si="184">BZ63+BZ64+BZ65+BZ66</f>
        <v>280</v>
      </c>
      <c r="CA62" s="84">
        <f t="shared" ref="CA62:CB62" si="185">CA63+CA64+CA65+CA66</f>
        <v>-248</v>
      </c>
      <c r="CB62" s="1116">
        <f t="shared" si="185"/>
        <v>-248</v>
      </c>
      <c r="CC62" s="1226"/>
      <c r="CD62" s="87"/>
      <c r="CE62" s="87"/>
      <c r="CF62"/>
      <c r="CG62"/>
      <c r="CH62"/>
      <c r="CI62"/>
      <c r="CJ62"/>
      <c r="CK62"/>
    </row>
    <row r="63" spans="1:89" ht="14.25" hidden="1" customHeight="1" outlineLevel="1">
      <c r="A63" s="18"/>
      <c r="B63" s="139" t="s">
        <v>126</v>
      </c>
      <c r="C63" s="103"/>
      <c r="D63" s="90">
        <v>115</v>
      </c>
      <c r="E63" s="90">
        <v>127</v>
      </c>
      <c r="F63" s="90">
        <v>145</v>
      </c>
      <c r="G63" s="92">
        <f>565-F63-E63-D63</f>
        <v>178</v>
      </c>
      <c r="H63" s="90">
        <v>154</v>
      </c>
      <c r="I63" s="90">
        <v>144</v>
      </c>
      <c r="J63" s="90">
        <v>272</v>
      </c>
      <c r="K63" s="92">
        <f>1202-J63-I63-H63</f>
        <v>632</v>
      </c>
      <c r="L63" s="90">
        <v>169</v>
      </c>
      <c r="M63" s="90">
        <v>180</v>
      </c>
      <c r="N63" s="90">
        <v>148</v>
      </c>
      <c r="O63" s="92">
        <f>793-N63-M63-L63</f>
        <v>296</v>
      </c>
      <c r="P63" s="90">
        <v>168</v>
      </c>
      <c r="Q63" s="90">
        <v>167</v>
      </c>
      <c r="R63" s="90">
        <v>131</v>
      </c>
      <c r="S63" s="92">
        <f>488-R63-Q63-P63</f>
        <v>22</v>
      </c>
      <c r="T63" s="90">
        <v>95</v>
      </c>
      <c r="U63" s="90">
        <v>31</v>
      </c>
      <c r="V63" s="90">
        <v>32</v>
      </c>
      <c r="W63" s="92">
        <f>163-V63-U63-T63</f>
        <v>5</v>
      </c>
      <c r="X63" s="90">
        <v>29</v>
      </c>
      <c r="Y63" s="90">
        <v>11</v>
      </c>
      <c r="Z63" s="90">
        <v>38</v>
      </c>
      <c r="AA63" s="92">
        <f>109-Z63-Y63-X63</f>
        <v>31</v>
      </c>
      <c r="AB63" s="90">
        <v>185</v>
      </c>
      <c r="AC63" s="90">
        <v>21</v>
      </c>
      <c r="AD63" s="90">
        <v>15</v>
      </c>
      <c r="AE63" s="92">
        <v>17</v>
      </c>
      <c r="AF63" s="90">
        <v>28</v>
      </c>
      <c r="AG63" s="90">
        <v>25</v>
      </c>
      <c r="AH63" s="90">
        <v>23</v>
      </c>
      <c r="AI63" s="92">
        <v>21</v>
      </c>
      <c r="AJ63" s="136">
        <v>23</v>
      </c>
      <c r="AK63" s="90">
        <v>26</v>
      </c>
      <c r="AL63" s="90">
        <v>0</v>
      </c>
      <c r="AM63" s="92">
        <v>-32</v>
      </c>
      <c r="AN63" s="136">
        <v>35</v>
      </c>
      <c r="AO63" s="90">
        <v>38</v>
      </c>
      <c r="AP63" s="90">
        <v>35</v>
      </c>
      <c r="AQ63" s="92">
        <v>33</v>
      </c>
      <c r="AR63" s="136">
        <v>32</v>
      </c>
      <c r="AS63" s="90">
        <v>28</v>
      </c>
      <c r="AT63" s="90">
        <v>31</v>
      </c>
      <c r="AU63" s="92">
        <v>33</v>
      </c>
      <c r="AV63" s="136">
        <v>52</v>
      </c>
      <c r="AW63" s="90">
        <v>0</v>
      </c>
      <c r="AX63" s="90">
        <v>0</v>
      </c>
      <c r="AY63" s="92">
        <v>0</v>
      </c>
      <c r="AZ63" s="136">
        <v>0</v>
      </c>
      <c r="BA63" s="90">
        <v>0</v>
      </c>
      <c r="BB63" s="90">
        <v>0</v>
      </c>
      <c r="BC63" s="92">
        <v>0</v>
      </c>
      <c r="BD63" s="136">
        <v>0</v>
      </c>
      <c r="BE63" s="583">
        <f t="shared" ref="BE63:BG64" si="186">BD63</f>
        <v>0</v>
      </c>
      <c r="BF63" s="583">
        <f t="shared" si="186"/>
        <v>0</v>
      </c>
      <c r="BG63" s="1101">
        <f t="shared" si="186"/>
        <v>0</v>
      </c>
      <c r="BH63" s="584">
        <f t="shared" ref="BH63" si="187">BG63</f>
        <v>0</v>
      </c>
      <c r="BI63" s="583">
        <f t="shared" ref="BI63:BI64" si="188">BH63</f>
        <v>0</v>
      </c>
      <c r="BJ63" s="583">
        <f t="shared" ref="BJ63:BJ64" si="189">BI63</f>
        <v>0</v>
      </c>
      <c r="BK63" s="1101">
        <f t="shared" ref="BK63:BK64" si="190">BJ63</f>
        <v>0</v>
      </c>
      <c r="BL63" s="95"/>
      <c r="BM63" s="96">
        <f>SUM(D63:G63)</f>
        <v>565</v>
      </c>
      <c r="BN63" s="96">
        <f>SUM(H63:K63)</f>
        <v>1202</v>
      </c>
      <c r="BO63" s="96">
        <f>SUM(L63:O63)</f>
        <v>793</v>
      </c>
      <c r="BP63" s="96">
        <f>SUM(P63:S63)</f>
        <v>488</v>
      </c>
      <c r="BQ63" s="96">
        <f>SUM(T63:W63)</f>
        <v>163</v>
      </c>
      <c r="BR63" s="96">
        <f>SUM(X63:AA63)</f>
        <v>109</v>
      </c>
      <c r="BS63" s="96">
        <f>SUM(AB63:AE63)</f>
        <v>238</v>
      </c>
      <c r="BT63" s="96">
        <f>SUM(AF63:AI63)</f>
        <v>97</v>
      </c>
      <c r="BU63" s="96">
        <f>SUM(AJ63:AM63)</f>
        <v>17</v>
      </c>
      <c r="BV63" s="96">
        <f>SUM(AN63:AQ63)</f>
        <v>141</v>
      </c>
      <c r="BW63" s="979">
        <f>SUM(AR63:AU63)</f>
        <v>124</v>
      </c>
      <c r="BX63" s="979">
        <f>SUM(AV63:AY63)</f>
        <v>52</v>
      </c>
      <c r="BY63" s="979">
        <f>SUM(AZ63:BC63)</f>
        <v>0</v>
      </c>
      <c r="BZ63" s="979">
        <f>SUM(BD63:BG63)</f>
        <v>0</v>
      </c>
      <c r="CA63" s="979">
        <f>SUM(BH63:BK63)</f>
        <v>0</v>
      </c>
      <c r="CB63" s="1195">
        <f>CA63</f>
        <v>0</v>
      </c>
      <c r="CC63" s="37"/>
      <c r="CD63" s="26"/>
      <c r="CE63" s="26"/>
    </row>
    <row r="64" spans="1:89" ht="14.25" hidden="1" customHeight="1" outlineLevel="1">
      <c r="A64" s="18"/>
      <c r="B64" s="139" t="s">
        <v>127</v>
      </c>
      <c r="C64" s="103"/>
      <c r="D64" s="90">
        <v>0</v>
      </c>
      <c r="E64" s="90">
        <v>0</v>
      </c>
      <c r="F64" s="90">
        <v>0</v>
      </c>
      <c r="G64" s="92">
        <v>0</v>
      </c>
      <c r="H64" s="90">
        <v>0</v>
      </c>
      <c r="I64" s="90">
        <v>0</v>
      </c>
      <c r="J64" s="90">
        <v>0</v>
      </c>
      <c r="K64" s="92">
        <v>0</v>
      </c>
      <c r="L64" s="90">
        <v>0</v>
      </c>
      <c r="M64" s="90">
        <v>0</v>
      </c>
      <c r="N64" s="90">
        <v>0</v>
      </c>
      <c r="O64" s="92">
        <v>0</v>
      </c>
      <c r="P64" s="90">
        <v>0</v>
      </c>
      <c r="Q64" s="90">
        <v>0</v>
      </c>
      <c r="R64" s="90">
        <v>0</v>
      </c>
      <c r="S64" s="92">
        <v>0</v>
      </c>
      <c r="T64" s="90">
        <v>0</v>
      </c>
      <c r="U64" s="90">
        <v>0</v>
      </c>
      <c r="V64" s="90">
        <v>0</v>
      </c>
      <c r="W64" s="92">
        <v>0</v>
      </c>
      <c r="X64" s="90">
        <v>0</v>
      </c>
      <c r="Y64" s="90">
        <v>0</v>
      </c>
      <c r="Z64" s="90">
        <v>0</v>
      </c>
      <c r="AA64" s="92">
        <v>0</v>
      </c>
      <c r="AB64" s="90">
        <v>0</v>
      </c>
      <c r="AC64" s="90">
        <v>0</v>
      </c>
      <c r="AD64" s="90">
        <v>0</v>
      </c>
      <c r="AE64" s="92">
        <v>0</v>
      </c>
      <c r="AF64" s="90">
        <v>-31</v>
      </c>
      <c r="AG64" s="90">
        <v>-21</v>
      </c>
      <c r="AH64" s="90">
        <v>-14</v>
      </c>
      <c r="AI64" s="92">
        <v>-24</v>
      </c>
      <c r="AJ64" s="136">
        <v>-73</v>
      </c>
      <c r="AK64" s="90">
        <v>-60</v>
      </c>
      <c r="AL64" s="90">
        <v>-32</v>
      </c>
      <c r="AM64" s="92">
        <v>0</v>
      </c>
      <c r="AN64" s="136">
        <v>-37</v>
      </c>
      <c r="AO64" s="90">
        <v>-49</v>
      </c>
      <c r="AP64" s="90">
        <v>-53</v>
      </c>
      <c r="AQ64" s="92">
        <v>-53</v>
      </c>
      <c r="AR64" s="136">
        <v>-42</v>
      </c>
      <c r="AS64" s="90">
        <v>-53</v>
      </c>
      <c r="AT64" s="90">
        <v>-116</v>
      </c>
      <c r="AU64" s="92">
        <v>-126</v>
      </c>
      <c r="AV64" s="136">
        <v>-208</v>
      </c>
      <c r="AW64" s="90">
        <v>-126</v>
      </c>
      <c r="AX64" s="90">
        <v>-132</v>
      </c>
      <c r="AY64" s="92">
        <v>-104</v>
      </c>
      <c r="AZ64" s="136">
        <v>-36</v>
      </c>
      <c r="BA64" s="90">
        <v>403</v>
      </c>
      <c r="BB64" s="90">
        <v>-31</v>
      </c>
      <c r="BC64" s="92">
        <v>-571</v>
      </c>
      <c r="BD64" s="136">
        <v>-102</v>
      </c>
      <c r="BE64" s="585">
        <f t="shared" si="186"/>
        <v>-102</v>
      </c>
      <c r="BF64" s="585">
        <f t="shared" si="186"/>
        <v>-102</v>
      </c>
      <c r="BG64" s="1117">
        <f t="shared" si="186"/>
        <v>-102</v>
      </c>
      <c r="BH64" s="1024">
        <f>BG64</f>
        <v>-102</v>
      </c>
      <c r="BI64" s="585">
        <f t="shared" si="188"/>
        <v>-102</v>
      </c>
      <c r="BJ64" s="585">
        <f t="shared" si="189"/>
        <v>-102</v>
      </c>
      <c r="BK64" s="1117">
        <f t="shared" si="190"/>
        <v>-102</v>
      </c>
      <c r="BL64" s="95"/>
      <c r="BM64" s="96">
        <f>SUM(D64:G64)</f>
        <v>0</v>
      </c>
      <c r="BN64" s="96">
        <f>SUM(H64:K64)</f>
        <v>0</v>
      </c>
      <c r="BO64" s="96">
        <f>SUM(L64:O64)</f>
        <v>0</v>
      </c>
      <c r="BP64" s="96">
        <f>SUM(P64:S64)</f>
        <v>0</v>
      </c>
      <c r="BQ64" s="96">
        <f>SUM(T64:W64)</f>
        <v>0</v>
      </c>
      <c r="BR64" s="96">
        <f>SUM(X64:AA64)</f>
        <v>0</v>
      </c>
      <c r="BS64" s="96">
        <f>SUM(AB64:AE64)</f>
        <v>0</v>
      </c>
      <c r="BT64" s="96">
        <f>SUM(AF64:AI64)</f>
        <v>-90</v>
      </c>
      <c r="BU64" s="96">
        <f>SUM(AJ64:AM64)</f>
        <v>-165</v>
      </c>
      <c r="BV64" s="96">
        <f>SUM(AN64:AQ64)</f>
        <v>-192</v>
      </c>
      <c r="BW64" s="979">
        <f>SUM(AR64:AU64)</f>
        <v>-337</v>
      </c>
      <c r="BX64" s="979">
        <f>SUM(AV64:AY64)</f>
        <v>-570</v>
      </c>
      <c r="BY64" s="979">
        <f>SUM(AZ64:BC64)</f>
        <v>-235</v>
      </c>
      <c r="BZ64" s="979">
        <f>SUM(BD64:BG64)</f>
        <v>-408</v>
      </c>
      <c r="CA64" s="979">
        <f>SUM(BH64:BK64)</f>
        <v>-408</v>
      </c>
      <c r="CB64" s="1114">
        <f>CA64</f>
        <v>-408</v>
      </c>
      <c r="CC64" s="37"/>
      <c r="CD64" s="26"/>
      <c r="CE64" s="26"/>
    </row>
    <row r="65" spans="1:89" ht="14.25" hidden="1" customHeight="1" outlineLevel="1">
      <c r="A65" s="18"/>
      <c r="B65" s="139" t="s">
        <v>128</v>
      </c>
      <c r="C65" s="103"/>
      <c r="D65" s="90">
        <v>4</v>
      </c>
      <c r="E65" s="90">
        <v>-22</v>
      </c>
      <c r="F65" s="90">
        <v>-2</v>
      </c>
      <c r="G65" s="92">
        <f>-45-F65-E65-D65</f>
        <v>-25</v>
      </c>
      <c r="H65" s="90">
        <v>2</v>
      </c>
      <c r="I65" s="90">
        <v>37</v>
      </c>
      <c r="J65" s="90">
        <v>168</v>
      </c>
      <c r="K65" s="92">
        <f>214-J65-I65-H65</f>
        <v>7</v>
      </c>
      <c r="L65" s="90">
        <v>29</v>
      </c>
      <c r="M65" s="90">
        <v>-1</v>
      </c>
      <c r="N65" s="90">
        <v>211</v>
      </c>
      <c r="O65" s="92">
        <f>157-N65-M65-L65</f>
        <v>-82</v>
      </c>
      <c r="P65" s="90">
        <f>-52-7</f>
        <v>-59</v>
      </c>
      <c r="Q65" s="90">
        <f>-43-66</f>
        <v>-109</v>
      </c>
      <c r="R65" s="90">
        <f>-365-31</f>
        <v>-396</v>
      </c>
      <c r="S65" s="92">
        <f>-1380-376-R65-Q65-P65</f>
        <v>-1192</v>
      </c>
      <c r="T65" s="90">
        <f>-72-41</f>
        <v>-113</v>
      </c>
      <c r="U65" s="90">
        <f>-44-25</f>
        <v>-69</v>
      </c>
      <c r="V65" s="90">
        <f>-59-20</f>
        <v>-79</v>
      </c>
      <c r="W65" s="92">
        <f>-147-23-V65-U65-T65</f>
        <v>91</v>
      </c>
      <c r="X65" s="90">
        <f>-39+8</f>
        <v>-31</v>
      </c>
      <c r="Y65" s="90">
        <f>76+117</f>
        <v>193</v>
      </c>
      <c r="Z65" s="90">
        <f>126-49</f>
        <v>77</v>
      </c>
      <c r="AA65" s="92">
        <f>117+231-Z65-Y65-X65</f>
        <v>109</v>
      </c>
      <c r="AB65" s="90">
        <f>-42+70</f>
        <v>28</v>
      </c>
      <c r="AC65" s="90">
        <f>-66+41</f>
        <v>-25</v>
      </c>
      <c r="AD65" s="90">
        <f>-40+132</f>
        <v>92</v>
      </c>
      <c r="AE65" s="92">
        <v>-29</v>
      </c>
      <c r="AF65" s="90">
        <v>26</v>
      </c>
      <c r="AG65" s="90">
        <v>51</v>
      </c>
      <c r="AH65" s="90">
        <v>18</v>
      </c>
      <c r="AI65" s="92">
        <v>-8</v>
      </c>
      <c r="AJ65" s="136">
        <v>0</v>
      </c>
      <c r="AK65" s="90">
        <v>-3</v>
      </c>
      <c r="AL65" s="90">
        <v>0</v>
      </c>
      <c r="AM65" s="92">
        <v>0</v>
      </c>
      <c r="AN65" s="136">
        <v>114</v>
      </c>
      <c r="AO65" s="90">
        <v>-6</v>
      </c>
      <c r="AP65" s="90">
        <v>-7</v>
      </c>
      <c r="AQ65" s="92">
        <v>-7</v>
      </c>
      <c r="AR65" s="136">
        <v>36</v>
      </c>
      <c r="AS65" s="90">
        <v>12</v>
      </c>
      <c r="AT65" s="90">
        <v>-19</v>
      </c>
      <c r="AU65" s="92">
        <v>79</v>
      </c>
      <c r="AV65" s="136">
        <v>74</v>
      </c>
      <c r="AW65" s="90">
        <v>0</v>
      </c>
      <c r="AX65" s="90">
        <v>0</v>
      </c>
      <c r="AY65" s="92">
        <v>0</v>
      </c>
      <c r="AZ65" s="136">
        <v>0</v>
      </c>
      <c r="BA65" s="90">
        <v>0</v>
      </c>
      <c r="BB65" s="90">
        <v>0</v>
      </c>
      <c r="BC65" s="92">
        <v>0</v>
      </c>
      <c r="BD65" s="136">
        <v>0</v>
      </c>
      <c r="BE65" s="90">
        <v>40</v>
      </c>
      <c r="BF65" s="90">
        <v>40</v>
      </c>
      <c r="BG65" s="1109">
        <f>BF65</f>
        <v>40</v>
      </c>
      <c r="BH65" s="136">
        <f>BG65</f>
        <v>40</v>
      </c>
      <c r="BI65" s="90">
        <f>BH65</f>
        <v>40</v>
      </c>
      <c r="BJ65" s="90">
        <f>BI65</f>
        <v>40</v>
      </c>
      <c r="BK65" s="1109">
        <f>BJ65</f>
        <v>40</v>
      </c>
      <c r="BL65" s="95"/>
      <c r="BM65" s="96">
        <f>SUM(D65:G65)</f>
        <v>-45</v>
      </c>
      <c r="BN65" s="96">
        <f>SUM(H65:K65)</f>
        <v>214</v>
      </c>
      <c r="BO65" s="96">
        <f>SUM(L65:O65)</f>
        <v>157</v>
      </c>
      <c r="BP65" s="96">
        <f>SUM(P65:S65)</f>
        <v>-1756</v>
      </c>
      <c r="BQ65" s="96">
        <f>SUM(T65:W65)</f>
        <v>-170</v>
      </c>
      <c r="BR65" s="96">
        <f>SUM(X65:AA65)</f>
        <v>348</v>
      </c>
      <c r="BS65" s="96">
        <f>SUM(AB65:AE65)</f>
        <v>66</v>
      </c>
      <c r="BT65" s="96">
        <f>SUM(AF65:AI65)</f>
        <v>87</v>
      </c>
      <c r="BU65" s="96">
        <f>SUM(AJ65:AM65)</f>
        <v>-3</v>
      </c>
      <c r="BV65" s="96">
        <f>SUM(AN65:AQ65)</f>
        <v>94</v>
      </c>
      <c r="BW65" s="979">
        <f>SUM(AR65:AU65)</f>
        <v>108</v>
      </c>
      <c r="BX65" s="979">
        <f>SUM(AV65:AY65)</f>
        <v>74</v>
      </c>
      <c r="BY65" s="979">
        <f>SUM(AZ65:BC65)</f>
        <v>0</v>
      </c>
      <c r="BZ65" s="979">
        <f>SUM(BD65:BG65)</f>
        <v>120</v>
      </c>
      <c r="CA65" s="979">
        <f>SUM(BH65:BK65)</f>
        <v>160</v>
      </c>
      <c r="CB65" s="1114">
        <f>CA65</f>
        <v>160</v>
      </c>
      <c r="CC65" s="37"/>
      <c r="CD65" s="26"/>
      <c r="CE65" s="26"/>
    </row>
    <row r="66" spans="1:89" ht="14.25" hidden="1" customHeight="1" outlineLevel="1">
      <c r="A66" s="18"/>
      <c r="B66" s="139" t="s">
        <v>129</v>
      </c>
      <c r="C66" s="103"/>
      <c r="D66" s="90"/>
      <c r="E66" s="90"/>
      <c r="F66" s="90"/>
      <c r="G66" s="92"/>
      <c r="H66" s="90"/>
      <c r="I66" s="90"/>
      <c r="J66" s="90"/>
      <c r="K66" s="92"/>
      <c r="L66" s="90"/>
      <c r="M66" s="90"/>
      <c r="N66" s="90"/>
      <c r="O66" s="92"/>
      <c r="P66" s="90"/>
      <c r="Q66" s="90"/>
      <c r="R66" s="90"/>
      <c r="S66" s="92"/>
      <c r="T66" s="90"/>
      <c r="U66" s="90"/>
      <c r="V66" s="90"/>
      <c r="W66" s="92"/>
      <c r="X66" s="90"/>
      <c r="Y66" s="90"/>
      <c r="Z66" s="90"/>
      <c r="AA66" s="92"/>
      <c r="AB66" s="90"/>
      <c r="AC66" s="90"/>
      <c r="AD66" s="90"/>
      <c r="AE66" s="92"/>
      <c r="AF66" s="90">
        <v>-19</v>
      </c>
      <c r="AG66" s="90">
        <v>47</v>
      </c>
      <c r="AH66" s="90">
        <v>53</v>
      </c>
      <c r="AI66" s="92">
        <v>60</v>
      </c>
      <c r="AJ66" s="136">
        <v>-26</v>
      </c>
      <c r="AK66" s="90">
        <v>11</v>
      </c>
      <c r="AL66" s="90">
        <v>452</v>
      </c>
      <c r="AM66" s="92">
        <v>34</v>
      </c>
      <c r="AN66" s="136">
        <v>48</v>
      </c>
      <c r="AO66" s="90">
        <v>95</v>
      </c>
      <c r="AP66" s="90">
        <v>35</v>
      </c>
      <c r="AQ66" s="92">
        <v>233</v>
      </c>
      <c r="AR66" s="136">
        <v>32</v>
      </c>
      <c r="AS66" s="90">
        <v>100</v>
      </c>
      <c r="AT66" s="90">
        <v>165</v>
      </c>
      <c r="AU66" s="92">
        <v>18</v>
      </c>
      <c r="AV66" s="136">
        <v>22</v>
      </c>
      <c r="AW66" s="90">
        <v>478</v>
      </c>
      <c r="AX66" s="90">
        <v>-12</v>
      </c>
      <c r="AY66" s="92">
        <v>18</v>
      </c>
      <c r="AZ66" s="136">
        <v>252</v>
      </c>
      <c r="BA66" s="90">
        <v>342</v>
      </c>
      <c r="BB66" s="90">
        <v>846</v>
      </c>
      <c r="BC66" s="92">
        <v>1211</v>
      </c>
      <c r="BD66" s="136">
        <v>643</v>
      </c>
      <c r="BE66" s="90">
        <v>-75</v>
      </c>
      <c r="BF66" s="90">
        <v>0</v>
      </c>
      <c r="BG66" s="1109">
        <v>0</v>
      </c>
      <c r="BH66" s="136">
        <v>0</v>
      </c>
      <c r="BI66" s="90">
        <v>0</v>
      </c>
      <c r="BJ66" s="90">
        <v>0</v>
      </c>
      <c r="BK66" s="1109">
        <v>0</v>
      </c>
      <c r="BL66" s="95"/>
      <c r="BM66" s="96"/>
      <c r="BN66" s="96"/>
      <c r="BO66" s="96"/>
      <c r="BP66" s="96"/>
      <c r="BQ66" s="96"/>
      <c r="BR66" s="96"/>
      <c r="BS66" s="96">
        <f>SUM(AB66:AE66)</f>
        <v>0</v>
      </c>
      <c r="BT66" s="96">
        <f>SUM(AF66:AI66)</f>
        <v>141</v>
      </c>
      <c r="BU66" s="96">
        <f>SUM(AJ66:AM66)</f>
        <v>471</v>
      </c>
      <c r="BV66" s="96">
        <f>SUM(AN66:AQ66)</f>
        <v>411</v>
      </c>
      <c r="BW66" s="979">
        <f>SUM(AR66:AU66)</f>
        <v>315</v>
      </c>
      <c r="BX66" s="979">
        <f>SUM(AV66:AY66)</f>
        <v>506</v>
      </c>
      <c r="BY66" s="979">
        <f>SUM(AZ66:BC66)</f>
        <v>2651</v>
      </c>
      <c r="BZ66" s="979">
        <f>SUM(BD66:BG66)</f>
        <v>568</v>
      </c>
      <c r="CA66" s="979">
        <f>SUM(BH66:BK66)</f>
        <v>0</v>
      </c>
      <c r="CB66" s="1114">
        <f>CA66</f>
        <v>0</v>
      </c>
      <c r="CC66" s="37"/>
      <c r="CD66" s="26"/>
      <c r="CE66" s="26"/>
    </row>
    <row r="67" spans="1:89" s="1283" customFormat="1" ht="14.25" hidden="1" customHeight="1" outlineLevel="1">
      <c r="A67" s="18"/>
      <c r="B67" s="139" t="s">
        <v>553</v>
      </c>
      <c r="C67" s="1287"/>
      <c r="D67" s="90"/>
      <c r="E67" s="90"/>
      <c r="F67" s="90"/>
      <c r="G67" s="1288"/>
      <c r="H67" s="90"/>
      <c r="I67" s="90"/>
      <c r="J67" s="90"/>
      <c r="K67" s="1288"/>
      <c r="L67" s="90"/>
      <c r="M67" s="90"/>
      <c r="N67" s="90"/>
      <c r="O67" s="1288"/>
      <c r="P67" s="90"/>
      <c r="Q67" s="90"/>
      <c r="R67" s="90"/>
      <c r="S67" s="1288"/>
      <c r="T67" s="90"/>
      <c r="U67" s="90"/>
      <c r="V67" s="90"/>
      <c r="W67" s="1288"/>
      <c r="X67" s="90"/>
      <c r="Y67" s="90"/>
      <c r="Z67" s="90"/>
      <c r="AA67" s="1288"/>
      <c r="AB67" s="90"/>
      <c r="AC67" s="90"/>
      <c r="AD67" s="90"/>
      <c r="AE67" s="1288"/>
      <c r="AF67" s="90"/>
      <c r="AG67" s="90"/>
      <c r="AH67" s="90"/>
      <c r="AI67" s="1288"/>
      <c r="AJ67" s="136"/>
      <c r="AK67" s="90"/>
      <c r="AL67" s="90"/>
      <c r="AM67" s="1288"/>
      <c r="AN67" s="136"/>
      <c r="AO67" s="90"/>
      <c r="AP67" s="90"/>
      <c r="AQ67" s="1288"/>
      <c r="AR67" s="90"/>
      <c r="AS67" s="90"/>
      <c r="AT67" s="90"/>
      <c r="AU67" s="1288"/>
      <c r="AV67" s="136"/>
      <c r="AW67" s="90"/>
      <c r="AX67" s="90"/>
      <c r="AY67" s="1288"/>
      <c r="AZ67" s="136"/>
      <c r="BA67" s="90"/>
      <c r="BB67" s="90"/>
      <c r="BC67" s="1288"/>
      <c r="BD67" s="136">
        <v>-606</v>
      </c>
      <c r="BE67" s="90"/>
      <c r="BF67" s="90"/>
      <c r="BG67" s="1288"/>
      <c r="BH67" s="136"/>
      <c r="BI67" s="90"/>
      <c r="BJ67" s="90"/>
      <c r="BK67" s="1288"/>
      <c r="BL67" s="95"/>
      <c r="BM67" s="96"/>
      <c r="BN67" s="96"/>
      <c r="BO67" s="96"/>
      <c r="BP67" s="96"/>
      <c r="BQ67" s="96"/>
      <c r="BR67" s="96"/>
      <c r="BS67" s="96"/>
      <c r="BT67" s="96"/>
      <c r="BU67" s="96"/>
      <c r="BV67" s="96"/>
      <c r="BW67" s="979"/>
      <c r="BX67" s="979"/>
      <c r="BY67" s="979"/>
      <c r="BZ67" s="979">
        <f>SUM(BD67:BG67)</f>
        <v>-606</v>
      </c>
      <c r="CA67" s="979"/>
      <c r="CB67" s="1289"/>
      <c r="CC67" s="37"/>
      <c r="CD67" s="26"/>
      <c r="CE67" s="26"/>
      <c r="CF67"/>
      <c r="CG67"/>
      <c r="CH67"/>
      <c r="CI67"/>
      <c r="CJ67"/>
      <c r="CK67"/>
    </row>
    <row r="68" spans="1:89" ht="14.25" hidden="1" customHeight="1" outlineLevel="1">
      <c r="A68" s="18"/>
      <c r="B68" s="39" t="s">
        <v>130</v>
      </c>
      <c r="C68" s="68"/>
      <c r="D68" s="161">
        <f t="shared" ref="D68:AE68" si="191">+D63+D64</f>
        <v>115</v>
      </c>
      <c r="E68" s="96">
        <f t="shared" si="191"/>
        <v>127</v>
      </c>
      <c r="F68" s="96">
        <f t="shared" si="191"/>
        <v>145</v>
      </c>
      <c r="G68" s="98">
        <f t="shared" si="191"/>
        <v>178</v>
      </c>
      <c r="H68" s="96">
        <f t="shared" si="191"/>
        <v>154</v>
      </c>
      <c r="I68" s="96">
        <f t="shared" si="191"/>
        <v>144</v>
      </c>
      <c r="J68" s="96">
        <f t="shared" si="191"/>
        <v>272</v>
      </c>
      <c r="K68" s="98">
        <f t="shared" si="191"/>
        <v>632</v>
      </c>
      <c r="L68" s="96">
        <f t="shared" si="191"/>
        <v>169</v>
      </c>
      <c r="M68" s="96">
        <f t="shared" si="191"/>
        <v>180</v>
      </c>
      <c r="N68" s="96">
        <f t="shared" si="191"/>
        <v>148</v>
      </c>
      <c r="O68" s="98">
        <f t="shared" si="191"/>
        <v>296</v>
      </c>
      <c r="P68" s="96">
        <f t="shared" si="191"/>
        <v>168</v>
      </c>
      <c r="Q68" s="96">
        <f t="shared" si="191"/>
        <v>167</v>
      </c>
      <c r="R68" s="96">
        <f t="shared" si="191"/>
        <v>131</v>
      </c>
      <c r="S68" s="98">
        <f t="shared" si="191"/>
        <v>22</v>
      </c>
      <c r="T68" s="96">
        <f t="shared" si="191"/>
        <v>95</v>
      </c>
      <c r="U68" s="96">
        <f t="shared" si="191"/>
        <v>31</v>
      </c>
      <c r="V68" s="96">
        <f t="shared" si="191"/>
        <v>32</v>
      </c>
      <c r="W68" s="98">
        <f t="shared" si="191"/>
        <v>5</v>
      </c>
      <c r="X68" s="96">
        <f t="shared" si="191"/>
        <v>29</v>
      </c>
      <c r="Y68" s="96">
        <f t="shared" si="191"/>
        <v>11</v>
      </c>
      <c r="Z68" s="96">
        <f t="shared" si="191"/>
        <v>38</v>
      </c>
      <c r="AA68" s="98">
        <f t="shared" si="191"/>
        <v>31</v>
      </c>
      <c r="AB68" s="96">
        <f t="shared" si="191"/>
        <v>185</v>
      </c>
      <c r="AC68" s="96">
        <f t="shared" si="191"/>
        <v>21</v>
      </c>
      <c r="AD68" s="96">
        <f t="shared" si="191"/>
        <v>15</v>
      </c>
      <c r="AE68" s="98">
        <f t="shared" si="191"/>
        <v>17</v>
      </c>
      <c r="AF68" s="96">
        <f>+AF63+AF64+AF65</f>
        <v>23</v>
      </c>
      <c r="AG68" s="96">
        <f>+AG63+AG64+AG65</f>
        <v>55</v>
      </c>
      <c r="AH68" s="96">
        <f>+AH63+AH64+AH65</f>
        <v>27</v>
      </c>
      <c r="AI68" s="98">
        <f>+AI63+AI64+AI65</f>
        <v>-11</v>
      </c>
      <c r="AJ68" s="97">
        <f>+AJ63+AJ64+AJ65</f>
        <v>-50</v>
      </c>
      <c r="AK68" s="96">
        <f t="shared" ref="AK68:AQ68" si="192">+AK63+AK64+AK65</f>
        <v>-37</v>
      </c>
      <c r="AL68" s="96">
        <f t="shared" si="192"/>
        <v>-32</v>
      </c>
      <c r="AM68" s="98">
        <f>+AM63+AM64+AM65</f>
        <v>-32</v>
      </c>
      <c r="AN68" s="97">
        <f>+AN63+AN64+AN65</f>
        <v>112</v>
      </c>
      <c r="AO68" s="96">
        <f>+AO63+AO64+AO65</f>
        <v>-17</v>
      </c>
      <c r="AP68" s="96">
        <f>+AP63+AP64+AP65</f>
        <v>-25</v>
      </c>
      <c r="AQ68" s="98">
        <f t="shared" si="192"/>
        <v>-27</v>
      </c>
      <c r="AR68" s="96">
        <f t="shared" ref="AR68:AX68" si="193">+AR63+AR64+AR65+AR66</f>
        <v>58</v>
      </c>
      <c r="AS68" s="96">
        <f t="shared" si="193"/>
        <v>87</v>
      </c>
      <c r="AT68" s="96">
        <f t="shared" si="193"/>
        <v>61</v>
      </c>
      <c r="AU68" s="98">
        <f t="shared" si="193"/>
        <v>4</v>
      </c>
      <c r="AV68" s="97">
        <f t="shared" si="193"/>
        <v>-60</v>
      </c>
      <c r="AW68" s="96">
        <f t="shared" si="193"/>
        <v>352</v>
      </c>
      <c r="AX68" s="96">
        <f t="shared" si="193"/>
        <v>-144</v>
      </c>
      <c r="AY68" s="98">
        <f t="shared" ref="AY68:AZ68" si="194">+AY63+AY64+AY65+AY66</f>
        <v>-86</v>
      </c>
      <c r="AZ68" s="97">
        <f t="shared" si="194"/>
        <v>216</v>
      </c>
      <c r="BA68" s="96">
        <f>+BA63+BA64+BA65+BA66</f>
        <v>745</v>
      </c>
      <c r="BB68" s="96">
        <f t="shared" ref="BB68:BC68" si="195">+BB63+BB64+BB65+BB66</f>
        <v>815</v>
      </c>
      <c r="BC68" s="98">
        <f t="shared" si="195"/>
        <v>640</v>
      </c>
      <c r="BD68" s="97">
        <f>+BD63+BD64+BD65+BD66+BD67</f>
        <v>-65</v>
      </c>
      <c r="BE68" s="96">
        <f t="shared" ref="BE68:BG68" si="196">+BE63+BE64+BE65+BE66</f>
        <v>-137</v>
      </c>
      <c r="BF68" s="96">
        <f t="shared" si="196"/>
        <v>-62</v>
      </c>
      <c r="BG68" s="1093">
        <f t="shared" si="196"/>
        <v>-62</v>
      </c>
      <c r="BH68" s="97">
        <f t="shared" ref="BH68:BK68" si="197">+BH63+BH64+BH65+BH66</f>
        <v>-62</v>
      </c>
      <c r="BI68" s="96">
        <f t="shared" si="197"/>
        <v>-62</v>
      </c>
      <c r="BJ68" s="96">
        <f t="shared" si="197"/>
        <v>-62</v>
      </c>
      <c r="BK68" s="1093">
        <f t="shared" si="197"/>
        <v>-62</v>
      </c>
      <c r="BL68" s="95"/>
      <c r="BM68" s="96">
        <f t="shared" ref="BM68:BR68" si="198">+BM63+BM64</f>
        <v>565</v>
      </c>
      <c r="BN68" s="96">
        <f t="shared" si="198"/>
        <v>1202</v>
      </c>
      <c r="BO68" s="96">
        <f t="shared" si="198"/>
        <v>793</v>
      </c>
      <c r="BP68" s="96">
        <f t="shared" si="198"/>
        <v>488</v>
      </c>
      <c r="BQ68" s="96">
        <f t="shared" si="198"/>
        <v>163</v>
      </c>
      <c r="BR68" s="96">
        <f t="shared" si="198"/>
        <v>109</v>
      </c>
      <c r="BS68" s="96">
        <f t="shared" ref="BS68:BV68" si="199">+BS63+BS64+BS65</f>
        <v>304</v>
      </c>
      <c r="BT68" s="96">
        <f t="shared" si="199"/>
        <v>94</v>
      </c>
      <c r="BU68" s="96">
        <f t="shared" si="199"/>
        <v>-151</v>
      </c>
      <c r="BV68" s="96">
        <f t="shared" si="199"/>
        <v>43</v>
      </c>
      <c r="BW68" s="96">
        <f t="shared" ref="BW68:BY68" si="200">+BW63+BW64+BW65+BW66</f>
        <v>210</v>
      </c>
      <c r="BX68" s="96">
        <f t="shared" si="200"/>
        <v>62</v>
      </c>
      <c r="BY68" s="96">
        <f t="shared" si="200"/>
        <v>2416</v>
      </c>
      <c r="BZ68" s="96">
        <f>+BZ63+BZ64+BZ65+BZ66+BZ67</f>
        <v>-326</v>
      </c>
      <c r="CA68" s="96">
        <f t="shared" ref="CA68" si="201">+CA63+CA64+CA65+CA66</f>
        <v>-248</v>
      </c>
      <c r="CB68" s="1094">
        <f>CA68</f>
        <v>-248</v>
      </c>
      <c r="CC68" s="37"/>
      <c r="CD68" s="26"/>
      <c r="CE68" s="26"/>
    </row>
    <row r="69" spans="1:89" ht="14.25" hidden="1" customHeight="1" outlineLevel="1">
      <c r="A69" s="18"/>
      <c r="B69" s="54"/>
      <c r="C69" s="62"/>
      <c r="D69" s="63"/>
      <c r="E69" s="63"/>
      <c r="F69" s="63"/>
      <c r="G69" s="64"/>
      <c r="H69" s="63"/>
      <c r="I69" s="63"/>
      <c r="J69" s="63"/>
      <c r="K69" s="64"/>
      <c r="L69" s="63"/>
      <c r="M69" s="63"/>
      <c r="N69" s="63"/>
      <c r="O69" s="64"/>
      <c r="P69" s="63"/>
      <c r="Q69" s="63"/>
      <c r="R69" s="63"/>
      <c r="S69" s="64"/>
      <c r="T69" s="63"/>
      <c r="U69" s="63"/>
      <c r="V69" s="63"/>
      <c r="W69" s="64"/>
      <c r="X69" s="63"/>
      <c r="Y69" s="63"/>
      <c r="Z69" s="63"/>
      <c r="AA69" s="64"/>
      <c r="AB69" s="63"/>
      <c r="AC69" s="63"/>
      <c r="AD69" s="63"/>
      <c r="AE69" s="64"/>
      <c r="AF69" s="63"/>
      <c r="AG69" s="63"/>
      <c r="AH69" s="63"/>
      <c r="AI69" s="64"/>
      <c r="AJ69" s="65"/>
      <c r="AK69" s="63"/>
      <c r="AL69" s="63"/>
      <c r="AM69" s="64"/>
      <c r="AN69" s="65"/>
      <c r="AO69" s="63"/>
      <c r="AP69" s="63"/>
      <c r="AQ69" s="64"/>
      <c r="AR69" s="65"/>
      <c r="AS69" s="63"/>
      <c r="AT69" s="63"/>
      <c r="AU69" s="64"/>
      <c r="AV69" s="65"/>
      <c r="AW69" s="63"/>
      <c r="AX69" s="63"/>
      <c r="AY69" s="64"/>
      <c r="AZ69" s="65"/>
      <c r="BA69" s="63"/>
      <c r="BB69" s="63"/>
      <c r="BC69" s="64"/>
      <c r="BD69" s="65"/>
      <c r="BE69" s="63"/>
      <c r="BF69" s="63"/>
      <c r="BG69" s="1097"/>
      <c r="BH69" s="65"/>
      <c r="BI69" s="63"/>
      <c r="BJ69" s="63"/>
      <c r="BK69" s="1097"/>
      <c r="BL69" s="35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1193"/>
      <c r="CC69" s="37"/>
      <c r="CD69" s="26"/>
      <c r="CE69" s="26"/>
    </row>
    <row r="70" spans="1:89" s="127" customFormat="1" ht="14.25" customHeight="1" collapsed="1">
      <c r="A70" s="51"/>
      <c r="B70" s="122" t="s">
        <v>131</v>
      </c>
      <c r="C70" s="123"/>
      <c r="D70" s="124">
        <f>D55+D62</f>
        <v>3151</v>
      </c>
      <c r="E70" s="124">
        <f>E55+E62</f>
        <v>2754</v>
      </c>
      <c r="F70" s="124">
        <f>F55+F62</f>
        <v>3243</v>
      </c>
      <c r="G70" s="125">
        <f>G55+G62</f>
        <v>3462</v>
      </c>
      <c r="H70" s="124">
        <f t="shared" ref="H70:AR70" si="202">H55+H62</f>
        <v>1874</v>
      </c>
      <c r="I70" s="124">
        <f t="shared" si="202"/>
        <v>1253</v>
      </c>
      <c r="J70" s="124">
        <f t="shared" si="202"/>
        <v>1814</v>
      </c>
      <c r="K70" s="125">
        <f t="shared" si="202"/>
        <v>2127</v>
      </c>
      <c r="L70" s="124">
        <f t="shared" si="202"/>
        <v>1873</v>
      </c>
      <c r="M70" s="124">
        <f t="shared" si="202"/>
        <v>1529</v>
      </c>
      <c r="N70" s="124">
        <f t="shared" si="202"/>
        <v>2503</v>
      </c>
      <c r="O70" s="125">
        <f t="shared" si="202"/>
        <v>3261</v>
      </c>
      <c r="P70" s="124">
        <f t="shared" si="202"/>
        <v>2171</v>
      </c>
      <c r="Q70" s="124">
        <f t="shared" si="202"/>
        <v>2313</v>
      </c>
      <c r="R70" s="124">
        <f t="shared" si="202"/>
        <v>2833</v>
      </c>
      <c r="S70" s="125">
        <f t="shared" si="202"/>
        <v>369</v>
      </c>
      <c r="T70" s="124">
        <f t="shared" si="202"/>
        <v>629</v>
      </c>
      <c r="U70" s="124">
        <f t="shared" si="202"/>
        <v>-50</v>
      </c>
      <c r="V70" s="124">
        <f t="shared" si="202"/>
        <v>2532</v>
      </c>
      <c r="W70" s="125">
        <f t="shared" si="202"/>
        <v>2593</v>
      </c>
      <c r="X70" s="124">
        <f t="shared" si="202"/>
        <v>3446</v>
      </c>
      <c r="Y70" s="124">
        <f t="shared" si="202"/>
        <v>4185</v>
      </c>
      <c r="Z70" s="124">
        <f t="shared" si="202"/>
        <v>4251</v>
      </c>
      <c r="AA70" s="125">
        <f t="shared" si="202"/>
        <v>4163</v>
      </c>
      <c r="AB70" s="124">
        <f>AB55+AB62</f>
        <v>4371</v>
      </c>
      <c r="AC70" s="124">
        <f>AC55+AC62</f>
        <v>3931</v>
      </c>
      <c r="AD70" s="124">
        <f>AD55+AD62</f>
        <v>4892</v>
      </c>
      <c r="AE70" s="125">
        <f t="shared" si="202"/>
        <v>4587</v>
      </c>
      <c r="AF70" s="124">
        <f>AF55+AF62</f>
        <v>3814</v>
      </c>
      <c r="AG70" s="124">
        <f t="shared" si="202"/>
        <v>3934</v>
      </c>
      <c r="AH70" s="124">
        <f t="shared" si="202"/>
        <v>3921</v>
      </c>
      <c r="AI70" s="125">
        <f t="shared" si="202"/>
        <v>3204</v>
      </c>
      <c r="AJ70" s="126">
        <f t="shared" si="202"/>
        <v>2443</v>
      </c>
      <c r="AK70" s="124">
        <f t="shared" si="202"/>
        <v>2693</v>
      </c>
      <c r="AL70" s="124">
        <f>AL55+AL62</f>
        <v>3924</v>
      </c>
      <c r="AM70" s="125">
        <f>AM55+AM62</f>
        <v>3551</v>
      </c>
      <c r="AN70" s="126">
        <f>AN55+AN62</f>
        <v>2670</v>
      </c>
      <c r="AO70" s="124">
        <f>AO55+AO62</f>
        <v>3922</v>
      </c>
      <c r="AP70" s="124">
        <f>AP55+AP62</f>
        <v>4550</v>
      </c>
      <c r="AQ70" s="125">
        <f t="shared" si="202"/>
        <v>4659</v>
      </c>
      <c r="AR70" s="126">
        <f t="shared" si="202"/>
        <v>2673</v>
      </c>
      <c r="AS70" s="124">
        <f t="shared" ref="AS70:AW70" si="203">AS55+AS62</f>
        <v>2983</v>
      </c>
      <c r="AT70" s="124">
        <f t="shared" si="203"/>
        <v>4253</v>
      </c>
      <c r="AU70" s="125">
        <f t="shared" si="203"/>
        <v>4303</v>
      </c>
      <c r="AV70" s="126">
        <f t="shared" si="203"/>
        <v>2508</v>
      </c>
      <c r="AW70" s="124">
        <f t="shared" si="203"/>
        <v>1670</v>
      </c>
      <c r="AX70" s="124">
        <f t="shared" ref="AX70:AZ70" si="204">AX55+AX62</f>
        <v>4318</v>
      </c>
      <c r="AY70" s="125">
        <f t="shared" si="204"/>
        <v>4440</v>
      </c>
      <c r="AZ70" s="126">
        <f t="shared" si="204"/>
        <v>3815</v>
      </c>
      <c r="BA70" s="124">
        <f>BA55+BA62</f>
        <v>4572</v>
      </c>
      <c r="BB70" s="124">
        <f t="shared" ref="BB70:BD70" si="205">BB55+BB62</f>
        <v>5930</v>
      </c>
      <c r="BC70" s="125">
        <f t="shared" si="205"/>
        <v>6035</v>
      </c>
      <c r="BD70" s="126">
        <f t="shared" si="205"/>
        <v>5011</v>
      </c>
      <c r="BE70" s="124">
        <f t="shared" ref="BE70:BG70" si="206">BE55+BE62</f>
        <v>4653.9024417000601</v>
      </c>
      <c r="BF70" s="124">
        <f t="shared" si="206"/>
        <v>5680.0713225668842</v>
      </c>
      <c r="BG70" s="1104">
        <f t="shared" si="206"/>
        <v>5811.5343200652587</v>
      </c>
      <c r="BH70" s="126">
        <f t="shared" ref="BH70:BK70" si="207">BH55+BH62</f>
        <v>4749.4200867203726</v>
      </c>
      <c r="BI70" s="124">
        <f t="shared" si="207"/>
        <v>4837.0256088883034</v>
      </c>
      <c r="BJ70" s="124">
        <f t="shared" si="207"/>
        <v>5751.4704416685145</v>
      </c>
      <c r="BK70" s="1104">
        <f t="shared" si="207"/>
        <v>6008.2099621741309</v>
      </c>
      <c r="BL70" s="95"/>
      <c r="BM70" s="124">
        <f t="shared" ref="BM70:BS70" si="208">BM55+BM62</f>
        <v>12610</v>
      </c>
      <c r="BN70" s="124">
        <f t="shared" si="208"/>
        <v>7068</v>
      </c>
      <c r="BO70" s="124">
        <f t="shared" si="208"/>
        <v>9166</v>
      </c>
      <c r="BP70" s="124">
        <f t="shared" si="208"/>
        <v>7686</v>
      </c>
      <c r="BQ70" s="124">
        <f t="shared" si="208"/>
        <v>5704</v>
      </c>
      <c r="BR70" s="124">
        <f t="shared" si="208"/>
        <v>16045</v>
      </c>
      <c r="BS70" s="124">
        <f t="shared" si="208"/>
        <v>17781</v>
      </c>
      <c r="BT70" s="124">
        <f>BT55+BT62</f>
        <v>14873</v>
      </c>
      <c r="BU70" s="124">
        <f t="shared" ref="BU70:BY70" si="209">BU55+BU62</f>
        <v>12611</v>
      </c>
      <c r="BV70" s="124">
        <f t="shared" si="209"/>
        <v>15801</v>
      </c>
      <c r="BW70" s="124">
        <f>BW55+BW62</f>
        <v>14212</v>
      </c>
      <c r="BX70" s="124">
        <f t="shared" si="209"/>
        <v>12936</v>
      </c>
      <c r="BY70" s="124">
        <f t="shared" si="209"/>
        <v>20352</v>
      </c>
      <c r="BZ70" s="124">
        <f t="shared" ref="BZ70:CB70" si="210">BZ55+BZ62</f>
        <v>21156.508084332207</v>
      </c>
      <c r="CA70" s="124">
        <f t="shared" si="210"/>
        <v>21346.126099451314</v>
      </c>
      <c r="CB70" s="1104">
        <f t="shared" si="210"/>
        <v>21754.87280252151</v>
      </c>
      <c r="CC70" s="99"/>
      <c r="CD70" s="100"/>
      <c r="CE70" s="100"/>
      <c r="CF70"/>
      <c r="CG70"/>
      <c r="CH70"/>
      <c r="CI70"/>
      <c r="CJ70"/>
      <c r="CK70"/>
    </row>
    <row r="71" spans="1:89" s="127" customFormat="1" ht="14.25" hidden="1" customHeight="1" outlineLevel="1">
      <c r="A71" s="51"/>
      <c r="B71" s="160" t="s">
        <v>132</v>
      </c>
      <c r="C71" s="123"/>
      <c r="D71" s="124">
        <f t="shared" ref="D71:AR71" si="211">D59+D68</f>
        <v>3185</v>
      </c>
      <c r="E71" s="124">
        <f t="shared" si="211"/>
        <v>2812</v>
      </c>
      <c r="F71" s="124">
        <f t="shared" si="211"/>
        <v>3274</v>
      </c>
      <c r="G71" s="125">
        <f t="shared" si="211"/>
        <v>3510</v>
      </c>
      <c r="H71" s="124">
        <f t="shared" si="211"/>
        <v>1891</v>
      </c>
      <c r="I71" s="124">
        <f t="shared" si="211"/>
        <v>1226</v>
      </c>
      <c r="J71" s="124">
        <f t="shared" si="211"/>
        <v>1752</v>
      </c>
      <c r="K71" s="125">
        <f t="shared" si="211"/>
        <v>2582</v>
      </c>
      <c r="L71" s="124">
        <f t="shared" si="211"/>
        <v>1919</v>
      </c>
      <c r="M71" s="124">
        <f t="shared" si="211"/>
        <v>1612</v>
      </c>
      <c r="N71" s="124">
        <f t="shared" si="211"/>
        <v>2417</v>
      </c>
      <c r="O71" s="125">
        <f t="shared" si="211"/>
        <v>3593</v>
      </c>
      <c r="P71" s="124">
        <f t="shared" si="211"/>
        <v>2559</v>
      </c>
      <c r="Q71" s="124">
        <f t="shared" si="211"/>
        <v>2518</v>
      </c>
      <c r="R71" s="124">
        <f t="shared" si="211"/>
        <v>3264</v>
      </c>
      <c r="S71" s="125">
        <f t="shared" si="211"/>
        <v>1817</v>
      </c>
      <c r="T71" s="124">
        <f t="shared" si="211"/>
        <v>816</v>
      </c>
      <c r="U71" s="124">
        <f t="shared" si="211"/>
        <v>110</v>
      </c>
      <c r="V71" s="124">
        <f t="shared" si="211"/>
        <v>2686</v>
      </c>
      <c r="W71" s="125">
        <f t="shared" si="211"/>
        <v>2528</v>
      </c>
      <c r="X71" s="124">
        <f t="shared" si="211"/>
        <v>3496</v>
      </c>
      <c r="Y71" s="124">
        <f t="shared" si="211"/>
        <v>4012</v>
      </c>
      <c r="Z71" s="124">
        <f t="shared" si="211"/>
        <v>4194</v>
      </c>
      <c r="AA71" s="125">
        <f t="shared" si="211"/>
        <v>4078</v>
      </c>
      <c r="AB71" s="124">
        <f t="shared" si="211"/>
        <v>4514</v>
      </c>
      <c r="AC71" s="124">
        <f t="shared" si="211"/>
        <v>4243</v>
      </c>
      <c r="AD71" s="124">
        <f t="shared" si="211"/>
        <v>5066</v>
      </c>
      <c r="AE71" s="125">
        <f t="shared" si="211"/>
        <v>4857</v>
      </c>
      <c r="AF71" s="124">
        <f t="shared" si="211"/>
        <v>4051</v>
      </c>
      <c r="AG71" s="124">
        <f t="shared" si="211"/>
        <v>4107</v>
      </c>
      <c r="AH71" s="124">
        <f t="shared" si="211"/>
        <v>4083</v>
      </c>
      <c r="AI71" s="125">
        <f t="shared" si="211"/>
        <v>3356</v>
      </c>
      <c r="AJ71" s="126">
        <f t="shared" si="211"/>
        <v>2675.5</v>
      </c>
      <c r="AK71" s="124">
        <f t="shared" si="211"/>
        <v>2885.5</v>
      </c>
      <c r="AL71" s="124">
        <f>AL59+AL68</f>
        <v>3803.5</v>
      </c>
      <c r="AM71" s="125">
        <f>AM59+AM68</f>
        <v>3840.5</v>
      </c>
      <c r="AN71" s="126">
        <f>AN59+AN68</f>
        <v>2960</v>
      </c>
      <c r="AO71" s="124">
        <f>AO59+AO68</f>
        <v>4108</v>
      </c>
      <c r="AP71" s="124">
        <f>AP59+AP68</f>
        <v>4740</v>
      </c>
      <c r="AQ71" s="125">
        <f t="shared" si="211"/>
        <v>4683</v>
      </c>
      <c r="AR71" s="126">
        <f t="shared" si="211"/>
        <v>2960</v>
      </c>
      <c r="AS71" s="124">
        <f t="shared" ref="AS71:AW71" si="212">AS59+AS68</f>
        <v>3374</v>
      </c>
      <c r="AT71" s="124">
        <f t="shared" si="212"/>
        <v>4411</v>
      </c>
      <c r="AU71" s="125">
        <f t="shared" si="212"/>
        <v>4429</v>
      </c>
      <c r="AV71" s="126">
        <f t="shared" si="212"/>
        <v>3223</v>
      </c>
      <c r="AW71" s="124">
        <f t="shared" si="212"/>
        <v>3569</v>
      </c>
      <c r="AX71" s="124">
        <f t="shared" ref="AX71:BA71" si="213">AX59+AX68</f>
        <v>4999</v>
      </c>
      <c r="AY71" s="125">
        <f t="shared" si="213"/>
        <v>4813</v>
      </c>
      <c r="AZ71" s="126">
        <f t="shared" si="213"/>
        <v>4142</v>
      </c>
      <c r="BA71" s="124">
        <f t="shared" si="213"/>
        <v>4912</v>
      </c>
      <c r="BB71" s="124">
        <f t="shared" ref="BB71:BD71" si="214">BB59+BB68</f>
        <v>6366</v>
      </c>
      <c r="BC71" s="125">
        <f t="shared" si="214"/>
        <v>6573</v>
      </c>
      <c r="BD71" s="126">
        <f t="shared" si="214"/>
        <v>4730</v>
      </c>
      <c r="BE71" s="124">
        <f t="shared" ref="BE71:BG71" si="215">BE59+BE68</f>
        <v>4693.9024417000601</v>
      </c>
      <c r="BF71" s="124">
        <f t="shared" si="215"/>
        <v>5720.0713225668842</v>
      </c>
      <c r="BG71" s="1104">
        <f t="shared" si="215"/>
        <v>5851.5343200652587</v>
      </c>
      <c r="BH71" s="126">
        <f t="shared" ref="BH71:BK71" si="216">BH59+BH68</f>
        <v>4789.4200867203726</v>
      </c>
      <c r="BI71" s="124">
        <f t="shared" si="216"/>
        <v>4877.0256088883034</v>
      </c>
      <c r="BJ71" s="124">
        <f t="shared" si="216"/>
        <v>5791.4704416685145</v>
      </c>
      <c r="BK71" s="1104">
        <f t="shared" si="216"/>
        <v>6048.2099621741309</v>
      </c>
      <c r="BL71" s="95"/>
      <c r="BM71" s="124">
        <f t="shared" ref="BM71:BY71" si="217">BM59+BM68</f>
        <v>12781</v>
      </c>
      <c r="BN71" s="124">
        <f t="shared" si="217"/>
        <v>7451</v>
      </c>
      <c r="BO71" s="124">
        <f t="shared" si="217"/>
        <v>9541</v>
      </c>
      <c r="BP71" s="124">
        <f t="shared" si="217"/>
        <v>10158</v>
      </c>
      <c r="BQ71" s="124">
        <f t="shared" si="217"/>
        <v>6140</v>
      </c>
      <c r="BR71" s="124">
        <f t="shared" si="217"/>
        <v>15780</v>
      </c>
      <c r="BS71" s="124">
        <f t="shared" si="217"/>
        <v>18746</v>
      </c>
      <c r="BT71" s="124">
        <f t="shared" si="217"/>
        <v>15597</v>
      </c>
      <c r="BU71" s="124">
        <f>BU59+BU68</f>
        <v>13205</v>
      </c>
      <c r="BV71" s="124">
        <f t="shared" si="217"/>
        <v>16491</v>
      </c>
      <c r="BW71" s="124">
        <f>BW59+BW68</f>
        <v>15174</v>
      </c>
      <c r="BX71" s="124">
        <f>BX59+BX68</f>
        <v>16604</v>
      </c>
      <c r="BY71" s="124">
        <f t="shared" si="217"/>
        <v>21993</v>
      </c>
      <c r="BZ71" s="124">
        <f t="shared" ref="BZ71:CB71" si="218">BZ59+BZ68</f>
        <v>20995.508084332207</v>
      </c>
      <c r="CA71" s="124">
        <f t="shared" si="218"/>
        <v>21506.126099451314</v>
      </c>
      <c r="CB71" s="1104">
        <f t="shared" si="218"/>
        <v>21914.87280252151</v>
      </c>
      <c r="CC71" s="99"/>
      <c r="CD71" s="100"/>
      <c r="CE71" s="100"/>
      <c r="CF71"/>
      <c r="CG71"/>
      <c r="CH71"/>
      <c r="CI71"/>
      <c r="CJ71"/>
      <c r="CK71"/>
    </row>
    <row r="72" spans="1:89" ht="14.25" customHeight="1" collapsed="1">
      <c r="A72" s="18"/>
      <c r="B72" s="54"/>
      <c r="C72" s="62"/>
      <c r="D72" s="63"/>
      <c r="E72" s="63"/>
      <c r="F72" s="63"/>
      <c r="G72" s="64"/>
      <c r="H72" s="63"/>
      <c r="I72" s="63"/>
      <c r="J72" s="63"/>
      <c r="K72" s="64"/>
      <c r="L72" s="63"/>
      <c r="M72" s="63"/>
      <c r="N72" s="63"/>
      <c r="O72" s="64"/>
      <c r="P72" s="63"/>
      <c r="Q72" s="63"/>
      <c r="R72" s="63"/>
      <c r="S72" s="64"/>
      <c r="T72" s="63"/>
      <c r="U72" s="63"/>
      <c r="V72" s="63"/>
      <c r="W72" s="64"/>
      <c r="X72" s="63"/>
      <c r="Y72" s="63"/>
      <c r="Z72" s="63"/>
      <c r="AA72" s="64"/>
      <c r="AB72" s="63"/>
      <c r="AC72" s="63"/>
      <c r="AD72" s="63"/>
      <c r="AE72" s="64"/>
      <c r="AF72" s="63"/>
      <c r="AG72" s="63"/>
      <c r="AH72" s="63"/>
      <c r="AI72" s="64"/>
      <c r="AJ72" s="65"/>
      <c r="AK72" s="63"/>
      <c r="AL72" s="63"/>
      <c r="AM72" s="64"/>
      <c r="AN72" s="65"/>
      <c r="AO72" s="63"/>
      <c r="AP72" s="63"/>
      <c r="AQ72" s="64"/>
      <c r="AR72" s="65"/>
      <c r="AS72" s="63"/>
      <c r="AT72" s="63"/>
      <c r="AU72" s="64"/>
      <c r="AV72" s="65"/>
      <c r="AW72" s="63"/>
      <c r="AX72" s="63"/>
      <c r="AY72" s="64"/>
      <c r="AZ72" s="65"/>
      <c r="BA72" s="63"/>
      <c r="BB72" s="63"/>
      <c r="BC72" s="64"/>
      <c r="BD72" s="65"/>
      <c r="BE72" s="63"/>
      <c r="BF72" s="63"/>
      <c r="BG72" s="1097"/>
      <c r="BH72" s="65"/>
      <c r="BI72" s="63"/>
      <c r="BJ72" s="63"/>
      <c r="BK72" s="1097"/>
      <c r="BL72" s="35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1193"/>
      <c r="CC72" s="37"/>
      <c r="CD72" s="26"/>
      <c r="CE72" s="26"/>
    </row>
    <row r="73" spans="1:89" s="88" customFormat="1" ht="14.25" customHeight="1">
      <c r="A73" s="77"/>
      <c r="B73" s="78" t="s">
        <v>133</v>
      </c>
      <c r="C73" s="79"/>
      <c r="D73" s="80">
        <v>973</v>
      </c>
      <c r="E73" s="80">
        <v>716</v>
      </c>
      <c r="F73" s="80">
        <v>1248</v>
      </c>
      <c r="G73" s="81">
        <f>3946-F73-E73-D73</f>
        <v>1009</v>
      </c>
      <c r="H73" s="80">
        <v>517</v>
      </c>
      <c r="I73" s="80">
        <v>368</v>
      </c>
      <c r="J73" s="80">
        <v>513</v>
      </c>
      <c r="K73" s="81">
        <f>2024-J73-I73-H73</f>
        <v>626</v>
      </c>
      <c r="L73" s="80">
        <v>237</v>
      </c>
      <c r="M73" s="80">
        <v>251</v>
      </c>
      <c r="N73" s="80">
        <v>712</v>
      </c>
      <c r="O73" s="81">
        <f>2190-N73-M73-L73</f>
        <v>990</v>
      </c>
      <c r="P73" s="80">
        <v>728</v>
      </c>
      <c r="Q73" s="80">
        <v>712</v>
      </c>
      <c r="R73" s="80">
        <v>819</v>
      </c>
      <c r="S73" s="81">
        <f>2394-R73-Q73-P73</f>
        <v>135</v>
      </c>
      <c r="T73" s="80">
        <v>0</v>
      </c>
      <c r="U73" s="80">
        <v>348</v>
      </c>
      <c r="V73" s="80">
        <v>676</v>
      </c>
      <c r="W73" s="81">
        <f>1335-V73-U73-T73</f>
        <v>311</v>
      </c>
      <c r="X73" s="80">
        <v>1004</v>
      </c>
      <c r="Y73" s="80">
        <v>1298</v>
      </c>
      <c r="Z73" s="80">
        <v>1296</v>
      </c>
      <c r="AA73" s="81">
        <f>4581-Z73-Y73-X73</f>
        <v>983</v>
      </c>
      <c r="AB73" s="80">
        <v>1211</v>
      </c>
      <c r="AC73" s="80">
        <v>977</v>
      </c>
      <c r="AD73" s="80">
        <v>1424</v>
      </c>
      <c r="AE73" s="81">
        <v>1227</v>
      </c>
      <c r="AF73" s="80">
        <v>1076</v>
      </c>
      <c r="AG73" s="80">
        <v>1107</v>
      </c>
      <c r="AH73" s="80">
        <v>949</v>
      </c>
      <c r="AI73" s="81">
        <v>736</v>
      </c>
      <c r="AJ73" s="82">
        <v>398</v>
      </c>
      <c r="AK73" s="80">
        <v>693</v>
      </c>
      <c r="AL73" s="80">
        <v>974</v>
      </c>
      <c r="AM73" s="81">
        <v>926</v>
      </c>
      <c r="AN73" s="82">
        <v>740</v>
      </c>
      <c r="AO73" s="80">
        <v>1126</v>
      </c>
      <c r="AP73" s="80">
        <v>1233</v>
      </c>
      <c r="AQ73" s="81">
        <v>998</v>
      </c>
      <c r="AR73" s="82">
        <v>681</v>
      </c>
      <c r="AS73" s="80">
        <v>277</v>
      </c>
      <c r="AT73" s="80">
        <v>1144</v>
      </c>
      <c r="AU73" s="81">
        <v>690</v>
      </c>
      <c r="AV73" s="82">
        <v>462</v>
      </c>
      <c r="AW73" s="80">
        <v>340</v>
      </c>
      <c r="AX73" s="80">
        <v>940</v>
      </c>
      <c r="AY73" s="81">
        <v>878</v>
      </c>
      <c r="AZ73" s="82">
        <v>851</v>
      </c>
      <c r="BA73" s="80">
        <v>1764</v>
      </c>
      <c r="BB73" s="80">
        <v>1414</v>
      </c>
      <c r="BC73" s="81">
        <v>6722</v>
      </c>
      <c r="BD73" s="82">
        <v>557</v>
      </c>
      <c r="BE73" s="84">
        <f t="shared" ref="BE73:BG73" si="219">BE70*BE74</f>
        <v>605.00731742100788</v>
      </c>
      <c r="BF73" s="84">
        <f t="shared" si="219"/>
        <v>738.40927193369498</v>
      </c>
      <c r="BG73" s="1116">
        <f t="shared" si="219"/>
        <v>813.61480480913633</v>
      </c>
      <c r="BH73" s="85">
        <f t="shared" ref="BH73:BK73" si="220">BH70*BH74</f>
        <v>664.9188121408522</v>
      </c>
      <c r="BI73" s="84">
        <f t="shared" si="220"/>
        <v>677.18358524436258</v>
      </c>
      <c r="BJ73" s="84">
        <f t="shared" si="220"/>
        <v>805.20586183359205</v>
      </c>
      <c r="BK73" s="1116">
        <f t="shared" si="220"/>
        <v>841.14939470437844</v>
      </c>
      <c r="BL73" s="83"/>
      <c r="BM73" s="84">
        <f>SUM(D73:G73)</f>
        <v>3946</v>
      </c>
      <c r="BN73" s="84">
        <f>SUM(H73:K73)</f>
        <v>2024</v>
      </c>
      <c r="BO73" s="84">
        <f>SUM(L73:O73)</f>
        <v>2190</v>
      </c>
      <c r="BP73" s="84">
        <f>SUM(P73:S73)</f>
        <v>2394</v>
      </c>
      <c r="BQ73" s="84">
        <f>SUM(T73:W73)</f>
        <v>1335</v>
      </c>
      <c r="BR73" s="84">
        <f>SUM(X73:AA73)</f>
        <v>4581</v>
      </c>
      <c r="BS73" s="84">
        <f>SUM(AB73:AE73)</f>
        <v>4839</v>
      </c>
      <c r="BT73" s="84">
        <f>SUM(AF73:AI73)</f>
        <v>3868</v>
      </c>
      <c r="BU73" s="84">
        <f>SUM(AJ73:AM73)</f>
        <v>2991</v>
      </c>
      <c r="BV73" s="84">
        <f>SUM(AN73:AQ73)</f>
        <v>4097</v>
      </c>
      <c r="BW73" s="84">
        <f>SUM(AR73:AU73)</f>
        <v>2792</v>
      </c>
      <c r="BX73" s="84">
        <f>SUM(AV73:AY73)</f>
        <v>2620</v>
      </c>
      <c r="BY73" s="84">
        <f>SUM(AZ73:BC73)</f>
        <v>10751</v>
      </c>
      <c r="BZ73" s="84">
        <f>SUM(BD73:BG73)</f>
        <v>2714.0313941638392</v>
      </c>
      <c r="CA73" s="84">
        <f>SUM(BH73:BK73)</f>
        <v>2988.4576539231848</v>
      </c>
      <c r="CB73" s="1116">
        <f>CB70*CB74</f>
        <v>3045.6821923530124</v>
      </c>
      <c r="CC73" s="1226"/>
      <c r="CD73" s="87"/>
      <c r="CE73" s="87"/>
      <c r="CF73"/>
      <c r="CG73"/>
      <c r="CH73"/>
      <c r="CI73"/>
      <c r="CJ73"/>
      <c r="CK73"/>
    </row>
    <row r="74" spans="1:89" ht="14.25" customHeight="1">
      <c r="A74" s="18"/>
      <c r="B74" s="54" t="s">
        <v>134</v>
      </c>
      <c r="C74" s="62"/>
      <c r="D74" s="162">
        <f t="shared" ref="D74:AM74" si="221">D73/D70</f>
        <v>0.30879086004443035</v>
      </c>
      <c r="E74" s="63">
        <f t="shared" si="221"/>
        <v>0.25998547567175018</v>
      </c>
      <c r="F74" s="63">
        <f t="shared" si="221"/>
        <v>0.38482886216466233</v>
      </c>
      <c r="G74" s="64">
        <f t="shared" si="221"/>
        <v>0.29145002888503757</v>
      </c>
      <c r="H74" s="162">
        <f t="shared" si="221"/>
        <v>0.27588046958377799</v>
      </c>
      <c r="I74" s="63">
        <f t="shared" si="221"/>
        <v>0.2936951316839585</v>
      </c>
      <c r="J74" s="63">
        <f t="shared" si="221"/>
        <v>0.28280044101433299</v>
      </c>
      <c r="K74" s="64">
        <f t="shared" si="221"/>
        <v>0.29431123648330981</v>
      </c>
      <c r="L74" s="162">
        <f t="shared" si="221"/>
        <v>0.12653497063534436</v>
      </c>
      <c r="M74" s="63">
        <f t="shared" si="221"/>
        <v>0.16415958142576847</v>
      </c>
      <c r="N74" s="63">
        <f t="shared" si="221"/>
        <v>0.28445864962045547</v>
      </c>
      <c r="O74" s="64">
        <f t="shared" si="221"/>
        <v>0.30358785648574055</v>
      </c>
      <c r="P74" s="162">
        <f t="shared" si="221"/>
        <v>0.33532934131736525</v>
      </c>
      <c r="Q74" s="63">
        <f t="shared" si="221"/>
        <v>0.30782533506268916</v>
      </c>
      <c r="R74" s="63">
        <f t="shared" si="221"/>
        <v>0.28909283445111189</v>
      </c>
      <c r="S74" s="64">
        <f t="shared" si="221"/>
        <v>0.36585365853658536</v>
      </c>
      <c r="T74" s="162">
        <f t="shared" si="221"/>
        <v>0</v>
      </c>
      <c r="U74" s="63">
        <f t="shared" si="221"/>
        <v>-6.96</v>
      </c>
      <c r="V74" s="63">
        <f t="shared" si="221"/>
        <v>0.26698262243285942</v>
      </c>
      <c r="W74" s="64">
        <f t="shared" si="221"/>
        <v>0.11993829541072117</v>
      </c>
      <c r="X74" s="162">
        <f t="shared" si="221"/>
        <v>0.29135229251305861</v>
      </c>
      <c r="Y74" s="63">
        <f t="shared" si="221"/>
        <v>0.31015531660692952</v>
      </c>
      <c r="Z74" s="63">
        <f t="shared" si="221"/>
        <v>0.3048694424841214</v>
      </c>
      <c r="AA74" s="64">
        <f t="shared" si="221"/>
        <v>0.23612779245736248</v>
      </c>
      <c r="AB74" s="162">
        <f t="shared" si="221"/>
        <v>0.27705330587966143</v>
      </c>
      <c r="AC74" s="63">
        <f t="shared" si="221"/>
        <v>0.24853726787077079</v>
      </c>
      <c r="AD74" s="63">
        <f t="shared" si="221"/>
        <v>0.29108748977923138</v>
      </c>
      <c r="AE74" s="64">
        <f t="shared" si="221"/>
        <v>0.26749509483322431</v>
      </c>
      <c r="AF74" s="162">
        <f t="shared" si="221"/>
        <v>0.28211851074986888</v>
      </c>
      <c r="AG74" s="63">
        <f t="shared" si="221"/>
        <v>0.28139298423995934</v>
      </c>
      <c r="AH74" s="63">
        <f t="shared" si="221"/>
        <v>0.24203009436368272</v>
      </c>
      <c r="AI74" s="64">
        <f t="shared" si="221"/>
        <v>0.22971285892634208</v>
      </c>
      <c r="AJ74" s="65">
        <f t="shared" si="221"/>
        <v>0.16291444944740074</v>
      </c>
      <c r="AK74" s="63">
        <f t="shared" si="221"/>
        <v>0.25733382844411434</v>
      </c>
      <c r="AL74" s="63">
        <f t="shared" si="221"/>
        <v>0.24821610601427116</v>
      </c>
      <c r="AM74" s="64">
        <f t="shared" si="221"/>
        <v>0.26077161362996337</v>
      </c>
      <c r="AN74" s="65">
        <f>AN73/AN70</f>
        <v>0.27715355805243447</v>
      </c>
      <c r="AO74" s="63">
        <f>AO73/AO70</f>
        <v>0.2870984191738909</v>
      </c>
      <c r="AP74" s="63">
        <f>AP73/AP70</f>
        <v>0.27098901098901101</v>
      </c>
      <c r="AQ74" s="64">
        <f>AQ73/AQ70</f>
        <v>0.21420905773771196</v>
      </c>
      <c r="AR74" s="65">
        <f>AR73/AR70</f>
        <v>0.25476992143658811</v>
      </c>
      <c r="AS74" s="63">
        <f t="shared" ref="AS74:AT74" si="222">AS73/AS70</f>
        <v>9.2859537378478046E-2</v>
      </c>
      <c r="AT74" s="63">
        <f t="shared" si="222"/>
        <v>0.26898659769574418</v>
      </c>
      <c r="AU74" s="64">
        <f>AU73/AU70</f>
        <v>0.16035324192423892</v>
      </c>
      <c r="AV74" s="65">
        <f>AV73/AV70</f>
        <v>0.18421052631578946</v>
      </c>
      <c r="AW74" s="63">
        <f t="shared" ref="AW74:AX74" si="223">AW73/AW70</f>
        <v>0.20359281437125748</v>
      </c>
      <c r="AX74" s="63">
        <f t="shared" si="223"/>
        <v>0.21769337656322371</v>
      </c>
      <c r="AY74" s="64">
        <f>AY73/AY70</f>
        <v>0.19774774774774775</v>
      </c>
      <c r="AZ74" s="65">
        <f>AZ73/AZ70</f>
        <v>0.22306684141546526</v>
      </c>
      <c r="BA74" s="63">
        <f t="shared" ref="BA74:BB74" si="224">BA73/BA70</f>
        <v>0.38582677165354329</v>
      </c>
      <c r="BB74" s="63">
        <f t="shared" si="224"/>
        <v>0.2384485666104553</v>
      </c>
      <c r="BC74" s="64">
        <f>BC73/BC70</f>
        <v>1.1138359569179785</v>
      </c>
      <c r="BD74" s="65">
        <f>BD73/BD70</f>
        <v>0.11115545799241669</v>
      </c>
      <c r="BE74" s="586">
        <v>0.13</v>
      </c>
      <c r="BF74" s="586">
        <v>0.13</v>
      </c>
      <c r="BG74" s="1123">
        <v>0.14000000000000001</v>
      </c>
      <c r="BH74" s="1025">
        <v>0.14000000000000001</v>
      </c>
      <c r="BI74" s="586">
        <f>BH74</f>
        <v>0.14000000000000001</v>
      </c>
      <c r="BJ74" s="586">
        <f>BI74</f>
        <v>0.14000000000000001</v>
      </c>
      <c r="BK74" s="1123">
        <f>BJ74</f>
        <v>0.14000000000000001</v>
      </c>
      <c r="BL74" s="35"/>
      <c r="BM74" s="63">
        <f t="shared" ref="BM74:BV74" si="225">BM73/BM70</f>
        <v>0.31292624900872323</v>
      </c>
      <c r="BN74" s="63">
        <f t="shared" si="225"/>
        <v>0.28636106395019806</v>
      </c>
      <c r="BO74" s="63">
        <f t="shared" si="225"/>
        <v>0.23892646737944578</v>
      </c>
      <c r="BP74" s="63">
        <f t="shared" si="225"/>
        <v>0.31147540983606559</v>
      </c>
      <c r="BQ74" s="63">
        <f t="shared" si="225"/>
        <v>0.23404628330995791</v>
      </c>
      <c r="BR74" s="63">
        <f t="shared" si="225"/>
        <v>0.28550950451854162</v>
      </c>
      <c r="BS74" s="63">
        <f t="shared" si="225"/>
        <v>0.27214442382318205</v>
      </c>
      <c r="BT74" s="63">
        <f t="shared" si="225"/>
        <v>0.26006858064949911</v>
      </c>
      <c r="BU74" s="63">
        <f t="shared" si="225"/>
        <v>0.23717389580524939</v>
      </c>
      <c r="BV74" s="63">
        <f t="shared" si="225"/>
        <v>0.25928738687424846</v>
      </c>
      <c r="BW74" s="63">
        <f>BW73/BW70</f>
        <v>0.19645370109766394</v>
      </c>
      <c r="BX74" s="63">
        <f>BX73/BX70</f>
        <v>0.20253555967841683</v>
      </c>
      <c r="BY74" s="63">
        <f>BY73/BY70</f>
        <v>0.52825275157232709</v>
      </c>
      <c r="BZ74" s="63">
        <f>BZ73/BZ70</f>
        <v>0.12828352312893065</v>
      </c>
      <c r="CA74" s="63">
        <f>CA73/CA70</f>
        <v>0.14000000000000004</v>
      </c>
      <c r="CB74" s="1192">
        <f>CA74</f>
        <v>0.14000000000000004</v>
      </c>
      <c r="CC74" s="37"/>
      <c r="CD74" s="26"/>
      <c r="CE74" s="26"/>
    </row>
    <row r="75" spans="1:89" ht="14.25" hidden="1" customHeight="1" outlineLevel="1">
      <c r="A75" s="18"/>
      <c r="B75" s="139"/>
      <c r="C75" s="103"/>
      <c r="D75" s="104"/>
      <c r="E75" s="104"/>
      <c r="F75" s="104"/>
      <c r="G75" s="105"/>
      <c r="H75" s="104"/>
      <c r="I75" s="104"/>
      <c r="J75" s="104"/>
      <c r="K75" s="105"/>
      <c r="L75" s="104"/>
      <c r="M75" s="104"/>
      <c r="N75" s="104"/>
      <c r="O75" s="105"/>
      <c r="P75" s="104"/>
      <c r="Q75" s="104"/>
      <c r="R75" s="104"/>
      <c r="S75" s="105"/>
      <c r="T75" s="104"/>
      <c r="U75" s="104"/>
      <c r="V75" s="104"/>
      <c r="W75" s="105"/>
      <c r="X75" s="104"/>
      <c r="Y75" s="104"/>
      <c r="Z75" s="104"/>
      <c r="AA75" s="105"/>
      <c r="AB75" s="104"/>
      <c r="AC75" s="104"/>
      <c r="AD75" s="104"/>
      <c r="AE75" s="105"/>
      <c r="AF75" s="104"/>
      <c r="AG75" s="107"/>
      <c r="AH75" s="107"/>
      <c r="AI75" s="105"/>
      <c r="AJ75" s="108"/>
      <c r="AK75" s="107"/>
      <c r="AL75" s="107"/>
      <c r="AM75" s="105"/>
      <c r="AN75" s="108"/>
      <c r="AO75" s="107"/>
      <c r="AP75" s="107"/>
      <c r="AQ75" s="105"/>
      <c r="AR75" s="108"/>
      <c r="AS75" s="107"/>
      <c r="AT75" s="107"/>
      <c r="AU75" s="105"/>
      <c r="AV75" s="108"/>
      <c r="AW75" s="107"/>
      <c r="AX75" s="107"/>
      <c r="AY75" s="105"/>
      <c r="AZ75" s="108"/>
      <c r="BA75" s="107"/>
      <c r="BB75" s="107"/>
      <c r="BC75" s="105"/>
      <c r="BD75" s="108"/>
      <c r="BE75" s="107"/>
      <c r="BF75" s="107"/>
      <c r="BG75" s="1094"/>
      <c r="BH75" s="108"/>
      <c r="BI75" s="107"/>
      <c r="BJ75" s="107"/>
      <c r="BK75" s="1094"/>
      <c r="BL75" s="35"/>
      <c r="BM75" s="107"/>
      <c r="BN75" s="107"/>
      <c r="BO75" s="107"/>
      <c r="BP75" s="107"/>
      <c r="BQ75" s="107"/>
      <c r="BR75" s="107"/>
      <c r="BS75" s="107"/>
      <c r="BT75" s="107"/>
      <c r="BU75" s="107"/>
      <c r="BV75" s="107"/>
      <c r="BW75" s="107"/>
      <c r="BX75" s="107"/>
      <c r="BY75" s="107"/>
      <c r="BZ75" s="107"/>
      <c r="CA75" s="107"/>
      <c r="CB75" s="1094"/>
      <c r="CC75" s="37"/>
      <c r="CD75" s="26"/>
      <c r="CE75" s="26"/>
    </row>
    <row r="76" spans="1:89" s="121" customFormat="1" ht="14.25" hidden="1" customHeight="1" outlineLevel="1">
      <c r="A76" s="110"/>
      <c r="B76" s="111" t="s">
        <v>135</v>
      </c>
      <c r="C76" s="112"/>
      <c r="D76" s="80">
        <v>0</v>
      </c>
      <c r="E76" s="80">
        <v>0</v>
      </c>
      <c r="F76" s="80">
        <v>0</v>
      </c>
      <c r="G76" s="81">
        <v>0</v>
      </c>
      <c r="H76" s="80">
        <v>0</v>
      </c>
      <c r="I76" s="80">
        <v>0</v>
      </c>
      <c r="J76" s="80">
        <v>0</v>
      </c>
      <c r="K76" s="81">
        <v>0</v>
      </c>
      <c r="L76" s="80">
        <v>0</v>
      </c>
      <c r="M76" s="80">
        <v>0</v>
      </c>
      <c r="N76" s="80">
        <v>0</v>
      </c>
      <c r="O76" s="81">
        <v>0</v>
      </c>
      <c r="P76" s="80">
        <v>0</v>
      </c>
      <c r="Q76" s="80">
        <v>0</v>
      </c>
      <c r="R76" s="80">
        <v>0</v>
      </c>
      <c r="S76" s="81">
        <v>-328</v>
      </c>
      <c r="T76" s="80">
        <v>0</v>
      </c>
      <c r="U76" s="80">
        <v>0</v>
      </c>
      <c r="V76" s="80">
        <v>0</v>
      </c>
      <c r="W76" s="81">
        <v>-438</v>
      </c>
      <c r="X76" s="80">
        <v>-7</v>
      </c>
      <c r="Y76" s="80">
        <v>-7</v>
      </c>
      <c r="Z76" s="80">
        <v>-7</v>
      </c>
      <c r="AA76" s="81">
        <v>-8</v>
      </c>
      <c r="AB76" s="80">
        <v>-47</v>
      </c>
      <c r="AC76" s="80">
        <v>-51</v>
      </c>
      <c r="AD76" s="80">
        <v>-61</v>
      </c>
      <c r="AE76" s="81">
        <v>-56</v>
      </c>
      <c r="AF76" s="80">
        <v>-73</v>
      </c>
      <c r="AG76" s="80">
        <v>-74</v>
      </c>
      <c r="AH76" s="80">
        <v>-72</v>
      </c>
      <c r="AI76" s="81">
        <v>-71</v>
      </c>
      <c r="AJ76" s="85">
        <f t="shared" ref="AJ76:AR76" si="226">+AJ84</f>
        <v>-37.87760949652067</v>
      </c>
      <c r="AK76" s="84">
        <f t="shared" si="226"/>
        <v>-50.308763460824352</v>
      </c>
      <c r="AL76" s="84">
        <f>+AL84</f>
        <v>29.910040774719675</v>
      </c>
      <c r="AM76" s="577">
        <f>+AM84</f>
        <v>-75.493382145874392</v>
      </c>
      <c r="AN76" s="85">
        <f>+AN84</f>
        <v>-80.374531835206</v>
      </c>
      <c r="AO76" s="84">
        <f>+AO84</f>
        <v>-53.400305966343709</v>
      </c>
      <c r="AP76" s="84">
        <f>+AP84</f>
        <v>-51.487912087912093</v>
      </c>
      <c r="AQ76" s="577">
        <f t="shared" si="226"/>
        <v>-5.1410173857050872</v>
      </c>
      <c r="AR76" s="85">
        <f t="shared" si="226"/>
        <v>-73</v>
      </c>
      <c r="AS76" s="84">
        <f t="shared" ref="AS76:AX76" si="227">+AS84</f>
        <v>-42</v>
      </c>
      <c r="AT76" s="84">
        <f t="shared" si="227"/>
        <v>-62</v>
      </c>
      <c r="AU76" s="577">
        <f t="shared" si="227"/>
        <v>-20</v>
      </c>
      <c r="AV76" s="85">
        <f t="shared" si="227"/>
        <v>-132</v>
      </c>
      <c r="AW76" s="84">
        <f t="shared" si="227"/>
        <v>-370</v>
      </c>
      <c r="AX76" s="84">
        <f t="shared" si="227"/>
        <v>-173</v>
      </c>
      <c r="AY76" s="577">
        <f t="shared" ref="AY76:BB76" si="228">+AY84</f>
        <v>-70</v>
      </c>
      <c r="AZ76" s="85">
        <f t="shared" si="228"/>
        <v>-73</v>
      </c>
      <c r="BA76" s="84">
        <f t="shared" si="228"/>
        <v>358</v>
      </c>
      <c r="BB76" s="84">
        <f t="shared" si="228"/>
        <v>-104</v>
      </c>
      <c r="BC76" s="577">
        <f t="shared" ref="BC76:BD76" si="229">+BC84</f>
        <v>5330</v>
      </c>
      <c r="BD76" s="85">
        <f t="shared" si="229"/>
        <v>2</v>
      </c>
      <c r="BE76" s="84">
        <f t="shared" ref="BE76:BG76" si="230">+BE84</f>
        <v>-5.2</v>
      </c>
      <c r="BF76" s="84">
        <f t="shared" si="230"/>
        <v>-5.2</v>
      </c>
      <c r="BG76" s="1116">
        <f t="shared" si="230"/>
        <v>-5.6000000000000005</v>
      </c>
      <c r="BH76" s="85">
        <f t="shared" ref="BH76:BK76" si="231">+BH84</f>
        <v>-5.6000000000000005</v>
      </c>
      <c r="BI76" s="84">
        <f t="shared" si="231"/>
        <v>-5.6000000000000005</v>
      </c>
      <c r="BJ76" s="84">
        <f t="shared" si="231"/>
        <v>-5.6000000000000005</v>
      </c>
      <c r="BK76" s="1116">
        <f t="shared" si="231"/>
        <v>-5.6000000000000005</v>
      </c>
      <c r="BL76" s="83"/>
      <c r="BM76" s="84">
        <f>SUM(D76:G76)</f>
        <v>0</v>
      </c>
      <c r="BN76" s="84">
        <f>SUM(H76:K76)</f>
        <v>0</v>
      </c>
      <c r="BO76" s="84">
        <f>SUM(L76:O76)</f>
        <v>0</v>
      </c>
      <c r="BP76" s="84">
        <f>SUM(P76:S76)</f>
        <v>-328</v>
      </c>
      <c r="BQ76" s="84">
        <f>SUM(T76:W76)</f>
        <v>-438</v>
      </c>
      <c r="BR76" s="84">
        <f>SUM(X76:AA76)</f>
        <v>-29</v>
      </c>
      <c r="BS76" s="84">
        <f>SUM(AB76:AE76)</f>
        <v>-215</v>
      </c>
      <c r="BT76" s="84">
        <f>SUM(AF76:AI76)</f>
        <v>-290</v>
      </c>
      <c r="BU76" s="84">
        <f>SUM(AJ76:AM76)</f>
        <v>-133.76971432849973</v>
      </c>
      <c r="BV76" s="84">
        <f>SUM(AN76:AQ76)</f>
        <v>-190.4037672751669</v>
      </c>
      <c r="BW76" s="117">
        <f>SUM(AR76:AU76)</f>
        <v>-197</v>
      </c>
      <c r="BX76" s="117">
        <f>SUM(AV76:AY76)</f>
        <v>-745</v>
      </c>
      <c r="BY76" s="84">
        <f>SUM(AZ76:BC76)</f>
        <v>5511</v>
      </c>
      <c r="BZ76" s="84">
        <f>SUM(BD76:BG76)</f>
        <v>-14</v>
      </c>
      <c r="CA76" s="84">
        <f>SUM(BH76:BK76)</f>
        <v>-22.400000000000002</v>
      </c>
      <c r="CB76" s="1113">
        <f>+CB84</f>
        <v>-22.400000000000006</v>
      </c>
      <c r="CC76" s="119"/>
      <c r="CD76" s="120"/>
      <c r="CE76" s="120"/>
      <c r="CF76"/>
      <c r="CG76"/>
      <c r="CH76"/>
      <c r="CI76"/>
      <c r="CJ76"/>
      <c r="CK76"/>
    </row>
    <row r="77" spans="1:89" ht="14.25" hidden="1" customHeight="1" outlineLevel="1">
      <c r="A77" s="18"/>
      <c r="B77" s="39" t="s">
        <v>136</v>
      </c>
      <c r="C77" s="68"/>
      <c r="D77" s="96">
        <f t="shared" ref="D77:AT77" si="232">D73-D76</f>
        <v>973</v>
      </c>
      <c r="E77" s="96">
        <f t="shared" si="232"/>
        <v>716</v>
      </c>
      <c r="F77" s="96">
        <f t="shared" si="232"/>
        <v>1248</v>
      </c>
      <c r="G77" s="98">
        <f t="shared" si="232"/>
        <v>1009</v>
      </c>
      <c r="H77" s="96">
        <f t="shared" si="232"/>
        <v>517</v>
      </c>
      <c r="I77" s="96">
        <f t="shared" si="232"/>
        <v>368</v>
      </c>
      <c r="J77" s="96">
        <f t="shared" si="232"/>
        <v>513</v>
      </c>
      <c r="K77" s="98">
        <f t="shared" si="232"/>
        <v>626</v>
      </c>
      <c r="L77" s="96">
        <f t="shared" si="232"/>
        <v>237</v>
      </c>
      <c r="M77" s="96">
        <f t="shared" si="232"/>
        <v>251</v>
      </c>
      <c r="N77" s="96">
        <f t="shared" si="232"/>
        <v>712</v>
      </c>
      <c r="O77" s="98">
        <f t="shared" si="232"/>
        <v>990</v>
      </c>
      <c r="P77" s="96">
        <f t="shared" si="232"/>
        <v>728</v>
      </c>
      <c r="Q77" s="96">
        <f t="shared" si="232"/>
        <v>712</v>
      </c>
      <c r="R77" s="96">
        <f t="shared" si="232"/>
        <v>819</v>
      </c>
      <c r="S77" s="98">
        <f t="shared" si="232"/>
        <v>463</v>
      </c>
      <c r="T77" s="96">
        <f t="shared" si="232"/>
        <v>0</v>
      </c>
      <c r="U77" s="96">
        <f t="shared" si="232"/>
        <v>348</v>
      </c>
      <c r="V77" s="96">
        <f t="shared" si="232"/>
        <v>676</v>
      </c>
      <c r="W77" s="98">
        <f t="shared" si="232"/>
        <v>749</v>
      </c>
      <c r="X77" s="96">
        <f t="shared" si="232"/>
        <v>1011</v>
      </c>
      <c r="Y77" s="96">
        <f t="shared" si="232"/>
        <v>1305</v>
      </c>
      <c r="Z77" s="96">
        <f t="shared" si="232"/>
        <v>1303</v>
      </c>
      <c r="AA77" s="98">
        <f t="shared" si="232"/>
        <v>991</v>
      </c>
      <c r="AB77" s="96">
        <f t="shared" si="232"/>
        <v>1258</v>
      </c>
      <c r="AC77" s="96">
        <f t="shared" si="232"/>
        <v>1028</v>
      </c>
      <c r="AD77" s="96">
        <f t="shared" si="232"/>
        <v>1485</v>
      </c>
      <c r="AE77" s="98">
        <f t="shared" si="232"/>
        <v>1283</v>
      </c>
      <c r="AF77" s="96">
        <f t="shared" si="232"/>
        <v>1149</v>
      </c>
      <c r="AG77" s="96">
        <f>AG73-AG76</f>
        <v>1181</v>
      </c>
      <c r="AH77" s="96">
        <f>AH73-AH76</f>
        <v>1021</v>
      </c>
      <c r="AI77" s="98">
        <f t="shared" si="232"/>
        <v>807</v>
      </c>
      <c r="AJ77" s="97">
        <f t="shared" si="232"/>
        <v>435.87760949652068</v>
      </c>
      <c r="AK77" s="96">
        <f t="shared" si="232"/>
        <v>743.30876346082437</v>
      </c>
      <c r="AL77" s="96">
        <f t="shared" si="232"/>
        <v>944.08995922528038</v>
      </c>
      <c r="AM77" s="98">
        <f t="shared" si="232"/>
        <v>1001.4933821458744</v>
      </c>
      <c r="AN77" s="97">
        <f t="shared" si="232"/>
        <v>820.37453183520597</v>
      </c>
      <c r="AO77" s="96">
        <f t="shared" si="232"/>
        <v>1179.4003059663437</v>
      </c>
      <c r="AP77" s="96">
        <f t="shared" si="232"/>
        <v>1284.487912087912</v>
      </c>
      <c r="AQ77" s="98">
        <f t="shared" si="232"/>
        <v>1003.1410173857051</v>
      </c>
      <c r="AR77" s="97">
        <f t="shared" si="232"/>
        <v>754</v>
      </c>
      <c r="AS77" s="96">
        <f t="shared" si="232"/>
        <v>319</v>
      </c>
      <c r="AT77" s="96">
        <f t="shared" si="232"/>
        <v>1206</v>
      </c>
      <c r="AU77" s="98">
        <f t="shared" ref="AU77" si="233">AU73-AU76</f>
        <v>710</v>
      </c>
      <c r="AV77" s="97">
        <f>AV73-AV76</f>
        <v>594</v>
      </c>
      <c r="AW77" s="96">
        <f>AW73-AW76</f>
        <v>710</v>
      </c>
      <c r="AX77" s="96">
        <f>AX73-AX76</f>
        <v>1113</v>
      </c>
      <c r="AY77" s="98">
        <f t="shared" ref="AY77" si="234">AY73-AY76</f>
        <v>948</v>
      </c>
      <c r="AZ77" s="97">
        <f>AZ73-AZ76</f>
        <v>924</v>
      </c>
      <c r="BA77" s="96">
        <f>BA73-BA76</f>
        <v>1406</v>
      </c>
      <c r="BB77" s="96">
        <f>BB73-BB76</f>
        <v>1518</v>
      </c>
      <c r="BC77" s="98">
        <f t="shared" ref="BC77" si="235">BC73-BC76</f>
        <v>1392</v>
      </c>
      <c r="BD77" s="97">
        <f>BD73-BD76</f>
        <v>555</v>
      </c>
      <c r="BE77" s="96">
        <f t="shared" ref="BE77:BG77" si="236">BE73-BE76</f>
        <v>610.20731742100793</v>
      </c>
      <c r="BF77" s="96">
        <f t="shared" si="236"/>
        <v>743.60927193369503</v>
      </c>
      <c r="BG77" s="1093">
        <f t="shared" si="236"/>
        <v>819.21480480913635</v>
      </c>
      <c r="BH77" s="97">
        <f t="shared" ref="BH77:BK77" si="237">BH73-BH76</f>
        <v>670.51881214085222</v>
      </c>
      <c r="BI77" s="96">
        <f t="shared" si="237"/>
        <v>682.7835852443626</v>
      </c>
      <c r="BJ77" s="96">
        <f t="shared" si="237"/>
        <v>810.80586183359208</v>
      </c>
      <c r="BK77" s="1093">
        <f t="shared" si="237"/>
        <v>846.74939470437846</v>
      </c>
      <c r="BL77" s="95"/>
      <c r="BM77" s="96">
        <f>BM73-BM76</f>
        <v>3946</v>
      </c>
      <c r="BN77" s="96">
        <f t="shared" ref="BN77:BV77" si="238">BN73-BN76</f>
        <v>2024</v>
      </c>
      <c r="BO77" s="96">
        <f t="shared" si="238"/>
        <v>2190</v>
      </c>
      <c r="BP77" s="96">
        <f t="shared" si="238"/>
        <v>2722</v>
      </c>
      <c r="BQ77" s="96">
        <f t="shared" si="238"/>
        <v>1773</v>
      </c>
      <c r="BR77" s="96">
        <f t="shared" si="238"/>
        <v>4610</v>
      </c>
      <c r="BS77" s="96">
        <f t="shared" si="238"/>
        <v>5054</v>
      </c>
      <c r="BT77" s="96">
        <f t="shared" si="238"/>
        <v>4158</v>
      </c>
      <c r="BU77" s="96">
        <f>BU73-BU76</f>
        <v>3124.7697143284995</v>
      </c>
      <c r="BV77" s="96">
        <f t="shared" si="238"/>
        <v>4287.4037672751665</v>
      </c>
      <c r="BW77" s="107">
        <f>SUM(AR77:AU77)</f>
        <v>2989</v>
      </c>
      <c r="BX77" s="107">
        <f>SUM(AV77:AY77)</f>
        <v>3365</v>
      </c>
      <c r="BY77" s="979">
        <f>SUM(AZ77:BC77)</f>
        <v>5240</v>
      </c>
      <c r="BZ77" s="979">
        <f>SUM(BD77:BG77)</f>
        <v>2728.0313941638392</v>
      </c>
      <c r="CA77" s="979">
        <f>SUM(BH77:BK77)</f>
        <v>3010.8576539231854</v>
      </c>
      <c r="CB77" s="1094">
        <f t="shared" ref="CB77" si="239">CB73-CB76</f>
        <v>3068.0821923530125</v>
      </c>
      <c r="CC77" s="37"/>
      <c r="CD77" s="26"/>
      <c r="CE77" s="26"/>
    </row>
    <row r="78" spans="1:89" ht="14.25" hidden="1" customHeight="1" outlineLevel="1">
      <c r="A78" s="18"/>
      <c r="B78" s="54" t="s">
        <v>137</v>
      </c>
      <c r="C78" s="62"/>
      <c r="D78" s="63">
        <f t="shared" ref="D78:AQ78" si="240">D77/D71</f>
        <v>0.30549450549450552</v>
      </c>
      <c r="E78" s="63">
        <f t="shared" si="240"/>
        <v>0.25462304409672831</v>
      </c>
      <c r="F78" s="63">
        <f t="shared" si="240"/>
        <v>0.38118509468540013</v>
      </c>
      <c r="G78" s="64">
        <f t="shared" si="240"/>
        <v>0.28746438746438746</v>
      </c>
      <c r="H78" s="63">
        <f t="shared" si="240"/>
        <v>0.27340031729243786</v>
      </c>
      <c r="I78" s="63">
        <f t="shared" si="240"/>
        <v>0.300163132137031</v>
      </c>
      <c r="J78" s="63">
        <f t="shared" si="240"/>
        <v>0.2928082191780822</v>
      </c>
      <c r="K78" s="64">
        <f t="shared" si="240"/>
        <v>0.24244771494965142</v>
      </c>
      <c r="L78" s="63">
        <f t="shared" si="240"/>
        <v>0.12350182386659718</v>
      </c>
      <c r="M78" s="63">
        <f t="shared" si="240"/>
        <v>0.15570719602977667</v>
      </c>
      <c r="N78" s="63">
        <f t="shared" si="240"/>
        <v>0.29458005792304509</v>
      </c>
      <c r="O78" s="64">
        <f t="shared" si="240"/>
        <v>0.27553576398552743</v>
      </c>
      <c r="P78" s="63">
        <f t="shared" si="240"/>
        <v>0.28448612739351309</v>
      </c>
      <c r="Q78" s="63">
        <f t="shared" si="240"/>
        <v>0.28276409849086576</v>
      </c>
      <c r="R78" s="63">
        <f t="shared" si="240"/>
        <v>0.25091911764705882</v>
      </c>
      <c r="S78" s="64">
        <f t="shared" si="240"/>
        <v>0.25481563015960373</v>
      </c>
      <c r="T78" s="63">
        <f t="shared" si="240"/>
        <v>0</v>
      </c>
      <c r="U78" s="63">
        <f t="shared" si="240"/>
        <v>3.1636363636363636</v>
      </c>
      <c r="V78" s="63">
        <f t="shared" si="240"/>
        <v>0.25167535368577809</v>
      </c>
      <c r="W78" s="64">
        <f t="shared" si="240"/>
        <v>0.29628164556962028</v>
      </c>
      <c r="X78" s="63">
        <f t="shared" si="240"/>
        <v>0.28918764302059496</v>
      </c>
      <c r="Y78" s="63">
        <f t="shared" si="240"/>
        <v>0.32527417746759718</v>
      </c>
      <c r="Z78" s="63">
        <f t="shared" si="240"/>
        <v>0.31068192656175486</v>
      </c>
      <c r="AA78" s="64">
        <f t="shared" si="240"/>
        <v>0.24301128003923492</v>
      </c>
      <c r="AB78" s="63">
        <f t="shared" si="240"/>
        <v>0.27868852459016391</v>
      </c>
      <c r="AC78" s="63">
        <f t="shared" si="240"/>
        <v>0.24228140466650955</v>
      </c>
      <c r="AD78" s="63">
        <f t="shared" si="240"/>
        <v>0.29313067508882745</v>
      </c>
      <c r="AE78" s="64">
        <f t="shared" si="240"/>
        <v>0.26415482808317892</v>
      </c>
      <c r="AF78" s="63">
        <f t="shared" si="240"/>
        <v>0.28363367069859297</v>
      </c>
      <c r="AG78" s="63">
        <f t="shared" si="240"/>
        <v>0.28755782809836866</v>
      </c>
      <c r="AH78" s="63">
        <f t="shared" si="240"/>
        <v>0.25006122948812148</v>
      </c>
      <c r="AI78" s="64">
        <f t="shared" si="240"/>
        <v>0.24046483909415972</v>
      </c>
      <c r="AJ78" s="65">
        <f t="shared" si="240"/>
        <v>0.16291444944740074</v>
      </c>
      <c r="AK78" s="63">
        <f t="shared" si="240"/>
        <v>0.2576013735785217</v>
      </c>
      <c r="AL78" s="63">
        <f t="shared" si="240"/>
        <v>0.24821610601427116</v>
      </c>
      <c r="AM78" s="64">
        <f t="shared" si="240"/>
        <v>0.26077161362996337</v>
      </c>
      <c r="AN78" s="65">
        <f>AN77/AN71</f>
        <v>0.27715355805243447</v>
      </c>
      <c r="AO78" s="63">
        <f>AO77/AO71</f>
        <v>0.2870984191738909</v>
      </c>
      <c r="AP78" s="63">
        <f>AP77/AP71</f>
        <v>0.27098901098901096</v>
      </c>
      <c r="AQ78" s="64">
        <f t="shared" si="240"/>
        <v>0.21420905773771196</v>
      </c>
      <c r="AR78" s="65">
        <f>AR77/AR71</f>
        <v>0.25472972972972974</v>
      </c>
      <c r="AS78" s="63">
        <f t="shared" ref="AS78:AW78" si="241">AS77/AS71</f>
        <v>9.4546532305868403E-2</v>
      </c>
      <c r="AT78" s="63">
        <f t="shared" si="241"/>
        <v>0.27340739061437314</v>
      </c>
      <c r="AU78" s="64">
        <f t="shared" si="241"/>
        <v>0.16030706705802664</v>
      </c>
      <c r="AV78" s="65">
        <f>AV77/AV71</f>
        <v>0.18430034129692832</v>
      </c>
      <c r="AW78" s="63">
        <f t="shared" si="241"/>
        <v>0.19893527598767161</v>
      </c>
      <c r="AX78" s="63">
        <f t="shared" ref="AX78:BG78" si="242">AX77/AX71</f>
        <v>0.22264452890578115</v>
      </c>
      <c r="AY78" s="64">
        <f t="shared" si="242"/>
        <v>0.19696654892998131</v>
      </c>
      <c r="AZ78" s="65">
        <f>AZ77/AZ71</f>
        <v>0.22308063737324965</v>
      </c>
      <c r="BA78" s="63">
        <f t="shared" ref="BA78:BC78" si="243">BA77/BA71</f>
        <v>0.28623778501628666</v>
      </c>
      <c r="BB78" s="63">
        <f t="shared" si="243"/>
        <v>0.23845428840716307</v>
      </c>
      <c r="BC78" s="64">
        <f t="shared" si="243"/>
        <v>0.21177544500228207</v>
      </c>
      <c r="BD78" s="65">
        <f>BD77/BD71</f>
        <v>0.11733615221987315</v>
      </c>
      <c r="BE78" s="63">
        <f t="shared" si="242"/>
        <v>0.13000000000000003</v>
      </c>
      <c r="BF78" s="63">
        <f t="shared" si="242"/>
        <v>0.13</v>
      </c>
      <c r="BG78" s="1097">
        <f t="shared" si="242"/>
        <v>0.14000000000000001</v>
      </c>
      <c r="BH78" s="65">
        <f t="shared" ref="BH78:BK78" si="244">BH77/BH71</f>
        <v>0.14000000000000001</v>
      </c>
      <c r="BI78" s="63">
        <f t="shared" si="244"/>
        <v>0.14000000000000001</v>
      </c>
      <c r="BJ78" s="63">
        <f t="shared" si="244"/>
        <v>0.14000000000000001</v>
      </c>
      <c r="BK78" s="1097">
        <f t="shared" si="244"/>
        <v>0.14000000000000001</v>
      </c>
      <c r="BL78" s="35"/>
      <c r="BM78" s="63">
        <f t="shared" ref="BM78:BY78" si="245">BM77/BM71</f>
        <v>0.3087395352476332</v>
      </c>
      <c r="BN78" s="63">
        <f t="shared" si="245"/>
        <v>0.27164139041739366</v>
      </c>
      <c r="BO78" s="63">
        <f t="shared" si="245"/>
        <v>0.22953568808301017</v>
      </c>
      <c r="BP78" s="63">
        <f t="shared" si="245"/>
        <v>0.26796613506595784</v>
      </c>
      <c r="BQ78" s="63">
        <f t="shared" si="245"/>
        <v>0.28876221498371335</v>
      </c>
      <c r="BR78" s="63">
        <f t="shared" si="245"/>
        <v>0.29214195183776931</v>
      </c>
      <c r="BS78" s="63">
        <f t="shared" si="245"/>
        <v>0.26960418222554144</v>
      </c>
      <c r="BT78" s="63">
        <f t="shared" si="245"/>
        <v>0.26658972879399884</v>
      </c>
      <c r="BU78" s="63">
        <f t="shared" si="245"/>
        <v>0.23663534375831122</v>
      </c>
      <c r="BV78" s="63">
        <f t="shared" si="245"/>
        <v>0.25998446226882338</v>
      </c>
      <c r="BW78" s="63">
        <f>BW77/BW71</f>
        <v>0.19698167918808487</v>
      </c>
      <c r="BX78" s="63">
        <f t="shared" si="245"/>
        <v>0.20266200915442062</v>
      </c>
      <c r="BY78" s="63">
        <f t="shared" si="245"/>
        <v>0.23825762742690856</v>
      </c>
      <c r="BZ78" s="63">
        <f t="shared" ref="BZ78:CB78" si="246">BZ77/BZ71</f>
        <v>0.12993404985515064</v>
      </c>
      <c r="CA78" s="63">
        <f t="shared" si="246"/>
        <v>0.14000000000000007</v>
      </c>
      <c r="CB78" s="1193">
        <f t="shared" si="246"/>
        <v>0.14000000000000004</v>
      </c>
      <c r="CC78" s="37"/>
      <c r="CD78" s="26"/>
      <c r="CE78" s="26"/>
    </row>
    <row r="79" spans="1:89" ht="14.25" customHeight="1" collapsed="1">
      <c r="A79" s="18"/>
      <c r="B79" s="39"/>
      <c r="C79" s="68"/>
      <c r="D79" s="69"/>
      <c r="E79" s="69"/>
      <c r="F79" s="163"/>
      <c r="G79" s="70"/>
      <c r="H79" s="69"/>
      <c r="I79" s="69"/>
      <c r="J79" s="163"/>
      <c r="K79" s="70"/>
      <c r="L79" s="69"/>
      <c r="M79" s="69"/>
      <c r="N79" s="163"/>
      <c r="O79" s="70"/>
      <c r="P79" s="69"/>
      <c r="Q79" s="69"/>
      <c r="R79" s="163"/>
      <c r="S79" s="70"/>
      <c r="T79" s="69"/>
      <c r="U79" s="69"/>
      <c r="V79" s="163"/>
      <c r="W79" s="70"/>
      <c r="X79" s="69"/>
      <c r="Y79" s="69"/>
      <c r="Z79" s="163"/>
      <c r="AA79" s="70"/>
      <c r="AB79" s="69"/>
      <c r="AC79" s="69"/>
      <c r="AD79" s="163"/>
      <c r="AE79" s="70"/>
      <c r="AF79" s="69"/>
      <c r="AG79" s="69"/>
      <c r="AH79" s="69"/>
      <c r="AI79" s="70"/>
      <c r="AJ79" s="164"/>
      <c r="AK79" s="69"/>
      <c r="AL79" s="69"/>
      <c r="AM79" s="70"/>
      <c r="AN79" s="164"/>
      <c r="AO79" s="69"/>
      <c r="AP79" s="69"/>
      <c r="AQ79" s="70"/>
      <c r="AR79" s="164"/>
      <c r="AS79" s="69"/>
      <c r="AT79" s="69"/>
      <c r="AU79" s="70"/>
      <c r="AV79" s="164"/>
      <c r="AW79" s="69"/>
      <c r="AX79" s="69"/>
      <c r="AY79" s="70"/>
      <c r="AZ79" s="164"/>
      <c r="BA79" s="69"/>
      <c r="BB79" s="69"/>
      <c r="BC79" s="70"/>
      <c r="BD79" s="164"/>
      <c r="BE79" s="69"/>
      <c r="BF79" s="69"/>
      <c r="BG79" s="1118"/>
      <c r="BH79" s="164"/>
      <c r="BI79" s="69"/>
      <c r="BJ79" s="69"/>
      <c r="BK79" s="1118"/>
      <c r="BL79" s="35"/>
      <c r="BM79" s="69"/>
      <c r="BN79" s="69"/>
      <c r="BO79" s="69"/>
      <c r="BP79" s="69"/>
      <c r="BQ79" s="69"/>
      <c r="BR79" s="69"/>
      <c r="BS79" s="69"/>
      <c r="BT79" s="69"/>
      <c r="BU79" s="69"/>
      <c r="BV79" s="69"/>
      <c r="BW79" s="69"/>
      <c r="BX79" s="69"/>
      <c r="BY79" s="69"/>
      <c r="BZ79" s="69"/>
      <c r="CA79" s="69"/>
      <c r="CB79" s="1111"/>
      <c r="CC79" s="37"/>
      <c r="CD79" s="26"/>
      <c r="CE79" s="26"/>
    </row>
    <row r="80" spans="1:89" s="127" customFormat="1" ht="14.25" customHeight="1">
      <c r="A80" s="51"/>
      <c r="B80" s="122" t="s">
        <v>138</v>
      </c>
      <c r="C80" s="123"/>
      <c r="D80" s="124">
        <f t="shared" ref="D80:AR80" si="247">D70-D73</f>
        <v>2178</v>
      </c>
      <c r="E80" s="124">
        <f t="shared" si="247"/>
        <v>2038</v>
      </c>
      <c r="F80" s="124">
        <f t="shared" si="247"/>
        <v>1995</v>
      </c>
      <c r="G80" s="125">
        <f t="shared" si="247"/>
        <v>2453</v>
      </c>
      <c r="H80" s="124">
        <f t="shared" si="247"/>
        <v>1357</v>
      </c>
      <c r="I80" s="124">
        <f t="shared" si="247"/>
        <v>885</v>
      </c>
      <c r="J80" s="124">
        <f t="shared" si="247"/>
        <v>1301</v>
      </c>
      <c r="K80" s="125">
        <f t="shared" si="247"/>
        <v>1501</v>
      </c>
      <c r="L80" s="124">
        <f t="shared" si="247"/>
        <v>1636</v>
      </c>
      <c r="M80" s="124">
        <f t="shared" si="247"/>
        <v>1278</v>
      </c>
      <c r="N80" s="124">
        <f t="shared" si="247"/>
        <v>1791</v>
      </c>
      <c r="O80" s="125">
        <f t="shared" si="247"/>
        <v>2271</v>
      </c>
      <c r="P80" s="124">
        <f t="shared" si="247"/>
        <v>1443</v>
      </c>
      <c r="Q80" s="124">
        <f t="shared" si="247"/>
        <v>1601</v>
      </c>
      <c r="R80" s="124">
        <f t="shared" si="247"/>
        <v>2014</v>
      </c>
      <c r="S80" s="125">
        <f t="shared" si="247"/>
        <v>234</v>
      </c>
      <c r="T80" s="124">
        <f t="shared" si="247"/>
        <v>629</v>
      </c>
      <c r="U80" s="124">
        <f t="shared" si="247"/>
        <v>-398</v>
      </c>
      <c r="V80" s="124">
        <f t="shared" si="247"/>
        <v>1856</v>
      </c>
      <c r="W80" s="125">
        <f t="shared" si="247"/>
        <v>2282</v>
      </c>
      <c r="X80" s="124">
        <f t="shared" si="247"/>
        <v>2442</v>
      </c>
      <c r="Y80" s="124">
        <f t="shared" si="247"/>
        <v>2887</v>
      </c>
      <c r="Z80" s="124">
        <f t="shared" si="247"/>
        <v>2955</v>
      </c>
      <c r="AA80" s="125">
        <f t="shared" si="247"/>
        <v>3180</v>
      </c>
      <c r="AB80" s="124">
        <f t="shared" si="247"/>
        <v>3160</v>
      </c>
      <c r="AC80" s="124">
        <f t="shared" si="247"/>
        <v>2954</v>
      </c>
      <c r="AD80" s="124">
        <f t="shared" si="247"/>
        <v>3468</v>
      </c>
      <c r="AE80" s="125">
        <f t="shared" si="247"/>
        <v>3360</v>
      </c>
      <c r="AF80" s="124">
        <f t="shared" si="247"/>
        <v>2738</v>
      </c>
      <c r="AG80" s="124">
        <f t="shared" si="247"/>
        <v>2827</v>
      </c>
      <c r="AH80" s="124">
        <f t="shared" si="247"/>
        <v>2972</v>
      </c>
      <c r="AI80" s="125">
        <f t="shared" si="247"/>
        <v>2468</v>
      </c>
      <c r="AJ80" s="126">
        <f t="shared" si="247"/>
        <v>2045</v>
      </c>
      <c r="AK80" s="124">
        <f t="shared" si="247"/>
        <v>2000</v>
      </c>
      <c r="AL80" s="124">
        <f t="shared" si="247"/>
        <v>2950</v>
      </c>
      <c r="AM80" s="125">
        <f>AM70-AM73</f>
        <v>2625</v>
      </c>
      <c r="AN80" s="126">
        <f>AN70-AN73</f>
        <v>1930</v>
      </c>
      <c r="AO80" s="124">
        <f>AO70-AO73</f>
        <v>2796</v>
      </c>
      <c r="AP80" s="124">
        <f>AP70-AP73</f>
        <v>3317</v>
      </c>
      <c r="AQ80" s="125">
        <f t="shared" si="247"/>
        <v>3661</v>
      </c>
      <c r="AR80" s="126">
        <f t="shared" si="247"/>
        <v>1992</v>
      </c>
      <c r="AS80" s="124">
        <f t="shared" ref="AS80:AW80" si="248">AS70-AS73</f>
        <v>2706</v>
      </c>
      <c r="AT80" s="124">
        <f t="shared" si="248"/>
        <v>3109</v>
      </c>
      <c r="AU80" s="125">
        <f>AU70-AU73</f>
        <v>3613</v>
      </c>
      <c r="AV80" s="126">
        <f t="shared" si="248"/>
        <v>2046</v>
      </c>
      <c r="AW80" s="124">
        <f t="shared" si="248"/>
        <v>1330</v>
      </c>
      <c r="AX80" s="124">
        <f>AX70-AX73</f>
        <v>3378</v>
      </c>
      <c r="AY80" s="125">
        <f>AY70-AY73</f>
        <v>3562</v>
      </c>
      <c r="AZ80" s="126">
        <f t="shared" ref="AZ80:BA80" si="249">AZ70-AZ73</f>
        <v>2964</v>
      </c>
      <c r="BA80" s="124">
        <f t="shared" si="249"/>
        <v>2808</v>
      </c>
      <c r="BB80" s="124">
        <f>BB70-BB73</f>
        <v>4516</v>
      </c>
      <c r="BC80" s="125">
        <f>BC70-BC73</f>
        <v>-687</v>
      </c>
      <c r="BD80" s="126">
        <f t="shared" ref="BD80" si="250">BD70-BD73</f>
        <v>4454</v>
      </c>
      <c r="BE80" s="124">
        <f t="shared" ref="BE80:BG80" si="251">BE70-BE73</f>
        <v>4048.8951242790522</v>
      </c>
      <c r="BF80" s="124">
        <f t="shared" si="251"/>
        <v>4941.6620506331892</v>
      </c>
      <c r="BG80" s="1104">
        <f t="shared" si="251"/>
        <v>4997.9195152561224</v>
      </c>
      <c r="BH80" s="126">
        <f t="shared" ref="BH80:BK80" si="252">BH70-BH73</f>
        <v>4084.5012745795202</v>
      </c>
      <c r="BI80" s="124">
        <f t="shared" si="252"/>
        <v>4159.8420236439406</v>
      </c>
      <c r="BJ80" s="124">
        <f t="shared" si="252"/>
        <v>4946.2645798349222</v>
      </c>
      <c r="BK80" s="1104">
        <f t="shared" si="252"/>
        <v>5167.0605674697526</v>
      </c>
      <c r="BL80" s="95"/>
      <c r="BM80" s="124">
        <f t="shared" ref="BM80:BY80" si="253">BM70-BM73</f>
        <v>8664</v>
      </c>
      <c r="BN80" s="124">
        <f t="shared" si="253"/>
        <v>5044</v>
      </c>
      <c r="BO80" s="124">
        <f t="shared" si="253"/>
        <v>6976</v>
      </c>
      <c r="BP80" s="124">
        <f t="shared" si="253"/>
        <v>5292</v>
      </c>
      <c r="BQ80" s="124">
        <f t="shared" si="253"/>
        <v>4369</v>
      </c>
      <c r="BR80" s="124">
        <f t="shared" si="253"/>
        <v>11464</v>
      </c>
      <c r="BS80" s="124">
        <f t="shared" si="253"/>
        <v>12942</v>
      </c>
      <c r="BT80" s="124">
        <f t="shared" si="253"/>
        <v>11005</v>
      </c>
      <c r="BU80" s="124">
        <f t="shared" si="253"/>
        <v>9620</v>
      </c>
      <c r="BV80" s="124">
        <f t="shared" si="253"/>
        <v>11704</v>
      </c>
      <c r="BW80" s="124">
        <f>BW70-BW73</f>
        <v>11420</v>
      </c>
      <c r="BX80" s="124">
        <f>BX70-BX73</f>
        <v>10316</v>
      </c>
      <c r="BY80" s="124">
        <f t="shared" si="253"/>
        <v>9601</v>
      </c>
      <c r="BZ80" s="124">
        <f t="shared" ref="BZ80:CB80" si="254">BZ70-BZ73</f>
        <v>18442.476690168369</v>
      </c>
      <c r="CA80" s="124">
        <f t="shared" si="254"/>
        <v>18357.668445528128</v>
      </c>
      <c r="CB80" s="1104">
        <f t="shared" si="254"/>
        <v>18709.190610168498</v>
      </c>
      <c r="CC80" s="99"/>
      <c r="CD80" s="100"/>
      <c r="CE80" s="100"/>
      <c r="CF80"/>
      <c r="CG80"/>
      <c r="CH80"/>
      <c r="CI80"/>
      <c r="CJ80"/>
      <c r="CK80"/>
    </row>
    <row r="81" spans="1:89" ht="14.25" customHeight="1">
      <c r="A81" s="18"/>
      <c r="B81" s="54" t="s">
        <v>139</v>
      </c>
      <c r="C81" s="62"/>
      <c r="D81" s="63">
        <f t="shared" ref="D81:AR81" si="255">D80/D$8</f>
        <v>0.23086707653169386</v>
      </c>
      <c r="E81" s="63">
        <f t="shared" si="255"/>
        <v>0.22077781388798615</v>
      </c>
      <c r="F81" s="63">
        <f t="shared" si="255"/>
        <v>0.2003012048192771</v>
      </c>
      <c r="G81" s="64">
        <f t="shared" si="255"/>
        <v>0.2404666209195177</v>
      </c>
      <c r="H81" s="63">
        <f t="shared" si="255"/>
        <v>0.15178970917225951</v>
      </c>
      <c r="I81" s="63">
        <f t="shared" si="255"/>
        <v>0.11050068672743164</v>
      </c>
      <c r="J81" s="63">
        <f t="shared" si="255"/>
        <v>0.14887286874928482</v>
      </c>
      <c r="K81" s="64">
        <f t="shared" si="255"/>
        <v>0.15483804415102126</v>
      </c>
      <c r="L81" s="63">
        <f t="shared" si="255"/>
        <v>0.18481699051061906</v>
      </c>
      <c r="M81" s="63">
        <f t="shared" si="255"/>
        <v>0.14723502304147465</v>
      </c>
      <c r="N81" s="63">
        <f t="shared" si="255"/>
        <v>0.17750247770069374</v>
      </c>
      <c r="O81" s="64">
        <f t="shared" si="255"/>
        <v>0.21200522778192682</v>
      </c>
      <c r="P81" s="63">
        <f t="shared" si="255"/>
        <v>0.14917812467693581</v>
      </c>
      <c r="Q81" s="63">
        <f t="shared" si="255"/>
        <v>0.16906019007391762</v>
      </c>
      <c r="R81" s="63">
        <f t="shared" si="255"/>
        <v>0.19712244298717824</v>
      </c>
      <c r="S81" s="64">
        <f t="shared" si="255"/>
        <v>2.8446389496717725E-2</v>
      </c>
      <c r="T81" s="63">
        <f t="shared" si="255"/>
        <v>8.8033589923023098E-2</v>
      </c>
      <c r="U81" s="63">
        <f t="shared" si="255"/>
        <v>-4.9601196410767698E-2</v>
      </c>
      <c r="V81" s="63">
        <f t="shared" si="255"/>
        <v>0.19767813398658005</v>
      </c>
      <c r="W81" s="64">
        <f t="shared" si="255"/>
        <v>0.21591446683697607</v>
      </c>
      <c r="X81" s="63">
        <f t="shared" si="255"/>
        <v>0.23711039906787068</v>
      </c>
      <c r="Y81" s="63">
        <f t="shared" si="255"/>
        <v>0.26818392940083602</v>
      </c>
      <c r="Z81" s="63">
        <f t="shared" si="255"/>
        <v>0.26616825797153665</v>
      </c>
      <c r="AA81" s="64">
        <f t="shared" si="255"/>
        <v>0.27755957056821157</v>
      </c>
      <c r="AB81" s="63">
        <f t="shared" si="255"/>
        <v>0.24597182221530317</v>
      </c>
      <c r="AC81" s="63">
        <f>AC80/AC$8</f>
        <v>0.22667280540208717</v>
      </c>
      <c r="AD81" s="63">
        <f>AD80/AD$8</f>
        <v>0.24365910208669991</v>
      </c>
      <c r="AE81" s="64">
        <f t="shared" si="255"/>
        <v>0.24195290559516094</v>
      </c>
      <c r="AF81" s="63">
        <f t="shared" si="255"/>
        <v>0.21214938788160545</v>
      </c>
      <c r="AG81" s="63">
        <f t="shared" si="255"/>
        <v>0.20939189689652618</v>
      </c>
      <c r="AH81" s="63">
        <f t="shared" si="255"/>
        <v>0.22085160139704244</v>
      </c>
      <c r="AI81" s="64">
        <f t="shared" si="255"/>
        <v>0.18312680863693701</v>
      </c>
      <c r="AJ81" s="65">
        <f t="shared" si="255"/>
        <v>0.16255961844197139</v>
      </c>
      <c r="AK81" s="63">
        <f t="shared" si="255"/>
        <v>0.15611583795176021</v>
      </c>
      <c r="AL81" s="63">
        <f t="shared" si="255"/>
        <v>0.21879403693540014</v>
      </c>
      <c r="AM81" s="64">
        <f t="shared" si="255"/>
        <v>0.18974989157149053</v>
      </c>
      <c r="AN81" s="65">
        <f>AN80/AN$8</f>
        <v>0.15120651833281104</v>
      </c>
      <c r="AO81" s="63">
        <f>AO80/AO$8</f>
        <v>0.20215458029065145</v>
      </c>
      <c r="AP81" s="63">
        <f>AP80/AP$8</f>
        <v>0.22790985296138519</v>
      </c>
      <c r="AQ81" s="64">
        <f t="shared" si="255"/>
        <v>0.24869234427009035</v>
      </c>
      <c r="AR81" s="65">
        <f t="shared" si="255"/>
        <v>0.15585634926844535</v>
      </c>
      <c r="AS81" s="63">
        <f t="shared" ref="AS81:AW81" si="256">AS80/AS$8</f>
        <v>0.2050776809397499</v>
      </c>
      <c r="AT81" s="63">
        <f t="shared" si="256"/>
        <v>0.21493259592118907</v>
      </c>
      <c r="AU81" s="64">
        <f t="shared" si="256"/>
        <v>0.24225559876625988</v>
      </c>
      <c r="AV81" s="65">
        <f t="shared" si="256"/>
        <v>0.14932126696832579</v>
      </c>
      <c r="AW81" s="63">
        <f t="shared" si="256"/>
        <v>9.8278282716323065E-2</v>
      </c>
      <c r="AX81" s="63">
        <f t="shared" ref="AX81:BA81" si="257">AX80/AX$8</f>
        <v>0.21409557611864621</v>
      </c>
      <c r="AY81" s="64">
        <f t="shared" si="257"/>
        <v>0.21754000244289728</v>
      </c>
      <c r="AZ81" s="65">
        <f t="shared" si="257"/>
        <v>0.20032441200324411</v>
      </c>
      <c r="BA81" s="63">
        <f t="shared" si="257"/>
        <v>0.19020524283682178</v>
      </c>
      <c r="BB81" s="63">
        <f t="shared" ref="BB81:BD81" si="258">BB80/BB$8</f>
        <v>0.27964579850145521</v>
      </c>
      <c r="BC81" s="64">
        <f t="shared" si="258"/>
        <v>-4.0286166656893219E-2</v>
      </c>
      <c r="BD81" s="65">
        <f t="shared" si="258"/>
        <v>0.27723142039088761</v>
      </c>
      <c r="BE81" s="63">
        <f t="shared" ref="BE81:BG81" si="259">BE80/BE$8</f>
        <v>0.24823992815242596</v>
      </c>
      <c r="BF81" s="63">
        <f t="shared" si="259"/>
        <v>0.28154846449488946</v>
      </c>
      <c r="BG81" s="1097">
        <f t="shared" si="259"/>
        <v>0.28135474130346516</v>
      </c>
      <c r="BH81" s="65">
        <f t="shared" ref="BH81:BK81" si="260">BH80/BH$8</f>
        <v>0.25320312198482153</v>
      </c>
      <c r="BI81" s="63">
        <f t="shared" si="260"/>
        <v>0.25232235751513493</v>
      </c>
      <c r="BJ81" s="63">
        <f t="shared" si="260"/>
        <v>0.27520340626516354</v>
      </c>
      <c r="BK81" s="1097">
        <f t="shared" si="260"/>
        <v>0.28199985409584294</v>
      </c>
      <c r="BL81" s="35"/>
      <c r="BM81" s="63">
        <f t="shared" ref="BM81:BY81" si="261">BM80/BM$8</f>
        <v>0.22314943594498532</v>
      </c>
      <c r="BN81" s="63">
        <f t="shared" si="261"/>
        <v>0.14255836300943983</v>
      </c>
      <c r="BO81" s="63">
        <f t="shared" si="261"/>
        <v>0.18197944383575937</v>
      </c>
      <c r="BP81" s="63">
        <f t="shared" si="261"/>
        <v>0.14079710530516681</v>
      </c>
      <c r="BQ81" s="63">
        <f t="shared" si="261"/>
        <v>0.12437725965781307</v>
      </c>
      <c r="BR81" s="63">
        <f t="shared" si="261"/>
        <v>0.26279714829333151</v>
      </c>
      <c r="BS81" s="63">
        <f t="shared" si="261"/>
        <v>0.23967110502046335</v>
      </c>
      <c r="BT81" s="63">
        <f t="shared" si="261"/>
        <v>0.20631409234922479</v>
      </c>
      <c r="BU81" s="63">
        <f t="shared" si="261"/>
        <v>0.18251498823707976</v>
      </c>
      <c r="BV81" s="63">
        <f t="shared" si="261"/>
        <v>0.20948630749955252</v>
      </c>
      <c r="BW81" s="63">
        <f>BW80/BW$8</f>
        <v>0.20630476018426519</v>
      </c>
      <c r="BX81" s="63">
        <f t="shared" si="261"/>
        <v>0.17370805058346103</v>
      </c>
      <c r="BY81" s="63">
        <f t="shared" si="261"/>
        <v>0.15297716734914996</v>
      </c>
      <c r="BZ81" s="63">
        <f t="shared" ref="BZ81:CB81" si="262">BZ80/BZ$8</f>
        <v>0.27244730538268547</v>
      </c>
      <c r="CA81" s="63">
        <f t="shared" si="262"/>
        <v>0.26638678565314367</v>
      </c>
      <c r="CB81" s="1193">
        <f t="shared" si="262"/>
        <v>0.26879970109209289</v>
      </c>
      <c r="CC81" s="37"/>
      <c r="CD81" s="26"/>
      <c r="CE81" s="26"/>
    </row>
    <row r="82" spans="1:89" ht="14.25" customHeight="1">
      <c r="A82" s="18"/>
      <c r="B82" s="54"/>
      <c r="C82" s="62"/>
      <c r="D82" s="63"/>
      <c r="E82" s="63"/>
      <c r="F82" s="63"/>
      <c r="G82" s="64"/>
      <c r="H82" s="63"/>
      <c r="I82" s="63"/>
      <c r="J82" s="63"/>
      <c r="K82" s="64"/>
      <c r="L82" s="63"/>
      <c r="M82" s="63"/>
      <c r="N82" s="63"/>
      <c r="O82" s="64"/>
      <c r="P82" s="63"/>
      <c r="Q82" s="63"/>
      <c r="R82" s="63"/>
      <c r="S82" s="64"/>
      <c r="T82" s="63"/>
      <c r="U82" s="63"/>
      <c r="V82" s="63"/>
      <c r="W82" s="64"/>
      <c r="X82" s="63"/>
      <c r="Y82" s="63"/>
      <c r="Z82" s="63"/>
      <c r="AA82" s="64"/>
      <c r="AB82" s="63"/>
      <c r="AC82" s="63"/>
      <c r="AD82" s="63"/>
      <c r="AE82" s="64"/>
      <c r="AF82" s="63"/>
      <c r="AG82" s="63"/>
      <c r="AH82" s="63"/>
      <c r="AI82" s="64"/>
      <c r="AJ82" s="65"/>
      <c r="AK82" s="63"/>
      <c r="AL82" s="63"/>
      <c r="AM82" s="64"/>
      <c r="AN82" s="65"/>
      <c r="AO82" s="63"/>
      <c r="AP82" s="63"/>
      <c r="AQ82" s="64"/>
      <c r="AR82" s="65"/>
      <c r="AS82" s="63"/>
      <c r="AT82" s="63"/>
      <c r="AU82" s="64"/>
      <c r="AV82" s="65"/>
      <c r="AW82" s="63"/>
      <c r="AX82" s="63"/>
      <c r="AY82" s="64"/>
      <c r="AZ82" s="65"/>
      <c r="BA82" s="63"/>
      <c r="BB82" s="63"/>
      <c r="BC82" s="64"/>
      <c r="BD82" s="65"/>
      <c r="BE82" s="63"/>
      <c r="BF82" s="63"/>
      <c r="BG82" s="1097"/>
      <c r="BH82" s="65"/>
      <c r="BI82" s="63"/>
      <c r="BJ82" s="63"/>
      <c r="BK82" s="1097"/>
      <c r="BL82" s="35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1193"/>
      <c r="CC82" s="37"/>
      <c r="CD82" s="26"/>
      <c r="CE82" s="26"/>
    </row>
    <row r="83" spans="1:89" s="14" customFormat="1" ht="14.25" hidden="1" customHeight="1" outlineLevel="1">
      <c r="A83" s="18"/>
      <c r="B83" s="39" t="s">
        <v>140</v>
      </c>
      <c r="C83" s="68"/>
      <c r="D83" s="96">
        <f t="shared" ref="D83:AM83" si="263">(D19-D65+D20+D33+D41+D46+D47+D48-D66)</f>
        <v>34</v>
      </c>
      <c r="E83" s="96">
        <f t="shared" si="263"/>
        <v>58</v>
      </c>
      <c r="F83" s="96">
        <f t="shared" si="263"/>
        <v>31</v>
      </c>
      <c r="G83" s="98">
        <f t="shared" si="263"/>
        <v>48</v>
      </c>
      <c r="H83" s="96">
        <f t="shared" si="263"/>
        <v>17</v>
      </c>
      <c r="I83" s="96">
        <f t="shared" si="263"/>
        <v>-27</v>
      </c>
      <c r="J83" s="96">
        <f t="shared" si="263"/>
        <v>-62</v>
      </c>
      <c r="K83" s="98">
        <f t="shared" si="263"/>
        <v>455</v>
      </c>
      <c r="L83" s="96">
        <f t="shared" si="263"/>
        <v>46</v>
      </c>
      <c r="M83" s="96">
        <f t="shared" si="263"/>
        <v>83</v>
      </c>
      <c r="N83" s="96">
        <f t="shared" si="263"/>
        <v>-86</v>
      </c>
      <c r="O83" s="98">
        <f t="shared" si="263"/>
        <v>332</v>
      </c>
      <c r="P83" s="96">
        <f t="shared" si="263"/>
        <v>388</v>
      </c>
      <c r="Q83" s="96">
        <f t="shared" si="263"/>
        <v>205</v>
      </c>
      <c r="R83" s="96">
        <f t="shared" si="263"/>
        <v>431</v>
      </c>
      <c r="S83" s="98">
        <f t="shared" si="263"/>
        <v>1448</v>
      </c>
      <c r="T83" s="96">
        <f t="shared" si="263"/>
        <v>187</v>
      </c>
      <c r="U83" s="96">
        <f t="shared" si="263"/>
        <v>160</v>
      </c>
      <c r="V83" s="96">
        <f t="shared" si="263"/>
        <v>154</v>
      </c>
      <c r="W83" s="98">
        <f t="shared" si="263"/>
        <v>-65</v>
      </c>
      <c r="X83" s="96">
        <f t="shared" si="263"/>
        <v>50</v>
      </c>
      <c r="Y83" s="96">
        <f t="shared" si="263"/>
        <v>-173</v>
      </c>
      <c r="Z83" s="96">
        <f t="shared" si="263"/>
        <v>-57</v>
      </c>
      <c r="AA83" s="98">
        <f t="shared" si="263"/>
        <v>-85</v>
      </c>
      <c r="AB83" s="96">
        <f t="shared" si="263"/>
        <v>143</v>
      </c>
      <c r="AC83" s="96">
        <f t="shared" si="263"/>
        <v>312</v>
      </c>
      <c r="AD83" s="96">
        <f t="shared" si="263"/>
        <v>174</v>
      </c>
      <c r="AE83" s="98">
        <f t="shared" si="263"/>
        <v>270</v>
      </c>
      <c r="AF83" s="96">
        <f t="shared" si="263"/>
        <v>211</v>
      </c>
      <c r="AG83" s="96">
        <f t="shared" si="263"/>
        <v>122</v>
      </c>
      <c r="AH83" s="96">
        <f t="shared" si="263"/>
        <v>144</v>
      </c>
      <c r="AI83" s="98">
        <f t="shared" si="263"/>
        <v>160</v>
      </c>
      <c r="AJ83" s="97">
        <f t="shared" si="263"/>
        <v>232.5</v>
      </c>
      <c r="AK83" s="96">
        <f t="shared" si="263"/>
        <v>195.5</v>
      </c>
      <c r="AL83" s="96">
        <f t="shared" si="263"/>
        <v>-120.5</v>
      </c>
      <c r="AM83" s="98">
        <f t="shared" si="263"/>
        <v>289.5</v>
      </c>
      <c r="AN83" s="97">
        <f>(AN19+AN20+AN33+AN41+AN46+AN47+AN48-AN66)</f>
        <v>290</v>
      </c>
      <c r="AO83" s="96">
        <f t="shared" ref="AO83:AQ83" si="264">(AO19+AO20+AO33+AO41+AO46+AO47+AO48-AO66)</f>
        <v>186</v>
      </c>
      <c r="AP83" s="96">
        <f t="shared" si="264"/>
        <v>190</v>
      </c>
      <c r="AQ83" s="98">
        <f t="shared" si="264"/>
        <v>24</v>
      </c>
      <c r="AR83" s="97">
        <f t="shared" ref="AR83:AU83" si="265">(AR19+AR20+AR33+AR41+AR46+AR47+AR48)</f>
        <v>287</v>
      </c>
      <c r="AS83" s="96">
        <f t="shared" si="265"/>
        <v>391</v>
      </c>
      <c r="AT83" s="96">
        <f t="shared" si="265"/>
        <v>158</v>
      </c>
      <c r="AU83" s="98">
        <f t="shared" si="265"/>
        <v>126</v>
      </c>
      <c r="AV83" s="97">
        <f>(AV19+AV20+AV33+AV41+AV46+AV47+AV48)</f>
        <v>715</v>
      </c>
      <c r="AW83" s="96">
        <f>(AW19+AW20+AW33+AW41+AW46+AW47+AW48)</f>
        <v>1899</v>
      </c>
      <c r="AX83" s="96">
        <f>(AX19+AX20+AX33+AX41+AX46+AX47+AX48)</f>
        <v>681</v>
      </c>
      <c r="AY83" s="98">
        <f t="shared" ref="AY83:BG83" si="266">(AY19+AY20+AY33+AY41+AY46+AY47+AY48)</f>
        <v>373</v>
      </c>
      <c r="AZ83" s="97">
        <f>(AZ19+AZ20+AZ33+AZ41+AZ46+AZ47+AZ48)</f>
        <v>327</v>
      </c>
      <c r="BA83" s="96">
        <f>(BA19+BA20+BA33+BA41+BA46+BA47+BA48)</f>
        <v>340</v>
      </c>
      <c r="BB83" s="96">
        <f>(BB19+BB20+BB33+BB41+BB46+BB47+BB48)</f>
        <v>436</v>
      </c>
      <c r="BC83" s="98">
        <f t="shared" ref="BC83" si="267">(BC19+BC20+BC33+BC41+BC46+BC47+BC48)</f>
        <v>538</v>
      </c>
      <c r="BD83" s="97">
        <f>(BD19+BD20+BD33+BD41+BD46+BD47+BD48+BD67)</f>
        <v>-281</v>
      </c>
      <c r="BE83" s="96">
        <f t="shared" si="266"/>
        <v>40</v>
      </c>
      <c r="BF83" s="96">
        <f t="shared" si="266"/>
        <v>40</v>
      </c>
      <c r="BG83" s="1093">
        <f t="shared" si="266"/>
        <v>40</v>
      </c>
      <c r="BH83" s="97">
        <f t="shared" ref="BH83:BK83" si="268">(BH19+BH20+BH33+BH41+BH46+BH47+BH48)</f>
        <v>40</v>
      </c>
      <c r="BI83" s="96">
        <f t="shared" si="268"/>
        <v>40</v>
      </c>
      <c r="BJ83" s="96">
        <f t="shared" si="268"/>
        <v>40</v>
      </c>
      <c r="BK83" s="1093">
        <f t="shared" si="268"/>
        <v>40</v>
      </c>
      <c r="BL83" s="95"/>
      <c r="BM83" s="96">
        <f t="shared" ref="BM83:BU83" si="269">(BM19-BM65+BM20+BM33+BM41+BM46+BM47+BM48-BM66)</f>
        <v>171</v>
      </c>
      <c r="BN83" s="96">
        <f t="shared" si="269"/>
        <v>383</v>
      </c>
      <c r="BO83" s="96">
        <f t="shared" si="269"/>
        <v>375</v>
      </c>
      <c r="BP83" s="96">
        <f t="shared" si="269"/>
        <v>2472</v>
      </c>
      <c r="BQ83" s="96">
        <f t="shared" si="269"/>
        <v>436</v>
      </c>
      <c r="BR83" s="96">
        <f t="shared" si="269"/>
        <v>-265</v>
      </c>
      <c r="BS83" s="96">
        <f t="shared" ref="BS83:BT83" si="270">(BS19+BS20+BS33+BS41+BS46+BS47+BS48-BS66)</f>
        <v>965</v>
      </c>
      <c r="BT83" s="96">
        <f t="shared" si="270"/>
        <v>724</v>
      </c>
      <c r="BU83" s="96">
        <f t="shared" si="269"/>
        <v>597</v>
      </c>
      <c r="BV83" s="96">
        <f>(BV19+BV20+BV33+BV41+BV46+BV47+BV48-BV66)</f>
        <v>690</v>
      </c>
      <c r="BW83" s="107">
        <f>(BW19+BW20+BW33+BW41+BW46+BW47+BW48)</f>
        <v>962</v>
      </c>
      <c r="BX83" s="107">
        <f>(BX19+BX20+BX33+BX41+BX46+BX47+BX48)</f>
        <v>3668</v>
      </c>
      <c r="BY83" s="107">
        <f t="shared" ref="BY83" si="271">(BY19+BY20+BY33+BY41+BY46+BY47+BY48)</f>
        <v>1641</v>
      </c>
      <c r="BZ83" s="107">
        <f>(BZ19+BZ20+BZ33+BZ41+BZ46+BZ47+BZ48+BZ67)</f>
        <v>-161</v>
      </c>
      <c r="CA83" s="107">
        <f t="shared" ref="CA83:CB83" si="272">(CA19+CA20+CA33+CA41+CA46+CA47+CA48)</f>
        <v>160</v>
      </c>
      <c r="CB83" s="1094">
        <f t="shared" si="272"/>
        <v>160</v>
      </c>
      <c r="CC83" s="37"/>
      <c r="CD83" s="26"/>
      <c r="CE83" s="26"/>
      <c r="CF83"/>
      <c r="CG83"/>
      <c r="CH83"/>
      <c r="CI83"/>
      <c r="CJ83"/>
      <c r="CK83"/>
    </row>
    <row r="84" spans="1:89" s="169" customFormat="1" ht="14.25" hidden="1" customHeight="1" outlineLevel="1">
      <c r="A84" s="166"/>
      <c r="B84" s="78" t="s">
        <v>141</v>
      </c>
      <c r="C84" s="144"/>
      <c r="D84" s="84">
        <f t="shared" ref="D84:AH84" si="273">+D76</f>
        <v>0</v>
      </c>
      <c r="E84" s="84">
        <f t="shared" si="273"/>
        <v>0</v>
      </c>
      <c r="F84" s="84">
        <f t="shared" si="273"/>
        <v>0</v>
      </c>
      <c r="G84" s="86">
        <f t="shared" si="273"/>
        <v>0</v>
      </c>
      <c r="H84" s="84">
        <f t="shared" si="273"/>
        <v>0</v>
      </c>
      <c r="I84" s="84">
        <f t="shared" si="273"/>
        <v>0</v>
      </c>
      <c r="J84" s="84">
        <f t="shared" si="273"/>
        <v>0</v>
      </c>
      <c r="K84" s="86">
        <f t="shared" si="273"/>
        <v>0</v>
      </c>
      <c r="L84" s="84">
        <f t="shared" si="273"/>
        <v>0</v>
      </c>
      <c r="M84" s="84">
        <f t="shared" si="273"/>
        <v>0</v>
      </c>
      <c r="N84" s="84">
        <f t="shared" si="273"/>
        <v>0</v>
      </c>
      <c r="O84" s="86">
        <f t="shared" si="273"/>
        <v>0</v>
      </c>
      <c r="P84" s="84">
        <f t="shared" si="273"/>
        <v>0</v>
      </c>
      <c r="Q84" s="84">
        <f t="shared" si="273"/>
        <v>0</v>
      </c>
      <c r="R84" s="84">
        <f t="shared" si="273"/>
        <v>0</v>
      </c>
      <c r="S84" s="86">
        <f t="shared" si="273"/>
        <v>-328</v>
      </c>
      <c r="T84" s="84">
        <f t="shared" si="273"/>
        <v>0</v>
      </c>
      <c r="U84" s="84">
        <f t="shared" si="273"/>
        <v>0</v>
      </c>
      <c r="V84" s="84">
        <f t="shared" si="273"/>
        <v>0</v>
      </c>
      <c r="W84" s="86">
        <f t="shared" si="273"/>
        <v>-438</v>
      </c>
      <c r="X84" s="84">
        <f t="shared" si="273"/>
        <v>-7</v>
      </c>
      <c r="Y84" s="84">
        <f t="shared" si="273"/>
        <v>-7</v>
      </c>
      <c r="Z84" s="84">
        <f t="shared" si="273"/>
        <v>-7</v>
      </c>
      <c r="AA84" s="86">
        <f t="shared" si="273"/>
        <v>-8</v>
      </c>
      <c r="AB84" s="84">
        <f t="shared" si="273"/>
        <v>-47</v>
      </c>
      <c r="AC84" s="84">
        <f t="shared" si="273"/>
        <v>-51</v>
      </c>
      <c r="AD84" s="84">
        <f t="shared" si="273"/>
        <v>-61</v>
      </c>
      <c r="AE84" s="86">
        <f t="shared" si="273"/>
        <v>-56</v>
      </c>
      <c r="AF84" s="84">
        <f t="shared" si="273"/>
        <v>-73</v>
      </c>
      <c r="AG84" s="84">
        <f t="shared" si="273"/>
        <v>-74</v>
      </c>
      <c r="AH84" s="84">
        <f t="shared" si="273"/>
        <v>-72</v>
      </c>
      <c r="AI84" s="86">
        <f>+AI76</f>
        <v>-71</v>
      </c>
      <c r="AJ84" s="576">
        <f t="shared" ref="AJ84:AQ84" si="274">-AJ74*AJ83</f>
        <v>-37.87760949652067</v>
      </c>
      <c r="AK84" s="575">
        <f t="shared" si="274"/>
        <v>-50.308763460824352</v>
      </c>
      <c r="AL84" s="575">
        <f>-AL74*AL83</f>
        <v>29.910040774719675</v>
      </c>
      <c r="AM84" s="575">
        <f>-AM74*AM83</f>
        <v>-75.493382145874392</v>
      </c>
      <c r="AN84" s="576">
        <f>-AN74*AN83</f>
        <v>-80.374531835206</v>
      </c>
      <c r="AO84" s="575">
        <f>-AO74*AO83</f>
        <v>-53.400305966343709</v>
      </c>
      <c r="AP84" s="575">
        <f>-AP74*AP83</f>
        <v>-51.487912087912093</v>
      </c>
      <c r="AQ84" s="575">
        <f t="shared" si="274"/>
        <v>-5.1410173857050872</v>
      </c>
      <c r="AR84" s="576">
        <v>-73</v>
      </c>
      <c r="AS84" s="575">
        <v>-42</v>
      </c>
      <c r="AT84" s="575">
        <v>-62</v>
      </c>
      <c r="AU84" s="575">
        <v>-20</v>
      </c>
      <c r="AV84" s="1143">
        <v>-132</v>
      </c>
      <c r="AW84" s="1144">
        <v>-370</v>
      </c>
      <c r="AX84" s="1144">
        <v>-173</v>
      </c>
      <c r="AY84" s="1144">
        <v>-70</v>
      </c>
      <c r="AZ84" s="1143">
        <v>-73</v>
      </c>
      <c r="BA84" s="1144">
        <f>745-387</f>
        <v>358</v>
      </c>
      <c r="BB84" s="1144">
        <v>-104</v>
      </c>
      <c r="BC84" s="1144">
        <f>5444-114</f>
        <v>5330</v>
      </c>
      <c r="BD84" s="1143">
        <v>2</v>
      </c>
      <c r="BE84" s="575">
        <f t="shared" ref="BE84:BF84" si="275">-BE74*BE83</f>
        <v>-5.2</v>
      </c>
      <c r="BF84" s="575">
        <f t="shared" si="275"/>
        <v>-5.2</v>
      </c>
      <c r="BG84" s="1099">
        <f>-BG74*BG83</f>
        <v>-5.6000000000000005</v>
      </c>
      <c r="BH84" s="576">
        <f t="shared" ref="BH84:BJ84" si="276">-BH74*BH83</f>
        <v>-5.6000000000000005</v>
      </c>
      <c r="BI84" s="575">
        <f t="shared" si="276"/>
        <v>-5.6000000000000005</v>
      </c>
      <c r="BJ84" s="575">
        <f t="shared" si="276"/>
        <v>-5.6000000000000005</v>
      </c>
      <c r="BK84" s="1099">
        <f>-BK74*BK83</f>
        <v>-5.6000000000000005</v>
      </c>
      <c r="BL84" s="167"/>
      <c r="BM84" s="84">
        <f>SUM(D84:G84)</f>
        <v>0</v>
      </c>
      <c r="BN84" s="84">
        <f>SUM(H84:K84)</f>
        <v>0</v>
      </c>
      <c r="BO84" s="84">
        <f>SUM(L84:O84)</f>
        <v>0</v>
      </c>
      <c r="BP84" s="84">
        <f>SUM(P84:S84)</f>
        <v>-328</v>
      </c>
      <c r="BQ84" s="84">
        <f>SUM(T84:W84)</f>
        <v>-438</v>
      </c>
      <c r="BR84" s="84">
        <f>SUM(X84:AA84)</f>
        <v>-29</v>
      </c>
      <c r="BS84" s="84">
        <f>SUM(AB84:AE84)</f>
        <v>-215</v>
      </c>
      <c r="BT84" s="84">
        <f>SUM(AF84:AI84)</f>
        <v>-290</v>
      </c>
      <c r="BU84" s="84">
        <f>SUM(AJ84:AM84)</f>
        <v>-133.76971432849973</v>
      </c>
      <c r="BV84" s="84">
        <f>SUM(AN84:AQ84)</f>
        <v>-190.4037672751669</v>
      </c>
      <c r="BW84" s="117">
        <f>SUM(AR84:AU84)</f>
        <v>-197</v>
      </c>
      <c r="BX84" s="117">
        <f>SUM(AV84:AY84)</f>
        <v>-745</v>
      </c>
      <c r="BY84" s="117">
        <f>SUM(AZ84:BC84)</f>
        <v>5511</v>
      </c>
      <c r="BZ84" s="117">
        <f>SUM(BD84:BG84)</f>
        <v>-14</v>
      </c>
      <c r="CA84" s="117">
        <f>SUM(BH84:BK84)</f>
        <v>-22.400000000000002</v>
      </c>
      <c r="CB84" s="1196">
        <f>-CB74*CB83</f>
        <v>-22.400000000000006</v>
      </c>
      <c r="CC84" s="1229"/>
      <c r="CD84" s="168"/>
      <c r="CE84" s="168"/>
      <c r="CF84"/>
      <c r="CG84"/>
      <c r="CH84"/>
      <c r="CI84"/>
      <c r="CJ84"/>
      <c r="CK84"/>
    </row>
    <row r="85" spans="1:89" s="173" customFormat="1" ht="14.25" customHeight="1" collapsed="1">
      <c r="A85" s="170"/>
      <c r="B85" s="39" t="s">
        <v>142</v>
      </c>
      <c r="C85" s="171"/>
      <c r="D85" s="96">
        <f>+SUM(D83:D84)</f>
        <v>34</v>
      </c>
      <c r="E85" s="96">
        <f t="shared" ref="E85:AL85" si="277">+SUM(E83:E84)</f>
        <v>58</v>
      </c>
      <c r="F85" s="96">
        <f t="shared" si="277"/>
        <v>31</v>
      </c>
      <c r="G85" s="98">
        <f t="shared" si="277"/>
        <v>48</v>
      </c>
      <c r="H85" s="96">
        <f t="shared" si="277"/>
        <v>17</v>
      </c>
      <c r="I85" s="96">
        <f t="shared" si="277"/>
        <v>-27</v>
      </c>
      <c r="J85" s="96">
        <f t="shared" si="277"/>
        <v>-62</v>
      </c>
      <c r="K85" s="98">
        <f t="shared" si="277"/>
        <v>455</v>
      </c>
      <c r="L85" s="96">
        <f t="shared" si="277"/>
        <v>46</v>
      </c>
      <c r="M85" s="96">
        <f t="shared" si="277"/>
        <v>83</v>
      </c>
      <c r="N85" s="96">
        <f t="shared" si="277"/>
        <v>-86</v>
      </c>
      <c r="O85" s="98">
        <f t="shared" si="277"/>
        <v>332</v>
      </c>
      <c r="P85" s="96">
        <f t="shared" si="277"/>
        <v>388</v>
      </c>
      <c r="Q85" s="96">
        <f t="shared" si="277"/>
        <v>205</v>
      </c>
      <c r="R85" s="96">
        <f t="shared" si="277"/>
        <v>431</v>
      </c>
      <c r="S85" s="98">
        <f t="shared" si="277"/>
        <v>1120</v>
      </c>
      <c r="T85" s="96">
        <f t="shared" si="277"/>
        <v>187</v>
      </c>
      <c r="U85" s="96">
        <f t="shared" si="277"/>
        <v>160</v>
      </c>
      <c r="V85" s="96">
        <f t="shared" si="277"/>
        <v>154</v>
      </c>
      <c r="W85" s="98">
        <f t="shared" si="277"/>
        <v>-503</v>
      </c>
      <c r="X85" s="96">
        <f t="shared" si="277"/>
        <v>43</v>
      </c>
      <c r="Y85" s="96">
        <f t="shared" si="277"/>
        <v>-180</v>
      </c>
      <c r="Z85" s="96">
        <f t="shared" si="277"/>
        <v>-64</v>
      </c>
      <c r="AA85" s="98">
        <f t="shared" si="277"/>
        <v>-93</v>
      </c>
      <c r="AB85" s="96">
        <f t="shared" si="277"/>
        <v>96</v>
      </c>
      <c r="AC85" s="96">
        <f t="shared" si="277"/>
        <v>261</v>
      </c>
      <c r="AD85" s="96">
        <f t="shared" si="277"/>
        <v>113</v>
      </c>
      <c r="AE85" s="98">
        <f t="shared" si="277"/>
        <v>214</v>
      </c>
      <c r="AF85" s="96">
        <f>+SUM(AF83:AF84)</f>
        <v>138</v>
      </c>
      <c r="AG85" s="96">
        <f t="shared" si="277"/>
        <v>48</v>
      </c>
      <c r="AH85" s="96">
        <f t="shared" si="277"/>
        <v>72</v>
      </c>
      <c r="AI85" s="98">
        <f>+SUM(AI83:AI84)</f>
        <v>89</v>
      </c>
      <c r="AJ85" s="97">
        <f>+SUM(AJ83:AJ84)</f>
        <v>194.62239050347932</v>
      </c>
      <c r="AK85" s="96">
        <f t="shared" si="277"/>
        <v>145.19123653917563</v>
      </c>
      <c r="AL85" s="96">
        <f t="shared" si="277"/>
        <v>-90.589959225280325</v>
      </c>
      <c r="AM85" s="98">
        <f t="shared" ref="AM85:AU85" si="278">+SUM(AM83:AM84)</f>
        <v>214.00661785412561</v>
      </c>
      <c r="AN85" s="97">
        <f t="shared" si="278"/>
        <v>209.625468164794</v>
      </c>
      <c r="AO85" s="96">
        <f t="shared" si="278"/>
        <v>132.59969403365631</v>
      </c>
      <c r="AP85" s="96">
        <f t="shared" si="278"/>
        <v>138.51208791208791</v>
      </c>
      <c r="AQ85" s="98">
        <f t="shared" si="278"/>
        <v>18.858982614294913</v>
      </c>
      <c r="AR85" s="97">
        <f t="shared" si="278"/>
        <v>214</v>
      </c>
      <c r="AS85" s="96">
        <f t="shared" si="278"/>
        <v>349</v>
      </c>
      <c r="AT85" s="96">
        <f t="shared" si="278"/>
        <v>96</v>
      </c>
      <c r="AU85" s="98">
        <f t="shared" si="278"/>
        <v>106</v>
      </c>
      <c r="AV85" s="97">
        <f>+SUM(AV83:AV84)</f>
        <v>583</v>
      </c>
      <c r="AW85" s="96">
        <f>+SUM(AW83:AW84)</f>
        <v>1529</v>
      </c>
      <c r="AX85" s="96">
        <f t="shared" ref="AX85:AY85" si="279">+SUM(AX83:AX84)</f>
        <v>508</v>
      </c>
      <c r="AY85" s="98">
        <f t="shared" si="279"/>
        <v>303</v>
      </c>
      <c r="AZ85" s="97">
        <f>+SUM(AZ83:AZ84)</f>
        <v>254</v>
      </c>
      <c r="BA85" s="96">
        <f>+SUM(BA83:BA84)</f>
        <v>698</v>
      </c>
      <c r="BB85" s="96">
        <f t="shared" ref="BB85:BC85" si="280">+SUM(BB83:BB84)</f>
        <v>332</v>
      </c>
      <c r="BC85" s="98">
        <f t="shared" si="280"/>
        <v>5868</v>
      </c>
      <c r="BD85" s="97">
        <f>+SUM(BD83:BD84)</f>
        <v>-279</v>
      </c>
      <c r="BE85" s="96">
        <f t="shared" ref="BE85:BG85" si="281">+SUM(BE83:BE84)</f>
        <v>34.799999999999997</v>
      </c>
      <c r="BF85" s="96">
        <f t="shared" si="281"/>
        <v>34.799999999999997</v>
      </c>
      <c r="BG85" s="1093">
        <f t="shared" si="281"/>
        <v>34.4</v>
      </c>
      <c r="BH85" s="97">
        <f t="shared" ref="BH85:BK85" si="282">+SUM(BH83:BH84)</f>
        <v>34.4</v>
      </c>
      <c r="BI85" s="96">
        <f t="shared" si="282"/>
        <v>34.4</v>
      </c>
      <c r="BJ85" s="96">
        <f t="shared" si="282"/>
        <v>34.4</v>
      </c>
      <c r="BK85" s="1093">
        <f t="shared" si="282"/>
        <v>34.4</v>
      </c>
      <c r="BL85" s="95"/>
      <c r="BM85" s="96">
        <f t="shared" ref="BM85:BY85" si="283">+SUM(BM83:BM84)</f>
        <v>171</v>
      </c>
      <c r="BN85" s="96">
        <f t="shared" si="283"/>
        <v>383</v>
      </c>
      <c r="BO85" s="96">
        <f t="shared" si="283"/>
        <v>375</v>
      </c>
      <c r="BP85" s="96">
        <f t="shared" si="283"/>
        <v>2144</v>
      </c>
      <c r="BQ85" s="96">
        <f t="shared" si="283"/>
        <v>-2</v>
      </c>
      <c r="BR85" s="96">
        <f t="shared" si="283"/>
        <v>-294</v>
      </c>
      <c r="BS85" s="96">
        <f t="shared" si="283"/>
        <v>750</v>
      </c>
      <c r="BT85" s="96">
        <f t="shared" si="283"/>
        <v>434</v>
      </c>
      <c r="BU85" s="96">
        <f t="shared" si="283"/>
        <v>463.23028567150027</v>
      </c>
      <c r="BV85" s="96">
        <f t="shared" si="283"/>
        <v>499.5962327248331</v>
      </c>
      <c r="BW85" s="107">
        <f>+SUM(BW83:BW84)</f>
        <v>765</v>
      </c>
      <c r="BX85" s="107">
        <f t="shared" si="283"/>
        <v>2923</v>
      </c>
      <c r="BY85" s="107">
        <f t="shared" si="283"/>
        <v>7152</v>
      </c>
      <c r="BZ85" s="107">
        <f t="shared" ref="BZ85:CB85" si="284">+SUM(BZ83:BZ84)</f>
        <v>-175</v>
      </c>
      <c r="CA85" s="107">
        <f t="shared" si="284"/>
        <v>137.6</v>
      </c>
      <c r="CB85" s="1094">
        <f t="shared" si="284"/>
        <v>137.6</v>
      </c>
      <c r="CC85" s="172"/>
      <c r="CD85" s="133"/>
      <c r="CE85" s="133"/>
      <c r="CF85"/>
      <c r="CG85"/>
      <c r="CH85"/>
      <c r="CI85"/>
      <c r="CJ85"/>
      <c r="CK85"/>
    </row>
    <row r="86" spans="1:89" ht="14.25" customHeight="1">
      <c r="A86" s="18"/>
      <c r="B86" s="54"/>
      <c r="C86" s="62"/>
      <c r="D86" s="63"/>
      <c r="E86" s="63"/>
      <c r="F86" s="63"/>
      <c r="G86" s="64"/>
      <c r="H86" s="63"/>
      <c r="I86" s="63"/>
      <c r="J86" s="63"/>
      <c r="K86" s="64"/>
      <c r="L86" s="63"/>
      <c r="M86" s="63"/>
      <c r="N86" s="63"/>
      <c r="O86" s="64"/>
      <c r="P86" s="63"/>
      <c r="Q86" s="63"/>
      <c r="R86" s="63"/>
      <c r="S86" s="64"/>
      <c r="T86" s="63"/>
      <c r="U86" s="63"/>
      <c r="V86" s="63"/>
      <c r="W86" s="64"/>
      <c r="X86" s="63"/>
      <c r="Y86" s="63"/>
      <c r="Z86" s="63"/>
      <c r="AA86" s="64"/>
      <c r="AB86" s="63"/>
      <c r="AC86" s="63"/>
      <c r="AD86" s="63"/>
      <c r="AE86" s="64"/>
      <c r="AF86" s="63"/>
      <c r="AG86" s="63"/>
      <c r="AH86" s="63"/>
      <c r="AI86" s="64"/>
      <c r="AJ86" s="65"/>
      <c r="AK86" s="63"/>
      <c r="AL86" s="63"/>
      <c r="AM86" s="64"/>
      <c r="AN86" s="65"/>
      <c r="AO86" s="63"/>
      <c r="AP86" s="63"/>
      <c r="AQ86" s="64"/>
      <c r="AR86" s="65"/>
      <c r="AS86" s="63"/>
      <c r="AT86" s="63"/>
      <c r="AU86" s="64"/>
      <c r="AV86" s="65"/>
      <c r="AW86" s="63"/>
      <c r="AX86" s="63"/>
      <c r="AY86" s="64"/>
      <c r="AZ86" s="65"/>
      <c r="BA86" s="63"/>
      <c r="BB86" s="63"/>
      <c r="BC86" s="64"/>
      <c r="BD86" s="65"/>
      <c r="BE86" s="63"/>
      <c r="BF86" s="63"/>
      <c r="BG86" s="1097"/>
      <c r="BH86" s="65"/>
      <c r="BI86" s="63"/>
      <c r="BJ86" s="63"/>
      <c r="BK86" s="1097"/>
      <c r="BL86" s="35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1193"/>
      <c r="CC86" s="37"/>
      <c r="CD86" s="26"/>
      <c r="CE86" s="26"/>
    </row>
    <row r="87" spans="1:89" s="180" customFormat="1" ht="14.25" customHeight="1">
      <c r="A87" s="174"/>
      <c r="B87" s="175" t="s">
        <v>143</v>
      </c>
      <c r="C87" s="176"/>
      <c r="D87" s="153">
        <f>D71-D77</f>
        <v>2212</v>
      </c>
      <c r="E87" s="153">
        <f t="shared" ref="E87:BY87" si="285">E71-E77</f>
        <v>2096</v>
      </c>
      <c r="F87" s="153">
        <f t="shared" si="285"/>
        <v>2026</v>
      </c>
      <c r="G87" s="154">
        <f t="shared" si="285"/>
        <v>2501</v>
      </c>
      <c r="H87" s="153">
        <f t="shared" si="285"/>
        <v>1374</v>
      </c>
      <c r="I87" s="153">
        <f t="shared" si="285"/>
        <v>858</v>
      </c>
      <c r="J87" s="153">
        <f t="shared" si="285"/>
        <v>1239</v>
      </c>
      <c r="K87" s="154">
        <f t="shared" si="285"/>
        <v>1956</v>
      </c>
      <c r="L87" s="153">
        <f t="shared" si="285"/>
        <v>1682</v>
      </c>
      <c r="M87" s="153">
        <f t="shared" si="285"/>
        <v>1361</v>
      </c>
      <c r="N87" s="153">
        <f t="shared" si="285"/>
        <v>1705</v>
      </c>
      <c r="O87" s="154">
        <f t="shared" si="285"/>
        <v>2603</v>
      </c>
      <c r="P87" s="153">
        <f t="shared" si="285"/>
        <v>1831</v>
      </c>
      <c r="Q87" s="153">
        <f t="shared" si="285"/>
        <v>1806</v>
      </c>
      <c r="R87" s="153">
        <f t="shared" si="285"/>
        <v>2445</v>
      </c>
      <c r="S87" s="154">
        <f t="shared" si="285"/>
        <v>1354</v>
      </c>
      <c r="T87" s="153">
        <f t="shared" si="285"/>
        <v>816</v>
      </c>
      <c r="U87" s="153">
        <f t="shared" si="285"/>
        <v>-238</v>
      </c>
      <c r="V87" s="153">
        <f t="shared" si="285"/>
        <v>2010</v>
      </c>
      <c r="W87" s="154">
        <f t="shared" si="285"/>
        <v>1779</v>
      </c>
      <c r="X87" s="153">
        <f t="shared" si="285"/>
        <v>2485</v>
      </c>
      <c r="Y87" s="153">
        <f t="shared" si="285"/>
        <v>2707</v>
      </c>
      <c r="Z87" s="153">
        <f t="shared" si="285"/>
        <v>2891</v>
      </c>
      <c r="AA87" s="154">
        <f t="shared" si="285"/>
        <v>3087</v>
      </c>
      <c r="AB87" s="153">
        <f t="shared" si="285"/>
        <v>3256</v>
      </c>
      <c r="AC87" s="153">
        <f t="shared" si="285"/>
        <v>3215</v>
      </c>
      <c r="AD87" s="153">
        <f t="shared" si="285"/>
        <v>3581</v>
      </c>
      <c r="AE87" s="154">
        <f t="shared" si="285"/>
        <v>3574</v>
      </c>
      <c r="AF87" s="153">
        <f t="shared" si="285"/>
        <v>2902</v>
      </c>
      <c r="AG87" s="153">
        <f t="shared" si="285"/>
        <v>2926</v>
      </c>
      <c r="AH87" s="153">
        <f t="shared" si="285"/>
        <v>3062</v>
      </c>
      <c r="AI87" s="154">
        <f t="shared" si="285"/>
        <v>2549</v>
      </c>
      <c r="AJ87" s="155">
        <f t="shared" si="285"/>
        <v>2239.6223905034794</v>
      </c>
      <c r="AK87" s="153">
        <f t="shared" si="285"/>
        <v>2142.1912365391754</v>
      </c>
      <c r="AL87" s="153">
        <f t="shared" si="285"/>
        <v>2859.4100407747196</v>
      </c>
      <c r="AM87" s="154">
        <f>AM71-AM77</f>
        <v>2839.0066178541256</v>
      </c>
      <c r="AN87" s="155">
        <f>AN71-AN77</f>
        <v>2139.6254681647943</v>
      </c>
      <c r="AO87" s="153">
        <f>AO71-AO77</f>
        <v>2928.5996940336563</v>
      </c>
      <c r="AP87" s="153">
        <f>AP71-AP77</f>
        <v>3455.5120879120877</v>
      </c>
      <c r="AQ87" s="154">
        <f t="shared" si="285"/>
        <v>3679.8589826142947</v>
      </c>
      <c r="AR87" s="155">
        <f t="shared" si="285"/>
        <v>2206</v>
      </c>
      <c r="AS87" s="153">
        <f t="shared" ref="AS87:AW87" si="286">AS71-AS77</f>
        <v>3055</v>
      </c>
      <c r="AT87" s="153">
        <f t="shared" si="286"/>
        <v>3205</v>
      </c>
      <c r="AU87" s="154">
        <f>AU71-AU77</f>
        <v>3719</v>
      </c>
      <c r="AV87" s="155">
        <f t="shared" si="286"/>
        <v>2629</v>
      </c>
      <c r="AW87" s="153">
        <f t="shared" si="286"/>
        <v>2859</v>
      </c>
      <c r="AX87" s="153">
        <f>AX71-AX77</f>
        <v>3886</v>
      </c>
      <c r="AY87" s="154">
        <f>AY71-AY77</f>
        <v>3865</v>
      </c>
      <c r="AZ87" s="155">
        <f t="shared" ref="AZ87:BA87" si="287">AZ71-AZ77</f>
        <v>3218</v>
      </c>
      <c r="BA87" s="153">
        <f t="shared" si="287"/>
        <v>3506</v>
      </c>
      <c r="BB87" s="153">
        <f>BB71-BB77</f>
        <v>4848</v>
      </c>
      <c r="BC87" s="154">
        <f>BC71-BC77</f>
        <v>5181</v>
      </c>
      <c r="BD87" s="155">
        <f t="shared" ref="BD87" si="288">BD71-BD77</f>
        <v>4175</v>
      </c>
      <c r="BE87" s="153">
        <f t="shared" ref="BE87:BG87" si="289">BE71-BE77</f>
        <v>4083.6951242790519</v>
      </c>
      <c r="BF87" s="153">
        <f t="shared" si="289"/>
        <v>4976.4620506331894</v>
      </c>
      <c r="BG87" s="1115">
        <f t="shared" si="289"/>
        <v>5032.319515256122</v>
      </c>
      <c r="BH87" s="155">
        <f t="shared" ref="BH87:BK87" si="290">BH71-BH77</f>
        <v>4118.9012745795208</v>
      </c>
      <c r="BI87" s="153">
        <f t="shared" si="290"/>
        <v>4194.2420236439411</v>
      </c>
      <c r="BJ87" s="153">
        <f t="shared" si="290"/>
        <v>4980.6645798349227</v>
      </c>
      <c r="BK87" s="1115">
        <f t="shared" si="290"/>
        <v>5201.4605674697523</v>
      </c>
      <c r="BL87" s="177"/>
      <c r="BM87" s="153">
        <f t="shared" si="285"/>
        <v>8835</v>
      </c>
      <c r="BN87" s="153">
        <f t="shared" si="285"/>
        <v>5427</v>
      </c>
      <c r="BO87" s="153">
        <f t="shared" si="285"/>
        <v>7351</v>
      </c>
      <c r="BP87" s="153">
        <f t="shared" si="285"/>
        <v>7436</v>
      </c>
      <c r="BQ87" s="153">
        <f t="shared" si="285"/>
        <v>4367</v>
      </c>
      <c r="BR87" s="153">
        <f t="shared" si="285"/>
        <v>11170</v>
      </c>
      <c r="BS87" s="153">
        <f t="shared" si="285"/>
        <v>13692</v>
      </c>
      <c r="BT87" s="153">
        <f t="shared" si="285"/>
        <v>11439</v>
      </c>
      <c r="BU87" s="153">
        <f t="shared" si="285"/>
        <v>10080.2302856715</v>
      </c>
      <c r="BV87" s="153">
        <f t="shared" si="285"/>
        <v>12203.596232724834</v>
      </c>
      <c r="BW87" s="153">
        <f>BW71-BW77</f>
        <v>12185</v>
      </c>
      <c r="BX87" s="153">
        <f t="shared" si="285"/>
        <v>13239</v>
      </c>
      <c r="BY87" s="153">
        <f t="shared" si="285"/>
        <v>16753</v>
      </c>
      <c r="BZ87" s="153">
        <f t="shared" ref="BZ87:CB87" si="291">BZ71-BZ77</f>
        <v>18267.476690168369</v>
      </c>
      <c r="CA87" s="153">
        <f t="shared" si="291"/>
        <v>18495.268445528127</v>
      </c>
      <c r="CB87" s="1197">
        <f t="shared" si="291"/>
        <v>18846.790610168497</v>
      </c>
      <c r="CC87" s="178"/>
      <c r="CD87" s="179"/>
      <c r="CE87" s="179"/>
      <c r="CF87"/>
      <c r="CG87"/>
      <c r="CH87"/>
      <c r="CI87"/>
      <c r="CJ87"/>
      <c r="CK87"/>
    </row>
    <row r="88" spans="1:89" ht="14.25" customHeight="1">
      <c r="A88" s="18"/>
      <c r="B88" s="54"/>
      <c r="C88" s="62"/>
      <c r="D88" s="63"/>
      <c r="E88" s="63"/>
      <c r="F88" s="63"/>
      <c r="G88" s="64"/>
      <c r="H88" s="63"/>
      <c r="I88" s="63"/>
      <c r="J88" s="63"/>
      <c r="K88" s="64"/>
      <c r="L88" s="63"/>
      <c r="M88" s="63"/>
      <c r="N88" s="63"/>
      <c r="O88" s="64"/>
      <c r="P88" s="63"/>
      <c r="Q88" s="63"/>
      <c r="R88" s="63"/>
      <c r="S88" s="64"/>
      <c r="T88" s="63"/>
      <c r="U88" s="63"/>
      <c r="V88" s="63"/>
      <c r="W88" s="64"/>
      <c r="X88" s="63"/>
      <c r="Y88" s="63"/>
      <c r="Z88" s="63"/>
      <c r="AA88" s="64"/>
      <c r="AB88" s="63"/>
      <c r="AC88" s="63"/>
      <c r="AD88" s="63"/>
      <c r="AE88" s="64"/>
      <c r="AF88" s="63"/>
      <c r="AG88" s="63"/>
      <c r="AH88" s="63"/>
      <c r="AI88" s="64"/>
      <c r="AJ88" s="65"/>
      <c r="AK88" s="63"/>
      <c r="AL88" s="63"/>
      <c r="AM88" s="64"/>
      <c r="AN88" s="65"/>
      <c r="AO88" s="63"/>
      <c r="AP88" s="63"/>
      <c r="AQ88" s="64"/>
      <c r="AR88" s="65"/>
      <c r="AS88" s="63"/>
      <c r="AT88" s="63"/>
      <c r="AU88" s="64"/>
      <c r="AV88" s="65"/>
      <c r="AW88" s="63"/>
      <c r="AX88" s="63"/>
      <c r="AY88" s="64"/>
      <c r="AZ88" s="65"/>
      <c r="BA88" s="63"/>
      <c r="BB88" s="63"/>
      <c r="BC88" s="64"/>
      <c r="BD88" s="65"/>
      <c r="BE88" s="63"/>
      <c r="BF88" s="63"/>
      <c r="BG88" s="1097"/>
      <c r="BH88" s="65"/>
      <c r="BI88" s="63"/>
      <c r="BJ88" s="63"/>
      <c r="BK88" s="1097"/>
      <c r="BL88" s="35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1193"/>
      <c r="CC88" s="1230"/>
      <c r="CD88" s="712"/>
      <c r="CE88" s="712"/>
    </row>
    <row r="89" spans="1:89" s="127" customFormat="1" ht="14.25" hidden="1" customHeight="1" outlineLevel="1">
      <c r="A89" s="51"/>
      <c r="B89" s="122" t="s">
        <v>144</v>
      </c>
      <c r="C89" s="123"/>
      <c r="D89" s="124">
        <f t="shared" ref="D89:AR89" si="292">D80</f>
        <v>2178</v>
      </c>
      <c r="E89" s="124">
        <f t="shared" si="292"/>
        <v>2038</v>
      </c>
      <c r="F89" s="124">
        <f t="shared" si="292"/>
        <v>1995</v>
      </c>
      <c r="G89" s="125">
        <f t="shared" si="292"/>
        <v>2453</v>
      </c>
      <c r="H89" s="124">
        <f t="shared" si="292"/>
        <v>1357</v>
      </c>
      <c r="I89" s="124">
        <f t="shared" si="292"/>
        <v>885</v>
      </c>
      <c r="J89" s="124">
        <f t="shared" si="292"/>
        <v>1301</v>
      </c>
      <c r="K89" s="125">
        <f t="shared" si="292"/>
        <v>1501</v>
      </c>
      <c r="L89" s="124">
        <f t="shared" si="292"/>
        <v>1636</v>
      </c>
      <c r="M89" s="124">
        <f t="shared" si="292"/>
        <v>1278</v>
      </c>
      <c r="N89" s="124">
        <f t="shared" si="292"/>
        <v>1791</v>
      </c>
      <c r="O89" s="125">
        <f t="shared" si="292"/>
        <v>2271</v>
      </c>
      <c r="P89" s="124">
        <f t="shared" si="292"/>
        <v>1443</v>
      </c>
      <c r="Q89" s="124">
        <f t="shared" si="292"/>
        <v>1601</v>
      </c>
      <c r="R89" s="124">
        <f t="shared" si="292"/>
        <v>2014</v>
      </c>
      <c r="S89" s="125">
        <f t="shared" si="292"/>
        <v>234</v>
      </c>
      <c r="T89" s="124">
        <f t="shared" si="292"/>
        <v>629</v>
      </c>
      <c r="U89" s="124">
        <f t="shared" si="292"/>
        <v>-398</v>
      </c>
      <c r="V89" s="124">
        <f t="shared" si="292"/>
        <v>1856</v>
      </c>
      <c r="W89" s="125">
        <f t="shared" si="292"/>
        <v>2282</v>
      </c>
      <c r="X89" s="124">
        <f t="shared" si="292"/>
        <v>2442</v>
      </c>
      <c r="Y89" s="124">
        <f t="shared" si="292"/>
        <v>2887</v>
      </c>
      <c r="Z89" s="124">
        <f t="shared" si="292"/>
        <v>2955</v>
      </c>
      <c r="AA89" s="125">
        <f t="shared" si="292"/>
        <v>3180</v>
      </c>
      <c r="AB89" s="124">
        <f t="shared" si="292"/>
        <v>3160</v>
      </c>
      <c r="AC89" s="124">
        <f t="shared" si="292"/>
        <v>2954</v>
      </c>
      <c r="AD89" s="124">
        <f t="shared" si="292"/>
        <v>3468</v>
      </c>
      <c r="AE89" s="125">
        <f t="shared" si="292"/>
        <v>3360</v>
      </c>
      <c r="AF89" s="124">
        <f t="shared" si="292"/>
        <v>2738</v>
      </c>
      <c r="AG89" s="124">
        <f t="shared" si="292"/>
        <v>2827</v>
      </c>
      <c r="AH89" s="124">
        <f t="shared" si="292"/>
        <v>2972</v>
      </c>
      <c r="AI89" s="125">
        <f t="shared" si="292"/>
        <v>2468</v>
      </c>
      <c r="AJ89" s="126">
        <f t="shared" si="292"/>
        <v>2045</v>
      </c>
      <c r="AK89" s="124">
        <f t="shared" si="292"/>
        <v>2000</v>
      </c>
      <c r="AL89" s="124">
        <f t="shared" si="292"/>
        <v>2950</v>
      </c>
      <c r="AM89" s="125">
        <f>AM80</f>
        <v>2625</v>
      </c>
      <c r="AN89" s="126">
        <f>AN80</f>
        <v>1930</v>
      </c>
      <c r="AO89" s="124">
        <f>AO80</f>
        <v>2796</v>
      </c>
      <c r="AP89" s="124">
        <f>AP80</f>
        <v>3317</v>
      </c>
      <c r="AQ89" s="125">
        <f t="shared" si="292"/>
        <v>3661</v>
      </c>
      <c r="AR89" s="126">
        <f t="shared" si="292"/>
        <v>1992</v>
      </c>
      <c r="AS89" s="124">
        <f t="shared" ref="AS89:AW89" si="293">AS80</f>
        <v>2706</v>
      </c>
      <c r="AT89" s="124">
        <f t="shared" si="293"/>
        <v>3109</v>
      </c>
      <c r="AU89" s="125">
        <f t="shared" si="293"/>
        <v>3613</v>
      </c>
      <c r="AV89" s="126">
        <f t="shared" si="293"/>
        <v>2046</v>
      </c>
      <c r="AW89" s="124">
        <f t="shared" si="293"/>
        <v>1330</v>
      </c>
      <c r="AX89" s="124">
        <f t="shared" ref="AX89:BA89" si="294">AX80</f>
        <v>3378</v>
      </c>
      <c r="AY89" s="125">
        <f t="shared" si="294"/>
        <v>3562</v>
      </c>
      <c r="AZ89" s="126">
        <f t="shared" si="294"/>
        <v>2964</v>
      </c>
      <c r="BA89" s="124">
        <f t="shared" si="294"/>
        <v>2808</v>
      </c>
      <c r="BB89" s="124">
        <f t="shared" ref="BB89:BD89" si="295">BB80</f>
        <v>4516</v>
      </c>
      <c r="BC89" s="125">
        <f t="shared" si="295"/>
        <v>-687</v>
      </c>
      <c r="BD89" s="126">
        <f t="shared" si="295"/>
        <v>4454</v>
      </c>
      <c r="BE89" s="124">
        <f t="shared" ref="BE89:BG89" si="296">BE80</f>
        <v>4048.8951242790522</v>
      </c>
      <c r="BF89" s="124">
        <f t="shared" si="296"/>
        <v>4941.6620506331892</v>
      </c>
      <c r="BG89" s="1104">
        <f t="shared" si="296"/>
        <v>4997.9195152561224</v>
      </c>
      <c r="BH89" s="126">
        <f t="shared" ref="BH89:BK89" si="297">BH80</f>
        <v>4084.5012745795202</v>
      </c>
      <c r="BI89" s="124">
        <f t="shared" si="297"/>
        <v>4159.8420236439406</v>
      </c>
      <c r="BJ89" s="124">
        <f t="shared" si="297"/>
        <v>4946.2645798349222</v>
      </c>
      <c r="BK89" s="1104">
        <f t="shared" si="297"/>
        <v>5167.0605674697526</v>
      </c>
      <c r="BL89" s="95"/>
      <c r="BM89" s="124">
        <f t="shared" ref="BM89:BY89" si="298">BM80</f>
        <v>8664</v>
      </c>
      <c r="BN89" s="124">
        <f t="shared" si="298"/>
        <v>5044</v>
      </c>
      <c r="BO89" s="124">
        <f t="shared" si="298"/>
        <v>6976</v>
      </c>
      <c r="BP89" s="124">
        <f t="shared" si="298"/>
        <v>5292</v>
      </c>
      <c r="BQ89" s="124">
        <f t="shared" si="298"/>
        <v>4369</v>
      </c>
      <c r="BR89" s="124">
        <f t="shared" si="298"/>
        <v>11464</v>
      </c>
      <c r="BS89" s="124">
        <f t="shared" si="298"/>
        <v>12942</v>
      </c>
      <c r="BT89" s="124">
        <f t="shared" si="298"/>
        <v>11005</v>
      </c>
      <c r="BU89" s="124">
        <f t="shared" si="298"/>
        <v>9620</v>
      </c>
      <c r="BV89" s="124">
        <f t="shared" si="298"/>
        <v>11704</v>
      </c>
      <c r="BW89" s="124">
        <f>BW80</f>
        <v>11420</v>
      </c>
      <c r="BX89" s="124">
        <f t="shared" si="298"/>
        <v>10316</v>
      </c>
      <c r="BY89" s="124">
        <f t="shared" si="298"/>
        <v>9601</v>
      </c>
      <c r="BZ89" s="124">
        <f t="shared" ref="BZ89:CB89" si="299">BZ80</f>
        <v>18442.476690168369</v>
      </c>
      <c r="CA89" s="124">
        <f t="shared" si="299"/>
        <v>18357.668445528128</v>
      </c>
      <c r="CB89" s="1104">
        <f t="shared" si="299"/>
        <v>18709.190610168498</v>
      </c>
      <c r="CC89" s="99"/>
      <c r="CD89" s="100"/>
      <c r="CE89" s="100"/>
      <c r="CF89"/>
      <c r="CG89"/>
      <c r="CH89"/>
      <c r="CI89"/>
      <c r="CJ89"/>
      <c r="CK89"/>
    </row>
    <row r="90" spans="1:89" ht="14.25" hidden="1" customHeight="1" outlineLevel="1">
      <c r="A90" s="18"/>
      <c r="B90" s="54"/>
      <c r="C90" s="62"/>
      <c r="D90" s="181"/>
      <c r="E90" s="182"/>
      <c r="F90" s="182"/>
      <c r="G90" s="183"/>
      <c r="H90" s="181"/>
      <c r="I90" s="182"/>
      <c r="J90" s="182"/>
      <c r="K90" s="183"/>
      <c r="L90" s="181"/>
      <c r="M90" s="182"/>
      <c r="N90" s="182"/>
      <c r="O90" s="183"/>
      <c r="P90" s="181"/>
      <c r="Q90" s="182"/>
      <c r="R90" s="182"/>
      <c r="S90" s="183"/>
      <c r="T90" s="181"/>
      <c r="U90" s="182"/>
      <c r="V90" s="182"/>
      <c r="W90" s="183"/>
      <c r="X90" s="181"/>
      <c r="Y90" s="182"/>
      <c r="Z90" s="182"/>
      <c r="AA90" s="183"/>
      <c r="AB90" s="181"/>
      <c r="AC90" s="182"/>
      <c r="AD90" s="182"/>
      <c r="AE90" s="183"/>
      <c r="AF90" s="181"/>
      <c r="AG90" s="66"/>
      <c r="AH90" s="66"/>
      <c r="AI90" s="183"/>
      <c r="AJ90" s="67"/>
      <c r="AK90" s="66"/>
      <c r="AL90" s="66"/>
      <c r="AM90" s="183"/>
      <c r="AN90" s="67"/>
      <c r="AO90" s="66"/>
      <c r="AP90" s="66"/>
      <c r="AQ90" s="183"/>
      <c r="AR90" s="67"/>
      <c r="AS90" s="66"/>
      <c r="AT90" s="66"/>
      <c r="AU90" s="183"/>
      <c r="AV90" s="67"/>
      <c r="AW90" s="66"/>
      <c r="AX90" s="66"/>
      <c r="AY90" s="183"/>
      <c r="AZ90" s="67"/>
      <c r="BA90" s="66"/>
      <c r="BB90" s="66"/>
      <c r="BC90" s="183"/>
      <c r="BD90" s="67"/>
      <c r="BE90" s="66"/>
      <c r="BF90" s="66"/>
      <c r="BG90" s="1119"/>
      <c r="BH90" s="1026"/>
      <c r="BI90" s="66"/>
      <c r="BJ90" s="66"/>
      <c r="BK90" s="1119"/>
      <c r="BL90" s="35"/>
      <c r="BM90" s="66"/>
      <c r="BN90" s="66"/>
      <c r="BO90" s="66"/>
      <c r="BP90" s="66"/>
      <c r="BQ90" s="66"/>
      <c r="BR90" s="66"/>
      <c r="BS90" s="66"/>
      <c r="BT90" s="66"/>
      <c r="BU90" s="66"/>
      <c r="BV90" s="66"/>
      <c r="BW90" s="66"/>
      <c r="BX90" s="66"/>
      <c r="BY90" s="66"/>
      <c r="BZ90" s="66"/>
      <c r="CA90" s="66"/>
      <c r="CB90" s="1192"/>
      <c r="CC90" s="37"/>
      <c r="CD90" s="26"/>
      <c r="CE90" s="26"/>
    </row>
    <row r="91" spans="1:89" ht="14.25" customHeight="1" collapsed="1">
      <c r="A91" s="18"/>
      <c r="B91" s="122" t="s">
        <v>145</v>
      </c>
      <c r="C91" s="128"/>
      <c r="D91" s="617">
        <f t="shared" ref="D91:AR91" si="300">D89/D98</f>
        <v>0.34720229555236731</v>
      </c>
      <c r="E91" s="617">
        <f t="shared" si="300"/>
        <v>0.32791633145615445</v>
      </c>
      <c r="F91" s="617">
        <f t="shared" si="300"/>
        <v>0.32470703125</v>
      </c>
      <c r="G91" s="618">
        <f t="shared" si="300"/>
        <v>0.39705406280349625</v>
      </c>
      <c r="H91" s="617">
        <f t="shared" si="300"/>
        <v>0.22791400738998993</v>
      </c>
      <c r="I91" s="617">
        <f t="shared" si="300"/>
        <v>0.15081799591002046</v>
      </c>
      <c r="J91" s="617">
        <f t="shared" si="300"/>
        <v>0.22307956104252399</v>
      </c>
      <c r="K91" s="618">
        <f t="shared" si="300"/>
        <v>0.2552721088435374</v>
      </c>
      <c r="L91" s="617">
        <f t="shared" si="300"/>
        <v>0.27851549199863807</v>
      </c>
      <c r="M91" s="617">
        <f t="shared" si="300"/>
        <v>0.21598783167145513</v>
      </c>
      <c r="N91" s="617">
        <f t="shared" si="300"/>
        <v>0.30015082956259426</v>
      </c>
      <c r="O91" s="618">
        <f t="shared" si="300"/>
        <v>0.38258086253369272</v>
      </c>
      <c r="P91" s="617">
        <f t="shared" si="300"/>
        <v>0.24544990644667461</v>
      </c>
      <c r="Q91" s="617">
        <f t="shared" si="300"/>
        <v>0.27603448275862069</v>
      </c>
      <c r="R91" s="617">
        <f t="shared" si="300"/>
        <v>0.35382993675333801</v>
      </c>
      <c r="S91" s="618">
        <f t="shared" si="300"/>
        <v>4.07098121085595E-2</v>
      </c>
      <c r="T91" s="617">
        <f t="shared" si="300"/>
        <v>0.11164359247426341</v>
      </c>
      <c r="U91" s="617">
        <f t="shared" si="300"/>
        <v>-7.1134941912421812E-2</v>
      </c>
      <c r="V91" s="617">
        <f t="shared" si="300"/>
        <v>0.33048433048433046</v>
      </c>
      <c r="W91" s="618">
        <f t="shared" si="300"/>
        <v>0.40425155004428698</v>
      </c>
      <c r="X91" s="617">
        <f t="shared" si="300"/>
        <v>0.42985389896145043</v>
      </c>
      <c r="Y91" s="617">
        <f t="shared" si="300"/>
        <v>0.50551567151111887</v>
      </c>
      <c r="Z91" s="617">
        <f t="shared" si="300"/>
        <v>0.51896733403582718</v>
      </c>
      <c r="AA91" s="618">
        <f t="shared" si="300"/>
        <v>0.5582865168539326</v>
      </c>
      <c r="AB91" s="617">
        <f t="shared" si="300"/>
        <v>0.5636817695326436</v>
      </c>
      <c r="AC91" s="617">
        <f t="shared" si="300"/>
        <v>0.54291490534828157</v>
      </c>
      <c r="AD91" s="617">
        <f t="shared" si="300"/>
        <v>0.64943820224719107</v>
      </c>
      <c r="AE91" s="618">
        <f t="shared" si="300"/>
        <v>0.64097672644028991</v>
      </c>
      <c r="AF91" s="617">
        <f t="shared" si="300"/>
        <v>0.52734976887519258</v>
      </c>
      <c r="AG91" s="617">
        <f t="shared" si="300"/>
        <v>0.54375841507982303</v>
      </c>
      <c r="AH91" s="617">
        <f t="shared" si="300"/>
        <v>0.57675140694740923</v>
      </c>
      <c r="AI91" s="618">
        <f t="shared" si="300"/>
        <v>0.48439646712463197</v>
      </c>
      <c r="AJ91" s="619">
        <f t="shared" si="300"/>
        <v>0.40255905511811024</v>
      </c>
      <c r="AK91" s="617">
        <f t="shared" si="300"/>
        <v>0.39169604386995693</v>
      </c>
      <c r="AL91" s="617">
        <f t="shared" si="300"/>
        <v>0.57843137254901966</v>
      </c>
      <c r="AM91" s="618">
        <f>AM89/AM98</f>
        <v>0.51440329218106995</v>
      </c>
      <c r="AN91" s="619">
        <f>AN89/AN98</f>
        <v>0.37717412546413914</v>
      </c>
      <c r="AO91" s="617">
        <f>AO89/AO98</f>
        <v>0.54577396056997851</v>
      </c>
      <c r="AP91" s="617">
        <f>AP89/AP98</f>
        <v>0.65748265609514367</v>
      </c>
      <c r="AQ91" s="618">
        <f t="shared" si="300"/>
        <v>0.74109311740890693</v>
      </c>
      <c r="AR91" s="619">
        <f t="shared" si="300"/>
        <v>0.40537240537240538</v>
      </c>
      <c r="AS91" s="617">
        <f t="shared" ref="AS91:AW91" si="301">AS89/AS98</f>
        <v>0.55123243023018942</v>
      </c>
      <c r="AT91" s="617">
        <f t="shared" si="301"/>
        <v>0.63761279737489751</v>
      </c>
      <c r="AU91" s="618">
        <f t="shared" si="301"/>
        <v>0.74097621000820346</v>
      </c>
      <c r="AV91" s="619">
        <f t="shared" si="301"/>
        <v>0.4196923076923077</v>
      </c>
      <c r="AW91" s="617">
        <f t="shared" si="301"/>
        <v>0.27332511302918205</v>
      </c>
      <c r="AX91" s="617">
        <f t="shared" ref="AX91:BA91" si="302">AX89/AX98</f>
        <v>0.69263891736723393</v>
      </c>
      <c r="AY91" s="618">
        <f t="shared" si="302"/>
        <v>0.72976849006351152</v>
      </c>
      <c r="AZ91" s="619">
        <f t="shared" si="302"/>
        <v>0.60725261216963733</v>
      </c>
      <c r="BA91" s="617">
        <f t="shared" si="302"/>
        <v>0.57956656346749225</v>
      </c>
      <c r="BB91" s="617">
        <f t="shared" ref="BB91:BD91" si="303">BB89/BB98</f>
        <v>0.93673511719560254</v>
      </c>
      <c r="BC91" s="618">
        <f t="shared" si="303"/>
        <v>-0.14670083279948751</v>
      </c>
      <c r="BD91" s="619">
        <f t="shared" si="303"/>
        <v>0.92985386221294364</v>
      </c>
      <c r="BE91" s="617">
        <f t="shared" ref="BE91:BG91" si="304">BE89/BE98</f>
        <v>0.84528081926493781</v>
      </c>
      <c r="BF91" s="617">
        <f t="shared" si="304"/>
        <v>1.0316622235142356</v>
      </c>
      <c r="BG91" s="1120">
        <f t="shared" si="304"/>
        <v>1.0434069969219462</v>
      </c>
      <c r="BH91" s="619">
        <f t="shared" ref="BH91:BK91" si="305">BH89/BH98</f>
        <v>0.85271425356566188</v>
      </c>
      <c r="BI91" s="617">
        <f t="shared" si="305"/>
        <v>0.86844301119915257</v>
      </c>
      <c r="BJ91" s="617">
        <f t="shared" si="305"/>
        <v>1.0326230855605265</v>
      </c>
      <c r="BK91" s="1120">
        <f t="shared" si="305"/>
        <v>1.0787182813089253</v>
      </c>
      <c r="BL91" s="196"/>
      <c r="BM91" s="617">
        <f t="shared" ref="BM91:BX91" si="306">BM89/BM98</f>
        <v>1.3968561064087062</v>
      </c>
      <c r="BN91" s="617">
        <f t="shared" si="306"/>
        <v>0.85731282399932018</v>
      </c>
      <c r="BO91" s="617">
        <f t="shared" si="306"/>
        <v>1.1776821136152613</v>
      </c>
      <c r="BP91" s="617">
        <f t="shared" si="306"/>
        <v>0.91561053678792337</v>
      </c>
      <c r="BQ91" s="617">
        <f t="shared" si="306"/>
        <v>0.77705646954201868</v>
      </c>
      <c r="BR91" s="617">
        <f t="shared" si="306"/>
        <v>2.0128171363357037</v>
      </c>
      <c r="BS91" s="617">
        <f t="shared" si="306"/>
        <v>2.3934532340838688</v>
      </c>
      <c r="BT91" s="617">
        <f t="shared" si="306"/>
        <v>2.1328552739958333</v>
      </c>
      <c r="BU91" s="617">
        <f>BU89/BU98</f>
        <v>1.8872921673451371</v>
      </c>
      <c r="BV91" s="617">
        <f>BV89/BV98</f>
        <v>2.314758961681088</v>
      </c>
      <c r="BW91" s="617">
        <f>BW89/BW98</f>
        <v>2.3335887611749682</v>
      </c>
      <c r="BX91" s="617">
        <f t="shared" si="306"/>
        <v>2.1162110877480895</v>
      </c>
      <c r="BY91" s="617">
        <f>BY89/BY99</f>
        <v>1.9860371308889693</v>
      </c>
      <c r="BZ91" s="617">
        <f t="shared" ref="BZ91:CB91" si="307">BZ89/BZ98</f>
        <v>3.8502039019140644</v>
      </c>
      <c r="CA91" s="617">
        <f t="shared" si="307"/>
        <v>3.8324986316342646</v>
      </c>
      <c r="CB91" s="1120">
        <f t="shared" si="307"/>
        <v>3.9058853048368474</v>
      </c>
      <c r="CC91" s="37"/>
      <c r="CD91" s="26"/>
      <c r="CE91" s="26"/>
    </row>
    <row r="92" spans="1:89" s="193" customFormat="1" ht="14.25" hidden="1" customHeight="1" outlineLevel="1">
      <c r="A92" s="185"/>
      <c r="B92" s="186" t="s">
        <v>146</v>
      </c>
      <c r="C92" s="187"/>
      <c r="D92" s="188"/>
      <c r="E92" s="188"/>
      <c r="F92" s="188"/>
      <c r="G92" s="189"/>
      <c r="H92" s="188"/>
      <c r="I92" s="188"/>
      <c r="J92" s="188"/>
      <c r="K92" s="189"/>
      <c r="L92" s="188"/>
      <c r="M92" s="188"/>
      <c r="N92" s="188"/>
      <c r="O92" s="189"/>
      <c r="P92" s="188"/>
      <c r="Q92" s="188"/>
      <c r="R92" s="188"/>
      <c r="S92" s="189"/>
      <c r="T92" s="188"/>
      <c r="U92" s="188"/>
      <c r="V92" s="188"/>
      <c r="W92" s="189"/>
      <c r="X92" s="188"/>
      <c r="Y92" s="188"/>
      <c r="Z92" s="188"/>
      <c r="AA92" s="189"/>
      <c r="AB92" s="188"/>
      <c r="AC92" s="188"/>
      <c r="AD92" s="188"/>
      <c r="AE92" s="189"/>
      <c r="AF92" s="188"/>
      <c r="AG92" s="188" t="str">
        <f>_xll.ThomsonONEAddinShim.SpreadsheetFormulas.TF($B$3,"TF.es.eps.mean(period=2QCY2012,sdate=0d)")</f>
        <v xml:space="preserve">                                                       Manual Calculation                                                       </v>
      </c>
      <c r="AH92" s="188" t="str">
        <f>_xll.ThomsonONEAddinShim.SpreadsheetFormulas.TF($B$3,"TF.es.eps.mean(period=3QCY2012,sdate=0d)")</f>
        <v xml:space="preserve">                                                       Manual Calculation                                                       </v>
      </c>
      <c r="AI92" s="189" t="str">
        <f>_xll.ThomsonONEAddinShim.SpreadsheetFormulas.TF($B$3,"TF.es.eps.mean(period=4QCY2012,sdate=0d)")</f>
        <v xml:space="preserve">                                                       Manual Calculation                                                       </v>
      </c>
      <c r="AJ92" s="587" t="str">
        <f>_xll.ThomsonONEAddinShim.SpreadsheetFormulas.TF($B$3,"TF.es.eps.mean(period=1QCY2013,sdate=0d)")</f>
        <v xml:space="preserve">– </v>
      </c>
      <c r="AK92" s="588" t="str">
        <f>_xll.ThomsonONEAddinShim.SpreadsheetFormulas.TF($B$3,"TF.es.eps.mean(period=2QCY2013,sdate=0d)")</f>
        <v xml:space="preserve">– </v>
      </c>
      <c r="AL92" s="588" t="str">
        <f>_xll.ThomsonONEAddinShim.SpreadsheetFormulas.TF($B$3,"TF.es.eps.mean(period=3QCY2013,sdate=0d)")</f>
        <v xml:space="preserve">– </v>
      </c>
      <c r="AM92" s="589" t="str">
        <f>_xll.ThomsonONEAddinShim.SpreadsheetFormulas.TF($B$3,"TF.es.eps.mean(period=4QCY2012,sdate=0d)")</f>
        <v xml:space="preserve">– </v>
      </c>
      <c r="AN92" s="587" t="str">
        <f>_xll.ThomsonONEAddinShim.SpreadsheetFormulas.TF($B$3,"TF.es.eps.mean(period=1QCY2014,sdate=0d)")</f>
        <v xml:space="preserve">– </v>
      </c>
      <c r="AO92" s="588" t="str">
        <f>_xll.ThomsonONEAddinShim.SpreadsheetFormulas.TF($B$3,"TF.es.eps.mean(period=2QCY2014,sdate=0d)")</f>
        <v xml:space="preserve">– </v>
      </c>
      <c r="AP92" s="588" t="str">
        <f>_xll.ThomsonONEAddinShim.SpreadsheetFormulas.TF($B$3,"TF.es.eps.mean(period=3QCY2014,sdate=0d)")</f>
        <v xml:space="preserve">– </v>
      </c>
      <c r="AQ92" s="589" t="str">
        <f>_xll.ThomsonONEAddinShim.SpreadsheetFormulas.TF($B$3,"TF.es.eps.mean(period=4QCY2014,sdate=0d)")</f>
        <v xml:space="preserve">– </v>
      </c>
      <c r="AR92" s="587" t="str">
        <f>_xll.ThomsonONEAddinShim.SpreadsheetFormulas.TF($B$3,"TF.es.eps.mean(period=1QCY2015,sdate=0d)")</f>
        <v xml:space="preserve">– </v>
      </c>
      <c r="AS92" s="588" t="str">
        <f>_xll.ThomsonONEAddinShim.SpreadsheetFormulas.TF($B$3,"TF.es.eps.mean(period=2QCY2015,sdate=0d)")</f>
        <v xml:space="preserve">– </v>
      </c>
      <c r="AT92" s="588" t="str">
        <f>_xll.ThomsonONEAddinShim.SpreadsheetFormulas.TF($B$3,"TF.es.eps.mean(period=3QCY2015,sdate=0d)")</f>
        <v xml:space="preserve">– </v>
      </c>
      <c r="AU92" s="589" t="str">
        <f>_xll.ThomsonONEAddinShim.SpreadsheetFormulas.TF($B$3,"TF.es.eps.mean(period=4QCY2015,sdate=0d)")</f>
        <v xml:space="preserve">– </v>
      </c>
      <c r="AV92" s="587" t="str">
        <f>_xll.ThomsonONEAddinShim.SpreadsheetFormulas.TF($B$3,"TF.es.eps.mean(period=1QCY2016,sdate=0d)")</f>
        <v xml:space="preserve">– </v>
      </c>
      <c r="AW92" s="588" t="str">
        <f>_xll.ThomsonONEAddinShim.SpreadsheetFormulas.TF($B$3,"TF.es.eps.mean(period=2QCY2016,sdate=0d)")</f>
        <v xml:space="preserve">– </v>
      </c>
      <c r="AX92" s="588" t="str">
        <f>_xll.ThomsonONEAddinShim.SpreadsheetFormulas.TF($B$3,"TF.es.eps.mean(period=3QCY2015,sdate=0d)")</f>
        <v xml:space="preserve">– </v>
      </c>
      <c r="AY92" s="589" t="str">
        <f>_xll.ThomsonONEAddinShim.SpreadsheetFormulas.TF($B$3,"TF.es.eps.mean(period=4QCY2015,sdate=0d)")</f>
        <v xml:space="preserve">– </v>
      </c>
      <c r="AZ92" s="587" t="str">
        <f>_xll.ThomsonONEAddinShim.SpreadsheetFormulas.TF($B$3,"TF.es.eps.mean(period=1QCY2016,sdate=0d)")</f>
        <v xml:space="preserve">– </v>
      </c>
      <c r="BA92" s="588" t="str">
        <f>_xll.ThomsonONEAddinShim.SpreadsheetFormulas.TF($B$3,"TF.es.eps.mean(period=2QCY2016,sdate=0d)")</f>
        <v xml:space="preserve">– </v>
      </c>
      <c r="BB92" s="588" t="str">
        <f>_xll.ThomsonONEAddinShim.SpreadsheetFormulas.TF($B$3,"TF.es.eps.mean(period=3QCY2015,sdate=0d)")</f>
        <v xml:space="preserve">– </v>
      </c>
      <c r="BC92" s="589" t="str">
        <f>_xll.ThomsonONEAddinShim.SpreadsheetFormulas.TF($B$3,"TF.es.eps.mean(period=4QCY2015,sdate=0d)")</f>
        <v xml:space="preserve">– </v>
      </c>
      <c r="BD92" s="587" t="str">
        <f>_xll.ThomsonONEAddinShim.SpreadsheetFormulas.TF($B$3,"TF.es.eps.mean(period=1QCY2016,sdate=0d)")</f>
        <v xml:space="preserve">– </v>
      </c>
      <c r="BE92" s="588" t="str">
        <f>_xll.ThomsonONEAddinShim.SpreadsheetFormulas.TF($B$3,"TF.es.eps.mean(period=2QCY2017,sdate=0d)")</f>
        <v xml:space="preserve">– </v>
      </c>
      <c r="BF92" s="588" t="str">
        <f>_xll.ThomsonONEAddinShim.SpreadsheetFormulas.TF($B$3,"TF.es.eps.mean(period=3QCY2017,sdate=0d)")</f>
        <v xml:space="preserve">– </v>
      </c>
      <c r="BG92" s="1121" t="str">
        <f>_xll.ThomsonONEAddinShim.SpreadsheetFormulas.TF($B$3,"TF.es.eps.mean(period=4QCY2017,sdate=0d)")</f>
        <v xml:space="preserve">– </v>
      </c>
      <c r="BH92" s="587" t="str">
        <f>_xll.ThomsonONEAddinShim.SpreadsheetFormulas.TF($B$3,"TF.es.eps.mean(period=1QCY2017,sdate=0d)")</f>
        <v xml:space="preserve">– </v>
      </c>
      <c r="BI92" s="588" t="str">
        <f>_xll.ThomsonONEAddinShim.SpreadsheetFormulas.TF($B$3,"TF.es.eps.mean(period=2QCY2017,sdate=0d)")</f>
        <v xml:space="preserve">– </v>
      </c>
      <c r="BJ92" s="588" t="str">
        <f>_xll.ThomsonONEAddinShim.SpreadsheetFormulas.TF($B$3,"TF.es.eps.mean(period=3QCY2017,sdate=0d)")</f>
        <v xml:space="preserve">– </v>
      </c>
      <c r="BK92" s="1121" t="str">
        <f>_xll.ThomsonONEAddinShim.SpreadsheetFormulas.TF($B$3,"TF.es.eps.mean(period=4QCY2017,sdate=0d)")</f>
        <v xml:space="preserve">– </v>
      </c>
      <c r="BL92" s="190"/>
      <c r="BM92" s="188"/>
      <c r="BN92" s="188"/>
      <c r="BO92" s="188"/>
      <c r="BP92" s="188"/>
      <c r="BQ92" s="188"/>
      <c r="BR92" s="188"/>
      <c r="BS92" s="188"/>
      <c r="BT92" s="188"/>
      <c r="BU92" s="188">
        <f>SUM(AJ92:AM92)</f>
        <v>0</v>
      </c>
      <c r="BV92" s="1164">
        <f>SUM(AN92:AQ92)</f>
        <v>0</v>
      </c>
      <c r="BW92" s="184">
        <f>SUM(AR92:AU92)</f>
        <v>0</v>
      </c>
      <c r="BX92" s="184">
        <f>SUM(AV92:AY92)</f>
        <v>0</v>
      </c>
      <c r="BY92" s="184">
        <f>SUM(AZ92:BC92)</f>
        <v>0</v>
      </c>
      <c r="BZ92" s="1164">
        <f>SUM(BD92:BG92)</f>
        <v>0</v>
      </c>
      <c r="CA92" s="1164">
        <f>SUM(BH92:BK92)</f>
        <v>0</v>
      </c>
      <c r="CB92" s="1139"/>
      <c r="CC92" s="191"/>
      <c r="CD92" s="192"/>
      <c r="CE92" s="192"/>
      <c r="CF92"/>
      <c r="CG92"/>
      <c r="CH92"/>
      <c r="CI92"/>
      <c r="CJ92"/>
      <c r="CK92"/>
    </row>
    <row r="93" spans="1:89" s="199" customFormat="1" ht="14.25" customHeight="1" collapsed="1">
      <c r="A93" s="194"/>
      <c r="B93" s="1126" t="s">
        <v>147</v>
      </c>
      <c r="C93" s="251"/>
      <c r="D93" s="614">
        <f>D87/D99</f>
        <v>0.35262234975290929</v>
      </c>
      <c r="E93" s="614">
        <f t="shared" ref="E93:BK93" si="308">E87/E99</f>
        <v>0.33724859211584873</v>
      </c>
      <c r="F93" s="614">
        <f t="shared" si="308"/>
        <v>0.32975260416666669</v>
      </c>
      <c r="G93" s="615">
        <f t="shared" si="308"/>
        <v>0.40482356749757203</v>
      </c>
      <c r="H93" s="614">
        <f t="shared" si="308"/>
        <v>0.23076923076923078</v>
      </c>
      <c r="I93" s="614">
        <f t="shared" si="308"/>
        <v>0.14621676891615543</v>
      </c>
      <c r="J93" s="614">
        <f t="shared" si="308"/>
        <v>0.21244855967078188</v>
      </c>
      <c r="K93" s="615">
        <f t="shared" si="308"/>
        <v>0.33265306122448979</v>
      </c>
      <c r="L93" s="614">
        <f t="shared" si="308"/>
        <v>0.28634661218930879</v>
      </c>
      <c r="M93" s="614">
        <f t="shared" si="308"/>
        <v>0.2300152104106811</v>
      </c>
      <c r="N93" s="614">
        <f t="shared" si="308"/>
        <v>0.28573822691469752</v>
      </c>
      <c r="O93" s="615">
        <f t="shared" si="308"/>
        <v>0.43851078167115903</v>
      </c>
      <c r="P93" s="614">
        <f t="shared" si="308"/>
        <v>0.3114475250893009</v>
      </c>
      <c r="Q93" s="614">
        <f t="shared" si="308"/>
        <v>0.31137931034482758</v>
      </c>
      <c r="R93" s="614">
        <f t="shared" si="308"/>
        <v>0.42955024595924102</v>
      </c>
      <c r="S93" s="615">
        <f t="shared" si="308"/>
        <v>0.23556019485038274</v>
      </c>
      <c r="T93" s="614">
        <f t="shared" si="308"/>
        <v>0.14483493077742279</v>
      </c>
      <c r="U93" s="614">
        <f t="shared" si="308"/>
        <v>-4.2537980339588916E-2</v>
      </c>
      <c r="V93" s="614">
        <f t="shared" si="308"/>
        <v>0.35790598290598291</v>
      </c>
      <c r="W93" s="615">
        <f t="shared" si="308"/>
        <v>0.31514614703277238</v>
      </c>
      <c r="X93" s="614">
        <f t="shared" si="308"/>
        <v>0.4374229889104031</v>
      </c>
      <c r="Y93" s="614">
        <f t="shared" si="308"/>
        <v>0.47399754859043952</v>
      </c>
      <c r="Z93" s="614">
        <f t="shared" si="308"/>
        <v>0.50772743238496665</v>
      </c>
      <c r="AA93" s="615">
        <f t="shared" si="308"/>
        <v>0.54195926966292129</v>
      </c>
      <c r="AB93" s="614">
        <f t="shared" si="308"/>
        <v>0.58080627898679982</v>
      </c>
      <c r="AC93" s="614">
        <f t="shared" si="308"/>
        <v>0.59088402867120016</v>
      </c>
      <c r="AD93" s="614">
        <f t="shared" si="308"/>
        <v>0.67059925093632955</v>
      </c>
      <c r="AE93" s="615">
        <f t="shared" si="308"/>
        <v>0.6818008393742846</v>
      </c>
      <c r="AF93" s="614">
        <f t="shared" si="308"/>
        <v>0.55893682588597848</v>
      </c>
      <c r="AG93" s="614">
        <f t="shared" si="308"/>
        <v>0.5628005385651087</v>
      </c>
      <c r="AH93" s="614">
        <f t="shared" si="308"/>
        <v>0.594216960993596</v>
      </c>
      <c r="AI93" s="615">
        <f t="shared" si="308"/>
        <v>0.50029440628066735</v>
      </c>
      <c r="AJ93" s="616">
        <f t="shared" si="308"/>
        <v>0.44087054931170855</v>
      </c>
      <c r="AK93" s="614">
        <f t="shared" si="308"/>
        <v>0.41954391628264304</v>
      </c>
      <c r="AL93" s="614">
        <f t="shared" si="308"/>
        <v>0.56066863544602341</v>
      </c>
      <c r="AM93" s="615">
        <f t="shared" si="308"/>
        <v>0.55634070504685984</v>
      </c>
      <c r="AN93" s="616">
        <f t="shared" si="308"/>
        <v>0.41814060351080601</v>
      </c>
      <c r="AO93" s="614">
        <f t="shared" si="308"/>
        <v>0.57165717236651503</v>
      </c>
      <c r="AP93" s="614">
        <f t="shared" si="308"/>
        <v>0.68493797580021565</v>
      </c>
      <c r="AQ93" s="615">
        <f t="shared" si="308"/>
        <v>0.74491072522556578</v>
      </c>
      <c r="AR93" s="616">
        <f t="shared" si="308"/>
        <v>0.44892144892144892</v>
      </c>
      <c r="AS93" s="614">
        <f t="shared" si="308"/>
        <v>0.62232633937665516</v>
      </c>
      <c r="AT93" s="614">
        <f t="shared" si="308"/>
        <v>0.65730106644790809</v>
      </c>
      <c r="AU93" s="615">
        <f t="shared" si="308"/>
        <v>0.76271534044298606</v>
      </c>
      <c r="AV93" s="1124">
        <f t="shared" si="308"/>
        <v>0.53928205128205131</v>
      </c>
      <c r="AW93" s="1125">
        <f t="shared" si="308"/>
        <v>0.58754623921085081</v>
      </c>
      <c r="AX93" s="1125">
        <f t="shared" si="308"/>
        <v>0.79680131228214068</v>
      </c>
      <c r="AY93" s="195">
        <f t="shared" si="308"/>
        <v>0.79184593321040775</v>
      </c>
      <c r="AZ93" s="1124">
        <f t="shared" si="308"/>
        <v>0.65929112886703545</v>
      </c>
      <c r="BA93" s="1125">
        <f t="shared" si="308"/>
        <v>0.72363261093911246</v>
      </c>
      <c r="BB93" s="1125">
        <f t="shared" si="308"/>
        <v>1.0056004978220285</v>
      </c>
      <c r="BC93" s="195">
        <f t="shared" si="308"/>
        <v>1.0816283924843424</v>
      </c>
      <c r="BD93" s="1124">
        <f t="shared" ref="BD93" si="309">BD87/BD99</f>
        <v>0.87160751565762007</v>
      </c>
      <c r="BE93" s="1125">
        <f t="shared" si="308"/>
        <v>0.85254595496431151</v>
      </c>
      <c r="BF93" s="1125">
        <f t="shared" si="308"/>
        <v>1.0389273592136095</v>
      </c>
      <c r="BG93" s="195">
        <f t="shared" si="308"/>
        <v>1.0505886253144305</v>
      </c>
      <c r="BH93" s="1124">
        <f t="shared" si="308"/>
        <v>0.85989588195814626</v>
      </c>
      <c r="BI93" s="1125">
        <f t="shared" si="308"/>
        <v>0.87562463959163694</v>
      </c>
      <c r="BJ93" s="1125">
        <f t="shared" si="308"/>
        <v>1.0398047139530111</v>
      </c>
      <c r="BK93" s="195">
        <f t="shared" si="308"/>
        <v>1.0858999097014097</v>
      </c>
      <c r="BL93" s="35"/>
      <c r="BM93" s="1125">
        <f>BM87/BM99</f>
        <v>1.4244256348246676</v>
      </c>
      <c r="BN93" s="1125">
        <f t="shared" ref="BN93:CA93" si="310">BN87/BN99</f>
        <v>0.92241013002464523</v>
      </c>
      <c r="BO93" s="1125">
        <f t="shared" si="310"/>
        <v>1.2409892799864946</v>
      </c>
      <c r="BP93" s="1125">
        <f t="shared" si="310"/>
        <v>1.2865608374064623</v>
      </c>
      <c r="BQ93" s="1125">
        <f t="shared" si="310"/>
        <v>0.77670075589150733</v>
      </c>
      <c r="BR93" s="1125">
        <f t="shared" si="310"/>
        <v>1.9611974365727329</v>
      </c>
      <c r="BS93" s="1125">
        <f t="shared" si="310"/>
        <v>2.5321559017985114</v>
      </c>
      <c r="BT93" s="1125">
        <f t="shared" si="310"/>
        <v>2.2169678763505982</v>
      </c>
      <c r="BU93" s="1125">
        <f t="shared" si="310"/>
        <v>1.9775820855699642</v>
      </c>
      <c r="BV93" s="1125">
        <f t="shared" si="310"/>
        <v>2.4135666220469387</v>
      </c>
      <c r="BW93" s="1125">
        <f t="shared" si="310"/>
        <v>2.4899106002554277</v>
      </c>
      <c r="BX93" s="1125">
        <f t="shared" si="310"/>
        <v>2.7158315811067233</v>
      </c>
      <c r="BY93" s="1125">
        <f t="shared" si="310"/>
        <v>3.46548068469773</v>
      </c>
      <c r="BZ93" s="1125">
        <f t="shared" si="310"/>
        <v>3.8136694551499728</v>
      </c>
      <c r="CA93" s="1125">
        <f t="shared" si="310"/>
        <v>3.8612251452042017</v>
      </c>
      <c r="CB93" s="195">
        <f t="shared" ref="CB93" si="311">CB87/CB98</f>
        <v>3.9346118184067844</v>
      </c>
      <c r="CC93" s="1231"/>
      <c r="CD93" s="1008"/>
      <c r="CE93" s="1008"/>
      <c r="CF93"/>
      <c r="CG93"/>
      <c r="CH93"/>
      <c r="CI93"/>
      <c r="CJ93"/>
      <c r="CK93"/>
    </row>
    <row r="94" spans="1:89" ht="14.25" customHeight="1">
      <c r="A94" s="18"/>
      <c r="B94" s="200"/>
      <c r="C94" s="201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202"/>
      <c r="AG94" s="202"/>
      <c r="AH94" s="202"/>
      <c r="AI94" s="202"/>
      <c r="AJ94" s="202"/>
      <c r="AK94" s="202"/>
      <c r="AL94" s="202"/>
      <c r="AM94" s="202"/>
      <c r="AN94" s="202" t="s">
        <v>2</v>
      </c>
      <c r="AO94" s="202"/>
      <c r="AP94" s="202"/>
      <c r="AQ94" s="202"/>
      <c r="AR94" s="202"/>
      <c r="AS94" s="202"/>
      <c r="AT94" s="202"/>
      <c r="AU94" s="202"/>
      <c r="AV94" s="202"/>
      <c r="AW94" s="202"/>
      <c r="AX94" s="202"/>
      <c r="AY94" s="202"/>
      <c r="AZ94" s="202"/>
      <c r="BA94" s="202"/>
      <c r="BB94" s="202"/>
      <c r="BC94" s="202"/>
      <c r="BD94" s="202"/>
      <c r="BE94" s="202"/>
      <c r="BF94" s="202"/>
      <c r="BG94" s="202"/>
      <c r="BH94" s="202"/>
      <c r="BI94" s="202"/>
      <c r="BJ94" s="202"/>
      <c r="BK94" s="202"/>
      <c r="BL94" s="18"/>
      <c r="BM94" s="74"/>
      <c r="BN94" s="74"/>
      <c r="BO94" s="74"/>
      <c r="BP94" s="74"/>
      <c r="BQ94" s="74"/>
      <c r="BR94" s="74"/>
      <c r="BS94" s="74"/>
      <c r="BT94" s="202"/>
      <c r="BU94" s="202"/>
      <c r="BV94" s="203"/>
      <c r="BW94" s="203"/>
      <c r="BX94" s="184"/>
      <c r="BY94" s="1164"/>
      <c r="BZ94" s="1164"/>
      <c r="CA94" s="1164"/>
      <c r="CB94" s="1164"/>
      <c r="CC94" s="26"/>
      <c r="CD94" s="26"/>
      <c r="CE94" s="26"/>
    </row>
    <row r="95" spans="1:89" ht="14.25" customHeight="1">
      <c r="A95" s="18"/>
      <c r="B95" s="204"/>
      <c r="C95" s="201"/>
      <c r="D95" s="74"/>
      <c r="E95" s="74"/>
      <c r="F95" s="205"/>
      <c r="G95" s="205"/>
      <c r="H95" s="74"/>
      <c r="I95" s="74"/>
      <c r="J95" s="205"/>
      <c r="K95" s="205"/>
      <c r="L95" s="74"/>
      <c r="M95" s="74"/>
      <c r="N95" s="205"/>
      <c r="O95" s="205"/>
      <c r="P95" s="74"/>
      <c r="Q95" s="74"/>
      <c r="R95" s="205"/>
      <c r="S95" s="205"/>
      <c r="T95" s="74"/>
      <c r="U95" s="74"/>
      <c r="V95" s="205"/>
      <c r="W95" s="205"/>
      <c r="X95" s="74"/>
      <c r="Y95" s="74"/>
      <c r="Z95" s="205"/>
      <c r="AA95" s="205"/>
      <c r="AB95" s="74"/>
      <c r="AC95" s="74"/>
      <c r="AD95" s="205"/>
      <c r="AE95" s="205"/>
      <c r="AF95" s="74"/>
      <c r="AG95" s="202"/>
      <c r="AH95" s="202"/>
      <c r="AI95" s="202"/>
      <c r="AJ95" s="202"/>
      <c r="AK95" s="202"/>
      <c r="AL95" s="202"/>
      <c r="AM95" s="202"/>
      <c r="AN95" s="202"/>
      <c r="AO95" s="202" t="s">
        <v>2</v>
      </c>
      <c r="AP95" s="202"/>
      <c r="AQ95" s="202"/>
      <c r="AR95" s="202"/>
      <c r="AS95" s="202"/>
      <c r="AT95" s="202"/>
      <c r="AU95" s="202"/>
      <c r="AV95" s="202"/>
      <c r="AW95" s="202"/>
      <c r="AX95" s="202"/>
      <c r="AY95" s="202"/>
      <c r="AZ95" s="202"/>
      <c r="BA95" s="206"/>
      <c r="BB95" s="206"/>
      <c r="BC95" s="202"/>
      <c r="BD95" s="206"/>
      <c r="BE95" s="206"/>
      <c r="BF95" s="206"/>
      <c r="BG95" s="206"/>
      <c r="BH95" s="206"/>
      <c r="BI95" s="206"/>
      <c r="BJ95" s="206"/>
      <c r="BK95" s="206"/>
      <c r="BL95" s="206"/>
      <c r="BM95" s="206"/>
      <c r="BN95" s="206"/>
      <c r="BO95" s="206"/>
      <c r="BP95" s="206"/>
      <c r="BQ95" s="206"/>
      <c r="BR95" s="206"/>
      <c r="BS95" s="206"/>
      <c r="BT95" s="206"/>
      <c r="BU95" s="206"/>
      <c r="BV95" s="206"/>
      <c r="BW95" s="206"/>
      <c r="BX95" s="206" t="s">
        <v>2</v>
      </c>
      <c r="BY95" s="202"/>
      <c r="BZ95" s="202"/>
      <c r="CA95" s="202"/>
      <c r="CB95" s="202"/>
      <c r="CC95" s="26"/>
      <c r="CD95" s="26"/>
      <c r="CE95" s="26"/>
    </row>
    <row r="96" spans="1:89" ht="14.25" customHeight="1">
      <c r="A96" s="18"/>
      <c r="B96" s="207" t="s">
        <v>148</v>
      </c>
      <c r="C96" s="208"/>
      <c r="D96" s="209" t="str">
        <f>+D$7</f>
        <v>F1Q05A</v>
      </c>
      <c r="E96" s="209" t="str">
        <f t="shared" ref="E96:CA96" si="312">+E$7</f>
        <v>F2Q05A</v>
      </c>
      <c r="F96" s="209" t="str">
        <f t="shared" si="312"/>
        <v>F3Q05A</v>
      </c>
      <c r="G96" s="209" t="str">
        <f t="shared" si="312"/>
        <v>F4Q05A</v>
      </c>
      <c r="H96" s="209" t="str">
        <f t="shared" si="312"/>
        <v>F1Q06A</v>
      </c>
      <c r="I96" s="209" t="str">
        <f t="shared" si="312"/>
        <v>F2Q06A</v>
      </c>
      <c r="J96" s="209" t="str">
        <f t="shared" si="312"/>
        <v>F3Q06A</v>
      </c>
      <c r="K96" s="209" t="str">
        <f t="shared" si="312"/>
        <v>F4Q06A</v>
      </c>
      <c r="L96" s="209" t="str">
        <f t="shared" si="312"/>
        <v>F1Q07A</v>
      </c>
      <c r="M96" s="209" t="str">
        <f t="shared" si="312"/>
        <v>F2Q07A</v>
      </c>
      <c r="N96" s="209" t="str">
        <f t="shared" si="312"/>
        <v>F3Q07A</v>
      </c>
      <c r="O96" s="209" t="str">
        <f t="shared" si="312"/>
        <v>F4Q07A</v>
      </c>
      <c r="P96" s="209" t="str">
        <f t="shared" si="312"/>
        <v>F1Q08A</v>
      </c>
      <c r="Q96" s="209" t="str">
        <f t="shared" si="312"/>
        <v>F2Q08A</v>
      </c>
      <c r="R96" s="209" t="str">
        <f t="shared" si="312"/>
        <v>F3Q08A</v>
      </c>
      <c r="S96" s="209" t="str">
        <f t="shared" si="312"/>
        <v>F4Q08A</v>
      </c>
      <c r="T96" s="209" t="str">
        <f t="shared" si="312"/>
        <v>F1Q09A</v>
      </c>
      <c r="U96" s="209" t="str">
        <f t="shared" si="312"/>
        <v>F2Q09A</v>
      </c>
      <c r="V96" s="209" t="str">
        <f t="shared" si="312"/>
        <v>F3Q09A</v>
      </c>
      <c r="W96" s="209" t="str">
        <f t="shared" si="312"/>
        <v>F4Q09A</v>
      </c>
      <c r="X96" s="209" t="str">
        <f t="shared" si="312"/>
        <v>F1Q10A</v>
      </c>
      <c r="Y96" s="209" t="str">
        <f t="shared" si="312"/>
        <v>F2Q10A</v>
      </c>
      <c r="Z96" s="209" t="str">
        <f t="shared" si="312"/>
        <v>F3Q10A</v>
      </c>
      <c r="AA96" s="209" t="str">
        <f t="shared" si="312"/>
        <v>F4Q10A</v>
      </c>
      <c r="AB96" s="209" t="str">
        <f t="shared" si="312"/>
        <v>F1Q11A</v>
      </c>
      <c r="AC96" s="209" t="str">
        <f t="shared" si="312"/>
        <v>F2Q11A</v>
      </c>
      <c r="AD96" s="209" t="str">
        <f t="shared" si="312"/>
        <v>F3Q11A</v>
      </c>
      <c r="AE96" s="209" t="str">
        <f t="shared" si="312"/>
        <v>F4Q11A</v>
      </c>
      <c r="AF96" s="209" t="str">
        <f t="shared" si="312"/>
        <v>F1Q12A</v>
      </c>
      <c r="AG96" s="209" t="str">
        <f t="shared" si="312"/>
        <v>F2Q12A</v>
      </c>
      <c r="AH96" s="209" t="str">
        <f t="shared" si="312"/>
        <v>F3Q12A</v>
      </c>
      <c r="AI96" s="209" t="str">
        <f t="shared" si="312"/>
        <v>F4Q12A</v>
      </c>
      <c r="AJ96" s="210" t="str">
        <f t="shared" si="312"/>
        <v>F1Q13A</v>
      </c>
      <c r="AK96" s="209" t="str">
        <f t="shared" si="312"/>
        <v>F2Q13A</v>
      </c>
      <c r="AL96" s="209" t="str">
        <f t="shared" si="312"/>
        <v>F3Q13A</v>
      </c>
      <c r="AM96" s="209" t="str">
        <f t="shared" si="312"/>
        <v>F4Q13A</v>
      </c>
      <c r="AN96" s="210" t="str">
        <f t="shared" si="312"/>
        <v>F1Q14A</v>
      </c>
      <c r="AO96" s="209" t="str">
        <f t="shared" si="312"/>
        <v>F2Q14A</v>
      </c>
      <c r="AP96" s="209" t="str">
        <f t="shared" si="312"/>
        <v>F3Q14A</v>
      </c>
      <c r="AQ96" s="209" t="str">
        <f t="shared" si="312"/>
        <v>F4Q14A</v>
      </c>
      <c r="AR96" s="210" t="str">
        <f t="shared" si="312"/>
        <v>F1Q15A</v>
      </c>
      <c r="AS96" s="209" t="str">
        <f t="shared" si="312"/>
        <v>F2Q15A</v>
      </c>
      <c r="AT96" s="209" t="str">
        <f t="shared" si="312"/>
        <v>F3Q15A</v>
      </c>
      <c r="AU96" s="209" t="str">
        <f t="shared" si="312"/>
        <v>F4Q15A</v>
      </c>
      <c r="AV96" s="210" t="str">
        <f t="shared" si="312"/>
        <v>F1Q16A</v>
      </c>
      <c r="AW96" s="209" t="str">
        <f t="shared" si="312"/>
        <v>F2Q16A</v>
      </c>
      <c r="AX96" s="209" t="str">
        <f t="shared" si="312"/>
        <v>F3Q16A</v>
      </c>
      <c r="AY96" s="209" t="str">
        <f t="shared" si="312"/>
        <v>F4Q16A</v>
      </c>
      <c r="AZ96" s="210" t="str">
        <f t="shared" si="312"/>
        <v>F1Q17A</v>
      </c>
      <c r="BA96" s="209" t="str">
        <f t="shared" si="312"/>
        <v>F2Q17A</v>
      </c>
      <c r="BB96" s="209" t="str">
        <f t="shared" si="312"/>
        <v>F3Q17A</v>
      </c>
      <c r="BC96" s="209" t="str">
        <f t="shared" si="312"/>
        <v>F4Q17A</v>
      </c>
      <c r="BD96" s="210" t="str">
        <f t="shared" si="312"/>
        <v>F1Q18A</v>
      </c>
      <c r="BE96" s="209" t="str">
        <f t="shared" si="312"/>
        <v>F2Q18E</v>
      </c>
      <c r="BF96" s="209" t="str">
        <f t="shared" si="312"/>
        <v>F3Q18E</v>
      </c>
      <c r="BG96" s="211" t="str">
        <f t="shared" si="312"/>
        <v>F4Q18E</v>
      </c>
      <c r="BH96" s="210" t="str">
        <f t="shared" si="312"/>
        <v>F1Q19E</v>
      </c>
      <c r="BI96" s="209" t="str">
        <f t="shared" si="312"/>
        <v>F2Q19E</v>
      </c>
      <c r="BJ96" s="209" t="str">
        <f t="shared" si="312"/>
        <v>F3Q19E</v>
      </c>
      <c r="BK96" s="211" t="str">
        <f t="shared" si="312"/>
        <v>F4Q19E</v>
      </c>
      <c r="BL96" s="18"/>
      <c r="BM96" s="210" t="str">
        <f t="shared" si="312"/>
        <v>FY2005A</v>
      </c>
      <c r="BN96" s="209" t="str">
        <f t="shared" si="312"/>
        <v>FY2006A</v>
      </c>
      <c r="BO96" s="209" t="str">
        <f t="shared" si="312"/>
        <v>FY2007A</v>
      </c>
      <c r="BP96" s="209" t="str">
        <f t="shared" si="312"/>
        <v>FY2008A</v>
      </c>
      <c r="BQ96" s="209" t="str">
        <f t="shared" si="312"/>
        <v>FY2009A</v>
      </c>
      <c r="BR96" s="209" t="str">
        <f t="shared" si="312"/>
        <v>FY2010A</v>
      </c>
      <c r="BS96" s="209" t="str">
        <f t="shared" si="312"/>
        <v>FY2011A</v>
      </c>
      <c r="BT96" s="209" t="str">
        <f t="shared" si="312"/>
        <v>FY2012A</v>
      </c>
      <c r="BU96" s="209" t="str">
        <f t="shared" si="312"/>
        <v>FY2013A</v>
      </c>
      <c r="BV96" s="209" t="str">
        <f t="shared" si="312"/>
        <v>FY2014</v>
      </c>
      <c r="BW96" s="209" t="str">
        <f t="shared" si="312"/>
        <v>FY2015</v>
      </c>
      <c r="BX96" s="209" t="str">
        <f t="shared" si="312"/>
        <v>FY2016</v>
      </c>
      <c r="BY96" s="210" t="str">
        <f t="shared" si="312"/>
        <v>FY2017A</v>
      </c>
      <c r="BZ96" s="209" t="str">
        <f t="shared" si="312"/>
        <v>FY2018E</v>
      </c>
      <c r="CA96" s="209" t="str">
        <f t="shared" si="312"/>
        <v>FY2019E</v>
      </c>
      <c r="CB96" s="211" t="str">
        <f t="shared" ref="CB96" si="313">+CB$7</f>
        <v>FY2020E</v>
      </c>
      <c r="CC96" s="37"/>
      <c r="CD96" s="26"/>
      <c r="CE96" s="26"/>
    </row>
    <row r="97" spans="1:89" s="222" customFormat="1" ht="14.25" customHeight="1">
      <c r="A97" s="212"/>
      <c r="B97" s="39" t="s">
        <v>149</v>
      </c>
      <c r="C97" s="213"/>
      <c r="D97" s="214">
        <v>6211</v>
      </c>
      <c r="E97" s="215">
        <v>6144</v>
      </c>
      <c r="F97" s="215">
        <v>6062</v>
      </c>
      <c r="G97" s="216">
        <v>6106</v>
      </c>
      <c r="H97" s="214">
        <v>5854</v>
      </c>
      <c r="I97" s="215">
        <v>5801</v>
      </c>
      <c r="J97" s="215">
        <v>5769</v>
      </c>
      <c r="K97" s="216">
        <v>5797</v>
      </c>
      <c r="L97" s="214">
        <v>5777</v>
      </c>
      <c r="M97" s="215">
        <v>5809</v>
      </c>
      <c r="N97" s="215">
        <v>5837</v>
      </c>
      <c r="O97" s="216">
        <v>5816</v>
      </c>
      <c r="P97" s="214">
        <v>5787</v>
      </c>
      <c r="Q97" s="215">
        <v>5699</v>
      </c>
      <c r="R97" s="215">
        <v>5603</v>
      </c>
      <c r="S97" s="216">
        <v>5663</v>
      </c>
      <c r="T97" s="214">
        <v>5573</v>
      </c>
      <c r="U97" s="215">
        <v>5595</v>
      </c>
      <c r="V97" s="215">
        <v>5537</v>
      </c>
      <c r="W97" s="216">
        <v>5557</v>
      </c>
      <c r="X97" s="214">
        <v>5529</v>
      </c>
      <c r="Y97" s="215">
        <v>5563</v>
      </c>
      <c r="Z97" s="215">
        <v>5575</v>
      </c>
      <c r="AA97" s="216">
        <v>5555</v>
      </c>
      <c r="AB97" s="214">
        <v>5452</v>
      </c>
      <c r="AC97" s="215">
        <v>5294</v>
      </c>
      <c r="AD97" s="215">
        <v>5194</v>
      </c>
      <c r="AE97" s="216">
        <v>5069</v>
      </c>
      <c r="AF97" s="214">
        <v>4999</v>
      </c>
      <c r="AG97" s="215">
        <v>5022</v>
      </c>
      <c r="AH97" s="215">
        <v>4996</v>
      </c>
      <c r="AI97" s="215">
        <v>4968</v>
      </c>
      <c r="AJ97" s="214">
        <v>4948</v>
      </c>
      <c r="AK97" s="215">
        <v>4978</v>
      </c>
      <c r="AL97" s="215">
        <v>4981</v>
      </c>
      <c r="AM97" s="215">
        <v>4971</v>
      </c>
      <c r="AN97" s="621">
        <v>4974</v>
      </c>
      <c r="AO97" s="622">
        <v>4981</v>
      </c>
      <c r="AP97" s="622">
        <v>4880</v>
      </c>
      <c r="AQ97" s="623">
        <v>4769</v>
      </c>
      <c r="AR97" s="621">
        <v>4741</v>
      </c>
      <c r="AS97" s="622">
        <v>4759</v>
      </c>
      <c r="AT97" s="622">
        <v>4747</v>
      </c>
      <c r="AU97" s="623">
        <v>4722</v>
      </c>
      <c r="AV97" s="621">
        <v>4722</v>
      </c>
      <c r="AW97" s="622">
        <v>4729</v>
      </c>
      <c r="AX97" s="622">
        <v>4734</v>
      </c>
      <c r="AY97" s="622">
        <v>4735</v>
      </c>
      <c r="AZ97" s="621">
        <v>4723</v>
      </c>
      <c r="BA97" s="622">
        <v>4710</v>
      </c>
      <c r="BB97" s="622">
        <v>4688</v>
      </c>
      <c r="BC97" s="622">
        <v>4683</v>
      </c>
      <c r="BD97" s="621">
        <v>4674</v>
      </c>
      <c r="BE97" s="622">
        <f t="shared" ref="BE97:BG97" si="314">BD97</f>
        <v>4674</v>
      </c>
      <c r="BF97" s="622">
        <f t="shared" si="314"/>
        <v>4674</v>
      </c>
      <c r="BG97" s="623">
        <f t="shared" si="314"/>
        <v>4674</v>
      </c>
      <c r="BH97" s="621">
        <f t="shared" ref="BH97:BH98" si="315">BG97</f>
        <v>4674</v>
      </c>
      <c r="BI97" s="622">
        <f t="shared" ref="BI97:BI98" si="316">BH97</f>
        <v>4674</v>
      </c>
      <c r="BJ97" s="622">
        <f t="shared" ref="BJ97:BJ98" si="317">BI97</f>
        <v>4674</v>
      </c>
      <c r="BK97" s="623">
        <f t="shared" ref="BK97:BK98" si="318">BJ97</f>
        <v>4674</v>
      </c>
      <c r="BL97" s="1127"/>
      <c r="BM97" s="217">
        <f>AVERAGE(D97:G97)</f>
        <v>6130.75</v>
      </c>
      <c r="BN97" s="218">
        <f>AVERAGE(H97:K97)</f>
        <v>5805.25</v>
      </c>
      <c r="BO97" s="218">
        <f>AVERAGE(L97:O97)</f>
        <v>5809.75</v>
      </c>
      <c r="BP97" s="218">
        <f>AVERAGE(P97:S97)</f>
        <v>5688</v>
      </c>
      <c r="BQ97" s="218">
        <f>AVERAGE(T97:W97)</f>
        <v>5565.5</v>
      </c>
      <c r="BR97" s="218">
        <f>AVERAGE(X97:AA97)</f>
        <v>5555.5</v>
      </c>
      <c r="BS97" s="218">
        <f>AVERAGE(AB97:AE97)</f>
        <v>5252.25</v>
      </c>
      <c r="BT97" s="218">
        <f>AVERAGE(AF97:AI97)</f>
        <v>4996.25</v>
      </c>
      <c r="BU97" s="218">
        <f>AVERAGE(AJ97:AM97)</f>
        <v>4969.5</v>
      </c>
      <c r="BV97" s="218">
        <f>AVERAGE(AN97:AQ97)</f>
        <v>4901</v>
      </c>
      <c r="BW97" s="218">
        <f>AVERAGE(AR97:AU97)</f>
        <v>4742.25</v>
      </c>
      <c r="BX97" s="218">
        <f>AVERAGE(AV97:AY97)</f>
        <v>4730</v>
      </c>
      <c r="BY97" s="218">
        <f>AVERAGE(AZ97:BC97)</f>
        <v>4701</v>
      </c>
      <c r="BZ97" s="218">
        <f>AVERAGE(BD97:BG97)</f>
        <v>4674</v>
      </c>
      <c r="CA97" s="218">
        <f>AVERAGE(BH97:BK97)</f>
        <v>4674</v>
      </c>
      <c r="CB97" s="219">
        <f t="shared" ref="CB97:CB98" si="319">CA97</f>
        <v>4674</v>
      </c>
      <c r="CC97" s="220"/>
      <c r="CD97" s="221"/>
      <c r="CE97" s="221"/>
      <c r="CF97"/>
      <c r="CG97"/>
      <c r="CH97"/>
      <c r="CI97"/>
      <c r="CJ97"/>
      <c r="CK97"/>
    </row>
    <row r="98" spans="1:89" s="222" customFormat="1" ht="14.25" customHeight="1">
      <c r="A98" s="212"/>
      <c r="B98" s="39" t="s">
        <v>150</v>
      </c>
      <c r="C98" s="213"/>
      <c r="D98" s="215">
        <v>6273</v>
      </c>
      <c r="E98" s="215">
        <v>6215</v>
      </c>
      <c r="F98" s="215">
        <v>6144</v>
      </c>
      <c r="G98" s="223">
        <v>6178</v>
      </c>
      <c r="H98" s="215">
        <v>5954</v>
      </c>
      <c r="I98" s="215">
        <v>5868</v>
      </c>
      <c r="J98" s="215">
        <v>5832</v>
      </c>
      <c r="K98" s="223">
        <v>5880</v>
      </c>
      <c r="L98" s="215">
        <v>5874</v>
      </c>
      <c r="M98" s="215">
        <v>5917</v>
      </c>
      <c r="N98" s="215">
        <v>5967</v>
      </c>
      <c r="O98" s="223">
        <v>5936</v>
      </c>
      <c r="P98" s="215">
        <v>5879</v>
      </c>
      <c r="Q98" s="215">
        <v>5800</v>
      </c>
      <c r="R98" s="215">
        <v>5692</v>
      </c>
      <c r="S98" s="223">
        <v>5748</v>
      </c>
      <c r="T98" s="215">
        <v>5634</v>
      </c>
      <c r="U98" s="215">
        <v>5595</v>
      </c>
      <c r="V98" s="215">
        <v>5616</v>
      </c>
      <c r="W98" s="223">
        <v>5645</v>
      </c>
      <c r="X98" s="215">
        <v>5681</v>
      </c>
      <c r="Y98" s="215">
        <v>5711</v>
      </c>
      <c r="Z98" s="215">
        <v>5694</v>
      </c>
      <c r="AA98" s="223">
        <v>5696</v>
      </c>
      <c r="AB98" s="215">
        <v>5606</v>
      </c>
      <c r="AC98" s="215">
        <v>5441</v>
      </c>
      <c r="AD98" s="215">
        <v>5340</v>
      </c>
      <c r="AE98" s="223">
        <v>5242</v>
      </c>
      <c r="AF98" s="215">
        <v>5192</v>
      </c>
      <c r="AG98" s="215">
        <v>5199</v>
      </c>
      <c r="AH98" s="215">
        <v>5153</v>
      </c>
      <c r="AI98" s="215">
        <v>5095</v>
      </c>
      <c r="AJ98" s="214">
        <v>5080</v>
      </c>
      <c r="AK98" s="215">
        <v>5106</v>
      </c>
      <c r="AL98" s="215">
        <v>5100</v>
      </c>
      <c r="AM98" s="215">
        <v>5103</v>
      </c>
      <c r="AN98" s="214">
        <v>5117</v>
      </c>
      <c r="AO98" s="215">
        <v>5123</v>
      </c>
      <c r="AP98" s="215">
        <v>5045</v>
      </c>
      <c r="AQ98" s="216">
        <v>4940</v>
      </c>
      <c r="AR98" s="214">
        <v>4914</v>
      </c>
      <c r="AS98" s="215">
        <v>4909</v>
      </c>
      <c r="AT98" s="215">
        <v>4876</v>
      </c>
      <c r="AU98" s="216">
        <v>4876</v>
      </c>
      <c r="AV98" s="214">
        <v>4875</v>
      </c>
      <c r="AW98" s="215">
        <v>4866</v>
      </c>
      <c r="AX98" s="215">
        <v>4877</v>
      </c>
      <c r="AY98" s="215">
        <v>4881</v>
      </c>
      <c r="AZ98" s="214">
        <v>4881</v>
      </c>
      <c r="BA98" s="215">
        <v>4845</v>
      </c>
      <c r="BB98" s="215">
        <v>4821</v>
      </c>
      <c r="BC98" s="215">
        <v>4683</v>
      </c>
      <c r="BD98" s="214">
        <v>4790</v>
      </c>
      <c r="BE98" s="215">
        <f t="shared" ref="BE98:BG98" si="320">BD98</f>
        <v>4790</v>
      </c>
      <c r="BF98" s="215">
        <f t="shared" si="320"/>
        <v>4790</v>
      </c>
      <c r="BG98" s="1278">
        <f t="shared" si="320"/>
        <v>4790</v>
      </c>
      <c r="BH98" s="214">
        <f t="shared" si="315"/>
        <v>4790</v>
      </c>
      <c r="BI98" s="215">
        <f t="shared" si="316"/>
        <v>4790</v>
      </c>
      <c r="BJ98" s="215">
        <f t="shared" si="317"/>
        <v>4790</v>
      </c>
      <c r="BK98" s="1278">
        <f t="shared" si="318"/>
        <v>4790</v>
      </c>
      <c r="BL98" s="1127"/>
      <c r="BM98" s="224">
        <f>AVERAGE(D98:G98)</f>
        <v>6202.5</v>
      </c>
      <c r="BN98" s="225">
        <f>AVERAGE(H98:K98)</f>
        <v>5883.5</v>
      </c>
      <c r="BO98" s="225">
        <f>AVERAGE(L98:O98)</f>
        <v>5923.5</v>
      </c>
      <c r="BP98" s="225">
        <f>AVERAGE(P98:S98)</f>
        <v>5779.75</v>
      </c>
      <c r="BQ98" s="225">
        <f>AVERAGE(T98:W98)</f>
        <v>5622.5</v>
      </c>
      <c r="BR98" s="225">
        <f>AVERAGE(X98:AA98)</f>
        <v>5695.5</v>
      </c>
      <c r="BS98" s="225">
        <f>AVERAGE(AB98:AE98)</f>
        <v>5407.25</v>
      </c>
      <c r="BT98" s="225">
        <f>AVERAGE(AF98:AI98)</f>
        <v>5159.75</v>
      </c>
      <c r="BU98" s="225">
        <f>AVERAGE(AJ98:AM98)</f>
        <v>5097.25</v>
      </c>
      <c r="BV98" s="225">
        <f>AVERAGE(AN98:AQ98)</f>
        <v>5056.25</v>
      </c>
      <c r="BW98" s="225">
        <f>AVERAGE(AR98:AU98)</f>
        <v>4893.75</v>
      </c>
      <c r="BX98" s="225">
        <f>AVERAGE(AV98:AY98)</f>
        <v>4874.75</v>
      </c>
      <c r="BY98" s="225">
        <f>AVERAGE(AZ98:BC98)</f>
        <v>4807.5</v>
      </c>
      <c r="BZ98" s="225">
        <f>AVERAGE(BD98:BG98)</f>
        <v>4790</v>
      </c>
      <c r="CA98" s="225">
        <f>AVERAGE(BH98:BK98)</f>
        <v>4790</v>
      </c>
      <c r="CB98" s="1171">
        <f t="shared" si="319"/>
        <v>4790</v>
      </c>
      <c r="CC98" s="220"/>
      <c r="CD98" s="221"/>
      <c r="CE98" s="221"/>
      <c r="CF98"/>
      <c r="CG98"/>
      <c r="CH98"/>
      <c r="CI98"/>
      <c r="CJ98"/>
      <c r="CK98"/>
    </row>
    <row r="99" spans="1:89" s="222" customFormat="1" ht="14.25" customHeight="1">
      <c r="A99" s="212"/>
      <c r="B99" s="39" t="s">
        <v>547</v>
      </c>
      <c r="C99" s="1171"/>
      <c r="D99" s="215">
        <f>D98</f>
        <v>6273</v>
      </c>
      <c r="E99" s="215">
        <f t="shared" ref="E99:BB99" si="321">E98</f>
        <v>6215</v>
      </c>
      <c r="F99" s="215">
        <f t="shared" si="321"/>
        <v>6144</v>
      </c>
      <c r="G99" s="1233">
        <f t="shared" si="321"/>
        <v>6178</v>
      </c>
      <c r="H99" s="215">
        <f t="shared" si="321"/>
        <v>5954</v>
      </c>
      <c r="I99" s="215">
        <f t="shared" si="321"/>
        <v>5868</v>
      </c>
      <c r="J99" s="215">
        <f t="shared" si="321"/>
        <v>5832</v>
      </c>
      <c r="K99" s="1233">
        <f t="shared" si="321"/>
        <v>5880</v>
      </c>
      <c r="L99" s="215">
        <f t="shared" si="321"/>
        <v>5874</v>
      </c>
      <c r="M99" s="215">
        <f t="shared" si="321"/>
        <v>5917</v>
      </c>
      <c r="N99" s="215">
        <f t="shared" si="321"/>
        <v>5967</v>
      </c>
      <c r="O99" s="1233">
        <f t="shared" si="321"/>
        <v>5936</v>
      </c>
      <c r="P99" s="215">
        <f t="shared" si="321"/>
        <v>5879</v>
      </c>
      <c r="Q99" s="215">
        <f t="shared" si="321"/>
        <v>5800</v>
      </c>
      <c r="R99" s="215">
        <f t="shared" si="321"/>
        <v>5692</v>
      </c>
      <c r="S99" s="1233">
        <f t="shared" si="321"/>
        <v>5748</v>
      </c>
      <c r="T99" s="215">
        <f t="shared" si="321"/>
        <v>5634</v>
      </c>
      <c r="U99" s="215">
        <f t="shared" si="321"/>
        <v>5595</v>
      </c>
      <c r="V99" s="215">
        <f t="shared" si="321"/>
        <v>5616</v>
      </c>
      <c r="W99" s="1233">
        <f t="shared" si="321"/>
        <v>5645</v>
      </c>
      <c r="X99" s="215">
        <f t="shared" si="321"/>
        <v>5681</v>
      </c>
      <c r="Y99" s="215">
        <f t="shared" si="321"/>
        <v>5711</v>
      </c>
      <c r="Z99" s="215">
        <f t="shared" si="321"/>
        <v>5694</v>
      </c>
      <c r="AA99" s="1233">
        <f t="shared" si="321"/>
        <v>5696</v>
      </c>
      <c r="AB99" s="215">
        <f t="shared" si="321"/>
        <v>5606</v>
      </c>
      <c r="AC99" s="215">
        <f t="shared" si="321"/>
        <v>5441</v>
      </c>
      <c r="AD99" s="215">
        <f t="shared" si="321"/>
        <v>5340</v>
      </c>
      <c r="AE99" s="1233">
        <f t="shared" si="321"/>
        <v>5242</v>
      </c>
      <c r="AF99" s="215">
        <f t="shared" si="321"/>
        <v>5192</v>
      </c>
      <c r="AG99" s="215">
        <f t="shared" si="321"/>
        <v>5199</v>
      </c>
      <c r="AH99" s="215">
        <f t="shared" si="321"/>
        <v>5153</v>
      </c>
      <c r="AI99" s="215">
        <f t="shared" si="321"/>
        <v>5095</v>
      </c>
      <c r="AJ99" s="214">
        <f t="shared" si="321"/>
        <v>5080</v>
      </c>
      <c r="AK99" s="215">
        <f t="shared" si="321"/>
        <v>5106</v>
      </c>
      <c r="AL99" s="215">
        <f t="shared" si="321"/>
        <v>5100</v>
      </c>
      <c r="AM99" s="215">
        <f t="shared" si="321"/>
        <v>5103</v>
      </c>
      <c r="AN99" s="214">
        <f t="shared" si="321"/>
        <v>5117</v>
      </c>
      <c r="AO99" s="215">
        <f t="shared" si="321"/>
        <v>5123</v>
      </c>
      <c r="AP99" s="215">
        <f t="shared" si="321"/>
        <v>5045</v>
      </c>
      <c r="AQ99" s="1092">
        <f t="shared" si="321"/>
        <v>4940</v>
      </c>
      <c r="AR99" s="214">
        <f t="shared" si="321"/>
        <v>4914</v>
      </c>
      <c r="AS99" s="215">
        <f t="shared" si="321"/>
        <v>4909</v>
      </c>
      <c r="AT99" s="215">
        <f t="shared" si="321"/>
        <v>4876</v>
      </c>
      <c r="AU99" s="1092">
        <f t="shared" si="321"/>
        <v>4876</v>
      </c>
      <c r="AV99" s="214">
        <f t="shared" si="321"/>
        <v>4875</v>
      </c>
      <c r="AW99" s="215">
        <f t="shared" si="321"/>
        <v>4866</v>
      </c>
      <c r="AX99" s="215">
        <f t="shared" si="321"/>
        <v>4877</v>
      </c>
      <c r="AY99" s="215">
        <f t="shared" si="321"/>
        <v>4881</v>
      </c>
      <c r="AZ99" s="214">
        <f t="shared" si="321"/>
        <v>4881</v>
      </c>
      <c r="BA99" s="215">
        <f t="shared" si="321"/>
        <v>4845</v>
      </c>
      <c r="BB99" s="215">
        <f t="shared" si="321"/>
        <v>4821</v>
      </c>
      <c r="BC99" s="215">
        <v>4790</v>
      </c>
      <c r="BD99" s="214">
        <f t="shared" ref="BD99:BK99" si="322">BC99</f>
        <v>4790</v>
      </c>
      <c r="BE99" s="215">
        <f t="shared" si="322"/>
        <v>4790</v>
      </c>
      <c r="BF99" s="215">
        <f t="shared" si="322"/>
        <v>4790</v>
      </c>
      <c r="BG99" s="1278">
        <f t="shared" si="322"/>
        <v>4790</v>
      </c>
      <c r="BH99" s="214">
        <f t="shared" si="322"/>
        <v>4790</v>
      </c>
      <c r="BI99" s="215">
        <f t="shared" si="322"/>
        <v>4790</v>
      </c>
      <c r="BJ99" s="215">
        <f t="shared" si="322"/>
        <v>4790</v>
      </c>
      <c r="BK99" s="1278">
        <f t="shared" si="322"/>
        <v>4790</v>
      </c>
      <c r="BL99" s="1127"/>
      <c r="BM99" s="224">
        <f>AVERAGE(D99:G99)</f>
        <v>6202.5</v>
      </c>
      <c r="BN99" s="225">
        <f>AVERAGE(H99:K99)</f>
        <v>5883.5</v>
      </c>
      <c r="BO99" s="225">
        <f>AVERAGE(L99:O99)</f>
        <v>5923.5</v>
      </c>
      <c r="BP99" s="225">
        <f>AVERAGE(P99:S99)</f>
        <v>5779.75</v>
      </c>
      <c r="BQ99" s="225">
        <f>AVERAGE(T99:W99)</f>
        <v>5622.5</v>
      </c>
      <c r="BR99" s="225">
        <f>AVERAGE(X99:AA99)</f>
        <v>5695.5</v>
      </c>
      <c r="BS99" s="225">
        <f>AVERAGE(AB99:AE99)</f>
        <v>5407.25</v>
      </c>
      <c r="BT99" s="225">
        <f>AVERAGE(AF99:AI99)</f>
        <v>5159.75</v>
      </c>
      <c r="BU99" s="225">
        <f>AVERAGE(AJ99:AM99)</f>
        <v>5097.25</v>
      </c>
      <c r="BV99" s="225">
        <f>AVERAGE(AN99:AQ99)</f>
        <v>5056.25</v>
      </c>
      <c r="BW99" s="225">
        <f>AVERAGE(AR99:AU99)</f>
        <v>4893.75</v>
      </c>
      <c r="BX99" s="225">
        <f>AVERAGE(AV99:AY99)</f>
        <v>4874.75</v>
      </c>
      <c r="BY99" s="225">
        <f>AVERAGE(AZ99:BC99)</f>
        <v>4834.25</v>
      </c>
      <c r="BZ99" s="225">
        <f>AVERAGE(BD99:BG99)</f>
        <v>4790</v>
      </c>
      <c r="CA99" s="225">
        <f>AVERAGE(BH99:BK99)</f>
        <v>4790</v>
      </c>
      <c r="CB99" s="1171">
        <f>CA99</f>
        <v>4790</v>
      </c>
      <c r="CC99" s="220"/>
      <c r="CD99" s="221"/>
      <c r="CE99" s="221"/>
      <c r="CF99"/>
      <c r="CG99"/>
      <c r="CH99"/>
      <c r="CI99"/>
      <c r="CJ99"/>
      <c r="CK99"/>
    </row>
    <row r="100" spans="1:89" s="222" customFormat="1" ht="13.5" customHeight="1">
      <c r="A100" s="212"/>
      <c r="B100" s="39" t="s">
        <v>151</v>
      </c>
      <c r="C100" s="213"/>
      <c r="D100" s="215"/>
      <c r="E100" s="215"/>
      <c r="F100" s="215"/>
      <c r="G100" s="223"/>
      <c r="H100" s="215"/>
      <c r="I100" s="215"/>
      <c r="J100" s="215"/>
      <c r="K100" s="223"/>
      <c r="L100" s="215"/>
      <c r="M100" s="215"/>
      <c r="N100" s="215"/>
      <c r="O100" s="223"/>
      <c r="P100" s="215"/>
      <c r="Q100" s="215"/>
      <c r="R100" s="215"/>
      <c r="S100" s="223"/>
      <c r="T100" s="215"/>
      <c r="U100" s="215"/>
      <c r="V100" s="215"/>
      <c r="W100" s="223"/>
      <c r="X100" s="215"/>
      <c r="Y100" s="215"/>
      <c r="Z100" s="215"/>
      <c r="AA100" s="223"/>
      <c r="AB100" s="215"/>
      <c r="AC100" s="215"/>
      <c r="AD100" s="215"/>
      <c r="AE100" s="223"/>
      <c r="AF100" s="215"/>
      <c r="AG100" s="215"/>
      <c r="AH100" s="215"/>
      <c r="AI100" s="215"/>
      <c r="AJ100" s="214"/>
      <c r="AK100" s="215"/>
      <c r="AL100" s="215"/>
      <c r="AM100" s="215"/>
      <c r="AN100" s="214"/>
      <c r="AO100" s="215"/>
      <c r="AP100" s="215"/>
      <c r="AQ100" s="216"/>
      <c r="AR100" s="214"/>
      <c r="AS100" s="215"/>
      <c r="AT100" s="215"/>
      <c r="AU100" s="216"/>
      <c r="AV100" s="214"/>
      <c r="AW100" s="215"/>
      <c r="AX100" s="215"/>
      <c r="AY100" s="215"/>
      <c r="AZ100" s="214"/>
      <c r="BA100" s="215"/>
      <c r="BB100" s="215"/>
      <c r="BC100" s="215"/>
      <c r="BD100" s="214"/>
      <c r="BE100" s="215"/>
      <c r="BF100" s="215"/>
      <c r="BG100" s="1278"/>
      <c r="BH100" s="214"/>
      <c r="BI100" s="215"/>
      <c r="BJ100" s="215"/>
      <c r="BK100" s="1278"/>
      <c r="BL100" s="1127"/>
      <c r="BM100" s="224"/>
      <c r="BN100" s="225"/>
      <c r="BO100" s="225"/>
      <c r="BP100" s="225"/>
      <c r="BQ100" s="225"/>
      <c r="BR100" s="225"/>
      <c r="BS100" s="225"/>
      <c r="BT100" s="225"/>
      <c r="BU100" s="225"/>
      <c r="BV100" s="225"/>
      <c r="BW100" s="225"/>
      <c r="BX100" s="225"/>
      <c r="BY100" s="225"/>
      <c r="BZ100" s="225"/>
      <c r="CA100" s="225"/>
      <c r="CB100" s="1171"/>
      <c r="CC100" s="220"/>
      <c r="CD100" s="221"/>
      <c r="CE100" s="221"/>
      <c r="CF100"/>
      <c r="CG100"/>
      <c r="CH100"/>
      <c r="CI100"/>
      <c r="CJ100"/>
      <c r="CK100"/>
    </row>
    <row r="101" spans="1:89" s="222" customFormat="1" ht="14.25" customHeight="1">
      <c r="A101" s="212"/>
      <c r="B101" s="39"/>
      <c r="C101" s="213"/>
      <c r="D101" s="215"/>
      <c r="E101" s="215"/>
      <c r="F101" s="215"/>
      <c r="G101" s="223"/>
      <c r="H101" s="215"/>
      <c r="I101" s="215"/>
      <c r="J101" s="215"/>
      <c r="K101" s="223"/>
      <c r="L101" s="215"/>
      <c r="M101" s="215"/>
      <c r="N101" s="215"/>
      <c r="O101" s="223"/>
      <c r="P101" s="215"/>
      <c r="Q101" s="215"/>
      <c r="R101" s="215"/>
      <c r="S101" s="223"/>
      <c r="T101" s="215"/>
      <c r="U101" s="215"/>
      <c r="V101" s="215"/>
      <c r="W101" s="223"/>
      <c r="X101" s="215"/>
      <c r="Y101" s="215"/>
      <c r="Z101" s="215"/>
      <c r="AA101" s="223"/>
      <c r="AB101" s="215"/>
      <c r="AC101" s="215"/>
      <c r="AD101" s="215"/>
      <c r="AE101" s="223"/>
      <c r="AF101" s="215"/>
      <c r="AG101" s="215"/>
      <c r="AH101" s="215"/>
      <c r="AI101" s="215"/>
      <c r="AJ101" s="214"/>
      <c r="AK101" s="215"/>
      <c r="AL101" s="215"/>
      <c r="AM101" s="215"/>
      <c r="AN101" s="214"/>
      <c r="AO101" s="215"/>
      <c r="AP101" s="215"/>
      <c r="AQ101" s="216"/>
      <c r="AR101" s="214"/>
      <c r="AS101" s="215"/>
      <c r="AT101" s="215"/>
      <c r="AU101" s="216"/>
      <c r="AV101" s="214"/>
      <c r="AW101" s="215"/>
      <c r="AX101" s="215"/>
      <c r="AY101" s="215"/>
      <c r="AZ101" s="214"/>
      <c r="BA101" s="215"/>
      <c r="BB101" s="215"/>
      <c r="BC101" s="215"/>
      <c r="BD101" s="214"/>
      <c r="BE101" s="215"/>
      <c r="BF101" s="215"/>
      <c r="BG101" s="1278"/>
      <c r="BH101" s="214"/>
      <c r="BI101" s="215"/>
      <c r="BJ101" s="215"/>
      <c r="BK101" s="1278"/>
      <c r="BL101" s="1127"/>
      <c r="BM101" s="226"/>
      <c r="BN101" s="227"/>
      <c r="BO101" s="227"/>
      <c r="BP101" s="227"/>
      <c r="BQ101" s="227"/>
      <c r="BR101" s="227"/>
      <c r="BS101" s="227"/>
      <c r="BT101" s="227"/>
      <c r="BU101" s="227"/>
      <c r="BV101" s="227"/>
      <c r="BW101" s="227"/>
      <c r="BX101" s="227"/>
      <c r="BY101" s="227"/>
      <c r="BZ101" s="227"/>
      <c r="CA101" s="227"/>
      <c r="CB101" s="1172"/>
      <c r="CC101" s="220"/>
      <c r="CD101" s="221"/>
      <c r="CE101" s="221"/>
      <c r="CF101"/>
      <c r="CG101"/>
      <c r="CH101"/>
      <c r="CI101"/>
      <c r="CJ101"/>
      <c r="CK101"/>
    </row>
    <row r="102" spans="1:89" s="127" customFormat="1" ht="14.25" customHeight="1" outlineLevel="1">
      <c r="A102" s="51"/>
      <c r="B102" s="39" t="s">
        <v>152</v>
      </c>
      <c r="C102" s="89"/>
      <c r="D102" s="228">
        <v>6173</v>
      </c>
      <c r="E102" s="228">
        <v>6093</v>
      </c>
      <c r="F102" s="228">
        <v>6028</v>
      </c>
      <c r="G102" s="92">
        <v>5919</v>
      </c>
      <c r="H102" s="228">
        <v>5808</v>
      </c>
      <c r="I102" s="228">
        <v>5767</v>
      </c>
      <c r="J102" s="228">
        <v>5758</v>
      </c>
      <c r="K102" s="92">
        <v>5766</v>
      </c>
      <c r="L102" s="228">
        <v>5781</v>
      </c>
      <c r="M102" s="228">
        <v>5823</v>
      </c>
      <c r="N102" s="228">
        <v>5837</v>
      </c>
      <c r="O102" s="92">
        <v>5818</v>
      </c>
      <c r="P102" s="228">
        <v>5722</v>
      </c>
      <c r="Q102" s="228">
        <v>5640</v>
      </c>
      <c r="R102" s="228">
        <v>5562</v>
      </c>
      <c r="S102" s="92">
        <v>5562</v>
      </c>
      <c r="T102" s="228">
        <v>5585</v>
      </c>
      <c r="U102" s="228">
        <v>5597</v>
      </c>
      <c r="V102" s="228">
        <v>5520</v>
      </c>
      <c r="W102" s="92">
        <v>5523</v>
      </c>
      <c r="X102" s="228">
        <v>5537</v>
      </c>
      <c r="Y102" s="228">
        <v>5567</v>
      </c>
      <c r="Z102" s="228">
        <v>5576</v>
      </c>
      <c r="AA102" s="92">
        <v>5511</v>
      </c>
      <c r="AB102" s="228">
        <v>5336</v>
      </c>
      <c r="AC102" s="228">
        <v>5285</v>
      </c>
      <c r="AD102" s="228">
        <v>5118</v>
      </c>
      <c r="AE102" s="92">
        <v>5000</v>
      </c>
      <c r="AF102" s="229">
        <f>AF98</f>
        <v>5192</v>
      </c>
      <c r="AG102" s="96">
        <f>+AG98</f>
        <v>5199</v>
      </c>
      <c r="AH102" s="96">
        <f>+AH98</f>
        <v>5153</v>
      </c>
      <c r="AI102" s="98">
        <f t="shared" ref="AI102:AR102" si="323">+AI98</f>
        <v>5095</v>
      </c>
      <c r="AJ102" s="97">
        <f t="shared" si="323"/>
        <v>5080</v>
      </c>
      <c r="AK102" s="96">
        <f t="shared" si="323"/>
        <v>5106</v>
      </c>
      <c r="AL102" s="96">
        <f>+AL98</f>
        <v>5100</v>
      </c>
      <c r="AM102" s="96">
        <f t="shared" si="323"/>
        <v>5103</v>
      </c>
      <c r="AN102" s="97">
        <f>+AN98</f>
        <v>5117</v>
      </c>
      <c r="AO102" s="96">
        <f>+AO98</f>
        <v>5123</v>
      </c>
      <c r="AP102" s="96">
        <f>+AP98</f>
        <v>5045</v>
      </c>
      <c r="AQ102" s="98">
        <f t="shared" si="323"/>
        <v>4940</v>
      </c>
      <c r="AR102" s="97">
        <f t="shared" si="323"/>
        <v>4914</v>
      </c>
      <c r="AS102" s="96">
        <f t="shared" ref="AS102:AW102" si="324">+AS98</f>
        <v>4909</v>
      </c>
      <c r="AT102" s="96">
        <f t="shared" si="324"/>
        <v>4876</v>
      </c>
      <c r="AU102" s="98">
        <f t="shared" si="324"/>
        <v>4876</v>
      </c>
      <c r="AV102" s="97">
        <f t="shared" si="324"/>
        <v>4875</v>
      </c>
      <c r="AW102" s="96">
        <f t="shared" si="324"/>
        <v>4866</v>
      </c>
      <c r="AX102" s="96">
        <f t="shared" ref="AX102:AZ102" si="325">+AX98</f>
        <v>4877</v>
      </c>
      <c r="AY102" s="96">
        <f t="shared" si="325"/>
        <v>4881</v>
      </c>
      <c r="AZ102" s="97">
        <f t="shared" si="325"/>
        <v>4881</v>
      </c>
      <c r="BA102" s="96">
        <f t="shared" ref="BA102:BB102" si="326">+BA98</f>
        <v>4845</v>
      </c>
      <c r="BB102" s="96">
        <f t="shared" si="326"/>
        <v>4821</v>
      </c>
      <c r="BC102" s="96">
        <f>BC99</f>
        <v>4790</v>
      </c>
      <c r="BD102" s="97">
        <f t="shared" ref="BD102:BK102" si="327">BD99</f>
        <v>4790</v>
      </c>
      <c r="BE102" s="96">
        <f t="shared" si="327"/>
        <v>4790</v>
      </c>
      <c r="BF102" s="96">
        <f t="shared" si="327"/>
        <v>4790</v>
      </c>
      <c r="BG102" s="1279">
        <f t="shared" si="327"/>
        <v>4790</v>
      </c>
      <c r="BH102" s="97">
        <f t="shared" si="327"/>
        <v>4790</v>
      </c>
      <c r="BI102" s="96">
        <f t="shared" si="327"/>
        <v>4790</v>
      </c>
      <c r="BJ102" s="96">
        <f t="shared" si="327"/>
        <v>4790</v>
      </c>
      <c r="BK102" s="1279">
        <f t="shared" si="327"/>
        <v>4790</v>
      </c>
      <c r="BL102" s="1128"/>
      <c r="BM102" s="159">
        <f t="shared" ref="BM102:BT102" si="328">AB102</f>
        <v>5336</v>
      </c>
      <c r="BN102" s="229">
        <f t="shared" si="328"/>
        <v>5285</v>
      </c>
      <c r="BO102" s="229">
        <f t="shared" si="328"/>
        <v>5118</v>
      </c>
      <c r="BP102" s="229">
        <f t="shared" si="328"/>
        <v>5000</v>
      </c>
      <c r="BQ102" s="229">
        <f t="shared" si="328"/>
        <v>5192</v>
      </c>
      <c r="BR102" s="229">
        <f t="shared" si="328"/>
        <v>5199</v>
      </c>
      <c r="BS102" s="229">
        <f t="shared" si="328"/>
        <v>5153</v>
      </c>
      <c r="BT102" s="229">
        <f t="shared" si="328"/>
        <v>5095</v>
      </c>
      <c r="BU102" s="229">
        <f>AM102</f>
        <v>5103</v>
      </c>
      <c r="BV102" s="229">
        <f>AN102</f>
        <v>5117</v>
      </c>
      <c r="BW102" s="229">
        <f>AO102</f>
        <v>5123</v>
      </c>
      <c r="BX102" s="229">
        <f>+BX98</f>
        <v>4874.75</v>
      </c>
      <c r="BY102" s="229">
        <f>BY99</f>
        <v>4834.25</v>
      </c>
      <c r="BZ102" s="229">
        <f>BZ99</f>
        <v>4790</v>
      </c>
      <c r="CA102" s="229">
        <f t="shared" ref="CA102:CB102" si="329">CA99</f>
        <v>4790</v>
      </c>
      <c r="CB102" s="229">
        <f t="shared" si="329"/>
        <v>4790</v>
      </c>
      <c r="CC102" s="99"/>
      <c r="CD102" s="100"/>
      <c r="CE102" s="100"/>
      <c r="CF102"/>
      <c r="CG102"/>
      <c r="CH102"/>
      <c r="CI102"/>
      <c r="CJ102"/>
      <c r="CK102"/>
    </row>
    <row r="103" spans="1:89" ht="14.25" customHeight="1" outlineLevel="1">
      <c r="A103" s="18"/>
      <c r="B103" s="39"/>
      <c r="C103" s="68"/>
      <c r="D103" s="230"/>
      <c r="E103" s="231"/>
      <c r="F103" s="231"/>
      <c r="G103" s="232"/>
      <c r="H103" s="230"/>
      <c r="I103" s="231"/>
      <c r="J103" s="231"/>
      <c r="K103" s="232"/>
      <c r="L103" s="230"/>
      <c r="M103" s="231"/>
      <c r="N103" s="231"/>
      <c r="O103" s="232"/>
      <c r="P103" s="230"/>
      <c r="Q103" s="231"/>
      <c r="R103" s="231"/>
      <c r="S103" s="232"/>
      <c r="T103" s="230"/>
      <c r="U103" s="231"/>
      <c r="V103" s="231"/>
      <c r="W103" s="232"/>
      <c r="X103" s="230"/>
      <c r="Y103" s="231"/>
      <c r="Z103" s="231"/>
      <c r="AA103" s="232"/>
      <c r="AB103" s="230"/>
      <c r="AC103" s="231"/>
      <c r="AD103" s="231"/>
      <c r="AE103" s="232"/>
      <c r="AF103" s="230"/>
      <c r="AG103" s="231"/>
      <c r="AH103" s="231"/>
      <c r="AI103" s="231"/>
      <c r="AJ103" s="233"/>
      <c r="AK103" s="231"/>
      <c r="AL103" s="231"/>
      <c r="AM103" s="231"/>
      <c r="AN103" s="233"/>
      <c r="AO103" s="231"/>
      <c r="AP103" s="231"/>
      <c r="AQ103" s="232"/>
      <c r="AR103" s="625"/>
      <c r="AS103" s="231"/>
      <c r="AT103" s="231"/>
      <c r="AU103" s="232"/>
      <c r="AV103" s="625"/>
      <c r="AW103" s="231"/>
      <c r="AX103" s="231"/>
      <c r="AY103" s="231"/>
      <c r="AZ103" s="625"/>
      <c r="BA103" s="231"/>
      <c r="BB103" s="231"/>
      <c r="BC103" s="231"/>
      <c r="BD103" s="233"/>
      <c r="BE103" s="231"/>
      <c r="BF103" s="231"/>
      <c r="BG103" s="1280"/>
      <c r="BH103" s="233"/>
      <c r="BI103" s="231"/>
      <c r="BJ103" s="231"/>
      <c r="BK103" s="1280"/>
      <c r="BL103" s="1129"/>
      <c r="BM103" s="75"/>
      <c r="BN103" s="74"/>
      <c r="BO103" s="74"/>
      <c r="BP103" s="74"/>
      <c r="BQ103" s="74"/>
      <c r="BR103" s="74"/>
      <c r="BS103" s="74"/>
      <c r="BT103" s="74"/>
      <c r="BU103" s="74"/>
      <c r="BV103" s="74"/>
      <c r="BW103" s="74"/>
      <c r="BX103" s="74"/>
      <c r="BY103" s="74"/>
      <c r="BZ103" s="74"/>
      <c r="CA103" s="74"/>
      <c r="CB103" s="1173"/>
      <c r="CC103" s="37"/>
      <c r="CD103" s="26"/>
      <c r="CE103" s="26"/>
    </row>
    <row r="104" spans="1:89" s="244" customFormat="1" ht="14.25" customHeight="1">
      <c r="A104" s="234"/>
      <c r="B104" s="235" t="s">
        <v>153</v>
      </c>
      <c r="C104" s="236"/>
      <c r="D104" s="237">
        <v>0</v>
      </c>
      <c r="E104" s="237">
        <v>0</v>
      </c>
      <c r="F104" s="237">
        <v>0</v>
      </c>
      <c r="G104" s="238">
        <v>0</v>
      </c>
      <c r="H104" s="237">
        <v>0</v>
      </c>
      <c r="I104" s="237">
        <v>0</v>
      </c>
      <c r="J104" s="237">
        <v>0</v>
      </c>
      <c r="K104" s="238">
        <v>0</v>
      </c>
      <c r="L104" s="237">
        <v>0</v>
      </c>
      <c r="M104" s="237">
        <v>0</v>
      </c>
      <c r="N104" s="237">
        <v>0</v>
      </c>
      <c r="O104" s="238">
        <v>0</v>
      </c>
      <c r="P104" s="237">
        <v>0</v>
      </c>
      <c r="Q104" s="237">
        <v>0</v>
      </c>
      <c r="R104" s="237">
        <v>0</v>
      </c>
      <c r="S104" s="238">
        <v>0</v>
      </c>
      <c r="T104" s="237">
        <v>0</v>
      </c>
      <c r="U104" s="237">
        <v>0</v>
      </c>
      <c r="V104" s="237">
        <v>0</v>
      </c>
      <c r="W104" s="238">
        <v>0</v>
      </c>
      <c r="X104" s="237">
        <v>0</v>
      </c>
      <c r="Y104" s="237">
        <v>0</v>
      </c>
      <c r="Z104" s="237">
        <v>0</v>
      </c>
      <c r="AA104" s="238">
        <v>0</v>
      </c>
      <c r="AB104" s="237">
        <v>0</v>
      </c>
      <c r="AC104" s="237">
        <v>0</v>
      </c>
      <c r="AD104" s="237">
        <v>0</v>
      </c>
      <c r="AE104" s="238">
        <v>0</v>
      </c>
      <c r="AF104" s="237">
        <v>0.21</v>
      </c>
      <c r="AG104" s="237">
        <v>0.21</v>
      </c>
      <c r="AH104" s="237">
        <v>0.22500000000000001</v>
      </c>
      <c r="AI104" s="237">
        <f>+AH104</f>
        <v>0.22500000000000001</v>
      </c>
      <c r="AJ104" s="239">
        <f t="shared" ref="AJ104:AQ104" si="330">+AI104</f>
        <v>0.22500000000000001</v>
      </c>
      <c r="AK104" s="237">
        <f t="shared" si="330"/>
        <v>0.22500000000000001</v>
      </c>
      <c r="AL104" s="237">
        <f t="shared" si="330"/>
        <v>0.22500000000000001</v>
      </c>
      <c r="AM104" s="237">
        <f>+AL104</f>
        <v>0.22500000000000001</v>
      </c>
      <c r="AN104" s="239">
        <f t="shared" si="330"/>
        <v>0.22500000000000001</v>
      </c>
      <c r="AO104" s="237">
        <f t="shared" si="330"/>
        <v>0.22500000000000001</v>
      </c>
      <c r="AP104" s="237">
        <f t="shared" si="330"/>
        <v>0.22500000000000001</v>
      </c>
      <c r="AQ104" s="238">
        <f t="shared" si="330"/>
        <v>0.22500000000000001</v>
      </c>
      <c r="AR104" s="239">
        <v>0.24</v>
      </c>
      <c r="AS104" s="694">
        <f t="shared" ref="AS104:AW104" si="331">+AR104</f>
        <v>0.24</v>
      </c>
      <c r="AT104" s="694">
        <f>AS104</f>
        <v>0.24</v>
      </c>
      <c r="AU104" s="238">
        <f>AT104</f>
        <v>0.24</v>
      </c>
      <c r="AV104" s="239">
        <v>0.26</v>
      </c>
      <c r="AW104" s="694">
        <f t="shared" si="331"/>
        <v>0.26</v>
      </c>
      <c r="AX104" s="694">
        <f>AW104</f>
        <v>0.26</v>
      </c>
      <c r="AY104" s="237">
        <f>AX104</f>
        <v>0.26</v>
      </c>
      <c r="AZ104" s="239">
        <v>0.26</v>
      </c>
      <c r="BA104" s="237">
        <v>0.27300000000000002</v>
      </c>
      <c r="BB104" s="237">
        <v>0.27300000000000002</v>
      </c>
      <c r="BC104" s="237">
        <v>0.27300000000000002</v>
      </c>
      <c r="BD104" s="239">
        <f t="shared" ref="BD104" si="332">+BC104</f>
        <v>0.27300000000000002</v>
      </c>
      <c r="BE104" s="237">
        <f t="shared" ref="BE104" si="333">+BD104</f>
        <v>0.27300000000000002</v>
      </c>
      <c r="BF104" s="237">
        <f t="shared" ref="BF104" si="334">+BE104</f>
        <v>0.27300000000000002</v>
      </c>
      <c r="BG104" s="1281">
        <f t="shared" ref="BG104" si="335">+BF104</f>
        <v>0.27300000000000002</v>
      </c>
      <c r="BH104" s="239">
        <f t="shared" ref="BH104" si="336">+BG104</f>
        <v>0.27300000000000002</v>
      </c>
      <c r="BI104" s="237">
        <f t="shared" ref="BI104" si="337">+BH104</f>
        <v>0.27300000000000002</v>
      </c>
      <c r="BJ104" s="237">
        <f t="shared" ref="BJ104" si="338">+BI104</f>
        <v>0.27300000000000002</v>
      </c>
      <c r="BK104" s="1281">
        <f t="shared" ref="BK104" si="339">+BJ104</f>
        <v>0.27300000000000002</v>
      </c>
      <c r="BL104" s="1130"/>
      <c r="BM104" s="240">
        <f>SUM(D104:G104)</f>
        <v>0</v>
      </c>
      <c r="BN104" s="241">
        <f>SUM(H104:K104)</f>
        <v>0</v>
      </c>
      <c r="BO104" s="241">
        <f>SUM(L104:O104)</f>
        <v>0</v>
      </c>
      <c r="BP104" s="241">
        <f>SUM(P104:S104)</f>
        <v>0</v>
      </c>
      <c r="BQ104" s="241">
        <f>SUM(T104:W104)</f>
        <v>0</v>
      </c>
      <c r="BR104" s="241">
        <f>SUM(X104:AA104)</f>
        <v>0</v>
      </c>
      <c r="BS104" s="241">
        <f>SUM(AB104:AE104)</f>
        <v>0</v>
      </c>
      <c r="BT104" s="241">
        <f>SUM(AF104:AI104)</f>
        <v>0.87</v>
      </c>
      <c r="BU104" s="241">
        <f>SUM(AJ104:AM104)</f>
        <v>0.9</v>
      </c>
      <c r="BV104" s="241">
        <f>SUM(AN104:AQ104)</f>
        <v>0.9</v>
      </c>
      <c r="BW104" s="241">
        <f>SUM(AR104:AU104)</f>
        <v>0.96</v>
      </c>
      <c r="BX104" s="241">
        <f>SUM(AV104:AY104)</f>
        <v>1.04</v>
      </c>
      <c r="BY104" s="241">
        <f>SUM(AZ104:BC104)</f>
        <v>1.0790000000000002</v>
      </c>
      <c r="BZ104" s="241">
        <f>SUM(BD104:BG104)</f>
        <v>1.0920000000000001</v>
      </c>
      <c r="CA104" s="241">
        <f>SUM(BH104:BK104)</f>
        <v>1.0920000000000001</v>
      </c>
      <c r="CB104" s="1198">
        <f>CA104</f>
        <v>1.0920000000000001</v>
      </c>
      <c r="CC104" s="242"/>
      <c r="CD104" s="243"/>
      <c r="CE104" s="243"/>
      <c r="CF104"/>
      <c r="CG104"/>
      <c r="CH104"/>
      <c r="CI104"/>
      <c r="CJ104"/>
      <c r="CK104"/>
    </row>
    <row r="105" spans="1:89" ht="14.25" customHeight="1">
      <c r="A105" s="18"/>
      <c r="B105" s="39"/>
      <c r="C105" s="68"/>
      <c r="D105" s="245"/>
      <c r="E105" s="245"/>
      <c r="F105" s="246"/>
      <c r="G105" s="247"/>
      <c r="H105" s="245"/>
      <c r="I105" s="245"/>
      <c r="J105" s="246"/>
      <c r="K105" s="247"/>
      <c r="L105" s="245"/>
      <c r="M105" s="245"/>
      <c r="N105" s="246"/>
      <c r="O105" s="247"/>
      <c r="P105" s="245"/>
      <c r="Q105" s="245"/>
      <c r="R105" s="246"/>
      <c r="S105" s="247"/>
      <c r="T105" s="245"/>
      <c r="U105" s="245"/>
      <c r="V105" s="246"/>
      <c r="W105" s="247"/>
      <c r="X105" s="245"/>
      <c r="Y105" s="245"/>
      <c r="Z105" s="246"/>
      <c r="AA105" s="247"/>
      <c r="AB105" s="245"/>
      <c r="AC105" s="106"/>
      <c r="AD105" s="106"/>
      <c r="AE105" s="247"/>
      <c r="AF105" s="246"/>
      <c r="AG105" s="107"/>
      <c r="AH105" s="107"/>
      <c r="AI105" s="107"/>
      <c r="AJ105" s="108"/>
      <c r="AK105" s="107"/>
      <c r="AL105" s="107"/>
      <c r="AM105" s="107"/>
      <c r="AN105" s="108"/>
      <c r="AO105" s="107"/>
      <c r="AP105" s="107"/>
      <c r="AQ105" s="109"/>
      <c r="AR105" s="108"/>
      <c r="AS105" s="107"/>
      <c r="AT105" s="107"/>
      <c r="AU105" s="109"/>
      <c r="AV105" s="108"/>
      <c r="AW105" s="107"/>
      <c r="AX105" s="107"/>
      <c r="AY105" s="107"/>
      <c r="AZ105" s="108"/>
      <c r="BA105" s="107"/>
      <c r="BB105" s="107"/>
      <c r="BC105" s="107"/>
      <c r="BD105" s="108"/>
      <c r="BE105" s="107"/>
      <c r="BF105" s="107"/>
      <c r="BG105" s="1282"/>
      <c r="BH105" s="108"/>
      <c r="BI105" s="107"/>
      <c r="BJ105" s="107"/>
      <c r="BK105" s="1282"/>
      <c r="BL105" s="1129"/>
      <c r="BM105" s="248"/>
      <c r="BN105" s="249"/>
      <c r="BO105" s="249"/>
      <c r="BP105" s="249"/>
      <c r="BQ105" s="249"/>
      <c r="BR105" s="249"/>
      <c r="BS105" s="249"/>
      <c r="BT105" s="249"/>
      <c r="BU105" s="249"/>
      <c r="BV105" s="249"/>
      <c r="BW105" s="249"/>
      <c r="BX105" s="249"/>
      <c r="BY105" s="249"/>
      <c r="BZ105" s="249"/>
      <c r="CA105" s="249"/>
      <c r="CB105" s="1174"/>
      <c r="CC105" s="37"/>
      <c r="CD105" s="26"/>
      <c r="CE105" s="26"/>
    </row>
    <row r="106" spans="1:89" ht="14.25" customHeight="1">
      <c r="A106" s="18"/>
      <c r="B106" s="250" t="s">
        <v>154</v>
      </c>
      <c r="C106" s="251"/>
      <c r="D106" s="252">
        <v>0</v>
      </c>
      <c r="E106" s="252">
        <v>0</v>
      </c>
      <c r="F106" s="252">
        <v>0</v>
      </c>
      <c r="G106" s="253">
        <v>0</v>
      </c>
      <c r="H106" s="252">
        <v>0</v>
      </c>
      <c r="I106" s="252">
        <v>0</v>
      </c>
      <c r="J106" s="252">
        <v>0</v>
      </c>
      <c r="K106" s="253">
        <v>0</v>
      </c>
      <c r="L106" s="252">
        <v>0</v>
      </c>
      <c r="M106" s="252">
        <v>0</v>
      </c>
      <c r="N106" s="252">
        <v>0</v>
      </c>
      <c r="O106" s="253">
        <v>0</v>
      </c>
      <c r="P106" s="252">
        <v>0</v>
      </c>
      <c r="Q106" s="252">
        <v>0</v>
      </c>
      <c r="R106" s="252">
        <v>0</v>
      </c>
      <c r="S106" s="253">
        <v>0</v>
      </c>
      <c r="T106" s="252">
        <v>0</v>
      </c>
      <c r="U106" s="252">
        <v>0</v>
      </c>
      <c r="V106" s="252">
        <v>0</v>
      </c>
      <c r="W106" s="253">
        <v>0</v>
      </c>
      <c r="X106" s="252">
        <v>0</v>
      </c>
      <c r="Y106" s="252">
        <v>0</v>
      </c>
      <c r="Z106" s="252">
        <v>0</v>
      </c>
      <c r="AA106" s="253">
        <v>0</v>
      </c>
      <c r="AB106" s="252">
        <v>0</v>
      </c>
      <c r="AC106" s="252">
        <v>0</v>
      </c>
      <c r="AD106" s="252">
        <v>0.35</v>
      </c>
      <c r="AE106" s="253">
        <v>0.35</v>
      </c>
      <c r="AF106" s="254">
        <v>0.35</v>
      </c>
      <c r="AG106" s="252">
        <v>0.35</v>
      </c>
      <c r="AH106" s="252">
        <v>0.35</v>
      </c>
      <c r="AI106" s="252">
        <v>0.35</v>
      </c>
      <c r="AJ106" s="254">
        <v>0.35</v>
      </c>
      <c r="AK106" s="252">
        <v>0.35</v>
      </c>
      <c r="AL106" s="252">
        <v>0.35</v>
      </c>
      <c r="AM106" s="252">
        <v>0.35</v>
      </c>
      <c r="AN106" s="254">
        <v>0.35</v>
      </c>
      <c r="AO106" s="252">
        <v>0.35</v>
      </c>
      <c r="AP106" s="252">
        <v>0.35</v>
      </c>
      <c r="AQ106" s="253">
        <v>0.35</v>
      </c>
      <c r="AR106" s="254">
        <v>0.35</v>
      </c>
      <c r="AS106" s="252">
        <v>0.35</v>
      </c>
      <c r="AT106" s="252">
        <v>0.35</v>
      </c>
      <c r="AU106" s="253">
        <v>0.35</v>
      </c>
      <c r="AV106" s="254">
        <v>0.35</v>
      </c>
      <c r="AW106" s="252">
        <v>0.35</v>
      </c>
      <c r="AX106" s="252">
        <v>0.35</v>
      </c>
      <c r="AY106" s="252">
        <v>0.35</v>
      </c>
      <c r="AZ106" s="254">
        <v>0.35</v>
      </c>
      <c r="BA106" s="252">
        <v>0.35</v>
      </c>
      <c r="BB106" s="252">
        <v>0.35</v>
      </c>
      <c r="BC106" s="252">
        <v>0.35</v>
      </c>
      <c r="BD106" s="254">
        <v>0.35</v>
      </c>
      <c r="BE106" s="252">
        <v>0.35</v>
      </c>
      <c r="BF106" s="252">
        <v>0.35</v>
      </c>
      <c r="BG106" s="253">
        <v>0.35</v>
      </c>
      <c r="BH106" s="254">
        <v>0.35</v>
      </c>
      <c r="BI106" s="252">
        <v>0.35</v>
      </c>
      <c r="BJ106" s="252">
        <v>0.35</v>
      </c>
      <c r="BK106" s="253">
        <v>0.35</v>
      </c>
      <c r="BL106" s="1129"/>
      <c r="BM106" s="254">
        <v>0.35</v>
      </c>
      <c r="BN106" s="252">
        <v>0.35</v>
      </c>
      <c r="BO106" s="252">
        <v>0.35</v>
      </c>
      <c r="BP106" s="252">
        <v>0.35</v>
      </c>
      <c r="BQ106" s="252">
        <v>0.35</v>
      </c>
      <c r="BR106" s="252">
        <v>0.35</v>
      </c>
      <c r="BS106" s="252">
        <v>0.35</v>
      </c>
      <c r="BT106" s="252">
        <v>0.35</v>
      </c>
      <c r="BU106" s="252">
        <v>0.35</v>
      </c>
      <c r="BV106" s="252">
        <v>0.35</v>
      </c>
      <c r="BW106" s="252">
        <v>0.35</v>
      </c>
      <c r="BX106" s="252">
        <v>0.35</v>
      </c>
      <c r="BY106" s="255">
        <v>0.35</v>
      </c>
      <c r="BZ106" s="255">
        <v>0.35</v>
      </c>
      <c r="CA106" s="255">
        <v>0.35</v>
      </c>
      <c r="CB106" s="1199">
        <v>0.35</v>
      </c>
      <c r="CC106" s="37"/>
      <c r="CD106" s="26"/>
      <c r="CE106" s="26"/>
    </row>
    <row r="107" spans="1:89" ht="14.25" customHeight="1">
      <c r="A107" s="18"/>
      <c r="B107" s="165"/>
      <c r="C107" s="18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18"/>
      <c r="AD107" s="18"/>
      <c r="AE107" s="24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26"/>
      <c r="BB107" s="18"/>
      <c r="BC107" s="18"/>
      <c r="BD107" s="18"/>
      <c r="BE107" s="26"/>
      <c r="BF107" s="18"/>
      <c r="BG107" s="18"/>
      <c r="BH107" s="18"/>
      <c r="BI107" s="26"/>
      <c r="BJ107" s="18"/>
      <c r="BK107" s="18"/>
      <c r="BL107" s="18"/>
      <c r="BM107" s="24"/>
      <c r="BN107" s="18"/>
      <c r="BO107" s="18"/>
      <c r="BP107" s="18"/>
      <c r="BQ107" s="18"/>
      <c r="BR107" s="18"/>
      <c r="BS107" s="18"/>
      <c r="BT107" s="18"/>
      <c r="BU107" s="18"/>
      <c r="BV107" s="18"/>
      <c r="BW107" s="26"/>
      <c r="BX107" s="26"/>
      <c r="BY107" s="26"/>
      <c r="BZ107" s="26"/>
      <c r="CA107" s="26"/>
      <c r="CB107" s="18"/>
      <c r="CC107" s="26"/>
      <c r="CD107" s="26"/>
      <c r="CE107" s="26"/>
    </row>
    <row r="108" spans="1:89" ht="14.25" customHeight="1">
      <c r="A108" s="18"/>
      <c r="B108" s="165"/>
      <c r="C108" s="18"/>
      <c r="D108" s="1234"/>
      <c r="E108" s="1234"/>
      <c r="F108" s="1234"/>
      <c r="G108" s="1234"/>
      <c r="H108" s="1234"/>
      <c r="I108" s="1234"/>
      <c r="J108" s="1234"/>
      <c r="K108" s="1234"/>
      <c r="L108" s="1234"/>
      <c r="M108" s="1234"/>
      <c r="N108" s="1234"/>
      <c r="O108" s="1234"/>
      <c r="P108" s="1234"/>
      <c r="Q108" s="1234"/>
      <c r="R108" s="1234"/>
      <c r="S108" s="1234"/>
      <c r="T108" s="1234"/>
      <c r="U108" s="1234"/>
      <c r="V108" s="1234"/>
      <c r="W108" s="1234"/>
      <c r="X108" s="1234"/>
      <c r="Y108" s="1234"/>
      <c r="Z108" s="1234"/>
      <c r="AA108" s="1234"/>
      <c r="AB108" s="1234"/>
      <c r="AC108" s="702"/>
      <c r="AD108" s="702"/>
      <c r="AE108" s="1234"/>
      <c r="AF108" s="702"/>
      <c r="AG108" s="702"/>
      <c r="AH108" s="702"/>
      <c r="AI108" s="702"/>
      <c r="AJ108" s="702"/>
      <c r="AK108" s="702"/>
      <c r="AL108" s="702"/>
      <c r="AM108" s="702"/>
      <c r="AN108" s="702"/>
      <c r="AO108" s="702"/>
      <c r="AP108" s="702"/>
      <c r="AQ108" s="702"/>
      <c r="AR108" s="702"/>
      <c r="AS108" s="702"/>
      <c r="AT108" s="702"/>
      <c r="AU108" s="702"/>
      <c r="AV108" s="702"/>
      <c r="AW108" s="702"/>
      <c r="AX108" s="702"/>
      <c r="AY108" s="702"/>
      <c r="AZ108" s="702"/>
      <c r="BA108" s="1235"/>
      <c r="BB108" s="702"/>
      <c r="BC108" s="702"/>
      <c r="BD108" s="702"/>
      <c r="BE108" s="1235"/>
      <c r="BF108" s="702"/>
      <c r="BG108" s="702"/>
      <c r="BH108" s="702"/>
      <c r="BI108" s="1235"/>
      <c r="BJ108" s="702"/>
      <c r="BK108" s="702"/>
      <c r="BL108" s="18"/>
      <c r="BM108" s="1234"/>
      <c r="BN108" s="702"/>
      <c r="BO108" s="702"/>
      <c r="BP108" s="702"/>
      <c r="BQ108" s="702"/>
      <c r="BR108" s="702"/>
      <c r="BS108" s="702"/>
      <c r="BT108" s="702"/>
      <c r="BU108" s="702"/>
      <c r="BV108" s="702"/>
      <c r="BW108" s="702"/>
      <c r="BX108" s="702"/>
      <c r="BY108" s="1235"/>
      <c r="BZ108" s="1235"/>
      <c r="CA108" s="1235"/>
      <c r="CB108" s="18"/>
      <c r="CC108" s="26"/>
      <c r="CD108" s="26"/>
      <c r="CE108" s="26"/>
    </row>
    <row r="109" spans="1:89" ht="14.25" customHeight="1">
      <c r="A109" s="18"/>
      <c r="B109" s="165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18"/>
      <c r="CC109" s="201"/>
      <c r="CD109" s="201"/>
      <c r="CE109" s="201"/>
    </row>
    <row r="110" spans="1:89" ht="14.25" customHeight="1">
      <c r="A110" s="18"/>
      <c r="B110" s="165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26"/>
      <c r="BB110" s="18"/>
      <c r="BC110" s="18"/>
      <c r="BD110" s="18"/>
      <c r="BE110" s="26"/>
      <c r="BF110" s="18"/>
      <c r="BG110" s="18"/>
      <c r="BH110" s="18"/>
      <c r="BI110" s="26"/>
      <c r="BJ110" s="18"/>
      <c r="BK110" s="18"/>
      <c r="BL110" s="18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18"/>
      <c r="BX110" s="18"/>
      <c r="BY110" s="18"/>
      <c r="BZ110" s="18"/>
      <c r="CA110" s="18"/>
      <c r="CB110" s="18"/>
      <c r="CC110" s="201"/>
      <c r="CD110" s="201"/>
      <c r="CE110" s="201"/>
    </row>
    <row r="111" spans="1:89" ht="14.25" customHeight="1">
      <c r="A111" s="18"/>
      <c r="B111" s="165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26"/>
      <c r="BB111" s="18"/>
      <c r="BC111" s="18"/>
      <c r="BD111" s="18"/>
      <c r="BE111" s="26"/>
      <c r="BF111" s="18"/>
      <c r="BG111" s="18"/>
      <c r="BH111" s="18"/>
      <c r="BI111" s="26"/>
      <c r="BJ111" s="18"/>
      <c r="BK111" s="18"/>
      <c r="BL111" s="18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18"/>
      <c r="BX111" s="18"/>
      <c r="BY111" s="18"/>
      <c r="BZ111" s="18"/>
      <c r="CA111" s="18"/>
      <c r="CB111" s="18"/>
      <c r="CC111" s="201"/>
      <c r="CD111" s="201"/>
      <c r="CE111" s="201"/>
    </row>
    <row r="112" spans="1:89" ht="14.25" customHeight="1">
      <c r="A112" s="18"/>
      <c r="B112" s="165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26"/>
      <c r="BB112" s="18"/>
      <c r="BC112" s="18"/>
      <c r="BD112" s="18"/>
      <c r="BE112" s="26"/>
      <c r="BF112" s="18"/>
      <c r="BG112" s="18"/>
      <c r="BH112" s="18"/>
      <c r="BI112" s="26"/>
      <c r="BJ112" s="18"/>
      <c r="BK112" s="18"/>
      <c r="BL112" s="18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18"/>
      <c r="BX112" s="18"/>
      <c r="BY112" s="18"/>
      <c r="BZ112" s="18"/>
      <c r="CA112" s="18"/>
      <c r="CB112" s="18"/>
      <c r="CC112" s="201"/>
      <c r="CD112" s="201"/>
      <c r="CE112" s="201"/>
    </row>
    <row r="113" spans="1:83" ht="14.25" customHeight="1">
      <c r="A113" s="18"/>
      <c r="B113" s="165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26"/>
      <c r="BB113" s="18"/>
      <c r="BC113" s="18"/>
      <c r="BD113" s="18"/>
      <c r="BE113" s="26"/>
      <c r="BF113" s="18"/>
      <c r="BG113" s="18"/>
      <c r="BH113" s="18"/>
      <c r="BI113" s="26"/>
      <c r="BJ113" s="18"/>
      <c r="BK113" s="18"/>
      <c r="BL113" s="18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18"/>
      <c r="BX113" s="18"/>
      <c r="BY113" s="18"/>
      <c r="BZ113" s="18"/>
      <c r="CA113" s="18"/>
      <c r="CB113" s="18"/>
      <c r="CC113" s="201"/>
      <c r="CD113" s="201"/>
      <c r="CE113" s="201"/>
    </row>
    <row r="114" spans="1:83" ht="14.25" customHeight="1">
      <c r="A114" s="18"/>
      <c r="B114" s="165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26"/>
      <c r="BB114" s="18"/>
      <c r="BC114" s="18"/>
      <c r="BD114" s="18"/>
      <c r="BE114" s="26"/>
      <c r="BF114" s="18"/>
      <c r="BG114" s="18"/>
      <c r="BH114" s="18"/>
      <c r="BI114" s="26"/>
      <c r="BJ114" s="18"/>
      <c r="BK114" s="18"/>
      <c r="BL114" s="18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18"/>
      <c r="BX114" s="18"/>
      <c r="BY114" s="18"/>
      <c r="BZ114" s="18"/>
      <c r="CA114" s="18"/>
      <c r="CB114" s="18"/>
      <c r="CC114" s="201"/>
      <c r="CD114" s="201"/>
      <c r="CE114" s="201"/>
    </row>
    <row r="115" spans="1:83" ht="14.25" customHeight="1">
      <c r="B115"/>
      <c r="AS115"/>
      <c r="AT115"/>
      <c r="AU115"/>
      <c r="AV115"/>
      <c r="AW115"/>
      <c r="AZ115"/>
      <c r="BA115"/>
      <c r="BB115"/>
      <c r="BC115"/>
      <c r="BD115"/>
      <c r="BE115"/>
      <c r="BF115"/>
      <c r="BG115"/>
      <c r="BH115"/>
      <c r="BI115"/>
      <c r="BJ115"/>
      <c r="BK115"/>
      <c r="BR115"/>
      <c r="BU115"/>
      <c r="BX115"/>
      <c r="BZ115"/>
      <c r="CA115"/>
      <c r="CB115"/>
      <c r="CC115"/>
      <c r="CD115"/>
      <c r="CE115"/>
    </row>
    <row r="116" spans="1:83" ht="14.25" customHeight="1">
      <c r="A116" s="18"/>
      <c r="B116" s="256" t="s">
        <v>155</v>
      </c>
      <c r="C116" s="257"/>
      <c r="D116" s="258" t="s">
        <v>156</v>
      </c>
      <c r="E116" s="258" t="s">
        <v>156</v>
      </c>
      <c r="F116" s="258" t="s">
        <v>156</v>
      </c>
      <c r="G116" s="258" t="s">
        <v>156</v>
      </c>
      <c r="H116" s="258" t="s">
        <v>156</v>
      </c>
      <c r="I116" s="258" t="s">
        <v>156</v>
      </c>
      <c r="J116" s="258" t="s">
        <v>156</v>
      </c>
      <c r="K116" s="258" t="s">
        <v>156</v>
      </c>
      <c r="L116" s="258" t="s">
        <v>156</v>
      </c>
      <c r="M116" s="258" t="s">
        <v>156</v>
      </c>
      <c r="N116" s="258" t="s">
        <v>156</v>
      </c>
      <c r="O116" s="258" t="s">
        <v>156</v>
      </c>
      <c r="P116" s="258" t="s">
        <v>156</v>
      </c>
      <c r="Q116" s="258" t="s">
        <v>156</v>
      </c>
      <c r="R116" s="258" t="s">
        <v>156</v>
      </c>
      <c r="S116" s="258" t="s">
        <v>156</v>
      </c>
      <c r="T116" s="258" t="s">
        <v>156</v>
      </c>
      <c r="U116" s="258" t="s">
        <v>156</v>
      </c>
      <c r="V116" s="258" t="s">
        <v>156</v>
      </c>
      <c r="W116" s="258" t="s">
        <v>156</v>
      </c>
      <c r="X116" s="258" t="s">
        <v>156</v>
      </c>
      <c r="Y116" s="258" t="s">
        <v>156</v>
      </c>
      <c r="Z116" s="258" t="s">
        <v>156</v>
      </c>
      <c r="AA116" s="258" t="s">
        <v>156</v>
      </c>
      <c r="AB116" s="258" t="s">
        <v>156</v>
      </c>
      <c r="AC116" s="258" t="e">
        <f t="shared" ref="AC116:AR116" si="340">VLOOKUP(AC115,ValidDateTable,4,FALSE)</f>
        <v>#NAME?</v>
      </c>
      <c r="AD116" s="258" t="e">
        <f t="shared" si="340"/>
        <v>#NAME?</v>
      </c>
      <c r="AE116" s="258" t="e">
        <f t="shared" si="340"/>
        <v>#NAME?</v>
      </c>
      <c r="AF116" s="258" t="e">
        <f t="shared" si="340"/>
        <v>#NAME?</v>
      </c>
      <c r="AG116" s="258" t="e">
        <f t="shared" si="340"/>
        <v>#NAME?</v>
      </c>
      <c r="AH116" s="258" t="e">
        <f t="shared" si="340"/>
        <v>#NAME?</v>
      </c>
      <c r="AI116" s="258" t="e">
        <f t="shared" si="340"/>
        <v>#NAME?</v>
      </c>
      <c r="AJ116" s="258" t="e">
        <f t="shared" si="340"/>
        <v>#NAME?</v>
      </c>
      <c r="AK116" s="258" t="e">
        <f t="shared" si="340"/>
        <v>#NAME?</v>
      </c>
      <c r="AL116" s="258" t="e">
        <f t="shared" si="340"/>
        <v>#NAME?</v>
      </c>
      <c r="AM116" s="258" t="e">
        <f t="shared" si="340"/>
        <v>#NAME?</v>
      </c>
      <c r="AN116" s="258" t="e">
        <f>VLOOKUP(AN115,ValidDateTable,4,FALSE)</f>
        <v>#NAME?</v>
      </c>
      <c r="AO116" s="258" t="e">
        <f>VLOOKUP(AO115,ValidDateTable,4,FALSE)</f>
        <v>#NAME?</v>
      </c>
      <c r="AP116" s="258" t="e">
        <f t="shared" si="340"/>
        <v>#NAME?</v>
      </c>
      <c r="AQ116" s="258" t="e">
        <f t="shared" si="340"/>
        <v>#NAME?</v>
      </c>
      <c r="AR116" s="258" t="e">
        <f t="shared" si="340"/>
        <v>#NAME?</v>
      </c>
      <c r="AS116" s="258" t="e">
        <f t="shared" ref="AS116:AY116" si="341">VLOOKUP(AS115,ValidDateTable,4,FALSE)</f>
        <v>#NAME?</v>
      </c>
      <c r="AT116" s="258" t="e">
        <f t="shared" si="341"/>
        <v>#NAME?</v>
      </c>
      <c r="AU116" s="258" t="e">
        <f t="shared" si="341"/>
        <v>#NAME?</v>
      </c>
      <c r="AV116" s="258" t="e">
        <f t="shared" si="341"/>
        <v>#NAME?</v>
      </c>
      <c r="AW116" s="258" t="e">
        <f t="shared" si="341"/>
        <v>#NAME?</v>
      </c>
      <c r="AX116" s="258" t="e">
        <f t="shared" si="341"/>
        <v>#NAME?</v>
      </c>
      <c r="AY116" s="258" t="e">
        <f t="shared" si="341"/>
        <v>#NAME?</v>
      </c>
      <c r="AZ116" s="258" t="e">
        <f t="shared" ref="AZ116:BC116" si="342">VLOOKUP(AZ115,ValidDateTable,4,FALSE)</f>
        <v>#NAME?</v>
      </c>
      <c r="BA116" s="258" t="e">
        <f t="shared" si="342"/>
        <v>#NAME?</v>
      </c>
      <c r="BB116" s="258" t="e">
        <f t="shared" si="342"/>
        <v>#NAME?</v>
      </c>
      <c r="BC116" s="258" t="e">
        <f t="shared" si="342"/>
        <v>#NAME?</v>
      </c>
      <c r="BD116" s="258" t="e">
        <f t="shared" ref="BD116:BG116" si="343">VLOOKUP(BD115,ValidDateTable,4,FALSE)</f>
        <v>#NAME?</v>
      </c>
      <c r="BE116" s="258" t="e">
        <f t="shared" si="343"/>
        <v>#NAME?</v>
      </c>
      <c r="BF116" s="258" t="e">
        <f t="shared" si="343"/>
        <v>#NAME?</v>
      </c>
      <c r="BG116" s="258" t="e">
        <f t="shared" si="343"/>
        <v>#NAME?</v>
      </c>
      <c r="BH116" s="258" t="e">
        <f t="shared" ref="BH116:BK116" si="344">VLOOKUP(BH115,ValidDateTable,4,FALSE)</f>
        <v>#NAME?</v>
      </c>
      <c r="BI116" s="258" t="e">
        <f t="shared" si="344"/>
        <v>#NAME?</v>
      </c>
      <c r="BJ116" s="258" t="e">
        <f t="shared" si="344"/>
        <v>#NAME?</v>
      </c>
      <c r="BK116" s="258" t="e">
        <f t="shared" si="344"/>
        <v>#NAME?</v>
      </c>
      <c r="BL116" s="18"/>
      <c r="BM116" s="24" t="e">
        <f>VLOOKUP(BM115,ValidDateTable,4,FALSE)</f>
        <v>#NAME?</v>
      </c>
      <c r="BN116" s="18" t="e">
        <f>VLOOKUP(BN115,ValidDateTable,4,FALSE)</f>
        <v>#NAME?</v>
      </c>
      <c r="BO116" s="18" t="e">
        <f>VLOOKUP(BO115,ValidDateTable,4,FALSE)</f>
        <v>#NAME?</v>
      </c>
      <c r="BP116" s="18" t="e">
        <f>VLOOKUP(BP115,ValidDateTable,4,FALSE)</f>
        <v>#NAME?</v>
      </c>
      <c r="BQ116" s="18" t="e">
        <f>VLOOKUP(BQ115,ValidDateTable,4,FALSE)</f>
        <v>#NAME?</v>
      </c>
      <c r="BR116" s="18" t="e">
        <f t="shared" ref="BR116:CA116" si="345">VLOOKUP(BR115,ValidDateTable,4,FALSE)</f>
        <v>#NAME?</v>
      </c>
      <c r="BS116" s="18" t="e">
        <f t="shared" si="345"/>
        <v>#NAME?</v>
      </c>
      <c r="BT116" s="18" t="e">
        <f t="shared" si="345"/>
        <v>#NAME?</v>
      </c>
      <c r="BU116" s="18" t="e">
        <f t="shared" si="345"/>
        <v>#NAME?</v>
      </c>
      <c r="BV116" s="18" t="e">
        <f t="shared" si="345"/>
        <v>#NAME?</v>
      </c>
      <c r="BW116" s="18" t="e">
        <f>VLOOKUP(BW115,ValidDateTable,4,FALSE)</f>
        <v>#NAME?</v>
      </c>
      <c r="BX116" s="18" t="e">
        <f t="shared" si="345"/>
        <v>#NAME?</v>
      </c>
      <c r="BY116" s="18" t="e">
        <f t="shared" si="345"/>
        <v>#NAME?</v>
      </c>
      <c r="BZ116" s="18" t="e">
        <f t="shared" si="345"/>
        <v>#NAME?</v>
      </c>
      <c r="CA116" s="18" t="e">
        <f t="shared" si="345"/>
        <v>#NAME?</v>
      </c>
      <c r="CB116" s="18" t="e">
        <f t="shared" ref="CB116" si="346">VLOOKUP(CB115,ValidDateTable,4,FALSE)</f>
        <v>#NAME?</v>
      </c>
      <c r="CC116" s="26"/>
      <c r="CD116" s="26"/>
      <c r="CE116" s="26"/>
    </row>
    <row r="117" spans="1:83" ht="14.25" customHeight="1">
      <c r="A117" s="18"/>
      <c r="B117" s="256" t="s">
        <v>157</v>
      </c>
      <c r="C117" s="257"/>
      <c r="D117" s="18">
        <v>2005</v>
      </c>
      <c r="E117" s="18">
        <v>2005</v>
      </c>
      <c r="F117" s="18">
        <v>2005</v>
      </c>
      <c r="G117" s="18">
        <v>2005</v>
      </c>
      <c r="H117" s="18">
        <v>2006</v>
      </c>
      <c r="I117" s="18">
        <v>2006</v>
      </c>
      <c r="J117" s="18">
        <v>2006</v>
      </c>
      <c r="K117" s="18">
        <v>2006</v>
      </c>
      <c r="L117" s="18">
        <v>2007</v>
      </c>
      <c r="M117" s="18">
        <v>2007</v>
      </c>
      <c r="N117" s="18">
        <v>2007</v>
      </c>
      <c r="O117" s="18">
        <v>2007</v>
      </c>
      <c r="P117" s="18">
        <v>2008</v>
      </c>
      <c r="Q117" s="18">
        <v>2008</v>
      </c>
      <c r="R117" s="18">
        <v>2008</v>
      </c>
      <c r="S117" s="18">
        <v>2008</v>
      </c>
      <c r="T117" s="18">
        <v>2009</v>
      </c>
      <c r="U117" s="18">
        <v>2009</v>
      </c>
      <c r="V117" s="18">
        <v>2009</v>
      </c>
      <c r="W117" s="18">
        <v>2009</v>
      </c>
      <c r="X117" s="18">
        <v>2010</v>
      </c>
      <c r="Y117" s="18">
        <v>2010</v>
      </c>
      <c r="Z117" s="18">
        <v>2010</v>
      </c>
      <c r="AA117" s="18">
        <v>2010</v>
      </c>
      <c r="AB117" s="18">
        <v>2011</v>
      </c>
      <c r="AC117" s="18">
        <v>2011</v>
      </c>
      <c r="AD117" s="18">
        <v>2011</v>
      </c>
      <c r="AE117" s="18">
        <v>2011</v>
      </c>
      <c r="AF117" s="18">
        <v>2012</v>
      </c>
      <c r="AG117" s="18">
        <v>2012</v>
      </c>
      <c r="AH117" s="18">
        <v>2012</v>
      </c>
      <c r="AI117" s="18">
        <v>2012</v>
      </c>
      <c r="AJ117" s="18">
        <v>2013</v>
      </c>
      <c r="AK117" s="18">
        <v>2013</v>
      </c>
      <c r="AL117" s="18">
        <v>2013</v>
      </c>
      <c r="AM117" s="18">
        <v>2013</v>
      </c>
      <c r="AN117" s="18">
        <v>2014</v>
      </c>
      <c r="AO117" s="18">
        <v>2013</v>
      </c>
      <c r="AP117" s="18">
        <v>2014</v>
      </c>
      <c r="AQ117" s="18">
        <v>2014</v>
      </c>
      <c r="AR117" s="18">
        <v>2015</v>
      </c>
      <c r="AS117" s="18">
        <v>2015</v>
      </c>
      <c r="AT117" s="18">
        <v>2015</v>
      </c>
      <c r="AU117" s="18">
        <v>2015</v>
      </c>
      <c r="AV117" s="18">
        <v>2016</v>
      </c>
      <c r="AW117" s="18">
        <v>2016</v>
      </c>
      <c r="AX117" s="18">
        <v>2016</v>
      </c>
      <c r="AY117" s="18">
        <v>2016</v>
      </c>
      <c r="AZ117" s="18">
        <v>2017</v>
      </c>
      <c r="BA117" s="18">
        <v>2017</v>
      </c>
      <c r="BB117" s="18">
        <v>2017</v>
      </c>
      <c r="BC117" s="18">
        <v>2017</v>
      </c>
      <c r="BD117" s="18">
        <v>2018</v>
      </c>
      <c r="BE117" s="18">
        <v>2018</v>
      </c>
      <c r="BF117" s="18">
        <v>2018</v>
      </c>
      <c r="BG117" s="18">
        <v>2018</v>
      </c>
      <c r="BH117" s="18">
        <v>2019</v>
      </c>
      <c r="BI117" s="18">
        <v>2019</v>
      </c>
      <c r="BJ117" s="18">
        <v>2019</v>
      </c>
      <c r="BK117" s="18">
        <v>2019</v>
      </c>
      <c r="BL117" s="18"/>
      <c r="BM117" s="24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26"/>
      <c r="CD117" s="26"/>
      <c r="CE117" s="26"/>
    </row>
    <row r="118" spans="1:83" ht="14.25" customHeight="1">
      <c r="A118" s="18"/>
      <c r="B118" s="256" t="s">
        <v>158</v>
      </c>
      <c r="C118" s="257"/>
      <c r="D118" s="18">
        <v>1</v>
      </c>
      <c r="E118" s="18">
        <v>2</v>
      </c>
      <c r="F118" s="18">
        <v>3</v>
      </c>
      <c r="G118" s="18">
        <v>4</v>
      </c>
      <c r="H118" s="18">
        <v>1</v>
      </c>
      <c r="I118" s="18">
        <v>2</v>
      </c>
      <c r="J118" s="18">
        <v>3</v>
      </c>
      <c r="K118" s="18">
        <v>4</v>
      </c>
      <c r="L118" s="18">
        <v>1</v>
      </c>
      <c r="M118" s="18">
        <v>2</v>
      </c>
      <c r="N118" s="18">
        <v>3</v>
      </c>
      <c r="O118" s="18">
        <v>4</v>
      </c>
      <c r="P118" s="18">
        <v>1</v>
      </c>
      <c r="Q118" s="18">
        <v>2</v>
      </c>
      <c r="R118" s="18">
        <v>3</v>
      </c>
      <c r="S118" s="18">
        <v>4</v>
      </c>
      <c r="T118" s="18">
        <v>1</v>
      </c>
      <c r="U118" s="18">
        <v>2</v>
      </c>
      <c r="V118" s="18">
        <v>3</v>
      </c>
      <c r="W118" s="18">
        <v>4</v>
      </c>
      <c r="X118" s="18">
        <v>1</v>
      </c>
      <c r="Y118" s="18">
        <v>2</v>
      </c>
      <c r="Z118" s="18">
        <v>3</v>
      </c>
      <c r="AA118" s="18">
        <v>4</v>
      </c>
      <c r="AB118" s="18">
        <v>1</v>
      </c>
      <c r="AC118" s="18">
        <v>2</v>
      </c>
      <c r="AD118" s="18">
        <v>3</v>
      </c>
      <c r="AE118" s="18">
        <v>4</v>
      </c>
      <c r="AF118" s="18">
        <v>1</v>
      </c>
      <c r="AG118" s="18">
        <v>2</v>
      </c>
      <c r="AH118" s="18">
        <v>3</v>
      </c>
      <c r="AI118" s="18">
        <v>4</v>
      </c>
      <c r="AJ118" s="18">
        <v>1</v>
      </c>
      <c r="AK118" s="18">
        <v>2</v>
      </c>
      <c r="AL118" s="18">
        <v>3</v>
      </c>
      <c r="AM118" s="18">
        <v>4</v>
      </c>
      <c r="AN118" s="18">
        <v>1</v>
      </c>
      <c r="AO118" s="18">
        <v>2</v>
      </c>
      <c r="AP118" s="18">
        <v>3</v>
      </c>
      <c r="AQ118" s="18">
        <v>4</v>
      </c>
      <c r="AR118" s="18">
        <v>1</v>
      </c>
      <c r="AS118" s="18">
        <v>2</v>
      </c>
      <c r="AT118" s="18">
        <v>3</v>
      </c>
      <c r="AU118" s="18">
        <v>4</v>
      </c>
      <c r="AV118" s="18">
        <v>1</v>
      </c>
      <c r="AW118" s="18">
        <v>2</v>
      </c>
      <c r="AX118" s="18">
        <v>3</v>
      </c>
      <c r="AY118" s="18">
        <v>4</v>
      </c>
      <c r="AZ118" s="18">
        <v>1</v>
      </c>
      <c r="BA118" s="18">
        <v>2</v>
      </c>
      <c r="BB118" s="18">
        <v>3</v>
      </c>
      <c r="BC118" s="18">
        <v>4</v>
      </c>
      <c r="BD118" s="18">
        <v>1</v>
      </c>
      <c r="BE118" s="18">
        <v>2</v>
      </c>
      <c r="BF118" s="18">
        <v>3</v>
      </c>
      <c r="BG118" s="18">
        <v>4</v>
      </c>
      <c r="BH118" s="18">
        <v>1</v>
      </c>
      <c r="BI118" s="18">
        <v>2</v>
      </c>
      <c r="BJ118" s="18">
        <v>3</v>
      </c>
      <c r="BK118" s="18">
        <v>4</v>
      </c>
      <c r="BL118" s="18"/>
      <c r="BM118" s="24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26"/>
      <c r="CD118" s="26"/>
      <c r="CE118" s="26"/>
    </row>
    <row r="119" spans="1:83" ht="14.25" customHeight="1" outlineLevel="1">
      <c r="A119" s="18"/>
      <c r="B119" s="256" t="s">
        <v>159</v>
      </c>
      <c r="C119" s="257"/>
      <c r="D119" s="18">
        <v>2005</v>
      </c>
      <c r="E119" s="18">
        <v>2005</v>
      </c>
      <c r="F119" s="18">
        <v>2005</v>
      </c>
      <c r="G119" s="18">
        <v>2005</v>
      </c>
      <c r="H119" s="18">
        <v>2006</v>
      </c>
      <c r="I119" s="18">
        <v>2006</v>
      </c>
      <c r="J119" s="18">
        <v>2006</v>
      </c>
      <c r="K119" s="18">
        <v>2006</v>
      </c>
      <c r="L119" s="18">
        <v>2007</v>
      </c>
      <c r="M119" s="18">
        <v>2007</v>
      </c>
      <c r="N119" s="18">
        <v>2007</v>
      </c>
      <c r="O119" s="18">
        <v>2007</v>
      </c>
      <c r="P119" s="18">
        <v>2008</v>
      </c>
      <c r="Q119" s="18">
        <v>2008</v>
      </c>
      <c r="R119" s="18">
        <v>2008</v>
      </c>
      <c r="S119" s="18">
        <v>2008</v>
      </c>
      <c r="T119" s="18">
        <v>2009</v>
      </c>
      <c r="U119" s="18">
        <v>2009</v>
      </c>
      <c r="V119" s="18">
        <v>2009</v>
      </c>
      <c r="W119" s="18">
        <v>2009</v>
      </c>
      <c r="X119" s="18">
        <v>2010</v>
      </c>
      <c r="Y119" s="18">
        <v>2010</v>
      </c>
      <c r="Z119" s="18">
        <v>2010</v>
      </c>
      <c r="AA119" s="18">
        <v>2010</v>
      </c>
      <c r="AB119" s="18">
        <v>2011</v>
      </c>
      <c r="AC119" s="18">
        <v>2011</v>
      </c>
      <c r="AD119" s="18">
        <v>2011</v>
      </c>
      <c r="AE119" s="18">
        <v>2011</v>
      </c>
      <c r="AF119" s="18">
        <v>2012</v>
      </c>
      <c r="AG119" s="18">
        <v>2012</v>
      </c>
      <c r="AH119" s="18">
        <v>2012</v>
      </c>
      <c r="AI119" s="18">
        <v>2012</v>
      </c>
      <c r="AJ119" s="18">
        <v>2013</v>
      </c>
      <c r="AK119" s="18">
        <v>2013</v>
      </c>
      <c r="AL119" s="18">
        <v>2013</v>
      </c>
      <c r="AM119" s="18">
        <v>2013</v>
      </c>
      <c r="AN119" s="18">
        <v>2014</v>
      </c>
      <c r="AO119" s="18">
        <v>2013</v>
      </c>
      <c r="AP119" s="18">
        <v>2014</v>
      </c>
      <c r="AQ119" s="18">
        <v>2014</v>
      </c>
      <c r="AR119" s="18">
        <v>2015</v>
      </c>
      <c r="AS119" s="18">
        <v>2015</v>
      </c>
      <c r="AT119" s="18">
        <v>2015</v>
      </c>
      <c r="AU119" s="18">
        <v>2015</v>
      </c>
      <c r="AV119" s="18">
        <v>2016</v>
      </c>
      <c r="AW119" s="18">
        <v>2016</v>
      </c>
      <c r="AX119" s="18">
        <v>2016</v>
      </c>
      <c r="AY119" s="18">
        <v>2016</v>
      </c>
      <c r="AZ119" s="18">
        <v>2017</v>
      </c>
      <c r="BA119" s="18">
        <v>2017</v>
      </c>
      <c r="BB119" s="18">
        <v>2017</v>
      </c>
      <c r="BC119" s="18">
        <v>2017</v>
      </c>
      <c r="BD119" s="18">
        <v>2018</v>
      </c>
      <c r="BE119" s="18">
        <v>2018</v>
      </c>
      <c r="BF119" s="18">
        <v>2018</v>
      </c>
      <c r="BG119" s="18">
        <v>2018</v>
      </c>
      <c r="BH119" s="18">
        <v>2019</v>
      </c>
      <c r="BI119" s="18">
        <v>2019</v>
      </c>
      <c r="BJ119" s="18">
        <v>2019</v>
      </c>
      <c r="BK119" s="18">
        <v>2019</v>
      </c>
      <c r="BL119" s="18"/>
      <c r="BM119" s="24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26"/>
      <c r="CD119" s="26"/>
      <c r="CE119" s="26"/>
    </row>
    <row r="120" spans="1:83" ht="14.25" customHeight="1" outlineLevel="1">
      <c r="A120" s="18"/>
      <c r="B120" s="256" t="s">
        <v>160</v>
      </c>
      <c r="C120" s="257"/>
      <c r="D120" s="18">
        <v>1</v>
      </c>
      <c r="E120" s="18">
        <v>2</v>
      </c>
      <c r="F120" s="18">
        <v>3</v>
      </c>
      <c r="G120" s="18">
        <v>4</v>
      </c>
      <c r="H120" s="18">
        <v>1</v>
      </c>
      <c r="I120" s="18">
        <v>2</v>
      </c>
      <c r="J120" s="18">
        <v>3</v>
      </c>
      <c r="K120" s="18">
        <v>4</v>
      </c>
      <c r="L120" s="18">
        <v>1</v>
      </c>
      <c r="M120" s="18">
        <v>2</v>
      </c>
      <c r="N120" s="18">
        <v>3</v>
      </c>
      <c r="O120" s="18">
        <v>4</v>
      </c>
      <c r="P120" s="18">
        <v>1</v>
      </c>
      <c r="Q120" s="18">
        <v>2</v>
      </c>
      <c r="R120" s="18">
        <v>3</v>
      </c>
      <c r="S120" s="18">
        <v>4</v>
      </c>
      <c r="T120" s="18">
        <v>1</v>
      </c>
      <c r="U120" s="18">
        <v>2</v>
      </c>
      <c r="V120" s="18">
        <v>3</v>
      </c>
      <c r="W120" s="18">
        <v>4</v>
      </c>
      <c r="X120" s="18">
        <v>1</v>
      </c>
      <c r="Y120" s="18">
        <v>2</v>
      </c>
      <c r="Z120" s="18">
        <v>3</v>
      </c>
      <c r="AA120" s="18">
        <v>4</v>
      </c>
      <c r="AB120" s="18">
        <v>1</v>
      </c>
      <c r="AC120" s="18">
        <v>2</v>
      </c>
      <c r="AD120" s="18">
        <v>3</v>
      </c>
      <c r="AE120" s="18">
        <v>4</v>
      </c>
      <c r="AF120" s="18">
        <v>1</v>
      </c>
      <c r="AG120" s="18">
        <v>2</v>
      </c>
      <c r="AH120" s="18">
        <v>3</v>
      </c>
      <c r="AI120" s="18">
        <v>4</v>
      </c>
      <c r="AJ120" s="18">
        <v>1</v>
      </c>
      <c r="AK120" s="18">
        <v>2</v>
      </c>
      <c r="AL120" s="18">
        <v>3</v>
      </c>
      <c r="AM120" s="18">
        <v>4</v>
      </c>
      <c r="AN120" s="18">
        <v>1</v>
      </c>
      <c r="AO120" s="18">
        <v>2</v>
      </c>
      <c r="AP120" s="18">
        <v>3</v>
      </c>
      <c r="AQ120" s="18">
        <v>4</v>
      </c>
      <c r="AR120" s="18">
        <v>1</v>
      </c>
      <c r="AS120" s="18">
        <v>2</v>
      </c>
      <c r="AT120" s="18">
        <v>3</v>
      </c>
      <c r="AU120" s="18">
        <v>4</v>
      </c>
      <c r="AV120" s="18">
        <v>1</v>
      </c>
      <c r="AW120" s="18">
        <v>2</v>
      </c>
      <c r="AX120" s="18">
        <v>3</v>
      </c>
      <c r="AY120" s="18">
        <v>4</v>
      </c>
      <c r="AZ120" s="18">
        <v>1</v>
      </c>
      <c r="BA120" s="18">
        <v>2</v>
      </c>
      <c r="BB120" s="18">
        <v>3</v>
      </c>
      <c r="BC120" s="18">
        <v>4</v>
      </c>
      <c r="BD120" s="18">
        <v>1</v>
      </c>
      <c r="BE120" s="18">
        <v>2</v>
      </c>
      <c r="BF120" s="18">
        <v>3</v>
      </c>
      <c r="BG120" s="18">
        <v>4</v>
      </c>
      <c r="BH120" s="18">
        <v>1</v>
      </c>
      <c r="BI120" s="18">
        <v>2</v>
      </c>
      <c r="BJ120" s="18">
        <v>3</v>
      </c>
      <c r="BK120" s="18">
        <v>4</v>
      </c>
      <c r="BL120" s="18"/>
      <c r="BM120" s="24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26"/>
      <c r="CD120" s="26"/>
      <c r="CE120" s="26"/>
    </row>
    <row r="121" spans="1:83" ht="14.25" customHeight="1">
      <c r="A121" s="1"/>
      <c r="B121" s="10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9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7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4"/>
      <c r="CC121" s="9"/>
      <c r="CD121" s="9"/>
      <c r="CE121" s="9"/>
    </row>
  </sheetData>
  <conditionalFormatting sqref="D109:BK109">
    <cfRule type="cellIs" dxfId="9" priority="5" operator="equal">
      <formula>TRUE</formula>
    </cfRule>
  </conditionalFormatting>
  <conditionalFormatting sqref="BM109:BQ109 BV109:CA109 BS109:BT109">
    <cfRule type="cellIs" dxfId="8" priority="4" operator="equal">
      <formula>TRUE</formula>
    </cfRule>
  </conditionalFormatting>
  <conditionalFormatting sqref="BU109">
    <cfRule type="cellIs" dxfId="7" priority="2" operator="equal">
      <formula>TRUE</formula>
    </cfRule>
  </conditionalFormatting>
  <conditionalFormatting sqref="BR109">
    <cfRule type="cellIs" dxfId="6" priority="1" operator="equal">
      <formula>TRUE</formula>
    </cfRule>
  </conditionalFormatting>
  <pageMargins left="0" right="0" top="0" bottom="0" header="0" footer="0"/>
  <pageSetup paperSize="5" scale="82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7"/>
    <pageSetUpPr fitToPage="1"/>
  </sheetPr>
  <dimension ref="A1:CP116"/>
  <sheetViews>
    <sheetView zoomScale="85" zoomScaleNormal="85" workbookViewId="0">
      <pane xSplit="2" ySplit="7" topLeftCell="AZ8" activePane="bottomRight" state="frozen"/>
      <selection activeCell="BI53" sqref="BI53"/>
      <selection pane="topRight" activeCell="BI53" sqref="BI53"/>
      <selection pane="bottomLeft" activeCell="BI53" sqref="BI53"/>
      <selection pane="bottomRight" activeCell="B3" sqref="B3"/>
    </sheetView>
  </sheetViews>
  <sheetFormatPr defaultRowHeight="14.25" customHeight="1" outlineLevelRow="1" outlineLevelCol="1"/>
  <cols>
    <col min="1" max="1" width="1.7109375" customWidth="1"/>
    <col min="2" max="2" width="44.42578125" customWidth="1"/>
    <col min="3" max="3" width="1.7109375" hidden="1" customWidth="1" outlineLevel="1"/>
    <col min="4" max="27" width="11.42578125" hidden="1" customWidth="1" outlineLevel="1"/>
    <col min="28" max="28" width="11.42578125" hidden="1" customWidth="1" outlineLevel="1" collapsed="1"/>
    <col min="29" max="31" width="11.42578125" hidden="1" customWidth="1" outlineLevel="1"/>
    <col min="32" max="32" width="11.42578125" hidden="1" customWidth="1" outlineLevel="1" collapsed="1"/>
    <col min="33" max="35" width="11.42578125" hidden="1" customWidth="1" outlineLevel="1"/>
    <col min="36" max="36" width="11.42578125" hidden="1" customWidth="1" outlineLevel="1" collapsed="1"/>
    <col min="37" max="43" width="11.42578125" hidden="1" customWidth="1" outlineLevel="1"/>
    <col min="44" max="44" width="11.42578125" hidden="1" customWidth="1" outlineLevel="1" collapsed="1"/>
    <col min="45" max="45" width="11.42578125" style="688" hidden="1" customWidth="1" outlineLevel="1"/>
    <col min="46" max="46" width="11.42578125" style="693" hidden="1" customWidth="1" outlineLevel="1"/>
    <col min="47" max="47" width="11.42578125" style="701" hidden="1" customWidth="1" outlineLevel="1"/>
    <col min="48" max="48" width="11.42578125" style="706" hidden="1" customWidth="1" outlineLevel="1"/>
    <col min="49" max="49" width="11.42578125" style="988" hidden="1" customWidth="1" outlineLevel="1"/>
    <col min="50" max="51" width="11.42578125" hidden="1" customWidth="1" outlineLevel="1"/>
    <col min="52" max="52" width="11.42578125" style="974" customWidth="1" collapsed="1"/>
    <col min="53" max="55" width="11.42578125" style="974" customWidth="1"/>
    <col min="56" max="59" width="11.42578125" style="1060" customWidth="1"/>
    <col min="60" max="63" width="11.42578125" style="1167" customWidth="1"/>
    <col min="64" max="64" width="2.7109375" customWidth="1"/>
    <col min="65" max="69" width="11.42578125" hidden="1" customWidth="1" outlineLevel="1"/>
    <col min="70" max="70" width="11.42578125" hidden="1" customWidth="1" outlineLevel="1" collapsed="1"/>
    <col min="71" max="71" width="11.42578125" hidden="1" customWidth="1" outlineLevel="1"/>
    <col min="72" max="73" width="11.42578125" hidden="1" customWidth="1" outlineLevel="1" collapsed="1"/>
    <col min="74" max="75" width="11.42578125" hidden="1" customWidth="1" outlineLevel="1"/>
    <col min="76" max="76" width="12.42578125" hidden="1" customWidth="1" outlineLevel="1"/>
    <col min="77" max="77" width="11.42578125" customWidth="1" collapsed="1"/>
    <col min="78" max="79" width="11.42578125" customWidth="1"/>
    <col min="80" max="80" width="11.42578125" style="1179" customWidth="1" outlineLevel="1"/>
    <col min="81" max="82" width="11.42578125" style="260" customWidth="1"/>
    <col min="83" max="83" width="11.42578125" customWidth="1"/>
    <col min="84" max="89" width="9.140625" hidden="1" customWidth="1" outlineLevel="1"/>
    <col min="90" max="90" width="9.140625" customWidth="1" collapsed="1"/>
    <col min="91" max="91" width="11.140625" customWidth="1"/>
    <col min="92" max="92" width="10.85546875" customWidth="1"/>
    <col min="93" max="93" width="9.5703125" bestFit="1" customWidth="1"/>
  </cols>
  <sheetData>
    <row r="1" spans="1:94" ht="67.5" customHeight="1">
      <c r="A1" s="1"/>
      <c r="B1" s="261"/>
      <c r="C1" s="14" t="s">
        <v>2</v>
      </c>
      <c r="D1" s="3"/>
      <c r="E1" s="1"/>
      <c r="F1" s="3"/>
      <c r="G1" s="1"/>
      <c r="H1" s="3"/>
      <c r="I1" s="1"/>
      <c r="J1" s="3"/>
      <c r="K1" s="1"/>
      <c r="L1" s="3"/>
      <c r="M1" s="1"/>
      <c r="N1" s="3"/>
      <c r="O1" s="1"/>
      <c r="P1" s="3"/>
      <c r="Q1" s="1"/>
      <c r="R1" s="3"/>
      <c r="S1" s="1"/>
      <c r="T1" s="3"/>
      <c r="U1" s="1"/>
      <c r="V1" s="3"/>
      <c r="W1" s="1"/>
      <c r="X1" s="3"/>
      <c r="Y1" s="1"/>
      <c r="Z1" s="3"/>
      <c r="AA1" s="1"/>
      <c r="AB1" s="3"/>
      <c r="AC1" s="1"/>
      <c r="AD1" s="3"/>
      <c r="AE1" s="1"/>
      <c r="AF1" s="3"/>
      <c r="AG1" s="1"/>
      <c r="AH1" s="3"/>
      <c r="AI1" s="1"/>
      <c r="AJ1" s="3"/>
      <c r="AK1" s="1"/>
      <c r="AL1" s="3"/>
      <c r="AM1" s="1"/>
      <c r="AN1" s="3"/>
      <c r="AO1" s="1"/>
      <c r="AP1" s="1"/>
      <c r="AQ1" s="1"/>
      <c r="AR1" s="3"/>
      <c r="AS1" s="1"/>
      <c r="AT1" s="1"/>
      <c r="AU1" s="1"/>
      <c r="AV1" s="3"/>
      <c r="AW1" s="1"/>
      <c r="AX1" s="3"/>
      <c r="AY1" s="1"/>
      <c r="AZ1" s="1"/>
      <c r="BA1" s="1"/>
      <c r="BB1" s="3"/>
      <c r="BC1" s="1"/>
      <c r="BD1" s="1"/>
      <c r="BE1" s="1"/>
      <c r="BF1" s="1"/>
      <c r="BG1" s="1"/>
      <c r="BH1" s="1"/>
      <c r="BI1" s="1"/>
      <c r="BJ1" s="1"/>
      <c r="BK1" s="1"/>
      <c r="BL1" s="3"/>
      <c r="BM1" s="3"/>
      <c r="BN1" s="1"/>
      <c r="BO1" s="3"/>
      <c r="BP1" s="1"/>
      <c r="BQ1" s="3"/>
      <c r="BR1" s="1"/>
      <c r="BS1" s="3"/>
      <c r="BT1" s="1"/>
      <c r="BU1" s="3"/>
      <c r="BV1" s="1"/>
      <c r="BW1" s="3"/>
      <c r="BX1" s="1"/>
      <c r="BY1" s="3"/>
      <c r="BZ1" s="1"/>
      <c r="CA1" s="3"/>
      <c r="CB1" s="3" t="s">
        <v>2</v>
      </c>
      <c r="CC1" s="9"/>
      <c r="CD1" s="9"/>
      <c r="CE1" s="1"/>
    </row>
    <row r="2" spans="1:94" ht="18" customHeight="1">
      <c r="A2" s="1"/>
      <c r="B2" s="5" t="s">
        <v>0</v>
      </c>
      <c r="C2" s="5"/>
      <c r="D2" s="1"/>
      <c r="E2" s="1"/>
      <c r="F2" s="1"/>
      <c r="G2" s="7"/>
      <c r="H2" s="1"/>
      <c r="I2" s="1"/>
      <c r="J2" s="1"/>
      <c r="K2" s="262"/>
      <c r="L2" s="1"/>
      <c r="M2" s="1"/>
      <c r="N2" s="1"/>
      <c r="O2" s="262"/>
      <c r="P2" s="1"/>
      <c r="Q2" s="1"/>
      <c r="R2" s="1"/>
      <c r="S2" s="262"/>
      <c r="T2" s="1"/>
      <c r="U2" s="1"/>
      <c r="V2" s="1"/>
      <c r="W2" s="26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4"/>
      <c r="CC2" s="9"/>
      <c r="CD2" s="9"/>
      <c r="CE2" s="1"/>
    </row>
    <row r="3" spans="1:94" ht="14.25" customHeight="1">
      <c r="A3" s="1"/>
      <c r="B3" s="1"/>
      <c r="C3" s="1"/>
      <c r="D3" s="1"/>
      <c r="E3" s="1"/>
      <c r="F3" s="1"/>
      <c r="G3" s="7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560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4"/>
      <c r="CC3" s="9"/>
      <c r="CD3" s="9"/>
      <c r="CE3" s="1"/>
    </row>
    <row r="4" spans="1:94" ht="14.25" customHeight="1">
      <c r="A4" s="1"/>
      <c r="B4" s="263" t="s">
        <v>289</v>
      </c>
      <c r="C4" s="264"/>
      <c r="D4" s="1"/>
      <c r="E4" s="1"/>
      <c r="F4" s="1"/>
      <c r="G4" s="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 t="s">
        <v>2</v>
      </c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560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4"/>
      <c r="CC4" s="9"/>
      <c r="CD4" s="9"/>
      <c r="CE4" s="1"/>
    </row>
    <row r="5" spans="1:94" ht="14.25" customHeight="1">
      <c r="A5" s="18"/>
      <c r="B5" s="265" t="s">
        <v>161</v>
      </c>
      <c r="C5" s="20"/>
      <c r="D5" s="266" t="str">
        <f>IS!D5</f>
        <v>C1Q05A</v>
      </c>
      <c r="E5" s="267" t="str">
        <f>IS!E5</f>
        <v>C2Q05A</v>
      </c>
      <c r="F5" s="267" t="str">
        <f>IS!F5</f>
        <v>C3Q05A</v>
      </c>
      <c r="G5" s="268" t="str">
        <f>IS!G5</f>
        <v>C4Q05A</v>
      </c>
      <c r="H5" s="266" t="str">
        <f>IS!H5</f>
        <v>C1Q06A</v>
      </c>
      <c r="I5" s="267" t="str">
        <f>IS!I5</f>
        <v>C2Q06A</v>
      </c>
      <c r="J5" s="267" t="str">
        <f>IS!J5</f>
        <v>C3Q06A</v>
      </c>
      <c r="K5" s="268" t="str">
        <f>IS!K5</f>
        <v>C4Q06A</v>
      </c>
      <c r="L5" s="266" t="str">
        <f>IS!L5</f>
        <v>C1Q07A</v>
      </c>
      <c r="M5" s="267" t="str">
        <f>IS!M5</f>
        <v>C2Q07A</v>
      </c>
      <c r="N5" s="267" t="str">
        <f>IS!N5</f>
        <v>C3Q07A</v>
      </c>
      <c r="O5" s="268" t="str">
        <f>IS!O5</f>
        <v>C4Q07A</v>
      </c>
      <c r="P5" s="266" t="str">
        <f>IS!P5</f>
        <v>C1Q08A</v>
      </c>
      <c r="Q5" s="267" t="str">
        <f>IS!Q5</f>
        <v>C2Q08A</v>
      </c>
      <c r="R5" s="267" t="str">
        <f>IS!R5</f>
        <v>C3Q08A</v>
      </c>
      <c r="S5" s="268" t="str">
        <f>IS!S5</f>
        <v>C4Q08A</v>
      </c>
      <c r="T5" s="266" t="str">
        <f>IS!T5</f>
        <v>C1Q09A</v>
      </c>
      <c r="U5" s="267" t="str">
        <f>IS!U5</f>
        <v>C2Q09A</v>
      </c>
      <c r="V5" s="267" t="str">
        <f>IS!V5</f>
        <v>C3Q09A</v>
      </c>
      <c r="W5" s="268" t="str">
        <f>IS!W5</f>
        <v>C4Q09A</v>
      </c>
      <c r="X5" s="266" t="str">
        <f>IS!X5</f>
        <v>C1Q10A</v>
      </c>
      <c r="Y5" s="267" t="str">
        <f>IS!Y5</f>
        <v>C2Q10A</v>
      </c>
      <c r="Z5" s="267" t="str">
        <f>IS!Z5</f>
        <v>C3Q10A</v>
      </c>
      <c r="AA5" s="268" t="str">
        <f>IS!AA5</f>
        <v>C4Q10A</v>
      </c>
      <c r="AB5" s="266" t="str">
        <f>IS!AB5</f>
        <v>C1Q11A</v>
      </c>
      <c r="AC5" s="267" t="str">
        <f>IS!AC5</f>
        <v>C2Q11A</v>
      </c>
      <c r="AD5" s="267" t="str">
        <f>IS!AD5</f>
        <v>C3Q11A</v>
      </c>
      <c r="AE5" s="268" t="str">
        <f>IS!AE5</f>
        <v>C4Q11A</v>
      </c>
      <c r="AF5" s="266" t="str">
        <f>IS!AF5</f>
        <v>C1Q12A</v>
      </c>
      <c r="AG5" s="267" t="str">
        <f>IS!AG5</f>
        <v>C2Q12A</v>
      </c>
      <c r="AH5" s="267" t="str">
        <f>IS!AH5</f>
        <v>C3Q12A</v>
      </c>
      <c r="AI5" s="268" t="str">
        <f>IS!AI5</f>
        <v>C4Q12A</v>
      </c>
      <c r="AJ5" s="266" t="str">
        <f>IS!AJ5</f>
        <v>C1Q13A</v>
      </c>
      <c r="AK5" s="267" t="str">
        <f>IS!AK5</f>
        <v>C2Q13A</v>
      </c>
      <c r="AL5" s="267" t="str">
        <f>IS!AL5</f>
        <v>C3Q13A</v>
      </c>
      <c r="AM5" s="268" t="str">
        <f>IS!AM5</f>
        <v>C4Q13A</v>
      </c>
      <c r="AN5" s="266" t="str">
        <f>IS!AN5</f>
        <v>C1Q14A</v>
      </c>
      <c r="AO5" s="267" t="str">
        <f>IS!AO5</f>
        <v>C2Q14A</v>
      </c>
      <c r="AP5" s="267" t="str">
        <f>IS!AP5</f>
        <v>C3Q14A</v>
      </c>
      <c r="AQ5" s="268" t="str">
        <f>IS!AQ5</f>
        <v>C4Q14A</v>
      </c>
      <c r="AR5" s="266" t="str">
        <f>IS!AR5</f>
        <v>C1Q15A</v>
      </c>
      <c r="AS5" s="267" t="str">
        <f>IS!AS5</f>
        <v>C2Q15A</v>
      </c>
      <c r="AT5" s="267" t="str">
        <f>IS!AT5</f>
        <v>C3Q15A</v>
      </c>
      <c r="AU5" s="268" t="str">
        <f>IS!AU5</f>
        <v>C4Q15A</v>
      </c>
      <c r="AV5" s="266" t="str">
        <f>IS!AV5</f>
        <v>C1Q16A</v>
      </c>
      <c r="AW5" s="267" t="str">
        <f>IS!AW5</f>
        <v>C2Q16A</v>
      </c>
      <c r="AX5" s="267" t="str">
        <f>IS!AX5</f>
        <v>C3Q16E</v>
      </c>
      <c r="AY5" s="268" t="str">
        <f>IS!AY5</f>
        <v>C4Q16E</v>
      </c>
      <c r="AZ5" s="267" t="str">
        <f>IS!AZ5</f>
        <v>C1Q17A</v>
      </c>
      <c r="BA5" s="267" t="str">
        <f>IS!BA5</f>
        <v>C2Q17A</v>
      </c>
      <c r="BB5" s="267" t="str">
        <f>IS!BB5</f>
        <v>C3Q17A</v>
      </c>
      <c r="BC5" s="268" t="str">
        <f>IS!BC5</f>
        <v>C4Q17A</v>
      </c>
      <c r="BD5" s="267" t="str">
        <f>IS!BD5</f>
        <v>C1Q18A</v>
      </c>
      <c r="BE5" s="267" t="str">
        <f>IS!BE5</f>
        <v>C2Q18E</v>
      </c>
      <c r="BF5" s="267" t="str">
        <f>IS!BF5</f>
        <v>C3Q18E</v>
      </c>
      <c r="BG5" s="268" t="str">
        <f>IS!BG5</f>
        <v>C4Q18E</v>
      </c>
      <c r="BH5" s="267" t="str">
        <f>IS!BH5</f>
        <v>C1Q19E</v>
      </c>
      <c r="BI5" s="267" t="str">
        <f>IS!BI5</f>
        <v>C2Q19E</v>
      </c>
      <c r="BJ5" s="267" t="str">
        <f>IS!BJ5</f>
        <v>C3Q19E</v>
      </c>
      <c r="BK5" s="268" t="str">
        <f>IS!BK5</f>
        <v>C4Q19E</v>
      </c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26"/>
      <c r="CD5" s="26"/>
      <c r="CE5" s="18"/>
    </row>
    <row r="6" spans="1:94" ht="14.25" customHeight="1">
      <c r="A6" s="18"/>
      <c r="B6" s="191" t="s">
        <v>43</v>
      </c>
      <c r="C6" s="28"/>
      <c r="D6" s="266">
        <f>IS!D6</f>
        <v>38442</v>
      </c>
      <c r="E6" s="267">
        <f>IS!E6</f>
        <v>38533</v>
      </c>
      <c r="F6" s="267">
        <f>IS!F6</f>
        <v>38625</v>
      </c>
      <c r="G6" s="268">
        <f>IS!G6</f>
        <v>38717</v>
      </c>
      <c r="H6" s="266">
        <f>IS!H6</f>
        <v>38807</v>
      </c>
      <c r="I6" s="267">
        <f>IS!I6</f>
        <v>38898</v>
      </c>
      <c r="J6" s="267">
        <f>IS!J6</f>
        <v>38990</v>
      </c>
      <c r="K6" s="268">
        <f>IS!K6</f>
        <v>39082</v>
      </c>
      <c r="L6" s="266">
        <f>IS!L6</f>
        <v>39172</v>
      </c>
      <c r="M6" s="267">
        <f>IS!M6</f>
        <v>39263</v>
      </c>
      <c r="N6" s="267">
        <f>IS!N6</f>
        <v>39355</v>
      </c>
      <c r="O6" s="268">
        <f>IS!O6</f>
        <v>39447</v>
      </c>
      <c r="P6" s="266">
        <f>IS!P6</f>
        <v>39538</v>
      </c>
      <c r="Q6" s="267">
        <f>IS!Q6</f>
        <v>39629</v>
      </c>
      <c r="R6" s="267">
        <f>IS!R6</f>
        <v>39721</v>
      </c>
      <c r="S6" s="268">
        <f>IS!S6</f>
        <v>39813</v>
      </c>
      <c r="T6" s="266">
        <f>IS!T6</f>
        <v>39903</v>
      </c>
      <c r="U6" s="267">
        <f>IS!U6</f>
        <v>39994</v>
      </c>
      <c r="V6" s="267">
        <f>IS!V6</f>
        <v>40086</v>
      </c>
      <c r="W6" s="268">
        <f>IS!W6</f>
        <v>40178</v>
      </c>
      <c r="X6" s="266">
        <f>IS!X6</f>
        <v>40268</v>
      </c>
      <c r="Y6" s="267">
        <f>IS!Y6</f>
        <v>40359</v>
      </c>
      <c r="Z6" s="267">
        <f>IS!Z6</f>
        <v>40451</v>
      </c>
      <c r="AA6" s="268">
        <f>IS!AA6</f>
        <v>40543</v>
      </c>
      <c r="AB6" s="266">
        <f>IS!AB6</f>
        <v>40633</v>
      </c>
      <c r="AC6" s="267">
        <f>IS!AC6</f>
        <v>40724</v>
      </c>
      <c r="AD6" s="267">
        <f>IS!AD6</f>
        <v>40816</v>
      </c>
      <c r="AE6" s="268">
        <f>IS!AE6</f>
        <v>40908</v>
      </c>
      <c r="AF6" s="266">
        <f>IS!AF6</f>
        <v>40999</v>
      </c>
      <c r="AG6" s="267">
        <f>IS!AG6</f>
        <v>41090</v>
      </c>
      <c r="AH6" s="267">
        <f>IS!AH6</f>
        <v>41182</v>
      </c>
      <c r="AI6" s="268">
        <f>IS!AI6</f>
        <v>41274</v>
      </c>
      <c r="AJ6" s="266">
        <f>IS!AJ6</f>
        <v>41364</v>
      </c>
      <c r="AK6" s="267">
        <f>IS!AK6</f>
        <v>41455</v>
      </c>
      <c r="AL6" s="267">
        <f>IS!AL6</f>
        <v>41547</v>
      </c>
      <c r="AM6" s="268">
        <f>IS!AM6</f>
        <v>41639</v>
      </c>
      <c r="AN6" s="266">
        <f>IS!AN6</f>
        <v>41729</v>
      </c>
      <c r="AO6" s="267">
        <f>IS!AO6</f>
        <v>41820</v>
      </c>
      <c r="AP6" s="267">
        <f>IS!AP6</f>
        <v>41912</v>
      </c>
      <c r="AQ6" s="268">
        <f>IS!AQ6</f>
        <v>42004</v>
      </c>
      <c r="AR6" s="266">
        <f>IS!AR6</f>
        <v>42094</v>
      </c>
      <c r="AS6" s="267">
        <f>IS!AS6</f>
        <v>42185</v>
      </c>
      <c r="AT6" s="267">
        <f>IS!AT6</f>
        <v>42277</v>
      </c>
      <c r="AU6" s="268">
        <f>IS!AU6</f>
        <v>42369</v>
      </c>
      <c r="AV6" s="266">
        <f>IS!AV6</f>
        <v>42460</v>
      </c>
      <c r="AW6" s="267">
        <f>IS!AW6</f>
        <v>42551</v>
      </c>
      <c r="AX6" s="267">
        <f>IS!AX6</f>
        <v>42643</v>
      </c>
      <c r="AY6" s="268">
        <f>IS!AY6</f>
        <v>42735</v>
      </c>
      <c r="AZ6" s="267">
        <f>IS!AZ6</f>
        <v>42825</v>
      </c>
      <c r="BA6" s="267">
        <f>IS!BA6</f>
        <v>42916</v>
      </c>
      <c r="BB6" s="267">
        <f>IS!BB6</f>
        <v>43008</v>
      </c>
      <c r="BC6" s="268">
        <f>IS!BC6</f>
        <v>43100</v>
      </c>
      <c r="BD6" s="267">
        <f>IS!BD6</f>
        <v>43190</v>
      </c>
      <c r="BE6" s="267">
        <f>IS!BE6</f>
        <v>43281</v>
      </c>
      <c r="BF6" s="267">
        <f>IS!BF6</f>
        <v>43373</v>
      </c>
      <c r="BG6" s="268">
        <f>IS!BG6</f>
        <v>43465</v>
      </c>
      <c r="BH6" s="267">
        <f>IS!BH6</f>
        <v>43555</v>
      </c>
      <c r="BI6" s="267">
        <f>IS!BI6</f>
        <v>43646</v>
      </c>
      <c r="BJ6" s="267">
        <f>IS!BJ6</f>
        <v>43738</v>
      </c>
      <c r="BK6" s="268">
        <f>IS!BK6</f>
        <v>43830</v>
      </c>
      <c r="BL6" s="37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26"/>
      <c r="CD6" s="26"/>
      <c r="CE6" s="18"/>
    </row>
    <row r="7" spans="1:94" ht="14.25" customHeight="1">
      <c r="A7" s="18"/>
      <c r="B7" s="269"/>
      <c r="C7" s="270"/>
      <c r="D7" s="21" t="str">
        <f>IS!D7</f>
        <v>F1Q05A</v>
      </c>
      <c r="E7" s="22" t="str">
        <f>IS!E7</f>
        <v>F2Q05A</v>
      </c>
      <c r="F7" s="22" t="str">
        <f>IS!F7</f>
        <v>F3Q05A</v>
      </c>
      <c r="G7" s="23" t="str">
        <f>IS!G7</f>
        <v>F4Q05A</v>
      </c>
      <c r="H7" s="21" t="str">
        <f>IS!H7</f>
        <v>F1Q06A</v>
      </c>
      <c r="I7" s="22" t="str">
        <f>IS!I7</f>
        <v>F2Q06A</v>
      </c>
      <c r="J7" s="22" t="str">
        <f>IS!J7</f>
        <v>F3Q06A</v>
      </c>
      <c r="K7" s="23" t="str">
        <f>IS!K7</f>
        <v>F4Q06A</v>
      </c>
      <c r="L7" s="21" t="str">
        <f>IS!L7</f>
        <v>F1Q07A</v>
      </c>
      <c r="M7" s="22" t="str">
        <f>IS!M7</f>
        <v>F2Q07A</v>
      </c>
      <c r="N7" s="22" t="str">
        <f>IS!N7</f>
        <v>F3Q07A</v>
      </c>
      <c r="O7" s="23" t="str">
        <f>IS!O7</f>
        <v>F4Q07A</v>
      </c>
      <c r="P7" s="21" t="str">
        <f>IS!P7</f>
        <v>F1Q08A</v>
      </c>
      <c r="Q7" s="22" t="str">
        <f>IS!Q7</f>
        <v>F2Q08A</v>
      </c>
      <c r="R7" s="22" t="str">
        <f>IS!R7</f>
        <v>F3Q08A</v>
      </c>
      <c r="S7" s="23" t="str">
        <f>IS!S7</f>
        <v>F4Q08A</v>
      </c>
      <c r="T7" s="21" t="str">
        <f>IS!T7</f>
        <v>F1Q09A</v>
      </c>
      <c r="U7" s="22" t="str">
        <f>IS!U7</f>
        <v>F2Q09A</v>
      </c>
      <c r="V7" s="22" t="str">
        <f>IS!V7</f>
        <v>F3Q09A</v>
      </c>
      <c r="W7" s="23" t="str">
        <f>IS!W7</f>
        <v>F4Q09A</v>
      </c>
      <c r="X7" s="21" t="str">
        <f>IS!X7</f>
        <v>F1Q10A</v>
      </c>
      <c r="Y7" s="22" t="str">
        <f>IS!Y7</f>
        <v>F2Q10A</v>
      </c>
      <c r="Z7" s="22" t="str">
        <f>IS!Z7</f>
        <v>F3Q10A</v>
      </c>
      <c r="AA7" s="23" t="str">
        <f>IS!AA7</f>
        <v>F4Q10A</v>
      </c>
      <c r="AB7" s="21" t="str">
        <f>IS!AB7</f>
        <v>F1Q11A</v>
      </c>
      <c r="AC7" s="22" t="str">
        <f>IS!AC7</f>
        <v>F2Q11A</v>
      </c>
      <c r="AD7" s="22" t="str">
        <f>IS!AD7</f>
        <v>F3Q11A</v>
      </c>
      <c r="AE7" s="23" t="str">
        <f>IS!AE7</f>
        <v>F4Q11A</v>
      </c>
      <c r="AF7" s="21" t="str">
        <f>IS!AF7</f>
        <v>F1Q12A</v>
      </c>
      <c r="AG7" s="22" t="str">
        <f>IS!AG7</f>
        <v>F2Q12A</v>
      </c>
      <c r="AH7" s="22" t="str">
        <f>IS!AH7</f>
        <v>F3Q12A</v>
      </c>
      <c r="AI7" s="23" t="str">
        <f>IS!AI7</f>
        <v>F4Q12A</v>
      </c>
      <c r="AJ7" s="21" t="str">
        <f>IS!AJ7</f>
        <v>F1Q13A</v>
      </c>
      <c r="AK7" s="22" t="str">
        <f>IS!AK7</f>
        <v>F2Q13A</v>
      </c>
      <c r="AL7" s="22" t="str">
        <f>IS!AL7</f>
        <v>F3Q13A</v>
      </c>
      <c r="AM7" s="23" t="str">
        <f>IS!AM7</f>
        <v>F4Q13A</v>
      </c>
      <c r="AN7" s="21" t="str">
        <f>IS!AN7</f>
        <v>F1Q14A</v>
      </c>
      <c r="AO7" s="22" t="str">
        <f>IS!AO7</f>
        <v>F2Q14A</v>
      </c>
      <c r="AP7" s="22" t="str">
        <f>IS!AP7</f>
        <v>F3Q14A</v>
      </c>
      <c r="AQ7" s="23" t="str">
        <f>IS!AQ7</f>
        <v>F4Q14A</v>
      </c>
      <c r="AR7" s="21" t="str">
        <f>IS!AR7</f>
        <v>F1Q15A</v>
      </c>
      <c r="AS7" s="22" t="str">
        <f>IS!AS7</f>
        <v>F2Q15A</v>
      </c>
      <c r="AT7" s="22" t="str">
        <f>IS!AT7</f>
        <v>F3Q15A</v>
      </c>
      <c r="AU7" s="23" t="str">
        <f>IS!AU7</f>
        <v>F4Q15A</v>
      </c>
      <c r="AV7" s="21" t="str">
        <f>IS!AV7</f>
        <v>F1Q16A</v>
      </c>
      <c r="AW7" s="22" t="str">
        <f>IS!AW7</f>
        <v>F2Q16A</v>
      </c>
      <c r="AX7" s="22" t="str">
        <f>IS!AX7</f>
        <v>F3Q16A</v>
      </c>
      <c r="AY7" s="23" t="str">
        <f>IS!AY7</f>
        <v>F4Q16A</v>
      </c>
      <c r="AZ7" s="22" t="str">
        <f>IS!AZ7</f>
        <v>F1Q17A</v>
      </c>
      <c r="BA7" s="22" t="str">
        <f>IS!BA7</f>
        <v>F2Q17A</v>
      </c>
      <c r="BB7" s="22" t="str">
        <f>IS!BB7</f>
        <v>F3Q17A</v>
      </c>
      <c r="BC7" s="23" t="str">
        <f>IS!BC7</f>
        <v>F4Q17A</v>
      </c>
      <c r="BD7" s="22" t="str">
        <f>IS!BD7</f>
        <v>F1Q18A</v>
      </c>
      <c r="BE7" s="22" t="str">
        <f>IS!BE7</f>
        <v>F2Q18E</v>
      </c>
      <c r="BF7" s="22" t="str">
        <f>IS!BF7</f>
        <v>F3Q18E</v>
      </c>
      <c r="BG7" s="23" t="str">
        <f>IS!BG7</f>
        <v>F4Q18E</v>
      </c>
      <c r="BH7" s="22" t="str">
        <f>IS!BH7</f>
        <v>F1Q19E</v>
      </c>
      <c r="BI7" s="22" t="str">
        <f>IS!BI7</f>
        <v>F2Q19E</v>
      </c>
      <c r="BJ7" s="22" t="str">
        <f>IS!BJ7</f>
        <v>F3Q19E</v>
      </c>
      <c r="BK7" s="23" t="str">
        <f>IS!BK7</f>
        <v>F4Q19E</v>
      </c>
      <c r="BL7" s="35"/>
      <c r="BM7" s="21" t="str">
        <f>IS!BM7</f>
        <v>FY2005A</v>
      </c>
      <c r="BN7" s="22" t="str">
        <f>IS!BN7</f>
        <v>FY2006A</v>
      </c>
      <c r="BO7" s="22" t="str">
        <f>IS!BO7</f>
        <v>FY2007A</v>
      </c>
      <c r="BP7" s="22" t="str">
        <f>IS!BP7</f>
        <v>FY2008A</v>
      </c>
      <c r="BQ7" s="23" t="str">
        <f>IS!BQ7</f>
        <v>FY2009A</v>
      </c>
      <c r="BR7" s="21" t="str">
        <f>IS!BR7</f>
        <v>FY2010A</v>
      </c>
      <c r="BS7" s="22" t="str">
        <f>IS!BS7</f>
        <v>FY2011A</v>
      </c>
      <c r="BT7" s="21" t="str">
        <f>IS!BT7</f>
        <v>FY2012A</v>
      </c>
      <c r="BU7" s="22" t="str">
        <f>IS!BU7</f>
        <v>FY2013A</v>
      </c>
      <c r="BV7" s="21" t="str">
        <f>IS!BV7</f>
        <v>FY2014</v>
      </c>
      <c r="BW7" s="22" t="str">
        <f>IS!BW7</f>
        <v>FY2015</v>
      </c>
      <c r="BX7" s="22" t="str">
        <f>IS!BX7</f>
        <v>FY2016</v>
      </c>
      <c r="BY7" s="22" t="str">
        <f>IS!BY7</f>
        <v>FY2017A</v>
      </c>
      <c r="BZ7" s="22" t="str">
        <f>IS!BZ7</f>
        <v>FY2018E</v>
      </c>
      <c r="CA7" s="22" t="str">
        <f>IS!CA7</f>
        <v>FY2019E</v>
      </c>
      <c r="CB7" s="23" t="str">
        <f>IS!CB7</f>
        <v>FY2020E</v>
      </c>
      <c r="CC7" s="37"/>
      <c r="CD7" s="26"/>
      <c r="CE7" s="26"/>
    </row>
    <row r="8" spans="1:94" ht="14.25" customHeight="1">
      <c r="A8" s="18"/>
      <c r="B8" s="271" t="s">
        <v>162</v>
      </c>
      <c r="C8" s="272"/>
      <c r="D8" s="273"/>
      <c r="E8" s="274"/>
      <c r="F8" s="274"/>
      <c r="G8" s="275"/>
      <c r="H8" s="273"/>
      <c r="I8" s="274"/>
      <c r="J8" s="274"/>
      <c r="K8" s="275"/>
      <c r="L8" s="273"/>
      <c r="M8" s="274"/>
      <c r="N8" s="274"/>
      <c r="O8" s="275"/>
      <c r="P8" s="273"/>
      <c r="Q8" s="274"/>
      <c r="R8" s="274"/>
      <c r="S8" s="275"/>
      <c r="T8" s="273"/>
      <c r="U8" s="274"/>
      <c r="V8" s="274"/>
      <c r="W8" s="275"/>
      <c r="X8" s="273"/>
      <c r="Y8" s="274"/>
      <c r="Z8" s="74"/>
      <c r="AA8" s="274"/>
      <c r="AB8" s="273"/>
      <c r="AC8" s="274"/>
      <c r="AD8" s="274"/>
      <c r="AE8" s="275"/>
      <c r="AF8" s="75"/>
      <c r="AG8" s="274"/>
      <c r="AH8" s="274"/>
      <c r="AI8" s="275"/>
      <c r="AJ8" s="276"/>
      <c r="AK8" s="274"/>
      <c r="AL8" s="274"/>
      <c r="AM8" s="275"/>
      <c r="AN8" s="276"/>
      <c r="AO8" s="274"/>
      <c r="AP8" s="274"/>
      <c r="AQ8" s="275"/>
      <c r="AR8" s="276"/>
      <c r="AS8" s="274"/>
      <c r="AT8" s="274"/>
      <c r="AU8" s="275"/>
      <c r="AV8" s="309"/>
      <c r="AW8" s="277"/>
      <c r="AX8" s="277"/>
      <c r="AY8" s="1055"/>
      <c r="AZ8" s="274"/>
      <c r="BA8" s="274"/>
      <c r="BB8" s="277"/>
      <c r="BC8" s="275"/>
      <c r="BD8" s="274"/>
      <c r="BE8" s="274"/>
      <c r="BF8" s="274"/>
      <c r="BG8" s="275"/>
      <c r="BH8" s="274"/>
      <c r="BI8" s="274"/>
      <c r="BJ8" s="274"/>
      <c r="BK8" s="275"/>
      <c r="BL8" s="35"/>
      <c r="BM8" s="277"/>
      <c r="BN8" s="274"/>
      <c r="BO8" s="274"/>
      <c r="BP8" s="274"/>
      <c r="BQ8" s="277"/>
      <c r="BR8" s="277"/>
      <c r="BS8" s="274"/>
      <c r="BT8" s="273"/>
      <c r="BU8" s="277"/>
      <c r="BV8" s="277"/>
      <c r="BW8" s="277"/>
      <c r="BX8" s="277"/>
      <c r="BY8" s="277"/>
      <c r="BZ8" s="277"/>
      <c r="CA8" s="274"/>
      <c r="CB8" s="1055"/>
      <c r="CC8" s="37"/>
      <c r="CD8" s="26"/>
      <c r="CE8" s="26"/>
    </row>
    <row r="9" spans="1:94" ht="14.25" customHeight="1">
      <c r="A9" s="18"/>
      <c r="B9" s="278" t="s">
        <v>163</v>
      </c>
      <c r="C9" s="103"/>
      <c r="D9" s="75">
        <v>9279</v>
      </c>
      <c r="E9" s="74">
        <v>8975</v>
      </c>
      <c r="F9" s="74">
        <v>8857</v>
      </c>
      <c r="G9" s="76">
        <v>7324</v>
      </c>
      <c r="H9" s="75">
        <v>3948</v>
      </c>
      <c r="I9" s="74">
        <v>3436</v>
      </c>
      <c r="J9" s="74">
        <v>4469</v>
      </c>
      <c r="K9" s="76">
        <v>6598</v>
      </c>
      <c r="L9" s="75">
        <v>4472</v>
      </c>
      <c r="M9" s="74">
        <v>4709</v>
      </c>
      <c r="N9" s="74">
        <v>5844</v>
      </c>
      <c r="O9" s="76">
        <v>7307</v>
      </c>
      <c r="P9" s="75">
        <v>5883</v>
      </c>
      <c r="Q9" s="74">
        <v>4079</v>
      </c>
      <c r="R9" s="74">
        <v>3704</v>
      </c>
      <c r="S9" s="76">
        <v>3350</v>
      </c>
      <c r="T9" s="75">
        <v>3536</v>
      </c>
      <c r="U9" s="74">
        <v>3826</v>
      </c>
      <c r="V9" s="74">
        <v>4109</v>
      </c>
      <c r="W9" s="76">
        <v>3987</v>
      </c>
      <c r="X9" s="74">
        <v>4988</v>
      </c>
      <c r="Y9" s="74">
        <v>5514</v>
      </c>
      <c r="Z9" s="74">
        <v>5517</v>
      </c>
      <c r="AA9" s="74">
        <v>5498</v>
      </c>
      <c r="AB9" s="279">
        <v>4188</v>
      </c>
      <c r="AC9" s="74">
        <v>4635</v>
      </c>
      <c r="AD9" s="74">
        <v>7057</v>
      </c>
      <c r="AE9" s="76">
        <v>5065</v>
      </c>
      <c r="AF9" s="74">
        <v>4429</v>
      </c>
      <c r="AG9" s="74">
        <v>5223</v>
      </c>
      <c r="AH9" s="74">
        <v>3520</v>
      </c>
      <c r="AI9" s="76">
        <v>8478</v>
      </c>
      <c r="AJ9" s="75">
        <v>5698</v>
      </c>
      <c r="AK9" s="74">
        <v>3778</v>
      </c>
      <c r="AL9" s="74">
        <v>4881</v>
      </c>
      <c r="AM9" s="76">
        <v>5674</v>
      </c>
      <c r="AN9" s="75">
        <v>4777</v>
      </c>
      <c r="AO9" s="74">
        <v>3049</v>
      </c>
      <c r="AP9" s="74">
        <v>3143</v>
      </c>
      <c r="AQ9" s="76">
        <v>2561</v>
      </c>
      <c r="AR9" s="75">
        <v>4244</v>
      </c>
      <c r="AS9" s="74">
        <v>4454</v>
      </c>
      <c r="AT9" s="74">
        <v>7065</v>
      </c>
      <c r="AU9" s="76">
        <v>15308</v>
      </c>
      <c r="AV9" s="75">
        <v>3061</v>
      </c>
      <c r="AW9" s="74">
        <v>3885</v>
      </c>
      <c r="AX9" s="74">
        <v>4752</v>
      </c>
      <c r="AY9" s="76">
        <v>5560</v>
      </c>
      <c r="AZ9" s="75">
        <v>4934</v>
      </c>
      <c r="BA9" s="74">
        <v>11687</v>
      </c>
      <c r="BB9" s="74">
        <v>9075</v>
      </c>
      <c r="BC9" s="76">
        <v>3433</v>
      </c>
      <c r="BD9" s="75">
        <v>3554</v>
      </c>
      <c r="BE9" s="281">
        <f>BD9+CFS!BE56</f>
        <v>5328.8935123566007</v>
      </c>
      <c r="BF9" s="281">
        <f>BE9+CFS!BF56</f>
        <v>6930.1194258736577</v>
      </c>
      <c r="BG9" s="280">
        <f>BF9+CFS!BG56</f>
        <v>9235.1130779386531</v>
      </c>
      <c r="BH9" s="281">
        <f>BG9+CFS!BH56</f>
        <v>11773.102462382441</v>
      </c>
      <c r="BI9" s="281">
        <f>BH9+CFS!BI56</f>
        <v>12867.631228371542</v>
      </c>
      <c r="BJ9" s="281">
        <f>BI9+CFS!BJ56</f>
        <v>14043.312897508022</v>
      </c>
      <c r="BK9" s="280">
        <f>BJ9+CFS!BK56</f>
        <v>16215.374073973693</v>
      </c>
      <c r="BL9" s="35"/>
      <c r="BM9" s="281">
        <f t="shared" ref="BM9:BM14" si="0">G9</f>
        <v>7324</v>
      </c>
      <c r="BN9" s="281">
        <f t="shared" ref="BN9:BN14" si="1">K9</f>
        <v>6598</v>
      </c>
      <c r="BO9" s="281">
        <f t="shared" ref="BO9:BO14" si="2">O9</f>
        <v>7307</v>
      </c>
      <c r="BP9" s="281">
        <f t="shared" ref="BP9:BP14" si="3">S9</f>
        <v>3350</v>
      </c>
      <c r="BQ9" s="281">
        <f t="shared" ref="BQ9:BQ14" si="4">W9</f>
        <v>3987</v>
      </c>
      <c r="BR9" s="281">
        <f t="shared" ref="BR9:BR14" si="5">AA9</f>
        <v>5498</v>
      </c>
      <c r="BS9" s="281">
        <f t="shared" ref="BS9:BS14" si="6">AE9</f>
        <v>5065</v>
      </c>
      <c r="BT9" s="282">
        <f t="shared" ref="BT9:BT14" si="7">AI9</f>
        <v>8478</v>
      </c>
      <c r="BU9" s="281">
        <f t="shared" ref="BU9:BU14" si="8">AM9</f>
        <v>5674</v>
      </c>
      <c r="BV9" s="281">
        <f t="shared" ref="BV9:BV14" si="9">AQ9</f>
        <v>2561</v>
      </c>
      <c r="BW9" s="281">
        <f t="shared" ref="BW9:BW14" si="10">AU9</f>
        <v>15308</v>
      </c>
      <c r="BX9" s="281">
        <f t="shared" ref="BX9:BX14" si="11">AY9</f>
        <v>5560</v>
      </c>
      <c r="BY9" s="281">
        <f t="shared" ref="BY9:BY14" si="12">BC9</f>
        <v>3433</v>
      </c>
      <c r="BZ9" s="281">
        <f t="shared" ref="BZ9:BZ14" si="13">BG9</f>
        <v>9235.1130779386531</v>
      </c>
      <c r="CA9" s="281">
        <f t="shared" ref="CA9:CA16" si="14">BK9</f>
        <v>16215.374073973693</v>
      </c>
      <c r="CB9" s="1168">
        <f>CA9+CFS!CB56</f>
        <v>24191.758008165718</v>
      </c>
      <c r="CC9" s="1276"/>
      <c r="CD9" s="626"/>
      <c r="CE9" s="26"/>
      <c r="CM9" s="180"/>
      <c r="CN9" s="620"/>
      <c r="CO9" s="620"/>
      <c r="CP9" s="180"/>
    </row>
    <row r="10" spans="1:94" ht="14.25" customHeight="1">
      <c r="A10" s="18"/>
      <c r="B10" s="278" t="s">
        <v>164</v>
      </c>
      <c r="C10" s="103"/>
      <c r="D10" s="276">
        <v>4394</v>
      </c>
      <c r="E10" s="230">
        <v>3625</v>
      </c>
      <c r="F10" s="230">
        <v>3094</v>
      </c>
      <c r="G10" s="283">
        <v>3990</v>
      </c>
      <c r="H10" s="276">
        <v>3906</v>
      </c>
      <c r="I10" s="230">
        <v>2985</v>
      </c>
      <c r="J10" s="230">
        <v>2654</v>
      </c>
      <c r="K10" s="283">
        <v>2270</v>
      </c>
      <c r="L10" s="276">
        <v>3217</v>
      </c>
      <c r="M10" s="230">
        <v>4217</v>
      </c>
      <c r="N10" s="230">
        <v>4952</v>
      </c>
      <c r="O10" s="283">
        <v>5490</v>
      </c>
      <c r="P10" s="276">
        <v>4993</v>
      </c>
      <c r="Q10" s="230">
        <v>4312</v>
      </c>
      <c r="R10" s="230">
        <v>4583</v>
      </c>
      <c r="S10" s="283">
        <v>5331</v>
      </c>
      <c r="T10" s="276">
        <v>4256</v>
      </c>
      <c r="U10" s="230">
        <v>5195</v>
      </c>
      <c r="V10" s="230">
        <v>5150</v>
      </c>
      <c r="W10" s="283">
        <v>5285</v>
      </c>
      <c r="X10" s="230">
        <v>5927</v>
      </c>
      <c r="Y10" s="230">
        <v>6715</v>
      </c>
      <c r="Z10" s="230">
        <v>9470</v>
      </c>
      <c r="AA10" s="283">
        <v>11294</v>
      </c>
      <c r="AB10" s="284">
        <v>3536</v>
      </c>
      <c r="AC10" s="230">
        <v>3106</v>
      </c>
      <c r="AD10" s="230">
        <v>3876</v>
      </c>
      <c r="AE10" s="283">
        <v>5181</v>
      </c>
      <c r="AF10" s="230">
        <v>5012</v>
      </c>
      <c r="AG10" s="230">
        <v>3981</v>
      </c>
      <c r="AH10" s="230">
        <v>2483</v>
      </c>
      <c r="AI10" s="283">
        <v>3999</v>
      </c>
      <c r="AJ10" s="230">
        <v>4323</v>
      </c>
      <c r="AK10" s="230">
        <v>6214</v>
      </c>
      <c r="AL10" s="230">
        <v>6492</v>
      </c>
      <c r="AM10" s="283">
        <v>5972</v>
      </c>
      <c r="AN10" s="230">
        <v>5234</v>
      </c>
      <c r="AO10" s="230">
        <v>4491</v>
      </c>
      <c r="AP10" s="230">
        <v>3451</v>
      </c>
      <c r="AQ10" s="283">
        <v>2430</v>
      </c>
      <c r="AR10" s="230">
        <v>1864</v>
      </c>
      <c r="AS10" s="230">
        <v>2606</v>
      </c>
      <c r="AT10" s="230">
        <v>7119</v>
      </c>
      <c r="AU10" s="283">
        <v>2682</v>
      </c>
      <c r="AV10" s="276">
        <v>2927</v>
      </c>
      <c r="AW10" s="230">
        <v>4301</v>
      </c>
      <c r="AX10" s="230">
        <v>3270</v>
      </c>
      <c r="AY10" s="283">
        <v>3225</v>
      </c>
      <c r="AZ10" s="276">
        <v>3058</v>
      </c>
      <c r="BA10" s="230">
        <v>3158</v>
      </c>
      <c r="BB10" s="230">
        <v>1446</v>
      </c>
      <c r="BC10" s="283">
        <v>1814</v>
      </c>
      <c r="BD10" s="276">
        <v>2020</v>
      </c>
      <c r="BE10" s="249">
        <f>BD10-CFS!BE33-CFS!BE34</f>
        <v>2020</v>
      </c>
      <c r="BF10" s="249">
        <f>BE10-CFS!BF33-CFS!BF34</f>
        <v>2020</v>
      </c>
      <c r="BG10" s="171">
        <f>BF10-CFS!BG33-CFS!BG34</f>
        <v>2020</v>
      </c>
      <c r="BH10" s="249">
        <f>BG10-CFS!BH33-CFS!BH34</f>
        <v>2020</v>
      </c>
      <c r="BI10" s="249">
        <f>BH10-CFS!BI33-CFS!BI34</f>
        <v>2020</v>
      </c>
      <c r="BJ10" s="249">
        <f>BI10-CFS!BJ33-CFS!BJ34</f>
        <v>2020</v>
      </c>
      <c r="BK10" s="171">
        <f>BJ10-CFS!BK33-CFS!BK34</f>
        <v>2020</v>
      </c>
      <c r="BL10" s="132"/>
      <c r="BM10" s="249">
        <f t="shared" si="0"/>
        <v>3990</v>
      </c>
      <c r="BN10" s="249">
        <f t="shared" si="1"/>
        <v>2270</v>
      </c>
      <c r="BO10" s="249">
        <f t="shared" si="2"/>
        <v>5490</v>
      </c>
      <c r="BP10" s="249">
        <f t="shared" si="3"/>
        <v>5331</v>
      </c>
      <c r="BQ10" s="249">
        <f t="shared" si="4"/>
        <v>5285</v>
      </c>
      <c r="BR10" s="249">
        <f t="shared" si="5"/>
        <v>11294</v>
      </c>
      <c r="BS10" s="249">
        <f t="shared" si="6"/>
        <v>5181</v>
      </c>
      <c r="BT10" s="248">
        <f t="shared" si="7"/>
        <v>3999</v>
      </c>
      <c r="BU10" s="249">
        <f t="shared" si="8"/>
        <v>5972</v>
      </c>
      <c r="BV10" s="249">
        <f t="shared" si="9"/>
        <v>2430</v>
      </c>
      <c r="BW10" s="249">
        <f t="shared" si="10"/>
        <v>2682</v>
      </c>
      <c r="BX10" s="249">
        <f t="shared" si="11"/>
        <v>3225</v>
      </c>
      <c r="BY10" s="249">
        <f t="shared" si="12"/>
        <v>1814</v>
      </c>
      <c r="BZ10" s="249">
        <f t="shared" si="13"/>
        <v>2020</v>
      </c>
      <c r="CA10" s="249">
        <f t="shared" si="14"/>
        <v>2020</v>
      </c>
      <c r="CB10" s="1174">
        <f>CA10-CFS!CB33-CFS!CB34</f>
        <v>2020</v>
      </c>
      <c r="CC10" s="1276"/>
      <c r="CD10" s="626"/>
      <c r="CE10" s="26"/>
      <c r="CM10" s="180"/>
      <c r="CN10" s="620"/>
      <c r="CO10" s="620"/>
      <c r="CP10" s="180"/>
    </row>
    <row r="11" spans="1:94" ht="14.25" customHeight="1">
      <c r="A11" s="18"/>
      <c r="B11" s="278" t="s">
        <v>165</v>
      </c>
      <c r="C11" s="103"/>
      <c r="D11" s="276">
        <v>2443</v>
      </c>
      <c r="E11" s="230">
        <v>2224</v>
      </c>
      <c r="F11" s="230">
        <v>1982</v>
      </c>
      <c r="G11" s="283">
        <v>1458</v>
      </c>
      <c r="H11" s="276">
        <v>1265</v>
      </c>
      <c r="I11" s="230">
        <v>1222</v>
      </c>
      <c r="J11" s="230">
        <v>1096</v>
      </c>
      <c r="K11" s="283">
        <v>1134</v>
      </c>
      <c r="L11" s="276">
        <v>1335</v>
      </c>
      <c r="M11" s="230">
        <v>1735</v>
      </c>
      <c r="N11" s="230">
        <v>2225</v>
      </c>
      <c r="O11" s="283">
        <v>2566</v>
      </c>
      <c r="P11" s="276">
        <v>2816</v>
      </c>
      <c r="Q11" s="230">
        <v>3570</v>
      </c>
      <c r="R11" s="230">
        <v>3917</v>
      </c>
      <c r="S11" s="283">
        <v>3162</v>
      </c>
      <c r="T11" s="276">
        <v>2807</v>
      </c>
      <c r="U11" s="230">
        <v>2603</v>
      </c>
      <c r="V11" s="230">
        <v>3671</v>
      </c>
      <c r="W11" s="283">
        <v>4648</v>
      </c>
      <c r="X11" s="230">
        <v>5427</v>
      </c>
      <c r="Y11" s="230">
        <v>6074</v>
      </c>
      <c r="Z11" s="230">
        <v>5763</v>
      </c>
      <c r="AA11" s="283">
        <v>5093</v>
      </c>
      <c r="AB11" s="284">
        <v>4254</v>
      </c>
      <c r="AC11" s="230">
        <v>3806</v>
      </c>
      <c r="AD11" s="230">
        <v>4265</v>
      </c>
      <c r="AE11" s="283">
        <v>4591</v>
      </c>
      <c r="AF11" s="230">
        <v>4312</v>
      </c>
      <c r="AG11" s="230">
        <v>4444</v>
      </c>
      <c r="AH11" s="230">
        <v>4462</v>
      </c>
      <c r="AI11" s="283">
        <v>5685</v>
      </c>
      <c r="AJ11" s="230">
        <v>7052</v>
      </c>
      <c r="AK11" s="230">
        <v>7358</v>
      </c>
      <c r="AL11" s="230">
        <v>7773</v>
      </c>
      <c r="AM11" s="283">
        <v>8441</v>
      </c>
      <c r="AN11" s="230">
        <v>9035</v>
      </c>
      <c r="AO11" s="230">
        <v>9771</v>
      </c>
      <c r="AP11" s="230">
        <v>9000</v>
      </c>
      <c r="AQ11" s="283">
        <v>9063</v>
      </c>
      <c r="AR11" s="230">
        <v>8010</v>
      </c>
      <c r="AS11" s="230">
        <v>6810</v>
      </c>
      <c r="AT11" s="230">
        <v>6659</v>
      </c>
      <c r="AU11" s="283">
        <v>7323</v>
      </c>
      <c r="AV11" s="276">
        <v>9103</v>
      </c>
      <c r="AW11" s="230">
        <v>9503</v>
      </c>
      <c r="AX11" s="230">
        <v>9747</v>
      </c>
      <c r="AY11" s="283">
        <v>8314</v>
      </c>
      <c r="AZ11" s="276">
        <v>9303</v>
      </c>
      <c r="BA11" s="230">
        <v>11084</v>
      </c>
      <c r="BB11" s="230">
        <v>6983</v>
      </c>
      <c r="BC11" s="283">
        <v>8755</v>
      </c>
      <c r="BD11" s="276">
        <v>10623</v>
      </c>
      <c r="BE11" s="249">
        <f>BD11+CFS!BE35+CFS!BE36</f>
        <v>10623</v>
      </c>
      <c r="BF11" s="249">
        <f>BE11+CFS!BF35+CFS!BF36</f>
        <v>10623</v>
      </c>
      <c r="BG11" s="171">
        <f>BF11+CFS!BG35+CFS!BG36</f>
        <v>10623</v>
      </c>
      <c r="BH11" s="249">
        <f>BG11+CFS!BH35+CFS!BH36</f>
        <v>10623</v>
      </c>
      <c r="BI11" s="249">
        <f>BH11+CFS!BI35+CFS!BI36</f>
        <v>10623</v>
      </c>
      <c r="BJ11" s="249">
        <f>BI11+CFS!BJ35+CFS!BJ36</f>
        <v>10623</v>
      </c>
      <c r="BK11" s="171">
        <f>BJ11+CFS!BK35+CFS!BK36</f>
        <v>10623</v>
      </c>
      <c r="BL11" s="132"/>
      <c r="BM11" s="249">
        <f t="shared" si="0"/>
        <v>1458</v>
      </c>
      <c r="BN11" s="249">
        <f t="shared" si="1"/>
        <v>1134</v>
      </c>
      <c r="BO11" s="249">
        <f t="shared" si="2"/>
        <v>2566</v>
      </c>
      <c r="BP11" s="249">
        <f t="shared" si="3"/>
        <v>3162</v>
      </c>
      <c r="BQ11" s="249">
        <f t="shared" si="4"/>
        <v>4648</v>
      </c>
      <c r="BR11" s="249">
        <f t="shared" si="5"/>
        <v>5093</v>
      </c>
      <c r="BS11" s="249">
        <f t="shared" si="6"/>
        <v>4591</v>
      </c>
      <c r="BT11" s="248">
        <f t="shared" si="7"/>
        <v>5685</v>
      </c>
      <c r="BU11" s="249">
        <f t="shared" si="8"/>
        <v>8441</v>
      </c>
      <c r="BV11" s="249">
        <f t="shared" si="9"/>
        <v>9063</v>
      </c>
      <c r="BW11" s="249">
        <f t="shared" si="10"/>
        <v>7323</v>
      </c>
      <c r="BX11" s="249">
        <f t="shared" si="11"/>
        <v>8314</v>
      </c>
      <c r="BY11" s="249">
        <f t="shared" si="12"/>
        <v>8755</v>
      </c>
      <c r="BZ11" s="249">
        <f t="shared" si="13"/>
        <v>10623</v>
      </c>
      <c r="CA11" s="249">
        <f t="shared" si="14"/>
        <v>10623</v>
      </c>
      <c r="CB11" s="1174">
        <f>CA11+CFS!CB35+CFS!CB36</f>
        <v>10623</v>
      </c>
      <c r="CC11" s="1276"/>
      <c r="CD11" s="626"/>
      <c r="CE11" s="26"/>
      <c r="CM11" s="180"/>
      <c r="CN11" s="620"/>
      <c r="CO11" s="620"/>
      <c r="CP11" s="180"/>
    </row>
    <row r="12" spans="1:94" ht="14.25" customHeight="1">
      <c r="A12" s="18"/>
      <c r="B12" s="278" t="s">
        <v>166</v>
      </c>
      <c r="C12" s="103"/>
      <c r="D12" s="276">
        <v>3226</v>
      </c>
      <c r="E12" s="230">
        <v>3448</v>
      </c>
      <c r="F12" s="230">
        <v>3748</v>
      </c>
      <c r="G12" s="283">
        <v>3914</v>
      </c>
      <c r="H12" s="276">
        <v>3912</v>
      </c>
      <c r="I12" s="230">
        <v>3178</v>
      </c>
      <c r="J12" s="230">
        <v>3358</v>
      </c>
      <c r="K12" s="283">
        <v>2709</v>
      </c>
      <c r="L12" s="276">
        <v>2780</v>
      </c>
      <c r="M12" s="230">
        <v>2531</v>
      </c>
      <c r="N12" s="230">
        <v>2933</v>
      </c>
      <c r="O12" s="283">
        <v>2576</v>
      </c>
      <c r="P12" s="276">
        <v>2725</v>
      </c>
      <c r="Q12" s="230">
        <v>2399</v>
      </c>
      <c r="R12" s="230">
        <v>2737</v>
      </c>
      <c r="S12" s="283">
        <v>1712</v>
      </c>
      <c r="T12" s="276">
        <v>2086</v>
      </c>
      <c r="U12" s="230">
        <v>1938</v>
      </c>
      <c r="V12" s="230">
        <v>2025</v>
      </c>
      <c r="W12" s="283">
        <v>2273</v>
      </c>
      <c r="X12" s="230">
        <v>2192</v>
      </c>
      <c r="Y12" s="230">
        <v>2430</v>
      </c>
      <c r="Z12" s="230">
        <v>2911</v>
      </c>
      <c r="AA12" s="230">
        <v>2867</v>
      </c>
      <c r="AB12" s="285">
        <v>3542</v>
      </c>
      <c r="AC12" s="230">
        <v>3359</v>
      </c>
      <c r="AD12" s="230">
        <v>3821</v>
      </c>
      <c r="AE12" s="283">
        <v>3650</v>
      </c>
      <c r="AF12" s="230">
        <v>4037</v>
      </c>
      <c r="AG12" s="230">
        <v>3544</v>
      </c>
      <c r="AH12" s="230">
        <v>3938</v>
      </c>
      <c r="AI12" s="283">
        <v>3833</v>
      </c>
      <c r="AJ12" s="276">
        <v>3536</v>
      </c>
      <c r="AK12" s="230">
        <v>3474</v>
      </c>
      <c r="AL12" s="230">
        <v>3719</v>
      </c>
      <c r="AM12" s="283">
        <v>3582</v>
      </c>
      <c r="AN12" s="276">
        <v>3505</v>
      </c>
      <c r="AO12" s="230">
        <v>3489</v>
      </c>
      <c r="AP12" s="230">
        <v>3647</v>
      </c>
      <c r="AQ12" s="283">
        <v>4427</v>
      </c>
      <c r="AR12" s="276">
        <v>3246</v>
      </c>
      <c r="AS12" s="230">
        <v>3860</v>
      </c>
      <c r="AT12" s="230">
        <v>4101</v>
      </c>
      <c r="AU12" s="283">
        <v>4787</v>
      </c>
      <c r="AV12" s="276">
        <v>4216</v>
      </c>
      <c r="AW12" s="230">
        <v>4426</v>
      </c>
      <c r="AX12" s="230">
        <v>4952</v>
      </c>
      <c r="AY12" s="283">
        <v>4690</v>
      </c>
      <c r="AZ12" s="276">
        <v>4921</v>
      </c>
      <c r="BA12" s="230">
        <v>5397</v>
      </c>
      <c r="BB12" s="230">
        <v>5954</v>
      </c>
      <c r="BC12" s="283">
        <v>5607</v>
      </c>
      <c r="BD12" s="276">
        <v>4879</v>
      </c>
      <c r="BE12" s="610">
        <f t="shared" ref="BE12:BG12" si="15">BE50/360*BE56*4</f>
        <v>4893.1231422927121</v>
      </c>
      <c r="BF12" s="610">
        <f t="shared" si="15"/>
        <v>5265.5183818872019</v>
      </c>
      <c r="BG12" s="609">
        <f t="shared" si="15"/>
        <v>5329.129509708996</v>
      </c>
      <c r="BH12" s="610">
        <f t="shared" ref="BH12:BK12" si="16">BH50/360*BH56*4</f>
        <v>4660.1598970381656</v>
      </c>
      <c r="BI12" s="610">
        <f t="shared" si="16"/>
        <v>4762.6859228743615</v>
      </c>
      <c r="BJ12" s="610">
        <f t="shared" si="16"/>
        <v>5192.235437820802</v>
      </c>
      <c r="BK12" s="609">
        <f t="shared" si="16"/>
        <v>5293.2877959951147</v>
      </c>
      <c r="BL12" s="132"/>
      <c r="BM12" s="249">
        <f t="shared" si="0"/>
        <v>3914</v>
      </c>
      <c r="BN12" s="249">
        <f t="shared" si="1"/>
        <v>2709</v>
      </c>
      <c r="BO12" s="249">
        <f t="shared" si="2"/>
        <v>2576</v>
      </c>
      <c r="BP12" s="249">
        <f t="shared" si="3"/>
        <v>1712</v>
      </c>
      <c r="BQ12" s="249">
        <f t="shared" si="4"/>
        <v>2273</v>
      </c>
      <c r="BR12" s="249">
        <f t="shared" si="5"/>
        <v>2867</v>
      </c>
      <c r="BS12" s="249">
        <f t="shared" si="6"/>
        <v>3650</v>
      </c>
      <c r="BT12" s="248">
        <f t="shared" si="7"/>
        <v>3833</v>
      </c>
      <c r="BU12" s="249">
        <f t="shared" si="8"/>
        <v>3582</v>
      </c>
      <c r="BV12" s="249">
        <f t="shared" si="9"/>
        <v>4427</v>
      </c>
      <c r="BW12" s="249">
        <f t="shared" si="10"/>
        <v>4787</v>
      </c>
      <c r="BX12" s="249">
        <f t="shared" si="11"/>
        <v>4690</v>
      </c>
      <c r="BY12" s="249">
        <f t="shared" si="12"/>
        <v>5607</v>
      </c>
      <c r="BZ12" s="249">
        <f t="shared" si="13"/>
        <v>5329.129509708996</v>
      </c>
      <c r="CA12" s="249">
        <f t="shared" si="14"/>
        <v>5293.2877959951147</v>
      </c>
      <c r="CB12" s="1202">
        <f>CB56*CB50/360</f>
        <v>5346.2206739550656</v>
      </c>
      <c r="CC12" s="1276"/>
      <c r="CD12" s="626"/>
      <c r="CE12" s="26"/>
      <c r="CM12" s="180"/>
      <c r="CN12" s="620"/>
      <c r="CO12" s="620"/>
      <c r="CP12" s="180"/>
    </row>
    <row r="13" spans="1:94" ht="14.25" customHeight="1">
      <c r="A13" s="18"/>
      <c r="B13" s="278" t="s">
        <v>167</v>
      </c>
      <c r="C13" s="103"/>
      <c r="D13" s="276">
        <v>2808</v>
      </c>
      <c r="E13" s="230">
        <v>2739</v>
      </c>
      <c r="F13" s="230">
        <v>2815</v>
      </c>
      <c r="G13" s="283">
        <v>3126</v>
      </c>
      <c r="H13" s="276">
        <v>3567</v>
      </c>
      <c r="I13" s="230">
        <v>4332</v>
      </c>
      <c r="J13" s="230">
        <v>4477</v>
      </c>
      <c r="K13" s="283">
        <v>4314</v>
      </c>
      <c r="L13" s="276">
        <v>4366</v>
      </c>
      <c r="M13" s="230">
        <v>4127</v>
      </c>
      <c r="N13" s="230">
        <v>3538</v>
      </c>
      <c r="O13" s="283">
        <v>3370</v>
      </c>
      <c r="P13" s="276">
        <v>3272</v>
      </c>
      <c r="Q13" s="230">
        <v>3265</v>
      </c>
      <c r="R13" s="230">
        <v>3398</v>
      </c>
      <c r="S13" s="283">
        <v>3744</v>
      </c>
      <c r="T13" s="276">
        <v>3045</v>
      </c>
      <c r="U13" s="230">
        <v>2805</v>
      </c>
      <c r="V13" s="230">
        <v>2490</v>
      </c>
      <c r="W13" s="283">
        <v>2935</v>
      </c>
      <c r="X13" s="230">
        <v>2986</v>
      </c>
      <c r="Y13" s="230">
        <v>3345</v>
      </c>
      <c r="Z13" s="230">
        <v>3423</v>
      </c>
      <c r="AA13" s="230">
        <v>3757</v>
      </c>
      <c r="AB13" s="285">
        <v>4099</v>
      </c>
      <c r="AC13" s="230">
        <v>4030</v>
      </c>
      <c r="AD13" s="230">
        <v>3959</v>
      </c>
      <c r="AE13" s="283">
        <v>4096</v>
      </c>
      <c r="AF13" s="230">
        <v>4489</v>
      </c>
      <c r="AG13" s="230">
        <v>4904</v>
      </c>
      <c r="AH13" s="230">
        <v>5319</v>
      </c>
      <c r="AI13" s="283">
        <v>4734</v>
      </c>
      <c r="AJ13" s="276">
        <v>4358</v>
      </c>
      <c r="AK13" s="230">
        <v>4542</v>
      </c>
      <c r="AL13" s="230">
        <v>4533</v>
      </c>
      <c r="AM13" s="283">
        <v>4172</v>
      </c>
      <c r="AN13" s="276">
        <v>3763</v>
      </c>
      <c r="AO13" s="230">
        <v>3943</v>
      </c>
      <c r="AP13" s="230">
        <v>4115</v>
      </c>
      <c r="AQ13" s="283">
        <v>4273</v>
      </c>
      <c r="AR13" s="276">
        <v>4418</v>
      </c>
      <c r="AS13" s="230">
        <v>4818</v>
      </c>
      <c r="AT13" s="230">
        <v>4965</v>
      </c>
      <c r="AU13" s="283">
        <v>5167</v>
      </c>
      <c r="AV13" s="276">
        <v>5751</v>
      </c>
      <c r="AW13" s="230">
        <v>5800</v>
      </c>
      <c r="AX13" s="230">
        <v>5783</v>
      </c>
      <c r="AY13" s="283">
        <v>5553</v>
      </c>
      <c r="AZ13" s="276">
        <v>5801</v>
      </c>
      <c r="BA13" s="230">
        <v>6324</v>
      </c>
      <c r="BB13" s="230">
        <v>6929</v>
      </c>
      <c r="BC13" s="283">
        <v>6983</v>
      </c>
      <c r="BD13" s="276">
        <v>7146</v>
      </c>
      <c r="BE13" s="610">
        <f t="shared" ref="BE13:BG13" si="17">BE52/360*BE57*4</f>
        <v>6279.508032608981</v>
      </c>
      <c r="BF13" s="610">
        <f t="shared" si="17"/>
        <v>6669.6566170571241</v>
      </c>
      <c r="BG13" s="609">
        <f t="shared" si="17"/>
        <v>6750.2307122980619</v>
      </c>
      <c r="BH13" s="610">
        <f t="shared" ref="BH13:BK13" si="18">BH52/360*BH57*4</f>
        <v>6129.9026337963569</v>
      </c>
      <c r="BI13" s="610">
        <f t="shared" si="18"/>
        <v>6347.1948933691019</v>
      </c>
      <c r="BJ13" s="610">
        <f t="shared" si="18"/>
        <v>6919.6522277111853</v>
      </c>
      <c r="BK13" s="609">
        <f t="shared" si="18"/>
        <v>6962.7093316551127</v>
      </c>
      <c r="BL13" s="132"/>
      <c r="BM13" s="249">
        <f t="shared" si="0"/>
        <v>3126</v>
      </c>
      <c r="BN13" s="249">
        <f t="shared" si="1"/>
        <v>4314</v>
      </c>
      <c r="BO13" s="249">
        <f t="shared" si="2"/>
        <v>3370</v>
      </c>
      <c r="BP13" s="249">
        <f t="shared" si="3"/>
        <v>3744</v>
      </c>
      <c r="BQ13" s="249">
        <f t="shared" si="4"/>
        <v>2935</v>
      </c>
      <c r="BR13" s="249">
        <f t="shared" si="5"/>
        <v>3757</v>
      </c>
      <c r="BS13" s="249">
        <f t="shared" si="6"/>
        <v>4096</v>
      </c>
      <c r="BT13" s="248">
        <f t="shared" si="7"/>
        <v>4734</v>
      </c>
      <c r="BU13" s="249">
        <f t="shared" si="8"/>
        <v>4172</v>
      </c>
      <c r="BV13" s="249">
        <f t="shared" si="9"/>
        <v>4273</v>
      </c>
      <c r="BW13" s="249">
        <f t="shared" si="10"/>
        <v>5167</v>
      </c>
      <c r="BX13" s="249">
        <f t="shared" si="11"/>
        <v>5553</v>
      </c>
      <c r="BY13" s="249">
        <f t="shared" si="12"/>
        <v>6983</v>
      </c>
      <c r="BZ13" s="249">
        <f t="shared" si="13"/>
        <v>6750.2307122980619</v>
      </c>
      <c r="CA13" s="249">
        <f t="shared" si="14"/>
        <v>6962.7093316551127</v>
      </c>
      <c r="CB13" s="1202">
        <f>CB52*CB57/360</f>
        <v>7092.7266958954378</v>
      </c>
      <c r="CC13" s="1276"/>
      <c r="CD13" s="626"/>
      <c r="CE13" s="26"/>
      <c r="CM13" s="180"/>
      <c r="CN13" s="620"/>
      <c r="CO13" s="620"/>
      <c r="CP13" s="180"/>
    </row>
    <row r="14" spans="1:94" ht="14.25" customHeight="1">
      <c r="A14" s="18"/>
      <c r="B14" s="278" t="s">
        <v>168</v>
      </c>
      <c r="C14" s="103"/>
      <c r="D14" s="276">
        <v>975</v>
      </c>
      <c r="E14" s="230">
        <v>900</v>
      </c>
      <c r="F14" s="230">
        <v>967</v>
      </c>
      <c r="G14" s="283">
        <v>1149</v>
      </c>
      <c r="H14" s="276">
        <v>1032</v>
      </c>
      <c r="I14" s="230">
        <v>1221</v>
      </c>
      <c r="J14" s="230">
        <v>1138</v>
      </c>
      <c r="K14" s="283">
        <v>997</v>
      </c>
      <c r="L14" s="276">
        <v>1060</v>
      </c>
      <c r="M14" s="230">
        <v>1060</v>
      </c>
      <c r="N14" s="230">
        <v>1088</v>
      </c>
      <c r="O14" s="283">
        <v>1186</v>
      </c>
      <c r="P14" s="276">
        <v>1143</v>
      </c>
      <c r="Q14" s="230">
        <v>1209</v>
      </c>
      <c r="R14" s="230">
        <v>1430</v>
      </c>
      <c r="S14" s="283">
        <v>1390</v>
      </c>
      <c r="T14" s="276">
        <v>1337</v>
      </c>
      <c r="U14" s="230">
        <v>1217</v>
      </c>
      <c r="V14" s="230">
        <v>1260</v>
      </c>
      <c r="W14" s="283">
        <v>1216</v>
      </c>
      <c r="X14" s="230">
        <v>1423</v>
      </c>
      <c r="Y14" s="230">
        <v>1206</v>
      </c>
      <c r="Z14" s="230">
        <v>1233</v>
      </c>
      <c r="AA14" s="283">
        <v>1488</v>
      </c>
      <c r="AB14" s="284">
        <v>1906</v>
      </c>
      <c r="AC14" s="230">
        <v>1973</v>
      </c>
      <c r="AD14" s="230">
        <v>2011</v>
      </c>
      <c r="AE14" s="283">
        <v>1700</v>
      </c>
      <c r="AF14" s="230">
        <v>1794</v>
      </c>
      <c r="AG14" s="230">
        <v>1517</v>
      </c>
      <c r="AH14" s="230">
        <v>1633</v>
      </c>
      <c r="AI14" s="283">
        <v>2117</v>
      </c>
      <c r="AJ14" s="230">
        <v>2109</v>
      </c>
      <c r="AK14" s="230">
        <v>2121</v>
      </c>
      <c r="AL14" s="230">
        <v>2435</v>
      </c>
      <c r="AM14" s="283">
        <v>2594</v>
      </c>
      <c r="AN14" s="230">
        <v>2507</v>
      </c>
      <c r="AO14" s="230">
        <v>2255</v>
      </c>
      <c r="AP14" s="230">
        <v>2168</v>
      </c>
      <c r="AQ14" s="283">
        <v>1958</v>
      </c>
      <c r="AR14" s="230">
        <v>2048</v>
      </c>
      <c r="AS14" s="230">
        <v>1895</v>
      </c>
      <c r="AT14" s="230">
        <v>1992</v>
      </c>
      <c r="AU14" s="283">
        <v>2036</v>
      </c>
      <c r="AV14" s="276">
        <v>0</v>
      </c>
      <c r="AW14" s="230">
        <v>0</v>
      </c>
      <c r="AX14" s="230">
        <v>0</v>
      </c>
      <c r="AY14" s="283">
        <v>0</v>
      </c>
      <c r="AZ14" s="276">
        <v>0</v>
      </c>
      <c r="BA14" s="230">
        <v>0</v>
      </c>
      <c r="BB14" s="230">
        <v>0</v>
      </c>
      <c r="BC14" s="283">
        <v>0</v>
      </c>
      <c r="BD14" s="276">
        <v>0</v>
      </c>
      <c r="BE14" s="249">
        <f t="shared" ref="BE14" si="19">BD14</f>
        <v>0</v>
      </c>
      <c r="BF14" s="249">
        <f t="shared" ref="BF14" si="20">BE14</f>
        <v>0</v>
      </c>
      <c r="BG14" s="171">
        <f t="shared" ref="BG14" si="21">BF14</f>
        <v>0</v>
      </c>
      <c r="BH14" s="249">
        <f t="shared" ref="BH14" si="22">BG14</f>
        <v>0</v>
      </c>
      <c r="BI14" s="249">
        <f t="shared" ref="BI14" si="23">BH14</f>
        <v>0</v>
      </c>
      <c r="BJ14" s="249">
        <f t="shared" ref="BJ14" si="24">BI14</f>
        <v>0</v>
      </c>
      <c r="BK14" s="171">
        <f t="shared" ref="BK14" si="25">BJ14</f>
        <v>0</v>
      </c>
      <c r="BL14" s="132"/>
      <c r="BM14" s="249">
        <f t="shared" si="0"/>
        <v>1149</v>
      </c>
      <c r="BN14" s="249">
        <f t="shared" si="1"/>
        <v>997</v>
      </c>
      <c r="BO14" s="249">
        <f t="shared" si="2"/>
        <v>1186</v>
      </c>
      <c r="BP14" s="249">
        <f t="shared" si="3"/>
        <v>1390</v>
      </c>
      <c r="BQ14" s="249">
        <f t="shared" si="4"/>
        <v>1216</v>
      </c>
      <c r="BR14" s="249">
        <f t="shared" si="5"/>
        <v>1488</v>
      </c>
      <c r="BS14" s="1056">
        <f t="shared" si="6"/>
        <v>1700</v>
      </c>
      <c r="BT14" s="249">
        <f t="shared" si="7"/>
        <v>2117</v>
      </c>
      <c r="BU14" s="249">
        <f t="shared" si="8"/>
        <v>2594</v>
      </c>
      <c r="BV14" s="249">
        <f t="shared" si="9"/>
        <v>1958</v>
      </c>
      <c r="BW14" s="249">
        <f t="shared" si="10"/>
        <v>2036</v>
      </c>
      <c r="BX14" s="249">
        <f t="shared" si="11"/>
        <v>0</v>
      </c>
      <c r="BY14" s="249">
        <f t="shared" si="12"/>
        <v>0</v>
      </c>
      <c r="BZ14" s="249">
        <f t="shared" si="13"/>
        <v>0</v>
      </c>
      <c r="CA14" s="249">
        <f t="shared" si="14"/>
        <v>0</v>
      </c>
      <c r="CB14" s="1174">
        <f>CA14</f>
        <v>0</v>
      </c>
      <c r="CC14" s="1276"/>
      <c r="CD14" s="626"/>
      <c r="CE14" s="26"/>
      <c r="CM14" s="180"/>
      <c r="CN14" s="620"/>
      <c r="CO14" s="620"/>
      <c r="CP14" s="180"/>
    </row>
    <row r="15" spans="1:94" s="1051" customFormat="1" ht="14.25" customHeight="1">
      <c r="A15" s="18"/>
      <c r="B15" s="278" t="s">
        <v>513</v>
      </c>
      <c r="C15" s="1052"/>
      <c r="D15" s="276"/>
      <c r="E15" s="230"/>
      <c r="F15" s="230"/>
      <c r="G15" s="1053"/>
      <c r="H15" s="276"/>
      <c r="I15" s="230"/>
      <c r="J15" s="230"/>
      <c r="K15" s="1053"/>
      <c r="L15" s="276"/>
      <c r="M15" s="230"/>
      <c r="N15" s="230"/>
      <c r="O15" s="1053"/>
      <c r="P15" s="276"/>
      <c r="Q15" s="230"/>
      <c r="R15" s="230"/>
      <c r="S15" s="1053"/>
      <c r="T15" s="276"/>
      <c r="U15" s="230"/>
      <c r="V15" s="230"/>
      <c r="W15" s="1053"/>
      <c r="X15" s="230"/>
      <c r="Y15" s="230"/>
      <c r="Z15" s="230"/>
      <c r="AA15" s="230"/>
      <c r="AB15" s="284"/>
      <c r="AC15" s="230"/>
      <c r="AD15" s="230"/>
      <c r="AE15" s="1053"/>
      <c r="AF15" s="230"/>
      <c r="AG15" s="230"/>
      <c r="AH15" s="230"/>
      <c r="AI15" s="1053"/>
      <c r="AJ15" s="230"/>
      <c r="AK15" s="230"/>
      <c r="AL15" s="230"/>
      <c r="AM15" s="1053"/>
      <c r="AN15" s="230"/>
      <c r="AO15" s="230"/>
      <c r="AP15" s="230"/>
      <c r="AQ15" s="1053"/>
      <c r="AR15" s="230"/>
      <c r="AS15" s="230"/>
      <c r="AT15" s="230"/>
      <c r="AU15" s="1053"/>
      <c r="AV15" s="276"/>
      <c r="AW15" s="230"/>
      <c r="AX15" s="230">
        <v>5100</v>
      </c>
      <c r="AY15" s="1053">
        <v>5210</v>
      </c>
      <c r="AZ15" s="276">
        <v>5138</v>
      </c>
      <c r="BA15" s="230">
        <v>0</v>
      </c>
      <c r="BB15" s="230">
        <v>0</v>
      </c>
      <c r="BC15" s="1053">
        <v>0</v>
      </c>
      <c r="BD15" s="276">
        <v>0</v>
      </c>
      <c r="BE15" s="249">
        <f>+BD15</f>
        <v>0</v>
      </c>
      <c r="BF15" s="249">
        <f t="shared" ref="BF15" si="26">+BE15</f>
        <v>0</v>
      </c>
      <c r="BG15" s="1054">
        <f t="shared" ref="BG15" si="27">+BF15</f>
        <v>0</v>
      </c>
      <c r="BH15" s="249">
        <f>+BG15</f>
        <v>0</v>
      </c>
      <c r="BI15" s="249">
        <f>+BH15</f>
        <v>0</v>
      </c>
      <c r="BJ15" s="249">
        <f t="shared" ref="BJ15" si="28">+BI15</f>
        <v>0</v>
      </c>
      <c r="BK15" s="1054">
        <f t="shared" ref="BK15" si="29">+BJ15</f>
        <v>0</v>
      </c>
      <c r="BL15" s="132"/>
      <c r="BM15" s="249"/>
      <c r="BN15" s="249"/>
      <c r="BO15" s="249"/>
      <c r="BP15" s="249"/>
      <c r="BQ15" s="249"/>
      <c r="BR15" s="249"/>
      <c r="BS15" s="1056"/>
      <c r="BT15" s="249"/>
      <c r="BU15" s="249"/>
      <c r="BV15" s="249"/>
      <c r="BW15" s="249"/>
      <c r="BX15" s="249">
        <f>+AY15</f>
        <v>5210</v>
      </c>
      <c r="BY15" s="249">
        <f>+BC15</f>
        <v>0</v>
      </c>
      <c r="BZ15" s="249">
        <f>+BG15</f>
        <v>0</v>
      </c>
      <c r="CA15" s="249">
        <f t="shared" si="14"/>
        <v>0</v>
      </c>
      <c r="CB15" s="1174">
        <f>+CA15</f>
        <v>0</v>
      </c>
      <c r="CC15" s="1276"/>
      <c r="CD15" s="626"/>
      <c r="CE15" s="26"/>
      <c r="CF15"/>
      <c r="CG15"/>
      <c r="CH15"/>
      <c r="CI15"/>
      <c r="CJ15"/>
      <c r="CK15"/>
      <c r="CM15" s="180"/>
      <c r="CN15" s="620"/>
      <c r="CO15" s="620"/>
      <c r="CP15" s="180"/>
    </row>
    <row r="16" spans="1:94" ht="14.25" customHeight="1">
      <c r="A16" s="18"/>
      <c r="B16" s="286" t="s">
        <v>169</v>
      </c>
      <c r="C16" s="287"/>
      <c r="D16" s="276">
        <v>353</v>
      </c>
      <c r="E16" s="230">
        <v>279</v>
      </c>
      <c r="F16" s="230">
        <v>261</v>
      </c>
      <c r="G16" s="283">
        <v>233</v>
      </c>
      <c r="H16" s="276">
        <v>397</v>
      </c>
      <c r="I16" s="230">
        <v>381</v>
      </c>
      <c r="J16" s="230">
        <v>412</v>
      </c>
      <c r="K16" s="283">
        <v>258</v>
      </c>
      <c r="L16" s="276">
        <v>464</v>
      </c>
      <c r="M16" s="230">
        <v>1269</v>
      </c>
      <c r="N16" s="230">
        <v>846</v>
      </c>
      <c r="O16" s="283">
        <v>1390</v>
      </c>
      <c r="P16" s="276">
        <v>1232</v>
      </c>
      <c r="Q16" s="230">
        <v>944</v>
      </c>
      <c r="R16" s="230">
        <v>1654</v>
      </c>
      <c r="S16" s="283">
        <v>1182</v>
      </c>
      <c r="T16" s="276">
        <v>1075</v>
      </c>
      <c r="U16" s="230">
        <v>883</v>
      </c>
      <c r="V16" s="230">
        <v>542</v>
      </c>
      <c r="W16" s="283">
        <v>813</v>
      </c>
      <c r="X16" s="230">
        <v>781</v>
      </c>
      <c r="Y16" s="230">
        <v>1180</v>
      </c>
      <c r="Z16" s="230">
        <v>1182</v>
      </c>
      <c r="AA16" s="230">
        <v>1614</v>
      </c>
      <c r="AB16" s="285">
        <v>1270</v>
      </c>
      <c r="AC16" s="230">
        <v>2193</v>
      </c>
      <c r="AD16" s="230">
        <v>1709</v>
      </c>
      <c r="AE16" s="283">
        <v>1589</v>
      </c>
      <c r="AF16" s="230">
        <v>1348</v>
      </c>
      <c r="AG16" s="230">
        <v>2172</v>
      </c>
      <c r="AH16" s="230">
        <v>1659</v>
      </c>
      <c r="AI16" s="283">
        <v>2512</v>
      </c>
      <c r="AJ16" s="276">
        <v>1601</v>
      </c>
      <c r="AK16" s="230">
        <v>1561</v>
      </c>
      <c r="AL16" s="230">
        <v>1517</v>
      </c>
      <c r="AM16" s="283">
        <v>1649</v>
      </c>
      <c r="AN16" s="276">
        <v>1733</v>
      </c>
      <c r="AO16" s="230">
        <v>2008</v>
      </c>
      <c r="AP16" s="230">
        <v>2439</v>
      </c>
      <c r="AQ16" s="283">
        <v>3018</v>
      </c>
      <c r="AR16" s="276">
        <v>2636</v>
      </c>
      <c r="AS16" s="230">
        <v>2267</v>
      </c>
      <c r="AT16" s="230">
        <v>4304</v>
      </c>
      <c r="AU16" s="283">
        <v>3053</v>
      </c>
      <c r="AV16" s="276">
        <v>2339</v>
      </c>
      <c r="AW16" s="230">
        <v>3273</v>
      </c>
      <c r="AX16" s="230">
        <f>2612</f>
        <v>2612</v>
      </c>
      <c r="AY16" s="283">
        <v>2956</v>
      </c>
      <c r="AZ16" s="276">
        <v>2903</v>
      </c>
      <c r="BA16" s="230">
        <v>2967</v>
      </c>
      <c r="BB16" s="230">
        <v>2767</v>
      </c>
      <c r="BC16" s="283">
        <v>2908</v>
      </c>
      <c r="BD16" s="276">
        <v>3408</v>
      </c>
      <c r="BE16" s="249">
        <f t="shared" ref="BE16:BG16" si="30">BE54*BE56</f>
        <v>3459.8455680595798</v>
      </c>
      <c r="BF16" s="249">
        <f t="shared" si="30"/>
        <v>3723.1600160736102</v>
      </c>
      <c r="BG16" s="171">
        <f t="shared" si="30"/>
        <v>3768.1383810714674</v>
      </c>
      <c r="BH16" s="249">
        <f t="shared" ref="BH16:BK16" si="31">BH54*BH56</f>
        <v>3421.8565810731366</v>
      </c>
      <c r="BI16" s="249">
        <f t="shared" si="31"/>
        <v>3497.1392675023799</v>
      </c>
      <c r="BJ16" s="249">
        <f t="shared" si="31"/>
        <v>3812.5483665657921</v>
      </c>
      <c r="BK16" s="171">
        <f t="shared" si="31"/>
        <v>3886.748970084032</v>
      </c>
      <c r="BL16" s="132"/>
      <c r="BM16" s="288">
        <f>G16</f>
        <v>233</v>
      </c>
      <c r="BN16" s="288">
        <f>K16</f>
        <v>258</v>
      </c>
      <c r="BO16" s="288">
        <f>O16</f>
        <v>1390</v>
      </c>
      <c r="BP16" s="288">
        <f>S16</f>
        <v>1182</v>
      </c>
      <c r="BQ16" s="288">
        <f>W16</f>
        <v>813</v>
      </c>
      <c r="BR16" s="288">
        <f>AA16</f>
        <v>1614</v>
      </c>
      <c r="BS16" s="289">
        <f>AE16</f>
        <v>1589</v>
      </c>
      <c r="BT16" s="249">
        <f>AI16</f>
        <v>2512</v>
      </c>
      <c r="BU16" s="288">
        <f>AM16</f>
        <v>1649</v>
      </c>
      <c r="BV16" s="288">
        <f>AQ16</f>
        <v>3018</v>
      </c>
      <c r="BW16" s="288">
        <f>AU16</f>
        <v>3053</v>
      </c>
      <c r="BX16" s="288">
        <f>AY16</f>
        <v>2956</v>
      </c>
      <c r="BY16" s="288">
        <f>BC16</f>
        <v>2908</v>
      </c>
      <c r="BZ16" s="288">
        <f>BG16</f>
        <v>3768.1383810714674</v>
      </c>
      <c r="CA16" s="288">
        <f t="shared" si="14"/>
        <v>3886.748970084032</v>
      </c>
      <c r="CB16" s="289">
        <f>CB54*CB56</f>
        <v>3925.6164597848719</v>
      </c>
      <c r="CC16" s="1276"/>
      <c r="CD16" s="626"/>
      <c r="CE16" s="26"/>
      <c r="CM16" s="180"/>
      <c r="CN16" s="620"/>
      <c r="CO16" s="620"/>
      <c r="CP16" s="180"/>
    </row>
    <row r="17" spans="1:94" ht="14.25" customHeight="1">
      <c r="A17" s="18"/>
      <c r="B17" s="290" t="s">
        <v>170</v>
      </c>
      <c r="C17" s="291"/>
      <c r="D17" s="292">
        <f t="shared" ref="D17:AR17" si="32">SUM(D9:D16)</f>
        <v>23478</v>
      </c>
      <c r="E17" s="293">
        <f t="shared" si="32"/>
        <v>22190</v>
      </c>
      <c r="F17" s="293">
        <f t="shared" si="32"/>
        <v>21724</v>
      </c>
      <c r="G17" s="294">
        <f t="shared" si="32"/>
        <v>21194</v>
      </c>
      <c r="H17" s="292">
        <f t="shared" si="32"/>
        <v>18027</v>
      </c>
      <c r="I17" s="293">
        <f t="shared" si="32"/>
        <v>16755</v>
      </c>
      <c r="J17" s="293">
        <f t="shared" si="32"/>
        <v>17604</v>
      </c>
      <c r="K17" s="294">
        <f t="shared" si="32"/>
        <v>18280</v>
      </c>
      <c r="L17" s="292">
        <f t="shared" si="32"/>
        <v>17694</v>
      </c>
      <c r="M17" s="293">
        <f t="shared" si="32"/>
        <v>19648</v>
      </c>
      <c r="N17" s="293">
        <f t="shared" si="32"/>
        <v>21426</v>
      </c>
      <c r="O17" s="294">
        <f t="shared" si="32"/>
        <v>23885</v>
      </c>
      <c r="P17" s="292">
        <f t="shared" si="32"/>
        <v>22064</v>
      </c>
      <c r="Q17" s="293">
        <f t="shared" si="32"/>
        <v>19778</v>
      </c>
      <c r="R17" s="293">
        <f t="shared" si="32"/>
        <v>21423</v>
      </c>
      <c r="S17" s="294">
        <f t="shared" si="32"/>
        <v>19871</v>
      </c>
      <c r="T17" s="292">
        <f t="shared" si="32"/>
        <v>18142</v>
      </c>
      <c r="U17" s="293">
        <f t="shared" si="32"/>
        <v>18467</v>
      </c>
      <c r="V17" s="293">
        <f t="shared" si="32"/>
        <v>19247</v>
      </c>
      <c r="W17" s="294">
        <f t="shared" si="32"/>
        <v>21157</v>
      </c>
      <c r="X17" s="293">
        <f t="shared" si="32"/>
        <v>23724</v>
      </c>
      <c r="Y17" s="293">
        <f t="shared" si="32"/>
        <v>26464</v>
      </c>
      <c r="Z17" s="293">
        <f t="shared" si="32"/>
        <v>29499</v>
      </c>
      <c r="AA17" s="294">
        <f t="shared" si="32"/>
        <v>31611</v>
      </c>
      <c r="AB17" s="292">
        <f t="shared" si="32"/>
        <v>22795</v>
      </c>
      <c r="AC17" s="293">
        <f>SUM(AC9:AC16)</f>
        <v>23102</v>
      </c>
      <c r="AD17" s="293">
        <f>SUM(AD9:AD16)</f>
        <v>26698</v>
      </c>
      <c r="AE17" s="294">
        <f t="shared" si="32"/>
        <v>25872</v>
      </c>
      <c r="AF17" s="293">
        <f t="shared" si="32"/>
        <v>25421</v>
      </c>
      <c r="AG17" s="293">
        <f>SUM(AG9:AG16)</f>
        <v>25785</v>
      </c>
      <c r="AH17" s="293">
        <f t="shared" si="32"/>
        <v>23014</v>
      </c>
      <c r="AI17" s="294">
        <f t="shared" si="32"/>
        <v>31358</v>
      </c>
      <c r="AJ17" s="292">
        <f t="shared" si="32"/>
        <v>28677</v>
      </c>
      <c r="AK17" s="293">
        <f t="shared" si="32"/>
        <v>29048</v>
      </c>
      <c r="AL17" s="293">
        <f t="shared" si="32"/>
        <v>31350</v>
      </c>
      <c r="AM17" s="294">
        <f t="shared" si="32"/>
        <v>32084</v>
      </c>
      <c r="AN17" s="292">
        <f>SUM(AN9:AN16)</f>
        <v>30554</v>
      </c>
      <c r="AO17" s="293">
        <f>SUM(AO9:AO16)</f>
        <v>29006</v>
      </c>
      <c r="AP17" s="293">
        <f>SUM(AP9:AP16)</f>
        <v>27963</v>
      </c>
      <c r="AQ17" s="294">
        <f t="shared" si="32"/>
        <v>27730</v>
      </c>
      <c r="AR17" s="292">
        <f t="shared" si="32"/>
        <v>26466</v>
      </c>
      <c r="AS17" s="293">
        <f t="shared" ref="AS17:AW17" si="33">SUM(AS9:AS16)</f>
        <v>26710</v>
      </c>
      <c r="AT17" s="293">
        <f>SUM(AT9:AT16)</f>
        <v>36205</v>
      </c>
      <c r="AU17" s="294">
        <f t="shared" si="33"/>
        <v>40356</v>
      </c>
      <c r="AV17" s="292">
        <f t="shared" si="33"/>
        <v>27397</v>
      </c>
      <c r="AW17" s="293">
        <f t="shared" si="33"/>
        <v>31188</v>
      </c>
      <c r="AX17" s="293">
        <f>SUM(AX9:AX16)</f>
        <v>36216</v>
      </c>
      <c r="AY17" s="294">
        <f t="shared" ref="AY17:BA17" si="34">SUM(AY9:AY16)</f>
        <v>35508</v>
      </c>
      <c r="AZ17" s="292">
        <f t="shared" si="34"/>
        <v>36058</v>
      </c>
      <c r="BA17" s="293">
        <f t="shared" si="34"/>
        <v>40617</v>
      </c>
      <c r="BB17" s="293">
        <f>SUM(BB9:BB16)</f>
        <v>33154</v>
      </c>
      <c r="BC17" s="294">
        <f t="shared" ref="BC17:BD17" si="35">SUM(BC9:BC16)</f>
        <v>29500</v>
      </c>
      <c r="BD17" s="292">
        <f t="shared" si="35"/>
        <v>31630</v>
      </c>
      <c r="BE17" s="293">
        <f t="shared" ref="BE17:BG17" si="36">SUM(BE9:BE16)</f>
        <v>32604.370255317874</v>
      </c>
      <c r="BF17" s="293">
        <f t="shared" si="36"/>
        <v>35231.454440891597</v>
      </c>
      <c r="BG17" s="294">
        <f t="shared" si="36"/>
        <v>37725.611681017181</v>
      </c>
      <c r="BH17" s="293">
        <f t="shared" ref="BH17:BK17" si="37">SUM(BH9:BH16)</f>
        <v>38628.021574290105</v>
      </c>
      <c r="BI17" s="293">
        <f t="shared" si="37"/>
        <v>40117.651312117385</v>
      </c>
      <c r="BJ17" s="293">
        <f t="shared" si="37"/>
        <v>42610.748929605805</v>
      </c>
      <c r="BK17" s="294">
        <f t="shared" si="37"/>
        <v>45001.120171707953</v>
      </c>
      <c r="BL17" s="132"/>
      <c r="BM17" s="295">
        <f t="shared" ref="BM17:BY17" si="38">SUM(BM9:BM16)</f>
        <v>21194</v>
      </c>
      <c r="BN17" s="295">
        <f t="shared" si="38"/>
        <v>18280</v>
      </c>
      <c r="BO17" s="295">
        <f t="shared" si="38"/>
        <v>23885</v>
      </c>
      <c r="BP17" s="295">
        <f t="shared" si="38"/>
        <v>19871</v>
      </c>
      <c r="BQ17" s="295">
        <f t="shared" si="38"/>
        <v>21157</v>
      </c>
      <c r="BR17" s="295">
        <f t="shared" si="38"/>
        <v>31611</v>
      </c>
      <c r="BS17" s="1057">
        <f t="shared" si="38"/>
        <v>25872</v>
      </c>
      <c r="BT17" s="293">
        <f t="shared" si="38"/>
        <v>31358</v>
      </c>
      <c r="BU17" s="295">
        <f t="shared" si="38"/>
        <v>32084</v>
      </c>
      <c r="BV17" s="295">
        <f t="shared" si="38"/>
        <v>27730</v>
      </c>
      <c r="BW17" s="295">
        <f>SUM(BW9:BW16)</f>
        <v>40356</v>
      </c>
      <c r="BX17" s="295">
        <f>SUM(BX9:BX16)</f>
        <v>35508</v>
      </c>
      <c r="BY17" s="295">
        <f t="shared" si="38"/>
        <v>29500</v>
      </c>
      <c r="BZ17" s="295">
        <f t="shared" ref="BZ17:CA17" si="39">SUM(BZ9:BZ16)</f>
        <v>37725.611681017181</v>
      </c>
      <c r="CA17" s="295">
        <f t="shared" si="39"/>
        <v>45001.120171707953</v>
      </c>
      <c r="CB17" s="1182">
        <f t="shared" ref="CB17" si="40">SUM(CB9:CB16)</f>
        <v>53199.321837801093</v>
      </c>
      <c r="CC17" s="1276"/>
      <c r="CD17" s="26"/>
      <c r="CE17" s="26"/>
      <c r="CM17" s="180"/>
      <c r="CN17" s="620"/>
      <c r="CP17" s="180"/>
    </row>
    <row r="18" spans="1:94" ht="14.25" customHeight="1">
      <c r="A18" s="18"/>
      <c r="B18" s="297"/>
      <c r="C18" s="68"/>
      <c r="D18" s="276"/>
      <c r="E18" s="230"/>
      <c r="F18" s="230"/>
      <c r="G18" s="283"/>
      <c r="H18" s="276"/>
      <c r="I18" s="230"/>
      <c r="J18" s="230"/>
      <c r="K18" s="283"/>
      <c r="L18" s="276"/>
      <c r="M18" s="230"/>
      <c r="N18" s="230"/>
      <c r="O18" s="283"/>
      <c r="P18" s="276"/>
      <c r="Q18" s="230"/>
      <c r="R18" s="230"/>
      <c r="S18" s="283"/>
      <c r="T18" s="276"/>
      <c r="U18" s="230"/>
      <c r="V18" s="230"/>
      <c r="W18" s="283"/>
      <c r="X18" s="230"/>
      <c r="Y18" s="230"/>
      <c r="Z18" s="298"/>
      <c r="AA18" s="298"/>
      <c r="AB18" s="299"/>
      <c r="AC18" s="230"/>
      <c r="AD18" s="298"/>
      <c r="AE18" s="300"/>
      <c r="AF18" s="230"/>
      <c r="AG18" s="301"/>
      <c r="AH18" s="298"/>
      <c r="AI18" s="300"/>
      <c r="AJ18" s="299"/>
      <c r="AK18" s="298"/>
      <c r="AL18" s="301"/>
      <c r="AM18" s="300"/>
      <c r="AN18" s="299"/>
      <c r="AO18" s="298"/>
      <c r="AP18" s="298"/>
      <c r="AQ18" s="300"/>
      <c r="AR18" s="299"/>
      <c r="AS18" s="298"/>
      <c r="AT18" s="298"/>
      <c r="AU18" s="300"/>
      <c r="AV18" s="299"/>
      <c r="AW18" s="298"/>
      <c r="AX18" s="298"/>
      <c r="AY18" s="300"/>
      <c r="AZ18" s="299"/>
      <c r="BA18" s="298"/>
      <c r="BB18" s="298"/>
      <c r="BC18" s="300"/>
      <c r="BD18" s="299"/>
      <c r="BE18" s="298"/>
      <c r="BF18" s="298"/>
      <c r="BG18" s="300"/>
      <c r="BH18" s="298"/>
      <c r="BI18" s="298"/>
      <c r="BJ18" s="298"/>
      <c r="BK18" s="300"/>
      <c r="BL18" s="132"/>
      <c r="BM18" s="230"/>
      <c r="BN18" s="230"/>
      <c r="BO18" s="230"/>
      <c r="BP18" s="230"/>
      <c r="BQ18" s="230"/>
      <c r="BR18" s="230"/>
      <c r="BS18" s="1058"/>
      <c r="BT18" s="230"/>
      <c r="BU18" s="230"/>
      <c r="BV18" s="230"/>
      <c r="BW18" s="230"/>
      <c r="BX18" s="230"/>
      <c r="BY18" s="230"/>
      <c r="BZ18" s="230"/>
      <c r="CA18" s="230"/>
      <c r="CB18" s="1183"/>
      <c r="CC18" s="1276"/>
      <c r="CD18" s="26"/>
      <c r="CE18" s="26"/>
      <c r="CM18" s="180"/>
      <c r="CN18" s="620"/>
      <c r="CP18" s="180"/>
    </row>
    <row r="19" spans="1:94" ht="14.25" customHeight="1">
      <c r="A19" s="18"/>
      <c r="B19" s="278" t="s">
        <v>171</v>
      </c>
      <c r="C19" s="103"/>
      <c r="D19" s="276">
        <v>16321</v>
      </c>
      <c r="E19" s="230">
        <v>16624</v>
      </c>
      <c r="F19" s="230">
        <v>16825</v>
      </c>
      <c r="G19" s="283">
        <v>17111</v>
      </c>
      <c r="H19" s="276">
        <v>17618</v>
      </c>
      <c r="I19" s="230">
        <v>18098</v>
      </c>
      <c r="J19" s="230">
        <v>18038</v>
      </c>
      <c r="K19" s="283">
        <v>17602</v>
      </c>
      <c r="L19" s="276">
        <v>17617</v>
      </c>
      <c r="M19" s="230">
        <v>17143</v>
      </c>
      <c r="N19" s="230">
        <v>16985</v>
      </c>
      <c r="O19" s="283">
        <v>16918</v>
      </c>
      <c r="P19" s="276">
        <v>16667</v>
      </c>
      <c r="Q19" s="230">
        <v>16723</v>
      </c>
      <c r="R19" s="230">
        <v>17026</v>
      </c>
      <c r="S19" s="283">
        <v>17544</v>
      </c>
      <c r="T19" s="276">
        <v>17815</v>
      </c>
      <c r="U19" s="230">
        <v>17515</v>
      </c>
      <c r="V19" s="230">
        <v>17354</v>
      </c>
      <c r="W19" s="283">
        <v>17225</v>
      </c>
      <c r="X19" s="230">
        <v>17028</v>
      </c>
      <c r="Y19" s="230">
        <v>16946</v>
      </c>
      <c r="Z19" s="230">
        <v>17189</v>
      </c>
      <c r="AA19" s="230">
        <v>17899</v>
      </c>
      <c r="AB19" s="285">
        <v>19559</v>
      </c>
      <c r="AC19" s="230">
        <v>20778</v>
      </c>
      <c r="AD19" s="230">
        <v>22157</v>
      </c>
      <c r="AE19" s="283">
        <v>23627</v>
      </c>
      <c r="AF19" s="230">
        <v>25027</v>
      </c>
      <c r="AG19" s="230">
        <v>25976</v>
      </c>
      <c r="AH19" s="230">
        <v>27157</v>
      </c>
      <c r="AI19" s="283">
        <v>27983</v>
      </c>
      <c r="AJ19" s="276">
        <v>28418</v>
      </c>
      <c r="AK19" s="230">
        <v>29345</v>
      </c>
      <c r="AL19" s="230">
        <v>30346</v>
      </c>
      <c r="AM19" s="283">
        <v>31428</v>
      </c>
      <c r="AN19" s="276">
        <v>32502</v>
      </c>
      <c r="AO19" s="230">
        <v>33115</v>
      </c>
      <c r="AP19" s="230">
        <v>33135</v>
      </c>
      <c r="AQ19" s="283">
        <v>33238</v>
      </c>
      <c r="AR19" s="276">
        <v>33296</v>
      </c>
      <c r="AS19" s="230">
        <v>32683</v>
      </c>
      <c r="AT19" s="230">
        <v>31597</v>
      </c>
      <c r="AU19" s="283">
        <v>31858</v>
      </c>
      <c r="AV19" s="276">
        <v>32644</v>
      </c>
      <c r="AW19" s="230">
        <v>33804</v>
      </c>
      <c r="AX19" s="230">
        <v>34707</v>
      </c>
      <c r="AY19" s="283">
        <v>36171</v>
      </c>
      <c r="AZ19" s="276">
        <v>36911</v>
      </c>
      <c r="BA19" s="230">
        <v>38130</v>
      </c>
      <c r="BB19" s="230">
        <v>39472</v>
      </c>
      <c r="BC19" s="283">
        <v>41109</v>
      </c>
      <c r="BD19" s="276">
        <v>43735</v>
      </c>
      <c r="BE19" s="249">
        <f>CFS!BE72</f>
        <v>45429</v>
      </c>
      <c r="BF19" s="249">
        <f>CFS!BF72</f>
        <v>47179</v>
      </c>
      <c r="BG19" s="171">
        <f>CFS!BG72</f>
        <v>48929</v>
      </c>
      <c r="BH19" s="249">
        <f>CFS!BH72</f>
        <v>50429</v>
      </c>
      <c r="BI19" s="249">
        <f>CFS!BI72</f>
        <v>51929</v>
      </c>
      <c r="BJ19" s="249">
        <f>CFS!BJ72</f>
        <v>53429</v>
      </c>
      <c r="BK19" s="171">
        <f>CFS!BK72</f>
        <v>54929</v>
      </c>
      <c r="BL19" s="132"/>
      <c r="BM19" s="249">
        <f t="shared" ref="BM19:BM25" si="41">G19</f>
        <v>17111</v>
      </c>
      <c r="BN19" s="249">
        <f t="shared" ref="BN19:BN25" si="42">K19</f>
        <v>17602</v>
      </c>
      <c r="BO19" s="249">
        <f t="shared" ref="BO19:BO25" si="43">O19</f>
        <v>16918</v>
      </c>
      <c r="BP19" s="249">
        <f t="shared" ref="BP19:BP25" si="44">S19</f>
        <v>17544</v>
      </c>
      <c r="BQ19" s="249">
        <f t="shared" ref="BQ19:BQ25" si="45">W19</f>
        <v>17225</v>
      </c>
      <c r="BR19" s="249">
        <f t="shared" ref="BR19:BR25" si="46">AA19</f>
        <v>17899</v>
      </c>
      <c r="BS19" s="1056">
        <f t="shared" ref="BS19:BS25" si="47">AE19</f>
        <v>23627</v>
      </c>
      <c r="BT19" s="249">
        <f t="shared" ref="BT19:BT25" si="48">AI19</f>
        <v>27983</v>
      </c>
      <c r="BU19" s="249">
        <f t="shared" ref="BU19:BU25" si="49">AM19</f>
        <v>31428</v>
      </c>
      <c r="BV19" s="249">
        <f t="shared" ref="BV19:BV25" si="50">AQ19</f>
        <v>33238</v>
      </c>
      <c r="BW19" s="249">
        <f t="shared" ref="BW19:BW25" si="51">AU19</f>
        <v>31858</v>
      </c>
      <c r="BX19" s="249">
        <f t="shared" ref="BX19:BX25" si="52">AY19</f>
        <v>36171</v>
      </c>
      <c r="BY19" s="249">
        <f t="shared" ref="BY19:BY25" si="53">BC19</f>
        <v>41109</v>
      </c>
      <c r="BZ19" s="249">
        <f t="shared" ref="BZ19:BZ25" si="54">BG19</f>
        <v>48929</v>
      </c>
      <c r="CA19" s="249">
        <f t="shared" ref="CA19:CA25" si="55">BK19</f>
        <v>54929</v>
      </c>
      <c r="CB19" s="1174">
        <f>CFS!CB72</f>
        <v>60100.763999999996</v>
      </c>
      <c r="CC19" s="1276"/>
      <c r="CD19" s="26"/>
      <c r="CE19" s="26"/>
      <c r="CM19" s="180"/>
      <c r="CN19" s="620"/>
      <c r="CO19" s="620"/>
      <c r="CP19" s="180"/>
    </row>
    <row r="20" spans="1:94" ht="14.25" customHeight="1">
      <c r="A20" s="18"/>
      <c r="B20" s="278" t="s">
        <v>172</v>
      </c>
      <c r="C20" s="103"/>
      <c r="D20" s="276">
        <v>586</v>
      </c>
      <c r="E20" s="230">
        <v>362</v>
      </c>
      <c r="F20" s="230">
        <v>520</v>
      </c>
      <c r="G20" s="283">
        <v>537</v>
      </c>
      <c r="H20" s="276">
        <v>588</v>
      </c>
      <c r="I20" s="230">
        <v>604</v>
      </c>
      <c r="J20" s="230">
        <v>388</v>
      </c>
      <c r="K20" s="283">
        <v>398</v>
      </c>
      <c r="L20" s="276">
        <v>359</v>
      </c>
      <c r="M20" s="230">
        <v>350</v>
      </c>
      <c r="N20" s="230">
        <v>1061</v>
      </c>
      <c r="O20" s="283">
        <v>987</v>
      </c>
      <c r="P20" s="276">
        <v>530</v>
      </c>
      <c r="Q20" s="230">
        <v>644</v>
      </c>
      <c r="R20" s="230">
        <v>401</v>
      </c>
      <c r="S20" s="283">
        <v>352</v>
      </c>
      <c r="T20" s="276">
        <v>412</v>
      </c>
      <c r="U20" s="230">
        <v>513</v>
      </c>
      <c r="V20" s="230">
        <v>766</v>
      </c>
      <c r="W20" s="283">
        <v>773</v>
      </c>
      <c r="X20" s="230">
        <v>926</v>
      </c>
      <c r="Y20" s="230">
        <v>916</v>
      </c>
      <c r="Z20" s="230">
        <v>1054</v>
      </c>
      <c r="AA20" s="283">
        <v>1008</v>
      </c>
      <c r="AB20" s="284">
        <v>980</v>
      </c>
      <c r="AC20" s="230">
        <v>892</v>
      </c>
      <c r="AD20" s="230">
        <v>516</v>
      </c>
      <c r="AE20" s="283">
        <v>562</v>
      </c>
      <c r="AF20" s="230">
        <v>819</v>
      </c>
      <c r="AG20" s="230">
        <v>599</v>
      </c>
      <c r="AH20" s="230">
        <v>3924</v>
      </c>
      <c r="AI20" s="283">
        <v>4424</v>
      </c>
      <c r="AJ20" s="230">
        <v>4698</v>
      </c>
      <c r="AK20" s="230">
        <v>5361</v>
      </c>
      <c r="AL20" s="230">
        <v>6514</v>
      </c>
      <c r="AM20" s="283">
        <v>6221</v>
      </c>
      <c r="AN20" s="230">
        <v>6085</v>
      </c>
      <c r="AO20" s="230">
        <v>6044</v>
      </c>
      <c r="AP20" s="230">
        <v>6514</v>
      </c>
      <c r="AQ20" s="283">
        <v>7097</v>
      </c>
      <c r="AR20" s="230">
        <v>6549</v>
      </c>
      <c r="AS20" s="230">
        <v>7208</v>
      </c>
      <c r="AT20" s="230">
        <v>5618</v>
      </c>
      <c r="AU20" s="283">
        <v>5960</v>
      </c>
      <c r="AV20" s="276">
        <v>6377</v>
      </c>
      <c r="AW20" s="230">
        <v>5394</v>
      </c>
      <c r="AX20" s="230">
        <v>6022</v>
      </c>
      <c r="AY20" s="283">
        <v>6180</v>
      </c>
      <c r="AZ20" s="276">
        <v>6831</v>
      </c>
      <c r="BA20" s="230">
        <v>5904</v>
      </c>
      <c r="BB20" s="230">
        <v>6059</v>
      </c>
      <c r="BC20" s="283">
        <v>4192</v>
      </c>
      <c r="BD20" s="276">
        <v>9481</v>
      </c>
      <c r="BE20" s="249">
        <f t="shared" ref="BE20" si="56">BD20</f>
        <v>9481</v>
      </c>
      <c r="BF20" s="249">
        <f t="shared" ref="BF20" si="57">BE20</f>
        <v>9481</v>
      </c>
      <c r="BG20" s="171">
        <f t="shared" ref="BG20" si="58">BF20</f>
        <v>9481</v>
      </c>
      <c r="BH20" s="249">
        <f t="shared" ref="BH20" si="59">BG20</f>
        <v>9481</v>
      </c>
      <c r="BI20" s="249">
        <f t="shared" ref="BI20" si="60">BH20</f>
        <v>9481</v>
      </c>
      <c r="BJ20" s="249">
        <f t="shared" ref="BJ20" si="61">BI20</f>
        <v>9481</v>
      </c>
      <c r="BK20" s="171">
        <f t="shared" ref="BK20" si="62">BJ20</f>
        <v>9481</v>
      </c>
      <c r="BL20" s="132"/>
      <c r="BM20" s="249">
        <f t="shared" si="41"/>
        <v>537</v>
      </c>
      <c r="BN20" s="249">
        <f t="shared" si="42"/>
        <v>398</v>
      </c>
      <c r="BO20" s="249">
        <f t="shared" si="43"/>
        <v>987</v>
      </c>
      <c r="BP20" s="249">
        <f t="shared" si="44"/>
        <v>352</v>
      </c>
      <c r="BQ20" s="249">
        <f t="shared" si="45"/>
        <v>773</v>
      </c>
      <c r="BR20" s="249">
        <f t="shared" si="46"/>
        <v>1008</v>
      </c>
      <c r="BS20" s="1056">
        <f t="shared" si="47"/>
        <v>562</v>
      </c>
      <c r="BT20" s="249">
        <f t="shared" si="48"/>
        <v>4424</v>
      </c>
      <c r="BU20" s="249">
        <f t="shared" si="49"/>
        <v>6221</v>
      </c>
      <c r="BV20" s="249">
        <f t="shared" si="50"/>
        <v>7097</v>
      </c>
      <c r="BW20" s="249">
        <f t="shared" si="51"/>
        <v>5960</v>
      </c>
      <c r="BX20" s="249">
        <f t="shared" si="52"/>
        <v>6180</v>
      </c>
      <c r="BY20" s="249">
        <f t="shared" si="53"/>
        <v>4192</v>
      </c>
      <c r="BZ20" s="249">
        <f t="shared" si="54"/>
        <v>9481</v>
      </c>
      <c r="CA20" s="249">
        <f t="shared" si="55"/>
        <v>9481</v>
      </c>
      <c r="CB20" s="1174">
        <f t="shared" ref="CB20" si="63">CA20</f>
        <v>9481</v>
      </c>
      <c r="CC20" s="1276"/>
      <c r="CD20" s="26"/>
      <c r="CE20" s="26"/>
      <c r="CM20" s="180"/>
      <c r="CN20" s="620"/>
      <c r="CO20" s="620"/>
      <c r="CP20" s="180"/>
    </row>
    <row r="21" spans="1:94" ht="14.25" customHeight="1">
      <c r="A21" s="18"/>
      <c r="B21" s="278" t="s">
        <v>173</v>
      </c>
      <c r="C21" s="103"/>
      <c r="D21" s="276">
        <v>2140</v>
      </c>
      <c r="E21" s="230">
        <v>2247</v>
      </c>
      <c r="F21" s="230">
        <v>3047</v>
      </c>
      <c r="G21" s="283">
        <v>4135</v>
      </c>
      <c r="H21" s="276">
        <v>3927</v>
      </c>
      <c r="I21" s="230">
        <v>3513</v>
      </c>
      <c r="J21" s="230">
        <v>3085</v>
      </c>
      <c r="K21" s="283">
        <v>4023</v>
      </c>
      <c r="L21" s="276">
        <v>4496</v>
      </c>
      <c r="M21" s="230">
        <v>4346</v>
      </c>
      <c r="N21" s="230">
        <v>4081</v>
      </c>
      <c r="O21" s="283">
        <v>4398</v>
      </c>
      <c r="P21" s="276">
        <v>4473</v>
      </c>
      <c r="Q21" s="230">
        <v>4651</v>
      </c>
      <c r="R21" s="230">
        <v>3820</v>
      </c>
      <c r="S21" s="283">
        <v>2924</v>
      </c>
      <c r="T21" s="276">
        <v>2513</v>
      </c>
      <c r="U21" s="230">
        <v>3002</v>
      </c>
      <c r="V21" s="230">
        <v>3611</v>
      </c>
      <c r="W21" s="283">
        <v>4179</v>
      </c>
      <c r="X21" s="230">
        <v>4326</v>
      </c>
      <c r="Y21" s="230">
        <v>3947</v>
      </c>
      <c r="Z21" s="230">
        <v>3482</v>
      </c>
      <c r="AA21" s="283">
        <v>3026</v>
      </c>
      <c r="AB21" s="284">
        <v>1863</v>
      </c>
      <c r="AC21" s="230">
        <v>992</v>
      </c>
      <c r="AD21" s="230">
        <v>858</v>
      </c>
      <c r="AE21" s="283">
        <v>889</v>
      </c>
      <c r="AF21" s="230">
        <v>498</v>
      </c>
      <c r="AG21" s="230">
        <v>568</v>
      </c>
      <c r="AH21" s="230">
        <v>469</v>
      </c>
      <c r="AI21" s="283">
        <v>493</v>
      </c>
      <c r="AJ21" s="230">
        <v>1309</v>
      </c>
      <c r="AK21" s="230">
        <v>1642</v>
      </c>
      <c r="AL21" s="230">
        <v>1583</v>
      </c>
      <c r="AM21" s="283">
        <v>1473</v>
      </c>
      <c r="AN21" s="230">
        <v>1765</v>
      </c>
      <c r="AO21" s="230">
        <v>2184</v>
      </c>
      <c r="AP21" s="230">
        <v>2153</v>
      </c>
      <c r="AQ21" s="283">
        <v>2023</v>
      </c>
      <c r="AR21" s="230">
        <v>1675</v>
      </c>
      <c r="AS21" s="230">
        <v>1727</v>
      </c>
      <c r="AT21" s="230">
        <v>1829</v>
      </c>
      <c r="AU21" s="283">
        <v>1891</v>
      </c>
      <c r="AV21" s="276">
        <v>3097</v>
      </c>
      <c r="AW21" s="230">
        <v>3567</v>
      </c>
      <c r="AX21" s="230">
        <v>4189</v>
      </c>
      <c r="AY21" s="283">
        <v>4716</v>
      </c>
      <c r="AZ21" s="276">
        <v>5149</v>
      </c>
      <c r="BA21" s="230">
        <v>4481</v>
      </c>
      <c r="BB21" s="230">
        <v>3844</v>
      </c>
      <c r="BC21" s="283">
        <v>3712</v>
      </c>
      <c r="BD21" s="276">
        <v>3435</v>
      </c>
      <c r="BE21" s="249">
        <f>BD21-CFS!BE37-CFS!BE38-CFS!BE39</f>
        <v>3435</v>
      </c>
      <c r="BF21" s="249">
        <f>BE21-CFS!BF37-CFS!BF38-CFS!BF39</f>
        <v>3435</v>
      </c>
      <c r="BG21" s="171">
        <f>BF21-CFS!BG37-CFS!BG38-CFS!BG39</f>
        <v>3435</v>
      </c>
      <c r="BH21" s="249">
        <f>BG21-CFS!BH37-CFS!BH38-CFS!BH39</f>
        <v>3435</v>
      </c>
      <c r="BI21" s="249">
        <f>BH21-CFS!BI37-CFS!BI38-CFS!BI39</f>
        <v>3435</v>
      </c>
      <c r="BJ21" s="249">
        <f>BI21-CFS!BJ37-CFS!BJ38-CFS!BJ39</f>
        <v>3435</v>
      </c>
      <c r="BK21" s="171">
        <f>BJ21-CFS!BK37-CFS!BK38-CFS!BK39</f>
        <v>3435</v>
      </c>
      <c r="BL21" s="132"/>
      <c r="BM21" s="249">
        <f t="shared" si="41"/>
        <v>4135</v>
      </c>
      <c r="BN21" s="249">
        <f t="shared" si="42"/>
        <v>4023</v>
      </c>
      <c r="BO21" s="249">
        <f t="shared" si="43"/>
        <v>4398</v>
      </c>
      <c r="BP21" s="249">
        <f t="shared" si="44"/>
        <v>2924</v>
      </c>
      <c r="BQ21" s="249">
        <f t="shared" si="45"/>
        <v>4179</v>
      </c>
      <c r="BR21" s="249">
        <f t="shared" si="46"/>
        <v>3026</v>
      </c>
      <c r="BS21" s="1056">
        <f t="shared" si="47"/>
        <v>889</v>
      </c>
      <c r="BT21" s="249">
        <f t="shared" si="48"/>
        <v>493</v>
      </c>
      <c r="BU21" s="249">
        <f t="shared" si="49"/>
        <v>1473</v>
      </c>
      <c r="BV21" s="249">
        <f t="shared" si="50"/>
        <v>2023</v>
      </c>
      <c r="BW21" s="249">
        <f t="shared" si="51"/>
        <v>1891</v>
      </c>
      <c r="BX21" s="249">
        <f t="shared" si="52"/>
        <v>4716</v>
      </c>
      <c r="BY21" s="249">
        <f t="shared" si="53"/>
        <v>3712</v>
      </c>
      <c r="BZ21" s="249">
        <f t="shared" si="54"/>
        <v>3435</v>
      </c>
      <c r="CA21" s="249">
        <f t="shared" si="55"/>
        <v>3435</v>
      </c>
      <c r="CB21" s="1174">
        <f>CA21-CFS!CB37-CFS!CB38-CFS!CB39</f>
        <v>3435</v>
      </c>
      <c r="CC21" s="1276"/>
      <c r="CD21" s="26"/>
      <c r="CE21" s="26"/>
      <c r="CM21" s="180"/>
      <c r="CN21" s="620"/>
      <c r="CO21" s="620"/>
      <c r="CP21" s="180"/>
    </row>
    <row r="22" spans="1:94" ht="14.25" customHeight="1">
      <c r="A22" s="18"/>
      <c r="B22" s="278" t="s">
        <v>174</v>
      </c>
      <c r="C22" s="103"/>
      <c r="D22" s="276">
        <v>0</v>
      </c>
      <c r="E22" s="230">
        <v>0</v>
      </c>
      <c r="F22" s="230">
        <v>0</v>
      </c>
      <c r="G22" s="283">
        <v>0</v>
      </c>
      <c r="H22" s="276">
        <v>0</v>
      </c>
      <c r="I22" s="230">
        <v>0</v>
      </c>
      <c r="J22" s="230">
        <v>0</v>
      </c>
      <c r="K22" s="283">
        <v>0</v>
      </c>
      <c r="L22" s="276">
        <v>0</v>
      </c>
      <c r="M22" s="230">
        <v>0</v>
      </c>
      <c r="N22" s="230">
        <v>0</v>
      </c>
      <c r="O22" s="283">
        <v>0</v>
      </c>
      <c r="P22" s="276">
        <v>0</v>
      </c>
      <c r="Q22" s="230">
        <v>0</v>
      </c>
      <c r="R22" s="230">
        <v>0</v>
      </c>
      <c r="S22" s="283">
        <v>0</v>
      </c>
      <c r="T22" s="276">
        <v>0</v>
      </c>
      <c r="U22" s="230">
        <v>0</v>
      </c>
      <c r="V22" s="230">
        <v>0</v>
      </c>
      <c r="W22" s="283">
        <v>0</v>
      </c>
      <c r="X22" s="230">
        <v>0</v>
      </c>
      <c r="Y22" s="230">
        <v>0</v>
      </c>
      <c r="Z22" s="230">
        <v>0</v>
      </c>
      <c r="AA22" s="230">
        <v>0</v>
      </c>
      <c r="AB22" s="285">
        <v>0</v>
      </c>
      <c r="AC22" s="230">
        <v>0</v>
      </c>
      <c r="AD22" s="230">
        <v>0</v>
      </c>
      <c r="AE22" s="283">
        <v>0</v>
      </c>
      <c r="AF22" s="230">
        <v>0</v>
      </c>
      <c r="AG22" s="230">
        <v>0</v>
      </c>
      <c r="AH22" s="230">
        <v>0</v>
      </c>
      <c r="AI22" s="283">
        <v>0</v>
      </c>
      <c r="AJ22" s="276">
        <v>0</v>
      </c>
      <c r="AK22" s="230">
        <v>0</v>
      </c>
      <c r="AL22" s="230">
        <v>0</v>
      </c>
      <c r="AM22" s="283">
        <v>0</v>
      </c>
      <c r="AN22" s="276">
        <v>0</v>
      </c>
      <c r="AO22" s="230">
        <v>0</v>
      </c>
      <c r="AP22" s="230">
        <v>0</v>
      </c>
      <c r="AQ22" s="283">
        <v>0</v>
      </c>
      <c r="AR22" s="276">
        <v>0</v>
      </c>
      <c r="AS22" s="230">
        <v>0</v>
      </c>
      <c r="AT22" s="230">
        <v>0</v>
      </c>
      <c r="AU22" s="283">
        <v>0</v>
      </c>
      <c r="AV22" s="276">
        <v>0</v>
      </c>
      <c r="AW22" s="230">
        <v>0</v>
      </c>
      <c r="AX22" s="230">
        <v>0</v>
      </c>
      <c r="AY22" s="283">
        <v>0</v>
      </c>
      <c r="AZ22" s="276">
        <v>0</v>
      </c>
      <c r="BA22" s="230">
        <v>0</v>
      </c>
      <c r="BB22" s="230">
        <v>0</v>
      </c>
      <c r="BC22" s="283">
        <v>0</v>
      </c>
      <c r="BD22" s="276">
        <v>0</v>
      </c>
      <c r="BE22" s="249">
        <f>BD22+CFS!BE31</f>
        <v>0</v>
      </c>
      <c r="BF22" s="249">
        <f>BE22+CFS!BF31</f>
        <v>0</v>
      </c>
      <c r="BG22" s="171">
        <f>BF22+CFS!BG31</f>
        <v>0</v>
      </c>
      <c r="BH22" s="249">
        <f>BG22+CFS!BH31</f>
        <v>0</v>
      </c>
      <c r="BI22" s="249">
        <f>BH22+CFS!BI31</f>
        <v>0</v>
      </c>
      <c r="BJ22" s="249">
        <f>BI22+CFS!BJ31</f>
        <v>0</v>
      </c>
      <c r="BK22" s="171">
        <f>BJ22+CFS!BK31</f>
        <v>0</v>
      </c>
      <c r="BL22" s="132"/>
      <c r="BM22" s="249">
        <f t="shared" si="41"/>
        <v>0</v>
      </c>
      <c r="BN22" s="249">
        <f t="shared" si="42"/>
        <v>0</v>
      </c>
      <c r="BO22" s="249">
        <f t="shared" si="43"/>
        <v>0</v>
      </c>
      <c r="BP22" s="249">
        <f t="shared" si="44"/>
        <v>0</v>
      </c>
      <c r="BQ22" s="249">
        <f t="shared" si="45"/>
        <v>0</v>
      </c>
      <c r="BR22" s="249">
        <f t="shared" si="46"/>
        <v>0</v>
      </c>
      <c r="BS22" s="1056">
        <f t="shared" si="47"/>
        <v>0</v>
      </c>
      <c r="BT22" s="249">
        <f t="shared" si="48"/>
        <v>0</v>
      </c>
      <c r="BU22" s="249">
        <f t="shared" si="49"/>
        <v>0</v>
      </c>
      <c r="BV22" s="249">
        <f t="shared" si="50"/>
        <v>0</v>
      </c>
      <c r="BW22" s="249">
        <f t="shared" si="51"/>
        <v>0</v>
      </c>
      <c r="BX22" s="249">
        <f t="shared" si="52"/>
        <v>0</v>
      </c>
      <c r="BY22" s="249">
        <f t="shared" si="53"/>
        <v>0</v>
      </c>
      <c r="BZ22" s="249">
        <f t="shared" si="54"/>
        <v>0</v>
      </c>
      <c r="CA22" s="249">
        <f t="shared" si="55"/>
        <v>0</v>
      </c>
      <c r="CB22" s="1174">
        <f>CA22+CFS!CB31</f>
        <v>0</v>
      </c>
      <c r="CC22" s="1276"/>
      <c r="CD22" s="26"/>
      <c r="CE22" s="26"/>
      <c r="CM22" s="180"/>
      <c r="CN22" s="620"/>
      <c r="CO22" s="620"/>
      <c r="CP22" s="180"/>
    </row>
    <row r="23" spans="1:94" ht="14.25" customHeight="1">
      <c r="A23" s="18"/>
      <c r="B23" s="278" t="s">
        <v>175</v>
      </c>
      <c r="C23" s="103"/>
      <c r="D23" s="276">
        <v>3716</v>
      </c>
      <c r="E23" s="230">
        <v>3805</v>
      </c>
      <c r="F23" s="230">
        <v>3814</v>
      </c>
      <c r="G23" s="283">
        <v>3873</v>
      </c>
      <c r="H23" s="276">
        <v>3873</v>
      </c>
      <c r="I23" s="230">
        <v>3871</v>
      </c>
      <c r="J23" s="230">
        <v>3861</v>
      </c>
      <c r="K23" s="283">
        <v>3861</v>
      </c>
      <c r="L23" s="276">
        <v>3861</v>
      </c>
      <c r="M23" s="230">
        <v>3861</v>
      </c>
      <c r="N23" s="230">
        <v>3917</v>
      </c>
      <c r="O23" s="283">
        <v>3916</v>
      </c>
      <c r="P23" s="276">
        <v>3916</v>
      </c>
      <c r="Q23" s="230">
        <v>3915</v>
      </c>
      <c r="R23" s="230">
        <v>3924</v>
      </c>
      <c r="S23" s="283">
        <v>3932</v>
      </c>
      <c r="T23" s="276">
        <v>3932</v>
      </c>
      <c r="U23" s="230">
        <v>3932</v>
      </c>
      <c r="V23" s="230">
        <v>4421</v>
      </c>
      <c r="W23" s="283">
        <v>4421</v>
      </c>
      <c r="X23" s="230">
        <v>4452</v>
      </c>
      <c r="Y23" s="230">
        <v>4481</v>
      </c>
      <c r="Z23" s="230">
        <v>4481</v>
      </c>
      <c r="AA23" s="230">
        <v>4531</v>
      </c>
      <c r="AB23" s="285">
        <v>9069</v>
      </c>
      <c r="AC23" s="230">
        <v>9141</v>
      </c>
      <c r="AD23" s="230">
        <v>9138</v>
      </c>
      <c r="AE23" s="283">
        <v>9254</v>
      </c>
      <c r="AF23" s="230">
        <v>9388</v>
      </c>
      <c r="AG23" s="230">
        <v>9442</v>
      </c>
      <c r="AH23" s="230">
        <v>9623</v>
      </c>
      <c r="AI23" s="283">
        <v>9710</v>
      </c>
      <c r="AJ23" s="276">
        <v>9756</v>
      </c>
      <c r="AK23" s="230">
        <v>10005</v>
      </c>
      <c r="AL23" s="230">
        <v>10467</v>
      </c>
      <c r="AM23" s="283">
        <v>10513</v>
      </c>
      <c r="AN23" s="276">
        <v>10617</v>
      </c>
      <c r="AO23" s="230">
        <v>10621</v>
      </c>
      <c r="AP23" s="230">
        <v>10556</v>
      </c>
      <c r="AQ23" s="283">
        <v>10861</v>
      </c>
      <c r="AR23" s="276">
        <v>10766</v>
      </c>
      <c r="AS23" s="230">
        <v>11037</v>
      </c>
      <c r="AT23" s="230">
        <v>11026</v>
      </c>
      <c r="AU23" s="283">
        <v>11332</v>
      </c>
      <c r="AV23" s="276">
        <v>16942</v>
      </c>
      <c r="AW23" s="230">
        <v>16992</v>
      </c>
      <c r="AX23" s="230">
        <v>13868</v>
      </c>
      <c r="AY23" s="283">
        <v>14099</v>
      </c>
      <c r="AZ23" s="276">
        <v>14099</v>
      </c>
      <c r="BA23" s="230">
        <v>14102</v>
      </c>
      <c r="BB23" s="230">
        <v>24389</v>
      </c>
      <c r="BC23" s="283">
        <v>24389</v>
      </c>
      <c r="BD23" s="276">
        <v>24346</v>
      </c>
      <c r="BE23" s="249">
        <f t="shared" ref="BE23" si="64">BD23</f>
        <v>24346</v>
      </c>
      <c r="BF23" s="249">
        <f t="shared" ref="BF23" si="65">BE23</f>
        <v>24346</v>
      </c>
      <c r="BG23" s="171">
        <f t="shared" ref="BG23" si="66">BF23</f>
        <v>24346</v>
      </c>
      <c r="BH23" s="249">
        <f t="shared" ref="BH23" si="67">BG23</f>
        <v>24346</v>
      </c>
      <c r="BI23" s="249">
        <f t="shared" ref="BI23" si="68">BH23</f>
        <v>24346</v>
      </c>
      <c r="BJ23" s="249">
        <f t="shared" ref="BJ23" si="69">BI23</f>
        <v>24346</v>
      </c>
      <c r="BK23" s="171">
        <f t="shared" ref="BK23" si="70">BJ23</f>
        <v>24346</v>
      </c>
      <c r="BL23" s="132"/>
      <c r="BM23" s="249">
        <f t="shared" si="41"/>
        <v>3873</v>
      </c>
      <c r="BN23" s="249">
        <f t="shared" si="42"/>
        <v>3861</v>
      </c>
      <c r="BO23" s="249">
        <f t="shared" si="43"/>
        <v>3916</v>
      </c>
      <c r="BP23" s="249">
        <f t="shared" si="44"/>
        <v>3932</v>
      </c>
      <c r="BQ23" s="249">
        <f t="shared" si="45"/>
        <v>4421</v>
      </c>
      <c r="BR23" s="249">
        <f t="shared" si="46"/>
        <v>4531</v>
      </c>
      <c r="BS23" s="1056">
        <f t="shared" si="47"/>
        <v>9254</v>
      </c>
      <c r="BT23" s="249">
        <f t="shared" si="48"/>
        <v>9710</v>
      </c>
      <c r="BU23" s="249">
        <f t="shared" si="49"/>
        <v>10513</v>
      </c>
      <c r="BV23" s="249">
        <f t="shared" si="50"/>
        <v>10861</v>
      </c>
      <c r="BW23" s="249">
        <f t="shared" si="51"/>
        <v>11332</v>
      </c>
      <c r="BX23" s="249">
        <f t="shared" si="52"/>
        <v>14099</v>
      </c>
      <c r="BY23" s="249">
        <f t="shared" si="53"/>
        <v>24389</v>
      </c>
      <c r="BZ23" s="249">
        <f t="shared" si="54"/>
        <v>24346</v>
      </c>
      <c r="CA23" s="249">
        <f t="shared" si="55"/>
        <v>24346</v>
      </c>
      <c r="CB23" s="1174">
        <f>CA23</f>
        <v>24346</v>
      </c>
      <c r="CC23" s="1276"/>
      <c r="CD23" s="26"/>
      <c r="CE23" s="26"/>
      <c r="CM23" s="180"/>
      <c r="CN23" s="620"/>
      <c r="CO23" s="620"/>
      <c r="CP23" s="180"/>
    </row>
    <row r="24" spans="1:94" ht="14.25" customHeight="1">
      <c r="A24" s="18"/>
      <c r="B24" s="278" t="s">
        <v>176</v>
      </c>
      <c r="C24" s="103"/>
      <c r="D24" s="276">
        <v>0</v>
      </c>
      <c r="E24" s="230">
        <v>0</v>
      </c>
      <c r="F24" s="230">
        <v>0</v>
      </c>
      <c r="G24" s="283">
        <v>0</v>
      </c>
      <c r="H24" s="276">
        <v>0</v>
      </c>
      <c r="I24" s="230">
        <v>0</v>
      </c>
      <c r="J24" s="230">
        <v>0</v>
      </c>
      <c r="K24" s="283">
        <v>0</v>
      </c>
      <c r="L24" s="276">
        <v>0</v>
      </c>
      <c r="M24" s="230">
        <v>0</v>
      </c>
      <c r="N24" s="230">
        <v>0</v>
      </c>
      <c r="O24" s="283">
        <v>0</v>
      </c>
      <c r="P24" s="276">
        <v>0</v>
      </c>
      <c r="Q24" s="230">
        <v>0</v>
      </c>
      <c r="R24" s="230">
        <v>0</v>
      </c>
      <c r="S24" s="283">
        <v>0</v>
      </c>
      <c r="T24" s="276">
        <v>0</v>
      </c>
      <c r="U24" s="230">
        <v>0</v>
      </c>
      <c r="V24" s="230">
        <v>0</v>
      </c>
      <c r="W24" s="283">
        <v>0</v>
      </c>
      <c r="X24" s="230">
        <v>0</v>
      </c>
      <c r="Y24" s="230">
        <v>0</v>
      </c>
      <c r="Z24" s="230">
        <v>0</v>
      </c>
      <c r="AA24" s="230">
        <v>860</v>
      </c>
      <c r="AB24" s="285">
        <v>6872</v>
      </c>
      <c r="AC24" s="230">
        <v>6700</v>
      </c>
      <c r="AD24" s="230">
        <v>6445</v>
      </c>
      <c r="AE24" s="283">
        <v>6267</v>
      </c>
      <c r="AF24" s="230">
        <v>6064</v>
      </c>
      <c r="AG24" s="230">
        <v>5974</v>
      </c>
      <c r="AH24" s="230">
        <v>6221</v>
      </c>
      <c r="AI24" s="283">
        <v>6235</v>
      </c>
      <c r="AJ24" s="276">
        <v>5807</v>
      </c>
      <c r="AK24" s="230">
        <v>5620</v>
      </c>
      <c r="AL24" s="230">
        <v>5434</v>
      </c>
      <c r="AM24" s="283">
        <v>5150</v>
      </c>
      <c r="AN24" s="276">
        <v>4963</v>
      </c>
      <c r="AO24" s="230">
        <v>4697</v>
      </c>
      <c r="AP24" s="230">
        <v>4379</v>
      </c>
      <c r="AQ24" s="283">
        <v>4446</v>
      </c>
      <c r="AR24" s="276">
        <v>4211</v>
      </c>
      <c r="AS24" s="230">
        <v>4226</v>
      </c>
      <c r="AT24" s="230">
        <v>4022</v>
      </c>
      <c r="AU24" s="283">
        <v>3933</v>
      </c>
      <c r="AV24" s="276">
        <v>11140</v>
      </c>
      <c r="AW24" s="230">
        <v>10821</v>
      </c>
      <c r="AX24" s="230">
        <v>9524</v>
      </c>
      <c r="AY24" s="283">
        <v>9494</v>
      </c>
      <c r="AZ24" s="276">
        <v>9157</v>
      </c>
      <c r="BA24" s="230">
        <v>8867</v>
      </c>
      <c r="BB24" s="230">
        <v>13058</v>
      </c>
      <c r="BC24" s="283">
        <v>12745</v>
      </c>
      <c r="BD24" s="276">
        <v>12355</v>
      </c>
      <c r="BE24" s="249">
        <f>+BD24-CFS!BE15</f>
        <v>12315</v>
      </c>
      <c r="BF24" s="249">
        <f>+BE24-CFS!BF15</f>
        <v>12275</v>
      </c>
      <c r="BG24" s="171">
        <f>+BF24-CFS!BG15</f>
        <v>12235</v>
      </c>
      <c r="BH24" s="249">
        <f>+BG24-CFS!BH15</f>
        <v>12195</v>
      </c>
      <c r="BI24" s="249">
        <f>+BH24-CFS!BI15</f>
        <v>12155</v>
      </c>
      <c r="BJ24" s="249">
        <f>+BI24-CFS!BJ15</f>
        <v>12115</v>
      </c>
      <c r="BK24" s="171">
        <f>+BJ24-CFS!BK15</f>
        <v>12075</v>
      </c>
      <c r="BL24" s="132"/>
      <c r="BM24" s="249">
        <f t="shared" si="41"/>
        <v>0</v>
      </c>
      <c r="BN24" s="249">
        <f t="shared" si="42"/>
        <v>0</v>
      </c>
      <c r="BO24" s="249">
        <f t="shared" si="43"/>
        <v>0</v>
      </c>
      <c r="BP24" s="249">
        <f t="shared" si="44"/>
        <v>0</v>
      </c>
      <c r="BQ24" s="249">
        <f t="shared" si="45"/>
        <v>0</v>
      </c>
      <c r="BR24" s="249">
        <f t="shared" si="46"/>
        <v>860</v>
      </c>
      <c r="BS24" s="1056">
        <f t="shared" si="47"/>
        <v>6267</v>
      </c>
      <c r="BT24" s="249">
        <f t="shared" si="48"/>
        <v>6235</v>
      </c>
      <c r="BU24" s="249">
        <f t="shared" si="49"/>
        <v>5150</v>
      </c>
      <c r="BV24" s="249">
        <f t="shared" si="50"/>
        <v>4446</v>
      </c>
      <c r="BW24" s="610">
        <f t="shared" si="51"/>
        <v>3933</v>
      </c>
      <c r="BX24" s="610">
        <f t="shared" si="52"/>
        <v>9494</v>
      </c>
      <c r="BY24" s="249">
        <f t="shared" si="53"/>
        <v>12745</v>
      </c>
      <c r="BZ24" s="249">
        <f t="shared" si="54"/>
        <v>12235</v>
      </c>
      <c r="CA24" s="249">
        <f t="shared" si="55"/>
        <v>12075</v>
      </c>
      <c r="CB24" s="1202">
        <f>+CA24-CFS!CB15</f>
        <v>11995</v>
      </c>
      <c r="CC24" s="1276"/>
      <c r="CD24" s="26"/>
      <c r="CE24" s="26"/>
      <c r="CM24" s="180"/>
      <c r="CN24" s="620"/>
      <c r="CO24" s="620"/>
    </row>
    <row r="25" spans="1:94" ht="14.25" customHeight="1">
      <c r="A25" s="18"/>
      <c r="B25" s="278" t="s">
        <v>177</v>
      </c>
      <c r="C25" s="103"/>
      <c r="D25" s="276">
        <v>1325</v>
      </c>
      <c r="E25" s="230">
        <v>1285</v>
      </c>
      <c r="F25" s="230">
        <v>1430</v>
      </c>
      <c r="G25" s="283">
        <v>1464</v>
      </c>
      <c r="H25" s="276">
        <v>3161</v>
      </c>
      <c r="I25" s="230">
        <v>3247</v>
      </c>
      <c r="J25" s="230">
        <v>3879</v>
      </c>
      <c r="K25" s="283">
        <v>4204</v>
      </c>
      <c r="L25" s="276">
        <v>4729</v>
      </c>
      <c r="M25" s="230">
        <v>4946</v>
      </c>
      <c r="N25" s="230">
        <v>5569</v>
      </c>
      <c r="O25" s="283">
        <v>5547</v>
      </c>
      <c r="P25" s="276">
        <v>5737</v>
      </c>
      <c r="Q25" s="230">
        <v>6681</v>
      </c>
      <c r="R25" s="230">
        <v>6125</v>
      </c>
      <c r="S25" s="283">
        <v>6092</v>
      </c>
      <c r="T25" s="276">
        <v>5640</v>
      </c>
      <c r="U25" s="230">
        <v>5632</v>
      </c>
      <c r="V25" s="230">
        <v>5597</v>
      </c>
      <c r="W25" s="283">
        <v>5340</v>
      </c>
      <c r="X25" s="230">
        <v>5317</v>
      </c>
      <c r="Y25" s="230">
        <v>4937</v>
      </c>
      <c r="Z25" s="230">
        <v>4883</v>
      </c>
      <c r="AA25" s="283">
        <v>4251</v>
      </c>
      <c r="AB25" s="284">
        <v>4414</v>
      </c>
      <c r="AC25" s="230">
        <v>4484</v>
      </c>
      <c r="AD25" s="230">
        <v>4739</v>
      </c>
      <c r="AE25" s="283">
        <v>4648</v>
      </c>
      <c r="AF25" s="230">
        <v>4600</v>
      </c>
      <c r="AG25" s="230">
        <v>4008</v>
      </c>
      <c r="AH25" s="230">
        <v>4033</v>
      </c>
      <c r="AI25" s="283">
        <v>4148</v>
      </c>
      <c r="AJ25" s="230">
        <v>4418</v>
      </c>
      <c r="AK25" s="230">
        <v>4640</v>
      </c>
      <c r="AL25" s="230">
        <v>4857</v>
      </c>
      <c r="AM25" s="283">
        <v>5489</v>
      </c>
      <c r="AN25" s="230">
        <v>5446</v>
      </c>
      <c r="AO25" s="230">
        <v>6126</v>
      </c>
      <c r="AP25" s="230">
        <v>6394</v>
      </c>
      <c r="AQ25" s="283">
        <v>6561</v>
      </c>
      <c r="AR25" s="230">
        <v>6603</v>
      </c>
      <c r="AS25" s="230">
        <v>6901</v>
      </c>
      <c r="AT25" s="230">
        <v>8255</v>
      </c>
      <c r="AU25" s="283">
        <v>7735</v>
      </c>
      <c r="AV25" s="315">
        <v>7870</v>
      </c>
      <c r="AW25" s="312">
        <v>8065</v>
      </c>
      <c r="AX25" s="312">
        <v>7691</v>
      </c>
      <c r="AY25" s="283">
        <v>7159</v>
      </c>
      <c r="AZ25" s="315">
        <v>7443</v>
      </c>
      <c r="BA25" s="312">
        <v>10006</v>
      </c>
      <c r="BB25" s="312">
        <v>7112</v>
      </c>
      <c r="BC25" s="283">
        <v>7602</v>
      </c>
      <c r="BD25" s="315">
        <v>3614</v>
      </c>
      <c r="BE25" s="249">
        <f>BD25-CFS!BE40</f>
        <v>3114</v>
      </c>
      <c r="BF25" s="249">
        <f>BE25-CFS!BF40</f>
        <v>2614</v>
      </c>
      <c r="BG25" s="171">
        <f>BF25-CFS!BG40</f>
        <v>2114</v>
      </c>
      <c r="BH25" s="249">
        <f>BG25-CFS!BH40</f>
        <v>2114</v>
      </c>
      <c r="BI25" s="249">
        <f>BH25-CFS!BI40</f>
        <v>2114</v>
      </c>
      <c r="BJ25" s="249">
        <f>BI25-CFS!BJ40</f>
        <v>2114</v>
      </c>
      <c r="BK25" s="171">
        <f>BJ25-CFS!BK40</f>
        <v>2114</v>
      </c>
      <c r="BL25" s="132"/>
      <c r="BM25" s="249">
        <f t="shared" si="41"/>
        <v>1464</v>
      </c>
      <c r="BN25" s="249">
        <f t="shared" si="42"/>
        <v>4204</v>
      </c>
      <c r="BO25" s="249">
        <f t="shared" si="43"/>
        <v>5547</v>
      </c>
      <c r="BP25" s="249">
        <f t="shared" si="44"/>
        <v>6092</v>
      </c>
      <c r="BQ25" s="249">
        <f t="shared" si="45"/>
        <v>5340</v>
      </c>
      <c r="BR25" s="249">
        <f t="shared" si="46"/>
        <v>4251</v>
      </c>
      <c r="BS25" s="1056">
        <f t="shared" si="47"/>
        <v>4648</v>
      </c>
      <c r="BT25" s="249">
        <f t="shared" si="48"/>
        <v>4148</v>
      </c>
      <c r="BU25" s="249">
        <f t="shared" si="49"/>
        <v>5489</v>
      </c>
      <c r="BV25" s="249">
        <f t="shared" si="50"/>
        <v>6561</v>
      </c>
      <c r="BW25" s="249">
        <f t="shared" si="51"/>
        <v>7735</v>
      </c>
      <c r="BX25" s="249">
        <f t="shared" si="52"/>
        <v>7159</v>
      </c>
      <c r="BY25" s="249">
        <f t="shared" si="53"/>
        <v>7602</v>
      </c>
      <c r="BZ25" s="249">
        <f t="shared" si="54"/>
        <v>2114</v>
      </c>
      <c r="CA25" s="249">
        <f t="shared" si="55"/>
        <v>2114</v>
      </c>
      <c r="CB25" s="1174">
        <f>CA25</f>
        <v>2114</v>
      </c>
      <c r="CC25" s="1276"/>
      <c r="CD25" s="26"/>
      <c r="CE25" s="26"/>
      <c r="CM25" s="180"/>
      <c r="CN25" s="620"/>
      <c r="CO25" s="620"/>
    </row>
    <row r="26" spans="1:94" ht="14.25" customHeight="1">
      <c r="A26" s="18"/>
      <c r="B26" s="302" t="s">
        <v>178</v>
      </c>
      <c r="C26" s="303"/>
      <c r="D26" s="304">
        <f t="shared" ref="D26:AR26" si="71">SUM(D19:D25)+D17</f>
        <v>47566</v>
      </c>
      <c r="E26" s="305">
        <f t="shared" si="71"/>
        <v>46513</v>
      </c>
      <c r="F26" s="305">
        <f t="shared" si="71"/>
        <v>47360</v>
      </c>
      <c r="G26" s="306">
        <f t="shared" si="71"/>
        <v>48314</v>
      </c>
      <c r="H26" s="304">
        <f t="shared" si="71"/>
        <v>47194</v>
      </c>
      <c r="I26" s="305">
        <f t="shared" si="71"/>
        <v>46088</v>
      </c>
      <c r="J26" s="305">
        <f t="shared" si="71"/>
        <v>46855</v>
      </c>
      <c r="K26" s="306">
        <f t="shared" si="71"/>
        <v>48368</v>
      </c>
      <c r="L26" s="304">
        <f t="shared" si="71"/>
        <v>48756</v>
      </c>
      <c r="M26" s="305">
        <f t="shared" si="71"/>
        <v>50294</v>
      </c>
      <c r="N26" s="305">
        <f t="shared" si="71"/>
        <v>53039</v>
      </c>
      <c r="O26" s="306">
        <f t="shared" si="71"/>
        <v>55651</v>
      </c>
      <c r="P26" s="304">
        <f t="shared" si="71"/>
        <v>53387</v>
      </c>
      <c r="Q26" s="305">
        <f t="shared" si="71"/>
        <v>52392</v>
      </c>
      <c r="R26" s="305">
        <f t="shared" si="71"/>
        <v>52719</v>
      </c>
      <c r="S26" s="306">
        <f t="shared" si="71"/>
        <v>50715</v>
      </c>
      <c r="T26" s="304">
        <f t="shared" si="71"/>
        <v>48454</v>
      </c>
      <c r="U26" s="305">
        <f t="shared" si="71"/>
        <v>49061</v>
      </c>
      <c r="V26" s="305">
        <f t="shared" si="71"/>
        <v>50996</v>
      </c>
      <c r="W26" s="306">
        <f t="shared" si="71"/>
        <v>53095</v>
      </c>
      <c r="X26" s="305">
        <f t="shared" si="71"/>
        <v>55773</v>
      </c>
      <c r="Y26" s="305">
        <f t="shared" si="71"/>
        <v>57691</v>
      </c>
      <c r="Z26" s="305">
        <f t="shared" si="71"/>
        <v>60588</v>
      </c>
      <c r="AA26" s="306">
        <f t="shared" si="71"/>
        <v>63186</v>
      </c>
      <c r="AB26" s="304">
        <f t="shared" si="71"/>
        <v>65552</v>
      </c>
      <c r="AC26" s="305">
        <f t="shared" si="71"/>
        <v>66089</v>
      </c>
      <c r="AD26" s="305">
        <f t="shared" si="71"/>
        <v>70551</v>
      </c>
      <c r="AE26" s="306">
        <f t="shared" si="71"/>
        <v>71119</v>
      </c>
      <c r="AF26" s="305">
        <f t="shared" si="71"/>
        <v>71817</v>
      </c>
      <c r="AG26" s="305">
        <f t="shared" si="71"/>
        <v>72352</v>
      </c>
      <c r="AH26" s="305">
        <f t="shared" si="71"/>
        <v>74441</v>
      </c>
      <c r="AI26" s="306">
        <f t="shared" si="71"/>
        <v>84351</v>
      </c>
      <c r="AJ26" s="304">
        <f t="shared" si="71"/>
        <v>83083</v>
      </c>
      <c r="AK26" s="305">
        <f t="shared" si="71"/>
        <v>85661</v>
      </c>
      <c r="AL26" s="305">
        <f t="shared" si="71"/>
        <v>90551</v>
      </c>
      <c r="AM26" s="306">
        <f t="shared" si="71"/>
        <v>92358</v>
      </c>
      <c r="AN26" s="304">
        <f>SUM(AN19:AN25)+AN17</f>
        <v>91932</v>
      </c>
      <c r="AO26" s="305">
        <f>SUM(AO19:AO25)+AO17</f>
        <v>91793</v>
      </c>
      <c r="AP26" s="305">
        <f>SUM(AP19:AP25)+AP17</f>
        <v>91094</v>
      </c>
      <c r="AQ26" s="306">
        <f t="shared" si="71"/>
        <v>91956</v>
      </c>
      <c r="AR26" s="304">
        <f t="shared" si="71"/>
        <v>89566</v>
      </c>
      <c r="AS26" s="305">
        <f t="shared" ref="AS26:AW26" si="72">SUM(AS19:AS25)+AS17</f>
        <v>90492</v>
      </c>
      <c r="AT26" s="305">
        <f>SUM(AT19:AT25)+AT17</f>
        <v>98552</v>
      </c>
      <c r="AU26" s="306">
        <f t="shared" si="72"/>
        <v>103065</v>
      </c>
      <c r="AV26" s="304">
        <f t="shared" si="72"/>
        <v>105467</v>
      </c>
      <c r="AW26" s="305">
        <f t="shared" si="72"/>
        <v>109831</v>
      </c>
      <c r="AX26" s="305">
        <f>SUM(AX19:AX25)+AX17</f>
        <v>112217</v>
      </c>
      <c r="AY26" s="306">
        <f t="shared" ref="AY26:BA26" si="73">SUM(AY19:AY25)+AY17</f>
        <v>113327</v>
      </c>
      <c r="AZ26" s="304">
        <f t="shared" si="73"/>
        <v>115648</v>
      </c>
      <c r="BA26" s="305">
        <f t="shared" si="73"/>
        <v>122107</v>
      </c>
      <c r="BB26" s="305">
        <f>SUM(BB19:BB25)+BB17</f>
        <v>127088</v>
      </c>
      <c r="BC26" s="306">
        <f t="shared" ref="BC26" si="74">SUM(BC19:BC25)+BC17</f>
        <v>123249</v>
      </c>
      <c r="BD26" s="304">
        <f t="shared" ref="BD26" si="75">SUM(BD19:BD25)+BD17</f>
        <v>128596</v>
      </c>
      <c r="BE26" s="305">
        <f t="shared" ref="BE26:BG26" si="76">SUM(BE19:BE25)+BE17</f>
        <v>130724.37025531787</v>
      </c>
      <c r="BF26" s="305">
        <f t="shared" si="76"/>
        <v>134561.4544408916</v>
      </c>
      <c r="BG26" s="306">
        <f t="shared" si="76"/>
        <v>138265.61168101718</v>
      </c>
      <c r="BH26" s="305">
        <f t="shared" ref="BH26:BK26" si="77">SUM(BH19:BH25)+BH17</f>
        <v>140628.02157429012</v>
      </c>
      <c r="BI26" s="305">
        <f t="shared" si="77"/>
        <v>143577.65131211738</v>
      </c>
      <c r="BJ26" s="305">
        <f t="shared" si="77"/>
        <v>147530.74892960582</v>
      </c>
      <c r="BK26" s="306">
        <f t="shared" si="77"/>
        <v>151381.12017170794</v>
      </c>
      <c r="BL26" s="132"/>
      <c r="BM26" s="305">
        <f t="shared" ref="BM26:BV26" si="78">SUM(BM19:BM25)+BM17</f>
        <v>48314</v>
      </c>
      <c r="BN26" s="305">
        <f t="shared" si="78"/>
        <v>48368</v>
      </c>
      <c r="BO26" s="305">
        <f t="shared" si="78"/>
        <v>55651</v>
      </c>
      <c r="BP26" s="305">
        <f t="shared" si="78"/>
        <v>50715</v>
      </c>
      <c r="BQ26" s="305">
        <f t="shared" si="78"/>
        <v>53095</v>
      </c>
      <c r="BR26" s="305">
        <f t="shared" si="78"/>
        <v>63186</v>
      </c>
      <c r="BS26" s="306">
        <f t="shared" si="78"/>
        <v>71119</v>
      </c>
      <c r="BT26" s="305">
        <f t="shared" si="78"/>
        <v>84351</v>
      </c>
      <c r="BU26" s="305">
        <f t="shared" si="78"/>
        <v>92358</v>
      </c>
      <c r="BV26" s="305">
        <f t="shared" si="78"/>
        <v>91956</v>
      </c>
      <c r="BW26" s="305">
        <f>SUM(BW19:BW25)+BW17</f>
        <v>103065</v>
      </c>
      <c r="BX26" s="305">
        <f>SUM(BX19:BX25)+BX17</f>
        <v>113327</v>
      </c>
      <c r="BY26" s="305">
        <f>SUM(BY19:BY25)+BY17</f>
        <v>123249</v>
      </c>
      <c r="BZ26" s="305">
        <f>SUM(BZ19:BZ25)+BZ17</f>
        <v>138265.61168101718</v>
      </c>
      <c r="CA26" s="305">
        <f>SUM(CA19:CA25)+CA17</f>
        <v>151381.12017170794</v>
      </c>
      <c r="CB26" s="306">
        <f t="shared" ref="CB26" si="79">SUM(CB19:CB25)+CB17</f>
        <v>164671.0858378011</v>
      </c>
      <c r="CC26" s="1276"/>
      <c r="CD26" s="26"/>
      <c r="CE26" s="26"/>
      <c r="CM26" s="180"/>
      <c r="CN26" s="620"/>
    </row>
    <row r="27" spans="1:94" ht="14.25" customHeight="1">
      <c r="A27" s="18"/>
      <c r="B27" s="307"/>
      <c r="C27" s="308"/>
      <c r="D27" s="309"/>
      <c r="E27" s="310"/>
      <c r="F27" s="310"/>
      <c r="G27" s="311"/>
      <c r="H27" s="309"/>
      <c r="I27" s="310"/>
      <c r="J27" s="310"/>
      <c r="K27" s="311"/>
      <c r="L27" s="309"/>
      <c r="M27" s="310"/>
      <c r="N27" s="310"/>
      <c r="O27" s="311"/>
      <c r="P27" s="309"/>
      <c r="Q27" s="310"/>
      <c r="R27" s="310"/>
      <c r="S27" s="311"/>
      <c r="T27" s="309"/>
      <c r="U27" s="310"/>
      <c r="V27" s="310"/>
      <c r="W27" s="311"/>
      <c r="X27" s="310"/>
      <c r="Y27" s="310"/>
      <c r="Z27" s="310"/>
      <c r="AA27" s="310"/>
      <c r="AB27" s="309"/>
      <c r="AC27" s="310"/>
      <c r="AD27" s="310"/>
      <c r="AE27" s="311"/>
      <c r="AF27" s="310"/>
      <c r="AG27" s="310"/>
      <c r="AH27" s="310"/>
      <c r="AI27" s="311"/>
      <c r="AJ27" s="309"/>
      <c r="AK27" s="310"/>
      <c r="AL27" s="310"/>
      <c r="AM27" s="311"/>
      <c r="AN27" s="309"/>
      <c r="AO27" s="310"/>
      <c r="AP27" s="310"/>
      <c r="AQ27" s="311"/>
      <c r="AR27" s="309"/>
      <c r="AS27" s="310"/>
      <c r="AT27" s="310"/>
      <c r="AU27" s="311"/>
      <c r="AV27" s="309"/>
      <c r="AW27" s="310"/>
      <c r="AX27" s="310"/>
      <c r="AY27" s="311"/>
      <c r="AZ27" s="309"/>
      <c r="BA27" s="310"/>
      <c r="BB27" s="310"/>
      <c r="BC27" s="311"/>
      <c r="BD27" s="309"/>
      <c r="BE27" s="310"/>
      <c r="BF27" s="310"/>
      <c r="BG27" s="311"/>
      <c r="BH27" s="310"/>
      <c r="BI27" s="310"/>
      <c r="BJ27" s="310"/>
      <c r="BK27" s="311"/>
      <c r="BL27" s="132"/>
      <c r="BM27" s="310"/>
      <c r="BN27" s="310"/>
      <c r="BO27" s="310"/>
      <c r="BP27" s="310"/>
      <c r="BQ27" s="310"/>
      <c r="BR27" s="310"/>
      <c r="BS27" s="311"/>
      <c r="BT27" s="310"/>
      <c r="BU27" s="310"/>
      <c r="BV27" s="310"/>
      <c r="BW27" s="310"/>
      <c r="BX27" s="310"/>
      <c r="BY27" s="310"/>
      <c r="BZ27" s="310"/>
      <c r="CA27" s="310"/>
      <c r="CB27" s="311"/>
      <c r="CC27" s="1276"/>
      <c r="CD27" s="26"/>
      <c r="CE27" s="26"/>
      <c r="CM27" s="180"/>
      <c r="CN27" s="620"/>
    </row>
    <row r="28" spans="1:94" ht="14.25" customHeight="1">
      <c r="A28" s="18"/>
      <c r="B28" s="271" t="s">
        <v>179</v>
      </c>
      <c r="C28" s="272"/>
      <c r="D28" s="276"/>
      <c r="E28" s="230"/>
      <c r="F28" s="230"/>
      <c r="G28" s="283"/>
      <c r="H28" s="276"/>
      <c r="I28" s="230"/>
      <c r="J28" s="230"/>
      <c r="K28" s="283"/>
      <c r="L28" s="276"/>
      <c r="M28" s="230"/>
      <c r="N28" s="230"/>
      <c r="O28" s="283"/>
      <c r="P28" s="276"/>
      <c r="Q28" s="230"/>
      <c r="R28" s="230"/>
      <c r="S28" s="283"/>
      <c r="T28" s="276"/>
      <c r="U28" s="230"/>
      <c r="V28" s="230"/>
      <c r="W28" s="283"/>
      <c r="X28" s="230"/>
      <c r="Y28" s="230"/>
      <c r="Z28" s="230"/>
      <c r="AA28" s="230"/>
      <c r="AB28" s="276"/>
      <c r="AC28" s="230"/>
      <c r="AD28" s="230"/>
      <c r="AE28" s="283"/>
      <c r="AF28" s="230"/>
      <c r="AG28" s="230"/>
      <c r="AH28" s="230"/>
      <c r="AI28" s="283"/>
      <c r="AJ28" s="276"/>
      <c r="AK28" s="230"/>
      <c r="AL28" s="230"/>
      <c r="AM28" s="283"/>
      <c r="AN28" s="276"/>
      <c r="AO28" s="230"/>
      <c r="AP28" s="230"/>
      <c r="AQ28" s="283"/>
      <c r="AR28" s="276"/>
      <c r="AS28" s="230"/>
      <c r="AT28" s="230"/>
      <c r="AU28" s="283"/>
      <c r="AV28" s="276"/>
      <c r="AW28" s="230"/>
      <c r="AX28" s="230"/>
      <c r="AY28" s="283"/>
      <c r="AZ28" s="276"/>
      <c r="BA28" s="230"/>
      <c r="BB28" s="230"/>
      <c r="BC28" s="283"/>
      <c r="BD28" s="276"/>
      <c r="BE28" s="230"/>
      <c r="BF28" s="230"/>
      <c r="BG28" s="283"/>
      <c r="BH28" s="230"/>
      <c r="BI28" s="230"/>
      <c r="BJ28" s="230"/>
      <c r="BK28" s="283"/>
      <c r="BL28" s="132"/>
      <c r="BM28" s="230"/>
      <c r="BN28" s="230"/>
      <c r="BO28" s="230"/>
      <c r="BP28" s="230"/>
      <c r="BQ28" s="230"/>
      <c r="BR28" s="230"/>
      <c r="BS28" s="1058"/>
      <c r="BT28" s="230"/>
      <c r="BU28" s="230"/>
      <c r="BV28" s="230"/>
      <c r="BW28" s="230"/>
      <c r="BX28" s="230"/>
      <c r="BY28" s="230"/>
      <c r="BZ28" s="230"/>
      <c r="CA28" s="230"/>
      <c r="CB28" s="1183"/>
      <c r="CC28" s="1276"/>
      <c r="CD28" s="26"/>
      <c r="CE28" s="26"/>
      <c r="CM28" s="180"/>
      <c r="CN28" s="620"/>
    </row>
    <row r="29" spans="1:94" ht="14.25" customHeight="1">
      <c r="A29" s="18"/>
      <c r="B29" s="278" t="s">
        <v>180</v>
      </c>
      <c r="C29" s="103"/>
      <c r="D29" s="230">
        <v>222</v>
      </c>
      <c r="E29" s="230">
        <v>318</v>
      </c>
      <c r="F29" s="230">
        <v>252</v>
      </c>
      <c r="G29" s="283">
        <v>313</v>
      </c>
      <c r="H29" s="230">
        <v>224</v>
      </c>
      <c r="I29" s="230">
        <v>287</v>
      </c>
      <c r="J29" s="230">
        <v>196</v>
      </c>
      <c r="K29" s="283">
        <v>180</v>
      </c>
      <c r="L29" s="230">
        <v>139</v>
      </c>
      <c r="M29" s="230">
        <v>221</v>
      </c>
      <c r="N29" s="230">
        <v>137</v>
      </c>
      <c r="O29" s="283">
        <v>142</v>
      </c>
      <c r="P29" s="230">
        <v>189</v>
      </c>
      <c r="Q29" s="230">
        <v>175</v>
      </c>
      <c r="R29" s="230">
        <v>467</v>
      </c>
      <c r="S29" s="283">
        <v>102</v>
      </c>
      <c r="T29" s="230">
        <v>31</v>
      </c>
      <c r="U29" s="230">
        <v>24</v>
      </c>
      <c r="V29" s="230">
        <v>23</v>
      </c>
      <c r="W29" s="283">
        <v>172</v>
      </c>
      <c r="X29" s="230">
        <v>330</v>
      </c>
      <c r="Y29" s="230">
        <v>215</v>
      </c>
      <c r="Z29" s="230">
        <v>259</v>
      </c>
      <c r="AA29" s="230">
        <v>38</v>
      </c>
      <c r="AB29" s="285">
        <v>54</v>
      </c>
      <c r="AC29" s="230">
        <v>71</v>
      </c>
      <c r="AD29" s="230">
        <v>66</v>
      </c>
      <c r="AE29" s="283">
        <v>247</v>
      </c>
      <c r="AF29" s="230">
        <v>362</v>
      </c>
      <c r="AG29" s="230">
        <v>92</v>
      </c>
      <c r="AH29" s="230">
        <v>56</v>
      </c>
      <c r="AI29" s="283">
        <v>312</v>
      </c>
      <c r="AJ29" s="276">
        <v>88</v>
      </c>
      <c r="AK29" s="230">
        <v>263</v>
      </c>
      <c r="AL29" s="230">
        <v>350</v>
      </c>
      <c r="AM29" s="283">
        <v>281</v>
      </c>
      <c r="AN29" s="276">
        <v>36</v>
      </c>
      <c r="AO29" s="230">
        <v>14</v>
      </c>
      <c r="AP29" s="230">
        <v>79</v>
      </c>
      <c r="AQ29" s="283">
        <v>1604</v>
      </c>
      <c r="AR29" s="276">
        <v>1121</v>
      </c>
      <c r="AS29" s="230">
        <v>1118</v>
      </c>
      <c r="AT29" s="230">
        <v>1129</v>
      </c>
      <c r="AU29" s="283">
        <v>2634</v>
      </c>
      <c r="AV29" s="276">
        <v>3594</v>
      </c>
      <c r="AW29" s="230">
        <v>4560</v>
      </c>
      <c r="AX29" s="230">
        <v>3573</v>
      </c>
      <c r="AY29" s="283">
        <v>4634</v>
      </c>
      <c r="AZ29" s="276">
        <v>5073</v>
      </c>
      <c r="BA29" s="230">
        <v>4130</v>
      </c>
      <c r="BB29" s="230">
        <v>4142</v>
      </c>
      <c r="BC29" s="283">
        <v>1776</v>
      </c>
      <c r="BD29" s="276">
        <v>3842</v>
      </c>
      <c r="BE29" s="249">
        <f>BD29+CFS!BE44</f>
        <v>3842</v>
      </c>
      <c r="BF29" s="249">
        <f>BE29+CFS!BF44</f>
        <v>3842</v>
      </c>
      <c r="BG29" s="171">
        <f>BF29+CFS!BG44</f>
        <v>3842</v>
      </c>
      <c r="BH29" s="249">
        <f>BG29+CFS!BH44</f>
        <v>3842</v>
      </c>
      <c r="BI29" s="249">
        <f>BH29+CFS!BI44</f>
        <v>3842</v>
      </c>
      <c r="BJ29" s="249">
        <f>BI29+CFS!BJ44</f>
        <v>3842</v>
      </c>
      <c r="BK29" s="171">
        <f>BJ29+CFS!BK44</f>
        <v>3842</v>
      </c>
      <c r="BL29" s="132"/>
      <c r="BM29" s="249">
        <f t="shared" ref="BM29:BM35" si="80">G29</f>
        <v>313</v>
      </c>
      <c r="BN29" s="249">
        <f t="shared" ref="BN29:BN35" si="81">K29</f>
        <v>180</v>
      </c>
      <c r="BO29" s="249">
        <f t="shared" ref="BO29:BO35" si="82">O29</f>
        <v>142</v>
      </c>
      <c r="BP29" s="249">
        <f t="shared" ref="BP29:BP35" si="83">S29</f>
        <v>102</v>
      </c>
      <c r="BQ29" s="249">
        <f t="shared" ref="BQ29:BQ35" si="84">W29</f>
        <v>172</v>
      </c>
      <c r="BR29" s="249">
        <f t="shared" ref="BR29:BR35" si="85">AA29</f>
        <v>38</v>
      </c>
      <c r="BS29" s="1056">
        <f t="shared" ref="BS29:BS35" si="86">AE29</f>
        <v>247</v>
      </c>
      <c r="BT29" s="249">
        <f t="shared" ref="BT29:BT35" si="87">AI29</f>
        <v>312</v>
      </c>
      <c r="BU29" s="249">
        <f t="shared" ref="BU29:BU35" si="88">AM29</f>
        <v>281</v>
      </c>
      <c r="BV29" s="249">
        <f t="shared" ref="BV29:BV35" si="89">AQ29</f>
        <v>1604</v>
      </c>
      <c r="BW29" s="249">
        <f t="shared" ref="BW29:BW35" si="90">AU29</f>
        <v>2634</v>
      </c>
      <c r="BX29" s="249">
        <f t="shared" ref="BX29:BX35" si="91">AY29</f>
        <v>4634</v>
      </c>
      <c r="BY29" s="249">
        <f t="shared" ref="BY29:BY35" si="92">BC29</f>
        <v>1776</v>
      </c>
      <c r="BZ29" s="249">
        <f t="shared" ref="BZ29:BZ35" si="93">BG29</f>
        <v>3842</v>
      </c>
      <c r="CA29" s="249">
        <f t="shared" ref="CA29:CA35" si="94">BK29</f>
        <v>3842</v>
      </c>
      <c r="CB29" s="1174">
        <f>CA29+CFS!CB44</f>
        <v>3842</v>
      </c>
      <c r="CC29" s="1276"/>
      <c r="CD29" s="26"/>
      <c r="CE29" s="26"/>
      <c r="CM29" s="180"/>
      <c r="CN29" s="620"/>
      <c r="CO29" s="627"/>
    </row>
    <row r="30" spans="1:94" ht="14.25" customHeight="1">
      <c r="A30" s="18"/>
      <c r="B30" s="278" t="s">
        <v>181</v>
      </c>
      <c r="C30" s="103"/>
      <c r="D30" s="276">
        <v>2081</v>
      </c>
      <c r="E30" s="230">
        <v>1993</v>
      </c>
      <c r="F30" s="230">
        <v>2077</v>
      </c>
      <c r="G30" s="283">
        <v>2249</v>
      </c>
      <c r="H30" s="276">
        <v>2411</v>
      </c>
      <c r="I30" s="230">
        <v>2478</v>
      </c>
      <c r="J30" s="230">
        <v>2401</v>
      </c>
      <c r="K30" s="283">
        <v>2256</v>
      </c>
      <c r="L30" s="276">
        <v>2273</v>
      </c>
      <c r="M30" s="230">
        <v>2179</v>
      </c>
      <c r="N30" s="230">
        <v>2338</v>
      </c>
      <c r="O30" s="283">
        <v>2361</v>
      </c>
      <c r="P30" s="276">
        <v>2338</v>
      </c>
      <c r="Q30" s="230">
        <v>2379</v>
      </c>
      <c r="R30" s="230">
        <v>2507</v>
      </c>
      <c r="S30" s="283">
        <v>2390</v>
      </c>
      <c r="T30" s="276">
        <v>1669</v>
      </c>
      <c r="U30" s="230">
        <v>1726</v>
      </c>
      <c r="V30" s="230">
        <v>1907</v>
      </c>
      <c r="W30" s="283">
        <v>1883</v>
      </c>
      <c r="X30" s="230">
        <v>1912</v>
      </c>
      <c r="Y30" s="230">
        <v>2126</v>
      </c>
      <c r="Z30" s="230">
        <v>1903</v>
      </c>
      <c r="AA30" s="283">
        <v>2290</v>
      </c>
      <c r="AB30" s="285">
        <v>2757</v>
      </c>
      <c r="AC30" s="230">
        <v>2742</v>
      </c>
      <c r="AD30" s="230">
        <v>2999</v>
      </c>
      <c r="AE30" s="283">
        <v>2956</v>
      </c>
      <c r="AF30" s="230">
        <v>2993</v>
      </c>
      <c r="AG30" s="230">
        <v>3269</v>
      </c>
      <c r="AH30" s="230">
        <v>3188</v>
      </c>
      <c r="AI30" s="283">
        <v>3023</v>
      </c>
      <c r="AJ30" s="276">
        <v>2654</v>
      </c>
      <c r="AK30" s="230">
        <v>2864</v>
      </c>
      <c r="AL30" s="230">
        <v>2996</v>
      </c>
      <c r="AM30" s="283">
        <v>2969</v>
      </c>
      <c r="AN30" s="276">
        <v>3010</v>
      </c>
      <c r="AO30" s="230">
        <v>2960</v>
      </c>
      <c r="AP30" s="230">
        <v>2597</v>
      </c>
      <c r="AQ30" s="283">
        <v>2748</v>
      </c>
      <c r="AR30" s="276">
        <v>2775</v>
      </c>
      <c r="AS30" s="230">
        <v>2359</v>
      </c>
      <c r="AT30" s="230">
        <v>2449</v>
      </c>
      <c r="AU30" s="283">
        <v>2063</v>
      </c>
      <c r="AV30" s="276">
        <v>3163</v>
      </c>
      <c r="AW30" s="230">
        <v>3420</v>
      </c>
      <c r="AX30" s="230">
        <v>3181</v>
      </c>
      <c r="AY30" s="283">
        <v>2475</v>
      </c>
      <c r="AZ30" s="276">
        <v>3221</v>
      </c>
      <c r="BA30" s="230">
        <v>3671</v>
      </c>
      <c r="BB30" s="230">
        <v>3554</v>
      </c>
      <c r="BC30" s="283">
        <v>2928</v>
      </c>
      <c r="BD30" s="276">
        <v>4415</v>
      </c>
      <c r="BE30" s="610">
        <f t="shared" ref="BE30:BG30" si="95">BE53/360*BE57*4</f>
        <v>3837.4771310388219</v>
      </c>
      <c r="BF30" s="610">
        <f t="shared" si="95"/>
        <v>4075.9012659793539</v>
      </c>
      <c r="BG30" s="609">
        <f t="shared" si="95"/>
        <v>4125.1409908488158</v>
      </c>
      <c r="BH30" s="610">
        <f t="shared" ref="BH30:BK30" si="96">BH53/360*BH57*4</f>
        <v>3746.0516095422186</v>
      </c>
      <c r="BI30" s="610">
        <f t="shared" si="96"/>
        <v>3878.8413237255627</v>
      </c>
      <c r="BJ30" s="610">
        <f t="shared" si="96"/>
        <v>4228.6763613790581</v>
      </c>
      <c r="BK30" s="609">
        <f t="shared" si="96"/>
        <v>4254.9890360114578</v>
      </c>
      <c r="BL30" s="132"/>
      <c r="BM30" s="249">
        <f t="shared" si="80"/>
        <v>2249</v>
      </c>
      <c r="BN30" s="249">
        <f t="shared" si="81"/>
        <v>2256</v>
      </c>
      <c r="BO30" s="249">
        <f t="shared" si="82"/>
        <v>2361</v>
      </c>
      <c r="BP30" s="249">
        <f t="shared" si="83"/>
        <v>2390</v>
      </c>
      <c r="BQ30" s="249">
        <f t="shared" si="84"/>
        <v>1883</v>
      </c>
      <c r="BR30" s="249">
        <f t="shared" si="85"/>
        <v>2290</v>
      </c>
      <c r="BS30" s="1056">
        <f t="shared" si="86"/>
        <v>2956</v>
      </c>
      <c r="BT30" s="249">
        <f t="shared" si="87"/>
        <v>3023</v>
      </c>
      <c r="BU30" s="249">
        <f t="shared" si="88"/>
        <v>2969</v>
      </c>
      <c r="BV30" s="249">
        <f t="shared" si="89"/>
        <v>2748</v>
      </c>
      <c r="BW30" s="249">
        <f t="shared" si="90"/>
        <v>2063</v>
      </c>
      <c r="BX30" s="249">
        <f t="shared" si="91"/>
        <v>2475</v>
      </c>
      <c r="BY30" s="249">
        <f t="shared" si="92"/>
        <v>2928</v>
      </c>
      <c r="BZ30" s="249">
        <f t="shared" si="93"/>
        <v>4125.1409908488158</v>
      </c>
      <c r="CA30" s="249">
        <f t="shared" si="94"/>
        <v>4254.9890360114578</v>
      </c>
      <c r="CB30" s="1202">
        <f>CB53/360*CB57</f>
        <v>4334.4440919361014</v>
      </c>
      <c r="CC30" s="1276"/>
      <c r="CD30" s="26"/>
      <c r="CE30" s="26"/>
      <c r="CM30" s="180"/>
      <c r="CN30" s="620"/>
      <c r="CO30" s="627"/>
    </row>
    <row r="31" spans="1:94" ht="14.25" customHeight="1">
      <c r="A31" s="18"/>
      <c r="B31" s="278" t="s">
        <v>182</v>
      </c>
      <c r="C31" s="103"/>
      <c r="D31" s="230">
        <v>1175</v>
      </c>
      <c r="E31" s="230">
        <v>1489</v>
      </c>
      <c r="F31" s="230">
        <v>1754</v>
      </c>
      <c r="G31" s="283">
        <v>2110</v>
      </c>
      <c r="H31" s="230">
        <v>1183</v>
      </c>
      <c r="I31" s="230">
        <v>1469</v>
      </c>
      <c r="J31" s="230">
        <v>1597</v>
      </c>
      <c r="K31" s="283">
        <v>1644</v>
      </c>
      <c r="L31" s="230">
        <v>1079</v>
      </c>
      <c r="M31" s="230">
        <v>1455</v>
      </c>
      <c r="N31" s="230">
        <v>1737</v>
      </c>
      <c r="O31" s="283">
        <v>2417</v>
      </c>
      <c r="P31" s="230">
        <v>1325</v>
      </c>
      <c r="Q31" s="230">
        <v>1658</v>
      </c>
      <c r="R31" s="230">
        <v>1858</v>
      </c>
      <c r="S31" s="283">
        <v>2015</v>
      </c>
      <c r="T31" s="230">
        <v>1134</v>
      </c>
      <c r="U31" s="230">
        <v>1412</v>
      </c>
      <c r="V31" s="230">
        <v>1758</v>
      </c>
      <c r="W31" s="283">
        <v>2448</v>
      </c>
      <c r="X31" s="230">
        <v>1377</v>
      </c>
      <c r="Y31" s="230">
        <v>1962</v>
      </c>
      <c r="Z31" s="230">
        <v>2270</v>
      </c>
      <c r="AA31" s="230">
        <v>2888</v>
      </c>
      <c r="AB31" s="285">
        <v>1536</v>
      </c>
      <c r="AC31" s="230">
        <v>2111</v>
      </c>
      <c r="AD31" s="230">
        <v>2270</v>
      </c>
      <c r="AE31" s="283">
        <v>2948</v>
      </c>
      <c r="AF31" s="230">
        <v>1498</v>
      </c>
      <c r="AG31" s="230">
        <v>2020</v>
      </c>
      <c r="AH31" s="230">
        <v>2320</v>
      </c>
      <c r="AI31" s="283">
        <v>2972</v>
      </c>
      <c r="AJ31" s="276">
        <v>1501</v>
      </c>
      <c r="AK31" s="230">
        <v>1981</v>
      </c>
      <c r="AL31" s="230">
        <v>2530</v>
      </c>
      <c r="AM31" s="283">
        <v>3123</v>
      </c>
      <c r="AN31" s="276">
        <v>1979</v>
      </c>
      <c r="AO31" s="230">
        <v>2409</v>
      </c>
      <c r="AP31" s="230">
        <v>2931</v>
      </c>
      <c r="AQ31" s="283">
        <v>3475</v>
      </c>
      <c r="AR31" s="276">
        <v>2011</v>
      </c>
      <c r="AS31" s="230">
        <v>2572</v>
      </c>
      <c r="AT31" s="230">
        <v>2732</v>
      </c>
      <c r="AU31" s="283">
        <v>3138</v>
      </c>
      <c r="AV31" s="276">
        <v>1834</v>
      </c>
      <c r="AW31" s="230">
        <v>2809</v>
      </c>
      <c r="AX31" s="230">
        <v>3110</v>
      </c>
      <c r="AY31" s="283">
        <v>3465</v>
      </c>
      <c r="AZ31" s="276">
        <v>2145</v>
      </c>
      <c r="BA31" s="230">
        <v>2332</v>
      </c>
      <c r="BB31" s="230">
        <v>2805</v>
      </c>
      <c r="BC31" s="283">
        <v>3526</v>
      </c>
      <c r="BD31" s="276">
        <v>2118</v>
      </c>
      <c r="BE31" s="249">
        <f t="shared" ref="BE31:BE34" si="97">BD31</f>
        <v>2118</v>
      </c>
      <c r="BF31" s="249">
        <f t="shared" ref="BF31:BF34" si="98">BE31</f>
        <v>2118</v>
      </c>
      <c r="BG31" s="171">
        <f t="shared" ref="BG31:BG34" si="99">BF31</f>
        <v>2118</v>
      </c>
      <c r="BH31" s="249">
        <f t="shared" ref="BH31:BH34" si="100">BG31</f>
        <v>2118</v>
      </c>
      <c r="BI31" s="249">
        <f t="shared" ref="BI31:BI34" si="101">BH31</f>
        <v>2118</v>
      </c>
      <c r="BJ31" s="249">
        <f t="shared" ref="BJ31:BJ34" si="102">BI31</f>
        <v>2118</v>
      </c>
      <c r="BK31" s="171">
        <f t="shared" ref="BK31:BK34" si="103">BJ31</f>
        <v>2118</v>
      </c>
      <c r="BL31" s="132"/>
      <c r="BM31" s="249">
        <f t="shared" si="80"/>
        <v>2110</v>
      </c>
      <c r="BN31" s="249">
        <f t="shared" si="81"/>
        <v>1644</v>
      </c>
      <c r="BO31" s="249">
        <f t="shared" si="82"/>
        <v>2417</v>
      </c>
      <c r="BP31" s="249">
        <f t="shared" si="83"/>
        <v>2015</v>
      </c>
      <c r="BQ31" s="249">
        <f t="shared" si="84"/>
        <v>2448</v>
      </c>
      <c r="BR31" s="249">
        <f t="shared" si="85"/>
        <v>2888</v>
      </c>
      <c r="BS31" s="1056">
        <f t="shared" si="86"/>
        <v>2948</v>
      </c>
      <c r="BT31" s="249">
        <f t="shared" si="87"/>
        <v>2972</v>
      </c>
      <c r="BU31" s="249">
        <f t="shared" si="88"/>
        <v>3123</v>
      </c>
      <c r="BV31" s="249">
        <f t="shared" si="89"/>
        <v>3475</v>
      </c>
      <c r="BW31" s="249">
        <f t="shared" si="90"/>
        <v>3138</v>
      </c>
      <c r="BX31" s="249">
        <f t="shared" si="91"/>
        <v>3465</v>
      </c>
      <c r="BY31" s="249">
        <f t="shared" si="92"/>
        <v>3526</v>
      </c>
      <c r="BZ31" s="249">
        <f t="shared" si="93"/>
        <v>2118</v>
      </c>
      <c r="CA31" s="249">
        <f t="shared" si="94"/>
        <v>2118</v>
      </c>
      <c r="CB31" s="1174">
        <f t="shared" ref="CB31:CB35" si="104">CA31</f>
        <v>2118</v>
      </c>
      <c r="CC31" s="1276"/>
      <c r="CD31" s="26"/>
      <c r="CE31" s="26"/>
      <c r="CM31" s="180"/>
      <c r="CN31" s="620"/>
      <c r="CO31" s="627"/>
    </row>
    <row r="32" spans="1:94" ht="14.25" customHeight="1">
      <c r="A32" s="18"/>
      <c r="B32" s="278" t="s">
        <v>183</v>
      </c>
      <c r="C32" s="103"/>
      <c r="D32" s="230">
        <v>806</v>
      </c>
      <c r="E32" s="230">
        <v>822</v>
      </c>
      <c r="F32" s="230">
        <v>995</v>
      </c>
      <c r="G32" s="283">
        <v>1160</v>
      </c>
      <c r="H32" s="230">
        <v>1133</v>
      </c>
      <c r="I32" s="230">
        <v>1035</v>
      </c>
      <c r="J32" s="230">
        <v>974</v>
      </c>
      <c r="K32" s="283">
        <v>846</v>
      </c>
      <c r="L32" s="230">
        <v>704</v>
      </c>
      <c r="M32" s="230">
        <v>660</v>
      </c>
      <c r="N32" s="230">
        <v>702</v>
      </c>
      <c r="O32" s="283">
        <v>749</v>
      </c>
      <c r="P32" s="230">
        <v>759</v>
      </c>
      <c r="Q32" s="230">
        <v>787</v>
      </c>
      <c r="R32" s="230">
        <v>882</v>
      </c>
      <c r="S32" s="283">
        <v>807</v>
      </c>
      <c r="T32" s="230">
        <v>738</v>
      </c>
      <c r="U32" s="230">
        <v>718</v>
      </c>
      <c r="V32" s="230">
        <v>763</v>
      </c>
      <c r="W32" s="283">
        <v>773</v>
      </c>
      <c r="X32" s="230">
        <v>843</v>
      </c>
      <c r="Y32" s="230">
        <v>958</v>
      </c>
      <c r="Z32" s="230">
        <v>1017</v>
      </c>
      <c r="AA32" s="230">
        <v>1007</v>
      </c>
      <c r="AB32" s="285">
        <v>1055</v>
      </c>
      <c r="AC32" s="230">
        <v>1086</v>
      </c>
      <c r="AD32" s="230">
        <v>1215</v>
      </c>
      <c r="AE32" s="283">
        <v>1134</v>
      </c>
      <c r="AF32" s="230">
        <v>1095</v>
      </c>
      <c r="AG32" s="230">
        <v>1060</v>
      </c>
      <c r="AH32" s="230">
        <v>1096</v>
      </c>
      <c r="AI32" s="283">
        <v>1015</v>
      </c>
      <c r="AJ32" s="276">
        <v>987</v>
      </c>
      <c r="AK32" s="230">
        <v>1060</v>
      </c>
      <c r="AL32" s="230">
        <v>1012</v>
      </c>
      <c r="AM32" s="283">
        <v>1021</v>
      </c>
      <c r="AN32" s="276">
        <v>1019</v>
      </c>
      <c r="AO32" s="230">
        <v>1067</v>
      </c>
      <c r="AP32" s="230">
        <v>1100</v>
      </c>
      <c r="AQ32" s="283">
        <v>1092</v>
      </c>
      <c r="AR32" s="276">
        <v>1014</v>
      </c>
      <c r="AS32" s="230">
        <v>1021</v>
      </c>
      <c r="AT32" s="230">
        <v>1028</v>
      </c>
      <c r="AU32" s="283">
        <v>960</v>
      </c>
      <c r="AV32" s="276">
        <v>820</v>
      </c>
      <c r="AW32" s="230">
        <v>736</v>
      </c>
      <c r="AX32" s="230">
        <v>820</v>
      </c>
      <c r="AY32" s="283">
        <v>810</v>
      </c>
      <c r="AZ32" s="276">
        <v>772</v>
      </c>
      <c r="BA32" s="230">
        <v>835</v>
      </c>
      <c r="BB32" s="230">
        <v>892</v>
      </c>
      <c r="BC32" s="283">
        <v>0</v>
      </c>
      <c r="BD32" s="276">
        <v>0</v>
      </c>
      <c r="BE32" s="249">
        <f t="shared" si="97"/>
        <v>0</v>
      </c>
      <c r="BF32" s="249">
        <f t="shared" si="98"/>
        <v>0</v>
      </c>
      <c r="BG32" s="171">
        <f t="shared" si="99"/>
        <v>0</v>
      </c>
      <c r="BH32" s="249">
        <f t="shared" si="100"/>
        <v>0</v>
      </c>
      <c r="BI32" s="249">
        <f t="shared" si="101"/>
        <v>0</v>
      </c>
      <c r="BJ32" s="249">
        <f t="shared" si="102"/>
        <v>0</v>
      </c>
      <c r="BK32" s="171">
        <f t="shared" si="103"/>
        <v>0</v>
      </c>
      <c r="BL32" s="132"/>
      <c r="BM32" s="249">
        <f t="shared" si="80"/>
        <v>1160</v>
      </c>
      <c r="BN32" s="249">
        <f t="shared" si="81"/>
        <v>846</v>
      </c>
      <c r="BO32" s="249">
        <f t="shared" si="82"/>
        <v>749</v>
      </c>
      <c r="BP32" s="249">
        <f t="shared" si="83"/>
        <v>807</v>
      </c>
      <c r="BQ32" s="249">
        <f t="shared" si="84"/>
        <v>773</v>
      </c>
      <c r="BR32" s="249">
        <f t="shared" si="85"/>
        <v>1007</v>
      </c>
      <c r="BS32" s="249">
        <f t="shared" si="86"/>
        <v>1134</v>
      </c>
      <c r="BT32" s="248">
        <f t="shared" si="87"/>
        <v>1015</v>
      </c>
      <c r="BU32" s="249">
        <f t="shared" si="88"/>
        <v>1021</v>
      </c>
      <c r="BV32" s="249">
        <f t="shared" si="89"/>
        <v>1092</v>
      </c>
      <c r="BW32" s="249">
        <f t="shared" si="90"/>
        <v>960</v>
      </c>
      <c r="BX32" s="249">
        <f t="shared" si="91"/>
        <v>810</v>
      </c>
      <c r="BY32" s="249">
        <f t="shared" si="92"/>
        <v>0</v>
      </c>
      <c r="BZ32" s="249">
        <f t="shared" si="93"/>
        <v>0</v>
      </c>
      <c r="CA32" s="249">
        <f t="shared" si="94"/>
        <v>0</v>
      </c>
      <c r="CB32" s="1174">
        <f t="shared" si="104"/>
        <v>0</v>
      </c>
      <c r="CC32" s="1276"/>
      <c r="CD32" s="26"/>
      <c r="CE32" s="26"/>
      <c r="CM32" s="180"/>
      <c r="CN32" s="620"/>
      <c r="CO32" s="627"/>
    </row>
    <row r="33" spans="1:93" ht="14.25" customHeight="1">
      <c r="A33" s="18"/>
      <c r="B33" s="278" t="s">
        <v>184</v>
      </c>
      <c r="C33" s="103"/>
      <c r="D33" s="230">
        <v>707</v>
      </c>
      <c r="E33" s="230">
        <v>707</v>
      </c>
      <c r="F33" s="230">
        <v>692</v>
      </c>
      <c r="G33" s="283">
        <v>632</v>
      </c>
      <c r="H33" s="230">
        <v>669</v>
      </c>
      <c r="I33" s="230">
        <v>567</v>
      </c>
      <c r="J33" s="230">
        <v>603</v>
      </c>
      <c r="K33" s="283">
        <v>599</v>
      </c>
      <c r="L33" s="230">
        <v>611</v>
      </c>
      <c r="M33" s="230">
        <v>535</v>
      </c>
      <c r="N33" s="230">
        <v>628</v>
      </c>
      <c r="O33" s="283">
        <v>625</v>
      </c>
      <c r="P33" s="230">
        <v>643</v>
      </c>
      <c r="Q33" s="230">
        <v>665</v>
      </c>
      <c r="R33" s="230">
        <v>656</v>
      </c>
      <c r="S33" s="283">
        <v>463</v>
      </c>
      <c r="T33" s="230">
        <v>468</v>
      </c>
      <c r="U33" s="230">
        <v>480</v>
      </c>
      <c r="V33" s="230">
        <v>602</v>
      </c>
      <c r="W33" s="283">
        <v>593</v>
      </c>
      <c r="X33" s="230">
        <v>653</v>
      </c>
      <c r="Y33" s="230">
        <v>582</v>
      </c>
      <c r="Z33" s="230">
        <v>626</v>
      </c>
      <c r="AA33" s="230">
        <v>747</v>
      </c>
      <c r="AB33" s="285">
        <v>1813</v>
      </c>
      <c r="AC33" s="230">
        <v>1824</v>
      </c>
      <c r="AD33" s="230">
        <v>1917</v>
      </c>
      <c r="AE33" s="283">
        <v>1929</v>
      </c>
      <c r="AF33" s="230">
        <v>2001</v>
      </c>
      <c r="AG33" s="230">
        <v>1915</v>
      </c>
      <c r="AH33" s="230">
        <v>1954</v>
      </c>
      <c r="AI33" s="283">
        <v>1932</v>
      </c>
      <c r="AJ33" s="276">
        <v>1901</v>
      </c>
      <c r="AK33" s="230">
        <v>1971</v>
      </c>
      <c r="AL33" s="230">
        <v>2093</v>
      </c>
      <c r="AM33" s="283">
        <v>2096</v>
      </c>
      <c r="AN33" s="276">
        <v>2171</v>
      </c>
      <c r="AO33" s="230">
        <v>2171</v>
      </c>
      <c r="AP33" s="230">
        <v>2189</v>
      </c>
      <c r="AQ33" s="283">
        <v>2205</v>
      </c>
      <c r="AR33" s="276">
        <v>2196</v>
      </c>
      <c r="AS33" s="230">
        <v>2082</v>
      </c>
      <c r="AT33" s="230">
        <v>2160</v>
      </c>
      <c r="AU33" s="283">
        <v>2188</v>
      </c>
      <c r="AV33" s="276">
        <v>2632</v>
      </c>
      <c r="AW33" s="230">
        <v>2807</v>
      </c>
      <c r="AX33" s="230">
        <v>1724</v>
      </c>
      <c r="AY33" s="283">
        <v>1718</v>
      </c>
      <c r="AZ33" s="276">
        <v>1698</v>
      </c>
      <c r="BA33" s="230">
        <v>1587</v>
      </c>
      <c r="BB33" s="230">
        <v>1706</v>
      </c>
      <c r="BC33" s="283">
        <v>1656</v>
      </c>
      <c r="BD33" s="276">
        <v>0</v>
      </c>
      <c r="BE33" s="249">
        <f t="shared" si="97"/>
        <v>0</v>
      </c>
      <c r="BF33" s="249">
        <f t="shared" si="98"/>
        <v>0</v>
      </c>
      <c r="BG33" s="171">
        <f t="shared" si="99"/>
        <v>0</v>
      </c>
      <c r="BH33" s="249">
        <f t="shared" si="100"/>
        <v>0</v>
      </c>
      <c r="BI33" s="249">
        <f t="shared" si="101"/>
        <v>0</v>
      </c>
      <c r="BJ33" s="249">
        <f t="shared" si="102"/>
        <v>0</v>
      </c>
      <c r="BK33" s="171">
        <f t="shared" si="103"/>
        <v>0</v>
      </c>
      <c r="BL33" s="132"/>
      <c r="BM33" s="249">
        <f t="shared" si="80"/>
        <v>632</v>
      </c>
      <c r="BN33" s="249">
        <f t="shared" si="81"/>
        <v>599</v>
      </c>
      <c r="BO33" s="249">
        <f t="shared" si="82"/>
        <v>625</v>
      </c>
      <c r="BP33" s="249">
        <f t="shared" si="83"/>
        <v>463</v>
      </c>
      <c r="BQ33" s="249">
        <f t="shared" si="84"/>
        <v>593</v>
      </c>
      <c r="BR33" s="249">
        <f t="shared" si="85"/>
        <v>747</v>
      </c>
      <c r="BS33" s="249">
        <f t="shared" si="86"/>
        <v>1929</v>
      </c>
      <c r="BT33" s="248">
        <f t="shared" si="87"/>
        <v>1932</v>
      </c>
      <c r="BU33" s="249">
        <f t="shared" si="88"/>
        <v>2096</v>
      </c>
      <c r="BV33" s="249">
        <f t="shared" si="89"/>
        <v>2205</v>
      </c>
      <c r="BW33" s="249">
        <f t="shared" si="90"/>
        <v>2188</v>
      </c>
      <c r="BX33" s="249">
        <f t="shared" si="91"/>
        <v>1718</v>
      </c>
      <c r="BY33" s="249">
        <f t="shared" si="92"/>
        <v>1656</v>
      </c>
      <c r="BZ33" s="249">
        <f t="shared" si="93"/>
        <v>0</v>
      </c>
      <c r="CA33" s="249">
        <f t="shared" si="94"/>
        <v>0</v>
      </c>
      <c r="CB33" s="1174">
        <f t="shared" si="104"/>
        <v>0</v>
      </c>
      <c r="CC33" s="1276"/>
      <c r="CD33" s="26"/>
      <c r="CE33" s="26"/>
      <c r="CM33" s="180"/>
      <c r="CN33" s="620"/>
      <c r="CO33" s="627"/>
    </row>
    <row r="34" spans="1:93" ht="14.25" customHeight="1">
      <c r="A34" s="18"/>
      <c r="B34" s="278" t="s">
        <v>185</v>
      </c>
      <c r="C34" s="103"/>
      <c r="D34" s="230">
        <v>1953</v>
      </c>
      <c r="E34" s="230">
        <v>1330</v>
      </c>
      <c r="F34" s="230">
        <v>1901</v>
      </c>
      <c r="G34" s="283">
        <v>1960</v>
      </c>
      <c r="H34" s="230">
        <v>1854</v>
      </c>
      <c r="I34" s="230">
        <v>998</v>
      </c>
      <c r="J34" s="230">
        <v>1378</v>
      </c>
      <c r="K34" s="283">
        <v>1797</v>
      </c>
      <c r="L34" s="230">
        <v>0</v>
      </c>
      <c r="M34" s="230">
        <v>0</v>
      </c>
      <c r="N34" s="230">
        <v>6</v>
      </c>
      <c r="O34" s="283">
        <v>0</v>
      </c>
      <c r="P34" s="230">
        <v>639</v>
      </c>
      <c r="Q34" s="230">
        <v>0</v>
      </c>
      <c r="R34" s="230">
        <v>0</v>
      </c>
      <c r="S34" s="283">
        <v>0</v>
      </c>
      <c r="T34" s="230">
        <v>0</v>
      </c>
      <c r="U34" s="230">
        <v>0</v>
      </c>
      <c r="V34" s="230">
        <v>471</v>
      </c>
      <c r="W34" s="283">
        <v>86</v>
      </c>
      <c r="X34" s="230">
        <v>916</v>
      </c>
      <c r="Y34" s="230">
        <v>0</v>
      </c>
      <c r="Z34" s="230">
        <v>0</v>
      </c>
      <c r="AA34" s="230">
        <v>232</v>
      </c>
      <c r="AB34" s="285">
        <v>729</v>
      </c>
      <c r="AC34" s="230">
        <v>0</v>
      </c>
      <c r="AD34" s="230">
        <v>0</v>
      </c>
      <c r="AE34" s="283">
        <v>0</v>
      </c>
      <c r="AF34" s="230">
        <v>0</v>
      </c>
      <c r="AG34" s="230">
        <f>AF34</f>
        <v>0</v>
      </c>
      <c r="AH34" s="230">
        <v>0</v>
      </c>
      <c r="AI34" s="283">
        <v>0</v>
      </c>
      <c r="AJ34" s="276">
        <v>0</v>
      </c>
      <c r="AK34" s="230">
        <v>0</v>
      </c>
      <c r="AL34" s="230">
        <v>0</v>
      </c>
      <c r="AM34" s="283">
        <v>0</v>
      </c>
      <c r="AN34" s="276">
        <v>0</v>
      </c>
      <c r="AO34" s="230">
        <v>0</v>
      </c>
      <c r="AP34" s="230">
        <v>0</v>
      </c>
      <c r="AQ34" s="283">
        <v>0</v>
      </c>
      <c r="AR34" s="276">
        <v>0</v>
      </c>
      <c r="AS34" s="230">
        <v>0</v>
      </c>
      <c r="AT34" s="230">
        <v>0</v>
      </c>
      <c r="AU34" s="283">
        <v>0</v>
      </c>
      <c r="AV34" s="276">
        <v>0</v>
      </c>
      <c r="AW34" s="230">
        <v>0</v>
      </c>
      <c r="AX34" s="230">
        <v>0</v>
      </c>
      <c r="AY34" s="283">
        <v>0</v>
      </c>
      <c r="AZ34" s="276">
        <v>0</v>
      </c>
      <c r="BA34" s="230">
        <v>0</v>
      </c>
      <c r="BB34" s="230">
        <v>0</v>
      </c>
      <c r="BC34" s="283">
        <v>0</v>
      </c>
      <c r="BD34" s="276">
        <v>0</v>
      </c>
      <c r="BE34" s="249">
        <f t="shared" si="97"/>
        <v>0</v>
      </c>
      <c r="BF34" s="249">
        <f t="shared" si="98"/>
        <v>0</v>
      </c>
      <c r="BG34" s="171">
        <f t="shared" si="99"/>
        <v>0</v>
      </c>
      <c r="BH34" s="249">
        <f t="shared" si="100"/>
        <v>0</v>
      </c>
      <c r="BI34" s="249">
        <f t="shared" si="101"/>
        <v>0</v>
      </c>
      <c r="BJ34" s="249">
        <f t="shared" si="102"/>
        <v>0</v>
      </c>
      <c r="BK34" s="171">
        <f t="shared" si="103"/>
        <v>0</v>
      </c>
      <c r="BL34" s="132"/>
      <c r="BM34" s="249">
        <f t="shared" si="80"/>
        <v>1960</v>
      </c>
      <c r="BN34" s="249">
        <f t="shared" si="81"/>
        <v>1797</v>
      </c>
      <c r="BO34" s="249">
        <f t="shared" si="82"/>
        <v>0</v>
      </c>
      <c r="BP34" s="249">
        <f t="shared" si="83"/>
        <v>0</v>
      </c>
      <c r="BQ34" s="249">
        <f t="shared" si="84"/>
        <v>86</v>
      </c>
      <c r="BR34" s="249">
        <f t="shared" si="85"/>
        <v>232</v>
      </c>
      <c r="BS34" s="1056">
        <f t="shared" si="86"/>
        <v>0</v>
      </c>
      <c r="BT34" s="249">
        <f t="shared" si="87"/>
        <v>0</v>
      </c>
      <c r="BU34" s="249">
        <f t="shared" si="88"/>
        <v>0</v>
      </c>
      <c r="BV34" s="249">
        <f t="shared" si="89"/>
        <v>0</v>
      </c>
      <c r="BW34" s="249">
        <f t="shared" si="90"/>
        <v>0</v>
      </c>
      <c r="BX34" s="249">
        <f t="shared" si="91"/>
        <v>0</v>
      </c>
      <c r="BY34" s="249">
        <f t="shared" si="92"/>
        <v>0</v>
      </c>
      <c r="BZ34" s="249">
        <f t="shared" si="93"/>
        <v>0</v>
      </c>
      <c r="CA34" s="249">
        <f t="shared" si="94"/>
        <v>0</v>
      </c>
      <c r="CB34" s="1174">
        <f t="shared" si="104"/>
        <v>0</v>
      </c>
      <c r="CC34" s="1276"/>
      <c r="CD34" s="26"/>
      <c r="CE34" s="26"/>
      <c r="CM34" s="180"/>
      <c r="CN34" s="620"/>
      <c r="CO34" s="627"/>
    </row>
    <row r="35" spans="1:93" ht="14.25" customHeight="1">
      <c r="A35" s="18"/>
      <c r="B35" s="286" t="s">
        <v>186</v>
      </c>
      <c r="C35" s="287"/>
      <c r="D35" s="312">
        <v>1629</v>
      </c>
      <c r="E35" s="312">
        <v>1121</v>
      </c>
      <c r="F35" s="312">
        <v>1828</v>
      </c>
      <c r="G35" s="313">
        <v>810</v>
      </c>
      <c r="H35" s="312">
        <v>2369</v>
      </c>
      <c r="I35" s="312">
        <v>1588</v>
      </c>
      <c r="J35" s="312">
        <v>1908</v>
      </c>
      <c r="K35" s="313">
        <v>1192</v>
      </c>
      <c r="L35" s="312">
        <v>1820</v>
      </c>
      <c r="M35" s="312">
        <v>1414</v>
      </c>
      <c r="N35" s="312">
        <v>2215</v>
      </c>
      <c r="O35" s="313">
        <v>2277</v>
      </c>
      <c r="P35" s="312">
        <v>2775</v>
      </c>
      <c r="Q35" s="312">
        <v>2368</v>
      </c>
      <c r="R35" s="312">
        <v>3698</v>
      </c>
      <c r="S35" s="313">
        <v>2041</v>
      </c>
      <c r="T35" s="312">
        <v>2301</v>
      </c>
      <c r="U35" s="312">
        <v>2719</v>
      </c>
      <c r="V35" s="312">
        <v>2225</v>
      </c>
      <c r="W35" s="313">
        <v>1636</v>
      </c>
      <c r="X35" s="312">
        <v>2881</v>
      </c>
      <c r="Y35" s="312">
        <v>2094</v>
      </c>
      <c r="Z35" s="312">
        <v>2762</v>
      </c>
      <c r="AA35" s="312">
        <v>2125</v>
      </c>
      <c r="AB35" s="314">
        <v>3621</v>
      </c>
      <c r="AC35" s="312">
        <v>2520</v>
      </c>
      <c r="AD35" s="312">
        <v>3442</v>
      </c>
      <c r="AE35" s="313">
        <v>2814</v>
      </c>
      <c r="AF35" s="312">
        <v>3992</v>
      </c>
      <c r="AG35" s="312">
        <v>2182</v>
      </c>
      <c r="AH35" s="312">
        <v>3339</v>
      </c>
      <c r="AI35" s="313">
        <v>3644</v>
      </c>
      <c r="AJ35" s="315">
        <v>4667</v>
      </c>
      <c r="AK35" s="312">
        <v>3250</v>
      </c>
      <c r="AL35" s="312">
        <v>4894</v>
      </c>
      <c r="AM35" s="313">
        <v>4078</v>
      </c>
      <c r="AN35" s="315">
        <v>5337</v>
      </c>
      <c r="AO35" s="312">
        <v>3630</v>
      </c>
      <c r="AP35" s="312">
        <v>4923</v>
      </c>
      <c r="AQ35" s="313">
        <v>4895</v>
      </c>
      <c r="AR35" s="315">
        <v>5918</v>
      </c>
      <c r="AS35" s="312">
        <v>4377</v>
      </c>
      <c r="AT35" s="312">
        <v>5582</v>
      </c>
      <c r="AU35" s="313">
        <v>4684</v>
      </c>
      <c r="AV35" s="315">
        <v>5483</v>
      </c>
      <c r="AW35" s="312">
        <v>4379</v>
      </c>
      <c r="AX35" s="312">
        <f>1881+5804</f>
        <v>7685</v>
      </c>
      <c r="AY35" s="313">
        <f>1920+5280</f>
        <v>7200</v>
      </c>
      <c r="AZ35" s="315">
        <f>1746+6650</f>
        <v>8396</v>
      </c>
      <c r="BA35" s="312">
        <v>6227</v>
      </c>
      <c r="BB35" s="312">
        <v>7590</v>
      </c>
      <c r="BC35" s="313">
        <v>7535</v>
      </c>
      <c r="BD35" s="315">
        <v>9586</v>
      </c>
      <c r="BE35" s="288">
        <f>BD35+CFS!BE24</f>
        <v>9586</v>
      </c>
      <c r="BF35" s="288">
        <f>BE35+CFS!BF24</f>
        <v>9586</v>
      </c>
      <c r="BG35" s="289">
        <f>BF35+CFS!BG24</f>
        <v>9586</v>
      </c>
      <c r="BH35" s="288">
        <f>BG35+CFS!BH24</f>
        <v>9586</v>
      </c>
      <c r="BI35" s="288">
        <f>BH35+CFS!BI24</f>
        <v>9586</v>
      </c>
      <c r="BJ35" s="288">
        <f>BI35+CFS!BJ24</f>
        <v>9586</v>
      </c>
      <c r="BK35" s="289">
        <f>BJ35+CFS!BK24</f>
        <v>9586</v>
      </c>
      <c r="BL35" s="132"/>
      <c r="BM35" s="288">
        <f t="shared" si="80"/>
        <v>810</v>
      </c>
      <c r="BN35" s="288">
        <f t="shared" si="81"/>
        <v>1192</v>
      </c>
      <c r="BO35" s="288">
        <f t="shared" si="82"/>
        <v>2277</v>
      </c>
      <c r="BP35" s="288">
        <f t="shared" si="83"/>
        <v>2041</v>
      </c>
      <c r="BQ35" s="288">
        <f t="shared" si="84"/>
        <v>1636</v>
      </c>
      <c r="BR35" s="288">
        <f t="shared" si="85"/>
        <v>2125</v>
      </c>
      <c r="BS35" s="289">
        <f t="shared" si="86"/>
        <v>2814</v>
      </c>
      <c r="BT35" s="288">
        <f t="shared" si="87"/>
        <v>3644</v>
      </c>
      <c r="BU35" s="288">
        <f t="shared" si="88"/>
        <v>4078</v>
      </c>
      <c r="BV35" s="288">
        <f t="shared" si="89"/>
        <v>4895</v>
      </c>
      <c r="BW35" s="288">
        <f t="shared" si="90"/>
        <v>4684</v>
      </c>
      <c r="BX35" s="288">
        <f t="shared" si="91"/>
        <v>7200</v>
      </c>
      <c r="BY35" s="288">
        <f t="shared" si="92"/>
        <v>7535</v>
      </c>
      <c r="BZ35" s="288">
        <f t="shared" si="93"/>
        <v>9586</v>
      </c>
      <c r="CA35" s="288">
        <f t="shared" si="94"/>
        <v>9586</v>
      </c>
      <c r="CB35" s="289">
        <f t="shared" si="104"/>
        <v>9586</v>
      </c>
      <c r="CC35" s="1276"/>
      <c r="CD35" s="26"/>
      <c r="CE35" s="26"/>
      <c r="CM35" s="180"/>
      <c r="CN35" s="620"/>
      <c r="CO35" s="627"/>
    </row>
    <row r="36" spans="1:93" ht="14.25" customHeight="1">
      <c r="A36" s="18"/>
      <c r="B36" s="316" t="s">
        <v>187</v>
      </c>
      <c r="C36" s="317"/>
      <c r="D36" s="318">
        <f t="shared" ref="D36:AR36" si="105">SUM(D29:D35)</f>
        <v>8573</v>
      </c>
      <c r="E36" s="293">
        <f t="shared" si="105"/>
        <v>7780</v>
      </c>
      <c r="F36" s="293">
        <f t="shared" si="105"/>
        <v>9499</v>
      </c>
      <c r="G36" s="294">
        <f t="shared" si="105"/>
        <v>9234</v>
      </c>
      <c r="H36" s="292">
        <f t="shared" si="105"/>
        <v>9843</v>
      </c>
      <c r="I36" s="293">
        <f t="shared" si="105"/>
        <v>8422</v>
      </c>
      <c r="J36" s="293">
        <f t="shared" si="105"/>
        <v>9057</v>
      </c>
      <c r="K36" s="294">
        <f t="shared" si="105"/>
        <v>8514</v>
      </c>
      <c r="L36" s="292">
        <f t="shared" si="105"/>
        <v>6626</v>
      </c>
      <c r="M36" s="293">
        <f t="shared" si="105"/>
        <v>6464</v>
      </c>
      <c r="N36" s="293">
        <f t="shared" si="105"/>
        <v>7763</v>
      </c>
      <c r="O36" s="294">
        <f t="shared" si="105"/>
        <v>8571</v>
      </c>
      <c r="P36" s="292">
        <f t="shared" si="105"/>
        <v>8668</v>
      </c>
      <c r="Q36" s="293">
        <f t="shared" si="105"/>
        <v>8032</v>
      </c>
      <c r="R36" s="293">
        <f t="shared" si="105"/>
        <v>10068</v>
      </c>
      <c r="S36" s="294">
        <f t="shared" si="105"/>
        <v>7818</v>
      </c>
      <c r="T36" s="292">
        <f t="shared" si="105"/>
        <v>6341</v>
      </c>
      <c r="U36" s="293">
        <f t="shared" si="105"/>
        <v>7079</v>
      </c>
      <c r="V36" s="293">
        <f t="shared" si="105"/>
        <v>7749</v>
      </c>
      <c r="W36" s="294">
        <f t="shared" si="105"/>
        <v>7591</v>
      </c>
      <c r="X36" s="293">
        <f t="shared" si="105"/>
        <v>8912</v>
      </c>
      <c r="Y36" s="293">
        <f t="shared" si="105"/>
        <v>7937</v>
      </c>
      <c r="Z36" s="293">
        <f t="shared" si="105"/>
        <v>8837</v>
      </c>
      <c r="AA36" s="294">
        <f t="shared" si="105"/>
        <v>9327</v>
      </c>
      <c r="AB36" s="292">
        <f t="shared" si="105"/>
        <v>11565</v>
      </c>
      <c r="AC36" s="293">
        <f t="shared" si="105"/>
        <v>10354</v>
      </c>
      <c r="AD36" s="293">
        <f t="shared" si="105"/>
        <v>11909</v>
      </c>
      <c r="AE36" s="294">
        <f t="shared" si="105"/>
        <v>12028</v>
      </c>
      <c r="AF36" s="293">
        <f t="shared" si="105"/>
        <v>11941</v>
      </c>
      <c r="AG36" s="293">
        <f>SUM(AG29:AG35)</f>
        <v>10538</v>
      </c>
      <c r="AH36" s="293">
        <f t="shared" si="105"/>
        <v>11953</v>
      </c>
      <c r="AI36" s="294">
        <f>SUM(AI29:AI35)</f>
        <v>12898</v>
      </c>
      <c r="AJ36" s="292">
        <f t="shared" si="105"/>
        <v>11798</v>
      </c>
      <c r="AK36" s="293">
        <f t="shared" si="105"/>
        <v>11389</v>
      </c>
      <c r="AL36" s="293">
        <f t="shared" si="105"/>
        <v>13875</v>
      </c>
      <c r="AM36" s="294">
        <f>SUM(AM29:AM35)</f>
        <v>13568</v>
      </c>
      <c r="AN36" s="292">
        <f>SUM(AN29:AN35)</f>
        <v>13552</v>
      </c>
      <c r="AO36" s="293">
        <f>SUM(AO29:AO35)</f>
        <v>12251</v>
      </c>
      <c r="AP36" s="293">
        <f>SUM(AP29:AP35)</f>
        <v>13819</v>
      </c>
      <c r="AQ36" s="294">
        <f t="shared" si="105"/>
        <v>16019</v>
      </c>
      <c r="AR36" s="292">
        <f t="shared" si="105"/>
        <v>15035</v>
      </c>
      <c r="AS36" s="293">
        <f t="shared" ref="AS36:AW36" si="106">SUM(AS29:AS35)</f>
        <v>13529</v>
      </c>
      <c r="AT36" s="293">
        <f>SUM(AT29:AT35)</f>
        <v>15080</v>
      </c>
      <c r="AU36" s="294">
        <f t="shared" si="106"/>
        <v>15667</v>
      </c>
      <c r="AV36" s="292">
        <f t="shared" si="106"/>
        <v>17526</v>
      </c>
      <c r="AW36" s="293">
        <f t="shared" si="106"/>
        <v>18711</v>
      </c>
      <c r="AX36" s="293">
        <f>SUM(AX29:AX35)</f>
        <v>20093</v>
      </c>
      <c r="AY36" s="294">
        <f t="shared" ref="AY36:BA36" si="107">SUM(AY29:AY35)</f>
        <v>20302</v>
      </c>
      <c r="AZ36" s="292">
        <f t="shared" si="107"/>
        <v>21305</v>
      </c>
      <c r="BA36" s="293">
        <f t="shared" si="107"/>
        <v>18782</v>
      </c>
      <c r="BB36" s="293">
        <f>SUM(BB29:BB35)</f>
        <v>20689</v>
      </c>
      <c r="BC36" s="294">
        <f t="shared" ref="BC36:BD36" si="108">SUM(BC29:BC35)</f>
        <v>17421</v>
      </c>
      <c r="BD36" s="292">
        <f t="shared" si="108"/>
        <v>19961</v>
      </c>
      <c r="BE36" s="293">
        <f t="shared" ref="BE36:BG36" si="109">SUM(BE29:BE35)</f>
        <v>19383.477131038824</v>
      </c>
      <c r="BF36" s="293">
        <f t="shared" si="109"/>
        <v>19621.901265979352</v>
      </c>
      <c r="BG36" s="294">
        <f t="shared" si="109"/>
        <v>19671.140990848817</v>
      </c>
      <c r="BH36" s="293">
        <f t="shared" ref="BH36:BK36" si="110">SUM(BH29:BH35)</f>
        <v>19292.051609542221</v>
      </c>
      <c r="BI36" s="293">
        <f t="shared" si="110"/>
        <v>19424.841323725563</v>
      </c>
      <c r="BJ36" s="293">
        <f t="shared" si="110"/>
        <v>19774.676361379057</v>
      </c>
      <c r="BK36" s="294">
        <f t="shared" si="110"/>
        <v>19800.989036011459</v>
      </c>
      <c r="BL36" s="132"/>
      <c r="BM36" s="295">
        <f t="shared" ref="BM36:BX36" si="111">SUM(BM29:BM35)</f>
        <v>9234</v>
      </c>
      <c r="BN36" s="295">
        <f t="shared" si="111"/>
        <v>8514</v>
      </c>
      <c r="BO36" s="295">
        <f t="shared" si="111"/>
        <v>8571</v>
      </c>
      <c r="BP36" s="295">
        <f t="shared" si="111"/>
        <v>7818</v>
      </c>
      <c r="BQ36" s="295">
        <f t="shared" si="111"/>
        <v>7591</v>
      </c>
      <c r="BR36" s="295">
        <f t="shared" si="111"/>
        <v>9327</v>
      </c>
      <c r="BS36" s="1057">
        <f t="shared" si="111"/>
        <v>12028</v>
      </c>
      <c r="BT36" s="295">
        <f t="shared" si="111"/>
        <v>12898</v>
      </c>
      <c r="BU36" s="295">
        <f t="shared" si="111"/>
        <v>13568</v>
      </c>
      <c r="BV36" s="295">
        <f t="shared" si="111"/>
        <v>16019</v>
      </c>
      <c r="BW36" s="295">
        <f>SUM(BW29:BW35)</f>
        <v>15667</v>
      </c>
      <c r="BX36" s="295">
        <f t="shared" si="111"/>
        <v>20302</v>
      </c>
      <c r="BY36" s="295">
        <f>SUM(BY29:BY35)</f>
        <v>17421</v>
      </c>
      <c r="BZ36" s="295">
        <f>SUM(BZ29:BZ35)</f>
        <v>19671.140990848817</v>
      </c>
      <c r="CA36" s="295">
        <f>SUM(CA29:CA35)</f>
        <v>19800.989036011459</v>
      </c>
      <c r="CB36" s="294">
        <f t="shared" ref="CB36" si="112">SUM(CB29:CB35)</f>
        <v>19880.4440919361</v>
      </c>
      <c r="CC36" s="1276"/>
      <c r="CD36" s="26"/>
      <c r="CE36" s="26"/>
      <c r="CM36" s="180"/>
      <c r="CN36" s="620"/>
    </row>
    <row r="37" spans="1:93" ht="14.25" customHeight="1">
      <c r="A37" s="18"/>
      <c r="B37" s="297"/>
      <c r="C37" s="68"/>
      <c r="D37" s="276"/>
      <c r="E37" s="230"/>
      <c r="F37" s="230"/>
      <c r="G37" s="283"/>
      <c r="H37" s="276"/>
      <c r="I37" s="230"/>
      <c r="J37" s="230"/>
      <c r="K37" s="283"/>
      <c r="L37" s="276"/>
      <c r="M37" s="230"/>
      <c r="N37" s="230"/>
      <c r="O37" s="283"/>
      <c r="P37" s="276"/>
      <c r="Q37" s="230"/>
      <c r="R37" s="230"/>
      <c r="S37" s="283"/>
      <c r="T37" s="276"/>
      <c r="U37" s="230"/>
      <c r="V37" s="230"/>
      <c r="W37" s="283"/>
      <c r="X37" s="230"/>
      <c r="Y37" s="230"/>
      <c r="Z37" s="230"/>
      <c r="AA37" s="230"/>
      <c r="AB37" s="276"/>
      <c r="AC37" s="230"/>
      <c r="AD37" s="230"/>
      <c r="AE37" s="283"/>
      <c r="AF37" s="230"/>
      <c r="AG37" s="230"/>
      <c r="AH37" s="230"/>
      <c r="AI37" s="283"/>
      <c r="AJ37" s="276"/>
      <c r="AK37" s="230"/>
      <c r="AL37" s="230"/>
      <c r="AM37" s="283"/>
      <c r="AN37" s="276"/>
      <c r="AO37" s="230"/>
      <c r="AP37" s="230"/>
      <c r="AQ37" s="283"/>
      <c r="AR37" s="276"/>
      <c r="AS37" s="230"/>
      <c r="AT37" s="230"/>
      <c r="AU37" s="283"/>
      <c r="AV37" s="276"/>
      <c r="AW37" s="230"/>
      <c r="AX37" s="230"/>
      <c r="AY37" s="283"/>
      <c r="AZ37" s="276"/>
      <c r="BA37" s="230"/>
      <c r="BB37" s="230"/>
      <c r="BC37" s="283"/>
      <c r="BD37" s="276"/>
      <c r="BE37" s="230"/>
      <c r="BF37" s="230"/>
      <c r="BG37" s="283"/>
      <c r="BH37" s="230"/>
      <c r="BI37" s="230"/>
      <c r="BJ37" s="230"/>
      <c r="BK37" s="283"/>
      <c r="BL37" s="132"/>
      <c r="BM37" s="230"/>
      <c r="BN37" s="230"/>
      <c r="BO37" s="230"/>
      <c r="BP37" s="230"/>
      <c r="BQ37" s="230"/>
      <c r="BR37" s="230"/>
      <c r="BS37" s="1058"/>
      <c r="BT37" s="230"/>
      <c r="BU37" s="230"/>
      <c r="BV37" s="230"/>
      <c r="BW37" s="230"/>
      <c r="BX37" s="230"/>
      <c r="BY37" s="230"/>
      <c r="BZ37" s="230"/>
      <c r="CA37" s="230"/>
      <c r="CB37" s="1183"/>
      <c r="CC37" s="1276"/>
      <c r="CD37" s="26"/>
      <c r="CE37" s="26"/>
      <c r="CM37" s="180"/>
      <c r="CN37" s="620"/>
    </row>
    <row r="38" spans="1:93" ht="14.25" customHeight="1">
      <c r="A38" s="18"/>
      <c r="B38" s="278" t="s">
        <v>188</v>
      </c>
      <c r="C38" s="103"/>
      <c r="D38" s="276">
        <v>464</v>
      </c>
      <c r="E38" s="230">
        <v>430</v>
      </c>
      <c r="F38" s="230">
        <v>432</v>
      </c>
      <c r="G38" s="283">
        <v>2106</v>
      </c>
      <c r="H38" s="276">
        <v>2040</v>
      </c>
      <c r="I38" s="230">
        <v>2054</v>
      </c>
      <c r="J38" s="230">
        <v>2060</v>
      </c>
      <c r="K38" s="283">
        <v>1848</v>
      </c>
      <c r="L38" s="276">
        <v>1848</v>
      </c>
      <c r="M38" s="230">
        <v>1848</v>
      </c>
      <c r="N38" s="230">
        <v>1853</v>
      </c>
      <c r="O38" s="283">
        <v>1980</v>
      </c>
      <c r="P38" s="276">
        <v>1990</v>
      </c>
      <c r="Q38" s="230">
        <v>1892</v>
      </c>
      <c r="R38" s="230">
        <v>1889</v>
      </c>
      <c r="S38" s="283">
        <v>1886</v>
      </c>
      <c r="T38" s="276">
        <v>1170</v>
      </c>
      <c r="U38" s="230">
        <v>1174</v>
      </c>
      <c r="V38" s="230">
        <v>2201</v>
      </c>
      <c r="W38" s="283">
        <v>2049</v>
      </c>
      <c r="X38" s="230">
        <v>2052</v>
      </c>
      <c r="Y38" s="230">
        <v>2058</v>
      </c>
      <c r="Z38" s="230">
        <v>2073</v>
      </c>
      <c r="AA38" s="283">
        <v>2077</v>
      </c>
      <c r="AB38" s="284">
        <v>2083</v>
      </c>
      <c r="AC38" s="230">
        <v>2090</v>
      </c>
      <c r="AD38" s="230">
        <v>7076</v>
      </c>
      <c r="AE38" s="283">
        <v>7084</v>
      </c>
      <c r="AF38" s="230">
        <v>7088</v>
      </c>
      <c r="AG38" s="230">
        <v>7093</v>
      </c>
      <c r="AH38" s="230">
        <v>7100</v>
      </c>
      <c r="AI38" s="283">
        <v>13136</v>
      </c>
      <c r="AJ38" s="230">
        <v>13143</v>
      </c>
      <c r="AK38" s="230">
        <v>13150</v>
      </c>
      <c r="AL38" s="230">
        <v>13157</v>
      </c>
      <c r="AM38" s="283">
        <v>13165</v>
      </c>
      <c r="AN38" s="230">
        <v>13172</v>
      </c>
      <c r="AO38" s="230">
        <v>13180</v>
      </c>
      <c r="AP38" s="230">
        <v>13188</v>
      </c>
      <c r="AQ38" s="283">
        <v>12107</v>
      </c>
      <c r="AR38" s="230">
        <v>12112</v>
      </c>
      <c r="AS38" s="230">
        <v>12116</v>
      </c>
      <c r="AT38" s="230">
        <v>20059</v>
      </c>
      <c r="AU38" s="283">
        <v>20036</v>
      </c>
      <c r="AV38" s="230">
        <v>21775</v>
      </c>
      <c r="AW38" s="230">
        <v>24053</v>
      </c>
      <c r="AX38" s="230">
        <v>24043</v>
      </c>
      <c r="AY38" s="283">
        <v>20649</v>
      </c>
      <c r="AZ38" s="230">
        <v>20678</v>
      </c>
      <c r="BA38" s="230">
        <v>27855</v>
      </c>
      <c r="BB38" s="230">
        <v>27498</v>
      </c>
      <c r="BC38" s="283">
        <v>25037</v>
      </c>
      <c r="BD38" s="230">
        <v>24770</v>
      </c>
      <c r="BE38" s="249">
        <f t="shared" ref="BE38:BG38" si="113">BD38</f>
        <v>24770</v>
      </c>
      <c r="BF38" s="249">
        <f t="shared" si="113"/>
        <v>24770</v>
      </c>
      <c r="BG38" s="171">
        <f t="shared" si="113"/>
        <v>24770</v>
      </c>
      <c r="BH38" s="249">
        <f t="shared" ref="BH38:BH40" si="114">BG38</f>
        <v>24770</v>
      </c>
      <c r="BI38" s="249">
        <f t="shared" ref="BI38:BI40" si="115">BH38</f>
        <v>24770</v>
      </c>
      <c r="BJ38" s="249">
        <f t="shared" ref="BJ38:BJ40" si="116">BI38</f>
        <v>24770</v>
      </c>
      <c r="BK38" s="171">
        <f t="shared" ref="BK38:BK40" si="117">BJ38</f>
        <v>24770</v>
      </c>
      <c r="BL38" s="132"/>
      <c r="BM38" s="249">
        <f>G38</f>
        <v>2106</v>
      </c>
      <c r="BN38" s="249">
        <f>K38</f>
        <v>1848</v>
      </c>
      <c r="BO38" s="249">
        <f>O38</f>
        <v>1980</v>
      </c>
      <c r="BP38" s="249">
        <f>S38</f>
        <v>1886</v>
      </c>
      <c r="BQ38" s="249">
        <f>W38</f>
        <v>2049</v>
      </c>
      <c r="BR38" s="249">
        <f>AA38</f>
        <v>2077</v>
      </c>
      <c r="BS38" s="1056">
        <f>AE38</f>
        <v>7084</v>
      </c>
      <c r="BT38" s="249">
        <f>AI38</f>
        <v>13136</v>
      </c>
      <c r="BU38" s="249">
        <f>AM38</f>
        <v>13165</v>
      </c>
      <c r="BV38" s="249">
        <f>AQ38</f>
        <v>12107</v>
      </c>
      <c r="BW38" s="249">
        <f>AU38</f>
        <v>20036</v>
      </c>
      <c r="BX38" s="249">
        <f>AY38</f>
        <v>20649</v>
      </c>
      <c r="BY38" s="249">
        <f>BC38</f>
        <v>25037</v>
      </c>
      <c r="BZ38" s="249">
        <f>BG38</f>
        <v>24770</v>
      </c>
      <c r="CA38" s="249">
        <f>BK38</f>
        <v>24770</v>
      </c>
      <c r="CB38" s="1174">
        <f>CA38+CFS!CB45</f>
        <v>24770</v>
      </c>
      <c r="CC38" s="1276"/>
      <c r="CD38" s="26"/>
      <c r="CE38" s="26"/>
      <c r="CM38" s="180"/>
      <c r="CN38" s="620"/>
      <c r="CO38" s="627"/>
    </row>
    <row r="39" spans="1:93" ht="14.25" customHeight="1">
      <c r="A39" s="18"/>
      <c r="B39" s="278" t="s">
        <v>189</v>
      </c>
      <c r="C39" s="103"/>
      <c r="D39" s="276">
        <v>818</v>
      </c>
      <c r="E39" s="230">
        <v>689</v>
      </c>
      <c r="F39" s="230">
        <v>753</v>
      </c>
      <c r="G39" s="283">
        <v>703</v>
      </c>
      <c r="H39" s="276">
        <v>607</v>
      </c>
      <c r="I39" s="230">
        <v>470</v>
      </c>
      <c r="J39" s="230">
        <v>375</v>
      </c>
      <c r="K39" s="283">
        <v>265</v>
      </c>
      <c r="L39" s="276">
        <f>1320+234</f>
        <v>1554</v>
      </c>
      <c r="M39" s="230">
        <f>814+235</f>
        <v>1049</v>
      </c>
      <c r="N39" s="230">
        <f>814+454</f>
        <v>1268</v>
      </c>
      <c r="O39" s="283">
        <f>785+411</f>
        <v>1196</v>
      </c>
      <c r="P39" s="276">
        <f>811+170</f>
        <v>981</v>
      </c>
      <c r="Q39" s="230">
        <f>760+171</f>
        <v>931</v>
      </c>
      <c r="R39" s="230">
        <f>782+36</f>
        <v>818</v>
      </c>
      <c r="S39" s="283">
        <f>736+46</f>
        <v>782</v>
      </c>
      <c r="T39" s="276">
        <v>662</v>
      </c>
      <c r="U39" s="230">
        <v>556</v>
      </c>
      <c r="V39" s="230">
        <v>386</v>
      </c>
      <c r="W39" s="283">
        <f>193+555</f>
        <v>748</v>
      </c>
      <c r="X39" s="230">
        <f>174+707</f>
        <v>881</v>
      </c>
      <c r="Y39" s="230">
        <f>174+586</f>
        <v>760</v>
      </c>
      <c r="Z39" s="230">
        <f>174+681</f>
        <v>855</v>
      </c>
      <c r="AA39" s="230">
        <f>190+926</f>
        <v>1116</v>
      </c>
      <c r="AB39" s="285">
        <f>267+1783</f>
        <v>2050</v>
      </c>
      <c r="AC39" s="230">
        <f>188+2215</f>
        <v>2403</v>
      </c>
      <c r="AD39" s="230">
        <f>192+2762</f>
        <v>2954</v>
      </c>
      <c r="AE39" s="283">
        <v>2617</v>
      </c>
      <c r="AF39" s="230">
        <v>2793</v>
      </c>
      <c r="AG39" s="230">
        <v>2775</v>
      </c>
      <c r="AH39" s="230">
        <v>2904</v>
      </c>
      <c r="AI39" s="283">
        <v>3412</v>
      </c>
      <c r="AJ39" s="276">
        <v>3427</v>
      </c>
      <c r="AK39" s="230">
        <v>3709</v>
      </c>
      <c r="AL39" s="230">
        <v>4384</v>
      </c>
      <c r="AM39" s="283">
        <v>4397</v>
      </c>
      <c r="AN39" s="276">
        <v>4302</v>
      </c>
      <c r="AO39" s="230">
        <v>4187</v>
      </c>
      <c r="AP39" s="230">
        <v>4029</v>
      </c>
      <c r="AQ39" s="283">
        <v>3775</v>
      </c>
      <c r="AR39" s="276">
        <v>3462</v>
      </c>
      <c r="AS39" s="230">
        <v>3251</v>
      </c>
      <c r="AT39" s="230">
        <v>2502</v>
      </c>
      <c r="AU39" s="283">
        <v>2539</v>
      </c>
      <c r="AV39" s="276">
        <v>1247</v>
      </c>
      <c r="AW39" s="230">
        <v>1293</v>
      </c>
      <c r="AX39" s="230">
        <v>1211</v>
      </c>
      <c r="AY39" s="283">
        <v>1730</v>
      </c>
      <c r="AZ39" s="276">
        <v>2285</v>
      </c>
      <c r="BA39" s="230">
        <v>2502</v>
      </c>
      <c r="BB39" s="230">
        <v>2943</v>
      </c>
      <c r="BC39" s="283">
        <v>3046</v>
      </c>
      <c r="BD39" s="276">
        <v>1564</v>
      </c>
      <c r="BE39" s="249">
        <f t="shared" ref="BE39:BE40" si="118">BD39</f>
        <v>1564</v>
      </c>
      <c r="BF39" s="249">
        <f t="shared" ref="BF39:BF40" si="119">BE39</f>
        <v>1564</v>
      </c>
      <c r="BG39" s="171">
        <f t="shared" ref="BG39:BG40" si="120">BF39</f>
        <v>1564</v>
      </c>
      <c r="BH39" s="249">
        <f t="shared" si="114"/>
        <v>1564</v>
      </c>
      <c r="BI39" s="249">
        <f t="shared" si="115"/>
        <v>1564</v>
      </c>
      <c r="BJ39" s="249">
        <f t="shared" si="116"/>
        <v>1564</v>
      </c>
      <c r="BK39" s="171">
        <f t="shared" si="117"/>
        <v>1564</v>
      </c>
      <c r="BL39" s="132"/>
      <c r="BM39" s="249">
        <f>G39</f>
        <v>703</v>
      </c>
      <c r="BN39" s="249">
        <f>K39</f>
        <v>265</v>
      </c>
      <c r="BO39" s="249">
        <f>O39</f>
        <v>1196</v>
      </c>
      <c r="BP39" s="249">
        <f>S39</f>
        <v>782</v>
      </c>
      <c r="BQ39" s="249">
        <f>W39</f>
        <v>748</v>
      </c>
      <c r="BR39" s="249">
        <f>AA39</f>
        <v>1116</v>
      </c>
      <c r="BS39" s="1056">
        <f>AE39</f>
        <v>2617</v>
      </c>
      <c r="BT39" s="249">
        <f>AI39</f>
        <v>3412</v>
      </c>
      <c r="BU39" s="249">
        <f>AM39</f>
        <v>4397</v>
      </c>
      <c r="BV39" s="249">
        <f>AQ39</f>
        <v>3775</v>
      </c>
      <c r="BW39" s="249">
        <f>AU39</f>
        <v>2539</v>
      </c>
      <c r="BX39" s="249">
        <f>AY39</f>
        <v>1730</v>
      </c>
      <c r="BY39" s="249">
        <f>BC39</f>
        <v>3046</v>
      </c>
      <c r="BZ39" s="249">
        <f>BG39</f>
        <v>1564</v>
      </c>
      <c r="CA39" s="249">
        <f>BK39</f>
        <v>1564</v>
      </c>
      <c r="CB39" s="1174">
        <f t="shared" ref="CB39:CB40" si="121">CA39</f>
        <v>1564</v>
      </c>
      <c r="CC39" s="1276"/>
      <c r="CD39" s="26"/>
      <c r="CE39" s="26"/>
      <c r="CM39" s="180"/>
      <c r="CN39" s="620"/>
      <c r="CO39" s="627"/>
    </row>
    <row r="40" spans="1:93" ht="14.25" customHeight="1">
      <c r="A40" s="18"/>
      <c r="B40" s="278" t="s">
        <v>190</v>
      </c>
      <c r="C40" s="103"/>
      <c r="D40" s="276">
        <v>0</v>
      </c>
      <c r="E40" s="230">
        <v>0</v>
      </c>
      <c r="F40" s="230">
        <v>0</v>
      </c>
      <c r="G40" s="283">
        <v>89</v>
      </c>
      <c r="H40" s="276">
        <v>346</v>
      </c>
      <c r="I40" s="230">
        <v>346</v>
      </c>
      <c r="J40" s="230">
        <v>346</v>
      </c>
      <c r="K40" s="283">
        <v>989</v>
      </c>
      <c r="L40" s="276">
        <v>1202</v>
      </c>
      <c r="M40" s="230">
        <v>1235</v>
      </c>
      <c r="N40" s="230">
        <v>1253</v>
      </c>
      <c r="O40" s="283">
        <v>1142</v>
      </c>
      <c r="P40" s="276">
        <v>1088</v>
      </c>
      <c r="Q40" s="230">
        <v>1176</v>
      </c>
      <c r="R40" s="230">
        <v>1033</v>
      </c>
      <c r="S40" s="283">
        <v>1141</v>
      </c>
      <c r="T40" s="276">
        <v>1217</v>
      </c>
      <c r="U40" s="230">
        <v>1205</v>
      </c>
      <c r="V40" s="230">
        <v>1627</v>
      </c>
      <c r="W40" s="283">
        <v>1003</v>
      </c>
      <c r="X40" s="230">
        <v>1028</v>
      </c>
      <c r="Y40" s="230">
        <v>1095</v>
      </c>
      <c r="Z40" s="230">
        <v>1127</v>
      </c>
      <c r="AA40" s="230">
        <v>1236</v>
      </c>
      <c r="AB40" s="285">
        <v>2505</v>
      </c>
      <c r="AC40" s="230">
        <v>2519</v>
      </c>
      <c r="AD40" s="230">
        <v>2495</v>
      </c>
      <c r="AE40" s="283">
        <v>3479</v>
      </c>
      <c r="AF40" s="230">
        <v>3235</v>
      </c>
      <c r="AG40" s="230">
        <v>3167</v>
      </c>
      <c r="AH40" s="230">
        <v>3215</v>
      </c>
      <c r="AI40" s="283">
        <v>3702</v>
      </c>
      <c r="AJ40" s="276">
        <v>3521</v>
      </c>
      <c r="AK40" s="230">
        <v>3573</v>
      </c>
      <c r="AL40" s="230">
        <v>3683</v>
      </c>
      <c r="AM40" s="283">
        <v>2972</v>
      </c>
      <c r="AN40" s="276">
        <v>2868</v>
      </c>
      <c r="AO40" s="230">
        <v>2928</v>
      </c>
      <c r="AP40" s="230">
        <v>3070</v>
      </c>
      <c r="AQ40" s="283">
        <v>3278</v>
      </c>
      <c r="AR40" s="276">
        <v>3125</v>
      </c>
      <c r="AS40" s="230">
        <v>2996</v>
      </c>
      <c r="AT40" s="230">
        <v>2909</v>
      </c>
      <c r="AU40" s="283">
        <v>2841</v>
      </c>
      <c r="AV40" s="276">
        <v>2851</v>
      </c>
      <c r="AW40" s="230">
        <v>3517</v>
      </c>
      <c r="AX40" s="230">
        <v>2869</v>
      </c>
      <c r="AY40" s="283">
        <v>3538</v>
      </c>
      <c r="AZ40" s="276">
        <v>3658</v>
      </c>
      <c r="BA40" s="230">
        <v>3469</v>
      </c>
      <c r="BB40" s="230">
        <v>4152</v>
      </c>
      <c r="BC40" s="283">
        <v>7860</v>
      </c>
      <c r="BD40" s="276">
        <f>3082+2479+5774</f>
        <v>11335</v>
      </c>
      <c r="BE40" s="249">
        <f t="shared" si="118"/>
        <v>11335</v>
      </c>
      <c r="BF40" s="249">
        <f t="shared" si="119"/>
        <v>11335</v>
      </c>
      <c r="BG40" s="171">
        <f t="shared" si="120"/>
        <v>11335</v>
      </c>
      <c r="BH40" s="249">
        <f t="shared" si="114"/>
        <v>11335</v>
      </c>
      <c r="BI40" s="249">
        <f t="shared" si="115"/>
        <v>11335</v>
      </c>
      <c r="BJ40" s="249">
        <f t="shared" si="116"/>
        <v>11335</v>
      </c>
      <c r="BK40" s="171">
        <f t="shared" si="117"/>
        <v>11335</v>
      </c>
      <c r="BL40" s="132"/>
      <c r="BM40" s="249">
        <f>G40</f>
        <v>89</v>
      </c>
      <c r="BN40" s="249">
        <f>K40</f>
        <v>989</v>
      </c>
      <c r="BO40" s="249">
        <f>O40</f>
        <v>1142</v>
      </c>
      <c r="BP40" s="249">
        <f>S40</f>
        <v>1141</v>
      </c>
      <c r="BQ40" s="249">
        <f>W40</f>
        <v>1003</v>
      </c>
      <c r="BR40" s="249">
        <f>AA40</f>
        <v>1236</v>
      </c>
      <c r="BS40" s="1056">
        <f>AE40</f>
        <v>3479</v>
      </c>
      <c r="BT40" s="249">
        <f>AI40</f>
        <v>3702</v>
      </c>
      <c r="BU40" s="249">
        <f>AM40</f>
        <v>2972</v>
      </c>
      <c r="BV40" s="249">
        <f>AQ40</f>
        <v>3278</v>
      </c>
      <c r="BW40" s="249">
        <f>AU40</f>
        <v>2841</v>
      </c>
      <c r="BX40" s="249">
        <f>AY40</f>
        <v>3538</v>
      </c>
      <c r="BY40" s="249">
        <f>BC40</f>
        <v>7860</v>
      </c>
      <c r="BZ40" s="249">
        <f>BG40</f>
        <v>11335</v>
      </c>
      <c r="CA40" s="249">
        <f>BK40</f>
        <v>11335</v>
      </c>
      <c r="CB40" s="1174">
        <f t="shared" si="121"/>
        <v>11335</v>
      </c>
      <c r="CC40" s="1276"/>
      <c r="CD40" s="26"/>
      <c r="CE40" s="26"/>
      <c r="CM40" s="180"/>
      <c r="CN40" s="620"/>
      <c r="CO40" s="627"/>
    </row>
    <row r="41" spans="1:93" ht="14.25" customHeight="1">
      <c r="A41" s="18"/>
      <c r="B41" s="297"/>
      <c r="C41" s="68"/>
      <c r="D41" s="276"/>
      <c r="E41" s="230"/>
      <c r="F41" s="230"/>
      <c r="G41" s="283"/>
      <c r="H41" s="276"/>
      <c r="I41" s="230"/>
      <c r="J41" s="230"/>
      <c r="K41" s="283"/>
      <c r="L41" s="276"/>
      <c r="M41" s="230"/>
      <c r="N41" s="230"/>
      <c r="O41" s="283"/>
      <c r="P41" s="276"/>
      <c r="Q41" s="230"/>
      <c r="R41" s="230"/>
      <c r="S41" s="283"/>
      <c r="T41" s="276"/>
      <c r="U41" s="230"/>
      <c r="V41" s="230"/>
      <c r="W41" s="283"/>
      <c r="X41" s="230"/>
      <c r="Y41" s="230"/>
      <c r="Z41" s="230"/>
      <c r="AA41" s="230"/>
      <c r="AB41" s="285"/>
      <c r="AC41" s="230"/>
      <c r="AD41" s="230"/>
      <c r="AE41" s="283"/>
      <c r="AF41" s="230"/>
      <c r="AG41" s="230"/>
      <c r="AH41" s="230"/>
      <c r="AI41" s="283"/>
      <c r="AJ41" s="276"/>
      <c r="AK41" s="230"/>
      <c r="AL41" s="230"/>
      <c r="AM41" s="283"/>
      <c r="AN41" s="276"/>
      <c r="AO41" s="230"/>
      <c r="AP41" s="230"/>
      <c r="AQ41" s="283"/>
      <c r="AR41" s="276"/>
      <c r="AS41" s="230"/>
      <c r="AT41" s="230"/>
      <c r="AU41" s="283"/>
      <c r="AV41" s="276"/>
      <c r="AW41" s="230"/>
      <c r="AX41" s="230"/>
      <c r="AY41" s="283"/>
      <c r="AZ41" s="276"/>
      <c r="BA41" s="230"/>
      <c r="BB41" s="230"/>
      <c r="BC41" s="283"/>
      <c r="BD41" s="276"/>
      <c r="BE41" s="230"/>
      <c r="BF41" s="230"/>
      <c r="BG41" s="283"/>
      <c r="BH41" s="230"/>
      <c r="BI41" s="230"/>
      <c r="BJ41" s="230"/>
      <c r="BK41" s="283"/>
      <c r="BL41" s="132"/>
      <c r="BM41" s="230"/>
      <c r="BN41" s="230"/>
      <c r="BO41" s="230"/>
      <c r="BP41" s="230"/>
      <c r="BQ41" s="230"/>
      <c r="BR41" s="230"/>
      <c r="BS41" s="1058"/>
      <c r="BT41" s="230"/>
      <c r="BU41" s="230"/>
      <c r="BV41" s="230"/>
      <c r="BW41" s="230"/>
      <c r="BX41" s="230"/>
      <c r="BY41" s="230"/>
      <c r="BZ41" s="230"/>
      <c r="CA41" s="230"/>
      <c r="CB41" s="1183"/>
      <c r="CC41" s="1276"/>
      <c r="CD41" s="26"/>
      <c r="CE41" s="26"/>
      <c r="CM41" s="180"/>
      <c r="CN41" s="620"/>
      <c r="CO41" s="627"/>
    </row>
    <row r="42" spans="1:93" ht="14.25" customHeight="1">
      <c r="A42" s="18"/>
      <c r="B42" s="316" t="s">
        <v>191</v>
      </c>
      <c r="C42" s="317"/>
      <c r="D42" s="319">
        <v>37711</v>
      </c>
      <c r="E42" s="320">
        <v>37614</v>
      </c>
      <c r="F42" s="320">
        <v>36676</v>
      </c>
      <c r="G42" s="321">
        <v>36182</v>
      </c>
      <c r="H42" s="319">
        <v>34358</v>
      </c>
      <c r="I42" s="320">
        <v>34796</v>
      </c>
      <c r="J42" s="320">
        <v>35017</v>
      </c>
      <c r="K42" s="321">
        <v>36752</v>
      </c>
      <c r="L42" s="319">
        <v>37526</v>
      </c>
      <c r="M42" s="320">
        <v>39698</v>
      </c>
      <c r="N42" s="320">
        <v>40902</v>
      </c>
      <c r="O42" s="321">
        <v>42762</v>
      </c>
      <c r="P42" s="319">
        <v>40660</v>
      </c>
      <c r="Q42" s="320">
        <v>40361</v>
      </c>
      <c r="R42" s="320">
        <v>38911</v>
      </c>
      <c r="S42" s="321">
        <v>39088</v>
      </c>
      <c r="T42" s="319">
        <v>39064</v>
      </c>
      <c r="U42" s="320">
        <v>39047</v>
      </c>
      <c r="V42" s="320">
        <v>39033</v>
      </c>
      <c r="W42" s="321">
        <v>41704</v>
      </c>
      <c r="X42" s="320">
        <v>42900</v>
      </c>
      <c r="Y42" s="320">
        <v>45841</v>
      </c>
      <c r="Z42" s="320">
        <v>47696</v>
      </c>
      <c r="AA42" s="320">
        <v>49430</v>
      </c>
      <c r="AB42" s="322">
        <v>47349</v>
      </c>
      <c r="AC42" s="320">
        <v>48723</v>
      </c>
      <c r="AD42" s="320">
        <v>46117</v>
      </c>
      <c r="AE42" s="321">
        <v>45911</v>
      </c>
      <c r="AF42" s="320">
        <v>46760</v>
      </c>
      <c r="AG42" s="320">
        <v>48779</v>
      </c>
      <c r="AH42" s="320">
        <v>49269</v>
      </c>
      <c r="AI42" s="321">
        <v>51203</v>
      </c>
      <c r="AJ42" s="319">
        <v>51194</v>
      </c>
      <c r="AK42" s="320">
        <v>53840</v>
      </c>
      <c r="AL42" s="320">
        <v>55452</v>
      </c>
      <c r="AM42" s="321">
        <v>58256</v>
      </c>
      <c r="AN42" s="319">
        <v>58038</v>
      </c>
      <c r="AO42" s="320">
        <v>59247</v>
      </c>
      <c r="AP42" s="320">
        <v>56988</v>
      </c>
      <c r="AQ42" s="321">
        <f>55865+912</f>
        <v>56777</v>
      </c>
      <c r="AR42" s="319">
        <f>54924+908</f>
        <v>55832</v>
      </c>
      <c r="AS42" s="320">
        <f>57695+905</f>
        <v>58600</v>
      </c>
      <c r="AT42" s="320">
        <f>57097+905</f>
        <v>58002</v>
      </c>
      <c r="AU42" s="321">
        <f>61085+897</f>
        <v>61982</v>
      </c>
      <c r="AV42" s="319">
        <f>61174+894</f>
        <v>62068</v>
      </c>
      <c r="AW42" s="320">
        <f>890+61367</f>
        <v>62257</v>
      </c>
      <c r="AX42" s="320">
        <f>886+63115</f>
        <v>64001</v>
      </c>
      <c r="AY42" s="321">
        <f>882+66226</f>
        <v>67108</v>
      </c>
      <c r="AZ42" s="319">
        <f>878+66844</f>
        <v>67722</v>
      </c>
      <c r="BA42" s="320">
        <f>68625+874</f>
        <v>69499</v>
      </c>
      <c r="BB42" s="320">
        <f>70936+870</f>
        <v>71806</v>
      </c>
      <c r="BC42" s="321">
        <f>69019+866</f>
        <v>69885</v>
      </c>
      <c r="BD42" s="319">
        <f>801+70165</f>
        <v>70966</v>
      </c>
      <c r="BE42" s="295">
        <f t="shared" ref="BE42:BG42" si="122">BE70</f>
        <v>73671.893124279042</v>
      </c>
      <c r="BF42" s="295">
        <f t="shared" si="122"/>
        <v>77270.553174912231</v>
      </c>
      <c r="BG42" s="296">
        <f t="shared" si="122"/>
        <v>80925.470690168353</v>
      </c>
      <c r="BH42" s="295">
        <f t="shared" ref="BH42:BK42" si="123">BH70</f>
        <v>83666.96996474787</v>
      </c>
      <c r="BI42" s="295">
        <f t="shared" si="123"/>
        <v>86483.809988391818</v>
      </c>
      <c r="BJ42" s="295">
        <f t="shared" si="123"/>
        <v>90087.072568226751</v>
      </c>
      <c r="BK42" s="296">
        <f t="shared" si="123"/>
        <v>93911.131135696502</v>
      </c>
      <c r="BL42" s="132"/>
      <c r="BM42" s="249">
        <f>G42</f>
        <v>36182</v>
      </c>
      <c r="BN42" s="249">
        <f>K42</f>
        <v>36752</v>
      </c>
      <c r="BO42" s="249">
        <f>O42</f>
        <v>42762</v>
      </c>
      <c r="BP42" s="249">
        <f>S42</f>
        <v>39088</v>
      </c>
      <c r="BQ42" s="249">
        <f>W42</f>
        <v>41704</v>
      </c>
      <c r="BR42" s="249">
        <f>AA42</f>
        <v>49430</v>
      </c>
      <c r="BS42" s="249">
        <f>AE42</f>
        <v>45911</v>
      </c>
      <c r="BT42" s="248">
        <f>AI42</f>
        <v>51203</v>
      </c>
      <c r="BU42" s="249">
        <f>AM42</f>
        <v>58256</v>
      </c>
      <c r="BV42" s="249">
        <f>AQ42</f>
        <v>56777</v>
      </c>
      <c r="BW42" s="249">
        <f>AU42</f>
        <v>61982</v>
      </c>
      <c r="BX42" s="249">
        <f>AY42</f>
        <v>67108</v>
      </c>
      <c r="BY42" s="249">
        <f>BC42</f>
        <v>69885</v>
      </c>
      <c r="BZ42" s="249">
        <f>BG42</f>
        <v>80925.470690168353</v>
      </c>
      <c r="CA42" s="249">
        <f>BK42</f>
        <v>93911.131135696502</v>
      </c>
      <c r="CB42" s="1174">
        <f>CB70</f>
        <v>107121.641745865</v>
      </c>
      <c r="CC42" s="1276"/>
      <c r="CD42" s="133"/>
      <c r="CE42" s="26"/>
      <c r="CM42" s="180"/>
      <c r="CN42" s="620"/>
      <c r="CO42" s="627"/>
    </row>
    <row r="43" spans="1:93" ht="14.25" customHeight="1">
      <c r="A43" s="18"/>
      <c r="B43" s="323"/>
      <c r="C43" s="68"/>
      <c r="D43" s="276"/>
      <c r="E43" s="230"/>
      <c r="F43" s="230"/>
      <c r="G43" s="230"/>
      <c r="H43" s="276"/>
      <c r="I43" s="230"/>
      <c r="J43" s="230"/>
      <c r="K43" s="230"/>
      <c r="L43" s="276"/>
      <c r="M43" s="230"/>
      <c r="N43" s="230"/>
      <c r="O43" s="230"/>
      <c r="P43" s="276"/>
      <c r="Q43" s="230"/>
      <c r="R43" s="230"/>
      <c r="S43" s="230"/>
      <c r="T43" s="276"/>
      <c r="U43" s="230"/>
      <c r="V43" s="230"/>
      <c r="W43" s="230"/>
      <c r="X43" s="276"/>
      <c r="Y43" s="230"/>
      <c r="Z43" s="230"/>
      <c r="AA43" s="230"/>
      <c r="AB43" s="276"/>
      <c r="AC43" s="230"/>
      <c r="AD43" s="230"/>
      <c r="AE43" s="283"/>
      <c r="AF43" s="276"/>
      <c r="AG43" s="230"/>
      <c r="AH43" s="230"/>
      <c r="AI43" s="283"/>
      <c r="AJ43" s="276"/>
      <c r="AK43" s="230"/>
      <c r="AL43" s="230"/>
      <c r="AM43" s="283"/>
      <c r="AN43" s="276"/>
      <c r="AO43" s="230"/>
      <c r="AP43" s="230"/>
      <c r="AQ43" s="283"/>
      <c r="AR43" s="276"/>
      <c r="AS43" s="230"/>
      <c r="AT43" s="230"/>
      <c r="AU43" s="283"/>
      <c r="AV43" s="276"/>
      <c r="AW43" s="230"/>
      <c r="AX43" s="230"/>
      <c r="AY43" s="283"/>
      <c r="AZ43" s="276"/>
      <c r="BA43" s="230"/>
      <c r="BB43" s="230"/>
      <c r="BC43" s="283"/>
      <c r="BD43" s="230"/>
      <c r="BE43" s="230"/>
      <c r="BF43" s="230"/>
      <c r="BG43" s="283"/>
      <c r="BH43" s="230"/>
      <c r="BI43" s="230"/>
      <c r="BJ43" s="230"/>
      <c r="BK43" s="283"/>
      <c r="BL43" s="132"/>
      <c r="BM43" s="230"/>
      <c r="BN43" s="230"/>
      <c r="BO43" s="230"/>
      <c r="BP43" s="230"/>
      <c r="BQ43" s="230"/>
      <c r="BR43" s="230"/>
      <c r="BS43" s="230"/>
      <c r="BT43" s="276"/>
      <c r="BU43" s="230"/>
      <c r="BV43" s="230"/>
      <c r="BW43" s="230"/>
      <c r="BX43" s="230"/>
      <c r="BY43" s="230"/>
      <c r="BZ43" s="230"/>
      <c r="CA43" s="230"/>
      <c r="CB43" s="1183"/>
      <c r="CC43" s="37"/>
      <c r="CD43" s="26"/>
      <c r="CE43" s="26"/>
      <c r="CM43" s="180"/>
      <c r="CN43" s="620"/>
    </row>
    <row r="44" spans="1:93" ht="14.25" customHeight="1">
      <c r="A44" s="18"/>
      <c r="B44" s="324" t="s">
        <v>192</v>
      </c>
      <c r="C44" s="325"/>
      <c r="D44" s="304">
        <f t="shared" ref="D44:AR44" si="124">D42+D36+SUM(D38:D40)</f>
        <v>47566</v>
      </c>
      <c r="E44" s="305">
        <f t="shared" si="124"/>
        <v>46513</v>
      </c>
      <c r="F44" s="305">
        <f t="shared" si="124"/>
        <v>47360</v>
      </c>
      <c r="G44" s="306">
        <f t="shared" si="124"/>
        <v>48314</v>
      </c>
      <c r="H44" s="304">
        <f t="shared" si="124"/>
        <v>47194</v>
      </c>
      <c r="I44" s="305">
        <f t="shared" si="124"/>
        <v>46088</v>
      </c>
      <c r="J44" s="305">
        <f t="shared" si="124"/>
        <v>46855</v>
      </c>
      <c r="K44" s="306">
        <f t="shared" si="124"/>
        <v>48368</v>
      </c>
      <c r="L44" s="304">
        <f t="shared" si="124"/>
        <v>48756</v>
      </c>
      <c r="M44" s="305">
        <f t="shared" si="124"/>
        <v>50294</v>
      </c>
      <c r="N44" s="305">
        <f t="shared" si="124"/>
        <v>53039</v>
      </c>
      <c r="O44" s="306">
        <f t="shared" si="124"/>
        <v>55651</v>
      </c>
      <c r="P44" s="304">
        <f t="shared" si="124"/>
        <v>53387</v>
      </c>
      <c r="Q44" s="305">
        <f t="shared" si="124"/>
        <v>52392</v>
      </c>
      <c r="R44" s="305">
        <f t="shared" si="124"/>
        <v>52719</v>
      </c>
      <c r="S44" s="306">
        <f t="shared" si="124"/>
        <v>50715</v>
      </c>
      <c r="T44" s="304">
        <f t="shared" si="124"/>
        <v>48454</v>
      </c>
      <c r="U44" s="305">
        <f t="shared" si="124"/>
        <v>49061</v>
      </c>
      <c r="V44" s="305">
        <f t="shared" si="124"/>
        <v>50996</v>
      </c>
      <c r="W44" s="306">
        <f t="shared" si="124"/>
        <v>53095</v>
      </c>
      <c r="X44" s="305">
        <f t="shared" si="124"/>
        <v>55773</v>
      </c>
      <c r="Y44" s="305">
        <f t="shared" si="124"/>
        <v>57691</v>
      </c>
      <c r="Z44" s="305">
        <f t="shared" si="124"/>
        <v>60588</v>
      </c>
      <c r="AA44" s="306">
        <f t="shared" si="124"/>
        <v>63186</v>
      </c>
      <c r="AB44" s="304">
        <f t="shared" si="124"/>
        <v>65552</v>
      </c>
      <c r="AC44" s="305">
        <f t="shared" si="124"/>
        <v>66089</v>
      </c>
      <c r="AD44" s="305">
        <f t="shared" si="124"/>
        <v>70551</v>
      </c>
      <c r="AE44" s="306">
        <f t="shared" si="124"/>
        <v>71119</v>
      </c>
      <c r="AF44" s="305">
        <f>AF42+AF36+SUM(AF38:AF40)</f>
        <v>71817</v>
      </c>
      <c r="AG44" s="305">
        <f t="shared" si="124"/>
        <v>72352</v>
      </c>
      <c r="AH44" s="305">
        <f t="shared" si="124"/>
        <v>74441</v>
      </c>
      <c r="AI44" s="306">
        <f t="shared" si="124"/>
        <v>84351</v>
      </c>
      <c r="AJ44" s="304">
        <f t="shared" si="124"/>
        <v>83083</v>
      </c>
      <c r="AK44" s="305">
        <f t="shared" si="124"/>
        <v>85661</v>
      </c>
      <c r="AL44" s="305">
        <f>AL42+AL36+SUM(AL38:AL40)</f>
        <v>90551</v>
      </c>
      <c r="AM44" s="306">
        <f>AM42+AM36+SUM(AM38:AM40)</f>
        <v>92358</v>
      </c>
      <c r="AN44" s="304">
        <f>AN42+AN36+SUM(AN38:AN40)</f>
        <v>91932</v>
      </c>
      <c r="AO44" s="305">
        <f>AO42+AO36+SUM(AO38:AO40)</f>
        <v>91793</v>
      </c>
      <c r="AP44" s="305">
        <f>AP42+AP36+SUM(AP38:AP40)</f>
        <v>91094</v>
      </c>
      <c r="AQ44" s="306">
        <f t="shared" si="124"/>
        <v>91956</v>
      </c>
      <c r="AR44" s="304">
        <f t="shared" si="124"/>
        <v>89566</v>
      </c>
      <c r="AS44" s="305">
        <f t="shared" ref="AS44:AW44" si="125">AS42+AS36+SUM(AS38:AS40)</f>
        <v>90492</v>
      </c>
      <c r="AT44" s="305">
        <f>AT42+AT36+SUM(AT38:AT40)</f>
        <v>98552</v>
      </c>
      <c r="AU44" s="306">
        <f t="shared" si="125"/>
        <v>103065</v>
      </c>
      <c r="AV44" s="304">
        <f t="shared" si="125"/>
        <v>105467</v>
      </c>
      <c r="AW44" s="305">
        <f t="shared" si="125"/>
        <v>109831</v>
      </c>
      <c r="AX44" s="305">
        <f>AX42+AX36+SUM(AX38:AX40)</f>
        <v>112217</v>
      </c>
      <c r="AY44" s="306">
        <f t="shared" ref="AY44:BA44" si="126">AY42+AY36+SUM(AY38:AY40)</f>
        <v>113327</v>
      </c>
      <c r="AZ44" s="304">
        <f t="shared" si="126"/>
        <v>115648</v>
      </c>
      <c r="BA44" s="305">
        <f t="shared" si="126"/>
        <v>122107</v>
      </c>
      <c r="BB44" s="305">
        <f>BB42+BB36+SUM(BB38:BB40)</f>
        <v>127088</v>
      </c>
      <c r="BC44" s="306">
        <f t="shared" ref="BC44" si="127">BC42+BC36+SUM(BC38:BC40)</f>
        <v>123249</v>
      </c>
      <c r="BD44" s="305">
        <f t="shared" ref="BD44:BG44" si="128">BD42+BD36+SUM(BD38:BD40)</f>
        <v>128596</v>
      </c>
      <c r="BE44" s="305">
        <f t="shared" si="128"/>
        <v>130724.37025531786</v>
      </c>
      <c r="BF44" s="305">
        <f t="shared" si="128"/>
        <v>134561.45444089157</v>
      </c>
      <c r="BG44" s="306">
        <f t="shared" si="128"/>
        <v>138265.61168101715</v>
      </c>
      <c r="BH44" s="305">
        <f t="shared" ref="BH44:BK44" si="129">BH42+BH36+SUM(BH38:BH40)</f>
        <v>140628.02157429009</v>
      </c>
      <c r="BI44" s="305">
        <f t="shared" si="129"/>
        <v>143577.65131211738</v>
      </c>
      <c r="BJ44" s="305">
        <f t="shared" si="129"/>
        <v>147530.74892960582</v>
      </c>
      <c r="BK44" s="306">
        <f t="shared" si="129"/>
        <v>151381.12017170797</v>
      </c>
      <c r="BL44" s="132"/>
      <c r="BM44" s="305">
        <f t="shared" ref="BM44:BX44" si="130">BM42+BM36+SUM(BM38:BM40)</f>
        <v>48314</v>
      </c>
      <c r="BN44" s="305">
        <f t="shared" si="130"/>
        <v>48368</v>
      </c>
      <c r="BO44" s="305">
        <f t="shared" si="130"/>
        <v>55651</v>
      </c>
      <c r="BP44" s="305">
        <f t="shared" si="130"/>
        <v>50715</v>
      </c>
      <c r="BQ44" s="305">
        <f t="shared" si="130"/>
        <v>53095</v>
      </c>
      <c r="BR44" s="305">
        <f t="shared" si="130"/>
        <v>63186</v>
      </c>
      <c r="BS44" s="305">
        <f t="shared" si="130"/>
        <v>71119</v>
      </c>
      <c r="BT44" s="304">
        <f t="shared" si="130"/>
        <v>84351</v>
      </c>
      <c r="BU44" s="305">
        <f t="shared" si="130"/>
        <v>92358</v>
      </c>
      <c r="BV44" s="305">
        <f t="shared" si="130"/>
        <v>91956</v>
      </c>
      <c r="BW44" s="305">
        <f>BW42+BW36+SUM(BW38:BW40)</f>
        <v>103065</v>
      </c>
      <c r="BX44" s="305">
        <f t="shared" si="130"/>
        <v>113327</v>
      </c>
      <c r="BY44" s="305">
        <f>BY42+BY36+SUM(BY38:BY40)</f>
        <v>123249</v>
      </c>
      <c r="BZ44" s="305">
        <f>BZ42+BZ36+SUM(BZ38:BZ40)</f>
        <v>138265.61168101715</v>
      </c>
      <c r="CA44" s="305">
        <f>CA42+CA36+SUM(CA38:CA40)</f>
        <v>151381.12017170797</v>
      </c>
      <c r="CB44" s="306">
        <f t="shared" ref="CB44" si="131">CB42+CB36+SUM(CB38:CB40)</f>
        <v>164671.0858378011</v>
      </c>
      <c r="CC44" s="37"/>
      <c r="CD44" s="26"/>
      <c r="CE44" s="26"/>
      <c r="CM44" s="180"/>
      <c r="CN44" s="620"/>
    </row>
    <row r="45" spans="1:93" ht="14.25" customHeight="1" outlineLevel="1">
      <c r="A45" s="18"/>
      <c r="B45" s="326"/>
      <c r="C45" s="201"/>
      <c r="D45" s="274"/>
      <c r="E45" s="274"/>
      <c r="F45" s="274"/>
      <c r="G45" s="274"/>
      <c r="H45" s="274"/>
      <c r="I45" s="274"/>
      <c r="J45" s="274"/>
      <c r="K45" s="274"/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4"/>
      <c r="W45" s="274"/>
      <c r="X45" s="327"/>
      <c r="Y45" s="274"/>
      <c r="Z45" s="327"/>
      <c r="AA45" s="327"/>
      <c r="AB45" s="328"/>
      <c r="AC45" s="274"/>
      <c r="AD45" s="327"/>
      <c r="AE45" s="329"/>
      <c r="AF45" s="329"/>
      <c r="AG45" s="327"/>
      <c r="AH45" s="327"/>
      <c r="AI45" s="328"/>
      <c r="AJ45" s="328"/>
      <c r="AK45" s="327"/>
      <c r="AL45" s="327"/>
      <c r="AM45" s="328"/>
      <c r="AN45" s="328"/>
      <c r="AO45" s="327"/>
      <c r="AP45" s="327"/>
      <c r="AQ45" s="328"/>
      <c r="AR45" s="328"/>
      <c r="AS45" s="327"/>
      <c r="AT45" s="327"/>
      <c r="AU45" s="328"/>
      <c r="AV45" s="328"/>
      <c r="AW45" s="327"/>
      <c r="AX45" s="327"/>
      <c r="AY45" s="328"/>
      <c r="AZ45" s="328"/>
      <c r="BA45" s="327"/>
      <c r="BB45" s="327"/>
      <c r="BC45" s="328"/>
      <c r="BD45" s="327"/>
      <c r="BE45" s="327"/>
      <c r="BF45" s="327"/>
      <c r="BG45" s="328"/>
      <c r="BH45" s="327"/>
      <c r="BI45" s="327"/>
      <c r="BJ45" s="327"/>
      <c r="BK45" s="328"/>
      <c r="BL45" s="26"/>
      <c r="BM45" s="274"/>
      <c r="BN45" s="274"/>
      <c r="BO45" s="274"/>
      <c r="BP45" s="274"/>
      <c r="BQ45" s="274"/>
      <c r="BR45" s="274"/>
      <c r="BS45" s="274"/>
      <c r="BT45" s="274"/>
      <c r="BU45" s="274"/>
      <c r="BV45" s="274"/>
      <c r="BW45" s="274"/>
      <c r="BX45" s="274"/>
      <c r="BY45" s="274"/>
      <c r="BZ45" s="274"/>
      <c r="CA45" s="274"/>
      <c r="CB45" s="274"/>
      <c r="CC45" s="26"/>
      <c r="CD45" s="26"/>
      <c r="CE45" s="18"/>
      <c r="CM45" s="180"/>
      <c r="CN45" s="620"/>
    </row>
    <row r="46" spans="1:93" ht="14.25" customHeight="1" outlineLevel="1">
      <c r="A46" s="18"/>
      <c r="B46" s="330" t="s">
        <v>193</v>
      </c>
      <c r="C46" s="331"/>
      <c r="D46" s="332">
        <f t="shared" ref="D46:AR46" si="132">IF(ROUND(D44,4)=ROUND(D26,4),0,D44-D26)</f>
        <v>0</v>
      </c>
      <c r="E46" s="333">
        <f t="shared" si="132"/>
        <v>0</v>
      </c>
      <c r="F46" s="333">
        <f t="shared" si="132"/>
        <v>0</v>
      </c>
      <c r="G46" s="334">
        <f t="shared" si="132"/>
        <v>0</v>
      </c>
      <c r="H46" s="332">
        <f t="shared" si="132"/>
        <v>0</v>
      </c>
      <c r="I46" s="333">
        <f t="shared" si="132"/>
        <v>0</v>
      </c>
      <c r="J46" s="333">
        <f t="shared" si="132"/>
        <v>0</v>
      </c>
      <c r="K46" s="334">
        <f t="shared" si="132"/>
        <v>0</v>
      </c>
      <c r="L46" s="332">
        <f t="shared" si="132"/>
        <v>0</v>
      </c>
      <c r="M46" s="333">
        <f t="shared" si="132"/>
        <v>0</v>
      </c>
      <c r="N46" s="333">
        <f t="shared" si="132"/>
        <v>0</v>
      </c>
      <c r="O46" s="334">
        <f t="shared" si="132"/>
        <v>0</v>
      </c>
      <c r="P46" s="332">
        <f t="shared" si="132"/>
        <v>0</v>
      </c>
      <c r="Q46" s="333">
        <f t="shared" si="132"/>
        <v>0</v>
      </c>
      <c r="R46" s="333">
        <f t="shared" si="132"/>
        <v>0</v>
      </c>
      <c r="S46" s="334">
        <f t="shared" si="132"/>
        <v>0</v>
      </c>
      <c r="T46" s="332">
        <f t="shared" si="132"/>
        <v>0</v>
      </c>
      <c r="U46" s="333">
        <f t="shared" si="132"/>
        <v>0</v>
      </c>
      <c r="V46" s="333">
        <f t="shared" si="132"/>
        <v>0</v>
      </c>
      <c r="W46" s="334">
        <f t="shared" si="132"/>
        <v>0</v>
      </c>
      <c r="X46" s="333">
        <f t="shared" si="132"/>
        <v>0</v>
      </c>
      <c r="Y46" s="333">
        <f t="shared" si="132"/>
        <v>0</v>
      </c>
      <c r="Z46" s="333">
        <f t="shared" si="132"/>
        <v>0</v>
      </c>
      <c r="AA46" s="333">
        <f t="shared" si="132"/>
        <v>0</v>
      </c>
      <c r="AB46" s="332">
        <f t="shared" si="132"/>
        <v>0</v>
      </c>
      <c r="AC46" s="333">
        <f t="shared" si="132"/>
        <v>0</v>
      </c>
      <c r="AD46" s="333">
        <f t="shared" si="132"/>
        <v>0</v>
      </c>
      <c r="AE46" s="334">
        <f t="shared" si="132"/>
        <v>0</v>
      </c>
      <c r="AF46" s="333">
        <f>IF(ROUND(AF44,4)=ROUND(AF26,4),0,AF44-AF26)</f>
        <v>0</v>
      </c>
      <c r="AG46" s="333">
        <f t="shared" si="132"/>
        <v>0</v>
      </c>
      <c r="AH46" s="333">
        <f t="shared" si="132"/>
        <v>0</v>
      </c>
      <c r="AI46" s="334">
        <f t="shared" si="132"/>
        <v>0</v>
      </c>
      <c r="AJ46" s="332">
        <f t="shared" si="132"/>
        <v>0</v>
      </c>
      <c r="AK46" s="333">
        <f t="shared" si="132"/>
        <v>0</v>
      </c>
      <c r="AL46" s="333">
        <f>IF(ROUND(AL44,4)=ROUND(AL26,4),0,AL44-AL26)</f>
        <v>0</v>
      </c>
      <c r="AM46" s="334">
        <f>IF(ROUND(AM44,4)=ROUND(AM26,4),0,AM44-AM26)</f>
        <v>0</v>
      </c>
      <c r="AN46" s="332">
        <f>IF(ROUND(AN44,4)=ROUND(AN26,4),0,AN44-AN26)</f>
        <v>0</v>
      </c>
      <c r="AO46" s="333">
        <f>IF(ROUND(AO44,4)=ROUND(AO26,4),0,AO44-AO26)</f>
        <v>0</v>
      </c>
      <c r="AP46" s="333">
        <f t="shared" si="132"/>
        <v>0</v>
      </c>
      <c r="AQ46" s="334">
        <f>IF(ROUND(AQ44,4)=ROUND(AQ26,4),0,AQ44-AQ26)</f>
        <v>0</v>
      </c>
      <c r="AR46" s="332">
        <f t="shared" si="132"/>
        <v>0</v>
      </c>
      <c r="AS46" s="333">
        <f t="shared" ref="AS46:AW46" si="133">IF(ROUND(AS44,4)=ROUND(AS26,4),0,AS44-AS26)</f>
        <v>0</v>
      </c>
      <c r="AT46" s="333">
        <f>IF(ROUND(AT44,4)=ROUND(AT26,4),0,AT44-AT26)</f>
        <v>0</v>
      </c>
      <c r="AU46" s="334">
        <f t="shared" si="133"/>
        <v>0</v>
      </c>
      <c r="AV46" s="332">
        <f t="shared" si="133"/>
        <v>0</v>
      </c>
      <c r="AW46" s="333">
        <f t="shared" si="133"/>
        <v>0</v>
      </c>
      <c r="AX46" s="333">
        <f>IF(ROUND(AX44,4)=ROUND(AX26,4),0,AX44-AX26)</f>
        <v>0</v>
      </c>
      <c r="AY46" s="334">
        <f t="shared" ref="AY46:BA46" si="134">IF(ROUND(AY44,4)=ROUND(AY26,4),0,AY44-AY26)</f>
        <v>0</v>
      </c>
      <c r="AZ46" s="332">
        <f t="shared" si="134"/>
        <v>0</v>
      </c>
      <c r="BA46" s="333">
        <f t="shared" si="134"/>
        <v>0</v>
      </c>
      <c r="BB46" s="333">
        <f>IF(ROUND(BB44,4)=ROUND(BB26,4),0,BB44-BB26)</f>
        <v>0</v>
      </c>
      <c r="BC46" s="334">
        <f t="shared" ref="BC46" si="135">IF(ROUND(BC44,4)=ROUND(BC26,4),0,BC44-BC26)</f>
        <v>0</v>
      </c>
      <c r="BD46" s="333">
        <f t="shared" ref="BD46:BG46" si="136">IF(ROUND(BD44,4)=ROUND(BD26,4),0,BD44-BD26)</f>
        <v>0</v>
      </c>
      <c r="BE46" s="333">
        <f t="shared" si="136"/>
        <v>0</v>
      </c>
      <c r="BF46" s="333">
        <f t="shared" si="136"/>
        <v>0</v>
      </c>
      <c r="BG46" s="334">
        <f t="shared" si="136"/>
        <v>0</v>
      </c>
      <c r="BH46" s="333">
        <f t="shared" ref="BH46:BK46" si="137">IF(ROUND(BH44,4)=ROUND(BH26,4),0,BH44-BH26)</f>
        <v>0</v>
      </c>
      <c r="BI46" s="333">
        <f t="shared" si="137"/>
        <v>0</v>
      </c>
      <c r="BJ46" s="333">
        <f t="shared" si="137"/>
        <v>0</v>
      </c>
      <c r="BK46" s="334">
        <f t="shared" si="137"/>
        <v>0</v>
      </c>
      <c r="BL46" s="35"/>
      <c r="BM46" s="333">
        <f t="shared" ref="BM46:BX46" si="138">IF(ROUND(BM44,4)=ROUND(BM26,4),0,BM44-BM26)</f>
        <v>0</v>
      </c>
      <c r="BN46" s="333">
        <f t="shared" si="138"/>
        <v>0</v>
      </c>
      <c r="BO46" s="333">
        <f t="shared" si="138"/>
        <v>0</v>
      </c>
      <c r="BP46" s="333">
        <f t="shared" si="138"/>
        <v>0</v>
      </c>
      <c r="BQ46" s="333">
        <f t="shared" si="138"/>
        <v>0</v>
      </c>
      <c r="BR46" s="333">
        <f t="shared" si="138"/>
        <v>0</v>
      </c>
      <c r="BS46" s="333">
        <f t="shared" si="138"/>
        <v>0</v>
      </c>
      <c r="BT46" s="333">
        <f t="shared" si="138"/>
        <v>0</v>
      </c>
      <c r="BU46" s="333">
        <f t="shared" si="138"/>
        <v>0</v>
      </c>
      <c r="BV46" s="333">
        <f t="shared" si="138"/>
        <v>0</v>
      </c>
      <c r="BW46" s="333">
        <f>IF(ROUND(BW44,4)=ROUND(BW26,4),0,BW44-BW26)</f>
        <v>0</v>
      </c>
      <c r="BX46" s="333">
        <f t="shared" si="138"/>
        <v>0</v>
      </c>
      <c r="BY46" s="333">
        <f>IF(ROUND(BY44,4)=ROUND(BY26,4),0,BY44-BY26)</f>
        <v>0</v>
      </c>
      <c r="BZ46" s="333">
        <f>IF(ROUND(BZ44,4)=ROUND(BZ26,4),0,BZ44-BZ26)</f>
        <v>0</v>
      </c>
      <c r="CA46" s="333">
        <f>IF(ROUND(CA44,4)=ROUND(CA26,4),0,CA44-CA26)</f>
        <v>0</v>
      </c>
      <c r="CB46" s="1207">
        <f>IF(ROUND(CB44,4)=ROUND(CB26,4),0,CB44-CB26)</f>
        <v>0</v>
      </c>
      <c r="CC46" s="37"/>
      <c r="CD46" s="26"/>
      <c r="CE46" s="26"/>
      <c r="CM46" s="180"/>
      <c r="CN46" s="620"/>
    </row>
    <row r="47" spans="1:93" ht="14.25" customHeight="1" outlineLevel="1">
      <c r="A47" s="18"/>
      <c r="B47" s="335"/>
      <c r="C47" s="201"/>
      <c r="D47" s="327"/>
      <c r="E47" s="327"/>
      <c r="F47" s="327"/>
      <c r="G47" s="327"/>
      <c r="H47" s="327"/>
      <c r="I47" s="327"/>
      <c r="J47" s="327"/>
      <c r="K47" s="327"/>
      <c r="L47" s="327"/>
      <c r="M47" s="327"/>
      <c r="N47" s="327"/>
      <c r="O47" s="327"/>
      <c r="P47" s="327"/>
      <c r="Q47" s="327"/>
      <c r="R47" s="327"/>
      <c r="S47" s="327"/>
      <c r="T47" s="327"/>
      <c r="U47" s="327"/>
      <c r="V47" s="327"/>
      <c r="W47" s="327"/>
      <c r="X47" s="327"/>
      <c r="Y47" s="327"/>
      <c r="Z47" s="336"/>
      <c r="AA47" s="336"/>
      <c r="AB47" s="336"/>
      <c r="AC47" s="336"/>
      <c r="AD47" s="336"/>
      <c r="AE47" s="336"/>
      <c r="AF47" s="327"/>
      <c r="AG47" s="336"/>
      <c r="AH47" s="336"/>
      <c r="AI47" s="337"/>
      <c r="AJ47" s="336"/>
      <c r="AK47" s="336"/>
      <c r="AL47" s="336"/>
      <c r="AM47" s="337"/>
      <c r="AN47" s="336"/>
      <c r="AO47" s="336"/>
      <c r="AP47" s="336"/>
      <c r="AQ47" s="337"/>
      <c r="AR47" s="336"/>
      <c r="AS47" s="336"/>
      <c r="AT47" s="336"/>
      <c r="AU47" s="337"/>
      <c r="AV47" s="336"/>
      <c r="AW47" s="336"/>
      <c r="AX47" s="336"/>
      <c r="AY47" s="337"/>
      <c r="AZ47" s="336"/>
      <c r="BA47" s="336"/>
      <c r="BB47" s="336"/>
      <c r="BC47" s="337"/>
      <c r="BD47" s="336"/>
      <c r="BE47" s="336"/>
      <c r="BF47" s="336"/>
      <c r="BG47" s="337"/>
      <c r="BH47" s="336"/>
      <c r="BI47" s="336"/>
      <c r="BJ47" s="336"/>
      <c r="BK47" s="337"/>
      <c r="BL47" s="26"/>
      <c r="BM47" s="274"/>
      <c r="BN47" s="274"/>
      <c r="BO47" s="274"/>
      <c r="BP47" s="274"/>
      <c r="BQ47" s="274"/>
      <c r="BR47" s="274"/>
      <c r="BS47" s="205"/>
      <c r="BT47" s="338"/>
      <c r="BU47" s="338"/>
      <c r="BV47" s="338"/>
      <c r="BW47" s="338"/>
      <c r="BX47" s="338"/>
      <c r="BY47" s="338"/>
      <c r="BZ47" s="338"/>
      <c r="CA47" s="338"/>
      <c r="CB47" s="338"/>
      <c r="CC47" s="26"/>
      <c r="CD47" s="26"/>
      <c r="CE47" s="18"/>
    </row>
    <row r="48" spans="1:93" ht="14.25" customHeight="1">
      <c r="A48" s="18"/>
      <c r="B48" s="339"/>
      <c r="C48" s="201"/>
      <c r="D48" s="327"/>
      <c r="E48" s="327"/>
      <c r="F48" s="327"/>
      <c r="G48" s="327"/>
      <c r="H48" s="327"/>
      <c r="I48" s="327"/>
      <c r="J48" s="327"/>
      <c r="K48" s="327"/>
      <c r="L48" s="327"/>
      <c r="M48" s="327"/>
      <c r="N48" s="327"/>
      <c r="O48" s="327"/>
      <c r="P48" s="327"/>
      <c r="Q48" s="327"/>
      <c r="R48" s="327"/>
      <c r="S48" s="327"/>
      <c r="T48" s="327"/>
      <c r="U48" s="327"/>
      <c r="V48" s="327"/>
      <c r="W48" s="327"/>
      <c r="X48" s="327"/>
      <c r="Y48" s="327"/>
      <c r="Z48" s="327"/>
      <c r="AA48" s="336"/>
      <c r="AB48" s="327"/>
      <c r="AC48" s="327"/>
      <c r="AD48" s="327"/>
      <c r="AE48" s="327"/>
      <c r="AF48" s="327"/>
      <c r="AG48" s="327"/>
      <c r="AH48" s="327"/>
      <c r="AI48" s="340"/>
      <c r="AJ48" s="327"/>
      <c r="AK48" s="327"/>
      <c r="AL48" s="327"/>
      <c r="AM48" s="340"/>
      <c r="AN48" s="327"/>
      <c r="AO48" s="327"/>
      <c r="AP48" s="327"/>
      <c r="AQ48" s="340"/>
      <c r="AR48" s="327"/>
      <c r="AS48" s="327"/>
      <c r="AT48" s="327"/>
      <c r="AU48" s="340"/>
      <c r="AV48" s="327"/>
      <c r="AW48" s="327"/>
      <c r="AX48" s="327"/>
      <c r="AY48" s="340"/>
      <c r="AZ48" s="327"/>
      <c r="BA48" s="327"/>
      <c r="BB48" s="327"/>
      <c r="BC48" s="340"/>
      <c r="BD48" s="327"/>
      <c r="BE48" s="327"/>
      <c r="BF48" s="327"/>
      <c r="BG48" s="340"/>
      <c r="BH48" s="327"/>
      <c r="BI48" s="327"/>
      <c r="BJ48" s="327"/>
      <c r="BK48" s="340"/>
      <c r="BL48" s="26"/>
      <c r="BM48" s="274"/>
      <c r="BN48" s="274"/>
      <c r="BO48" s="274"/>
      <c r="BP48" s="274"/>
      <c r="BQ48" s="274"/>
      <c r="BR48" s="274"/>
      <c r="BS48" s="274"/>
      <c r="BT48" s="274"/>
      <c r="BU48" s="274"/>
      <c r="BV48" s="274"/>
      <c r="BW48" s="274"/>
      <c r="BX48" s="274"/>
      <c r="BY48" s="274"/>
      <c r="BZ48" s="274"/>
      <c r="CA48" s="274"/>
      <c r="CB48" s="274"/>
      <c r="CC48" s="26"/>
      <c r="CD48" s="26"/>
      <c r="CE48" s="18"/>
    </row>
    <row r="49" spans="1:83" ht="14.25" customHeight="1">
      <c r="A49" s="18"/>
      <c r="B49" s="341" t="s">
        <v>194</v>
      </c>
      <c r="C49" s="342"/>
      <c r="D49" s="21" t="str">
        <f t="shared" ref="D49:W49" si="139">D7</f>
        <v>F1Q05A</v>
      </c>
      <c r="E49" s="22" t="str">
        <f t="shared" si="139"/>
        <v>F2Q05A</v>
      </c>
      <c r="F49" s="22" t="str">
        <f t="shared" si="139"/>
        <v>F3Q05A</v>
      </c>
      <c r="G49" s="23" t="str">
        <f t="shared" si="139"/>
        <v>F4Q05A</v>
      </c>
      <c r="H49" s="21" t="str">
        <f t="shared" si="139"/>
        <v>F1Q06A</v>
      </c>
      <c r="I49" s="22" t="str">
        <f t="shared" si="139"/>
        <v>F2Q06A</v>
      </c>
      <c r="J49" s="22" t="str">
        <f t="shared" si="139"/>
        <v>F3Q06A</v>
      </c>
      <c r="K49" s="23" t="str">
        <f t="shared" si="139"/>
        <v>F4Q06A</v>
      </c>
      <c r="L49" s="21" t="str">
        <f t="shared" si="139"/>
        <v>F1Q07A</v>
      </c>
      <c r="M49" s="22" t="str">
        <f t="shared" si="139"/>
        <v>F2Q07A</v>
      </c>
      <c r="N49" s="22" t="str">
        <f t="shared" si="139"/>
        <v>F3Q07A</v>
      </c>
      <c r="O49" s="23" t="str">
        <f t="shared" si="139"/>
        <v>F4Q07A</v>
      </c>
      <c r="P49" s="21" t="str">
        <f t="shared" si="139"/>
        <v>F1Q08A</v>
      </c>
      <c r="Q49" s="22" t="str">
        <f t="shared" si="139"/>
        <v>F2Q08A</v>
      </c>
      <c r="R49" s="22" t="str">
        <f t="shared" si="139"/>
        <v>F3Q08A</v>
      </c>
      <c r="S49" s="23" t="str">
        <f t="shared" si="139"/>
        <v>F4Q08A</v>
      </c>
      <c r="T49" s="21" t="str">
        <f t="shared" si="139"/>
        <v>F1Q09A</v>
      </c>
      <c r="U49" s="22" t="str">
        <f t="shared" si="139"/>
        <v>F2Q09A</v>
      </c>
      <c r="V49" s="22" t="str">
        <f t="shared" si="139"/>
        <v>F3Q09A</v>
      </c>
      <c r="W49" s="23" t="str">
        <f t="shared" si="139"/>
        <v>F4Q09A</v>
      </c>
      <c r="X49" s="21" t="str">
        <f>X7</f>
        <v>F1Q10A</v>
      </c>
      <c r="Y49" s="22" t="str">
        <f t="shared" ref="Y49:AR49" si="140">Y7</f>
        <v>F2Q10A</v>
      </c>
      <c r="Z49" s="22" t="str">
        <f t="shared" si="140"/>
        <v>F3Q10A</v>
      </c>
      <c r="AA49" s="23" t="str">
        <f t="shared" si="140"/>
        <v>F4Q10A</v>
      </c>
      <c r="AB49" s="21" t="str">
        <f>AB7</f>
        <v>F1Q11A</v>
      </c>
      <c r="AC49" s="22" t="str">
        <f t="shared" si="140"/>
        <v>F2Q11A</v>
      </c>
      <c r="AD49" s="22" t="str">
        <f t="shared" si="140"/>
        <v>F3Q11A</v>
      </c>
      <c r="AE49" s="23" t="str">
        <f t="shared" si="140"/>
        <v>F4Q11A</v>
      </c>
      <c r="AF49" s="21" t="str">
        <f>AF7</f>
        <v>F1Q12A</v>
      </c>
      <c r="AG49" s="22" t="str">
        <f t="shared" si="140"/>
        <v>F2Q12A</v>
      </c>
      <c r="AH49" s="22" t="str">
        <f t="shared" si="140"/>
        <v>F3Q12A</v>
      </c>
      <c r="AI49" s="23" t="str">
        <f t="shared" si="140"/>
        <v>F4Q12A</v>
      </c>
      <c r="AJ49" s="21" t="str">
        <f t="shared" si="140"/>
        <v>F1Q13A</v>
      </c>
      <c r="AK49" s="22" t="str">
        <f t="shared" si="140"/>
        <v>F2Q13A</v>
      </c>
      <c r="AL49" s="22" t="str">
        <f t="shared" si="140"/>
        <v>F3Q13A</v>
      </c>
      <c r="AM49" s="23" t="str">
        <f>AM7</f>
        <v>F4Q13A</v>
      </c>
      <c r="AN49" s="21" t="str">
        <f>AN7</f>
        <v>F1Q14A</v>
      </c>
      <c r="AO49" s="22" t="str">
        <f>AO7</f>
        <v>F2Q14A</v>
      </c>
      <c r="AP49" s="22" t="str">
        <f t="shared" si="140"/>
        <v>F3Q14A</v>
      </c>
      <c r="AQ49" s="23" t="str">
        <f t="shared" si="140"/>
        <v>F4Q14A</v>
      </c>
      <c r="AR49" s="21" t="str">
        <f t="shared" si="140"/>
        <v>F1Q15A</v>
      </c>
      <c r="AS49" s="22" t="str">
        <f t="shared" ref="AS49:BC49" si="141">AS7</f>
        <v>F2Q15A</v>
      </c>
      <c r="AT49" s="22" t="str">
        <f t="shared" si="141"/>
        <v>F3Q15A</v>
      </c>
      <c r="AU49" s="23" t="str">
        <f t="shared" si="141"/>
        <v>F4Q15A</v>
      </c>
      <c r="AV49" s="21" t="str">
        <f t="shared" si="141"/>
        <v>F1Q16A</v>
      </c>
      <c r="AW49" s="22" t="str">
        <f t="shared" si="141"/>
        <v>F2Q16A</v>
      </c>
      <c r="AX49" s="22" t="str">
        <f t="shared" ref="AX49:AZ49" si="142">AX7</f>
        <v>F3Q16A</v>
      </c>
      <c r="AY49" s="23" t="str">
        <f t="shared" si="142"/>
        <v>F4Q16A</v>
      </c>
      <c r="AZ49" s="21" t="str">
        <f t="shared" si="142"/>
        <v>F1Q17A</v>
      </c>
      <c r="BA49" s="22" t="str">
        <f t="shared" si="141"/>
        <v>F2Q17A</v>
      </c>
      <c r="BB49" s="22" t="str">
        <f t="shared" si="141"/>
        <v>F3Q17A</v>
      </c>
      <c r="BC49" s="23" t="str">
        <f t="shared" si="141"/>
        <v>F4Q17A</v>
      </c>
      <c r="BD49" s="22" t="str">
        <f t="shared" ref="BD49:BG49" si="143">BD7</f>
        <v>F1Q18A</v>
      </c>
      <c r="BE49" s="22" t="str">
        <f t="shared" si="143"/>
        <v>F2Q18E</v>
      </c>
      <c r="BF49" s="22" t="str">
        <f t="shared" si="143"/>
        <v>F3Q18E</v>
      </c>
      <c r="BG49" s="23" t="str">
        <f t="shared" si="143"/>
        <v>F4Q18E</v>
      </c>
      <c r="BH49" s="22" t="str">
        <f t="shared" ref="BH49:BK49" si="144">BH7</f>
        <v>F1Q19E</v>
      </c>
      <c r="BI49" s="22" t="str">
        <f t="shared" si="144"/>
        <v>F2Q19E</v>
      </c>
      <c r="BJ49" s="22" t="str">
        <f t="shared" si="144"/>
        <v>F3Q19E</v>
      </c>
      <c r="BK49" s="23" t="str">
        <f t="shared" si="144"/>
        <v>F4Q19E</v>
      </c>
      <c r="BL49" s="35"/>
      <c r="BM49" s="343" t="str">
        <f t="shared" ref="BM49:BY49" si="145">BM7</f>
        <v>FY2005A</v>
      </c>
      <c r="BN49" s="22" t="str">
        <f t="shared" si="145"/>
        <v>FY2006A</v>
      </c>
      <c r="BO49" s="22" t="str">
        <f t="shared" si="145"/>
        <v>FY2007A</v>
      </c>
      <c r="BP49" s="22" t="str">
        <f t="shared" si="145"/>
        <v>FY2008A</v>
      </c>
      <c r="BQ49" s="22" t="str">
        <f t="shared" si="145"/>
        <v>FY2009A</v>
      </c>
      <c r="BR49" s="21" t="str">
        <f t="shared" si="145"/>
        <v>FY2010A</v>
      </c>
      <c r="BS49" s="22" t="str">
        <f t="shared" si="145"/>
        <v>FY2011A</v>
      </c>
      <c r="BT49" s="22" t="str">
        <f t="shared" si="145"/>
        <v>FY2012A</v>
      </c>
      <c r="BU49" s="22" t="str">
        <f t="shared" si="145"/>
        <v>FY2013A</v>
      </c>
      <c r="BV49" s="22" t="str">
        <f t="shared" si="145"/>
        <v>FY2014</v>
      </c>
      <c r="BW49" s="22" t="str">
        <f>BW7</f>
        <v>FY2015</v>
      </c>
      <c r="BX49" s="22" t="str">
        <f t="shared" si="145"/>
        <v>FY2016</v>
      </c>
      <c r="BY49" s="22" t="str">
        <f t="shared" si="145"/>
        <v>FY2017A</v>
      </c>
      <c r="BZ49" s="22" t="str">
        <f t="shared" ref="BZ49:CB49" si="146">BZ7</f>
        <v>FY2018E</v>
      </c>
      <c r="CA49" s="22" t="str">
        <f t="shared" si="146"/>
        <v>FY2019E</v>
      </c>
      <c r="CB49" s="23" t="str">
        <f t="shared" si="146"/>
        <v>FY2020E</v>
      </c>
      <c r="CC49" s="37"/>
      <c r="CD49" s="26"/>
      <c r="CE49" s="26"/>
    </row>
    <row r="50" spans="1:83" ht="14.25" customHeight="1">
      <c r="A50" s="18"/>
      <c r="B50" s="297" t="s">
        <v>195</v>
      </c>
      <c r="C50" s="68"/>
      <c r="D50" s="248">
        <f t="shared" ref="D50:AJ50" si="147">D12/(D56*4)*360</f>
        <v>30.775916896332415</v>
      </c>
      <c r="E50" s="249">
        <f t="shared" si="147"/>
        <v>33.617159571010724</v>
      </c>
      <c r="F50" s="249">
        <f t="shared" si="147"/>
        <v>33.867469879518069</v>
      </c>
      <c r="G50" s="171">
        <f t="shared" si="147"/>
        <v>34.531908636408197</v>
      </c>
      <c r="H50" s="248">
        <f t="shared" si="147"/>
        <v>39.382550335570471</v>
      </c>
      <c r="I50" s="249">
        <f t="shared" si="147"/>
        <v>35.712323635909598</v>
      </c>
      <c r="J50" s="249">
        <f t="shared" si="147"/>
        <v>34.582904222451077</v>
      </c>
      <c r="K50" s="171">
        <f t="shared" si="147"/>
        <v>25.150608623891063</v>
      </c>
      <c r="L50" s="248">
        <f t="shared" si="147"/>
        <v>28.264798915499323</v>
      </c>
      <c r="M50" s="249">
        <f t="shared" si="147"/>
        <v>26.243087557603687</v>
      </c>
      <c r="N50" s="249">
        <f t="shared" si="147"/>
        <v>26.161546085232906</v>
      </c>
      <c r="O50" s="171">
        <f t="shared" si="147"/>
        <v>21.643017176997759</v>
      </c>
      <c r="P50" s="248">
        <f t="shared" si="147"/>
        <v>25.354078362452185</v>
      </c>
      <c r="Q50" s="249">
        <f t="shared" si="147"/>
        <v>22.799366420274552</v>
      </c>
      <c r="R50" s="249">
        <f t="shared" si="147"/>
        <v>24.109816971713808</v>
      </c>
      <c r="S50" s="171">
        <f t="shared" si="147"/>
        <v>18.730853391684899</v>
      </c>
      <c r="T50" s="248">
        <f t="shared" si="147"/>
        <v>26.275717284814554</v>
      </c>
      <c r="U50" s="249">
        <f t="shared" si="147"/>
        <v>21.737288135593221</v>
      </c>
      <c r="V50" s="249">
        <f t="shared" si="147"/>
        <v>19.41101288742145</v>
      </c>
      <c r="W50" s="171">
        <f t="shared" si="147"/>
        <v>19.355662787397105</v>
      </c>
      <c r="X50" s="248">
        <f t="shared" si="147"/>
        <v>19.155257792018642</v>
      </c>
      <c r="Y50" s="249">
        <f t="shared" si="147"/>
        <v>20.315838365071993</v>
      </c>
      <c r="Z50" s="249">
        <f t="shared" si="147"/>
        <v>23.59845072959827</v>
      </c>
      <c r="AA50" s="171">
        <f t="shared" si="147"/>
        <v>22.521602513747052</v>
      </c>
      <c r="AB50" s="248">
        <f t="shared" si="147"/>
        <v>24.813575153732391</v>
      </c>
      <c r="AC50" s="344">
        <f t="shared" si="147"/>
        <v>23.1975138121547</v>
      </c>
      <c r="AD50" s="249">
        <f t="shared" si="147"/>
        <v>24.161455771797932</v>
      </c>
      <c r="AE50" s="171">
        <f t="shared" si="147"/>
        <v>23.655217109526895</v>
      </c>
      <c r="AF50" s="248">
        <f t="shared" si="147"/>
        <v>28.152022315202235</v>
      </c>
      <c r="AG50" s="344">
        <f t="shared" si="147"/>
        <v>23.624916672839049</v>
      </c>
      <c r="AH50" s="344">
        <f t="shared" si="147"/>
        <v>26.337222263505982</v>
      </c>
      <c r="AI50" s="171">
        <f t="shared" si="147"/>
        <v>25.5969429398234</v>
      </c>
      <c r="AJ50" s="248">
        <f t="shared" si="147"/>
        <v>25.297297297297298</v>
      </c>
      <c r="AK50" s="344">
        <f t="shared" ref="AK50:AP50" si="148">AK12/(AK56*4)*360</f>
        <v>24.405588946998673</v>
      </c>
      <c r="AL50" s="344">
        <f t="shared" si="148"/>
        <v>24.824593933100942</v>
      </c>
      <c r="AM50" s="171">
        <f t="shared" si="148"/>
        <v>23.303455255168423</v>
      </c>
      <c r="AN50" s="248">
        <f t="shared" si="148"/>
        <v>24.714039486054528</v>
      </c>
      <c r="AO50" s="344">
        <f t="shared" si="148"/>
        <v>22.703347552599233</v>
      </c>
      <c r="AP50" s="344">
        <f t="shared" si="148"/>
        <v>22.552562869314279</v>
      </c>
      <c r="AQ50" s="171">
        <f>AQ12/(AQ56*4)*360</f>
        <v>27.065416751579377</v>
      </c>
      <c r="AR50" s="248">
        <f>AR12/(AR56*4)*360</f>
        <v>22.857366403254833</v>
      </c>
      <c r="AS50" s="344">
        <f t="shared" ref="AS50:AT50" si="149">AS12/(AS56*4)*360</f>
        <v>26.328154604016671</v>
      </c>
      <c r="AT50" s="344">
        <f t="shared" si="149"/>
        <v>25.516073280331838</v>
      </c>
      <c r="AU50" s="171">
        <f>AU12/(AU56*4)*360</f>
        <v>28.887622368244603</v>
      </c>
      <c r="AV50" s="248">
        <f>AV12/(AV56*4)*360</f>
        <v>27.692307692307693</v>
      </c>
      <c r="AW50" s="344">
        <f t="shared" ref="AW50:AX50" si="150">AW12/(AW56*4)*360</f>
        <v>29.434715140767011</v>
      </c>
      <c r="AX50" s="344">
        <f t="shared" si="150"/>
        <v>28.2469260996324</v>
      </c>
      <c r="AY50" s="171">
        <f>AY12/(AY56*4)*360</f>
        <v>25.77867350677904</v>
      </c>
      <c r="AZ50" s="248">
        <f>AZ12/(AZ56*4)*360</f>
        <v>29.933090024330898</v>
      </c>
      <c r="BA50" s="344">
        <f t="shared" ref="BA50:BB50" si="151">BA12/(BA56*4)*360</f>
        <v>32.901849217638691</v>
      </c>
      <c r="BB50" s="344">
        <f t="shared" si="151"/>
        <v>33.182240386401638</v>
      </c>
      <c r="BC50" s="171">
        <f>BC12/(BC56*4)*360</f>
        <v>29.59186066967689</v>
      </c>
      <c r="BD50" s="248">
        <f>BD12/(BD56*4)*360</f>
        <v>27.331632017926054</v>
      </c>
      <c r="BE50" s="346">
        <v>27</v>
      </c>
      <c r="BF50" s="346">
        <v>27</v>
      </c>
      <c r="BG50" s="345">
        <v>27</v>
      </c>
      <c r="BH50" s="346">
        <v>26</v>
      </c>
      <c r="BI50" s="346">
        <f>BH50</f>
        <v>26</v>
      </c>
      <c r="BJ50" s="346">
        <f>BI50</f>
        <v>26</v>
      </c>
      <c r="BK50" s="345">
        <f>BJ50</f>
        <v>26</v>
      </c>
      <c r="BL50" s="132"/>
      <c r="BM50" s="347">
        <f t="shared" ref="BM50:BV50" si="152">BM12/BM56*360</f>
        <v>36.29114510894761</v>
      </c>
      <c r="BN50" s="249">
        <f t="shared" si="152"/>
        <v>27.563167712396137</v>
      </c>
      <c r="BO50" s="249">
        <f t="shared" si="152"/>
        <v>24.191579276882138</v>
      </c>
      <c r="BP50" s="249">
        <f t="shared" si="152"/>
        <v>16.39759484914596</v>
      </c>
      <c r="BQ50" s="249">
        <f t="shared" si="152"/>
        <v>23.294901357929795</v>
      </c>
      <c r="BR50" s="249">
        <f t="shared" si="152"/>
        <v>23.659995873736328</v>
      </c>
      <c r="BS50" s="249">
        <f t="shared" si="152"/>
        <v>24.333783958962204</v>
      </c>
      <c r="BT50" s="249">
        <f t="shared" si="152"/>
        <v>25.869031326746779</v>
      </c>
      <c r="BU50" s="249">
        <f t="shared" si="152"/>
        <v>24.465356302648555</v>
      </c>
      <c r="BV50" s="249">
        <f t="shared" si="152"/>
        <v>28.525505638088422</v>
      </c>
      <c r="BW50" s="249">
        <f>BW12/BW56*360</f>
        <v>31.132147050853579</v>
      </c>
      <c r="BX50" s="249">
        <f>BX12/BX56*360</f>
        <v>28.430464579790186</v>
      </c>
      <c r="BY50" s="980">
        <f>BY12/BY56*360</f>
        <v>32.162011440225619</v>
      </c>
      <c r="BZ50" s="980">
        <f>BZ12/BZ56*360</f>
        <v>28.341448915190828</v>
      </c>
      <c r="CA50" s="980">
        <f>CA12/CA56*360</f>
        <v>27.651784498157763</v>
      </c>
      <c r="CB50" s="1183">
        <f>CA50</f>
        <v>27.651784498157763</v>
      </c>
      <c r="CC50" s="37"/>
      <c r="CD50" s="26"/>
      <c r="CE50" s="26"/>
    </row>
    <row r="51" spans="1:83" ht="14.25" customHeight="1">
      <c r="A51" s="18"/>
      <c r="B51" s="297" t="s">
        <v>196</v>
      </c>
      <c r="C51" s="68"/>
      <c r="D51" s="248">
        <f t="shared" ref="D51:BK51" si="153">360/D52</f>
        <v>5.4643874643874648</v>
      </c>
      <c r="E51" s="249">
        <f t="shared" si="153"/>
        <v>5.8824388462942689</v>
      </c>
      <c r="F51" s="249">
        <f t="shared" si="153"/>
        <v>5.7008880994671411</v>
      </c>
      <c r="G51" s="171">
        <f t="shared" si="153"/>
        <v>4.9916826615483041</v>
      </c>
      <c r="H51" s="248">
        <f t="shared" si="153"/>
        <v>4.4821979254275304</v>
      </c>
      <c r="I51" s="249">
        <f t="shared" si="153"/>
        <v>3.5438596491228074</v>
      </c>
      <c r="J51" s="249">
        <f t="shared" si="153"/>
        <v>3.9714094259548802</v>
      </c>
      <c r="K51" s="171">
        <f t="shared" si="153"/>
        <v>4.5285118219749654</v>
      </c>
      <c r="L51" s="248">
        <f t="shared" si="153"/>
        <v>4.0494732020155748</v>
      </c>
      <c r="M51" s="249">
        <f t="shared" si="153"/>
        <v>4.4632905258056699</v>
      </c>
      <c r="N51" s="249">
        <f t="shared" si="153"/>
        <v>5.5613340870548331</v>
      </c>
      <c r="O51" s="171">
        <f t="shared" si="153"/>
        <v>5.3246290801186946</v>
      </c>
      <c r="P51" s="248">
        <f t="shared" si="153"/>
        <v>5.4596577017114925</v>
      </c>
      <c r="Q51" s="249">
        <f t="shared" si="153"/>
        <v>5.1712098009188363</v>
      </c>
      <c r="R51" s="249">
        <f t="shared" si="153"/>
        <v>4.941730429664509</v>
      </c>
      <c r="S51" s="171">
        <f t="shared" si="153"/>
        <v>4.1207264957264957</v>
      </c>
      <c r="T51" s="248">
        <f t="shared" si="153"/>
        <v>5.1323481116584571</v>
      </c>
      <c r="U51" s="249">
        <f t="shared" si="153"/>
        <v>5.6256684491978612</v>
      </c>
      <c r="V51" s="249">
        <f t="shared" si="153"/>
        <v>6.4016064257028109</v>
      </c>
      <c r="W51" s="171">
        <f t="shared" si="153"/>
        <v>5.0821124361158434</v>
      </c>
      <c r="X51" s="248">
        <f t="shared" si="153"/>
        <v>5.0502344273275277</v>
      </c>
      <c r="Y51" s="249">
        <f t="shared" si="153"/>
        <v>4.2212257100149477</v>
      </c>
      <c r="Z51" s="249">
        <f t="shared" si="153"/>
        <v>4.4183464796961731</v>
      </c>
      <c r="AA51" s="171">
        <f t="shared" si="153"/>
        <v>4.3130157040191639</v>
      </c>
      <c r="AB51" s="248">
        <f t="shared" si="153"/>
        <v>4.8421566235667228</v>
      </c>
      <c r="AC51" s="249">
        <f t="shared" si="153"/>
        <v>5.0918114143920592</v>
      </c>
      <c r="AD51" s="249">
        <f t="shared" si="153"/>
        <v>5.2690073250820912</v>
      </c>
      <c r="AE51" s="171">
        <f t="shared" si="153"/>
        <v>4.8193359375</v>
      </c>
      <c r="AF51" s="248">
        <f t="shared" si="153"/>
        <v>4.13544219202495</v>
      </c>
      <c r="AG51" s="249">
        <f>360/AG52</f>
        <v>4.0350734094616643</v>
      </c>
      <c r="AH51" s="249">
        <f>360/AH52</f>
        <v>3.7164880616657272</v>
      </c>
      <c r="AI51" s="171">
        <f t="shared" si="153"/>
        <v>4.7824250105618926</v>
      </c>
      <c r="AJ51" s="248">
        <f t="shared" si="153"/>
        <v>5.0610371730151442</v>
      </c>
      <c r="AK51" s="249">
        <f>360/AK52</f>
        <v>4.7036547776309998</v>
      </c>
      <c r="AL51" s="249">
        <f>360/AL52</f>
        <v>4.4729759541142728</v>
      </c>
      <c r="AM51" s="171">
        <f t="shared" si="153"/>
        <v>5.0460210930009586</v>
      </c>
      <c r="AN51" s="248">
        <f t="shared" si="153"/>
        <v>5.4754185490300289</v>
      </c>
      <c r="AO51" s="249">
        <f t="shared" si="153"/>
        <v>4.9850367740299264</v>
      </c>
      <c r="AP51" s="249">
        <f t="shared" si="153"/>
        <v>4.9535844471445936</v>
      </c>
      <c r="AQ51" s="171">
        <f t="shared" si="153"/>
        <v>4.7741633512754502</v>
      </c>
      <c r="AR51" s="248">
        <f t="shared" si="153"/>
        <v>4.5731100045269351</v>
      </c>
      <c r="AS51" s="249">
        <f t="shared" si="153"/>
        <v>4.1070983810709834</v>
      </c>
      <c r="AT51" s="249">
        <f t="shared" si="153"/>
        <v>4.313393756294059</v>
      </c>
      <c r="AU51" s="171">
        <f t="shared" si="153"/>
        <v>4.1215405457712411</v>
      </c>
      <c r="AV51" s="248">
        <f t="shared" si="153"/>
        <v>3.8754999130585985</v>
      </c>
      <c r="AW51" s="249">
        <f t="shared" si="153"/>
        <v>3.8344827586206898</v>
      </c>
      <c r="AX51" s="249">
        <f t="shared" si="153"/>
        <v>4.0083001902126929</v>
      </c>
      <c r="AY51" s="171">
        <f t="shared" si="153"/>
        <v>4.5157572483342339</v>
      </c>
      <c r="AZ51" s="248">
        <f t="shared" si="153"/>
        <v>3.895190484399242</v>
      </c>
      <c r="BA51" s="249">
        <f t="shared" si="153"/>
        <v>3.5831752055660973</v>
      </c>
      <c r="BB51" s="249">
        <f t="shared" si="153"/>
        <v>3.516813392986001</v>
      </c>
      <c r="BC51" s="171">
        <f t="shared" si="153"/>
        <v>3.6007446656164968</v>
      </c>
      <c r="BD51" s="248">
        <f t="shared" si="153"/>
        <v>3.5460397425132935</v>
      </c>
      <c r="BE51" s="249">
        <f t="shared" si="153"/>
        <v>4</v>
      </c>
      <c r="BF51" s="249">
        <f t="shared" si="153"/>
        <v>4</v>
      </c>
      <c r="BG51" s="171">
        <f t="shared" si="153"/>
        <v>4</v>
      </c>
      <c r="BH51" s="249">
        <f t="shared" si="153"/>
        <v>4</v>
      </c>
      <c r="BI51" s="249">
        <f t="shared" si="153"/>
        <v>4</v>
      </c>
      <c r="BJ51" s="249">
        <f t="shared" si="153"/>
        <v>4</v>
      </c>
      <c r="BK51" s="171">
        <f t="shared" si="153"/>
        <v>4</v>
      </c>
      <c r="BL51" s="132"/>
      <c r="BM51" s="249">
        <f t="shared" ref="BM51:CB51" si="154">360/BM52</f>
        <v>4.9778876239055565</v>
      </c>
      <c r="BN51" s="249">
        <f t="shared" si="154"/>
        <v>3.9241716996589626</v>
      </c>
      <c r="BO51" s="249">
        <f t="shared" si="154"/>
        <v>5.3939270761351157</v>
      </c>
      <c r="BP51" s="249">
        <f t="shared" si="154"/>
        <v>4.4104320337197045</v>
      </c>
      <c r="BQ51" s="249">
        <f t="shared" si="154"/>
        <v>5.2309257660264636</v>
      </c>
      <c r="BR51" s="249">
        <f t="shared" si="154"/>
        <v>3.9725079395174667</v>
      </c>
      <c r="BS51" s="249">
        <f t="shared" si="154"/>
        <v>4.8741973458904111</v>
      </c>
      <c r="BT51" s="249">
        <f t="shared" si="154"/>
        <v>4.2064690869316115</v>
      </c>
      <c r="BU51" s="249">
        <f t="shared" si="154"/>
        <v>5.0088128291677068</v>
      </c>
      <c r="BV51" s="249">
        <f t="shared" si="154"/>
        <v>4.6766796290181416</v>
      </c>
      <c r="BW51" s="249">
        <f t="shared" si="154"/>
        <v>3.9467325572455341</v>
      </c>
      <c r="BX51" s="249">
        <f t="shared" si="154"/>
        <v>4.1199795741657601</v>
      </c>
      <c r="BY51" s="980">
        <f t="shared" si="154"/>
        <v>3.3463342481447116</v>
      </c>
      <c r="BZ51" s="980">
        <f t="shared" si="154"/>
        <v>3.8039825457045398</v>
      </c>
      <c r="CA51" s="980">
        <f t="shared" si="154"/>
        <v>3.7339445562801106</v>
      </c>
      <c r="CB51" s="1174">
        <f t="shared" si="154"/>
        <v>3.7339445562801106</v>
      </c>
      <c r="CC51" s="37"/>
      <c r="CD51" s="26"/>
      <c r="CE51" s="26"/>
    </row>
    <row r="52" spans="1:83" ht="14.25" customHeight="1">
      <c r="A52" s="18"/>
      <c r="B52" s="297" t="s">
        <v>197</v>
      </c>
      <c r="C52" s="68"/>
      <c r="D52" s="248">
        <f t="shared" ref="D52:AJ52" si="155">(D13/D57)*90</f>
        <v>65.881126173096973</v>
      </c>
      <c r="E52" s="249">
        <f t="shared" si="155"/>
        <v>61.199106256206548</v>
      </c>
      <c r="F52" s="249">
        <f t="shared" si="155"/>
        <v>63.148055832502486</v>
      </c>
      <c r="G52" s="171">
        <f t="shared" si="155"/>
        <v>72.119969238656765</v>
      </c>
      <c r="H52" s="248">
        <f t="shared" si="155"/>
        <v>80.317738303727793</v>
      </c>
      <c r="I52" s="249">
        <f t="shared" si="155"/>
        <v>101.58415841584157</v>
      </c>
      <c r="J52" s="249">
        <f t="shared" si="155"/>
        <v>90.647919010123744</v>
      </c>
      <c r="K52" s="171">
        <f t="shared" si="155"/>
        <v>79.496314496314497</v>
      </c>
      <c r="L52" s="248">
        <f t="shared" si="155"/>
        <v>88.90045248868779</v>
      </c>
      <c r="M52" s="249">
        <f t="shared" si="155"/>
        <v>80.657980456026067</v>
      </c>
      <c r="N52" s="249">
        <f t="shared" si="155"/>
        <v>64.732669241715797</v>
      </c>
      <c r="O52" s="171">
        <f t="shared" si="155"/>
        <v>67.610343290236287</v>
      </c>
      <c r="P52" s="248">
        <f t="shared" si="155"/>
        <v>65.938199731303172</v>
      </c>
      <c r="Q52" s="249">
        <f t="shared" si="155"/>
        <v>69.616204690831552</v>
      </c>
      <c r="R52" s="249">
        <f t="shared" si="155"/>
        <v>72.848975702715578</v>
      </c>
      <c r="S52" s="171">
        <f t="shared" si="155"/>
        <v>87.363235675395387</v>
      </c>
      <c r="T52" s="248">
        <f t="shared" si="155"/>
        <v>70.143332480163807</v>
      </c>
      <c r="U52" s="249">
        <f t="shared" si="155"/>
        <v>63.992395437262353</v>
      </c>
      <c r="V52" s="249">
        <f t="shared" si="155"/>
        <v>56.235884567126732</v>
      </c>
      <c r="W52" s="171">
        <f t="shared" si="155"/>
        <v>70.836685438455348</v>
      </c>
      <c r="X52" s="248">
        <f t="shared" si="155"/>
        <v>71.283819628647223</v>
      </c>
      <c r="Y52" s="249">
        <f t="shared" si="155"/>
        <v>85.283286118980172</v>
      </c>
      <c r="Z52" s="249">
        <f t="shared" si="155"/>
        <v>81.478444855858243</v>
      </c>
      <c r="AA52" s="171">
        <f t="shared" si="155"/>
        <v>83.468279437176008</v>
      </c>
      <c r="AB52" s="248">
        <f t="shared" si="155"/>
        <v>74.347037484885135</v>
      </c>
      <c r="AC52" s="344">
        <f t="shared" si="155"/>
        <v>70.701754385964918</v>
      </c>
      <c r="AD52" s="249">
        <f t="shared" si="155"/>
        <v>68.324065196548418</v>
      </c>
      <c r="AE52" s="171">
        <f t="shared" si="155"/>
        <v>74.699088145896653</v>
      </c>
      <c r="AF52" s="248">
        <f t="shared" si="155"/>
        <v>87.052359405300578</v>
      </c>
      <c r="AG52" s="344">
        <f t="shared" si="155"/>
        <v>89.217707701637352</v>
      </c>
      <c r="AH52" s="344">
        <f t="shared" si="155"/>
        <v>96.865641440712253</v>
      </c>
      <c r="AI52" s="171">
        <f t="shared" si="155"/>
        <v>75.275618374558306</v>
      </c>
      <c r="AJ52" s="248">
        <f t="shared" si="155"/>
        <v>71.131664853101199</v>
      </c>
      <c r="AK52" s="344">
        <f t="shared" ref="AK52:AP52" si="156">(AK13/AK57)*90</f>
        <v>76.53622917056731</v>
      </c>
      <c r="AL52" s="344">
        <f t="shared" si="156"/>
        <v>80.483330045373847</v>
      </c>
      <c r="AM52" s="171">
        <f t="shared" si="156"/>
        <v>71.343340300209007</v>
      </c>
      <c r="AN52" s="248">
        <f t="shared" si="156"/>
        <v>65.74839836924869</v>
      </c>
      <c r="AO52" s="344">
        <f t="shared" si="156"/>
        <v>72.216117216117212</v>
      </c>
      <c r="AP52" s="344">
        <f t="shared" si="156"/>
        <v>72.674646781789633</v>
      </c>
      <c r="AQ52" s="171">
        <f>(AQ13/AQ57)*90</f>
        <v>75.405882352941177</v>
      </c>
      <c r="AR52" s="248">
        <f>(AR13/AR57)*90</f>
        <v>78.721045337556916</v>
      </c>
      <c r="AS52" s="344">
        <f t="shared" ref="AS52:AT52" si="157">(AS13/AS57)*90</f>
        <v>87.653123104912069</v>
      </c>
      <c r="AT52" s="344">
        <f t="shared" si="157"/>
        <v>83.460963765409033</v>
      </c>
      <c r="AU52" s="171">
        <f>(AU13/AU57)*90</f>
        <v>87.345980465815174</v>
      </c>
      <c r="AV52" s="248">
        <f>(AV13/AV57)*90</f>
        <v>92.891241923905241</v>
      </c>
      <c r="AW52" s="344">
        <f t="shared" ref="AW52:AX52" si="158">(AW13/AW57)*90</f>
        <v>93.884892086330936</v>
      </c>
      <c r="AX52" s="344">
        <f t="shared" si="158"/>
        <v>89.813632441760134</v>
      </c>
      <c r="AY52" s="171">
        <f>(AY13/AY57)*90</f>
        <v>79.720848620194602</v>
      </c>
      <c r="AZ52" s="248">
        <f>(AZ13/AZ57)*90</f>
        <v>92.421667551779066</v>
      </c>
      <c r="BA52" s="344">
        <f t="shared" ref="BA52:BB52" si="159">(BA13/BA57)*90</f>
        <v>100.46954986760812</v>
      </c>
      <c r="BB52" s="344">
        <f t="shared" si="159"/>
        <v>102.36539724228496</v>
      </c>
      <c r="BC52" s="171">
        <f>(BC13/BC57)*90</f>
        <v>99.979319121858111</v>
      </c>
      <c r="BD52" s="248">
        <f>(BD13/BD57)*90</f>
        <v>101.52170481452251</v>
      </c>
      <c r="BE52" s="346">
        <v>90</v>
      </c>
      <c r="BF52" s="346">
        <f t="shared" ref="BF52:BK52" si="160">BE52</f>
        <v>90</v>
      </c>
      <c r="BG52" s="345">
        <f t="shared" si="160"/>
        <v>90</v>
      </c>
      <c r="BH52" s="346">
        <f>BG52</f>
        <v>90</v>
      </c>
      <c r="BI52" s="346">
        <f t="shared" si="160"/>
        <v>90</v>
      </c>
      <c r="BJ52" s="346">
        <f t="shared" si="160"/>
        <v>90</v>
      </c>
      <c r="BK52" s="345">
        <f t="shared" si="160"/>
        <v>90</v>
      </c>
      <c r="BL52" s="132"/>
      <c r="BM52" s="249">
        <f t="shared" ref="BM52:BV52" si="161">(BM13/BM57)*365</f>
        <v>72.31983266780756</v>
      </c>
      <c r="BN52" s="249">
        <f t="shared" si="161"/>
        <v>91.739105103705441</v>
      </c>
      <c r="BO52" s="249">
        <f t="shared" si="161"/>
        <v>66.741725447639723</v>
      </c>
      <c r="BP52" s="249">
        <f t="shared" si="161"/>
        <v>81.624656552383229</v>
      </c>
      <c r="BQ52" s="249">
        <f t="shared" si="161"/>
        <v>68.82146987022999</v>
      </c>
      <c r="BR52" s="249">
        <f t="shared" si="161"/>
        <v>90.62285223367698</v>
      </c>
      <c r="BS52" s="249">
        <f t="shared" si="161"/>
        <v>73.858314395810694</v>
      </c>
      <c r="BT52" s="249">
        <f t="shared" si="161"/>
        <v>85.582466567607725</v>
      </c>
      <c r="BU52" s="249">
        <f t="shared" si="161"/>
        <v>71.873318544390429</v>
      </c>
      <c r="BV52" s="249">
        <f t="shared" si="161"/>
        <v>76.977691130743793</v>
      </c>
      <c r="BW52" s="249">
        <f>(BW13/BW57)*365</f>
        <v>91.214693364287086</v>
      </c>
      <c r="BX52" s="249">
        <f>(BX13/BX57)*365</f>
        <v>87.379073978272118</v>
      </c>
      <c r="BY52" s="980">
        <f>(BY13/BY57)*365</f>
        <v>107.58040688840114</v>
      </c>
      <c r="BZ52" s="980">
        <f>(BZ13/BZ57)*365</f>
        <v>94.637658210738195</v>
      </c>
      <c r="CA52" s="980">
        <f>(CA13/CA57)*365</f>
        <v>96.412786685468333</v>
      </c>
      <c r="CB52" s="1183">
        <f>CA52</f>
        <v>96.412786685468333</v>
      </c>
      <c r="CC52" s="37"/>
      <c r="CD52" s="26"/>
      <c r="CE52" s="26"/>
    </row>
    <row r="53" spans="1:83" ht="14.25" customHeight="1">
      <c r="A53" s="18"/>
      <c r="B53" s="297" t="s">
        <v>198</v>
      </c>
      <c r="C53" s="68"/>
      <c r="D53" s="248">
        <f t="shared" ref="D53:AJ53" si="162">(D30/D57)*90</f>
        <v>48.824296141814393</v>
      </c>
      <c r="E53" s="249">
        <f t="shared" si="162"/>
        <v>44.530784508440917</v>
      </c>
      <c r="F53" s="249">
        <f t="shared" si="162"/>
        <v>46.592721834496515</v>
      </c>
      <c r="G53" s="171">
        <f t="shared" si="162"/>
        <v>51.886695719046401</v>
      </c>
      <c r="H53" s="248">
        <f t="shared" si="162"/>
        <v>54.288216162121586</v>
      </c>
      <c r="I53" s="249">
        <f t="shared" si="162"/>
        <v>58.108389786347054</v>
      </c>
      <c r="J53" s="249">
        <f t="shared" si="162"/>
        <v>48.614173228346452</v>
      </c>
      <c r="K53" s="171">
        <f t="shared" si="162"/>
        <v>41.572481572481571</v>
      </c>
      <c r="L53" s="248">
        <f t="shared" si="162"/>
        <v>46.282805429864247</v>
      </c>
      <c r="M53" s="249">
        <f t="shared" si="162"/>
        <v>42.586319218241044</v>
      </c>
      <c r="N53" s="249">
        <f t="shared" si="162"/>
        <v>42.776987192518803</v>
      </c>
      <c r="O53" s="171">
        <f t="shared" si="162"/>
        <v>47.367365135978602</v>
      </c>
      <c r="P53" s="248">
        <f t="shared" si="162"/>
        <v>47.115987460815042</v>
      </c>
      <c r="Q53" s="249">
        <f t="shared" si="162"/>
        <v>50.724946695095944</v>
      </c>
      <c r="R53" s="249">
        <f t="shared" si="162"/>
        <v>53.747022391615054</v>
      </c>
      <c r="S53" s="171">
        <f t="shared" si="162"/>
        <v>55.768732175265747</v>
      </c>
      <c r="T53" s="248">
        <f t="shared" si="162"/>
        <v>38.446378295367289</v>
      </c>
      <c r="U53" s="249">
        <f t="shared" si="162"/>
        <v>39.376425855513311</v>
      </c>
      <c r="V53" s="249">
        <f t="shared" si="162"/>
        <v>43.06900878293601</v>
      </c>
      <c r="W53" s="171">
        <f t="shared" si="162"/>
        <v>45.446500402252617</v>
      </c>
      <c r="X53" s="248">
        <f t="shared" si="162"/>
        <v>45.644562334217504</v>
      </c>
      <c r="Y53" s="249">
        <f t="shared" si="162"/>
        <v>54.20396600566572</v>
      </c>
      <c r="Z53" s="249">
        <f t="shared" si="162"/>
        <v>45.297540333245173</v>
      </c>
      <c r="AA53" s="171">
        <f t="shared" si="162"/>
        <v>50.876326832880778</v>
      </c>
      <c r="AB53" s="248">
        <f t="shared" si="162"/>
        <v>50.006045949214027</v>
      </c>
      <c r="AC53" s="344">
        <f t="shared" si="162"/>
        <v>48.105263157894733</v>
      </c>
      <c r="AD53" s="249">
        <f t="shared" si="162"/>
        <v>51.756471716203265</v>
      </c>
      <c r="AE53" s="171">
        <f t="shared" si="162"/>
        <v>53.908814589665653</v>
      </c>
      <c r="AF53" s="248">
        <f t="shared" si="162"/>
        <v>58.041370394311578</v>
      </c>
      <c r="AG53" s="344">
        <f t="shared" si="162"/>
        <v>59.472407519708916</v>
      </c>
      <c r="AH53" s="344">
        <f t="shared" si="162"/>
        <v>58.057466612707408</v>
      </c>
      <c r="AI53" s="171">
        <f t="shared" si="162"/>
        <v>48.06890459363958</v>
      </c>
      <c r="AJ53" s="248">
        <f t="shared" si="162"/>
        <v>43.318824809575624</v>
      </c>
      <c r="AK53" s="344">
        <f t="shared" ref="AK53:AP53" si="163">(AK30/AK57)*90</f>
        <v>48.260625351057854</v>
      </c>
      <c r="AL53" s="344">
        <f t="shared" si="163"/>
        <v>53.193923850858162</v>
      </c>
      <c r="AM53" s="171">
        <f t="shared" si="163"/>
        <v>50.771423142694282</v>
      </c>
      <c r="AN53" s="248">
        <f t="shared" si="163"/>
        <v>52.591729761211418</v>
      </c>
      <c r="AO53" s="344">
        <f t="shared" si="163"/>
        <v>54.212454212454219</v>
      </c>
      <c r="AP53" s="344">
        <f t="shared" si="163"/>
        <v>45.865384615384613</v>
      </c>
      <c r="AQ53" s="171">
        <f>(AQ30/AQ57)*90</f>
        <v>48.494117647058822</v>
      </c>
      <c r="AR53" s="248">
        <f>(AR30/AR57)*90</f>
        <v>49.445654325876063</v>
      </c>
      <c r="AS53" s="344">
        <f t="shared" ref="AS53:AT53" si="164">(AS30/AS57)*90</f>
        <v>42.916919345057615</v>
      </c>
      <c r="AT53" s="344">
        <f t="shared" si="164"/>
        <v>41.167351512887564</v>
      </c>
      <c r="AU53" s="171">
        <f>(AU30/AU57)*90</f>
        <v>34.874154770848989</v>
      </c>
      <c r="AV53" s="248">
        <f>(AV30/AV57)*90</f>
        <v>51.089375448671937</v>
      </c>
      <c r="AW53" s="344">
        <f t="shared" ref="AW53:AX53" si="165">(AW30/AW57)*90</f>
        <v>55.35971223021582</v>
      </c>
      <c r="AX53" s="344">
        <f t="shared" si="165"/>
        <v>49.402933563416745</v>
      </c>
      <c r="AY53" s="171">
        <f>(AY30/AY57)*90</f>
        <v>35.53198277237199</v>
      </c>
      <c r="AZ53" s="248">
        <f>(AZ30/AZ57)*90</f>
        <v>51.317047265002657</v>
      </c>
      <c r="BA53" s="344">
        <f t="shared" ref="BA53:BB53" si="166">(BA30/BA57)*90</f>
        <v>58.321270962047656</v>
      </c>
      <c r="BB53" s="344">
        <f t="shared" si="166"/>
        <v>52.504924491135917</v>
      </c>
      <c r="BC53" s="171">
        <f>(BC30/BC57)*90</f>
        <v>41.921730830416799</v>
      </c>
      <c r="BD53" s="248">
        <f>(BD30/BD57)*90</f>
        <v>62.722967640094716</v>
      </c>
      <c r="BE53" s="346">
        <v>55</v>
      </c>
      <c r="BF53" s="346">
        <f>BE53</f>
        <v>55</v>
      </c>
      <c r="BG53" s="345">
        <f>BF53</f>
        <v>55</v>
      </c>
      <c r="BH53" s="346">
        <v>55</v>
      </c>
      <c r="BI53" s="346">
        <v>55</v>
      </c>
      <c r="BJ53" s="346">
        <v>55</v>
      </c>
      <c r="BK53" s="345">
        <v>55</v>
      </c>
      <c r="BL53" s="132"/>
      <c r="BM53" s="249">
        <f t="shared" ref="BM53:BV53" si="167">(BM30/BM57)*365</f>
        <v>52.030487418393861</v>
      </c>
      <c r="BN53" s="249">
        <f t="shared" si="167"/>
        <v>47.97483104171522</v>
      </c>
      <c r="BO53" s="249">
        <f t="shared" si="167"/>
        <v>46.758817145957678</v>
      </c>
      <c r="BP53" s="249">
        <f t="shared" si="167"/>
        <v>52.10548321586429</v>
      </c>
      <c r="BQ53" s="249">
        <f t="shared" si="167"/>
        <v>44.153604008736991</v>
      </c>
      <c r="BR53" s="249">
        <f t="shared" si="167"/>
        <v>55.237245572297113</v>
      </c>
      <c r="BS53" s="249">
        <f t="shared" si="167"/>
        <v>53.302045252445403</v>
      </c>
      <c r="BT53" s="249">
        <f t="shared" si="167"/>
        <v>54.650569588905398</v>
      </c>
      <c r="BU53" s="249">
        <f t="shared" si="167"/>
        <v>51.148581677443715</v>
      </c>
      <c r="BV53" s="249">
        <f t="shared" si="167"/>
        <v>49.504960268496127</v>
      </c>
      <c r="BW53" s="249">
        <f>(BW30/BW57)*365</f>
        <v>36.418794737860317</v>
      </c>
      <c r="BX53" s="249">
        <f>(BX30/BX57)*365</f>
        <v>38.945292291774443</v>
      </c>
      <c r="BY53" s="980">
        <f>(BY30/BY57)*365</f>
        <v>45.108897518149583</v>
      </c>
      <c r="BZ53" s="980">
        <f>(BZ30/BZ57)*365</f>
        <v>57.834124462117778</v>
      </c>
      <c r="CA53" s="980">
        <f>(CA30/CA57)*365</f>
        <v>58.91892519667509</v>
      </c>
      <c r="CB53" s="1183">
        <f>CA53</f>
        <v>58.91892519667509</v>
      </c>
      <c r="CC53" s="37"/>
      <c r="CD53" s="26"/>
      <c r="CE53" s="26"/>
    </row>
    <row r="54" spans="1:83" ht="14.25" customHeight="1">
      <c r="A54" s="18"/>
      <c r="B54" s="297" t="s">
        <v>199</v>
      </c>
      <c r="C54" s="68"/>
      <c r="D54" s="348">
        <f t="shared" ref="D54:AJ54" si="168">D16/D56</f>
        <v>3.7417850328598685E-2</v>
      </c>
      <c r="E54" s="348">
        <f t="shared" si="168"/>
        <v>3.0224244393890154E-2</v>
      </c>
      <c r="F54" s="348">
        <f t="shared" si="168"/>
        <v>2.6204819277108434E-2</v>
      </c>
      <c r="G54" s="349">
        <f t="shared" si="168"/>
        <v>2.2840897951181258E-2</v>
      </c>
      <c r="H54" s="348">
        <f t="shared" si="168"/>
        <v>4.440715883668904E-2</v>
      </c>
      <c r="I54" s="348">
        <f t="shared" si="168"/>
        <v>4.7571482082657011E-2</v>
      </c>
      <c r="J54" s="348">
        <f t="shared" si="168"/>
        <v>4.7144982263416867E-2</v>
      </c>
      <c r="K54" s="349">
        <f t="shared" si="168"/>
        <v>2.6614400660202188E-2</v>
      </c>
      <c r="L54" s="348">
        <f t="shared" si="168"/>
        <v>5.2417532760957973E-2</v>
      </c>
      <c r="M54" s="348">
        <f t="shared" si="168"/>
        <v>0.14619815668202765</v>
      </c>
      <c r="N54" s="348">
        <f t="shared" si="168"/>
        <v>8.3845391476709608E-2</v>
      </c>
      <c r="O54" s="349">
        <f t="shared" si="168"/>
        <v>0.12976101568334578</v>
      </c>
      <c r="P54" s="348">
        <f t="shared" si="168"/>
        <v>0.12736482993900547</v>
      </c>
      <c r="Q54" s="348">
        <f t="shared" si="168"/>
        <v>9.9683210137275602E-2</v>
      </c>
      <c r="R54" s="348">
        <f t="shared" si="168"/>
        <v>0.16188705099344231</v>
      </c>
      <c r="S54" s="349">
        <f t="shared" si="168"/>
        <v>0.14369073668854851</v>
      </c>
      <c r="T54" s="348">
        <f t="shared" si="168"/>
        <v>0.15045486354093771</v>
      </c>
      <c r="U54" s="348">
        <f t="shared" si="168"/>
        <v>0.11004486540378863</v>
      </c>
      <c r="V54" s="348">
        <f t="shared" si="168"/>
        <v>5.7727127489615511E-2</v>
      </c>
      <c r="W54" s="349">
        <f t="shared" si="168"/>
        <v>7.6923076923076927E-2</v>
      </c>
      <c r="X54" s="348">
        <f t="shared" si="168"/>
        <v>7.5832605107291964E-2</v>
      </c>
      <c r="Y54" s="348">
        <f t="shared" si="168"/>
        <v>0.1096144914073386</v>
      </c>
      <c r="Z54" s="348">
        <f t="shared" si="168"/>
        <v>0.10646730318861466</v>
      </c>
      <c r="AA54" s="349">
        <f t="shared" si="168"/>
        <v>0.14087457449594135</v>
      </c>
      <c r="AB54" s="348">
        <f t="shared" si="168"/>
        <v>9.8855763991593362E-2</v>
      </c>
      <c r="AC54" s="348">
        <f t="shared" si="168"/>
        <v>0.1682780847145488</v>
      </c>
      <c r="AD54" s="348">
        <f t="shared" si="168"/>
        <v>0.12007306962692335</v>
      </c>
      <c r="AE54" s="349">
        <f t="shared" si="168"/>
        <v>0.11442356160437819</v>
      </c>
      <c r="AF54" s="348">
        <f t="shared" si="168"/>
        <v>0.10444754377808771</v>
      </c>
      <c r="AG54" s="348">
        <f t="shared" si="168"/>
        <v>0.16087697207614252</v>
      </c>
      <c r="AH54" s="348">
        <f t="shared" si="168"/>
        <v>0.12328156349855093</v>
      </c>
      <c r="AI54" s="349">
        <f t="shared" si="168"/>
        <v>0.18639163018475921</v>
      </c>
      <c r="AJ54" s="348">
        <f t="shared" si="168"/>
        <v>0.12726550079491256</v>
      </c>
      <c r="AK54" s="348">
        <f t="shared" ref="AK54:AP54" si="169">AK16/AK56</f>
        <v>0.12184841152134884</v>
      </c>
      <c r="AL54" s="348">
        <f t="shared" si="169"/>
        <v>0.11251205221389898</v>
      </c>
      <c r="AM54" s="349">
        <f t="shared" si="169"/>
        <v>0.11919907474338585</v>
      </c>
      <c r="AN54" s="348">
        <f t="shared" si="169"/>
        <v>0.13577248511438419</v>
      </c>
      <c r="AO54" s="348">
        <f t="shared" si="169"/>
        <v>0.14518111488684837</v>
      </c>
      <c r="AP54" s="348">
        <f t="shared" si="169"/>
        <v>0.16758279510787413</v>
      </c>
      <c r="AQ54" s="349">
        <f>AQ16/AQ56</f>
        <v>0.20501324638271856</v>
      </c>
      <c r="AR54" s="348">
        <f>AR16/AR56</f>
        <v>0.20624364290744074</v>
      </c>
      <c r="AS54" s="348">
        <f t="shared" ref="AS54:AT54" si="170">AS16/AS56</f>
        <v>0.17180750284198559</v>
      </c>
      <c r="AT54" s="348">
        <f t="shared" si="170"/>
        <v>0.29754580020739718</v>
      </c>
      <c r="AU54" s="349">
        <f>AU16/AU56</f>
        <v>0.2047069867238836</v>
      </c>
      <c r="AV54" s="348">
        <f>AV16/AV56</f>
        <v>0.17070500656838417</v>
      </c>
      <c r="AW54" s="348">
        <f t="shared" ref="AW54:AX54" si="171">AW16/AW56</f>
        <v>0.24185324761693638</v>
      </c>
      <c r="AX54" s="348">
        <f t="shared" si="171"/>
        <v>0.1655469641272658</v>
      </c>
      <c r="AY54" s="349">
        <f>AY16/AY56</f>
        <v>0.1805301087089288</v>
      </c>
      <c r="AZ54" s="348">
        <f>AZ16/AZ56</f>
        <v>0.19620167612868342</v>
      </c>
      <c r="BA54" s="348">
        <f t="shared" ref="BA54:BB54" si="172">BA16/BA56</f>
        <v>0.20097541150172729</v>
      </c>
      <c r="BB54" s="348">
        <f t="shared" si="172"/>
        <v>0.17134187875410242</v>
      </c>
      <c r="BC54" s="349">
        <f>BC16/BC56</f>
        <v>0.17052717996833403</v>
      </c>
      <c r="BD54" s="348">
        <f>BD16/BD56</f>
        <v>0.21212498443918834</v>
      </c>
      <c r="BE54" s="351">
        <f t="shared" ref="BE54:BG54" si="173">BD54</f>
        <v>0.21212498443918834</v>
      </c>
      <c r="BF54" s="351">
        <f t="shared" si="173"/>
        <v>0.21212498443918834</v>
      </c>
      <c r="BG54" s="350">
        <f t="shared" si="173"/>
        <v>0.21212498443918834</v>
      </c>
      <c r="BH54" s="351">
        <f t="shared" ref="BH54" si="174">BG54</f>
        <v>0.21212498443918834</v>
      </c>
      <c r="BI54" s="351">
        <f t="shared" ref="BI54" si="175">BH54</f>
        <v>0.21212498443918834</v>
      </c>
      <c r="BJ54" s="351">
        <f t="shared" ref="BJ54" si="176">BI54</f>
        <v>0.21212498443918834</v>
      </c>
      <c r="BK54" s="350">
        <f t="shared" ref="BK54" si="177">BJ54</f>
        <v>0.21212498443918834</v>
      </c>
      <c r="BL54" s="352"/>
      <c r="BM54" s="348">
        <f t="shared" ref="BM54:BV54" si="178">BM16/BM56</f>
        <v>6.0011332612167102E-3</v>
      </c>
      <c r="BN54" s="348">
        <f t="shared" si="178"/>
        <v>7.2918433101577069E-3</v>
      </c>
      <c r="BO54" s="348">
        <f t="shared" si="178"/>
        <v>3.6260238952366047E-2</v>
      </c>
      <c r="BP54" s="348">
        <f t="shared" si="178"/>
        <v>3.1447879529612088E-2</v>
      </c>
      <c r="BQ54" s="348">
        <f t="shared" si="178"/>
        <v>2.3144589631907079E-2</v>
      </c>
      <c r="BR54" s="348">
        <f t="shared" si="178"/>
        <v>3.6998830891960661E-2</v>
      </c>
      <c r="BS54" s="348">
        <f t="shared" si="178"/>
        <v>2.9426470860571492E-2</v>
      </c>
      <c r="BT54" s="348">
        <f t="shared" si="178"/>
        <v>4.7093230348137456E-2</v>
      </c>
      <c r="BU54" s="348">
        <f t="shared" si="178"/>
        <v>3.1285573347499429E-2</v>
      </c>
      <c r="BV54" s="348">
        <f t="shared" si="178"/>
        <v>5.4018256667263287E-2</v>
      </c>
      <c r="BW54" s="348">
        <f>BW16/BW56</f>
        <v>5.5153102700749704E-2</v>
      </c>
      <c r="BX54" s="348">
        <f>BX16/BX56</f>
        <v>4.977520332732753E-2</v>
      </c>
      <c r="BY54" s="981">
        <f>BY16/BY56</f>
        <v>4.6334507098357257E-2</v>
      </c>
      <c r="BZ54" s="981">
        <f>BZ16/BZ56</f>
        <v>5.5666013056656534E-2</v>
      </c>
      <c r="CA54" s="981">
        <f>CA16/CA56</f>
        <v>5.6400330349879853E-2</v>
      </c>
      <c r="CB54" s="1203">
        <f>CA54</f>
        <v>5.6400330349879853E-2</v>
      </c>
      <c r="CC54" s="37"/>
      <c r="CD54" s="26"/>
      <c r="CE54" s="26"/>
    </row>
    <row r="55" spans="1:83" ht="14.25" customHeight="1">
      <c r="A55" s="18"/>
      <c r="B55" s="297"/>
      <c r="C55" s="68"/>
      <c r="D55" s="273"/>
      <c r="E55" s="274"/>
      <c r="F55" s="274"/>
      <c r="G55" s="274"/>
      <c r="H55" s="273"/>
      <c r="I55" s="274"/>
      <c r="J55" s="274"/>
      <c r="K55" s="274"/>
      <c r="L55" s="273"/>
      <c r="M55" s="274"/>
      <c r="N55" s="274"/>
      <c r="O55" s="274"/>
      <c r="P55" s="273"/>
      <c r="Q55" s="274"/>
      <c r="R55" s="274"/>
      <c r="S55" s="274"/>
      <c r="T55" s="273"/>
      <c r="U55" s="274"/>
      <c r="V55" s="274"/>
      <c r="W55" s="274"/>
      <c r="X55" s="273"/>
      <c r="Y55" s="274"/>
      <c r="Z55" s="274"/>
      <c r="AA55" s="274"/>
      <c r="AB55" s="273"/>
      <c r="AC55" s="201"/>
      <c r="AD55" s="274"/>
      <c r="AE55" s="274"/>
      <c r="AF55" s="273"/>
      <c r="AG55" s="201"/>
      <c r="AH55" s="274"/>
      <c r="AI55" s="274"/>
      <c r="AJ55" s="273"/>
      <c r="AK55" s="201"/>
      <c r="AL55" s="201"/>
      <c r="AM55" s="274"/>
      <c r="AN55" s="273"/>
      <c r="AO55" s="201"/>
      <c r="AP55" s="201"/>
      <c r="AQ55" s="275"/>
      <c r="AR55" s="273"/>
      <c r="AS55" s="201"/>
      <c r="AT55" s="201"/>
      <c r="AU55" s="275"/>
      <c r="AV55" s="273"/>
      <c r="AW55" s="201"/>
      <c r="AX55" s="201"/>
      <c r="AY55" s="275"/>
      <c r="AZ55" s="273"/>
      <c r="BA55" s="201"/>
      <c r="BB55" s="201"/>
      <c r="BC55" s="275"/>
      <c r="BD55" s="273"/>
      <c r="BE55" s="274"/>
      <c r="BF55" s="274"/>
      <c r="BG55" s="275"/>
      <c r="BH55" s="274"/>
      <c r="BI55" s="274"/>
      <c r="BJ55" s="274"/>
      <c r="BK55" s="275"/>
      <c r="BL55" s="35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4"/>
      <c r="BX55" s="274"/>
      <c r="BY55" s="982"/>
      <c r="BZ55" s="982"/>
      <c r="CA55" s="982"/>
      <c r="CB55" s="1181"/>
      <c r="CC55" s="37"/>
      <c r="CD55" s="26"/>
      <c r="CE55" s="26"/>
    </row>
    <row r="56" spans="1:83" ht="14.25" customHeight="1">
      <c r="A56" s="18"/>
      <c r="B56" s="297" t="s">
        <v>95</v>
      </c>
      <c r="C56" s="68"/>
      <c r="D56" s="353">
        <f>IS!D8</f>
        <v>9434</v>
      </c>
      <c r="E56" s="354">
        <f>IS!E8</f>
        <v>9231</v>
      </c>
      <c r="F56" s="354">
        <f>IS!F8</f>
        <v>9960</v>
      </c>
      <c r="G56" s="354">
        <f>IS!G8</f>
        <v>10201</v>
      </c>
      <c r="H56" s="353">
        <f>IS!H8</f>
        <v>8940</v>
      </c>
      <c r="I56" s="354">
        <f>IS!I8</f>
        <v>8009</v>
      </c>
      <c r="J56" s="354">
        <f>IS!J8</f>
        <v>8739</v>
      </c>
      <c r="K56" s="354">
        <f>IS!K8</f>
        <v>9694</v>
      </c>
      <c r="L56" s="353">
        <f>IS!L8</f>
        <v>8852</v>
      </c>
      <c r="M56" s="354">
        <f>IS!M8</f>
        <v>8680</v>
      </c>
      <c r="N56" s="354">
        <f>IS!N8</f>
        <v>10090</v>
      </c>
      <c r="O56" s="354">
        <f>IS!O8</f>
        <v>10712</v>
      </c>
      <c r="P56" s="353">
        <f>IS!P8</f>
        <v>9673</v>
      </c>
      <c r="Q56" s="354">
        <f>IS!Q8</f>
        <v>9470</v>
      </c>
      <c r="R56" s="354">
        <f>IS!R8</f>
        <v>10217</v>
      </c>
      <c r="S56" s="354">
        <f>IS!S8</f>
        <v>8226</v>
      </c>
      <c r="T56" s="353">
        <f>IS!T8</f>
        <v>7145</v>
      </c>
      <c r="U56" s="354">
        <f>IS!U8</f>
        <v>8024</v>
      </c>
      <c r="V56" s="354">
        <f>IS!V8</f>
        <v>9389</v>
      </c>
      <c r="W56" s="354">
        <f>IS!W8</f>
        <v>10569</v>
      </c>
      <c r="X56" s="353">
        <f>IS!X8</f>
        <v>10299</v>
      </c>
      <c r="Y56" s="354">
        <f>IS!Y8</f>
        <v>10765</v>
      </c>
      <c r="Z56" s="354">
        <f>IS!Z8</f>
        <v>11102</v>
      </c>
      <c r="AA56" s="354">
        <f>IS!AA8</f>
        <v>11457</v>
      </c>
      <c r="AB56" s="353">
        <f>IS!AB8</f>
        <v>12847</v>
      </c>
      <c r="AC56" s="354">
        <f>IS!AC8</f>
        <v>13032</v>
      </c>
      <c r="AD56" s="354">
        <f>IS!AD8</f>
        <v>14233</v>
      </c>
      <c r="AE56" s="354">
        <f>IS!AE8</f>
        <v>13887</v>
      </c>
      <c r="AF56" s="353">
        <f>IS!AF8</f>
        <v>12906</v>
      </c>
      <c r="AG56" s="354">
        <f>IS!AG8</f>
        <v>13501</v>
      </c>
      <c r="AH56" s="354">
        <f>IS!AH8</f>
        <v>13457</v>
      </c>
      <c r="AI56" s="354">
        <f>IS!AI8</f>
        <v>13477</v>
      </c>
      <c r="AJ56" s="353">
        <f>IS!AJ8</f>
        <v>12580</v>
      </c>
      <c r="AK56" s="354">
        <f>IS!AK8</f>
        <v>12811</v>
      </c>
      <c r="AL56" s="354">
        <f>IS!AL8</f>
        <v>13483</v>
      </c>
      <c r="AM56" s="354">
        <f>IS!AM8</f>
        <v>13834</v>
      </c>
      <c r="AN56" s="353">
        <f>IS!AN8</f>
        <v>12764</v>
      </c>
      <c r="AO56" s="354">
        <f>IS!AO8</f>
        <v>13831</v>
      </c>
      <c r="AP56" s="354">
        <f>IS!AP8</f>
        <v>14554</v>
      </c>
      <c r="AQ56" s="355">
        <f>IS!AQ8</f>
        <v>14721</v>
      </c>
      <c r="AR56" s="353">
        <f>IS!AR8</f>
        <v>12781</v>
      </c>
      <c r="AS56" s="354">
        <f>IS!AS8</f>
        <v>13195</v>
      </c>
      <c r="AT56" s="354">
        <f>IS!AT8</f>
        <v>14465</v>
      </c>
      <c r="AU56" s="355">
        <f>IS!AU8</f>
        <v>14914</v>
      </c>
      <c r="AV56" s="353">
        <f>IS!AV8</f>
        <v>13702</v>
      </c>
      <c r="AW56" s="354">
        <f>IS!AW8</f>
        <v>13533</v>
      </c>
      <c r="AX56" s="354">
        <f>IS!AX8</f>
        <v>15778</v>
      </c>
      <c r="AY56" s="355">
        <f>IS!AY8</f>
        <v>16374</v>
      </c>
      <c r="AZ56" s="353">
        <f>IS!AZ8</f>
        <v>14796</v>
      </c>
      <c r="BA56" s="354">
        <f>IS!BA8</f>
        <v>14763</v>
      </c>
      <c r="BB56" s="354">
        <f>IS!BB8</f>
        <v>16149</v>
      </c>
      <c r="BC56" s="355">
        <f>IS!BC8</f>
        <v>17053</v>
      </c>
      <c r="BD56" s="353">
        <f>IS!BD8</f>
        <v>16066</v>
      </c>
      <c r="BE56" s="354">
        <f>IS!BE8</f>
        <v>16310.410474309041</v>
      </c>
      <c r="BF56" s="354">
        <f>IS!BF8</f>
        <v>17551.727939624008</v>
      </c>
      <c r="BG56" s="355">
        <f>IS!BG8</f>
        <v>17763.765032363321</v>
      </c>
      <c r="BH56" s="354">
        <f>IS!BH8</f>
        <v>16131.32272051673</v>
      </c>
      <c r="BI56" s="354">
        <f>IS!BI8</f>
        <v>16486.220502257405</v>
      </c>
      <c r="BJ56" s="354">
        <f>IS!BJ8</f>
        <v>17973.1226693797</v>
      </c>
      <c r="BK56" s="355">
        <f>IS!BK8</f>
        <v>18322.919293829244</v>
      </c>
      <c r="BL56" s="35"/>
      <c r="BM56" s="354">
        <f>IS!BM8</f>
        <v>38826</v>
      </c>
      <c r="BN56" s="354">
        <f>IS!BN8</f>
        <v>35382</v>
      </c>
      <c r="BO56" s="354">
        <f>IS!BO8</f>
        <v>38334</v>
      </c>
      <c r="BP56" s="354">
        <f>IS!BP8</f>
        <v>37586</v>
      </c>
      <c r="BQ56" s="354">
        <f>IS!BQ8</f>
        <v>35127</v>
      </c>
      <c r="BR56" s="354">
        <f>IS!BR8</f>
        <v>43623</v>
      </c>
      <c r="BS56" s="354">
        <f>IS!BS8</f>
        <v>53999</v>
      </c>
      <c r="BT56" s="354">
        <f>IS!BT8</f>
        <v>53341</v>
      </c>
      <c r="BU56" s="354">
        <f>IS!BU8</f>
        <v>52708</v>
      </c>
      <c r="BV56" s="354">
        <f>IS!BV8</f>
        <v>55870</v>
      </c>
      <c r="BW56" s="354">
        <f>IS!BW8</f>
        <v>55355</v>
      </c>
      <c r="BX56" s="354">
        <f>IS!BX8</f>
        <v>59387</v>
      </c>
      <c r="BY56" s="983">
        <f>IS!BY8</f>
        <v>62761</v>
      </c>
      <c r="BZ56" s="983">
        <f>IS!BZ8</f>
        <v>67691.903446296375</v>
      </c>
      <c r="CA56" s="983">
        <f>IS!CA8</f>
        <v>68913.585185983073</v>
      </c>
      <c r="CB56" s="1184">
        <f>IS!CB8</f>
        <v>69602.721037842901</v>
      </c>
      <c r="CC56" s="37"/>
      <c r="CD56" s="26"/>
      <c r="CE56" s="26"/>
    </row>
    <row r="57" spans="1:83" ht="14.25" customHeight="1">
      <c r="A57" s="18"/>
      <c r="B57" s="323" t="s">
        <v>200</v>
      </c>
      <c r="C57" s="251"/>
      <c r="D57" s="356">
        <f>IS!D13</f>
        <v>3836</v>
      </c>
      <c r="E57" s="357">
        <f>IS!E13</f>
        <v>4028</v>
      </c>
      <c r="F57" s="357">
        <f>IS!F13</f>
        <v>4012</v>
      </c>
      <c r="G57" s="357">
        <f>IS!G13</f>
        <v>3901</v>
      </c>
      <c r="H57" s="356">
        <f>IS!H13</f>
        <v>3997</v>
      </c>
      <c r="I57" s="357">
        <f>IS!I13</f>
        <v>3838</v>
      </c>
      <c r="J57" s="357">
        <f>IS!J13</f>
        <v>4445</v>
      </c>
      <c r="K57" s="357">
        <f>IS!K13</f>
        <v>4884</v>
      </c>
      <c r="L57" s="356">
        <f>IS!L13</f>
        <v>4420</v>
      </c>
      <c r="M57" s="357">
        <f>IS!M13</f>
        <v>4605</v>
      </c>
      <c r="N57" s="357">
        <f>IS!N13</f>
        <v>4919</v>
      </c>
      <c r="O57" s="357">
        <f>IS!O13</f>
        <v>4486</v>
      </c>
      <c r="P57" s="356">
        <f>IS!P13</f>
        <v>4466</v>
      </c>
      <c r="Q57" s="357">
        <f>IS!Q13</f>
        <v>4221</v>
      </c>
      <c r="R57" s="357">
        <f>IS!R13</f>
        <v>4198</v>
      </c>
      <c r="S57" s="357">
        <f>IS!S13</f>
        <v>3857</v>
      </c>
      <c r="T57" s="356">
        <f>IS!T13</f>
        <v>3907</v>
      </c>
      <c r="U57" s="357">
        <f>IS!U13</f>
        <v>3945</v>
      </c>
      <c r="V57" s="357">
        <f>IS!V13</f>
        <v>3985</v>
      </c>
      <c r="W57" s="357">
        <f>IS!W13</f>
        <v>3729</v>
      </c>
      <c r="X57" s="356">
        <f>IS!X13</f>
        <v>3770</v>
      </c>
      <c r="Y57" s="357">
        <f>IS!Y13</f>
        <v>3530</v>
      </c>
      <c r="Z57" s="357">
        <f>IS!Z13</f>
        <v>3781</v>
      </c>
      <c r="AA57" s="357">
        <f>IS!AA13</f>
        <v>4051</v>
      </c>
      <c r="AB57" s="356">
        <f>IS!AB13</f>
        <v>4962</v>
      </c>
      <c r="AC57" s="357">
        <f>IS!AC13</f>
        <v>5130</v>
      </c>
      <c r="AD57" s="357">
        <f>IS!AD13</f>
        <v>5215</v>
      </c>
      <c r="AE57" s="357">
        <f>IS!AE13</f>
        <v>4935</v>
      </c>
      <c r="AF57" s="356">
        <f>IS!AF13</f>
        <v>4641</v>
      </c>
      <c r="AG57" s="357">
        <f>IS!AG13</f>
        <v>4947</v>
      </c>
      <c r="AH57" s="357">
        <f>IS!AH13</f>
        <v>4942</v>
      </c>
      <c r="AI57" s="357">
        <f>IS!AI13</f>
        <v>5660</v>
      </c>
      <c r="AJ57" s="356">
        <f>IS!AJ13</f>
        <v>5514</v>
      </c>
      <c r="AK57" s="357">
        <f>IS!AK13</f>
        <v>5341</v>
      </c>
      <c r="AL57" s="357">
        <f>IS!AL13</f>
        <v>5069</v>
      </c>
      <c r="AM57" s="357">
        <f>IS!AM13</f>
        <v>5263</v>
      </c>
      <c r="AN57" s="356">
        <f>IS!AN13</f>
        <v>5151</v>
      </c>
      <c r="AO57" s="357">
        <f>IS!AO13</f>
        <v>4914</v>
      </c>
      <c r="AP57" s="357">
        <f>IS!AP13</f>
        <v>5096</v>
      </c>
      <c r="AQ57" s="358">
        <f>IS!AQ13</f>
        <v>5100</v>
      </c>
      <c r="AR57" s="356">
        <f>IS!AR13</f>
        <v>5051</v>
      </c>
      <c r="AS57" s="357">
        <f>IS!AS13</f>
        <v>4947</v>
      </c>
      <c r="AT57" s="357">
        <f>IS!AT13</f>
        <v>5354</v>
      </c>
      <c r="AU57" s="358">
        <f>IS!AU13</f>
        <v>5324</v>
      </c>
      <c r="AV57" s="356">
        <f>IS!AV13</f>
        <v>5572</v>
      </c>
      <c r="AW57" s="357">
        <f>IS!AW13</f>
        <v>5560</v>
      </c>
      <c r="AX57" s="357">
        <f>IS!AX13</f>
        <v>5795</v>
      </c>
      <c r="AY57" s="358">
        <f>IS!AY13</f>
        <v>6269</v>
      </c>
      <c r="AZ57" s="356">
        <f>IS!AZ13</f>
        <v>5649</v>
      </c>
      <c r="BA57" s="357">
        <f>IS!BA13</f>
        <v>5665</v>
      </c>
      <c r="BB57" s="357">
        <f>IS!BB13</f>
        <v>6092</v>
      </c>
      <c r="BC57" s="358">
        <f>IS!BC13</f>
        <v>6286</v>
      </c>
      <c r="BD57" s="356">
        <f>IS!BD13</f>
        <v>6335</v>
      </c>
      <c r="BE57" s="357">
        <f>IS!BE13</f>
        <v>6279.508032608981</v>
      </c>
      <c r="BF57" s="357">
        <f>IS!BF13</f>
        <v>6669.6566170571241</v>
      </c>
      <c r="BG57" s="358">
        <f>IS!BG13</f>
        <v>6750.2307122980619</v>
      </c>
      <c r="BH57" s="357">
        <f>IS!BH13</f>
        <v>6129.9026337963569</v>
      </c>
      <c r="BI57" s="357">
        <f>IS!BI13</f>
        <v>6347.1948933691019</v>
      </c>
      <c r="BJ57" s="357">
        <f>IS!BJ13</f>
        <v>6919.6522277111853</v>
      </c>
      <c r="BK57" s="358">
        <f>IS!BK13</f>
        <v>6962.7093316551127</v>
      </c>
      <c r="BL57" s="35"/>
      <c r="BM57" s="357">
        <f>IS!BM13</f>
        <v>15777</v>
      </c>
      <c r="BN57" s="357">
        <f>IS!BN13</f>
        <v>17164</v>
      </c>
      <c r="BO57" s="357">
        <f>IS!BO13</f>
        <v>18430</v>
      </c>
      <c r="BP57" s="357">
        <f>IS!BP13</f>
        <v>16742</v>
      </c>
      <c r="BQ57" s="357">
        <f>IS!BQ13</f>
        <v>15566</v>
      </c>
      <c r="BR57" s="357">
        <f>IS!BR13</f>
        <v>15132</v>
      </c>
      <c r="BS57" s="357">
        <f>IS!BS13</f>
        <v>20242</v>
      </c>
      <c r="BT57" s="357">
        <f>IS!BT13</f>
        <v>20190</v>
      </c>
      <c r="BU57" s="357">
        <f>IS!BU13</f>
        <v>21187</v>
      </c>
      <c r="BV57" s="357">
        <f>IS!BV13</f>
        <v>20261</v>
      </c>
      <c r="BW57" s="357">
        <f>IS!BW13</f>
        <v>20676</v>
      </c>
      <c r="BX57" s="354">
        <f>IS!BX13</f>
        <v>23196</v>
      </c>
      <c r="BY57" s="983">
        <f>IS!BY13</f>
        <v>23692</v>
      </c>
      <c r="BZ57" s="983">
        <f>IS!BZ13</f>
        <v>26034.395361964169</v>
      </c>
      <c r="CA57" s="983">
        <f>IS!CA13</f>
        <v>26359.459086531759</v>
      </c>
      <c r="CB57" s="1184">
        <f>IS!CB13</f>
        <v>26483.848235321388</v>
      </c>
      <c r="CC57" s="37"/>
      <c r="CD57" s="26"/>
      <c r="CE57" s="26"/>
    </row>
    <row r="58" spans="1:83" ht="14.25" customHeight="1">
      <c r="A58" s="18"/>
      <c r="B58" s="201"/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201"/>
      <c r="AF58" s="201"/>
      <c r="AG58" s="201"/>
      <c r="AH58" s="201"/>
      <c r="AI58" s="201"/>
      <c r="AJ58" s="201"/>
      <c r="AK58" s="201"/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6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359"/>
      <c r="BY58" s="359"/>
      <c r="BZ58" s="359"/>
      <c r="CA58" s="359"/>
      <c r="CB58" s="1204"/>
      <c r="CC58" s="26"/>
      <c r="CD58" s="26"/>
      <c r="CE58" s="18"/>
    </row>
    <row r="59" spans="1:83" ht="14.25" customHeight="1">
      <c r="A59" s="18"/>
      <c r="B59" s="339"/>
      <c r="C59" s="201"/>
      <c r="D59" s="201"/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201"/>
      <c r="Q59" s="201"/>
      <c r="R59" s="201"/>
      <c r="S59" s="201"/>
      <c r="T59" s="201"/>
      <c r="U59" s="201"/>
      <c r="V59" s="201"/>
      <c r="W59" s="201"/>
      <c r="X59" s="201"/>
      <c r="Y59" s="201"/>
      <c r="Z59" s="201"/>
      <c r="AA59" s="201"/>
      <c r="AB59" s="201"/>
      <c r="AC59" s="201"/>
      <c r="AD59" s="201"/>
      <c r="AE59" s="201"/>
      <c r="AF59" s="201"/>
      <c r="AG59" s="201"/>
      <c r="AH59" s="201"/>
      <c r="AI59" s="339"/>
      <c r="AJ59" s="201"/>
      <c r="AK59" s="201"/>
      <c r="AL59" s="201"/>
      <c r="AM59" s="339"/>
      <c r="AN59" s="201"/>
      <c r="AO59" s="201"/>
      <c r="AP59" s="201"/>
      <c r="AQ59" s="339"/>
      <c r="AR59" s="201"/>
      <c r="AS59" s="201"/>
      <c r="AT59" s="201"/>
      <c r="AU59" s="339"/>
      <c r="AV59" s="201"/>
      <c r="AW59" s="201"/>
      <c r="AX59" s="201"/>
      <c r="AY59" s="339"/>
      <c r="AZ59" s="201"/>
      <c r="BA59" s="201"/>
      <c r="BB59" s="201"/>
      <c r="BC59" s="339"/>
      <c r="BD59" s="201"/>
      <c r="BE59" s="201"/>
      <c r="BF59" s="201"/>
      <c r="BG59" s="339"/>
      <c r="BH59" s="201"/>
      <c r="BI59" s="201"/>
      <c r="BJ59" s="201"/>
      <c r="BK59" s="339"/>
      <c r="BL59" s="26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360"/>
      <c r="BY59" s="360"/>
      <c r="BZ59" s="360"/>
      <c r="CA59" s="360"/>
      <c r="CB59" s="1205"/>
      <c r="CC59" s="26"/>
      <c r="CD59" s="26"/>
      <c r="CE59" s="18"/>
    </row>
    <row r="60" spans="1:83" ht="14.25" customHeight="1">
      <c r="A60" s="18"/>
      <c r="B60" s="341" t="s">
        <v>201</v>
      </c>
      <c r="C60" s="342"/>
      <c r="D60" s="21" t="str">
        <f t="shared" ref="D60:AA60" si="179">D49</f>
        <v>F1Q05A</v>
      </c>
      <c r="E60" s="22" t="str">
        <f t="shared" si="179"/>
        <v>F2Q05A</v>
      </c>
      <c r="F60" s="22" t="str">
        <f t="shared" si="179"/>
        <v>F3Q05A</v>
      </c>
      <c r="G60" s="23" t="str">
        <f t="shared" si="179"/>
        <v>F4Q05A</v>
      </c>
      <c r="H60" s="21" t="str">
        <f t="shared" si="179"/>
        <v>F1Q06A</v>
      </c>
      <c r="I60" s="22" t="str">
        <f t="shared" si="179"/>
        <v>F2Q06A</v>
      </c>
      <c r="J60" s="22" t="str">
        <f t="shared" si="179"/>
        <v>F3Q06A</v>
      </c>
      <c r="K60" s="23" t="str">
        <f t="shared" si="179"/>
        <v>F4Q06A</v>
      </c>
      <c r="L60" s="21" t="str">
        <f t="shared" si="179"/>
        <v>F1Q07A</v>
      </c>
      <c r="M60" s="22" t="str">
        <f t="shared" si="179"/>
        <v>F2Q07A</v>
      </c>
      <c r="N60" s="22" t="str">
        <f t="shared" si="179"/>
        <v>F3Q07A</v>
      </c>
      <c r="O60" s="23" t="str">
        <f t="shared" si="179"/>
        <v>F4Q07A</v>
      </c>
      <c r="P60" s="21" t="str">
        <f t="shared" si="179"/>
        <v>F1Q08A</v>
      </c>
      <c r="Q60" s="22" t="str">
        <f t="shared" si="179"/>
        <v>F2Q08A</v>
      </c>
      <c r="R60" s="22" t="str">
        <f t="shared" si="179"/>
        <v>F3Q08A</v>
      </c>
      <c r="S60" s="23" t="str">
        <f t="shared" si="179"/>
        <v>F4Q08A</v>
      </c>
      <c r="T60" s="21" t="str">
        <f t="shared" si="179"/>
        <v>F1Q09A</v>
      </c>
      <c r="U60" s="22" t="str">
        <f t="shared" si="179"/>
        <v>F2Q09A</v>
      </c>
      <c r="V60" s="22" t="str">
        <f t="shared" si="179"/>
        <v>F3Q09A</v>
      </c>
      <c r="W60" s="23" t="str">
        <f t="shared" si="179"/>
        <v>F4Q09A</v>
      </c>
      <c r="X60" s="21" t="str">
        <f t="shared" si="179"/>
        <v>F1Q10A</v>
      </c>
      <c r="Y60" s="22" t="str">
        <f t="shared" si="179"/>
        <v>F2Q10A</v>
      </c>
      <c r="Z60" s="22" t="str">
        <f t="shared" si="179"/>
        <v>F3Q10A</v>
      </c>
      <c r="AA60" s="23" t="str">
        <f t="shared" si="179"/>
        <v>F4Q10A</v>
      </c>
      <c r="AB60" s="22" t="str">
        <f>AB49</f>
        <v>F1Q11A</v>
      </c>
      <c r="AC60" s="22" t="str">
        <f t="shared" ref="AC60:AR60" si="180">AC49</f>
        <v>F2Q11A</v>
      </c>
      <c r="AD60" s="22" t="str">
        <f t="shared" si="180"/>
        <v>F3Q11A</v>
      </c>
      <c r="AE60" s="23" t="str">
        <f t="shared" si="180"/>
        <v>F4Q11A</v>
      </c>
      <c r="AF60" s="21" t="str">
        <f t="shared" si="180"/>
        <v>F1Q12A</v>
      </c>
      <c r="AG60" s="22" t="str">
        <f t="shared" si="180"/>
        <v>F2Q12A</v>
      </c>
      <c r="AH60" s="22" t="str">
        <f t="shared" si="180"/>
        <v>F3Q12A</v>
      </c>
      <c r="AI60" s="23" t="str">
        <f t="shared" si="180"/>
        <v>F4Q12A</v>
      </c>
      <c r="AJ60" s="21" t="str">
        <f t="shared" si="180"/>
        <v>F1Q13A</v>
      </c>
      <c r="AK60" s="22" t="str">
        <f t="shared" si="180"/>
        <v>F2Q13A</v>
      </c>
      <c r="AL60" s="22" t="str">
        <f t="shared" si="180"/>
        <v>F3Q13A</v>
      </c>
      <c r="AM60" s="23" t="str">
        <f>AM49</f>
        <v>F4Q13A</v>
      </c>
      <c r="AN60" s="21" t="str">
        <f>AN49</f>
        <v>F1Q14A</v>
      </c>
      <c r="AO60" s="22" t="str">
        <f>AO49</f>
        <v>F2Q14A</v>
      </c>
      <c r="AP60" s="22" t="str">
        <f t="shared" si="180"/>
        <v>F3Q14A</v>
      </c>
      <c r="AQ60" s="23" t="str">
        <f t="shared" si="180"/>
        <v>F4Q14A</v>
      </c>
      <c r="AR60" s="21" t="str">
        <f t="shared" si="180"/>
        <v>F1Q15A</v>
      </c>
      <c r="AS60" s="22" t="str">
        <f t="shared" ref="AS60:BC60" si="181">AS49</f>
        <v>F2Q15A</v>
      </c>
      <c r="AT60" s="22" t="str">
        <f t="shared" si="181"/>
        <v>F3Q15A</v>
      </c>
      <c r="AU60" s="23" t="str">
        <f t="shared" si="181"/>
        <v>F4Q15A</v>
      </c>
      <c r="AV60" s="21" t="str">
        <f t="shared" si="181"/>
        <v>F1Q16A</v>
      </c>
      <c r="AW60" s="22" t="str">
        <f t="shared" si="181"/>
        <v>F2Q16A</v>
      </c>
      <c r="AX60" s="22" t="str">
        <f t="shared" ref="AX60:AZ60" si="182">AX49</f>
        <v>F3Q16A</v>
      </c>
      <c r="AY60" s="23" t="str">
        <f t="shared" si="182"/>
        <v>F4Q16A</v>
      </c>
      <c r="AZ60" s="21" t="str">
        <f t="shared" si="182"/>
        <v>F1Q17A</v>
      </c>
      <c r="BA60" s="22" t="str">
        <f t="shared" si="181"/>
        <v>F2Q17A</v>
      </c>
      <c r="BB60" s="22" t="str">
        <f t="shared" si="181"/>
        <v>F3Q17A</v>
      </c>
      <c r="BC60" s="23" t="str">
        <f t="shared" si="181"/>
        <v>F4Q17A</v>
      </c>
      <c r="BD60" s="22" t="str">
        <f t="shared" ref="BD60:BG60" si="183">BD49</f>
        <v>F1Q18A</v>
      </c>
      <c r="BE60" s="22" t="str">
        <f t="shared" si="183"/>
        <v>F2Q18E</v>
      </c>
      <c r="BF60" s="22" t="str">
        <f t="shared" si="183"/>
        <v>F3Q18E</v>
      </c>
      <c r="BG60" s="23" t="str">
        <f t="shared" si="183"/>
        <v>F4Q18E</v>
      </c>
      <c r="BH60" s="22" t="str">
        <f t="shared" ref="BH60:BK60" si="184">BH49</f>
        <v>F1Q19E</v>
      </c>
      <c r="BI60" s="22" t="str">
        <f t="shared" si="184"/>
        <v>F2Q19E</v>
      </c>
      <c r="BJ60" s="22" t="str">
        <f t="shared" si="184"/>
        <v>F3Q19E</v>
      </c>
      <c r="BK60" s="23" t="str">
        <f t="shared" si="184"/>
        <v>F4Q19E</v>
      </c>
      <c r="BL60" s="35"/>
      <c r="BM60" s="343" t="str">
        <f t="shared" ref="BM60:BY60" si="185">BM49</f>
        <v>FY2005A</v>
      </c>
      <c r="BN60" s="22" t="str">
        <f t="shared" si="185"/>
        <v>FY2006A</v>
      </c>
      <c r="BO60" s="22" t="str">
        <f t="shared" si="185"/>
        <v>FY2007A</v>
      </c>
      <c r="BP60" s="22" t="str">
        <f t="shared" si="185"/>
        <v>FY2008A</v>
      </c>
      <c r="BQ60" s="22" t="str">
        <f t="shared" si="185"/>
        <v>FY2009A</v>
      </c>
      <c r="BR60" s="21" t="str">
        <f t="shared" si="185"/>
        <v>FY2010A</v>
      </c>
      <c r="BS60" s="22" t="str">
        <f t="shared" si="185"/>
        <v>FY2011A</v>
      </c>
      <c r="BT60" s="22" t="str">
        <f t="shared" si="185"/>
        <v>FY2012A</v>
      </c>
      <c r="BU60" s="22" t="str">
        <f t="shared" si="185"/>
        <v>FY2013A</v>
      </c>
      <c r="BV60" s="22" t="str">
        <f t="shared" si="185"/>
        <v>FY2014</v>
      </c>
      <c r="BW60" s="22" t="str">
        <f>BW49</f>
        <v>FY2015</v>
      </c>
      <c r="BX60" s="22" t="str">
        <f t="shared" si="185"/>
        <v>FY2016</v>
      </c>
      <c r="BY60" s="22" t="str">
        <f t="shared" si="185"/>
        <v>FY2017A</v>
      </c>
      <c r="BZ60" s="22" t="str">
        <f t="shared" ref="BZ60:CB60" si="186">BZ49</f>
        <v>FY2018E</v>
      </c>
      <c r="CA60" s="22" t="str">
        <f t="shared" si="186"/>
        <v>FY2019E</v>
      </c>
      <c r="CB60" s="23" t="str">
        <f t="shared" si="186"/>
        <v>FY2020E</v>
      </c>
      <c r="CC60" s="37"/>
      <c r="CD60" s="26"/>
      <c r="CE60" s="26"/>
    </row>
    <row r="61" spans="1:83" ht="14.25" customHeight="1">
      <c r="A61" s="18"/>
      <c r="B61" s="361" t="s">
        <v>202</v>
      </c>
      <c r="C61" s="362"/>
      <c r="D61" s="309">
        <v>0</v>
      </c>
      <c r="E61" s="310">
        <v>0</v>
      </c>
      <c r="F61" s="310">
        <v>0</v>
      </c>
      <c r="G61" s="311">
        <v>0</v>
      </c>
      <c r="H61" s="309">
        <v>0</v>
      </c>
      <c r="I61" s="310">
        <v>0</v>
      </c>
      <c r="J61" s="310">
        <v>0</v>
      </c>
      <c r="K61" s="311">
        <v>0</v>
      </c>
      <c r="L61" s="309">
        <v>0</v>
      </c>
      <c r="M61" s="310">
        <v>0</v>
      </c>
      <c r="N61" s="310">
        <v>0</v>
      </c>
      <c r="O61" s="311">
        <v>0</v>
      </c>
      <c r="P61" s="309">
        <v>0</v>
      </c>
      <c r="Q61" s="310">
        <v>0</v>
      </c>
      <c r="R61" s="310">
        <v>0</v>
      </c>
      <c r="S61" s="311">
        <v>0</v>
      </c>
      <c r="T61" s="309">
        <v>0</v>
      </c>
      <c r="U61" s="310">
        <v>0</v>
      </c>
      <c r="V61" s="310">
        <v>0</v>
      </c>
      <c r="W61" s="311">
        <v>0</v>
      </c>
      <c r="X61" s="310">
        <v>0</v>
      </c>
      <c r="Y61" s="310">
        <v>0</v>
      </c>
      <c r="Z61" s="310">
        <v>0</v>
      </c>
      <c r="AA61" s="311">
        <v>0</v>
      </c>
      <c r="AB61" s="230">
        <v>0</v>
      </c>
      <c r="AC61" s="310">
        <v>0</v>
      </c>
      <c r="AD61" s="310">
        <v>0</v>
      </c>
      <c r="AE61" s="311">
        <v>0</v>
      </c>
      <c r="AF61" s="310">
        <v>0</v>
      </c>
      <c r="AG61" s="310">
        <v>0</v>
      </c>
      <c r="AH61" s="230">
        <v>0</v>
      </c>
      <c r="AI61" s="311">
        <v>0</v>
      </c>
      <c r="AJ61" s="310">
        <v>0</v>
      </c>
      <c r="AK61" s="230">
        <v>0</v>
      </c>
      <c r="AL61" s="310">
        <v>0</v>
      </c>
      <c r="AM61" s="311">
        <v>0</v>
      </c>
      <c r="AN61" s="310">
        <v>0</v>
      </c>
      <c r="AO61" s="230">
        <v>0</v>
      </c>
      <c r="AP61" s="230">
        <v>0</v>
      </c>
      <c r="AQ61" s="311">
        <v>0</v>
      </c>
      <c r="AR61" s="310">
        <v>0</v>
      </c>
      <c r="AS61" s="230">
        <v>0</v>
      </c>
      <c r="AT61" s="230">
        <v>0</v>
      </c>
      <c r="AU61" s="311">
        <v>0</v>
      </c>
      <c r="AV61" s="310">
        <v>0</v>
      </c>
      <c r="AW61" s="230">
        <v>0</v>
      </c>
      <c r="AX61" s="230">
        <v>0</v>
      </c>
      <c r="AY61" s="311">
        <v>0</v>
      </c>
      <c r="AZ61" s="310">
        <v>0</v>
      </c>
      <c r="BA61" s="249">
        <f t="shared" ref="BA61" si="187">AZ61</f>
        <v>0</v>
      </c>
      <c r="BB61" s="230">
        <v>0</v>
      </c>
      <c r="BC61" s="311">
        <v>0</v>
      </c>
      <c r="BD61" s="310">
        <v>0</v>
      </c>
      <c r="BE61" s="249">
        <f t="shared" ref="BE61" si="188">BD61</f>
        <v>0</v>
      </c>
      <c r="BF61" s="249">
        <f t="shared" ref="BF61" si="189">BE61</f>
        <v>0</v>
      </c>
      <c r="BG61" s="363">
        <f t="shared" ref="BG61" si="190">BF61</f>
        <v>0</v>
      </c>
      <c r="BH61" s="249">
        <f t="shared" ref="BH61" si="191">BG61</f>
        <v>0</v>
      </c>
      <c r="BI61" s="249">
        <f t="shared" ref="BI61" si="192">BH61</f>
        <v>0</v>
      </c>
      <c r="BJ61" s="249">
        <f t="shared" ref="BJ61" si="193">BI61</f>
        <v>0</v>
      </c>
      <c r="BK61" s="363">
        <f t="shared" ref="BK61" si="194">BJ61</f>
        <v>0</v>
      </c>
      <c r="BL61" s="35"/>
      <c r="BM61" s="347">
        <f>G61</f>
        <v>0</v>
      </c>
      <c r="BN61" s="249">
        <f>K61</f>
        <v>0</v>
      </c>
      <c r="BO61" s="249">
        <f>O61</f>
        <v>0</v>
      </c>
      <c r="BP61" s="249">
        <f>S61</f>
        <v>0</v>
      </c>
      <c r="BQ61" s="249">
        <f>W61</f>
        <v>0</v>
      </c>
      <c r="BR61" s="347">
        <f>AA61</f>
        <v>0</v>
      </c>
      <c r="BS61" s="249">
        <f>AE61</f>
        <v>0</v>
      </c>
      <c r="BT61" s="249">
        <f>AI61</f>
        <v>0</v>
      </c>
      <c r="BU61" s="347">
        <f>AM61</f>
        <v>0</v>
      </c>
      <c r="BV61" s="347">
        <f>AQ61</f>
        <v>0</v>
      </c>
      <c r="BW61" s="347">
        <f>AU61</f>
        <v>0</v>
      </c>
      <c r="BX61" s="347">
        <f>AY61</f>
        <v>0</v>
      </c>
      <c r="BY61" s="347">
        <f>BC61</f>
        <v>0</v>
      </c>
      <c r="BZ61" s="347">
        <f>BG61</f>
        <v>0</v>
      </c>
      <c r="CA61" s="347">
        <f>BK61</f>
        <v>0</v>
      </c>
      <c r="CB61" s="1174">
        <f>CA61</f>
        <v>0</v>
      </c>
      <c r="CC61" s="37"/>
      <c r="CD61" s="26"/>
      <c r="CE61" s="26"/>
    </row>
    <row r="62" spans="1:83" ht="14.25" customHeight="1">
      <c r="A62" s="18"/>
      <c r="B62" s="364" t="s">
        <v>203</v>
      </c>
      <c r="C62" s="365"/>
      <c r="D62" s="276">
        <v>6220</v>
      </c>
      <c r="E62" s="230">
        <v>6260</v>
      </c>
      <c r="F62" s="230">
        <v>6223</v>
      </c>
      <c r="G62" s="283">
        <v>6245</v>
      </c>
      <c r="H62" s="276">
        <v>6662</v>
      </c>
      <c r="I62" s="230">
        <v>6986</v>
      </c>
      <c r="J62" s="230">
        <v>7348</v>
      </c>
      <c r="K62" s="283">
        <v>7825</v>
      </c>
      <c r="L62" s="276">
        <v>8598</v>
      </c>
      <c r="M62" s="230">
        <v>9597</v>
      </c>
      <c r="N62" s="230">
        <v>10695</v>
      </c>
      <c r="O62" s="283">
        <v>11653</v>
      </c>
      <c r="P62" s="276">
        <v>12118</v>
      </c>
      <c r="Q62" s="230">
        <v>12452</v>
      </c>
      <c r="R62" s="230">
        <v>12744</v>
      </c>
      <c r="S62" s="283">
        <v>12944</v>
      </c>
      <c r="T62" s="276">
        <v>13845</v>
      </c>
      <c r="U62" s="230">
        <v>13995</v>
      </c>
      <c r="V62" s="230">
        <v>14763</v>
      </c>
      <c r="W62" s="283">
        <v>14993</v>
      </c>
      <c r="X62" s="230">
        <v>15466</v>
      </c>
      <c r="Y62" s="230">
        <v>15741</v>
      </c>
      <c r="Z62" s="230">
        <v>16096</v>
      </c>
      <c r="AA62" s="283">
        <v>16178</v>
      </c>
      <c r="AB62" s="230">
        <v>16271</v>
      </c>
      <c r="AC62" s="230">
        <v>16245</v>
      </c>
      <c r="AD62" s="230">
        <v>16247</v>
      </c>
      <c r="AE62" s="283">
        <v>17036</v>
      </c>
      <c r="AF62" s="230">
        <v>18381</v>
      </c>
      <c r="AG62" s="230">
        <v>18883</v>
      </c>
      <c r="AH62" s="230">
        <v>19278</v>
      </c>
      <c r="AI62" s="283">
        <v>19464</v>
      </c>
      <c r="AJ62" s="230">
        <v>20098</v>
      </c>
      <c r="AK62" s="230">
        <v>20678</v>
      </c>
      <c r="AL62" s="230">
        <v>21113</v>
      </c>
      <c r="AM62" s="283">
        <v>21536</v>
      </c>
      <c r="AN62" s="230">
        <v>22166</v>
      </c>
      <c r="AO62" s="230">
        <v>22475</v>
      </c>
      <c r="AP62" s="230">
        <v>22809</v>
      </c>
      <c r="AQ62" s="283">
        <v>21781</v>
      </c>
      <c r="AR62" s="230">
        <v>22395</v>
      </c>
      <c r="AS62" s="230">
        <v>22625</v>
      </c>
      <c r="AT62" s="230">
        <v>23001</v>
      </c>
      <c r="AU62" s="283">
        <f>23411+897</f>
        <v>24308</v>
      </c>
      <c r="AV62" s="230">
        <v>24088</v>
      </c>
      <c r="AW62" s="230">
        <f>890+24317</f>
        <v>25207</v>
      </c>
      <c r="AX62" s="230">
        <f>886+25070</f>
        <v>25956</v>
      </c>
      <c r="AY62" s="283">
        <f>882+25373</f>
        <v>26255</v>
      </c>
      <c r="AZ62" s="230">
        <f>25890+878</f>
        <v>26768</v>
      </c>
      <c r="BA62" s="230">
        <f>25781+874</f>
        <v>26655</v>
      </c>
      <c r="BB62" s="230">
        <f>26547+870</f>
        <v>27417</v>
      </c>
      <c r="BC62" s="283">
        <f>26074+866</f>
        <v>26940</v>
      </c>
      <c r="BD62" s="230">
        <f>26430+801</f>
        <v>27231</v>
      </c>
      <c r="BE62" s="249">
        <f>BD62+CFS!BE46+CFS!BE47+CFS!BE12</f>
        <v>27164</v>
      </c>
      <c r="BF62" s="249">
        <f>BE62+CFS!BF46+CFS!BF47+CFS!BF12</f>
        <v>27097</v>
      </c>
      <c r="BG62" s="171">
        <f>BF62+CFS!BG46+CFS!BG47+CFS!BG12</f>
        <v>27030</v>
      </c>
      <c r="BH62" s="249">
        <f>BG62+CFS!BH46+CFS!BH47+CFS!BH12</f>
        <v>26963</v>
      </c>
      <c r="BI62" s="249">
        <f>BH62+CFS!BI46+CFS!BI47+CFS!BI12</f>
        <v>26896</v>
      </c>
      <c r="BJ62" s="249">
        <f>BI62+CFS!BJ46+CFS!BJ47+CFS!BJ12</f>
        <v>26829</v>
      </c>
      <c r="BK62" s="171">
        <f>BJ62+CFS!BK46+CFS!BK47+CFS!BK12</f>
        <v>26762</v>
      </c>
      <c r="BL62" s="35"/>
      <c r="BM62" s="249">
        <f>G62</f>
        <v>6245</v>
      </c>
      <c r="BN62" s="249">
        <f>K62</f>
        <v>7825</v>
      </c>
      <c r="BO62" s="249">
        <f>O62</f>
        <v>11653</v>
      </c>
      <c r="BP62" s="249">
        <f>S62</f>
        <v>12944</v>
      </c>
      <c r="BQ62" s="249">
        <f>W62</f>
        <v>14993</v>
      </c>
      <c r="BR62" s="249">
        <f>AA62</f>
        <v>16178</v>
      </c>
      <c r="BS62" s="249">
        <f>AE62</f>
        <v>17036</v>
      </c>
      <c r="BT62" s="249">
        <f>AI62</f>
        <v>19464</v>
      </c>
      <c r="BU62" s="249">
        <f>AM62</f>
        <v>21536</v>
      </c>
      <c r="BV62" s="249">
        <f>AQ62</f>
        <v>21781</v>
      </c>
      <c r="BW62" s="249">
        <f>AU62</f>
        <v>24308</v>
      </c>
      <c r="BX62" s="249">
        <f>AY62</f>
        <v>26255</v>
      </c>
      <c r="BY62" s="249">
        <f>BC62</f>
        <v>26940</v>
      </c>
      <c r="BZ62" s="249">
        <f>BG62</f>
        <v>27030</v>
      </c>
      <c r="CA62" s="249">
        <f>BK62</f>
        <v>26762</v>
      </c>
      <c r="CB62" s="1174">
        <f>CA62+CFS!CB46+CFS!CB47+CFS!CB12</f>
        <v>26494</v>
      </c>
      <c r="CC62" s="37"/>
      <c r="CD62" s="26"/>
      <c r="CE62" s="26"/>
    </row>
    <row r="63" spans="1:83" ht="14.25" customHeight="1">
      <c r="A63" s="18"/>
      <c r="B63" s="364" t="s">
        <v>204</v>
      </c>
      <c r="C63" s="365"/>
      <c r="D63" s="276">
        <v>0</v>
      </c>
      <c r="E63" s="230">
        <v>0</v>
      </c>
      <c r="F63" s="230">
        <v>0</v>
      </c>
      <c r="G63" s="283">
        <v>0</v>
      </c>
      <c r="H63" s="276">
        <v>0</v>
      </c>
      <c r="I63" s="230">
        <v>0</v>
      </c>
      <c r="J63" s="230">
        <v>0</v>
      </c>
      <c r="K63" s="283">
        <v>0</v>
      </c>
      <c r="L63" s="276">
        <v>0</v>
      </c>
      <c r="M63" s="230">
        <v>0</v>
      </c>
      <c r="N63" s="230">
        <v>0</v>
      </c>
      <c r="O63" s="283">
        <v>0</v>
      </c>
      <c r="P63" s="276">
        <v>0</v>
      </c>
      <c r="Q63" s="230">
        <v>0</v>
      </c>
      <c r="R63" s="230">
        <v>0</v>
      </c>
      <c r="S63" s="283">
        <v>0</v>
      </c>
      <c r="T63" s="276">
        <v>0</v>
      </c>
      <c r="U63" s="230">
        <v>0</v>
      </c>
      <c r="V63" s="230">
        <v>0</v>
      </c>
      <c r="W63" s="283">
        <v>0</v>
      </c>
      <c r="X63" s="230">
        <v>0</v>
      </c>
      <c r="Y63" s="230">
        <v>0</v>
      </c>
      <c r="Z63" s="230">
        <v>0</v>
      </c>
      <c r="AA63" s="283">
        <v>0</v>
      </c>
      <c r="AB63" s="230">
        <v>0</v>
      </c>
      <c r="AC63" s="230">
        <v>0</v>
      </c>
      <c r="AD63" s="230">
        <v>0</v>
      </c>
      <c r="AE63" s="283">
        <v>0</v>
      </c>
      <c r="AF63" s="230">
        <v>0</v>
      </c>
      <c r="AG63" s="230">
        <v>0</v>
      </c>
      <c r="AH63" s="230">
        <v>0</v>
      </c>
      <c r="AI63" s="283">
        <v>0</v>
      </c>
      <c r="AJ63" s="230">
        <v>0</v>
      </c>
      <c r="AK63" s="230">
        <v>0</v>
      </c>
      <c r="AL63" s="230">
        <v>0</v>
      </c>
      <c r="AM63" s="283">
        <v>0</v>
      </c>
      <c r="AN63" s="230">
        <v>0</v>
      </c>
      <c r="AO63" s="230">
        <v>0</v>
      </c>
      <c r="AP63" s="230">
        <v>0</v>
      </c>
      <c r="AQ63" s="283">
        <v>0</v>
      </c>
      <c r="AR63" s="230">
        <v>0</v>
      </c>
      <c r="AS63" s="230">
        <v>0</v>
      </c>
      <c r="AT63" s="230">
        <v>0</v>
      </c>
      <c r="AU63" s="283">
        <v>0</v>
      </c>
      <c r="AV63" s="230">
        <v>0</v>
      </c>
      <c r="AW63" s="230">
        <v>0</v>
      </c>
      <c r="AX63" s="230">
        <v>0</v>
      </c>
      <c r="AY63" s="283">
        <v>0</v>
      </c>
      <c r="AZ63" s="230">
        <v>0</v>
      </c>
      <c r="BA63" s="230">
        <f t="shared" ref="BA63:BA64" si="195">AZ63</f>
        <v>0</v>
      </c>
      <c r="BB63" s="230">
        <v>0</v>
      </c>
      <c r="BC63" s="283">
        <v>0</v>
      </c>
      <c r="BD63" s="230">
        <v>0</v>
      </c>
      <c r="BE63" s="230">
        <f t="shared" ref="BE63:BE64" si="196">BD63</f>
        <v>0</v>
      </c>
      <c r="BF63" s="230">
        <f t="shared" ref="BF63:BF64" si="197">BE63</f>
        <v>0</v>
      </c>
      <c r="BG63" s="283">
        <f t="shared" ref="BG63:BG64" si="198">BF63</f>
        <v>0</v>
      </c>
      <c r="BH63" s="230">
        <v>0</v>
      </c>
      <c r="BI63" s="230">
        <f t="shared" ref="BI63:BI64" si="199">BH63</f>
        <v>0</v>
      </c>
      <c r="BJ63" s="230">
        <f t="shared" ref="BJ63:BJ64" si="200">BI63</f>
        <v>0</v>
      </c>
      <c r="BK63" s="283">
        <f t="shared" ref="BK63:BK64" si="201">BJ63</f>
        <v>0</v>
      </c>
      <c r="BL63" s="35"/>
      <c r="BM63" s="249">
        <f>G63</f>
        <v>0</v>
      </c>
      <c r="BN63" s="249">
        <f>K63</f>
        <v>0</v>
      </c>
      <c r="BO63" s="249">
        <f>O63</f>
        <v>0</v>
      </c>
      <c r="BP63" s="249">
        <f>S63</f>
        <v>0</v>
      </c>
      <c r="BQ63" s="249">
        <f>W63</f>
        <v>0</v>
      </c>
      <c r="BR63" s="249">
        <f>AA63</f>
        <v>0</v>
      </c>
      <c r="BS63" s="249">
        <f>AE63</f>
        <v>0</v>
      </c>
      <c r="BT63" s="249">
        <f>AI63</f>
        <v>0</v>
      </c>
      <c r="BU63" s="249">
        <f>AM63</f>
        <v>0</v>
      </c>
      <c r="BV63" s="249">
        <f>AQ63</f>
        <v>0</v>
      </c>
      <c r="BW63" s="249">
        <f>AU63</f>
        <v>0</v>
      </c>
      <c r="BX63" s="249">
        <f>AY63</f>
        <v>0</v>
      </c>
      <c r="BY63" s="249">
        <f>BC63</f>
        <v>0</v>
      </c>
      <c r="BZ63" s="249">
        <f>BG63</f>
        <v>0</v>
      </c>
      <c r="CA63" s="249">
        <f>BK63</f>
        <v>0</v>
      </c>
      <c r="CB63" s="1174">
        <f t="shared" ref="CB63:CB64" si="202">CA63</f>
        <v>0</v>
      </c>
      <c r="CC63" s="37"/>
      <c r="CD63" s="26"/>
      <c r="CE63" s="26"/>
    </row>
    <row r="64" spans="1:83" ht="14.25" customHeight="1">
      <c r="A64" s="18"/>
      <c r="B64" s="364" t="s">
        <v>205</v>
      </c>
      <c r="C64" s="365"/>
      <c r="D64" s="276">
        <v>0</v>
      </c>
      <c r="E64" s="230">
        <v>0</v>
      </c>
      <c r="F64" s="230">
        <v>0</v>
      </c>
      <c r="G64" s="283">
        <v>0</v>
      </c>
      <c r="H64" s="276">
        <v>0</v>
      </c>
      <c r="I64" s="230">
        <v>0</v>
      </c>
      <c r="J64" s="230">
        <v>0</v>
      </c>
      <c r="K64" s="283">
        <v>0</v>
      </c>
      <c r="L64" s="276">
        <v>0</v>
      </c>
      <c r="M64" s="230">
        <v>0</v>
      </c>
      <c r="N64" s="230">
        <v>0</v>
      </c>
      <c r="O64" s="283">
        <v>0</v>
      </c>
      <c r="P64" s="276">
        <v>0</v>
      </c>
      <c r="Q64" s="230">
        <v>0</v>
      </c>
      <c r="R64" s="230">
        <v>0</v>
      </c>
      <c r="S64" s="283">
        <v>0</v>
      </c>
      <c r="T64" s="276">
        <v>0</v>
      </c>
      <c r="U64" s="230">
        <v>0</v>
      </c>
      <c r="V64" s="230">
        <v>0</v>
      </c>
      <c r="W64" s="283">
        <v>0</v>
      </c>
      <c r="X64" s="230">
        <v>0</v>
      </c>
      <c r="Y64" s="230">
        <v>0</v>
      </c>
      <c r="Z64" s="230">
        <v>0</v>
      </c>
      <c r="AA64" s="283">
        <v>0</v>
      </c>
      <c r="AB64" s="230">
        <v>0</v>
      </c>
      <c r="AC64" s="230">
        <v>0</v>
      </c>
      <c r="AD64" s="230">
        <v>0</v>
      </c>
      <c r="AE64" s="283">
        <v>0</v>
      </c>
      <c r="AF64" s="230">
        <v>0</v>
      </c>
      <c r="AG64" s="230">
        <v>0</v>
      </c>
      <c r="AH64" s="230">
        <v>0</v>
      </c>
      <c r="AI64" s="283">
        <v>0</v>
      </c>
      <c r="AJ64" s="230">
        <v>0</v>
      </c>
      <c r="AK64" s="230">
        <v>0</v>
      </c>
      <c r="AL64" s="230">
        <v>0</v>
      </c>
      <c r="AM64" s="283">
        <v>0</v>
      </c>
      <c r="AN64" s="230">
        <v>0</v>
      </c>
      <c r="AO64" s="230">
        <v>0</v>
      </c>
      <c r="AP64" s="230">
        <v>0</v>
      </c>
      <c r="AQ64" s="283">
        <v>0</v>
      </c>
      <c r="AR64" s="230">
        <v>0</v>
      </c>
      <c r="AS64" s="230">
        <v>0</v>
      </c>
      <c r="AT64" s="230">
        <v>0</v>
      </c>
      <c r="AU64" s="283">
        <v>0</v>
      </c>
      <c r="AV64" s="230">
        <v>0</v>
      </c>
      <c r="AW64" s="230">
        <v>0</v>
      </c>
      <c r="AX64" s="230">
        <v>0</v>
      </c>
      <c r="AY64" s="283">
        <v>0</v>
      </c>
      <c r="AZ64" s="230">
        <v>0</v>
      </c>
      <c r="BA64" s="230">
        <f t="shared" si="195"/>
        <v>0</v>
      </c>
      <c r="BB64" s="230">
        <v>0</v>
      </c>
      <c r="BC64" s="283">
        <v>0</v>
      </c>
      <c r="BD64" s="230">
        <v>0</v>
      </c>
      <c r="BE64" s="249">
        <f t="shared" si="196"/>
        <v>0</v>
      </c>
      <c r="BF64" s="249">
        <f t="shared" si="197"/>
        <v>0</v>
      </c>
      <c r="BG64" s="171">
        <f t="shared" si="198"/>
        <v>0</v>
      </c>
      <c r="BH64" s="249">
        <f t="shared" ref="BH64" si="203">BG64</f>
        <v>0</v>
      </c>
      <c r="BI64" s="249">
        <f t="shared" si="199"/>
        <v>0</v>
      </c>
      <c r="BJ64" s="249">
        <f t="shared" si="200"/>
        <v>0</v>
      </c>
      <c r="BK64" s="171">
        <f t="shared" si="201"/>
        <v>0</v>
      </c>
      <c r="BL64" s="35"/>
      <c r="BM64" s="249">
        <f>G64</f>
        <v>0</v>
      </c>
      <c r="BN64" s="249">
        <f>K64</f>
        <v>0</v>
      </c>
      <c r="BO64" s="249">
        <f>O64</f>
        <v>0</v>
      </c>
      <c r="BP64" s="249">
        <f>S64</f>
        <v>0</v>
      </c>
      <c r="BQ64" s="249">
        <f>W64</f>
        <v>0</v>
      </c>
      <c r="BR64" s="249">
        <f>AA64</f>
        <v>0</v>
      </c>
      <c r="BS64" s="249">
        <f>AE64</f>
        <v>0</v>
      </c>
      <c r="BT64" s="249">
        <f>AI64</f>
        <v>0</v>
      </c>
      <c r="BU64" s="249">
        <f>AM64</f>
        <v>0</v>
      </c>
      <c r="BV64" s="249">
        <f>AQ64</f>
        <v>0</v>
      </c>
      <c r="BW64" s="249">
        <f>AU64</f>
        <v>0</v>
      </c>
      <c r="BX64" s="249">
        <f>AY64</f>
        <v>0</v>
      </c>
      <c r="BY64" s="249">
        <f>BC64</f>
        <v>0</v>
      </c>
      <c r="BZ64" s="249">
        <f>BG64</f>
        <v>0</v>
      </c>
      <c r="CA64" s="249">
        <f>BK64</f>
        <v>0</v>
      </c>
      <c r="CB64" s="1174">
        <f t="shared" si="202"/>
        <v>0</v>
      </c>
      <c r="CC64" s="37"/>
      <c r="CD64" s="26"/>
      <c r="CE64" s="26"/>
    </row>
    <row r="65" spans="1:91" ht="14.25" customHeight="1">
      <c r="A65" s="18"/>
      <c r="B65" s="366" t="s">
        <v>206</v>
      </c>
      <c r="C65" s="367"/>
      <c r="D65" s="368">
        <f t="shared" ref="D65:AR65" si="204">SUM(D61:D64)</f>
        <v>6220</v>
      </c>
      <c r="E65" s="369">
        <f t="shared" si="204"/>
        <v>6260</v>
      </c>
      <c r="F65" s="369">
        <f t="shared" si="204"/>
        <v>6223</v>
      </c>
      <c r="G65" s="370">
        <f t="shared" si="204"/>
        <v>6245</v>
      </c>
      <c r="H65" s="368">
        <f t="shared" si="204"/>
        <v>6662</v>
      </c>
      <c r="I65" s="369">
        <f t="shared" si="204"/>
        <v>6986</v>
      </c>
      <c r="J65" s="369">
        <f t="shared" si="204"/>
        <v>7348</v>
      </c>
      <c r="K65" s="370">
        <f t="shared" si="204"/>
        <v>7825</v>
      </c>
      <c r="L65" s="368">
        <f t="shared" si="204"/>
        <v>8598</v>
      </c>
      <c r="M65" s="369">
        <f t="shared" si="204"/>
        <v>9597</v>
      </c>
      <c r="N65" s="369">
        <f t="shared" si="204"/>
        <v>10695</v>
      </c>
      <c r="O65" s="370">
        <f t="shared" si="204"/>
        <v>11653</v>
      </c>
      <c r="P65" s="368">
        <f t="shared" si="204"/>
        <v>12118</v>
      </c>
      <c r="Q65" s="369">
        <f t="shared" si="204"/>
        <v>12452</v>
      </c>
      <c r="R65" s="369">
        <f t="shared" si="204"/>
        <v>12744</v>
      </c>
      <c r="S65" s="370">
        <f t="shared" si="204"/>
        <v>12944</v>
      </c>
      <c r="T65" s="368">
        <f t="shared" si="204"/>
        <v>13845</v>
      </c>
      <c r="U65" s="369">
        <f t="shared" si="204"/>
        <v>13995</v>
      </c>
      <c r="V65" s="369">
        <f t="shared" si="204"/>
        <v>14763</v>
      </c>
      <c r="W65" s="370">
        <f t="shared" si="204"/>
        <v>14993</v>
      </c>
      <c r="X65" s="369">
        <f t="shared" si="204"/>
        <v>15466</v>
      </c>
      <c r="Y65" s="369">
        <f t="shared" si="204"/>
        <v>15741</v>
      </c>
      <c r="Z65" s="369">
        <f t="shared" si="204"/>
        <v>16096</v>
      </c>
      <c r="AA65" s="370">
        <f t="shared" si="204"/>
        <v>16178</v>
      </c>
      <c r="AB65" s="369">
        <f t="shared" si="204"/>
        <v>16271</v>
      </c>
      <c r="AC65" s="369">
        <f t="shared" si="204"/>
        <v>16245</v>
      </c>
      <c r="AD65" s="369">
        <f t="shared" si="204"/>
        <v>16247</v>
      </c>
      <c r="AE65" s="370">
        <f t="shared" si="204"/>
        <v>17036</v>
      </c>
      <c r="AF65" s="369">
        <f t="shared" si="204"/>
        <v>18381</v>
      </c>
      <c r="AG65" s="369">
        <f t="shared" si="204"/>
        <v>18883</v>
      </c>
      <c r="AH65" s="369">
        <f t="shared" si="204"/>
        <v>19278</v>
      </c>
      <c r="AI65" s="370">
        <f t="shared" si="204"/>
        <v>19464</v>
      </c>
      <c r="AJ65" s="369">
        <f t="shared" si="204"/>
        <v>20098</v>
      </c>
      <c r="AK65" s="369">
        <f t="shared" si="204"/>
        <v>20678</v>
      </c>
      <c r="AL65" s="369">
        <f t="shared" si="204"/>
        <v>21113</v>
      </c>
      <c r="AM65" s="370">
        <f t="shared" si="204"/>
        <v>21536</v>
      </c>
      <c r="AN65" s="369">
        <f>SUM(AN61:AN64)</f>
        <v>22166</v>
      </c>
      <c r="AO65" s="369">
        <f>SUM(AO61:AO64)</f>
        <v>22475</v>
      </c>
      <c r="AP65" s="369">
        <v>21113</v>
      </c>
      <c r="AQ65" s="370">
        <f t="shared" si="204"/>
        <v>21781</v>
      </c>
      <c r="AR65" s="369">
        <f t="shared" si="204"/>
        <v>22395</v>
      </c>
      <c r="AS65" s="369">
        <f t="shared" ref="AS65:AW65" si="205">SUM(AS61:AS64)</f>
        <v>22625</v>
      </c>
      <c r="AT65" s="369">
        <f t="shared" si="205"/>
        <v>23001</v>
      </c>
      <c r="AU65" s="370">
        <f t="shared" si="205"/>
        <v>24308</v>
      </c>
      <c r="AV65" s="369">
        <f t="shared" si="205"/>
        <v>24088</v>
      </c>
      <c r="AW65" s="369">
        <f t="shared" si="205"/>
        <v>25207</v>
      </c>
      <c r="AX65" s="369">
        <f t="shared" ref="AX65:AZ65" si="206">SUM(AX61:AX64)</f>
        <v>25956</v>
      </c>
      <c r="AY65" s="370">
        <f t="shared" si="206"/>
        <v>26255</v>
      </c>
      <c r="AZ65" s="369">
        <f t="shared" si="206"/>
        <v>26768</v>
      </c>
      <c r="BA65" s="369">
        <f t="shared" ref="BA65:BD65" si="207">SUM(BA61:BA64)</f>
        <v>26655</v>
      </c>
      <c r="BB65" s="369">
        <f t="shared" si="207"/>
        <v>27417</v>
      </c>
      <c r="BC65" s="370">
        <f t="shared" si="207"/>
        <v>26940</v>
      </c>
      <c r="BD65" s="369">
        <f t="shared" si="207"/>
        <v>27231</v>
      </c>
      <c r="BE65" s="369">
        <f t="shared" ref="BE65:BG65" si="208">SUM(BE61:BE64)</f>
        <v>27164</v>
      </c>
      <c r="BF65" s="369">
        <f t="shared" si="208"/>
        <v>27097</v>
      </c>
      <c r="BG65" s="370">
        <f t="shared" si="208"/>
        <v>27030</v>
      </c>
      <c r="BH65" s="369">
        <f t="shared" ref="BH65:BK65" si="209">SUM(BH61:BH64)</f>
        <v>26963</v>
      </c>
      <c r="BI65" s="369">
        <f t="shared" si="209"/>
        <v>26896</v>
      </c>
      <c r="BJ65" s="369">
        <f t="shared" si="209"/>
        <v>26829</v>
      </c>
      <c r="BK65" s="370">
        <f t="shared" si="209"/>
        <v>26762</v>
      </c>
      <c r="BL65" s="35"/>
      <c r="BM65" s="369">
        <f t="shared" ref="BM65:BY65" si="210">SUM(BM61:BM64)</f>
        <v>6245</v>
      </c>
      <c r="BN65" s="369">
        <f t="shared" si="210"/>
        <v>7825</v>
      </c>
      <c r="BO65" s="369">
        <f t="shared" si="210"/>
        <v>11653</v>
      </c>
      <c r="BP65" s="369">
        <f t="shared" si="210"/>
        <v>12944</v>
      </c>
      <c r="BQ65" s="369">
        <f t="shared" si="210"/>
        <v>14993</v>
      </c>
      <c r="BR65" s="369">
        <f t="shared" si="210"/>
        <v>16178</v>
      </c>
      <c r="BS65" s="369">
        <f t="shared" si="210"/>
        <v>17036</v>
      </c>
      <c r="BT65" s="369">
        <f t="shared" si="210"/>
        <v>19464</v>
      </c>
      <c r="BU65" s="369">
        <f t="shared" si="210"/>
        <v>21536</v>
      </c>
      <c r="BV65" s="369">
        <f t="shared" si="210"/>
        <v>21781</v>
      </c>
      <c r="BW65" s="369">
        <f>SUM(BW61:BW64)</f>
        <v>24308</v>
      </c>
      <c r="BX65" s="369">
        <f t="shared" si="210"/>
        <v>26255</v>
      </c>
      <c r="BY65" s="369">
        <f t="shared" si="210"/>
        <v>26940</v>
      </c>
      <c r="BZ65" s="369">
        <f t="shared" ref="BZ65" si="211">SUM(BZ61:BZ64)</f>
        <v>27030</v>
      </c>
      <c r="CA65" s="369">
        <f t="shared" ref="CA65:CB65" si="212">SUM(CA61:CA64)</f>
        <v>26762</v>
      </c>
      <c r="CB65" s="370">
        <f t="shared" si="212"/>
        <v>26494</v>
      </c>
      <c r="CC65" s="37"/>
      <c r="CD65" s="26"/>
      <c r="CE65" s="26"/>
    </row>
    <row r="66" spans="1:91" ht="14.25" customHeight="1">
      <c r="A66" s="18"/>
      <c r="B66" s="278"/>
      <c r="C66" s="103"/>
      <c r="D66" s="248"/>
      <c r="E66" s="249"/>
      <c r="F66" s="249"/>
      <c r="G66" s="171"/>
      <c r="H66" s="248"/>
      <c r="I66" s="249"/>
      <c r="J66" s="249"/>
      <c r="K66" s="171"/>
      <c r="L66" s="248"/>
      <c r="M66" s="249"/>
      <c r="N66" s="249"/>
      <c r="O66" s="171"/>
      <c r="P66" s="248"/>
      <c r="Q66" s="249"/>
      <c r="R66" s="249"/>
      <c r="S66" s="171"/>
      <c r="T66" s="248"/>
      <c r="U66" s="249"/>
      <c r="V66" s="249"/>
      <c r="W66" s="171"/>
      <c r="X66" s="249"/>
      <c r="Y66" s="249"/>
      <c r="Z66" s="249"/>
      <c r="AA66" s="171"/>
      <c r="AB66" s="249"/>
      <c r="AC66" s="249"/>
      <c r="AD66" s="249"/>
      <c r="AE66" s="171"/>
      <c r="AF66" s="249"/>
      <c r="AG66" s="249"/>
      <c r="AH66" s="249"/>
      <c r="AI66" s="171"/>
      <c r="AJ66" s="249"/>
      <c r="AK66" s="249"/>
      <c r="AL66" s="249"/>
      <c r="AM66" s="171"/>
      <c r="AN66" s="249"/>
      <c r="AO66" s="249"/>
      <c r="AP66" s="249"/>
      <c r="AQ66" s="171"/>
      <c r="AR66" s="249"/>
      <c r="AS66" s="249"/>
      <c r="AT66" s="249"/>
      <c r="AU66" s="171"/>
      <c r="AV66" s="249"/>
      <c r="AW66" s="249"/>
      <c r="AX66" s="249"/>
      <c r="AY66" s="171"/>
      <c r="AZ66" s="249"/>
      <c r="BA66" s="249"/>
      <c r="BB66" s="249"/>
      <c r="BC66" s="171"/>
      <c r="BD66" s="249"/>
      <c r="BE66" s="249"/>
      <c r="BF66" s="249"/>
      <c r="BG66" s="171"/>
      <c r="BH66" s="249"/>
      <c r="BI66" s="249"/>
      <c r="BJ66" s="249"/>
      <c r="BK66" s="171"/>
      <c r="BL66" s="35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49"/>
      <c r="CB66" s="1174"/>
      <c r="CC66" s="37"/>
      <c r="CD66" s="26"/>
      <c r="CE66" s="26"/>
    </row>
    <row r="67" spans="1:91" ht="14.25" customHeight="1">
      <c r="A67" s="18"/>
      <c r="B67" s="364" t="s">
        <v>207</v>
      </c>
      <c r="C67" s="365"/>
      <c r="D67" s="276">
        <v>0</v>
      </c>
      <c r="E67" s="230">
        <v>0</v>
      </c>
      <c r="F67" s="230">
        <v>0</v>
      </c>
      <c r="G67" s="283">
        <v>0</v>
      </c>
      <c r="H67" s="276">
        <v>0</v>
      </c>
      <c r="I67" s="230">
        <v>0</v>
      </c>
      <c r="J67" s="230">
        <v>0</v>
      </c>
      <c r="K67" s="283">
        <v>0</v>
      </c>
      <c r="L67" s="276">
        <v>0</v>
      </c>
      <c r="M67" s="230">
        <v>0</v>
      </c>
      <c r="N67" s="230">
        <v>0</v>
      </c>
      <c r="O67" s="283">
        <v>0</v>
      </c>
      <c r="P67" s="276">
        <v>0</v>
      </c>
      <c r="Q67" s="230">
        <v>0</v>
      </c>
      <c r="R67" s="230">
        <v>0</v>
      </c>
      <c r="S67" s="283">
        <v>0</v>
      </c>
      <c r="T67" s="276">
        <v>0</v>
      </c>
      <c r="U67" s="230">
        <v>0</v>
      </c>
      <c r="V67" s="230">
        <v>0</v>
      </c>
      <c r="W67" s="283">
        <v>0</v>
      </c>
      <c r="X67" s="230">
        <v>0</v>
      </c>
      <c r="Y67" s="230">
        <v>0</v>
      </c>
      <c r="Z67" s="230">
        <v>0</v>
      </c>
      <c r="AA67" s="283">
        <v>0</v>
      </c>
      <c r="AB67" s="230">
        <v>0</v>
      </c>
      <c r="AC67" s="230">
        <f>AB67</f>
        <v>0</v>
      </c>
      <c r="AD67" s="230">
        <v>0</v>
      </c>
      <c r="AE67" s="283">
        <v>0</v>
      </c>
      <c r="AF67" s="230">
        <v>0</v>
      </c>
      <c r="AG67" s="230">
        <v>0</v>
      </c>
      <c r="AH67" s="230">
        <v>0</v>
      </c>
      <c r="AI67" s="283">
        <v>0</v>
      </c>
      <c r="AJ67" s="230">
        <v>0</v>
      </c>
      <c r="AK67" s="230">
        <v>0</v>
      </c>
      <c r="AL67" s="230">
        <v>0</v>
      </c>
      <c r="AM67" s="283">
        <v>0</v>
      </c>
      <c r="AN67" s="230">
        <v>0</v>
      </c>
      <c r="AO67" s="230">
        <v>0</v>
      </c>
      <c r="AP67" s="230">
        <v>0</v>
      </c>
      <c r="AQ67" s="283">
        <v>0</v>
      </c>
      <c r="AR67" s="230">
        <v>0</v>
      </c>
      <c r="AS67" s="230">
        <v>0</v>
      </c>
      <c r="AT67" s="230">
        <v>0</v>
      </c>
      <c r="AU67" s="283">
        <v>0</v>
      </c>
      <c r="AV67" s="230">
        <v>0</v>
      </c>
      <c r="AW67" s="230">
        <v>0</v>
      </c>
      <c r="AX67" s="230">
        <v>0</v>
      </c>
      <c r="AY67" s="283">
        <v>0</v>
      </c>
      <c r="AZ67" s="230">
        <v>0</v>
      </c>
      <c r="BA67" s="230">
        <f t="shared" ref="BA67" si="213">AZ67</f>
        <v>0</v>
      </c>
      <c r="BB67" s="230">
        <v>0</v>
      </c>
      <c r="BC67" s="283">
        <v>0</v>
      </c>
      <c r="BD67" s="230">
        <v>0</v>
      </c>
      <c r="BE67" s="249">
        <f t="shared" ref="BE67" si="214">BD67</f>
        <v>0</v>
      </c>
      <c r="BF67" s="249">
        <f t="shared" ref="BF67" si="215">BE67</f>
        <v>0</v>
      </c>
      <c r="BG67" s="171">
        <f t="shared" ref="BG67" si="216">BF67</f>
        <v>0</v>
      </c>
      <c r="BH67" s="249">
        <f t="shared" ref="BH67" si="217">BG67</f>
        <v>0</v>
      </c>
      <c r="BI67" s="249">
        <f t="shared" ref="BI67" si="218">BH67</f>
        <v>0</v>
      </c>
      <c r="BJ67" s="249">
        <f t="shared" ref="BJ67" si="219">BI67</f>
        <v>0</v>
      </c>
      <c r="BK67" s="171">
        <f t="shared" ref="BK67" si="220">BJ67</f>
        <v>0</v>
      </c>
      <c r="BL67" s="35"/>
      <c r="BM67" s="249">
        <f>G67</f>
        <v>0</v>
      </c>
      <c r="BN67" s="249">
        <f>K67</f>
        <v>0</v>
      </c>
      <c r="BO67" s="249">
        <f>O67</f>
        <v>0</v>
      </c>
      <c r="BP67" s="249">
        <f>S67</f>
        <v>0</v>
      </c>
      <c r="BQ67" s="249">
        <f>W67</f>
        <v>0</v>
      </c>
      <c r="BR67" s="249">
        <f>AA67</f>
        <v>0</v>
      </c>
      <c r="BS67" s="249">
        <f>AE67</f>
        <v>0</v>
      </c>
      <c r="BT67" s="249">
        <f>AI67</f>
        <v>0</v>
      </c>
      <c r="BU67" s="249">
        <f>AM67</f>
        <v>0</v>
      </c>
      <c r="BV67" s="249">
        <f>AQ67</f>
        <v>0</v>
      </c>
      <c r="BW67" s="249">
        <f>AU67</f>
        <v>0</v>
      </c>
      <c r="BX67" s="249">
        <f>AY67</f>
        <v>0</v>
      </c>
      <c r="BY67" s="249">
        <f>BC67</f>
        <v>0</v>
      </c>
      <c r="BZ67" s="249">
        <f>BG67</f>
        <v>0</v>
      </c>
      <c r="CA67" s="249">
        <f>BK67</f>
        <v>0</v>
      </c>
      <c r="CB67" s="1174">
        <f>CA67</f>
        <v>0</v>
      </c>
      <c r="CC67" s="37"/>
      <c r="CD67" s="26"/>
      <c r="CE67" s="26"/>
    </row>
    <row r="68" spans="1:91" ht="14.25" customHeight="1">
      <c r="A68" s="18"/>
      <c r="B68" s="364" t="s">
        <v>208</v>
      </c>
      <c r="C68" s="365"/>
      <c r="D68" s="276">
        <v>31411</v>
      </c>
      <c r="E68" s="230">
        <v>31301</v>
      </c>
      <c r="F68" s="230">
        <v>30309</v>
      </c>
      <c r="G68" s="283">
        <v>29810</v>
      </c>
      <c r="H68" s="276">
        <v>27531</v>
      </c>
      <c r="I68" s="230">
        <v>27619</v>
      </c>
      <c r="J68" s="230">
        <v>27501</v>
      </c>
      <c r="K68" s="283">
        <v>28984</v>
      </c>
      <c r="L68" s="276">
        <v>29020</v>
      </c>
      <c r="M68" s="230">
        <v>30197</v>
      </c>
      <c r="N68" s="230">
        <v>29975</v>
      </c>
      <c r="O68" s="283">
        <v>30848</v>
      </c>
      <c r="P68" s="276">
        <v>28470</v>
      </c>
      <c r="Q68" s="230">
        <v>27780</v>
      </c>
      <c r="R68" s="230">
        <v>26303</v>
      </c>
      <c r="S68" s="283">
        <v>26537</v>
      </c>
      <c r="T68" s="276">
        <v>25609</v>
      </c>
      <c r="U68" s="230">
        <v>25205</v>
      </c>
      <c r="V68" s="230">
        <v>24037</v>
      </c>
      <c r="W68" s="283">
        <v>26318</v>
      </c>
      <c r="X68" s="230">
        <v>27020</v>
      </c>
      <c r="Y68" s="230">
        <v>29869</v>
      </c>
      <c r="Z68" s="230">
        <v>31069</v>
      </c>
      <c r="AA68" s="283">
        <v>32919</v>
      </c>
      <c r="AB68" s="230">
        <v>30597</v>
      </c>
      <c r="AC68" s="230">
        <v>32012</v>
      </c>
      <c r="AD68" s="230">
        <v>29902</v>
      </c>
      <c r="AE68" s="283">
        <v>29656</v>
      </c>
      <c r="AF68" s="230">
        <v>28983</v>
      </c>
      <c r="AG68" s="230">
        <v>30753</v>
      </c>
      <c r="AH68" s="230">
        <v>30492</v>
      </c>
      <c r="AI68" s="283">
        <v>32138</v>
      </c>
      <c r="AJ68" s="230">
        <v>31506</v>
      </c>
      <c r="AK68" s="230">
        <v>33017</v>
      </c>
      <c r="AL68" s="230">
        <v>33291</v>
      </c>
      <c r="AM68" s="283">
        <v>35477</v>
      </c>
      <c r="AN68" s="230">
        <v>34716</v>
      </c>
      <c r="AO68" s="230">
        <v>35652</v>
      </c>
      <c r="AP68" s="230">
        <v>33233</v>
      </c>
      <c r="AQ68" s="283">
        <f>33418+912</f>
        <v>34330</v>
      </c>
      <c r="AR68" s="230">
        <f>32461+908</f>
        <v>33369</v>
      </c>
      <c r="AS68" s="230">
        <f>34425+905</f>
        <v>35330</v>
      </c>
      <c r="AT68" s="230">
        <f>34431+905</f>
        <v>35336</v>
      </c>
      <c r="AU68" s="283">
        <v>37614</v>
      </c>
      <c r="AV68" s="230">
        <f>36526+894</f>
        <v>37420</v>
      </c>
      <c r="AW68" s="230">
        <v>37130</v>
      </c>
      <c r="AX68" s="230">
        <v>37645</v>
      </c>
      <c r="AY68" s="283">
        <v>40747</v>
      </c>
      <c r="AZ68" s="230">
        <v>40091</v>
      </c>
      <c r="BA68" s="230">
        <v>41670</v>
      </c>
      <c r="BB68" s="230">
        <v>42779</v>
      </c>
      <c r="BC68" s="283">
        <v>42083</v>
      </c>
      <c r="BD68" s="230">
        <v>44418</v>
      </c>
      <c r="BE68" s="249">
        <f>BD68-BE67+IS!BE80+CFS!BE48+CFS!BE32</f>
        <v>47190.89312427905</v>
      </c>
      <c r="BF68" s="249">
        <f>BE68-BF67+IS!BF80+CFS!BF48+CFS!BF32</f>
        <v>50856.553174912238</v>
      </c>
      <c r="BG68" s="171">
        <f>BF68-BG67+IS!BG80+CFS!BG48+CFS!BG32</f>
        <v>54578.47069016836</v>
      </c>
      <c r="BH68" s="249">
        <f>BG68-BH67+IS!BH80+CFS!BH48+CFS!BH32</f>
        <v>57386.969964747877</v>
      </c>
      <c r="BI68" s="249">
        <f>BH68-BI67+IS!BI80+CFS!BI48+CFS!BI32</f>
        <v>60270.809988391818</v>
      </c>
      <c r="BJ68" s="249">
        <f>BI68-BJ67+IS!BJ80+CFS!BJ48+CFS!BJ32</f>
        <v>63941.072568226744</v>
      </c>
      <c r="BK68" s="171">
        <f>BJ68-BK67+IS!BK80+CFS!BK48+CFS!BK32</f>
        <v>67832.131135696502</v>
      </c>
      <c r="BL68" s="35"/>
      <c r="BM68" s="249">
        <f>G68</f>
        <v>29810</v>
      </c>
      <c r="BN68" s="249">
        <f>K68</f>
        <v>28984</v>
      </c>
      <c r="BO68" s="249">
        <f>O68</f>
        <v>30848</v>
      </c>
      <c r="BP68" s="249">
        <f>S68</f>
        <v>26537</v>
      </c>
      <c r="BQ68" s="249">
        <f>W68</f>
        <v>26318</v>
      </c>
      <c r="BR68" s="249">
        <f>AA68</f>
        <v>32919</v>
      </c>
      <c r="BS68" s="249">
        <f>AE68</f>
        <v>29656</v>
      </c>
      <c r="BT68" s="249">
        <f>AI68</f>
        <v>32138</v>
      </c>
      <c r="BU68" s="249">
        <f>AM68</f>
        <v>35477</v>
      </c>
      <c r="BV68" s="249">
        <f>AQ68</f>
        <v>34330</v>
      </c>
      <c r="BW68" s="249">
        <f>AU68</f>
        <v>37614</v>
      </c>
      <c r="BX68" s="249">
        <f>AY68</f>
        <v>40747</v>
      </c>
      <c r="BY68" s="249">
        <f>BC68</f>
        <v>42083</v>
      </c>
      <c r="BZ68" s="249">
        <f>BG68</f>
        <v>54578.47069016836</v>
      </c>
      <c r="CA68" s="249">
        <f>BK68</f>
        <v>67832.131135696502</v>
      </c>
      <c r="CB68" s="1174">
        <f>CA68-CB67+IS!CB80+CFS!CB48</f>
        <v>81310.641745864996</v>
      </c>
      <c r="CC68" s="37"/>
      <c r="CD68" s="26"/>
      <c r="CE68" s="26"/>
      <c r="CM68" s="627"/>
    </row>
    <row r="69" spans="1:91" ht="14.25" customHeight="1">
      <c r="A69" s="18"/>
      <c r="B69" s="364" t="s">
        <v>209</v>
      </c>
      <c r="C69" s="365"/>
      <c r="D69" s="276">
        <f>81-1</f>
        <v>80</v>
      </c>
      <c r="E69" s="230">
        <f>56-3</f>
        <v>53</v>
      </c>
      <c r="F69" s="230">
        <f>146-2</f>
        <v>144</v>
      </c>
      <c r="G69" s="313">
        <v>127</v>
      </c>
      <c r="H69" s="276">
        <v>165</v>
      </c>
      <c r="I69" s="230">
        <v>191</v>
      </c>
      <c r="J69" s="230">
        <v>168</v>
      </c>
      <c r="K69" s="313">
        <v>-57</v>
      </c>
      <c r="L69" s="276">
        <v>-92</v>
      </c>
      <c r="M69" s="230">
        <v>-96</v>
      </c>
      <c r="N69" s="230">
        <v>232</v>
      </c>
      <c r="O69" s="313">
        <v>261</v>
      </c>
      <c r="P69" s="276">
        <v>72</v>
      </c>
      <c r="Q69" s="230">
        <v>129</v>
      </c>
      <c r="R69" s="230">
        <v>-136</v>
      </c>
      <c r="S69" s="313">
        <v>-393</v>
      </c>
      <c r="T69" s="276">
        <v>-390</v>
      </c>
      <c r="U69" s="230">
        <v>-153</v>
      </c>
      <c r="V69" s="230">
        <v>233</v>
      </c>
      <c r="W69" s="313">
        <v>393</v>
      </c>
      <c r="X69" s="230">
        <v>414</v>
      </c>
      <c r="Y69" s="230">
        <v>231</v>
      </c>
      <c r="Z69" s="230">
        <v>531</v>
      </c>
      <c r="AA69" s="283">
        <v>333</v>
      </c>
      <c r="AB69" s="312">
        <v>481</v>
      </c>
      <c r="AC69" s="230">
        <v>466</v>
      </c>
      <c r="AD69" s="230">
        <v>-32</v>
      </c>
      <c r="AE69" s="283">
        <v>-781</v>
      </c>
      <c r="AF69" s="230">
        <v>-604</v>
      </c>
      <c r="AG69" s="230">
        <v>-857</v>
      </c>
      <c r="AH69" s="230">
        <v>-501</v>
      </c>
      <c r="AI69" s="313">
        <v>-399</v>
      </c>
      <c r="AJ69" s="230">
        <v>-410</v>
      </c>
      <c r="AK69" s="230">
        <v>145</v>
      </c>
      <c r="AL69" s="230">
        <v>1048</v>
      </c>
      <c r="AM69" s="313">
        <v>1243</v>
      </c>
      <c r="AN69" s="230">
        <v>1156</v>
      </c>
      <c r="AO69" s="230">
        <v>1120</v>
      </c>
      <c r="AP69" s="230">
        <v>946</v>
      </c>
      <c r="AQ69" s="313">
        <v>666</v>
      </c>
      <c r="AR69" s="230">
        <v>68</v>
      </c>
      <c r="AS69" s="230">
        <v>645</v>
      </c>
      <c r="AT69" s="230">
        <v>-335</v>
      </c>
      <c r="AU69" s="313">
        <v>60</v>
      </c>
      <c r="AV69" s="230">
        <v>560</v>
      </c>
      <c r="AW69" s="230">
        <v>-80</v>
      </c>
      <c r="AX69" s="230">
        <v>400</v>
      </c>
      <c r="AY69" s="313">
        <v>106</v>
      </c>
      <c r="AZ69" s="230">
        <v>863</v>
      </c>
      <c r="BA69" s="230">
        <v>1174</v>
      </c>
      <c r="BB69" s="230">
        <v>1610</v>
      </c>
      <c r="BC69" s="313">
        <v>862</v>
      </c>
      <c r="BD69" s="230">
        <v>-683</v>
      </c>
      <c r="BE69" s="249">
        <f>BD69+CFS!BE14+CFS!BE16+CFS!BE17+CFS!BE52+CFS!BE18</f>
        <v>-683</v>
      </c>
      <c r="BF69" s="249">
        <f>BE69+CFS!BF14+CFS!BF16+CFS!BF17+CFS!BF52+CFS!BF18</f>
        <v>-683</v>
      </c>
      <c r="BG69" s="289">
        <f>BF69+CFS!BG14+CFS!BG16+CFS!BG17+CFS!BG52+CFS!BG18</f>
        <v>-683</v>
      </c>
      <c r="BH69" s="249">
        <f>BG69+CFS!BH14+CFS!BH16+CFS!BH17+CFS!BH52+CFS!BH18</f>
        <v>-683</v>
      </c>
      <c r="BI69" s="249">
        <f>BH69+CFS!BI14+CFS!BI16+CFS!BI17+CFS!BI52+CFS!BI18</f>
        <v>-683</v>
      </c>
      <c r="BJ69" s="249">
        <f>BI69+CFS!BJ14+CFS!BJ16+CFS!BJ17+CFS!BJ52+CFS!BJ18</f>
        <v>-683</v>
      </c>
      <c r="BK69" s="289">
        <f>BJ69+CFS!BK14+CFS!BK16+CFS!BK17+CFS!BK52+CFS!BK18</f>
        <v>-683</v>
      </c>
      <c r="BL69" s="35"/>
      <c r="BM69" s="249">
        <f>G69</f>
        <v>127</v>
      </c>
      <c r="BN69" s="249">
        <f>K69</f>
        <v>-57</v>
      </c>
      <c r="BO69" s="249">
        <f>O69</f>
        <v>261</v>
      </c>
      <c r="BP69" s="249">
        <f>S69</f>
        <v>-393</v>
      </c>
      <c r="BQ69" s="249">
        <f>W69</f>
        <v>393</v>
      </c>
      <c r="BR69" s="249">
        <f>AA69</f>
        <v>333</v>
      </c>
      <c r="BS69" s="249">
        <f>AE69</f>
        <v>-781</v>
      </c>
      <c r="BT69" s="249">
        <f>AI69</f>
        <v>-399</v>
      </c>
      <c r="BU69" s="249">
        <f>AM69</f>
        <v>1243</v>
      </c>
      <c r="BV69" s="249">
        <f>AQ69</f>
        <v>666</v>
      </c>
      <c r="BW69" s="249">
        <f>AU69</f>
        <v>60</v>
      </c>
      <c r="BX69" s="249">
        <f>AY69</f>
        <v>106</v>
      </c>
      <c r="BY69" s="249">
        <f>BC69</f>
        <v>862</v>
      </c>
      <c r="BZ69" s="249">
        <f>BG69</f>
        <v>-683</v>
      </c>
      <c r="CA69" s="249">
        <f>BK69</f>
        <v>-683</v>
      </c>
      <c r="CB69" s="1174">
        <f>CA69+CFS!CB14+CFS!CB16+CFS!CB17+CFS!CB32+CFS!CB52+CFS!CB18</f>
        <v>-683</v>
      </c>
      <c r="CC69" s="37"/>
      <c r="CD69" s="26"/>
      <c r="CE69" s="26"/>
    </row>
    <row r="70" spans="1:91" ht="14.25" customHeight="1">
      <c r="A70" s="18"/>
      <c r="B70" s="324" t="s">
        <v>191</v>
      </c>
      <c r="C70" s="325"/>
      <c r="D70" s="304">
        <f t="shared" ref="D70:AR70" si="221">D65+D68+D69</f>
        <v>37711</v>
      </c>
      <c r="E70" s="305">
        <f t="shared" si="221"/>
        <v>37614</v>
      </c>
      <c r="F70" s="305">
        <f t="shared" si="221"/>
        <v>36676</v>
      </c>
      <c r="G70" s="306">
        <f t="shared" si="221"/>
        <v>36182</v>
      </c>
      <c r="H70" s="304">
        <f t="shared" si="221"/>
        <v>34358</v>
      </c>
      <c r="I70" s="305">
        <f t="shared" si="221"/>
        <v>34796</v>
      </c>
      <c r="J70" s="305">
        <f t="shared" si="221"/>
        <v>35017</v>
      </c>
      <c r="K70" s="306">
        <f t="shared" si="221"/>
        <v>36752</v>
      </c>
      <c r="L70" s="304">
        <f t="shared" si="221"/>
        <v>37526</v>
      </c>
      <c r="M70" s="305">
        <f t="shared" si="221"/>
        <v>39698</v>
      </c>
      <c r="N70" s="305">
        <f t="shared" si="221"/>
        <v>40902</v>
      </c>
      <c r="O70" s="306">
        <f t="shared" si="221"/>
        <v>42762</v>
      </c>
      <c r="P70" s="304">
        <f t="shared" si="221"/>
        <v>40660</v>
      </c>
      <c r="Q70" s="305">
        <f t="shared" si="221"/>
        <v>40361</v>
      </c>
      <c r="R70" s="305">
        <f t="shared" si="221"/>
        <v>38911</v>
      </c>
      <c r="S70" s="306">
        <f t="shared" si="221"/>
        <v>39088</v>
      </c>
      <c r="T70" s="304">
        <f t="shared" si="221"/>
        <v>39064</v>
      </c>
      <c r="U70" s="305">
        <f t="shared" si="221"/>
        <v>39047</v>
      </c>
      <c r="V70" s="305">
        <f t="shared" si="221"/>
        <v>39033</v>
      </c>
      <c r="W70" s="306">
        <f t="shared" si="221"/>
        <v>41704</v>
      </c>
      <c r="X70" s="304">
        <f t="shared" si="221"/>
        <v>42900</v>
      </c>
      <c r="Y70" s="305">
        <f t="shared" si="221"/>
        <v>45841</v>
      </c>
      <c r="Z70" s="305">
        <f t="shared" si="221"/>
        <v>47696</v>
      </c>
      <c r="AA70" s="306">
        <f t="shared" si="221"/>
        <v>49430</v>
      </c>
      <c r="AB70" s="305">
        <f t="shared" si="221"/>
        <v>47349</v>
      </c>
      <c r="AC70" s="305">
        <f t="shared" si="221"/>
        <v>48723</v>
      </c>
      <c r="AD70" s="305">
        <f t="shared" si="221"/>
        <v>46117</v>
      </c>
      <c r="AE70" s="306">
        <f t="shared" si="221"/>
        <v>45911</v>
      </c>
      <c r="AF70" s="304">
        <f t="shared" si="221"/>
        <v>46760</v>
      </c>
      <c r="AG70" s="305">
        <f t="shared" si="221"/>
        <v>48779</v>
      </c>
      <c r="AH70" s="305">
        <f t="shared" si="221"/>
        <v>49269</v>
      </c>
      <c r="AI70" s="306">
        <f t="shared" si="221"/>
        <v>51203</v>
      </c>
      <c r="AJ70" s="304">
        <f t="shared" si="221"/>
        <v>51194</v>
      </c>
      <c r="AK70" s="305">
        <f t="shared" si="221"/>
        <v>53840</v>
      </c>
      <c r="AL70" s="305">
        <f t="shared" si="221"/>
        <v>55452</v>
      </c>
      <c r="AM70" s="306">
        <f t="shared" si="221"/>
        <v>58256</v>
      </c>
      <c r="AN70" s="304">
        <f>AN65+AN68+AN69</f>
        <v>58038</v>
      </c>
      <c r="AO70" s="305">
        <f>AO65+AO68+AO69</f>
        <v>59247</v>
      </c>
      <c r="AP70" s="305">
        <v>55452</v>
      </c>
      <c r="AQ70" s="306">
        <f t="shared" si="221"/>
        <v>56777</v>
      </c>
      <c r="AR70" s="304">
        <f t="shared" si="221"/>
        <v>55832</v>
      </c>
      <c r="AS70" s="305">
        <f t="shared" ref="AS70:AW70" si="222">AS65+AS68+AS69</f>
        <v>58600</v>
      </c>
      <c r="AT70" s="305">
        <f t="shared" si="222"/>
        <v>58002</v>
      </c>
      <c r="AU70" s="306">
        <f t="shared" si="222"/>
        <v>61982</v>
      </c>
      <c r="AV70" s="304">
        <f t="shared" si="222"/>
        <v>62068</v>
      </c>
      <c r="AW70" s="305">
        <f t="shared" si="222"/>
        <v>62257</v>
      </c>
      <c r="AX70" s="305">
        <f t="shared" ref="AX70:AZ70" si="223">AX65+AX68+AX69</f>
        <v>64001</v>
      </c>
      <c r="AY70" s="306">
        <f t="shared" si="223"/>
        <v>67108</v>
      </c>
      <c r="AZ70" s="304">
        <f t="shared" si="223"/>
        <v>67722</v>
      </c>
      <c r="BA70" s="305">
        <f t="shared" ref="BA70:BC70" si="224">BA65+BA68+BA69</f>
        <v>69499</v>
      </c>
      <c r="BB70" s="305">
        <f t="shared" si="224"/>
        <v>71806</v>
      </c>
      <c r="BC70" s="306">
        <f t="shared" si="224"/>
        <v>69885</v>
      </c>
      <c r="BD70" s="305">
        <f t="shared" ref="BD70:BG70" si="225">BD65+BD68+BD69</f>
        <v>70966</v>
      </c>
      <c r="BE70" s="305">
        <f t="shared" si="225"/>
        <v>73671.893124279042</v>
      </c>
      <c r="BF70" s="305">
        <f t="shared" si="225"/>
        <v>77270.553174912231</v>
      </c>
      <c r="BG70" s="306">
        <f t="shared" si="225"/>
        <v>80925.470690168353</v>
      </c>
      <c r="BH70" s="305">
        <f t="shared" ref="BH70:BK70" si="226">BH65+BH68+BH69</f>
        <v>83666.96996474787</v>
      </c>
      <c r="BI70" s="305">
        <f t="shared" si="226"/>
        <v>86483.809988391818</v>
      </c>
      <c r="BJ70" s="305">
        <f t="shared" si="226"/>
        <v>90087.072568226751</v>
      </c>
      <c r="BK70" s="306">
        <f t="shared" si="226"/>
        <v>93911.131135696502</v>
      </c>
      <c r="BL70" s="35"/>
      <c r="BM70" s="305">
        <f t="shared" ref="BM70:BY70" si="227">BM65+BM68+BM69</f>
        <v>36182</v>
      </c>
      <c r="BN70" s="305">
        <f t="shared" si="227"/>
        <v>36752</v>
      </c>
      <c r="BO70" s="305">
        <f t="shared" si="227"/>
        <v>42762</v>
      </c>
      <c r="BP70" s="305">
        <f t="shared" si="227"/>
        <v>39088</v>
      </c>
      <c r="BQ70" s="305">
        <f t="shared" si="227"/>
        <v>41704</v>
      </c>
      <c r="BR70" s="305">
        <f t="shared" si="227"/>
        <v>49430</v>
      </c>
      <c r="BS70" s="305">
        <f t="shared" si="227"/>
        <v>45911</v>
      </c>
      <c r="BT70" s="305">
        <f t="shared" si="227"/>
        <v>51203</v>
      </c>
      <c r="BU70" s="305">
        <f t="shared" si="227"/>
        <v>58256</v>
      </c>
      <c r="BV70" s="305">
        <f t="shared" si="227"/>
        <v>56777</v>
      </c>
      <c r="BW70" s="305">
        <f>BW65+BW68+BW69</f>
        <v>61982</v>
      </c>
      <c r="BX70" s="305">
        <f t="shared" si="227"/>
        <v>67108</v>
      </c>
      <c r="BY70" s="305">
        <f t="shared" si="227"/>
        <v>69885</v>
      </c>
      <c r="BZ70" s="305">
        <f t="shared" ref="BZ70" si="228">BZ65+BZ68+BZ69</f>
        <v>80925.470690168353</v>
      </c>
      <c r="CA70" s="305">
        <f t="shared" ref="CA70:CB70" si="229">CA65+CA68+CA69</f>
        <v>93911.131135696502</v>
      </c>
      <c r="CB70" s="306">
        <f t="shared" si="229"/>
        <v>107121.641745865</v>
      </c>
      <c r="CC70" s="37"/>
      <c r="CD70" s="26"/>
      <c r="CE70" s="26"/>
    </row>
    <row r="71" spans="1:91" ht="14.25" customHeight="1">
      <c r="A71" s="18"/>
      <c r="B71" s="371"/>
      <c r="C71" s="371"/>
      <c r="D71" s="249"/>
      <c r="E71" s="249"/>
      <c r="F71" s="249"/>
      <c r="G71" s="372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372"/>
      <c r="AB71" s="249"/>
      <c r="AC71" s="249"/>
      <c r="AD71" s="249"/>
      <c r="AE71" s="372"/>
      <c r="AF71" s="249"/>
      <c r="AG71" s="249"/>
      <c r="AH71" s="249"/>
      <c r="AI71" s="372"/>
      <c r="AJ71" s="249"/>
      <c r="AK71" s="249"/>
      <c r="AL71" s="249"/>
      <c r="AM71" s="372"/>
      <c r="AN71" s="249"/>
      <c r="AO71" s="249"/>
      <c r="AP71" s="249"/>
      <c r="AQ71" s="372"/>
      <c r="AR71" s="249"/>
      <c r="AS71" s="249"/>
      <c r="AT71" s="249"/>
      <c r="AU71" s="372"/>
      <c r="AV71" s="249"/>
      <c r="AW71" s="249"/>
      <c r="AX71" s="249"/>
      <c r="AY71" s="372"/>
      <c r="AZ71" s="249"/>
      <c r="BA71" s="249"/>
      <c r="BB71" s="249"/>
      <c r="BC71" s="372"/>
      <c r="BD71" s="249"/>
      <c r="BE71" s="249"/>
      <c r="BF71" s="249"/>
      <c r="BG71" s="372"/>
      <c r="BH71" s="249"/>
      <c r="BI71" s="249"/>
      <c r="BJ71" s="249"/>
      <c r="BK71" s="372"/>
      <c r="BL71" s="26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372"/>
      <c r="BZ71" s="372"/>
      <c r="CA71" s="372"/>
      <c r="CB71" s="372"/>
      <c r="CC71" s="26"/>
      <c r="CD71" s="26"/>
      <c r="CE71" s="18"/>
    </row>
    <row r="72" spans="1:91" ht="14.25" customHeight="1">
      <c r="A72" s="18"/>
      <c r="B72" s="307" t="s">
        <v>210</v>
      </c>
      <c r="C72" s="308"/>
      <c r="D72" s="373">
        <f t="shared" ref="D72:AA72" si="230">D42</f>
        <v>37711</v>
      </c>
      <c r="E72" s="373">
        <f t="shared" si="230"/>
        <v>37614</v>
      </c>
      <c r="F72" s="373">
        <f t="shared" si="230"/>
        <v>36676</v>
      </c>
      <c r="G72" s="374">
        <f t="shared" si="230"/>
        <v>36182</v>
      </c>
      <c r="H72" s="373">
        <f t="shared" si="230"/>
        <v>34358</v>
      </c>
      <c r="I72" s="373">
        <f t="shared" si="230"/>
        <v>34796</v>
      </c>
      <c r="J72" s="373">
        <f t="shared" si="230"/>
        <v>35017</v>
      </c>
      <c r="K72" s="373">
        <f t="shared" si="230"/>
        <v>36752</v>
      </c>
      <c r="L72" s="373">
        <f t="shared" si="230"/>
        <v>37526</v>
      </c>
      <c r="M72" s="373">
        <f t="shared" si="230"/>
        <v>39698</v>
      </c>
      <c r="N72" s="373">
        <f t="shared" si="230"/>
        <v>40902</v>
      </c>
      <c r="O72" s="373">
        <f t="shared" si="230"/>
        <v>42762</v>
      </c>
      <c r="P72" s="373">
        <f t="shared" si="230"/>
        <v>40660</v>
      </c>
      <c r="Q72" s="373">
        <f t="shared" si="230"/>
        <v>40361</v>
      </c>
      <c r="R72" s="373">
        <f t="shared" si="230"/>
        <v>38911</v>
      </c>
      <c r="S72" s="373">
        <f t="shared" si="230"/>
        <v>39088</v>
      </c>
      <c r="T72" s="373">
        <f t="shared" si="230"/>
        <v>39064</v>
      </c>
      <c r="U72" s="373">
        <f t="shared" si="230"/>
        <v>39047</v>
      </c>
      <c r="V72" s="373">
        <f t="shared" si="230"/>
        <v>39033</v>
      </c>
      <c r="W72" s="373">
        <f t="shared" si="230"/>
        <v>41704</v>
      </c>
      <c r="X72" s="375">
        <f t="shared" si="230"/>
        <v>42900</v>
      </c>
      <c r="Y72" s="373">
        <f t="shared" si="230"/>
        <v>45841</v>
      </c>
      <c r="Z72" s="373">
        <f t="shared" si="230"/>
        <v>47696</v>
      </c>
      <c r="AA72" s="376">
        <f t="shared" si="230"/>
        <v>49430</v>
      </c>
      <c r="AB72" s="373">
        <f>AB42</f>
        <v>47349</v>
      </c>
      <c r="AC72" s="373">
        <f t="shared" ref="AC72:AR72" si="231">AC42</f>
        <v>48723</v>
      </c>
      <c r="AD72" s="373">
        <f t="shared" si="231"/>
        <v>46117</v>
      </c>
      <c r="AE72" s="376">
        <f t="shared" si="231"/>
        <v>45911</v>
      </c>
      <c r="AF72" s="375">
        <f t="shared" si="231"/>
        <v>46760</v>
      </c>
      <c r="AG72" s="373">
        <f t="shared" si="231"/>
        <v>48779</v>
      </c>
      <c r="AH72" s="373">
        <f t="shared" si="231"/>
        <v>49269</v>
      </c>
      <c r="AI72" s="374">
        <f t="shared" si="231"/>
        <v>51203</v>
      </c>
      <c r="AJ72" s="375">
        <f t="shared" si="231"/>
        <v>51194</v>
      </c>
      <c r="AK72" s="373">
        <f t="shared" si="231"/>
        <v>53840</v>
      </c>
      <c r="AL72" s="373">
        <f t="shared" si="231"/>
        <v>55452</v>
      </c>
      <c r="AM72" s="374">
        <f>AM42</f>
        <v>58256</v>
      </c>
      <c r="AN72" s="375">
        <f>AN42</f>
        <v>58038</v>
      </c>
      <c r="AO72" s="373">
        <f>AO42</f>
        <v>59247</v>
      </c>
      <c r="AP72" s="373">
        <v>55452</v>
      </c>
      <c r="AQ72" s="374">
        <f t="shared" si="231"/>
        <v>56777</v>
      </c>
      <c r="AR72" s="375">
        <f t="shared" si="231"/>
        <v>55832</v>
      </c>
      <c r="AS72" s="373">
        <f t="shared" ref="AS72:AW72" si="232">AS42</f>
        <v>58600</v>
      </c>
      <c r="AT72" s="373">
        <f t="shared" si="232"/>
        <v>58002</v>
      </c>
      <c r="AU72" s="374">
        <f t="shared" si="232"/>
        <v>61982</v>
      </c>
      <c r="AV72" s="375">
        <f t="shared" si="232"/>
        <v>62068</v>
      </c>
      <c r="AW72" s="373">
        <f t="shared" si="232"/>
        <v>62257</v>
      </c>
      <c r="AX72" s="373">
        <f t="shared" ref="AX72:AZ72" si="233">AX42</f>
        <v>64001</v>
      </c>
      <c r="AY72" s="374">
        <f t="shared" si="233"/>
        <v>67108</v>
      </c>
      <c r="AZ72" s="375">
        <f t="shared" si="233"/>
        <v>67722</v>
      </c>
      <c r="BA72" s="373">
        <f t="shared" ref="BA72:BC72" si="234">BA42</f>
        <v>69499</v>
      </c>
      <c r="BB72" s="373">
        <f t="shared" si="234"/>
        <v>71806</v>
      </c>
      <c r="BC72" s="374">
        <f t="shared" si="234"/>
        <v>69885</v>
      </c>
      <c r="BD72" s="373">
        <f t="shared" ref="BD72:BG72" si="235">BD42</f>
        <v>70966</v>
      </c>
      <c r="BE72" s="373">
        <f t="shared" si="235"/>
        <v>73671.893124279042</v>
      </c>
      <c r="BF72" s="373">
        <f t="shared" si="235"/>
        <v>77270.553174912231</v>
      </c>
      <c r="BG72" s="374">
        <f t="shared" si="235"/>
        <v>80925.470690168353</v>
      </c>
      <c r="BH72" s="373">
        <f t="shared" ref="BH72:BK72" si="236">BH42</f>
        <v>83666.96996474787</v>
      </c>
      <c r="BI72" s="373">
        <f t="shared" si="236"/>
        <v>86483.809988391818</v>
      </c>
      <c r="BJ72" s="373">
        <f t="shared" si="236"/>
        <v>90087.072568226751</v>
      </c>
      <c r="BK72" s="374">
        <f t="shared" si="236"/>
        <v>93911.131135696502</v>
      </c>
      <c r="BL72" s="377"/>
      <c r="BM72" s="373">
        <f>G72</f>
        <v>36182</v>
      </c>
      <c r="BN72" s="373">
        <f>K72</f>
        <v>36752</v>
      </c>
      <c r="BO72" s="373">
        <f>O72</f>
        <v>42762</v>
      </c>
      <c r="BP72" s="373">
        <f>S72</f>
        <v>39088</v>
      </c>
      <c r="BQ72" s="373">
        <f>W72</f>
        <v>41704</v>
      </c>
      <c r="BR72" s="373">
        <f>AA72</f>
        <v>49430</v>
      </c>
      <c r="BS72" s="373">
        <f>AE72</f>
        <v>45911</v>
      </c>
      <c r="BT72" s="373">
        <f>AI72</f>
        <v>51203</v>
      </c>
      <c r="BU72" s="373">
        <f>AM72</f>
        <v>58256</v>
      </c>
      <c r="BV72" s="373">
        <f>AQ72</f>
        <v>56777</v>
      </c>
      <c r="BW72" s="373">
        <f>AU72</f>
        <v>61982</v>
      </c>
      <c r="BX72" s="373">
        <f>AY72</f>
        <v>67108</v>
      </c>
      <c r="BY72" s="373">
        <f>BC72</f>
        <v>69885</v>
      </c>
      <c r="BZ72" s="373">
        <f>BG72</f>
        <v>80925.470690168353</v>
      </c>
      <c r="CA72" s="373">
        <f>BK72</f>
        <v>93911.131135696502</v>
      </c>
      <c r="CB72" s="1206">
        <f>CB42</f>
        <v>107121.641745865</v>
      </c>
      <c r="CC72" s="37"/>
      <c r="CD72" s="26"/>
      <c r="CE72" s="26"/>
    </row>
    <row r="73" spans="1:91" ht="14.25" customHeight="1">
      <c r="A73" s="18"/>
      <c r="B73" s="330" t="s">
        <v>193</v>
      </c>
      <c r="C73" s="331"/>
      <c r="D73" s="333">
        <f t="shared" ref="D73:AR73" si="237">ROUND(D72,4)-ROUND(D70,4)</f>
        <v>0</v>
      </c>
      <c r="E73" s="333">
        <f t="shared" si="237"/>
        <v>0</v>
      </c>
      <c r="F73" s="333">
        <f t="shared" si="237"/>
        <v>0</v>
      </c>
      <c r="G73" s="334">
        <f t="shared" si="237"/>
        <v>0</v>
      </c>
      <c r="H73" s="333">
        <f t="shared" si="237"/>
        <v>0</v>
      </c>
      <c r="I73" s="333">
        <f t="shared" si="237"/>
        <v>0</v>
      </c>
      <c r="J73" s="333">
        <f t="shared" si="237"/>
        <v>0</v>
      </c>
      <c r="K73" s="334">
        <f t="shared" si="237"/>
        <v>0</v>
      </c>
      <c r="L73" s="333">
        <f t="shared" si="237"/>
        <v>0</v>
      </c>
      <c r="M73" s="333">
        <f t="shared" si="237"/>
        <v>0</v>
      </c>
      <c r="N73" s="333">
        <f t="shared" si="237"/>
        <v>0</v>
      </c>
      <c r="O73" s="334">
        <f t="shared" si="237"/>
        <v>0</v>
      </c>
      <c r="P73" s="333">
        <f t="shared" si="237"/>
        <v>0</v>
      </c>
      <c r="Q73" s="333">
        <f t="shared" si="237"/>
        <v>0</v>
      </c>
      <c r="R73" s="333">
        <f t="shared" si="237"/>
        <v>0</v>
      </c>
      <c r="S73" s="334">
        <f t="shared" si="237"/>
        <v>0</v>
      </c>
      <c r="T73" s="333">
        <f t="shared" si="237"/>
        <v>0</v>
      </c>
      <c r="U73" s="333">
        <f t="shared" si="237"/>
        <v>0</v>
      </c>
      <c r="V73" s="333">
        <f t="shared" si="237"/>
        <v>0</v>
      </c>
      <c r="W73" s="334">
        <f t="shared" si="237"/>
        <v>0</v>
      </c>
      <c r="X73" s="333">
        <f t="shared" si="237"/>
        <v>0</v>
      </c>
      <c r="Y73" s="333">
        <f t="shared" si="237"/>
        <v>0</v>
      </c>
      <c r="Z73" s="378">
        <f t="shared" si="237"/>
        <v>0</v>
      </c>
      <c r="AA73" s="333">
        <f t="shared" si="237"/>
        <v>0</v>
      </c>
      <c r="AB73" s="332">
        <f t="shared" si="237"/>
        <v>0</v>
      </c>
      <c r="AC73" s="378">
        <f t="shared" si="237"/>
        <v>0</v>
      </c>
      <c r="AD73" s="378">
        <f t="shared" si="237"/>
        <v>0</v>
      </c>
      <c r="AE73" s="333">
        <f t="shared" si="237"/>
        <v>0</v>
      </c>
      <c r="AF73" s="333">
        <f t="shared" si="237"/>
        <v>0</v>
      </c>
      <c r="AG73" s="378">
        <f t="shared" si="237"/>
        <v>0</v>
      </c>
      <c r="AH73" s="333">
        <f t="shared" si="237"/>
        <v>0</v>
      </c>
      <c r="AI73" s="334">
        <f t="shared" si="237"/>
        <v>0</v>
      </c>
      <c r="AJ73" s="333">
        <f t="shared" si="237"/>
        <v>0</v>
      </c>
      <c r="AK73" s="333">
        <f t="shared" si="237"/>
        <v>0</v>
      </c>
      <c r="AL73" s="378">
        <f t="shared" si="237"/>
        <v>0</v>
      </c>
      <c r="AM73" s="334">
        <f t="shared" si="237"/>
        <v>0</v>
      </c>
      <c r="AN73" s="333">
        <f>ROUND(AN72,4)-ROUND(AN70,4)</f>
        <v>0</v>
      </c>
      <c r="AO73" s="333">
        <f>ROUND(AO72,4)-ROUND(AO70,4)</f>
        <v>0</v>
      </c>
      <c r="AP73" s="333">
        <f>ROUND(AP72,4)-ROUND(AP70,4)</f>
        <v>0</v>
      </c>
      <c r="AQ73" s="334">
        <f t="shared" si="237"/>
        <v>0</v>
      </c>
      <c r="AR73" s="333">
        <f t="shared" si="237"/>
        <v>0</v>
      </c>
      <c r="AS73" s="333">
        <f t="shared" ref="AS73:AW73" si="238">ROUND(AS72,4)-ROUND(AS70,4)</f>
        <v>0</v>
      </c>
      <c r="AT73" s="333">
        <f t="shared" si="238"/>
        <v>0</v>
      </c>
      <c r="AU73" s="334">
        <f t="shared" si="238"/>
        <v>0</v>
      </c>
      <c r="AV73" s="333">
        <f t="shared" si="238"/>
        <v>0</v>
      </c>
      <c r="AW73" s="333">
        <f t="shared" si="238"/>
        <v>0</v>
      </c>
      <c r="AX73" s="333">
        <f t="shared" ref="AX73:AZ73" si="239">ROUND(AX72,4)-ROUND(AX70,4)</f>
        <v>0</v>
      </c>
      <c r="AY73" s="334">
        <f t="shared" si="239"/>
        <v>0</v>
      </c>
      <c r="AZ73" s="333">
        <f t="shared" si="239"/>
        <v>0</v>
      </c>
      <c r="BA73" s="333">
        <f t="shared" ref="BA73:BC73" si="240">ROUND(BA72,4)-ROUND(BA70,4)</f>
        <v>0</v>
      </c>
      <c r="BB73" s="333">
        <f t="shared" si="240"/>
        <v>0</v>
      </c>
      <c r="BC73" s="334">
        <f t="shared" si="240"/>
        <v>0</v>
      </c>
      <c r="BD73" s="333">
        <f t="shared" ref="BD73:BG73" si="241">ROUND(BD72,4)-ROUND(BD70,4)</f>
        <v>0</v>
      </c>
      <c r="BE73" s="333">
        <f t="shared" si="241"/>
        <v>0</v>
      </c>
      <c r="BF73" s="333">
        <f t="shared" si="241"/>
        <v>0</v>
      </c>
      <c r="BG73" s="334">
        <f t="shared" si="241"/>
        <v>0</v>
      </c>
      <c r="BH73" s="333">
        <f t="shared" ref="BH73:BK73" si="242">ROUND(BH72,4)-ROUND(BH70,4)</f>
        <v>0</v>
      </c>
      <c r="BI73" s="333">
        <f t="shared" si="242"/>
        <v>0</v>
      </c>
      <c r="BJ73" s="333">
        <f t="shared" si="242"/>
        <v>0</v>
      </c>
      <c r="BK73" s="334">
        <f t="shared" si="242"/>
        <v>0</v>
      </c>
      <c r="BL73" s="377"/>
      <c r="BM73" s="333">
        <f t="shared" ref="BM73:BY73" si="243">ROUND(BM72,4)-ROUND(BM70,4)</f>
        <v>0</v>
      </c>
      <c r="BN73" s="333">
        <f t="shared" si="243"/>
        <v>0</v>
      </c>
      <c r="BO73" s="333">
        <f t="shared" si="243"/>
        <v>0</v>
      </c>
      <c r="BP73" s="333">
        <f t="shared" si="243"/>
        <v>0</v>
      </c>
      <c r="BQ73" s="333">
        <f t="shared" si="243"/>
        <v>0</v>
      </c>
      <c r="BR73" s="333">
        <f t="shared" si="243"/>
        <v>0</v>
      </c>
      <c r="BS73" s="333">
        <f t="shared" si="243"/>
        <v>0</v>
      </c>
      <c r="BT73" s="333">
        <f t="shared" si="243"/>
        <v>0</v>
      </c>
      <c r="BU73" s="333">
        <f t="shared" si="243"/>
        <v>0</v>
      </c>
      <c r="BV73" s="333">
        <f t="shared" si="243"/>
        <v>0</v>
      </c>
      <c r="BW73" s="333">
        <f>ROUND(BW72,4)-ROUND(BW70,4)</f>
        <v>0</v>
      </c>
      <c r="BX73" s="333">
        <f t="shared" si="243"/>
        <v>0</v>
      </c>
      <c r="BY73" s="333">
        <f t="shared" si="243"/>
        <v>0</v>
      </c>
      <c r="BZ73" s="333">
        <f t="shared" ref="BZ73" si="244">ROUND(BZ72,4)-ROUND(BZ70,4)</f>
        <v>0</v>
      </c>
      <c r="CA73" s="333">
        <f t="shared" ref="CA73:CB73" si="245">ROUND(CA72,4)-ROUND(CA70,4)</f>
        <v>0</v>
      </c>
      <c r="CB73" s="1207">
        <f t="shared" si="245"/>
        <v>0</v>
      </c>
      <c r="CC73" s="37"/>
      <c r="CD73" s="26"/>
      <c r="CE73" s="26"/>
    </row>
    <row r="74" spans="1:91" ht="14.25" customHeight="1">
      <c r="A74" s="18"/>
      <c r="B74" s="335"/>
      <c r="C74" s="201"/>
      <c r="D74" s="201"/>
      <c r="E74" s="201"/>
      <c r="F74" s="201"/>
      <c r="G74" s="201"/>
      <c r="H74" s="201"/>
      <c r="I74" s="201"/>
      <c r="J74" s="201"/>
      <c r="K74" s="201"/>
      <c r="L74" s="201"/>
      <c r="M74" s="201"/>
      <c r="N74" s="201"/>
      <c r="O74" s="201"/>
      <c r="P74" s="201"/>
      <c r="Q74" s="201"/>
      <c r="R74" s="201"/>
      <c r="S74" s="201"/>
      <c r="T74" s="201"/>
      <c r="U74" s="201"/>
      <c r="V74" s="201"/>
      <c r="W74" s="201"/>
      <c r="X74" s="201"/>
      <c r="Y74" s="201"/>
      <c r="Z74" s="201"/>
      <c r="AA74" s="201"/>
      <c r="AB74" s="201"/>
      <c r="AC74" s="201"/>
      <c r="AD74" s="201"/>
      <c r="AE74" s="201"/>
      <c r="AF74" s="201"/>
      <c r="AG74" s="201"/>
      <c r="AH74" s="201"/>
      <c r="AI74" s="335"/>
      <c r="AJ74" s="201"/>
      <c r="AK74" s="201"/>
      <c r="AL74" s="201"/>
      <c r="AM74" s="335"/>
      <c r="AN74" s="201"/>
      <c r="AO74" s="201"/>
      <c r="AP74" s="201"/>
      <c r="AQ74" s="335"/>
      <c r="AR74" s="201"/>
      <c r="AS74" s="201"/>
      <c r="AT74" s="201"/>
      <c r="AU74" s="335"/>
      <c r="AV74" s="201"/>
      <c r="AW74" s="201"/>
      <c r="AX74" s="201"/>
      <c r="AY74" s="335"/>
      <c r="AZ74" s="201"/>
      <c r="BA74" s="201"/>
      <c r="BB74" s="201"/>
      <c r="BC74" s="335"/>
      <c r="BD74" s="201"/>
      <c r="BE74" s="201"/>
      <c r="BF74" s="201"/>
      <c r="BG74" s="335"/>
      <c r="BH74" s="201"/>
      <c r="BI74" s="201"/>
      <c r="BJ74" s="201"/>
      <c r="BK74" s="335"/>
      <c r="BL74" s="18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  <c r="BY74" s="201"/>
      <c r="BZ74" s="201"/>
      <c r="CA74" s="201"/>
      <c r="CB74" s="201"/>
      <c r="CC74" s="26"/>
      <c r="CD74" s="26"/>
      <c r="CE74" s="18"/>
    </row>
    <row r="75" spans="1:91" ht="14.25" customHeight="1">
      <c r="A75" s="18"/>
      <c r="B75" s="339"/>
      <c r="C75" s="201"/>
      <c r="D75" s="379"/>
      <c r="E75" s="379"/>
      <c r="F75" s="201"/>
      <c r="G75" s="201"/>
      <c r="H75" s="379"/>
      <c r="I75" s="379"/>
      <c r="J75" s="201"/>
      <c r="K75" s="201"/>
      <c r="L75" s="379"/>
      <c r="M75" s="379"/>
      <c r="N75" s="201"/>
      <c r="O75" s="201"/>
      <c r="P75" s="379"/>
      <c r="Q75" s="379"/>
      <c r="R75" s="201"/>
      <c r="S75" s="201"/>
      <c r="T75" s="379"/>
      <c r="U75" s="379"/>
      <c r="V75" s="201"/>
      <c r="W75" s="201"/>
      <c r="X75" s="201"/>
      <c r="Y75" s="201"/>
      <c r="Z75" s="201"/>
      <c r="AA75" s="201"/>
      <c r="AB75" s="201"/>
      <c r="AC75" s="201"/>
      <c r="AD75" s="201"/>
      <c r="AE75" s="201"/>
      <c r="AF75" s="201"/>
      <c r="AG75" s="201"/>
      <c r="AH75" s="201"/>
      <c r="AI75" s="339"/>
      <c r="AJ75" s="201"/>
      <c r="AK75" s="201"/>
      <c r="AL75" s="201"/>
      <c r="AM75" s="339"/>
      <c r="AN75" s="201"/>
      <c r="AO75" s="201"/>
      <c r="AP75" s="201"/>
      <c r="AQ75" s="339"/>
      <c r="AR75" s="201"/>
      <c r="AS75" s="201"/>
      <c r="AT75" s="201"/>
      <c r="AU75" s="339"/>
      <c r="AV75" s="201"/>
      <c r="AW75" s="201"/>
      <c r="AX75" s="201"/>
      <c r="AY75" s="339"/>
      <c r="AZ75" s="201"/>
      <c r="BA75" s="201"/>
      <c r="BB75" s="201"/>
      <c r="BC75" s="339"/>
      <c r="BD75" s="201"/>
      <c r="BE75" s="201"/>
      <c r="BF75" s="201"/>
      <c r="BG75" s="339"/>
      <c r="BH75" s="201"/>
      <c r="BI75" s="201"/>
      <c r="BJ75" s="201"/>
      <c r="BK75" s="339"/>
      <c r="BL75" s="18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6"/>
      <c r="CD75" s="26"/>
      <c r="CE75" s="18"/>
    </row>
    <row r="76" spans="1:91" ht="14.25" customHeight="1">
      <c r="A76" s="18"/>
      <c r="B76" s="341" t="s">
        <v>211</v>
      </c>
      <c r="C76" s="342"/>
      <c r="D76" s="21" t="str">
        <f t="shared" ref="D76:AA76" si="246">D60</f>
        <v>F1Q05A</v>
      </c>
      <c r="E76" s="22" t="str">
        <f t="shared" si="246"/>
        <v>F2Q05A</v>
      </c>
      <c r="F76" s="22" t="str">
        <f t="shared" si="246"/>
        <v>F3Q05A</v>
      </c>
      <c r="G76" s="23" t="str">
        <f t="shared" si="246"/>
        <v>F4Q05A</v>
      </c>
      <c r="H76" s="21" t="str">
        <f t="shared" si="246"/>
        <v>F1Q06A</v>
      </c>
      <c r="I76" s="22" t="str">
        <f t="shared" si="246"/>
        <v>F2Q06A</v>
      </c>
      <c r="J76" s="22" t="str">
        <f t="shared" si="246"/>
        <v>F3Q06A</v>
      </c>
      <c r="K76" s="23" t="str">
        <f t="shared" si="246"/>
        <v>F4Q06A</v>
      </c>
      <c r="L76" s="21" t="str">
        <f t="shared" si="246"/>
        <v>F1Q07A</v>
      </c>
      <c r="M76" s="22" t="str">
        <f t="shared" si="246"/>
        <v>F2Q07A</v>
      </c>
      <c r="N76" s="22" t="str">
        <f t="shared" si="246"/>
        <v>F3Q07A</v>
      </c>
      <c r="O76" s="23" t="str">
        <f t="shared" si="246"/>
        <v>F4Q07A</v>
      </c>
      <c r="P76" s="21" t="str">
        <f t="shared" si="246"/>
        <v>F1Q08A</v>
      </c>
      <c r="Q76" s="22" t="str">
        <f t="shared" si="246"/>
        <v>F2Q08A</v>
      </c>
      <c r="R76" s="22" t="str">
        <f t="shared" si="246"/>
        <v>F3Q08A</v>
      </c>
      <c r="S76" s="23" t="str">
        <f t="shared" si="246"/>
        <v>F4Q08A</v>
      </c>
      <c r="T76" s="21" t="str">
        <f t="shared" si="246"/>
        <v>F1Q09A</v>
      </c>
      <c r="U76" s="22" t="str">
        <f t="shared" si="246"/>
        <v>F2Q09A</v>
      </c>
      <c r="V76" s="22" t="str">
        <f t="shared" si="246"/>
        <v>F3Q09A</v>
      </c>
      <c r="W76" s="23" t="str">
        <f t="shared" si="246"/>
        <v>F4Q09A</v>
      </c>
      <c r="X76" s="22" t="str">
        <f t="shared" si="246"/>
        <v>F1Q10A</v>
      </c>
      <c r="Y76" s="22" t="str">
        <f t="shared" si="246"/>
        <v>F2Q10A</v>
      </c>
      <c r="Z76" s="22" t="str">
        <f t="shared" si="246"/>
        <v>F3Q10A</v>
      </c>
      <c r="AA76" s="23" t="str">
        <f t="shared" si="246"/>
        <v>F4Q10A</v>
      </c>
      <c r="AB76" s="21" t="str">
        <f>AB60</f>
        <v>F1Q11A</v>
      </c>
      <c r="AC76" s="22" t="str">
        <f t="shared" ref="AC76:AR76" si="247">AC60</f>
        <v>F2Q11A</v>
      </c>
      <c r="AD76" s="22" t="str">
        <f t="shared" si="247"/>
        <v>F3Q11A</v>
      </c>
      <c r="AE76" s="23" t="str">
        <f t="shared" si="247"/>
        <v>F4Q11A</v>
      </c>
      <c r="AF76" s="21" t="str">
        <f t="shared" si="247"/>
        <v>F1Q12A</v>
      </c>
      <c r="AG76" s="22" t="str">
        <f t="shared" si="247"/>
        <v>F2Q12A</v>
      </c>
      <c r="AH76" s="22" t="str">
        <f t="shared" si="247"/>
        <v>F3Q12A</v>
      </c>
      <c r="AI76" s="23" t="str">
        <f t="shared" si="247"/>
        <v>F4Q12A</v>
      </c>
      <c r="AJ76" s="21" t="str">
        <f t="shared" si="247"/>
        <v>F1Q13A</v>
      </c>
      <c r="AK76" s="22" t="str">
        <f t="shared" si="247"/>
        <v>F2Q13A</v>
      </c>
      <c r="AL76" s="22" t="str">
        <f t="shared" si="247"/>
        <v>F3Q13A</v>
      </c>
      <c r="AM76" s="23" t="str">
        <f>AM60</f>
        <v>F4Q13A</v>
      </c>
      <c r="AN76" s="21" t="str">
        <f>AN60</f>
        <v>F1Q14A</v>
      </c>
      <c r="AO76" s="22" t="str">
        <f>AO60</f>
        <v>F2Q14A</v>
      </c>
      <c r="AP76" s="22" t="str">
        <f t="shared" si="247"/>
        <v>F3Q14A</v>
      </c>
      <c r="AQ76" s="23" t="str">
        <f t="shared" si="247"/>
        <v>F4Q14A</v>
      </c>
      <c r="AR76" s="21" t="str">
        <f t="shared" si="247"/>
        <v>F1Q15A</v>
      </c>
      <c r="AS76" s="22" t="str">
        <f t="shared" ref="AS76:BC76" si="248">AS60</f>
        <v>F2Q15A</v>
      </c>
      <c r="AT76" s="22" t="str">
        <f t="shared" si="248"/>
        <v>F3Q15A</v>
      </c>
      <c r="AU76" s="23" t="str">
        <f t="shared" si="248"/>
        <v>F4Q15A</v>
      </c>
      <c r="AV76" s="21" t="str">
        <f t="shared" si="248"/>
        <v>F1Q16A</v>
      </c>
      <c r="AW76" s="22" t="str">
        <f t="shared" si="248"/>
        <v>F2Q16A</v>
      </c>
      <c r="AX76" s="22" t="str">
        <f t="shared" ref="AX76:AZ76" si="249">AX60</f>
        <v>F3Q16A</v>
      </c>
      <c r="AY76" s="23" t="str">
        <f t="shared" si="249"/>
        <v>F4Q16A</v>
      </c>
      <c r="AZ76" s="21" t="str">
        <f t="shared" si="249"/>
        <v>F1Q17A</v>
      </c>
      <c r="BA76" s="22" t="str">
        <f t="shared" si="248"/>
        <v>F2Q17A</v>
      </c>
      <c r="BB76" s="22" t="str">
        <f t="shared" si="248"/>
        <v>F3Q17A</v>
      </c>
      <c r="BC76" s="23" t="str">
        <f t="shared" si="248"/>
        <v>F4Q17A</v>
      </c>
      <c r="BD76" s="22" t="str">
        <f t="shared" ref="BD76:BG76" si="250">BD60</f>
        <v>F1Q18A</v>
      </c>
      <c r="BE76" s="22" t="str">
        <f t="shared" si="250"/>
        <v>F2Q18E</v>
      </c>
      <c r="BF76" s="22" t="str">
        <f t="shared" si="250"/>
        <v>F3Q18E</v>
      </c>
      <c r="BG76" s="23" t="str">
        <f t="shared" si="250"/>
        <v>F4Q18E</v>
      </c>
      <c r="BH76" s="22" t="str">
        <f t="shared" ref="BH76:BK76" si="251">BH60</f>
        <v>F1Q19E</v>
      </c>
      <c r="BI76" s="22" t="str">
        <f t="shared" si="251"/>
        <v>F2Q19E</v>
      </c>
      <c r="BJ76" s="22" t="str">
        <f t="shared" si="251"/>
        <v>F3Q19E</v>
      </c>
      <c r="BK76" s="23" t="str">
        <f t="shared" si="251"/>
        <v>F4Q19E</v>
      </c>
      <c r="BL76" s="35"/>
      <c r="BM76" s="343" t="str">
        <f t="shared" ref="BM76:BY76" si="252">BM60</f>
        <v>FY2005A</v>
      </c>
      <c r="BN76" s="22" t="str">
        <f t="shared" si="252"/>
        <v>FY2006A</v>
      </c>
      <c r="BO76" s="22" t="str">
        <f t="shared" si="252"/>
        <v>FY2007A</v>
      </c>
      <c r="BP76" s="22" t="str">
        <f t="shared" si="252"/>
        <v>FY2008A</v>
      </c>
      <c r="BQ76" s="22" t="str">
        <f t="shared" si="252"/>
        <v>FY2009A</v>
      </c>
      <c r="BR76" s="21" t="str">
        <f t="shared" si="252"/>
        <v>FY2010A</v>
      </c>
      <c r="BS76" s="22" t="str">
        <f t="shared" si="252"/>
        <v>FY2011A</v>
      </c>
      <c r="BT76" s="22" t="str">
        <f t="shared" si="252"/>
        <v>FY2012A</v>
      </c>
      <c r="BU76" s="22" t="str">
        <f t="shared" si="252"/>
        <v>FY2013A</v>
      </c>
      <c r="BV76" s="22" t="str">
        <f t="shared" si="252"/>
        <v>FY2014</v>
      </c>
      <c r="BW76" s="22" t="str">
        <f>BW60</f>
        <v>FY2015</v>
      </c>
      <c r="BX76" s="22" t="str">
        <f t="shared" si="252"/>
        <v>FY2016</v>
      </c>
      <c r="BY76" s="22" t="str">
        <f t="shared" si="252"/>
        <v>FY2017A</v>
      </c>
      <c r="BZ76" s="22" t="str">
        <f t="shared" ref="BZ76:CB76" si="253">BZ60</f>
        <v>FY2018E</v>
      </c>
      <c r="CA76" s="22" t="str">
        <f t="shared" si="253"/>
        <v>FY2019E</v>
      </c>
      <c r="CB76" s="23" t="str">
        <f t="shared" si="253"/>
        <v>FY2020E</v>
      </c>
      <c r="CC76" s="37"/>
      <c r="CD76" s="26"/>
      <c r="CE76" s="26"/>
    </row>
    <row r="77" spans="1:91" ht="14.25" customHeight="1">
      <c r="A77" s="18"/>
      <c r="B77" s="307" t="s">
        <v>212</v>
      </c>
      <c r="C77" s="308"/>
      <c r="D77" s="380">
        <f>IS!D98</f>
        <v>6273</v>
      </c>
      <c r="E77" s="380">
        <f>IS!E98</f>
        <v>6215</v>
      </c>
      <c r="F77" s="380">
        <f>IS!F98</f>
        <v>6144</v>
      </c>
      <c r="G77" s="381">
        <f>IS!G98</f>
        <v>6178</v>
      </c>
      <c r="H77" s="382">
        <f>IS!H98</f>
        <v>5954</v>
      </c>
      <c r="I77" s="380">
        <f>IS!I98</f>
        <v>5868</v>
      </c>
      <c r="J77" s="380">
        <f>IS!J98</f>
        <v>5832</v>
      </c>
      <c r="K77" s="381">
        <f>IS!K98</f>
        <v>5880</v>
      </c>
      <c r="L77" s="382">
        <f>IS!L98</f>
        <v>5874</v>
      </c>
      <c r="M77" s="380">
        <f>IS!M98</f>
        <v>5917</v>
      </c>
      <c r="N77" s="380">
        <f>IS!N98</f>
        <v>5967</v>
      </c>
      <c r="O77" s="381">
        <f>IS!O98</f>
        <v>5936</v>
      </c>
      <c r="P77" s="382">
        <f>IS!P98</f>
        <v>5879</v>
      </c>
      <c r="Q77" s="380">
        <f>IS!Q98</f>
        <v>5800</v>
      </c>
      <c r="R77" s="380">
        <f>IS!R98</f>
        <v>5692</v>
      </c>
      <c r="S77" s="381">
        <f>IS!S98</f>
        <v>5748</v>
      </c>
      <c r="T77" s="383">
        <f>IS!T98</f>
        <v>5634</v>
      </c>
      <c r="U77" s="384">
        <f>IS!U98</f>
        <v>5595</v>
      </c>
      <c r="V77" s="384">
        <f>IS!V98</f>
        <v>5616</v>
      </c>
      <c r="W77" s="381">
        <f>IS!W98</f>
        <v>5645</v>
      </c>
      <c r="X77" s="382">
        <f>IS!X98</f>
        <v>5681</v>
      </c>
      <c r="Y77" s="380">
        <f>IS!Y98</f>
        <v>5711</v>
      </c>
      <c r="Z77" s="380">
        <f>IS!Z98</f>
        <v>5694</v>
      </c>
      <c r="AA77" s="381">
        <f>IS!AA98</f>
        <v>5696</v>
      </c>
      <c r="AB77" s="382">
        <f>IS!AB98</f>
        <v>5606</v>
      </c>
      <c r="AC77" s="380">
        <f>IS!AC98</f>
        <v>5441</v>
      </c>
      <c r="AD77" s="380">
        <f>IS!AD98</f>
        <v>5340</v>
      </c>
      <c r="AE77" s="381">
        <f>IS!AE98</f>
        <v>5242</v>
      </c>
      <c r="AF77" s="382">
        <f>IS!AF98</f>
        <v>5192</v>
      </c>
      <c r="AG77" s="380">
        <f>IS!AG98</f>
        <v>5199</v>
      </c>
      <c r="AH77" s="380">
        <f>IS!AH98</f>
        <v>5153</v>
      </c>
      <c r="AI77" s="381">
        <f>IS!AI98</f>
        <v>5095</v>
      </c>
      <c r="AJ77" s="382">
        <f>IS!AJ98</f>
        <v>5080</v>
      </c>
      <c r="AK77" s="380">
        <f>IS!AK98</f>
        <v>5106</v>
      </c>
      <c r="AL77" s="380">
        <f>IS!AL98</f>
        <v>5100</v>
      </c>
      <c r="AM77" s="381">
        <f>IS!AM98</f>
        <v>5103</v>
      </c>
      <c r="AN77" s="382">
        <f>IS!AN98</f>
        <v>5117</v>
      </c>
      <c r="AO77" s="380">
        <f>IS!AO98</f>
        <v>5123</v>
      </c>
      <c r="AP77" s="380">
        <f>IS!AP98</f>
        <v>5045</v>
      </c>
      <c r="AQ77" s="381">
        <f>IS!AQ98</f>
        <v>4940</v>
      </c>
      <c r="AR77" s="382">
        <f>IS!AR98</f>
        <v>4914</v>
      </c>
      <c r="AS77" s="380">
        <f>IS!AS98</f>
        <v>4909</v>
      </c>
      <c r="AT77" s="380">
        <f>IS!AT98</f>
        <v>4876</v>
      </c>
      <c r="AU77" s="381">
        <f>IS!AU98</f>
        <v>4876</v>
      </c>
      <c r="AV77" s="382">
        <f>IS!AV98</f>
        <v>4875</v>
      </c>
      <c r="AW77" s="380">
        <f>IS!AW98</f>
        <v>4866</v>
      </c>
      <c r="AX77" s="380">
        <f>IS!AX98</f>
        <v>4877</v>
      </c>
      <c r="AY77" s="381">
        <f>IS!AY98</f>
        <v>4881</v>
      </c>
      <c r="AZ77" s="382">
        <f>IS!AZ98</f>
        <v>4881</v>
      </c>
      <c r="BA77" s="380">
        <f>IS!BA98</f>
        <v>4845</v>
      </c>
      <c r="BB77" s="380">
        <f>IS!BB98</f>
        <v>4821</v>
      </c>
      <c r="BC77" s="381">
        <f>IS!BC98</f>
        <v>4683</v>
      </c>
      <c r="BD77" s="380">
        <f>IS!BD98</f>
        <v>4790</v>
      </c>
      <c r="BE77" s="380">
        <f>IS!BE98</f>
        <v>4790</v>
      </c>
      <c r="BF77" s="380">
        <f>IS!BF98</f>
        <v>4790</v>
      </c>
      <c r="BG77" s="381">
        <f>IS!BG98</f>
        <v>4790</v>
      </c>
      <c r="BH77" s="380">
        <f>IS!BH98</f>
        <v>4790</v>
      </c>
      <c r="BI77" s="380">
        <f>IS!BI98</f>
        <v>4790</v>
      </c>
      <c r="BJ77" s="380">
        <f>IS!BJ98</f>
        <v>4790</v>
      </c>
      <c r="BK77" s="381">
        <f>IS!BK98</f>
        <v>4790</v>
      </c>
      <c r="BL77" s="385"/>
      <c r="BM77" s="347">
        <f>IS!BM98</f>
        <v>6202.5</v>
      </c>
      <c r="BN77" s="249">
        <f>IS!BN98</f>
        <v>5883.5</v>
      </c>
      <c r="BO77" s="249">
        <f>IS!BO98</f>
        <v>5923.5</v>
      </c>
      <c r="BP77" s="249">
        <f>IS!BP98</f>
        <v>5779.75</v>
      </c>
      <c r="BQ77" s="249">
        <f>IS!BQ98</f>
        <v>5622.5</v>
      </c>
      <c r="BR77" s="347">
        <f>IS!BR98</f>
        <v>5695.5</v>
      </c>
      <c r="BS77" s="249">
        <f>IS!BS98</f>
        <v>5407.25</v>
      </c>
      <c r="BT77" s="249">
        <f>IS!BT98</f>
        <v>5159.75</v>
      </c>
      <c r="BU77" s="347">
        <f>IS!BU98</f>
        <v>5097.25</v>
      </c>
      <c r="BV77" s="347">
        <f>IS!BV98</f>
        <v>5056.25</v>
      </c>
      <c r="BW77" s="347">
        <f>IS!BW98</f>
        <v>4893.75</v>
      </c>
      <c r="BX77" s="347">
        <f>IS!BX98</f>
        <v>4874.75</v>
      </c>
      <c r="BY77" s="347">
        <f>IS!BY98</f>
        <v>4807.5</v>
      </c>
      <c r="BZ77" s="347">
        <f>IS!BZ98</f>
        <v>4790</v>
      </c>
      <c r="CA77" s="347">
        <f>IS!CA98</f>
        <v>4790</v>
      </c>
      <c r="CB77" s="363">
        <f>IS!CB98</f>
        <v>4790</v>
      </c>
      <c r="CC77" s="37"/>
      <c r="CD77" s="26"/>
      <c r="CE77" s="26"/>
    </row>
    <row r="78" spans="1:91" ht="14.25" customHeight="1">
      <c r="A78" s="18"/>
      <c r="B78" s="297"/>
      <c r="C78" s="68"/>
      <c r="D78" s="386"/>
      <c r="E78" s="386"/>
      <c r="F78" s="386"/>
      <c r="G78" s="387"/>
      <c r="H78" s="388"/>
      <c r="I78" s="386"/>
      <c r="J78" s="386"/>
      <c r="K78" s="387"/>
      <c r="L78" s="388"/>
      <c r="M78" s="386"/>
      <c r="N78" s="386"/>
      <c r="O78" s="387"/>
      <c r="P78" s="388"/>
      <c r="Q78" s="386"/>
      <c r="R78" s="386"/>
      <c r="S78" s="387"/>
      <c r="T78" s="388"/>
      <c r="U78" s="386"/>
      <c r="V78" s="386"/>
      <c r="W78" s="387"/>
      <c r="X78" s="388"/>
      <c r="Y78" s="386"/>
      <c r="Z78" s="386"/>
      <c r="AA78" s="387"/>
      <c r="AB78" s="388"/>
      <c r="AC78" s="386"/>
      <c r="AD78" s="386"/>
      <c r="AE78" s="387"/>
      <c r="AF78" s="388"/>
      <c r="AG78" s="386"/>
      <c r="AH78" s="386"/>
      <c r="AI78" s="387"/>
      <c r="AJ78" s="388"/>
      <c r="AK78" s="386"/>
      <c r="AL78" s="386"/>
      <c r="AM78" s="387"/>
      <c r="AN78" s="388"/>
      <c r="AO78" s="386"/>
      <c r="AP78" s="386"/>
      <c r="AQ78" s="387"/>
      <c r="AR78" s="388"/>
      <c r="AS78" s="386"/>
      <c r="AT78" s="386"/>
      <c r="AU78" s="387"/>
      <c r="AV78" s="388"/>
      <c r="AW78" s="386"/>
      <c r="AX78" s="386"/>
      <c r="AY78" s="387"/>
      <c r="AZ78" s="388"/>
      <c r="BA78" s="386"/>
      <c r="BB78" s="386"/>
      <c r="BC78" s="387"/>
      <c r="BD78" s="386"/>
      <c r="BE78" s="386"/>
      <c r="BF78" s="386"/>
      <c r="BG78" s="387"/>
      <c r="BH78" s="386"/>
      <c r="BI78" s="386"/>
      <c r="BJ78" s="386"/>
      <c r="BK78" s="387"/>
      <c r="BL78" s="385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49"/>
      <c r="CB78" s="1174"/>
      <c r="CC78" s="37"/>
      <c r="CD78" s="26"/>
      <c r="CE78" s="26"/>
    </row>
    <row r="79" spans="1:91" ht="14.25" customHeight="1">
      <c r="A79" s="18"/>
      <c r="B79" s="389" t="s">
        <v>213</v>
      </c>
      <c r="C79" s="68"/>
      <c r="D79" s="386"/>
      <c r="E79" s="386"/>
      <c r="F79" s="386"/>
      <c r="G79" s="387"/>
      <c r="H79" s="388"/>
      <c r="I79" s="386"/>
      <c r="J79" s="386"/>
      <c r="K79" s="387"/>
      <c r="L79" s="388"/>
      <c r="M79" s="386"/>
      <c r="N79" s="386"/>
      <c r="O79" s="387"/>
      <c r="P79" s="388"/>
      <c r="Q79" s="386"/>
      <c r="R79" s="386"/>
      <c r="S79" s="387"/>
      <c r="T79" s="388"/>
      <c r="U79" s="386"/>
      <c r="V79" s="386"/>
      <c r="W79" s="387"/>
      <c r="X79" s="388"/>
      <c r="Y79" s="386"/>
      <c r="Z79" s="386"/>
      <c r="AA79" s="387"/>
      <c r="AB79" s="388"/>
      <c r="AC79" s="386"/>
      <c r="AD79" s="386"/>
      <c r="AE79" s="387"/>
      <c r="AF79" s="388"/>
      <c r="AG79" s="386"/>
      <c r="AH79" s="386"/>
      <c r="AI79" s="387"/>
      <c r="AJ79" s="388"/>
      <c r="AK79" s="386"/>
      <c r="AL79" s="386"/>
      <c r="AM79" s="387"/>
      <c r="AN79" s="388"/>
      <c r="AO79" s="386"/>
      <c r="AP79" s="386"/>
      <c r="AQ79" s="387"/>
      <c r="AR79" s="388"/>
      <c r="AS79" s="386"/>
      <c r="AT79" s="386"/>
      <c r="AU79" s="387"/>
      <c r="AV79" s="388"/>
      <c r="AW79" s="386"/>
      <c r="AX79" s="386"/>
      <c r="AY79" s="387"/>
      <c r="AZ79" s="388"/>
      <c r="BA79" s="386"/>
      <c r="BB79" s="386"/>
      <c r="BC79" s="387"/>
      <c r="BD79" s="386"/>
      <c r="BE79" s="386"/>
      <c r="BF79" s="386"/>
      <c r="BG79" s="387"/>
      <c r="BH79" s="386"/>
      <c r="BI79" s="386"/>
      <c r="BJ79" s="386"/>
      <c r="BK79" s="387"/>
      <c r="BL79" s="385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49"/>
      <c r="CB79" s="1174"/>
      <c r="CC79" s="37"/>
      <c r="CD79" s="26"/>
      <c r="CE79" s="26"/>
    </row>
    <row r="80" spans="1:91" ht="14.25" customHeight="1">
      <c r="A80" s="18"/>
      <c r="B80" s="297" t="s">
        <v>214</v>
      </c>
      <c r="C80" s="68"/>
      <c r="D80" s="390">
        <f t="shared" ref="D80:AR80" si="254">D42/D77</f>
        <v>6.0116371751952817</v>
      </c>
      <c r="E80" s="390">
        <f t="shared" si="254"/>
        <v>6.0521319388576025</v>
      </c>
      <c r="F80" s="390">
        <f t="shared" si="254"/>
        <v>5.969401041666667</v>
      </c>
      <c r="G80" s="391">
        <f t="shared" si="254"/>
        <v>5.8565878925218513</v>
      </c>
      <c r="H80" s="392">
        <f t="shared" si="254"/>
        <v>5.7705744037621765</v>
      </c>
      <c r="I80" s="390">
        <f t="shared" si="254"/>
        <v>5.9297886843899112</v>
      </c>
      <c r="J80" s="390">
        <f t="shared" si="254"/>
        <v>6.0042866941015092</v>
      </c>
      <c r="K80" s="391">
        <f t="shared" si="254"/>
        <v>6.2503401360544215</v>
      </c>
      <c r="L80" s="392">
        <f t="shared" si="254"/>
        <v>6.3884916581545799</v>
      </c>
      <c r="M80" s="390">
        <f t="shared" si="254"/>
        <v>6.7091431468649656</v>
      </c>
      <c r="N80" s="390">
        <f t="shared" si="254"/>
        <v>6.8547008547008543</v>
      </c>
      <c r="O80" s="391">
        <f t="shared" si="254"/>
        <v>7.203840970350404</v>
      </c>
      <c r="P80" s="392">
        <f t="shared" si="254"/>
        <v>6.9161422010546012</v>
      </c>
      <c r="Q80" s="390">
        <f t="shared" si="254"/>
        <v>6.9587931034482757</v>
      </c>
      <c r="R80" s="390">
        <f t="shared" si="254"/>
        <v>6.83608573436402</v>
      </c>
      <c r="S80" s="391">
        <f t="shared" si="254"/>
        <v>6.8002783576896313</v>
      </c>
      <c r="T80" s="392">
        <f t="shared" si="254"/>
        <v>6.9336173233936815</v>
      </c>
      <c r="U80" s="390">
        <f t="shared" si="254"/>
        <v>6.9789097408400353</v>
      </c>
      <c r="V80" s="390">
        <f t="shared" si="254"/>
        <v>6.9503205128205128</v>
      </c>
      <c r="W80" s="391">
        <f t="shared" si="254"/>
        <v>7.3877767936226748</v>
      </c>
      <c r="X80" s="392">
        <f t="shared" si="254"/>
        <v>7.5514874141876431</v>
      </c>
      <c r="Y80" s="390">
        <f t="shared" si="254"/>
        <v>8.0267904044825773</v>
      </c>
      <c r="Z80" s="390">
        <f t="shared" si="254"/>
        <v>8.3765367053038293</v>
      </c>
      <c r="AA80" s="391">
        <f t="shared" si="254"/>
        <v>8.6780196629213489</v>
      </c>
      <c r="AB80" s="392">
        <f t="shared" si="254"/>
        <v>8.446129147342134</v>
      </c>
      <c r="AC80" s="390">
        <f t="shared" si="254"/>
        <v>8.9547877228450652</v>
      </c>
      <c r="AD80" s="390">
        <f t="shared" si="254"/>
        <v>8.6361423220973776</v>
      </c>
      <c r="AE80" s="391">
        <f t="shared" si="254"/>
        <v>8.7582983594048081</v>
      </c>
      <c r="AF80" s="392">
        <f t="shared" si="254"/>
        <v>9.0061633281972266</v>
      </c>
      <c r="AG80" s="390">
        <f t="shared" si="254"/>
        <v>9.382381227159069</v>
      </c>
      <c r="AH80" s="390">
        <f t="shared" si="254"/>
        <v>9.5612264700174663</v>
      </c>
      <c r="AI80" s="391">
        <f t="shared" si="254"/>
        <v>10.049656526005888</v>
      </c>
      <c r="AJ80" s="392">
        <f t="shared" si="254"/>
        <v>10.07755905511811</v>
      </c>
      <c r="AK80" s="390">
        <f t="shared" si="254"/>
        <v>10.54445750097924</v>
      </c>
      <c r="AL80" s="390">
        <f t="shared" si="254"/>
        <v>10.872941176470588</v>
      </c>
      <c r="AM80" s="391">
        <f>AM42/AM77</f>
        <v>11.416029786400157</v>
      </c>
      <c r="AN80" s="392">
        <f>AN42/AN77</f>
        <v>11.342192691029901</v>
      </c>
      <c r="AO80" s="390">
        <f>AO42/AO77</f>
        <v>11.564903376927582</v>
      </c>
      <c r="AP80" s="390">
        <f>AP42/AP77</f>
        <v>11.29593657086224</v>
      </c>
      <c r="AQ80" s="391">
        <f t="shared" si="254"/>
        <v>11.49331983805668</v>
      </c>
      <c r="AR80" s="392">
        <f t="shared" si="254"/>
        <v>11.361823361823362</v>
      </c>
      <c r="AS80" s="390">
        <f t="shared" ref="AS80:AW80" si="255">AS42/AS77</f>
        <v>11.937258097372174</v>
      </c>
      <c r="AT80" s="390">
        <f t="shared" si="255"/>
        <v>11.895406070549631</v>
      </c>
      <c r="AU80" s="391">
        <f t="shared" si="255"/>
        <v>12.711648892534864</v>
      </c>
      <c r="AV80" s="392">
        <f t="shared" si="255"/>
        <v>12.731897435897435</v>
      </c>
      <c r="AW80" s="390">
        <f t="shared" si="255"/>
        <v>12.794286888614879</v>
      </c>
      <c r="AX80" s="390">
        <f t="shared" ref="AX80:AZ80" si="256">AX42/AX77</f>
        <v>13.123026450686897</v>
      </c>
      <c r="AY80" s="391">
        <f t="shared" si="256"/>
        <v>13.748821962712558</v>
      </c>
      <c r="AZ80" s="392">
        <f t="shared" si="256"/>
        <v>13.874615857406269</v>
      </c>
      <c r="BA80" s="390">
        <f t="shared" ref="BA80:BC80" si="257">BA42/BA77</f>
        <v>14.344478844169247</v>
      </c>
      <c r="BB80" s="390">
        <f t="shared" si="257"/>
        <v>14.894420244762497</v>
      </c>
      <c r="BC80" s="391">
        <f t="shared" si="257"/>
        <v>14.923126201153107</v>
      </c>
      <c r="BD80" s="390">
        <f t="shared" ref="BD80:BG80" si="258">BD42/BD77</f>
        <v>14.81544885177453</v>
      </c>
      <c r="BE80" s="390">
        <f t="shared" si="258"/>
        <v>15.38035347062193</v>
      </c>
      <c r="BF80" s="390">
        <f t="shared" si="258"/>
        <v>16.13163949371863</v>
      </c>
      <c r="BG80" s="391">
        <f t="shared" si="258"/>
        <v>16.89467029022304</v>
      </c>
      <c r="BH80" s="390">
        <f t="shared" ref="BH80:BK80" si="259">BH42/BH77</f>
        <v>17.467008343371162</v>
      </c>
      <c r="BI80" s="390">
        <f t="shared" si="259"/>
        <v>18.055075154152782</v>
      </c>
      <c r="BJ80" s="390">
        <f t="shared" si="259"/>
        <v>18.807322039295773</v>
      </c>
      <c r="BK80" s="391">
        <f t="shared" si="259"/>
        <v>19.605664120187161</v>
      </c>
      <c r="BL80" s="385"/>
      <c r="BM80" s="393">
        <f t="shared" ref="BM80:BY80" si="260">BM42/BM77</f>
        <v>5.8334542523176136</v>
      </c>
      <c r="BN80" s="393">
        <f t="shared" si="260"/>
        <v>6.2466219087277981</v>
      </c>
      <c r="BO80" s="393">
        <f t="shared" si="260"/>
        <v>7.2190427956444667</v>
      </c>
      <c r="BP80" s="393">
        <f t="shared" si="260"/>
        <v>6.7629222717245554</v>
      </c>
      <c r="BQ80" s="393">
        <f t="shared" si="260"/>
        <v>7.4173410404624276</v>
      </c>
      <c r="BR80" s="393">
        <f t="shared" si="260"/>
        <v>8.6787814941620578</v>
      </c>
      <c r="BS80" s="393">
        <f t="shared" si="260"/>
        <v>8.4906375699292624</v>
      </c>
      <c r="BT80" s="393">
        <f t="shared" si="260"/>
        <v>9.9235428073065552</v>
      </c>
      <c r="BU80" s="393">
        <f t="shared" si="260"/>
        <v>11.428907744371966</v>
      </c>
      <c r="BV80" s="393">
        <f t="shared" si="260"/>
        <v>11.229072929542646</v>
      </c>
      <c r="BW80" s="393">
        <f>BW42/BW77</f>
        <v>12.665542784163474</v>
      </c>
      <c r="BX80" s="393">
        <f t="shared" si="260"/>
        <v>13.766449561515975</v>
      </c>
      <c r="BY80" s="393">
        <f t="shared" si="260"/>
        <v>14.536661466458659</v>
      </c>
      <c r="BZ80" s="393">
        <f t="shared" ref="BZ80:CB80" si="261">BZ42/BZ77</f>
        <v>16.89467029022304</v>
      </c>
      <c r="CA80" s="393">
        <f t="shared" si="261"/>
        <v>19.605664120187161</v>
      </c>
      <c r="CB80" s="1208">
        <f t="shared" si="261"/>
        <v>22.363599529408141</v>
      </c>
      <c r="CC80" s="37"/>
      <c r="CD80" s="26"/>
      <c r="CE80" s="26"/>
    </row>
    <row r="81" spans="1:89" ht="14.25" customHeight="1">
      <c r="A81" s="18"/>
      <c r="B81" s="297" t="s">
        <v>215</v>
      </c>
      <c r="C81" s="68"/>
      <c r="D81" s="384">
        <f t="shared" ref="D81:AR81" si="262">(D42-(D23+D24))</f>
        <v>33995</v>
      </c>
      <c r="E81" s="384">
        <f t="shared" si="262"/>
        <v>33809</v>
      </c>
      <c r="F81" s="384">
        <f t="shared" si="262"/>
        <v>32862</v>
      </c>
      <c r="G81" s="394">
        <f t="shared" si="262"/>
        <v>32309</v>
      </c>
      <c r="H81" s="383">
        <f t="shared" si="262"/>
        <v>30485</v>
      </c>
      <c r="I81" s="384">
        <f t="shared" si="262"/>
        <v>30925</v>
      </c>
      <c r="J81" s="384">
        <f t="shared" si="262"/>
        <v>31156</v>
      </c>
      <c r="K81" s="394">
        <f t="shared" si="262"/>
        <v>32891</v>
      </c>
      <c r="L81" s="383">
        <f t="shared" si="262"/>
        <v>33665</v>
      </c>
      <c r="M81" s="384">
        <f t="shared" si="262"/>
        <v>35837</v>
      </c>
      <c r="N81" s="384">
        <f t="shared" si="262"/>
        <v>36985</v>
      </c>
      <c r="O81" s="394">
        <f t="shared" si="262"/>
        <v>38846</v>
      </c>
      <c r="P81" s="383">
        <f t="shared" si="262"/>
        <v>36744</v>
      </c>
      <c r="Q81" s="384">
        <f t="shared" si="262"/>
        <v>36446</v>
      </c>
      <c r="R81" s="384">
        <f t="shared" si="262"/>
        <v>34987</v>
      </c>
      <c r="S81" s="394">
        <f t="shared" si="262"/>
        <v>35156</v>
      </c>
      <c r="T81" s="383">
        <f t="shared" si="262"/>
        <v>35132</v>
      </c>
      <c r="U81" s="384">
        <f t="shared" si="262"/>
        <v>35115</v>
      </c>
      <c r="V81" s="384">
        <f t="shared" si="262"/>
        <v>34612</v>
      </c>
      <c r="W81" s="394">
        <f t="shared" si="262"/>
        <v>37283</v>
      </c>
      <c r="X81" s="383">
        <f t="shared" si="262"/>
        <v>38448</v>
      </c>
      <c r="Y81" s="384">
        <f t="shared" si="262"/>
        <v>41360</v>
      </c>
      <c r="Z81" s="384">
        <f t="shared" si="262"/>
        <v>43215</v>
      </c>
      <c r="AA81" s="394">
        <f t="shared" si="262"/>
        <v>44039</v>
      </c>
      <c r="AB81" s="383">
        <f t="shared" si="262"/>
        <v>31408</v>
      </c>
      <c r="AC81" s="384">
        <f t="shared" si="262"/>
        <v>32882</v>
      </c>
      <c r="AD81" s="384">
        <f t="shared" si="262"/>
        <v>30534</v>
      </c>
      <c r="AE81" s="394">
        <f>(AE42-(AE23+AE24))</f>
        <v>30390</v>
      </c>
      <c r="AF81" s="383">
        <f>(AF42-(AF23+AF24))</f>
        <v>31308</v>
      </c>
      <c r="AG81" s="384">
        <f t="shared" si="262"/>
        <v>33363</v>
      </c>
      <c r="AH81" s="384">
        <f t="shared" si="262"/>
        <v>33425</v>
      </c>
      <c r="AI81" s="394">
        <f t="shared" si="262"/>
        <v>35258</v>
      </c>
      <c r="AJ81" s="383">
        <f t="shared" si="262"/>
        <v>35631</v>
      </c>
      <c r="AK81" s="384">
        <f t="shared" si="262"/>
        <v>38215</v>
      </c>
      <c r="AL81" s="384">
        <f t="shared" si="262"/>
        <v>39551</v>
      </c>
      <c r="AM81" s="394">
        <f>(AM42-(AM23+AM24))</f>
        <v>42593</v>
      </c>
      <c r="AN81" s="383">
        <f>(AN42-(AN23+AN24))</f>
        <v>42458</v>
      </c>
      <c r="AO81" s="384">
        <f>(AO42-(AO23+AO24))</f>
        <v>43929</v>
      </c>
      <c r="AP81" s="384">
        <f>(AP42-(AP23+AP24))</f>
        <v>42053</v>
      </c>
      <c r="AQ81" s="394">
        <f t="shared" si="262"/>
        <v>41470</v>
      </c>
      <c r="AR81" s="383">
        <f t="shared" si="262"/>
        <v>40855</v>
      </c>
      <c r="AS81" s="384">
        <f t="shared" ref="AS81:AW81" si="263">(AS42-(AS23+AS24))</f>
        <v>43337</v>
      </c>
      <c r="AT81" s="384">
        <f t="shared" si="263"/>
        <v>42954</v>
      </c>
      <c r="AU81" s="394">
        <f t="shared" si="263"/>
        <v>46717</v>
      </c>
      <c r="AV81" s="383">
        <f t="shared" si="263"/>
        <v>33986</v>
      </c>
      <c r="AW81" s="384">
        <f t="shared" si="263"/>
        <v>34444</v>
      </c>
      <c r="AX81" s="384">
        <f t="shared" ref="AX81:AZ81" si="264">(AX42-(AX23+AX24))</f>
        <v>40609</v>
      </c>
      <c r="AY81" s="394">
        <f t="shared" si="264"/>
        <v>43515</v>
      </c>
      <c r="AZ81" s="383">
        <f t="shared" si="264"/>
        <v>44466</v>
      </c>
      <c r="BA81" s="384">
        <f t="shared" ref="BA81:BC81" si="265">(BA42-(BA23+BA24))</f>
        <v>46530</v>
      </c>
      <c r="BB81" s="384">
        <f t="shared" si="265"/>
        <v>34359</v>
      </c>
      <c r="BC81" s="394">
        <f t="shared" si="265"/>
        <v>32751</v>
      </c>
      <c r="BD81" s="384">
        <f t="shared" ref="BD81:BG81" si="266">(BD42-(BD23+BD24))</f>
        <v>34265</v>
      </c>
      <c r="BE81" s="384">
        <f t="shared" si="266"/>
        <v>37010.893124279042</v>
      </c>
      <c r="BF81" s="384">
        <f t="shared" si="266"/>
        <v>40649.553174912231</v>
      </c>
      <c r="BG81" s="394">
        <f t="shared" si="266"/>
        <v>44344.470690168353</v>
      </c>
      <c r="BH81" s="384">
        <f t="shared" ref="BH81:BK81" si="267">(BH42-(BH23+BH24))</f>
        <v>47125.96996474787</v>
      </c>
      <c r="BI81" s="384">
        <f t="shared" si="267"/>
        <v>49982.809988391818</v>
      </c>
      <c r="BJ81" s="384">
        <f t="shared" si="267"/>
        <v>53626.072568226751</v>
      </c>
      <c r="BK81" s="394">
        <f t="shared" si="267"/>
        <v>57490.131135696502</v>
      </c>
      <c r="BL81" s="385"/>
      <c r="BM81" s="395">
        <f t="shared" ref="BM81:BV81" si="268">(BM42-(BM23+BM24))</f>
        <v>32309</v>
      </c>
      <c r="BN81" s="395">
        <f t="shared" si="268"/>
        <v>32891</v>
      </c>
      <c r="BO81" s="395">
        <f t="shared" si="268"/>
        <v>38846</v>
      </c>
      <c r="BP81" s="395">
        <f t="shared" si="268"/>
        <v>35156</v>
      </c>
      <c r="BQ81" s="395">
        <f t="shared" si="268"/>
        <v>37283</v>
      </c>
      <c r="BR81" s="395">
        <f t="shared" si="268"/>
        <v>44039</v>
      </c>
      <c r="BS81" s="395">
        <f t="shared" si="268"/>
        <v>30390</v>
      </c>
      <c r="BT81" s="395">
        <f t="shared" si="268"/>
        <v>35258</v>
      </c>
      <c r="BU81" s="395">
        <f t="shared" si="268"/>
        <v>42593</v>
      </c>
      <c r="BV81" s="395">
        <f t="shared" si="268"/>
        <v>41470</v>
      </c>
      <c r="BW81" s="395">
        <f>(BW42-(BW23+BW24))</f>
        <v>46717</v>
      </c>
      <c r="BX81" s="395">
        <f>(BX42-(BX24+BX25))</f>
        <v>50455</v>
      </c>
      <c r="BY81" s="395">
        <f>(BY42-(BY24+BY25))</f>
        <v>49538</v>
      </c>
      <c r="BZ81" s="395">
        <f>(BZ42-(BZ24+BZ25))</f>
        <v>66576.470690168353</v>
      </c>
      <c r="CA81" s="395">
        <f>(CA42-(CA24+CA25))</f>
        <v>79722.131135696502</v>
      </c>
      <c r="CB81" s="1209">
        <f>(CB42-(CB24+CB25))</f>
        <v>93012.641745864996</v>
      </c>
      <c r="CC81" s="37"/>
      <c r="CD81" s="26"/>
      <c r="CE81" s="26"/>
    </row>
    <row r="82" spans="1:89" ht="14.25" customHeight="1">
      <c r="A82" s="18"/>
      <c r="B82" s="297" t="s">
        <v>216</v>
      </c>
      <c r="C82" s="68"/>
      <c r="D82" s="396">
        <f t="shared" ref="D82:AR82" si="269">D81/D77</f>
        <v>5.4192571337478084</v>
      </c>
      <c r="E82" s="396">
        <f t="shared" si="269"/>
        <v>5.439903459372486</v>
      </c>
      <c r="F82" s="396">
        <f t="shared" si="269"/>
        <v>5.3486328125</v>
      </c>
      <c r="G82" s="397">
        <f t="shared" si="269"/>
        <v>5.2296859825186148</v>
      </c>
      <c r="H82" s="398">
        <f t="shared" si="269"/>
        <v>5.1200873362445414</v>
      </c>
      <c r="I82" s="396">
        <f t="shared" si="269"/>
        <v>5.2701090661213357</v>
      </c>
      <c r="J82" s="396">
        <f t="shared" si="269"/>
        <v>5.342249657064472</v>
      </c>
      <c r="K82" s="397">
        <f t="shared" si="269"/>
        <v>5.5937074829931976</v>
      </c>
      <c r="L82" s="398">
        <f t="shared" si="269"/>
        <v>5.7311882873680631</v>
      </c>
      <c r="M82" s="396">
        <f t="shared" si="269"/>
        <v>6.0566165286462734</v>
      </c>
      <c r="N82" s="396">
        <f t="shared" si="269"/>
        <v>6.1982570806100217</v>
      </c>
      <c r="O82" s="397">
        <f t="shared" si="269"/>
        <v>6.5441374663072773</v>
      </c>
      <c r="P82" s="398">
        <f t="shared" si="269"/>
        <v>6.2500425242388165</v>
      </c>
      <c r="Q82" s="396">
        <f t="shared" si="269"/>
        <v>6.2837931034482759</v>
      </c>
      <c r="R82" s="396">
        <f t="shared" si="269"/>
        <v>6.1466971187631767</v>
      </c>
      <c r="S82" s="397">
        <f t="shared" si="269"/>
        <v>6.1162143354210157</v>
      </c>
      <c r="T82" s="398">
        <f t="shared" si="269"/>
        <v>6.2357117500887469</v>
      </c>
      <c r="U82" s="396">
        <f t="shared" si="269"/>
        <v>6.2761394101876675</v>
      </c>
      <c r="V82" s="396">
        <f t="shared" si="269"/>
        <v>6.1631054131054128</v>
      </c>
      <c r="W82" s="397">
        <f t="shared" si="269"/>
        <v>6.6046058458813111</v>
      </c>
      <c r="X82" s="398">
        <f t="shared" si="269"/>
        <v>6.7678225664495688</v>
      </c>
      <c r="Y82" s="396">
        <f t="shared" si="269"/>
        <v>7.242164244440553</v>
      </c>
      <c r="Z82" s="396">
        <f t="shared" si="269"/>
        <v>7.5895679662802946</v>
      </c>
      <c r="AA82" s="397">
        <f t="shared" si="269"/>
        <v>7.7315660112359552</v>
      </c>
      <c r="AB82" s="398">
        <f t="shared" si="269"/>
        <v>5.6025686764181231</v>
      </c>
      <c r="AC82" s="396">
        <f t="shared" si="269"/>
        <v>6.0433743797096122</v>
      </c>
      <c r="AD82" s="396">
        <f t="shared" si="269"/>
        <v>5.7179775280898877</v>
      </c>
      <c r="AE82" s="397">
        <f t="shared" si="269"/>
        <v>5.7974055703929794</v>
      </c>
      <c r="AF82" s="398">
        <f t="shared" si="269"/>
        <v>6.0300462249614792</v>
      </c>
      <c r="AG82" s="396">
        <f t="shared" si="269"/>
        <v>6.4171956145412583</v>
      </c>
      <c r="AH82" s="396">
        <f t="shared" si="269"/>
        <v>6.4865127110421117</v>
      </c>
      <c r="AI82" s="397">
        <f t="shared" si="269"/>
        <v>6.920117762512267</v>
      </c>
      <c r="AJ82" s="398">
        <f t="shared" si="269"/>
        <v>7.0139763779527557</v>
      </c>
      <c r="AK82" s="396">
        <f t="shared" si="269"/>
        <v>7.484332158245202</v>
      </c>
      <c r="AL82" s="396">
        <f t="shared" si="269"/>
        <v>7.7550980392156861</v>
      </c>
      <c r="AM82" s="397">
        <f t="shared" si="269"/>
        <v>8.3466588281403098</v>
      </c>
      <c r="AN82" s="398">
        <f>AN81/AN77</f>
        <v>8.2974399061950361</v>
      </c>
      <c r="AO82" s="396">
        <f>AO81/AO77</f>
        <v>8.5748584813585786</v>
      </c>
      <c r="AP82" s="396">
        <f>AP81/AP77</f>
        <v>8.3355797819623394</v>
      </c>
      <c r="AQ82" s="397">
        <f t="shared" si="269"/>
        <v>8.3947368421052637</v>
      </c>
      <c r="AR82" s="398">
        <f t="shared" si="269"/>
        <v>8.3140008140008135</v>
      </c>
      <c r="AS82" s="396">
        <f t="shared" ref="AS82:AW82" si="270">AS81/AS77</f>
        <v>8.8280708902016709</v>
      </c>
      <c r="AT82" s="396">
        <f t="shared" si="270"/>
        <v>8.8092698933552089</v>
      </c>
      <c r="AU82" s="397">
        <f t="shared" si="270"/>
        <v>9.5810090237899921</v>
      </c>
      <c r="AV82" s="398">
        <f t="shared" si="270"/>
        <v>6.9714871794871796</v>
      </c>
      <c r="AW82" s="396">
        <f t="shared" si="270"/>
        <v>7.0785039046444718</v>
      </c>
      <c r="AX82" s="396">
        <f t="shared" ref="AX82:AZ82" si="271">AX81/AX77</f>
        <v>8.326635226573714</v>
      </c>
      <c r="AY82" s="397">
        <f t="shared" si="271"/>
        <v>8.9151813153042401</v>
      </c>
      <c r="AZ82" s="398">
        <f t="shared" si="271"/>
        <v>9.1100184388444987</v>
      </c>
      <c r="BA82" s="396">
        <f t="shared" ref="BA82:BC82" si="272">BA81/BA77</f>
        <v>9.6037151702786385</v>
      </c>
      <c r="BB82" s="396">
        <f t="shared" si="272"/>
        <v>7.1269446172993156</v>
      </c>
      <c r="BC82" s="397">
        <f t="shared" si="272"/>
        <v>6.9935938500960919</v>
      </c>
      <c r="BD82" s="396">
        <f t="shared" ref="BD82:BG82" si="273">BD81/BD77</f>
        <v>7.1534446764091859</v>
      </c>
      <c r="BE82" s="396">
        <f t="shared" si="273"/>
        <v>7.7267000259455205</v>
      </c>
      <c r="BF82" s="396">
        <f t="shared" si="273"/>
        <v>8.486336779731154</v>
      </c>
      <c r="BG82" s="397">
        <f t="shared" si="273"/>
        <v>9.2577183069244988</v>
      </c>
      <c r="BH82" s="396">
        <f t="shared" ref="BH82:BK82" si="274">BH81/BH77</f>
        <v>9.8384070907615602</v>
      </c>
      <c r="BI82" s="396">
        <f t="shared" si="274"/>
        <v>10.434824632232113</v>
      </c>
      <c r="BJ82" s="396">
        <f t="shared" si="274"/>
        <v>11.195422248064039</v>
      </c>
      <c r="BK82" s="397">
        <f t="shared" si="274"/>
        <v>12.002115059644364</v>
      </c>
      <c r="BL82" s="385"/>
      <c r="BM82" s="395">
        <f t="shared" ref="BM82:BY82" si="275">BM81/BM77</f>
        <v>5.2090286174929465</v>
      </c>
      <c r="BN82" s="395">
        <f t="shared" si="275"/>
        <v>5.5903798759241949</v>
      </c>
      <c r="BO82" s="395">
        <f t="shared" si="275"/>
        <v>6.5579471596184691</v>
      </c>
      <c r="BP82" s="395">
        <f t="shared" si="275"/>
        <v>6.0826160301051084</v>
      </c>
      <c r="BQ82" s="395">
        <f t="shared" si="275"/>
        <v>6.6310360160071147</v>
      </c>
      <c r="BR82" s="395">
        <f t="shared" si="275"/>
        <v>7.732244754630849</v>
      </c>
      <c r="BS82" s="395">
        <f t="shared" si="275"/>
        <v>5.6202320957973093</v>
      </c>
      <c r="BT82" s="395">
        <f t="shared" si="275"/>
        <v>6.833276806046805</v>
      </c>
      <c r="BU82" s="395">
        <f t="shared" si="275"/>
        <v>8.3560743538182347</v>
      </c>
      <c r="BV82" s="395">
        <f t="shared" si="275"/>
        <v>8.2017305315203952</v>
      </c>
      <c r="BW82" s="395">
        <f>BW81/BW77</f>
        <v>9.5462579821200517</v>
      </c>
      <c r="BX82" s="395">
        <f t="shared" si="275"/>
        <v>10.350274373044771</v>
      </c>
      <c r="BY82" s="395">
        <f t="shared" si="275"/>
        <v>10.304316172646907</v>
      </c>
      <c r="BZ82" s="395">
        <f t="shared" ref="BZ82:CB82" si="276">BZ81/BZ77</f>
        <v>13.899054423834729</v>
      </c>
      <c r="CA82" s="395">
        <f t="shared" si="276"/>
        <v>16.643451176554592</v>
      </c>
      <c r="CB82" s="1209">
        <f t="shared" si="276"/>
        <v>19.418088047153443</v>
      </c>
      <c r="CC82" s="37"/>
      <c r="CD82" s="26"/>
      <c r="CE82" s="26"/>
    </row>
    <row r="83" spans="1:89" ht="14.25" customHeight="1">
      <c r="A83" s="18"/>
      <c r="B83" s="297"/>
      <c r="C83" s="68"/>
      <c r="D83" s="386"/>
      <c r="E83" s="386"/>
      <c r="F83" s="386"/>
      <c r="G83" s="387"/>
      <c r="H83" s="388"/>
      <c r="I83" s="386"/>
      <c r="J83" s="386"/>
      <c r="K83" s="387"/>
      <c r="L83" s="388"/>
      <c r="M83" s="386"/>
      <c r="N83" s="386"/>
      <c r="O83" s="387"/>
      <c r="P83" s="388"/>
      <c r="Q83" s="386"/>
      <c r="R83" s="386"/>
      <c r="S83" s="387"/>
      <c r="T83" s="388"/>
      <c r="U83" s="386"/>
      <c r="V83" s="386"/>
      <c r="W83" s="387"/>
      <c r="X83" s="388"/>
      <c r="Y83" s="386"/>
      <c r="Z83" s="386"/>
      <c r="AA83" s="387"/>
      <c r="AB83" s="388"/>
      <c r="AC83" s="386"/>
      <c r="AD83" s="386"/>
      <c r="AE83" s="387"/>
      <c r="AF83" s="388"/>
      <c r="AG83" s="386"/>
      <c r="AH83" s="386"/>
      <c r="AI83" s="387"/>
      <c r="AJ83" s="388"/>
      <c r="AK83" s="386"/>
      <c r="AL83" s="386"/>
      <c r="AM83" s="387"/>
      <c r="AN83" s="388"/>
      <c r="AO83" s="386"/>
      <c r="AP83" s="386"/>
      <c r="AQ83" s="387"/>
      <c r="AR83" s="388"/>
      <c r="AS83" s="386"/>
      <c r="AT83" s="386"/>
      <c r="AU83" s="387"/>
      <c r="AV83" s="388"/>
      <c r="AW83" s="386"/>
      <c r="AX83" s="386"/>
      <c r="AY83" s="387"/>
      <c r="AZ83" s="388"/>
      <c r="BA83" s="386"/>
      <c r="BB83" s="386"/>
      <c r="BC83" s="387"/>
      <c r="BD83" s="386"/>
      <c r="BE83" s="386"/>
      <c r="BF83" s="386"/>
      <c r="BG83" s="387"/>
      <c r="BH83" s="386"/>
      <c r="BI83" s="386"/>
      <c r="BJ83" s="386"/>
      <c r="BK83" s="387"/>
      <c r="BL83" s="385"/>
      <c r="BM83" s="395"/>
      <c r="BN83" s="395"/>
      <c r="BO83" s="395"/>
      <c r="BP83" s="395"/>
      <c r="BQ83" s="395"/>
      <c r="BR83" s="395"/>
      <c r="BS83" s="395"/>
      <c r="BT83" s="395"/>
      <c r="BU83" s="395"/>
      <c r="BV83" s="395"/>
      <c r="BW83" s="395"/>
      <c r="BX83" s="395"/>
      <c r="BY83" s="395"/>
      <c r="BZ83" s="395"/>
      <c r="CA83" s="395"/>
      <c r="CB83" s="1209"/>
      <c r="CC83" s="37"/>
      <c r="CD83" s="26"/>
      <c r="CE83" s="26"/>
    </row>
    <row r="84" spans="1:89" ht="14.25" customHeight="1">
      <c r="A84" s="18"/>
      <c r="B84" s="389" t="s">
        <v>217</v>
      </c>
      <c r="C84" s="68"/>
      <c r="D84" s="386"/>
      <c r="E84" s="386"/>
      <c r="F84" s="386"/>
      <c r="G84" s="387"/>
      <c r="H84" s="388"/>
      <c r="I84" s="386"/>
      <c r="J84" s="386"/>
      <c r="K84" s="387"/>
      <c r="L84" s="388"/>
      <c r="M84" s="386"/>
      <c r="N84" s="386"/>
      <c r="O84" s="387"/>
      <c r="P84" s="388"/>
      <c r="Q84" s="386"/>
      <c r="R84" s="386"/>
      <c r="S84" s="387"/>
      <c r="T84" s="388"/>
      <c r="U84" s="386"/>
      <c r="V84" s="386"/>
      <c r="W84" s="387"/>
      <c r="X84" s="388"/>
      <c r="Y84" s="386"/>
      <c r="Z84" s="386"/>
      <c r="AA84" s="387"/>
      <c r="AB84" s="388"/>
      <c r="AC84" s="386"/>
      <c r="AD84" s="386"/>
      <c r="AE84" s="387"/>
      <c r="AF84" s="388"/>
      <c r="AG84" s="386"/>
      <c r="AH84" s="386"/>
      <c r="AI84" s="387"/>
      <c r="AJ84" s="388"/>
      <c r="AK84" s="386"/>
      <c r="AL84" s="386"/>
      <c r="AM84" s="387"/>
      <c r="AN84" s="388"/>
      <c r="AO84" s="386"/>
      <c r="AP84" s="386"/>
      <c r="AQ84" s="387"/>
      <c r="AR84" s="388"/>
      <c r="AS84" s="386"/>
      <c r="AT84" s="386"/>
      <c r="AU84" s="387"/>
      <c r="AV84" s="388"/>
      <c r="AW84" s="386"/>
      <c r="AX84" s="386"/>
      <c r="AY84" s="387"/>
      <c r="AZ84" s="388"/>
      <c r="BA84" s="386"/>
      <c r="BB84" s="386"/>
      <c r="BC84" s="387"/>
      <c r="BD84" s="386"/>
      <c r="BE84" s="386"/>
      <c r="BF84" s="386"/>
      <c r="BG84" s="387"/>
      <c r="BH84" s="386"/>
      <c r="BI84" s="386"/>
      <c r="BJ84" s="386"/>
      <c r="BK84" s="387"/>
      <c r="BL84" s="38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1209"/>
      <c r="CC84" s="37"/>
      <c r="CD84" s="26"/>
      <c r="CE84" s="26"/>
    </row>
    <row r="85" spans="1:89" ht="14.25" customHeight="1">
      <c r="A85" s="18"/>
      <c r="B85" s="399" t="s">
        <v>163</v>
      </c>
      <c r="C85" s="68"/>
      <c r="D85" s="384">
        <f t="shared" ref="D85:AX85" si="277">+D9</f>
        <v>9279</v>
      </c>
      <c r="E85" s="384">
        <f t="shared" si="277"/>
        <v>8975</v>
      </c>
      <c r="F85" s="384">
        <f t="shared" si="277"/>
        <v>8857</v>
      </c>
      <c r="G85" s="394">
        <f t="shared" si="277"/>
        <v>7324</v>
      </c>
      <c r="H85" s="383">
        <f t="shared" si="277"/>
        <v>3948</v>
      </c>
      <c r="I85" s="384">
        <f t="shared" si="277"/>
        <v>3436</v>
      </c>
      <c r="J85" s="384">
        <f t="shared" si="277"/>
        <v>4469</v>
      </c>
      <c r="K85" s="394">
        <f t="shared" si="277"/>
        <v>6598</v>
      </c>
      <c r="L85" s="383">
        <f t="shared" si="277"/>
        <v>4472</v>
      </c>
      <c r="M85" s="384">
        <f t="shared" si="277"/>
        <v>4709</v>
      </c>
      <c r="N85" s="384">
        <f t="shared" si="277"/>
        <v>5844</v>
      </c>
      <c r="O85" s="394">
        <f t="shared" si="277"/>
        <v>7307</v>
      </c>
      <c r="P85" s="383">
        <f t="shared" si="277"/>
        <v>5883</v>
      </c>
      <c r="Q85" s="384">
        <f t="shared" si="277"/>
        <v>4079</v>
      </c>
      <c r="R85" s="384">
        <f t="shared" si="277"/>
        <v>3704</v>
      </c>
      <c r="S85" s="394">
        <f t="shared" si="277"/>
        <v>3350</v>
      </c>
      <c r="T85" s="383">
        <f t="shared" si="277"/>
        <v>3536</v>
      </c>
      <c r="U85" s="384">
        <f t="shared" si="277"/>
        <v>3826</v>
      </c>
      <c r="V85" s="384">
        <f t="shared" si="277"/>
        <v>4109</v>
      </c>
      <c r="W85" s="394">
        <f t="shared" si="277"/>
        <v>3987</v>
      </c>
      <c r="X85" s="383">
        <f t="shared" si="277"/>
        <v>4988</v>
      </c>
      <c r="Y85" s="384">
        <f t="shared" si="277"/>
        <v>5514</v>
      </c>
      <c r="Z85" s="384">
        <f t="shared" si="277"/>
        <v>5517</v>
      </c>
      <c r="AA85" s="394">
        <f t="shared" si="277"/>
        <v>5498</v>
      </c>
      <c r="AB85" s="383">
        <f t="shared" si="277"/>
        <v>4188</v>
      </c>
      <c r="AC85" s="384">
        <f t="shared" si="277"/>
        <v>4635</v>
      </c>
      <c r="AD85" s="384">
        <f t="shared" si="277"/>
        <v>7057</v>
      </c>
      <c r="AE85" s="394">
        <f t="shared" si="277"/>
        <v>5065</v>
      </c>
      <c r="AF85" s="383">
        <f t="shared" si="277"/>
        <v>4429</v>
      </c>
      <c r="AG85" s="384">
        <f t="shared" si="277"/>
        <v>5223</v>
      </c>
      <c r="AH85" s="384">
        <f t="shared" si="277"/>
        <v>3520</v>
      </c>
      <c r="AI85" s="394">
        <f t="shared" si="277"/>
        <v>8478</v>
      </c>
      <c r="AJ85" s="383">
        <f t="shared" si="277"/>
        <v>5698</v>
      </c>
      <c r="AK85" s="384">
        <f t="shared" si="277"/>
        <v>3778</v>
      </c>
      <c r="AL85" s="384">
        <f t="shared" si="277"/>
        <v>4881</v>
      </c>
      <c r="AM85" s="394">
        <f t="shared" si="277"/>
        <v>5674</v>
      </c>
      <c r="AN85" s="383">
        <f t="shared" si="277"/>
        <v>4777</v>
      </c>
      <c r="AO85" s="384">
        <f t="shared" si="277"/>
        <v>3049</v>
      </c>
      <c r="AP85" s="384">
        <f t="shared" si="277"/>
        <v>3143</v>
      </c>
      <c r="AQ85" s="394">
        <f t="shared" si="277"/>
        <v>2561</v>
      </c>
      <c r="AR85" s="383">
        <f t="shared" si="277"/>
        <v>4244</v>
      </c>
      <c r="AS85" s="384">
        <f t="shared" si="277"/>
        <v>4454</v>
      </c>
      <c r="AT85" s="384">
        <f t="shared" si="277"/>
        <v>7065</v>
      </c>
      <c r="AU85" s="394">
        <f t="shared" si="277"/>
        <v>15308</v>
      </c>
      <c r="AV85" s="383">
        <f t="shared" si="277"/>
        <v>3061</v>
      </c>
      <c r="AW85" s="384">
        <f t="shared" si="277"/>
        <v>3885</v>
      </c>
      <c r="AX85" s="384">
        <f t="shared" si="277"/>
        <v>4752</v>
      </c>
      <c r="AY85" s="394">
        <f t="shared" ref="AY85:AZ85" si="278">+AY9</f>
        <v>5560</v>
      </c>
      <c r="AZ85" s="383">
        <f t="shared" si="278"/>
        <v>4934</v>
      </c>
      <c r="BA85" s="384">
        <f t="shared" ref="BA85:BC85" si="279">+BA9</f>
        <v>11687</v>
      </c>
      <c r="BB85" s="384">
        <f t="shared" si="279"/>
        <v>9075</v>
      </c>
      <c r="BC85" s="394">
        <f t="shared" si="279"/>
        <v>3433</v>
      </c>
      <c r="BD85" s="384">
        <f t="shared" ref="BD85:BG85" si="280">+BD9</f>
        <v>3554</v>
      </c>
      <c r="BE85" s="384">
        <f t="shared" si="280"/>
        <v>5328.8935123566007</v>
      </c>
      <c r="BF85" s="384">
        <f t="shared" si="280"/>
        <v>6930.1194258736577</v>
      </c>
      <c r="BG85" s="394">
        <f t="shared" si="280"/>
        <v>9235.1130779386531</v>
      </c>
      <c r="BH85" s="384">
        <f t="shared" ref="BH85:BK85" si="281">+BH9</f>
        <v>11773.102462382441</v>
      </c>
      <c r="BI85" s="384">
        <f t="shared" si="281"/>
        <v>12867.631228371542</v>
      </c>
      <c r="BJ85" s="384">
        <f t="shared" si="281"/>
        <v>14043.312897508022</v>
      </c>
      <c r="BK85" s="394">
        <f t="shared" si="281"/>
        <v>16215.374073973693</v>
      </c>
      <c r="BL85" s="385"/>
      <c r="BM85" s="395"/>
      <c r="BN85" s="395"/>
      <c r="BO85" s="395"/>
      <c r="BP85" s="395"/>
      <c r="BQ85" s="395"/>
      <c r="BR85" s="395"/>
      <c r="BS85" s="395"/>
      <c r="BT85" s="395"/>
      <c r="BU85" s="395"/>
      <c r="BV85" s="395"/>
      <c r="BW85" s="395"/>
      <c r="BX85" s="395"/>
      <c r="BY85" s="395"/>
      <c r="BZ85" s="395"/>
      <c r="CA85" s="395"/>
      <c r="CB85" s="1209"/>
      <c r="CC85" s="37"/>
      <c r="CD85" s="26"/>
      <c r="CE85" s="26"/>
    </row>
    <row r="86" spans="1:89" ht="14.25" customHeight="1">
      <c r="A86" s="18"/>
      <c r="B86" s="399" t="s">
        <v>164</v>
      </c>
      <c r="C86" s="68"/>
      <c r="D86" s="384">
        <f t="shared" ref="D86:AX86" si="282">+D10</f>
        <v>4394</v>
      </c>
      <c r="E86" s="384">
        <f t="shared" si="282"/>
        <v>3625</v>
      </c>
      <c r="F86" s="384">
        <f t="shared" si="282"/>
        <v>3094</v>
      </c>
      <c r="G86" s="394">
        <f t="shared" si="282"/>
        <v>3990</v>
      </c>
      <c r="H86" s="383">
        <f t="shared" si="282"/>
        <v>3906</v>
      </c>
      <c r="I86" s="384">
        <f t="shared" si="282"/>
        <v>2985</v>
      </c>
      <c r="J86" s="384">
        <f t="shared" si="282"/>
        <v>2654</v>
      </c>
      <c r="K86" s="394">
        <f t="shared" si="282"/>
        <v>2270</v>
      </c>
      <c r="L86" s="383">
        <f t="shared" si="282"/>
        <v>3217</v>
      </c>
      <c r="M86" s="384">
        <f t="shared" si="282"/>
        <v>4217</v>
      </c>
      <c r="N86" s="384">
        <f t="shared" si="282"/>
        <v>4952</v>
      </c>
      <c r="O86" s="394">
        <f t="shared" si="282"/>
        <v>5490</v>
      </c>
      <c r="P86" s="383">
        <f t="shared" si="282"/>
        <v>4993</v>
      </c>
      <c r="Q86" s="384">
        <f t="shared" si="282"/>
        <v>4312</v>
      </c>
      <c r="R86" s="384">
        <f t="shared" si="282"/>
        <v>4583</v>
      </c>
      <c r="S86" s="394">
        <f t="shared" si="282"/>
        <v>5331</v>
      </c>
      <c r="T86" s="383">
        <f t="shared" si="282"/>
        <v>4256</v>
      </c>
      <c r="U86" s="384">
        <f t="shared" si="282"/>
        <v>5195</v>
      </c>
      <c r="V86" s="384">
        <f t="shared" si="282"/>
        <v>5150</v>
      </c>
      <c r="W86" s="394">
        <f t="shared" si="282"/>
        <v>5285</v>
      </c>
      <c r="X86" s="383">
        <f t="shared" si="282"/>
        <v>5927</v>
      </c>
      <c r="Y86" s="384">
        <f t="shared" si="282"/>
        <v>6715</v>
      </c>
      <c r="Z86" s="384">
        <f t="shared" si="282"/>
        <v>9470</v>
      </c>
      <c r="AA86" s="394">
        <f t="shared" si="282"/>
        <v>11294</v>
      </c>
      <c r="AB86" s="383">
        <f t="shared" si="282"/>
        <v>3536</v>
      </c>
      <c r="AC86" s="384">
        <f t="shared" si="282"/>
        <v>3106</v>
      </c>
      <c r="AD86" s="384">
        <f t="shared" si="282"/>
        <v>3876</v>
      </c>
      <c r="AE86" s="394">
        <f t="shared" si="282"/>
        <v>5181</v>
      </c>
      <c r="AF86" s="383">
        <f t="shared" si="282"/>
        <v>5012</v>
      </c>
      <c r="AG86" s="384">
        <f t="shared" si="282"/>
        <v>3981</v>
      </c>
      <c r="AH86" s="384">
        <f t="shared" si="282"/>
        <v>2483</v>
      </c>
      <c r="AI86" s="394">
        <f t="shared" si="282"/>
        <v>3999</v>
      </c>
      <c r="AJ86" s="383">
        <f t="shared" si="282"/>
        <v>4323</v>
      </c>
      <c r="AK86" s="384">
        <f t="shared" si="282"/>
        <v>6214</v>
      </c>
      <c r="AL86" s="384">
        <f t="shared" si="282"/>
        <v>6492</v>
      </c>
      <c r="AM86" s="394">
        <f t="shared" si="282"/>
        <v>5972</v>
      </c>
      <c r="AN86" s="383">
        <f t="shared" si="282"/>
        <v>5234</v>
      </c>
      <c r="AO86" s="384">
        <f t="shared" si="282"/>
        <v>4491</v>
      </c>
      <c r="AP86" s="384">
        <f t="shared" si="282"/>
        <v>3451</v>
      </c>
      <c r="AQ86" s="394">
        <f t="shared" si="282"/>
        <v>2430</v>
      </c>
      <c r="AR86" s="383">
        <f t="shared" si="282"/>
        <v>1864</v>
      </c>
      <c r="AS86" s="384">
        <f t="shared" si="282"/>
        <v>2606</v>
      </c>
      <c r="AT86" s="384">
        <f t="shared" si="282"/>
        <v>7119</v>
      </c>
      <c r="AU86" s="394">
        <f t="shared" si="282"/>
        <v>2682</v>
      </c>
      <c r="AV86" s="383">
        <f t="shared" si="282"/>
        <v>2927</v>
      </c>
      <c r="AW86" s="384">
        <f t="shared" si="282"/>
        <v>4301</v>
      </c>
      <c r="AX86" s="384">
        <f t="shared" si="282"/>
        <v>3270</v>
      </c>
      <c r="AY86" s="394">
        <f t="shared" ref="AY86:AZ86" si="283">+AY10</f>
        <v>3225</v>
      </c>
      <c r="AZ86" s="383">
        <f t="shared" si="283"/>
        <v>3058</v>
      </c>
      <c r="BA86" s="384">
        <f t="shared" ref="BA86:BC86" si="284">+BA10</f>
        <v>3158</v>
      </c>
      <c r="BB86" s="384">
        <f t="shared" si="284"/>
        <v>1446</v>
      </c>
      <c r="BC86" s="394">
        <f t="shared" si="284"/>
        <v>1814</v>
      </c>
      <c r="BD86" s="384">
        <f t="shared" ref="BD86:BG86" si="285">+BD10</f>
        <v>2020</v>
      </c>
      <c r="BE86" s="384">
        <f t="shared" si="285"/>
        <v>2020</v>
      </c>
      <c r="BF86" s="384">
        <f t="shared" si="285"/>
        <v>2020</v>
      </c>
      <c r="BG86" s="394">
        <f t="shared" si="285"/>
        <v>2020</v>
      </c>
      <c r="BH86" s="384">
        <f t="shared" ref="BH86:BK86" si="286">+BH10</f>
        <v>2020</v>
      </c>
      <c r="BI86" s="384">
        <f t="shared" si="286"/>
        <v>2020</v>
      </c>
      <c r="BJ86" s="384">
        <f t="shared" si="286"/>
        <v>2020</v>
      </c>
      <c r="BK86" s="394">
        <f t="shared" si="286"/>
        <v>2020</v>
      </c>
      <c r="BL86" s="385"/>
      <c r="BM86" s="395"/>
      <c r="BN86" s="395"/>
      <c r="BO86" s="395"/>
      <c r="BP86" s="395"/>
      <c r="BQ86" s="395"/>
      <c r="BR86" s="395"/>
      <c r="BS86" s="395"/>
      <c r="BT86" s="395"/>
      <c r="BU86" s="395"/>
      <c r="BV86" s="395"/>
      <c r="BW86" s="395"/>
      <c r="BX86" s="395"/>
      <c r="BY86" s="395"/>
      <c r="BZ86" s="395"/>
      <c r="CA86" s="395"/>
      <c r="CB86" s="1209"/>
      <c r="CC86" s="37"/>
      <c r="CD86" s="26"/>
      <c r="CE86" s="26"/>
    </row>
    <row r="87" spans="1:89" ht="14.25" customHeight="1">
      <c r="A87" s="18"/>
      <c r="B87" s="399" t="s">
        <v>165</v>
      </c>
      <c r="C87" s="68"/>
      <c r="D87" s="384">
        <f t="shared" ref="D87:AX87" si="287">+D11</f>
        <v>2443</v>
      </c>
      <c r="E87" s="384">
        <f t="shared" si="287"/>
        <v>2224</v>
      </c>
      <c r="F87" s="384">
        <f t="shared" si="287"/>
        <v>1982</v>
      </c>
      <c r="G87" s="394">
        <f t="shared" si="287"/>
        <v>1458</v>
      </c>
      <c r="H87" s="383">
        <f t="shared" si="287"/>
        <v>1265</v>
      </c>
      <c r="I87" s="384">
        <f t="shared" si="287"/>
        <v>1222</v>
      </c>
      <c r="J87" s="384">
        <f t="shared" si="287"/>
        <v>1096</v>
      </c>
      <c r="K87" s="394">
        <f t="shared" si="287"/>
        <v>1134</v>
      </c>
      <c r="L87" s="383">
        <f t="shared" si="287"/>
        <v>1335</v>
      </c>
      <c r="M87" s="384">
        <f t="shared" si="287"/>
        <v>1735</v>
      </c>
      <c r="N87" s="384">
        <f t="shared" si="287"/>
        <v>2225</v>
      </c>
      <c r="O87" s="394">
        <f t="shared" si="287"/>
        <v>2566</v>
      </c>
      <c r="P87" s="383">
        <f t="shared" si="287"/>
        <v>2816</v>
      </c>
      <c r="Q87" s="384">
        <f t="shared" si="287"/>
        <v>3570</v>
      </c>
      <c r="R87" s="384">
        <f t="shared" si="287"/>
        <v>3917</v>
      </c>
      <c r="S87" s="394">
        <f t="shared" si="287"/>
        <v>3162</v>
      </c>
      <c r="T87" s="383">
        <f t="shared" si="287"/>
        <v>2807</v>
      </c>
      <c r="U87" s="384">
        <f t="shared" si="287"/>
        <v>2603</v>
      </c>
      <c r="V87" s="384">
        <f t="shared" si="287"/>
        <v>3671</v>
      </c>
      <c r="W87" s="394">
        <f t="shared" si="287"/>
        <v>4648</v>
      </c>
      <c r="X87" s="383">
        <f t="shared" si="287"/>
        <v>5427</v>
      </c>
      <c r="Y87" s="384">
        <f t="shared" si="287"/>
        <v>6074</v>
      </c>
      <c r="Z87" s="384">
        <f t="shared" si="287"/>
        <v>5763</v>
      </c>
      <c r="AA87" s="394">
        <f t="shared" si="287"/>
        <v>5093</v>
      </c>
      <c r="AB87" s="383">
        <f t="shared" si="287"/>
        <v>4254</v>
      </c>
      <c r="AC87" s="384">
        <f t="shared" si="287"/>
        <v>3806</v>
      </c>
      <c r="AD87" s="384">
        <f t="shared" si="287"/>
        <v>4265</v>
      </c>
      <c r="AE87" s="394">
        <f t="shared" si="287"/>
        <v>4591</v>
      </c>
      <c r="AF87" s="383">
        <f t="shared" si="287"/>
        <v>4312</v>
      </c>
      <c r="AG87" s="384">
        <f t="shared" si="287"/>
        <v>4444</v>
      </c>
      <c r="AH87" s="384">
        <f t="shared" si="287"/>
        <v>4462</v>
      </c>
      <c r="AI87" s="394">
        <f t="shared" si="287"/>
        <v>5685</v>
      </c>
      <c r="AJ87" s="383">
        <f t="shared" si="287"/>
        <v>7052</v>
      </c>
      <c r="AK87" s="384">
        <f t="shared" si="287"/>
        <v>7358</v>
      </c>
      <c r="AL87" s="384">
        <f t="shared" si="287"/>
        <v>7773</v>
      </c>
      <c r="AM87" s="394">
        <f t="shared" si="287"/>
        <v>8441</v>
      </c>
      <c r="AN87" s="383">
        <f t="shared" si="287"/>
        <v>9035</v>
      </c>
      <c r="AO87" s="384">
        <f t="shared" si="287"/>
        <v>9771</v>
      </c>
      <c r="AP87" s="384">
        <f t="shared" si="287"/>
        <v>9000</v>
      </c>
      <c r="AQ87" s="394">
        <f t="shared" si="287"/>
        <v>9063</v>
      </c>
      <c r="AR87" s="383">
        <f t="shared" si="287"/>
        <v>8010</v>
      </c>
      <c r="AS87" s="384">
        <f t="shared" si="287"/>
        <v>6810</v>
      </c>
      <c r="AT87" s="384">
        <f t="shared" si="287"/>
        <v>6659</v>
      </c>
      <c r="AU87" s="394">
        <f t="shared" si="287"/>
        <v>7323</v>
      </c>
      <c r="AV87" s="383">
        <f t="shared" si="287"/>
        <v>9103</v>
      </c>
      <c r="AW87" s="384">
        <f t="shared" si="287"/>
        <v>9503</v>
      </c>
      <c r="AX87" s="384">
        <f t="shared" si="287"/>
        <v>9747</v>
      </c>
      <c r="AY87" s="394">
        <f t="shared" ref="AY87:AZ87" si="288">+AY11</f>
        <v>8314</v>
      </c>
      <c r="AZ87" s="383">
        <f t="shared" si="288"/>
        <v>9303</v>
      </c>
      <c r="BA87" s="384">
        <f t="shared" ref="BA87:BC87" si="289">+BA11</f>
        <v>11084</v>
      </c>
      <c r="BB87" s="384">
        <f t="shared" si="289"/>
        <v>6983</v>
      </c>
      <c r="BC87" s="394">
        <f t="shared" si="289"/>
        <v>8755</v>
      </c>
      <c r="BD87" s="384">
        <f t="shared" ref="BD87:BG87" si="290">+BD11</f>
        <v>10623</v>
      </c>
      <c r="BE87" s="384">
        <f t="shared" si="290"/>
        <v>10623</v>
      </c>
      <c r="BF87" s="384">
        <f t="shared" si="290"/>
        <v>10623</v>
      </c>
      <c r="BG87" s="394">
        <f t="shared" si="290"/>
        <v>10623</v>
      </c>
      <c r="BH87" s="384">
        <f t="shared" ref="BH87:BK87" si="291">+BH11</f>
        <v>10623</v>
      </c>
      <c r="BI87" s="384">
        <f t="shared" si="291"/>
        <v>10623</v>
      </c>
      <c r="BJ87" s="384">
        <f t="shared" si="291"/>
        <v>10623</v>
      </c>
      <c r="BK87" s="394">
        <f t="shared" si="291"/>
        <v>10623</v>
      </c>
      <c r="BL87" s="385"/>
      <c r="BM87" s="395"/>
      <c r="BN87" s="395"/>
      <c r="BO87" s="395"/>
      <c r="BP87" s="395"/>
      <c r="BQ87" s="395"/>
      <c r="BR87" s="395"/>
      <c r="BS87" s="395"/>
      <c r="BT87" s="395"/>
      <c r="BU87" s="395"/>
      <c r="BV87" s="395"/>
      <c r="BW87" s="395"/>
      <c r="BX87" s="395"/>
      <c r="BY87" s="395"/>
      <c r="BZ87" s="395"/>
      <c r="CA87" s="395"/>
      <c r="CB87" s="1209"/>
      <c r="CC87" s="37"/>
      <c r="CD87" s="26"/>
      <c r="CE87" s="26"/>
    </row>
    <row r="88" spans="1:89" s="121" customFormat="1" ht="14.25" customHeight="1">
      <c r="A88" s="110"/>
      <c r="B88" s="400" t="s">
        <v>172</v>
      </c>
      <c r="C88" s="144"/>
      <c r="D88" s="401">
        <f>+D20</f>
        <v>586</v>
      </c>
      <c r="E88" s="401">
        <f t="shared" ref="E88:AR88" si="292">+E20</f>
        <v>362</v>
      </c>
      <c r="F88" s="401">
        <f t="shared" si="292"/>
        <v>520</v>
      </c>
      <c r="G88" s="402">
        <f t="shared" si="292"/>
        <v>537</v>
      </c>
      <c r="H88" s="403">
        <f t="shared" si="292"/>
        <v>588</v>
      </c>
      <c r="I88" s="401">
        <f t="shared" si="292"/>
        <v>604</v>
      </c>
      <c r="J88" s="401">
        <f t="shared" si="292"/>
        <v>388</v>
      </c>
      <c r="K88" s="402">
        <f t="shared" si="292"/>
        <v>398</v>
      </c>
      <c r="L88" s="403">
        <f t="shared" si="292"/>
        <v>359</v>
      </c>
      <c r="M88" s="401">
        <f t="shared" si="292"/>
        <v>350</v>
      </c>
      <c r="N88" s="401">
        <f t="shared" si="292"/>
        <v>1061</v>
      </c>
      <c r="O88" s="402">
        <f t="shared" si="292"/>
        <v>987</v>
      </c>
      <c r="P88" s="403">
        <f t="shared" si="292"/>
        <v>530</v>
      </c>
      <c r="Q88" s="401">
        <f t="shared" si="292"/>
        <v>644</v>
      </c>
      <c r="R88" s="401">
        <f t="shared" si="292"/>
        <v>401</v>
      </c>
      <c r="S88" s="402">
        <f t="shared" si="292"/>
        <v>352</v>
      </c>
      <c r="T88" s="403">
        <f t="shared" si="292"/>
        <v>412</v>
      </c>
      <c r="U88" s="401">
        <f t="shared" si="292"/>
        <v>513</v>
      </c>
      <c r="V88" s="401">
        <f t="shared" si="292"/>
        <v>766</v>
      </c>
      <c r="W88" s="402">
        <f t="shared" si="292"/>
        <v>773</v>
      </c>
      <c r="X88" s="403">
        <f t="shared" si="292"/>
        <v>926</v>
      </c>
      <c r="Y88" s="401">
        <f t="shared" si="292"/>
        <v>916</v>
      </c>
      <c r="Z88" s="401">
        <f t="shared" si="292"/>
        <v>1054</v>
      </c>
      <c r="AA88" s="402">
        <f t="shared" si="292"/>
        <v>1008</v>
      </c>
      <c r="AB88" s="403">
        <f t="shared" si="292"/>
        <v>980</v>
      </c>
      <c r="AC88" s="401">
        <f t="shared" si="292"/>
        <v>892</v>
      </c>
      <c r="AD88" s="401">
        <f t="shared" si="292"/>
        <v>516</v>
      </c>
      <c r="AE88" s="402">
        <f t="shared" si="292"/>
        <v>562</v>
      </c>
      <c r="AF88" s="403">
        <f t="shared" si="292"/>
        <v>819</v>
      </c>
      <c r="AG88" s="401">
        <f t="shared" si="292"/>
        <v>599</v>
      </c>
      <c r="AH88" s="401">
        <f t="shared" si="292"/>
        <v>3924</v>
      </c>
      <c r="AI88" s="402">
        <f t="shared" si="292"/>
        <v>4424</v>
      </c>
      <c r="AJ88" s="403">
        <f t="shared" si="292"/>
        <v>4698</v>
      </c>
      <c r="AK88" s="401">
        <f t="shared" si="292"/>
        <v>5361</v>
      </c>
      <c r="AL88" s="401">
        <f t="shared" si="292"/>
        <v>6514</v>
      </c>
      <c r="AM88" s="402">
        <f>+AM20</f>
        <v>6221</v>
      </c>
      <c r="AN88" s="403">
        <f>+AN20</f>
        <v>6085</v>
      </c>
      <c r="AO88" s="401">
        <f>+AO20</f>
        <v>6044</v>
      </c>
      <c r="AP88" s="401">
        <f>+AP20</f>
        <v>6514</v>
      </c>
      <c r="AQ88" s="402">
        <f t="shared" si="292"/>
        <v>7097</v>
      </c>
      <c r="AR88" s="403">
        <f t="shared" si="292"/>
        <v>6549</v>
      </c>
      <c r="AS88" s="401">
        <f t="shared" ref="AS88:AW88" si="293">+AS20</f>
        <v>7208</v>
      </c>
      <c r="AT88" s="401">
        <f t="shared" si="293"/>
        <v>5618</v>
      </c>
      <c r="AU88" s="402">
        <f t="shared" si="293"/>
        <v>5960</v>
      </c>
      <c r="AV88" s="403">
        <f t="shared" si="293"/>
        <v>6377</v>
      </c>
      <c r="AW88" s="401">
        <f t="shared" si="293"/>
        <v>5394</v>
      </c>
      <c r="AX88" s="401">
        <f t="shared" ref="AX88:AZ88" si="294">+AX20</f>
        <v>6022</v>
      </c>
      <c r="AY88" s="402">
        <f t="shared" si="294"/>
        <v>6180</v>
      </c>
      <c r="AZ88" s="403">
        <f t="shared" si="294"/>
        <v>6831</v>
      </c>
      <c r="BA88" s="401">
        <f t="shared" ref="BA88:BC88" si="295">+BA20</f>
        <v>5904</v>
      </c>
      <c r="BB88" s="401">
        <f t="shared" si="295"/>
        <v>6059</v>
      </c>
      <c r="BC88" s="402">
        <f t="shared" si="295"/>
        <v>4192</v>
      </c>
      <c r="BD88" s="401">
        <f t="shared" ref="BD88:BG88" si="296">+BD20</f>
        <v>9481</v>
      </c>
      <c r="BE88" s="401">
        <f t="shared" si="296"/>
        <v>9481</v>
      </c>
      <c r="BF88" s="401">
        <f t="shared" si="296"/>
        <v>9481</v>
      </c>
      <c r="BG88" s="402">
        <f t="shared" si="296"/>
        <v>9481</v>
      </c>
      <c r="BH88" s="401">
        <f t="shared" ref="BH88:BK88" si="297">+BH20</f>
        <v>9481</v>
      </c>
      <c r="BI88" s="401">
        <f t="shared" si="297"/>
        <v>9481</v>
      </c>
      <c r="BJ88" s="401">
        <f t="shared" si="297"/>
        <v>9481</v>
      </c>
      <c r="BK88" s="402">
        <f t="shared" si="297"/>
        <v>9481</v>
      </c>
      <c r="BL88" s="404"/>
      <c r="BM88" s="405"/>
      <c r="BN88" s="405"/>
      <c r="BO88" s="405"/>
      <c r="BP88" s="405"/>
      <c r="BQ88" s="405"/>
      <c r="BR88" s="405"/>
      <c r="BS88" s="405"/>
      <c r="BT88" s="405"/>
      <c r="BU88" s="405"/>
      <c r="BV88" s="405"/>
      <c r="BW88" s="405"/>
      <c r="BX88" s="405"/>
      <c r="BY88" s="405"/>
      <c r="BZ88" s="405"/>
      <c r="CA88" s="405"/>
      <c r="CB88" s="1210"/>
      <c r="CC88" s="119"/>
      <c r="CD88" s="120"/>
      <c r="CE88" s="120"/>
      <c r="CF88"/>
      <c r="CG88"/>
      <c r="CH88"/>
      <c r="CI88"/>
      <c r="CJ88"/>
      <c r="CK88"/>
    </row>
    <row r="89" spans="1:89" s="199" customFormat="1" ht="14.25" customHeight="1">
      <c r="A89" s="194"/>
      <c r="B89" s="406" t="s">
        <v>218</v>
      </c>
      <c r="C89" s="128"/>
      <c r="D89" s="407">
        <f>+SUM(D85:D88)</f>
        <v>16702</v>
      </c>
      <c r="E89" s="407">
        <f t="shared" ref="E89:AR89" si="298">+SUM(E85:E88)</f>
        <v>15186</v>
      </c>
      <c r="F89" s="407">
        <f t="shared" si="298"/>
        <v>14453</v>
      </c>
      <c r="G89" s="408">
        <f t="shared" si="298"/>
        <v>13309</v>
      </c>
      <c r="H89" s="409">
        <f t="shared" si="298"/>
        <v>9707</v>
      </c>
      <c r="I89" s="407">
        <f t="shared" si="298"/>
        <v>8247</v>
      </c>
      <c r="J89" s="407">
        <f t="shared" si="298"/>
        <v>8607</v>
      </c>
      <c r="K89" s="408">
        <f t="shared" si="298"/>
        <v>10400</v>
      </c>
      <c r="L89" s="409">
        <f t="shared" si="298"/>
        <v>9383</v>
      </c>
      <c r="M89" s="407">
        <f t="shared" si="298"/>
        <v>11011</v>
      </c>
      <c r="N89" s="407">
        <f t="shared" si="298"/>
        <v>14082</v>
      </c>
      <c r="O89" s="408">
        <f t="shared" si="298"/>
        <v>16350</v>
      </c>
      <c r="P89" s="409">
        <f t="shared" si="298"/>
        <v>14222</v>
      </c>
      <c r="Q89" s="407">
        <f t="shared" si="298"/>
        <v>12605</v>
      </c>
      <c r="R89" s="407">
        <f t="shared" si="298"/>
        <v>12605</v>
      </c>
      <c r="S89" s="408">
        <f t="shared" si="298"/>
        <v>12195</v>
      </c>
      <c r="T89" s="409">
        <f t="shared" si="298"/>
        <v>11011</v>
      </c>
      <c r="U89" s="407">
        <f t="shared" si="298"/>
        <v>12137</v>
      </c>
      <c r="V89" s="407">
        <f t="shared" si="298"/>
        <v>13696</v>
      </c>
      <c r="W89" s="408">
        <f t="shared" si="298"/>
        <v>14693</v>
      </c>
      <c r="X89" s="409">
        <f t="shared" si="298"/>
        <v>17268</v>
      </c>
      <c r="Y89" s="407">
        <f t="shared" si="298"/>
        <v>19219</v>
      </c>
      <c r="Z89" s="407">
        <f t="shared" si="298"/>
        <v>21804</v>
      </c>
      <c r="AA89" s="408">
        <f t="shared" si="298"/>
        <v>22893</v>
      </c>
      <c r="AB89" s="409">
        <f t="shared" si="298"/>
        <v>12958</v>
      </c>
      <c r="AC89" s="407">
        <f t="shared" si="298"/>
        <v>12439</v>
      </c>
      <c r="AD89" s="407">
        <f t="shared" si="298"/>
        <v>15714</v>
      </c>
      <c r="AE89" s="408">
        <f t="shared" si="298"/>
        <v>15399</v>
      </c>
      <c r="AF89" s="409">
        <f t="shared" si="298"/>
        <v>14572</v>
      </c>
      <c r="AG89" s="407">
        <f t="shared" si="298"/>
        <v>14247</v>
      </c>
      <c r="AH89" s="407">
        <f t="shared" si="298"/>
        <v>14389</v>
      </c>
      <c r="AI89" s="408">
        <f t="shared" si="298"/>
        <v>22586</v>
      </c>
      <c r="AJ89" s="409">
        <f t="shared" si="298"/>
        <v>21771</v>
      </c>
      <c r="AK89" s="407">
        <f t="shared" si="298"/>
        <v>22711</v>
      </c>
      <c r="AL89" s="407">
        <f t="shared" si="298"/>
        <v>25660</v>
      </c>
      <c r="AM89" s="408">
        <f t="shared" si="298"/>
        <v>26308</v>
      </c>
      <c r="AN89" s="409">
        <f>+SUM(AN85:AN88)</f>
        <v>25131</v>
      </c>
      <c r="AO89" s="407">
        <f>+SUM(AO85:AO88)</f>
        <v>23355</v>
      </c>
      <c r="AP89" s="407">
        <f>+SUM(AP85:AP88)</f>
        <v>22108</v>
      </c>
      <c r="AQ89" s="408">
        <f t="shared" si="298"/>
        <v>21151</v>
      </c>
      <c r="AR89" s="409">
        <f t="shared" si="298"/>
        <v>20667</v>
      </c>
      <c r="AS89" s="407">
        <f t="shared" ref="AS89:AW89" si="299">+SUM(AS85:AS88)</f>
        <v>21078</v>
      </c>
      <c r="AT89" s="407">
        <f t="shared" si="299"/>
        <v>26461</v>
      </c>
      <c r="AU89" s="408">
        <f t="shared" si="299"/>
        <v>31273</v>
      </c>
      <c r="AV89" s="409">
        <f t="shared" si="299"/>
        <v>21468</v>
      </c>
      <c r="AW89" s="407">
        <f t="shared" si="299"/>
        <v>23083</v>
      </c>
      <c r="AX89" s="407">
        <f t="shared" ref="AX89:AZ89" si="300">+SUM(AX85:AX88)</f>
        <v>23791</v>
      </c>
      <c r="AY89" s="408">
        <f t="shared" si="300"/>
        <v>23279</v>
      </c>
      <c r="AZ89" s="409">
        <f t="shared" si="300"/>
        <v>24126</v>
      </c>
      <c r="BA89" s="407">
        <f t="shared" ref="BA89:BC89" si="301">+SUM(BA85:BA88)</f>
        <v>31833</v>
      </c>
      <c r="BB89" s="407">
        <f t="shared" si="301"/>
        <v>23563</v>
      </c>
      <c r="BC89" s="408">
        <f t="shared" si="301"/>
        <v>18194</v>
      </c>
      <c r="BD89" s="407">
        <f t="shared" ref="BD89:BG89" si="302">+SUM(BD85:BD88)</f>
        <v>25678</v>
      </c>
      <c r="BE89" s="407">
        <f t="shared" si="302"/>
        <v>27452.893512356601</v>
      </c>
      <c r="BF89" s="407">
        <f t="shared" si="302"/>
        <v>29054.119425873658</v>
      </c>
      <c r="BG89" s="408">
        <f t="shared" si="302"/>
        <v>31359.113077938651</v>
      </c>
      <c r="BH89" s="407">
        <f t="shared" ref="BH89:BK89" si="303">+SUM(BH85:BH88)</f>
        <v>33897.102462382441</v>
      </c>
      <c r="BI89" s="407">
        <f t="shared" si="303"/>
        <v>34991.631228371538</v>
      </c>
      <c r="BJ89" s="407">
        <f t="shared" si="303"/>
        <v>36167.312897508018</v>
      </c>
      <c r="BK89" s="408">
        <f t="shared" si="303"/>
        <v>38339.374073973697</v>
      </c>
      <c r="BL89" s="410"/>
      <c r="BM89" s="411"/>
      <c r="BN89" s="411"/>
      <c r="BO89" s="411"/>
      <c r="BP89" s="411"/>
      <c r="BQ89" s="411"/>
      <c r="BR89" s="411"/>
      <c r="BS89" s="411"/>
      <c r="BT89" s="411"/>
      <c r="BU89" s="411"/>
      <c r="BV89" s="411"/>
      <c r="BW89" s="411"/>
      <c r="BX89" s="411"/>
      <c r="BY89" s="411"/>
      <c r="BZ89" s="411"/>
      <c r="CA89" s="411"/>
      <c r="CB89" s="1211"/>
      <c r="CC89" s="197"/>
      <c r="CD89" s="198"/>
      <c r="CE89" s="198"/>
      <c r="CF89"/>
      <c r="CG89"/>
      <c r="CH89"/>
      <c r="CI89"/>
      <c r="CJ89"/>
      <c r="CK89"/>
    </row>
    <row r="90" spans="1:89" s="121" customFormat="1" ht="14.25" customHeight="1">
      <c r="A90" s="110"/>
      <c r="B90" s="400" t="s">
        <v>219</v>
      </c>
      <c r="C90" s="144"/>
      <c r="D90" s="401">
        <f t="shared" ref="D90:AR90" si="304">+D21</f>
        <v>2140</v>
      </c>
      <c r="E90" s="401">
        <f t="shared" si="304"/>
        <v>2247</v>
      </c>
      <c r="F90" s="401">
        <f t="shared" si="304"/>
        <v>3047</v>
      </c>
      <c r="G90" s="402">
        <f t="shared" si="304"/>
        <v>4135</v>
      </c>
      <c r="H90" s="403">
        <f t="shared" si="304"/>
        <v>3927</v>
      </c>
      <c r="I90" s="401">
        <f t="shared" si="304"/>
        <v>3513</v>
      </c>
      <c r="J90" s="401">
        <f t="shared" si="304"/>
        <v>3085</v>
      </c>
      <c r="K90" s="402">
        <f t="shared" si="304"/>
        <v>4023</v>
      </c>
      <c r="L90" s="403">
        <f t="shared" si="304"/>
        <v>4496</v>
      </c>
      <c r="M90" s="401">
        <f t="shared" si="304"/>
        <v>4346</v>
      </c>
      <c r="N90" s="401">
        <f t="shared" si="304"/>
        <v>4081</v>
      </c>
      <c r="O90" s="402">
        <f t="shared" si="304"/>
        <v>4398</v>
      </c>
      <c r="P90" s="403">
        <f t="shared" si="304"/>
        <v>4473</v>
      </c>
      <c r="Q90" s="401">
        <f t="shared" si="304"/>
        <v>4651</v>
      </c>
      <c r="R90" s="401">
        <f t="shared" si="304"/>
        <v>3820</v>
      </c>
      <c r="S90" s="402">
        <f t="shared" si="304"/>
        <v>2924</v>
      </c>
      <c r="T90" s="403">
        <f t="shared" si="304"/>
        <v>2513</v>
      </c>
      <c r="U90" s="401">
        <f t="shared" si="304"/>
        <v>3002</v>
      </c>
      <c r="V90" s="401">
        <f t="shared" si="304"/>
        <v>3611</v>
      </c>
      <c r="W90" s="402">
        <f t="shared" si="304"/>
        <v>4179</v>
      </c>
      <c r="X90" s="403">
        <f t="shared" si="304"/>
        <v>4326</v>
      </c>
      <c r="Y90" s="401">
        <f t="shared" si="304"/>
        <v>3947</v>
      </c>
      <c r="Z90" s="401">
        <f t="shared" si="304"/>
        <v>3482</v>
      </c>
      <c r="AA90" s="402">
        <f t="shared" si="304"/>
        <v>3026</v>
      </c>
      <c r="AB90" s="403">
        <f t="shared" si="304"/>
        <v>1863</v>
      </c>
      <c r="AC90" s="401">
        <f t="shared" si="304"/>
        <v>992</v>
      </c>
      <c r="AD90" s="401">
        <f t="shared" si="304"/>
        <v>858</v>
      </c>
      <c r="AE90" s="402">
        <f t="shared" si="304"/>
        <v>889</v>
      </c>
      <c r="AF90" s="403">
        <f t="shared" si="304"/>
        <v>498</v>
      </c>
      <c r="AG90" s="401">
        <f t="shared" si="304"/>
        <v>568</v>
      </c>
      <c r="AH90" s="401">
        <f t="shared" si="304"/>
        <v>469</v>
      </c>
      <c r="AI90" s="402">
        <f t="shared" si="304"/>
        <v>493</v>
      </c>
      <c r="AJ90" s="403">
        <f t="shared" si="304"/>
        <v>1309</v>
      </c>
      <c r="AK90" s="401">
        <f t="shared" si="304"/>
        <v>1642</v>
      </c>
      <c r="AL90" s="401">
        <f t="shared" si="304"/>
        <v>1583</v>
      </c>
      <c r="AM90" s="402">
        <f>+AM21</f>
        <v>1473</v>
      </c>
      <c r="AN90" s="403">
        <f>+AN21</f>
        <v>1765</v>
      </c>
      <c r="AO90" s="401">
        <f>+AO21</f>
        <v>2184</v>
      </c>
      <c r="AP90" s="401">
        <f>+AP21</f>
        <v>2153</v>
      </c>
      <c r="AQ90" s="402">
        <f t="shared" si="304"/>
        <v>2023</v>
      </c>
      <c r="AR90" s="403">
        <f t="shared" si="304"/>
        <v>1675</v>
      </c>
      <c r="AS90" s="401">
        <f t="shared" ref="AS90:AW90" si="305">+AS21</f>
        <v>1727</v>
      </c>
      <c r="AT90" s="401">
        <f t="shared" si="305"/>
        <v>1829</v>
      </c>
      <c r="AU90" s="402">
        <f t="shared" si="305"/>
        <v>1891</v>
      </c>
      <c r="AV90" s="403">
        <f t="shared" si="305"/>
        <v>3097</v>
      </c>
      <c r="AW90" s="401">
        <f t="shared" si="305"/>
        <v>3567</v>
      </c>
      <c r="AX90" s="401">
        <f t="shared" ref="AX90:AZ90" si="306">+AX21</f>
        <v>4189</v>
      </c>
      <c r="AY90" s="402">
        <f t="shared" si="306"/>
        <v>4716</v>
      </c>
      <c r="AZ90" s="403">
        <f t="shared" si="306"/>
        <v>5149</v>
      </c>
      <c r="BA90" s="401">
        <f t="shared" ref="BA90:BC90" si="307">+BA21</f>
        <v>4481</v>
      </c>
      <c r="BB90" s="401">
        <f t="shared" si="307"/>
        <v>3844</v>
      </c>
      <c r="BC90" s="402">
        <f t="shared" si="307"/>
        <v>3712</v>
      </c>
      <c r="BD90" s="401">
        <f t="shared" ref="BD90:BG90" si="308">+BD21</f>
        <v>3435</v>
      </c>
      <c r="BE90" s="401">
        <f t="shared" si="308"/>
        <v>3435</v>
      </c>
      <c r="BF90" s="401">
        <f t="shared" si="308"/>
        <v>3435</v>
      </c>
      <c r="BG90" s="402">
        <f t="shared" si="308"/>
        <v>3435</v>
      </c>
      <c r="BH90" s="401">
        <f t="shared" ref="BH90:BK90" si="309">+BH21</f>
        <v>3435</v>
      </c>
      <c r="BI90" s="401">
        <f t="shared" si="309"/>
        <v>3435</v>
      </c>
      <c r="BJ90" s="401">
        <f t="shared" si="309"/>
        <v>3435</v>
      </c>
      <c r="BK90" s="402">
        <f t="shared" si="309"/>
        <v>3435</v>
      </c>
      <c r="BL90" s="404"/>
      <c r="BM90" s="405"/>
      <c r="BN90" s="405"/>
      <c r="BO90" s="405"/>
      <c r="BP90" s="405"/>
      <c r="BQ90" s="405"/>
      <c r="BR90" s="405"/>
      <c r="BS90" s="405"/>
      <c r="BT90" s="405"/>
      <c r="BU90" s="405"/>
      <c r="BV90" s="405"/>
      <c r="BW90" s="405"/>
      <c r="BX90" s="405"/>
      <c r="BY90" s="405"/>
      <c r="BZ90" s="405"/>
      <c r="CA90" s="405"/>
      <c r="CB90" s="1210"/>
      <c r="CC90" s="119"/>
      <c r="CD90" s="120"/>
      <c r="CE90" s="120"/>
      <c r="CF90"/>
      <c r="CG90"/>
      <c r="CH90"/>
      <c r="CI90"/>
      <c r="CJ90"/>
      <c r="CK90"/>
    </row>
    <row r="91" spans="1:89" s="199" customFormat="1" ht="14.25" customHeight="1">
      <c r="A91" s="194"/>
      <c r="B91" s="406" t="s">
        <v>220</v>
      </c>
      <c r="C91" s="128"/>
      <c r="D91" s="407">
        <f>+SUM(D89:D90)</f>
        <v>18842</v>
      </c>
      <c r="E91" s="407">
        <f t="shared" ref="E91:AR91" si="310">+SUM(E89:E90)</f>
        <v>17433</v>
      </c>
      <c r="F91" s="407">
        <f t="shared" si="310"/>
        <v>17500</v>
      </c>
      <c r="G91" s="408">
        <f t="shared" si="310"/>
        <v>17444</v>
      </c>
      <c r="H91" s="409">
        <f t="shared" si="310"/>
        <v>13634</v>
      </c>
      <c r="I91" s="407">
        <f t="shared" si="310"/>
        <v>11760</v>
      </c>
      <c r="J91" s="407">
        <f t="shared" si="310"/>
        <v>11692</v>
      </c>
      <c r="K91" s="408">
        <f t="shared" si="310"/>
        <v>14423</v>
      </c>
      <c r="L91" s="409">
        <f t="shared" si="310"/>
        <v>13879</v>
      </c>
      <c r="M91" s="407">
        <f t="shared" si="310"/>
        <v>15357</v>
      </c>
      <c r="N91" s="407">
        <f t="shared" si="310"/>
        <v>18163</v>
      </c>
      <c r="O91" s="408">
        <f t="shared" si="310"/>
        <v>20748</v>
      </c>
      <c r="P91" s="409">
        <f t="shared" si="310"/>
        <v>18695</v>
      </c>
      <c r="Q91" s="407">
        <f t="shared" si="310"/>
        <v>17256</v>
      </c>
      <c r="R91" s="407">
        <f t="shared" si="310"/>
        <v>16425</v>
      </c>
      <c r="S91" s="408">
        <f t="shared" si="310"/>
        <v>15119</v>
      </c>
      <c r="T91" s="409">
        <f t="shared" si="310"/>
        <v>13524</v>
      </c>
      <c r="U91" s="407">
        <f t="shared" si="310"/>
        <v>15139</v>
      </c>
      <c r="V91" s="407">
        <f t="shared" si="310"/>
        <v>17307</v>
      </c>
      <c r="W91" s="408">
        <f t="shared" si="310"/>
        <v>18872</v>
      </c>
      <c r="X91" s="409">
        <f t="shared" si="310"/>
        <v>21594</v>
      </c>
      <c r="Y91" s="407">
        <f t="shared" si="310"/>
        <v>23166</v>
      </c>
      <c r="Z91" s="407">
        <f t="shared" si="310"/>
        <v>25286</v>
      </c>
      <c r="AA91" s="408">
        <f t="shared" si="310"/>
        <v>25919</v>
      </c>
      <c r="AB91" s="409">
        <f t="shared" si="310"/>
        <v>14821</v>
      </c>
      <c r="AC91" s="407">
        <f t="shared" si="310"/>
        <v>13431</v>
      </c>
      <c r="AD91" s="407">
        <f t="shared" si="310"/>
        <v>16572</v>
      </c>
      <c r="AE91" s="408">
        <f t="shared" si="310"/>
        <v>16288</v>
      </c>
      <c r="AF91" s="409">
        <f t="shared" si="310"/>
        <v>15070</v>
      </c>
      <c r="AG91" s="407">
        <f t="shared" si="310"/>
        <v>14815</v>
      </c>
      <c r="AH91" s="407">
        <f t="shared" si="310"/>
        <v>14858</v>
      </c>
      <c r="AI91" s="408">
        <f t="shared" si="310"/>
        <v>23079</v>
      </c>
      <c r="AJ91" s="409">
        <f t="shared" si="310"/>
        <v>23080</v>
      </c>
      <c r="AK91" s="407">
        <f t="shared" si="310"/>
        <v>24353</v>
      </c>
      <c r="AL91" s="407">
        <f t="shared" si="310"/>
        <v>27243</v>
      </c>
      <c r="AM91" s="408">
        <f t="shared" si="310"/>
        <v>27781</v>
      </c>
      <c r="AN91" s="409">
        <f>+SUM(AN89:AN90)</f>
        <v>26896</v>
      </c>
      <c r="AO91" s="407">
        <f>+SUM(AO89:AO90)</f>
        <v>25539</v>
      </c>
      <c r="AP91" s="407">
        <f>+SUM(AP89:AP90)</f>
        <v>24261</v>
      </c>
      <c r="AQ91" s="408">
        <f t="shared" si="310"/>
        <v>23174</v>
      </c>
      <c r="AR91" s="409">
        <f t="shared" si="310"/>
        <v>22342</v>
      </c>
      <c r="AS91" s="407">
        <f t="shared" ref="AS91:AW91" si="311">+SUM(AS89:AS90)</f>
        <v>22805</v>
      </c>
      <c r="AT91" s="407">
        <f t="shared" si="311"/>
        <v>28290</v>
      </c>
      <c r="AU91" s="408">
        <f t="shared" si="311"/>
        <v>33164</v>
      </c>
      <c r="AV91" s="409">
        <f t="shared" si="311"/>
        <v>24565</v>
      </c>
      <c r="AW91" s="407">
        <f t="shared" si="311"/>
        <v>26650</v>
      </c>
      <c r="AX91" s="407">
        <f t="shared" ref="AX91:AZ91" si="312">+SUM(AX89:AX90)</f>
        <v>27980</v>
      </c>
      <c r="AY91" s="408">
        <f t="shared" si="312"/>
        <v>27995</v>
      </c>
      <c r="AZ91" s="409">
        <f t="shared" si="312"/>
        <v>29275</v>
      </c>
      <c r="BA91" s="407">
        <f t="shared" ref="BA91:BC91" si="313">+SUM(BA89:BA90)</f>
        <v>36314</v>
      </c>
      <c r="BB91" s="407">
        <f t="shared" si="313"/>
        <v>27407</v>
      </c>
      <c r="BC91" s="408">
        <f t="shared" si="313"/>
        <v>21906</v>
      </c>
      <c r="BD91" s="407">
        <f t="shared" ref="BD91:BG91" si="314">+SUM(BD89:BD90)</f>
        <v>29113</v>
      </c>
      <c r="BE91" s="407">
        <f t="shared" si="314"/>
        <v>30887.893512356601</v>
      </c>
      <c r="BF91" s="407">
        <f t="shared" si="314"/>
        <v>32489.119425873658</v>
      </c>
      <c r="BG91" s="408">
        <f t="shared" si="314"/>
        <v>34794.113077938651</v>
      </c>
      <c r="BH91" s="407">
        <f t="shared" ref="BH91:BK91" si="315">+SUM(BH89:BH90)</f>
        <v>37332.102462382441</v>
      </c>
      <c r="BI91" s="407">
        <f t="shared" si="315"/>
        <v>38426.631228371538</v>
      </c>
      <c r="BJ91" s="407">
        <f t="shared" si="315"/>
        <v>39602.312897508018</v>
      </c>
      <c r="BK91" s="408">
        <f t="shared" si="315"/>
        <v>41774.374073973697</v>
      </c>
      <c r="BL91" s="410"/>
      <c r="BM91" s="411"/>
      <c r="BN91" s="411"/>
      <c r="BO91" s="411"/>
      <c r="BP91" s="411"/>
      <c r="BQ91" s="411"/>
      <c r="BR91" s="411"/>
      <c r="BS91" s="411"/>
      <c r="BT91" s="411"/>
      <c r="BU91" s="411"/>
      <c r="BV91" s="411"/>
      <c r="BW91" s="411"/>
      <c r="BX91" s="411"/>
      <c r="BY91" s="411"/>
      <c r="BZ91" s="411"/>
      <c r="CA91" s="411"/>
      <c r="CB91" s="1211"/>
      <c r="CC91" s="197"/>
      <c r="CD91" s="198"/>
      <c r="CE91" s="198"/>
      <c r="CF91"/>
      <c r="CG91"/>
      <c r="CH91"/>
      <c r="CI91"/>
      <c r="CJ91"/>
      <c r="CK91"/>
    </row>
    <row r="92" spans="1:89" ht="14.25" customHeight="1">
      <c r="A92" s="18"/>
      <c r="B92" s="399"/>
      <c r="C92" s="68"/>
      <c r="D92" s="384"/>
      <c r="E92" s="384"/>
      <c r="F92" s="384"/>
      <c r="G92" s="394"/>
      <c r="H92" s="383"/>
      <c r="I92" s="384"/>
      <c r="J92" s="384"/>
      <c r="K92" s="394"/>
      <c r="L92" s="383"/>
      <c r="M92" s="384"/>
      <c r="N92" s="384"/>
      <c r="O92" s="394"/>
      <c r="P92" s="383"/>
      <c r="Q92" s="384"/>
      <c r="R92" s="384"/>
      <c r="S92" s="394"/>
      <c r="T92" s="383"/>
      <c r="U92" s="384"/>
      <c r="V92" s="384"/>
      <c r="W92" s="394"/>
      <c r="X92" s="383"/>
      <c r="Y92" s="384"/>
      <c r="Z92" s="384"/>
      <c r="AA92" s="394"/>
      <c r="AB92" s="383"/>
      <c r="AC92" s="384"/>
      <c r="AD92" s="384"/>
      <c r="AE92" s="394"/>
      <c r="AF92" s="383"/>
      <c r="AG92" s="384"/>
      <c r="AH92" s="384"/>
      <c r="AI92" s="394"/>
      <c r="AJ92" s="383"/>
      <c r="AK92" s="384"/>
      <c r="AL92" s="384"/>
      <c r="AM92" s="394"/>
      <c r="AN92" s="383"/>
      <c r="AO92" s="384"/>
      <c r="AP92" s="384"/>
      <c r="AQ92" s="394"/>
      <c r="AR92" s="383"/>
      <c r="AS92" s="384"/>
      <c r="AT92" s="384"/>
      <c r="AU92" s="394"/>
      <c r="AV92" s="383"/>
      <c r="AW92" s="384"/>
      <c r="AX92" s="384"/>
      <c r="AY92" s="394"/>
      <c r="AZ92" s="383"/>
      <c r="BA92" s="384"/>
      <c r="BB92" s="384"/>
      <c r="BC92" s="394"/>
      <c r="BD92" s="384"/>
      <c r="BE92" s="384"/>
      <c r="BF92" s="384"/>
      <c r="BG92" s="394"/>
      <c r="BH92" s="384"/>
      <c r="BI92" s="384"/>
      <c r="BJ92" s="384"/>
      <c r="BK92" s="394"/>
      <c r="BL92" s="385"/>
      <c r="BM92" s="395"/>
      <c r="BN92" s="395"/>
      <c r="BO92" s="395"/>
      <c r="BP92" s="395"/>
      <c r="BQ92" s="395"/>
      <c r="BR92" s="395"/>
      <c r="BS92" s="395"/>
      <c r="BT92" s="395"/>
      <c r="BU92" s="395"/>
      <c r="BV92" s="395"/>
      <c r="BW92" s="395"/>
      <c r="BX92" s="395"/>
      <c r="BY92" s="395"/>
      <c r="BZ92" s="395"/>
      <c r="CA92" s="395"/>
      <c r="CB92" s="1209"/>
      <c r="CC92" s="37"/>
      <c r="CD92" s="26"/>
      <c r="CE92" s="26"/>
    </row>
    <row r="93" spans="1:89" ht="14.25" customHeight="1">
      <c r="A93" s="18"/>
      <c r="B93" s="297" t="s">
        <v>221</v>
      </c>
      <c r="C93" s="68"/>
      <c r="D93" s="386"/>
      <c r="E93" s="386"/>
      <c r="F93" s="386"/>
      <c r="G93" s="387"/>
      <c r="H93" s="388"/>
      <c r="I93" s="386"/>
      <c r="J93" s="386"/>
      <c r="K93" s="387"/>
      <c r="L93" s="388"/>
      <c r="M93" s="386"/>
      <c r="N93" s="386"/>
      <c r="O93" s="387"/>
      <c r="P93" s="388"/>
      <c r="Q93" s="386"/>
      <c r="R93" s="386"/>
      <c r="S93" s="387"/>
      <c r="T93" s="388"/>
      <c r="U93" s="386"/>
      <c r="V93" s="386"/>
      <c r="W93" s="387"/>
      <c r="X93" s="388"/>
      <c r="Y93" s="386"/>
      <c r="Z93" s="386"/>
      <c r="AA93" s="387"/>
      <c r="AB93" s="388"/>
      <c r="AC93" s="386"/>
      <c r="AD93" s="384">
        <v>8728</v>
      </c>
      <c r="AE93" s="394">
        <v>8931</v>
      </c>
      <c r="AF93" s="383">
        <v>8931</v>
      </c>
      <c r="AG93" s="384">
        <v>8931</v>
      </c>
      <c r="AH93" s="384">
        <v>8931</v>
      </c>
      <c r="AI93" s="394">
        <v>14931</v>
      </c>
      <c r="AJ93" s="383">
        <v>14931</v>
      </c>
      <c r="AK93" s="384">
        <v>14931</v>
      </c>
      <c r="AL93" s="384">
        <v>14931</v>
      </c>
      <c r="AM93" s="394">
        <v>14931</v>
      </c>
      <c r="AN93" s="383">
        <v>14931</v>
      </c>
      <c r="AO93" s="384">
        <v>14931</v>
      </c>
      <c r="AP93" s="384">
        <v>14931</v>
      </c>
      <c r="AQ93" s="394">
        <v>14931</v>
      </c>
      <c r="AR93" s="384">
        <f>AR29+AR38</f>
        <v>13233</v>
      </c>
      <c r="AS93" s="384">
        <f t="shared" ref="AS93:BC93" si="316">AS29+AS38</f>
        <v>13234</v>
      </c>
      <c r="AT93" s="384">
        <f t="shared" si="316"/>
        <v>21188</v>
      </c>
      <c r="AU93" s="384">
        <f t="shared" si="316"/>
        <v>22670</v>
      </c>
      <c r="AV93" s="384">
        <f t="shared" si="316"/>
        <v>25369</v>
      </c>
      <c r="AW93" s="384">
        <f t="shared" si="316"/>
        <v>28613</v>
      </c>
      <c r="AX93" s="384">
        <f t="shared" si="316"/>
        <v>27616</v>
      </c>
      <c r="AY93" s="1169">
        <f t="shared" ref="AY93:AZ93" si="317">AY29+AY38</f>
        <v>25283</v>
      </c>
      <c r="AZ93" s="384">
        <f t="shared" si="317"/>
        <v>25751</v>
      </c>
      <c r="BA93" s="384">
        <f t="shared" si="316"/>
        <v>31985</v>
      </c>
      <c r="BB93" s="384">
        <f t="shared" ref="BB93" si="318">BB29+BB38</f>
        <v>31640</v>
      </c>
      <c r="BC93" s="384">
        <f t="shared" si="316"/>
        <v>26813</v>
      </c>
      <c r="BD93" s="384">
        <f t="shared" ref="BD93:BG93" si="319">BD29+BD38</f>
        <v>28612</v>
      </c>
      <c r="BE93" s="384">
        <f t="shared" si="319"/>
        <v>28612</v>
      </c>
      <c r="BF93" s="384">
        <f t="shared" si="319"/>
        <v>28612</v>
      </c>
      <c r="BG93" s="1169">
        <f t="shared" si="319"/>
        <v>28612</v>
      </c>
      <c r="BH93" s="384">
        <f t="shared" ref="BH93:BK93" si="320">BH29+BH38</f>
        <v>28612</v>
      </c>
      <c r="BI93" s="384">
        <f t="shared" si="320"/>
        <v>28612</v>
      </c>
      <c r="BJ93" s="384">
        <f t="shared" si="320"/>
        <v>28612</v>
      </c>
      <c r="BK93" s="1169">
        <f t="shared" si="320"/>
        <v>28612</v>
      </c>
      <c r="BL93" s="385"/>
      <c r="BM93" s="395"/>
      <c r="BN93" s="395"/>
      <c r="BO93" s="395"/>
      <c r="BP93" s="395"/>
      <c r="BQ93" s="395"/>
      <c r="BR93" s="395"/>
      <c r="BS93" s="395"/>
      <c r="BT93" s="395"/>
      <c r="BU93" s="395"/>
      <c r="BV93" s="395"/>
      <c r="BW93" s="395"/>
      <c r="BX93" s="395"/>
      <c r="BY93" s="395"/>
      <c r="BZ93" s="395"/>
      <c r="CA93" s="395"/>
      <c r="CB93" s="1209"/>
      <c r="CC93" s="37"/>
      <c r="CD93" s="26"/>
      <c r="CE93" s="26"/>
    </row>
    <row r="94" spans="1:89" ht="14.25" customHeight="1">
      <c r="A94" s="18"/>
      <c r="B94" s="412" t="s">
        <v>222</v>
      </c>
      <c r="C94" s="413"/>
      <c r="D94" s="414"/>
      <c r="E94" s="414"/>
      <c r="F94" s="414"/>
      <c r="G94" s="415"/>
      <c r="H94" s="416"/>
      <c r="I94" s="414"/>
      <c r="J94" s="414"/>
      <c r="K94" s="415"/>
      <c r="L94" s="416"/>
      <c r="M94" s="414"/>
      <c r="N94" s="414"/>
      <c r="O94" s="415"/>
      <c r="P94" s="416"/>
      <c r="Q94" s="414"/>
      <c r="R94" s="414"/>
      <c r="S94" s="415"/>
      <c r="T94" s="416"/>
      <c r="U94" s="414"/>
      <c r="V94" s="414"/>
      <c r="W94" s="415"/>
      <c r="X94" s="416"/>
      <c r="Y94" s="414"/>
      <c r="Z94" s="414"/>
      <c r="AA94" s="415"/>
      <c r="AB94" s="416"/>
      <c r="AC94" s="414"/>
      <c r="AD94" s="417">
        <f t="shared" ref="AD94:AQ94" si="321">+AD91-AD93</f>
        <v>7844</v>
      </c>
      <c r="AE94" s="418">
        <f t="shared" si="321"/>
        <v>7357</v>
      </c>
      <c r="AF94" s="419">
        <f t="shared" si="321"/>
        <v>6139</v>
      </c>
      <c r="AG94" s="417">
        <f t="shared" si="321"/>
        <v>5884</v>
      </c>
      <c r="AH94" s="417">
        <f t="shared" si="321"/>
        <v>5927</v>
      </c>
      <c r="AI94" s="418">
        <f t="shared" si="321"/>
        <v>8148</v>
      </c>
      <c r="AJ94" s="419">
        <f t="shared" si="321"/>
        <v>8149</v>
      </c>
      <c r="AK94" s="417">
        <f t="shared" si="321"/>
        <v>9422</v>
      </c>
      <c r="AL94" s="417">
        <f t="shared" si="321"/>
        <v>12312</v>
      </c>
      <c r="AM94" s="418">
        <f t="shared" si="321"/>
        <v>12850</v>
      </c>
      <c r="AN94" s="419">
        <f>+AN91-AN93</f>
        <v>11965</v>
      </c>
      <c r="AO94" s="417">
        <f>+AO91-AO93</f>
        <v>10608</v>
      </c>
      <c r="AP94" s="417">
        <f>+AP91-AP93</f>
        <v>9330</v>
      </c>
      <c r="AQ94" s="418">
        <f t="shared" si="321"/>
        <v>8243</v>
      </c>
      <c r="AR94" s="419">
        <f>+AR91-AR93</f>
        <v>9109</v>
      </c>
      <c r="AS94" s="417">
        <f t="shared" ref="AS94:AW94" si="322">+AS91-AS93</f>
        <v>9571</v>
      </c>
      <c r="AT94" s="417">
        <f t="shared" si="322"/>
        <v>7102</v>
      </c>
      <c r="AU94" s="418">
        <f t="shared" si="322"/>
        <v>10494</v>
      </c>
      <c r="AV94" s="419">
        <f t="shared" si="322"/>
        <v>-804</v>
      </c>
      <c r="AW94" s="417">
        <f t="shared" si="322"/>
        <v>-1963</v>
      </c>
      <c r="AX94" s="417">
        <f t="shared" ref="AX94:AZ94" si="323">+AX91-AX93</f>
        <v>364</v>
      </c>
      <c r="AY94" s="418">
        <f t="shared" si="323"/>
        <v>2712</v>
      </c>
      <c r="AZ94" s="419">
        <f t="shared" si="323"/>
        <v>3524</v>
      </c>
      <c r="BA94" s="417">
        <f t="shared" ref="BA94:BC94" si="324">+BA91-BA93</f>
        <v>4329</v>
      </c>
      <c r="BB94" s="417">
        <f t="shared" si="324"/>
        <v>-4233</v>
      </c>
      <c r="BC94" s="418">
        <f t="shared" si="324"/>
        <v>-4907</v>
      </c>
      <c r="BD94" s="417">
        <f t="shared" ref="BD94:BG94" si="325">+BD91-BD93</f>
        <v>501</v>
      </c>
      <c r="BE94" s="417">
        <f t="shared" si="325"/>
        <v>2275.8935123566007</v>
      </c>
      <c r="BF94" s="417">
        <f t="shared" si="325"/>
        <v>3877.1194258736577</v>
      </c>
      <c r="BG94" s="418">
        <f t="shared" si="325"/>
        <v>6182.1130779386513</v>
      </c>
      <c r="BH94" s="417">
        <f t="shared" ref="BH94:BK94" si="326">+BH91-BH93</f>
        <v>8720.1024623824414</v>
      </c>
      <c r="BI94" s="417">
        <f t="shared" si="326"/>
        <v>9814.6312283715379</v>
      </c>
      <c r="BJ94" s="417">
        <f t="shared" si="326"/>
        <v>10990.312897508018</v>
      </c>
      <c r="BK94" s="418">
        <f t="shared" si="326"/>
        <v>13162.374073973697</v>
      </c>
      <c r="BL94" s="385"/>
      <c r="BM94" s="395"/>
      <c r="BN94" s="395"/>
      <c r="BO94" s="395"/>
      <c r="BP94" s="395"/>
      <c r="BQ94" s="395"/>
      <c r="BR94" s="395"/>
      <c r="BS94" s="395"/>
      <c r="BT94" s="395"/>
      <c r="BU94" s="395"/>
      <c r="BV94" s="395"/>
      <c r="BW94" s="395"/>
      <c r="BX94" s="395"/>
      <c r="BY94" s="395"/>
      <c r="BZ94" s="395"/>
      <c r="CA94" s="395"/>
      <c r="CB94" s="1209"/>
      <c r="CC94" s="37"/>
      <c r="CD94" s="26"/>
      <c r="CE94" s="26"/>
    </row>
    <row r="95" spans="1:89" ht="14.25" customHeight="1">
      <c r="A95" s="18"/>
      <c r="B95" s="297" t="s">
        <v>223</v>
      </c>
      <c r="C95" s="68"/>
      <c r="D95" s="386"/>
      <c r="E95" s="386"/>
      <c r="F95" s="386"/>
      <c r="G95" s="387"/>
      <c r="H95" s="388"/>
      <c r="I95" s="386"/>
      <c r="J95" s="386"/>
      <c r="K95" s="387"/>
      <c r="L95" s="388"/>
      <c r="M95" s="386"/>
      <c r="N95" s="386"/>
      <c r="O95" s="387"/>
      <c r="P95" s="388"/>
      <c r="Q95" s="386"/>
      <c r="R95" s="386"/>
      <c r="S95" s="387"/>
      <c r="T95" s="388"/>
      <c r="U95" s="386"/>
      <c r="V95" s="386"/>
      <c r="W95" s="387"/>
      <c r="X95" s="388"/>
      <c r="Y95" s="386"/>
      <c r="Z95" s="386"/>
      <c r="AA95" s="387"/>
      <c r="AB95" s="388"/>
      <c r="AC95" s="386"/>
      <c r="AD95" s="396">
        <f t="shared" ref="AD95:AR95" si="327">+AD94/AD77</f>
        <v>1.4689138576779026</v>
      </c>
      <c r="AE95" s="397">
        <f t="shared" si="327"/>
        <v>1.4034719572682182</v>
      </c>
      <c r="AF95" s="398">
        <f t="shared" si="327"/>
        <v>1.1823959938366717</v>
      </c>
      <c r="AG95" s="396">
        <f t="shared" si="327"/>
        <v>1.131756106943643</v>
      </c>
      <c r="AH95" s="396">
        <f t="shared" si="327"/>
        <v>1.1502037647972054</v>
      </c>
      <c r="AI95" s="397">
        <f t="shared" si="327"/>
        <v>1.5992149165848872</v>
      </c>
      <c r="AJ95" s="398">
        <f t="shared" si="327"/>
        <v>1.6041338582677165</v>
      </c>
      <c r="AK95" s="396">
        <f>+AK94/AK77</f>
        <v>1.845280062671367</v>
      </c>
      <c r="AL95" s="396">
        <f t="shared" si="327"/>
        <v>2.4141176470588235</v>
      </c>
      <c r="AM95" s="397">
        <f t="shared" si="327"/>
        <v>2.5181265922006664</v>
      </c>
      <c r="AN95" s="398">
        <f>+AN94/AN77</f>
        <v>2.3382841508696504</v>
      </c>
      <c r="AO95" s="396">
        <f>+AO94/AO77</f>
        <v>2.0706617216474723</v>
      </c>
      <c r="AP95" s="396">
        <f>+AP94/AP77</f>
        <v>1.8493557978196233</v>
      </c>
      <c r="AQ95" s="397">
        <f t="shared" si="327"/>
        <v>1.6686234817813765</v>
      </c>
      <c r="AR95" s="398">
        <f t="shared" si="327"/>
        <v>1.8536833536833537</v>
      </c>
      <c r="AS95" s="396">
        <f t="shared" ref="AS95:AW95" si="328">+AS94/AS77</f>
        <v>1.9496842534121002</v>
      </c>
      <c r="AT95" s="396">
        <f t="shared" si="328"/>
        <v>1.4565217391304348</v>
      </c>
      <c r="AU95" s="397">
        <f t="shared" si="328"/>
        <v>2.152173913043478</v>
      </c>
      <c r="AV95" s="398">
        <f t="shared" si="328"/>
        <v>-0.16492307692307692</v>
      </c>
      <c r="AW95" s="396">
        <f t="shared" si="328"/>
        <v>-0.40341142622277026</v>
      </c>
      <c r="AX95" s="396">
        <f t="shared" ref="AX95:AZ95" si="329">+AX94/AX77</f>
        <v>7.4636046750051255E-2</v>
      </c>
      <c r="AY95" s="397">
        <f t="shared" si="329"/>
        <v>0.55562384757221883</v>
      </c>
      <c r="AZ95" s="398">
        <f t="shared" si="329"/>
        <v>0.72198320016390083</v>
      </c>
      <c r="BA95" s="396">
        <f t="shared" ref="BA95:BC95" si="330">+BA94/BA77</f>
        <v>0.89349845201238387</v>
      </c>
      <c r="BB95" s="396">
        <f t="shared" si="330"/>
        <v>-0.87803360298693223</v>
      </c>
      <c r="BC95" s="397">
        <f t="shared" si="330"/>
        <v>-1.0478325859491779</v>
      </c>
      <c r="BD95" s="396">
        <f t="shared" ref="BD95:BG95" si="331">+BD94/BD77</f>
        <v>0.1045929018789144</v>
      </c>
      <c r="BE95" s="396">
        <f t="shared" si="331"/>
        <v>0.47513434495962437</v>
      </c>
      <c r="BF95" s="396">
        <f t="shared" si="331"/>
        <v>0.80941950435775734</v>
      </c>
      <c r="BG95" s="397">
        <f t="shared" si="331"/>
        <v>1.2906290350602612</v>
      </c>
      <c r="BH95" s="396">
        <f t="shared" ref="BH95:BK95" si="332">+BH94/BH77</f>
        <v>1.8204806810819294</v>
      </c>
      <c r="BI95" s="396">
        <f t="shared" si="332"/>
        <v>2.0489835549836197</v>
      </c>
      <c r="BJ95" s="396">
        <f t="shared" si="332"/>
        <v>2.2944285798555359</v>
      </c>
      <c r="BK95" s="397">
        <f t="shared" si="332"/>
        <v>2.7478860279694564</v>
      </c>
      <c r="BL95" s="385"/>
      <c r="BM95" s="395"/>
      <c r="BN95" s="395"/>
      <c r="BO95" s="395"/>
      <c r="BP95" s="395"/>
      <c r="BQ95" s="395"/>
      <c r="BR95" s="395"/>
      <c r="BS95" s="395"/>
      <c r="BT95" s="395"/>
      <c r="BU95" s="395"/>
      <c r="BV95" s="395"/>
      <c r="BW95" s="395"/>
      <c r="BX95" s="395"/>
      <c r="BY95" s="395"/>
      <c r="BZ95" s="395"/>
      <c r="CA95" s="395"/>
      <c r="CB95" s="1209"/>
      <c r="CC95" s="37"/>
      <c r="CD95" s="26"/>
      <c r="CE95" s="26"/>
    </row>
    <row r="96" spans="1:89" ht="14.25" customHeight="1">
      <c r="A96" s="18"/>
      <c r="B96" s="297"/>
      <c r="C96" s="68"/>
      <c r="D96" s="386"/>
      <c r="E96" s="386"/>
      <c r="F96" s="386"/>
      <c r="G96" s="387"/>
      <c r="H96" s="388"/>
      <c r="I96" s="386"/>
      <c r="J96" s="386"/>
      <c r="K96" s="387"/>
      <c r="L96" s="388"/>
      <c r="M96" s="386"/>
      <c r="N96" s="386"/>
      <c r="O96" s="387"/>
      <c r="P96" s="388"/>
      <c r="Q96" s="386"/>
      <c r="R96" s="386"/>
      <c r="S96" s="387"/>
      <c r="T96" s="388"/>
      <c r="U96" s="386"/>
      <c r="V96" s="386"/>
      <c r="W96" s="387"/>
      <c r="X96" s="388"/>
      <c r="Y96" s="386"/>
      <c r="Z96" s="386"/>
      <c r="AA96" s="387"/>
      <c r="AB96" s="388"/>
      <c r="AC96" s="386"/>
      <c r="AD96" s="386"/>
      <c r="AE96" s="387"/>
      <c r="AF96" s="388"/>
      <c r="AG96" s="386"/>
      <c r="AH96" s="386"/>
      <c r="AI96" s="387"/>
      <c r="AJ96" s="388"/>
      <c r="AK96" s="386"/>
      <c r="AL96" s="386"/>
      <c r="AM96" s="387"/>
      <c r="AN96" s="388"/>
      <c r="AO96" s="386"/>
      <c r="AP96" s="386"/>
      <c r="AQ96" s="387"/>
      <c r="AR96" s="388"/>
      <c r="AS96" s="386"/>
      <c r="AT96" s="386"/>
      <c r="AU96" s="387"/>
      <c r="AV96" s="388"/>
      <c r="AW96" s="386"/>
      <c r="AX96" s="386"/>
      <c r="AY96" s="387"/>
      <c r="AZ96" s="388"/>
      <c r="BA96" s="386"/>
      <c r="BB96" s="386"/>
      <c r="BC96" s="387"/>
      <c r="BD96" s="386"/>
      <c r="BE96" s="386"/>
      <c r="BF96" s="386"/>
      <c r="BG96" s="387"/>
      <c r="BH96" s="386"/>
      <c r="BI96" s="386"/>
      <c r="BJ96" s="386"/>
      <c r="BK96" s="387"/>
      <c r="BL96" s="385"/>
      <c r="BM96" s="395"/>
      <c r="BN96" s="395"/>
      <c r="BO96" s="395"/>
      <c r="BP96" s="395"/>
      <c r="BQ96" s="395"/>
      <c r="BR96" s="395"/>
      <c r="BS96" s="395"/>
      <c r="BT96" s="395"/>
      <c r="BU96" s="395"/>
      <c r="BV96" s="395"/>
      <c r="BW96" s="395"/>
      <c r="BX96" s="395"/>
      <c r="BY96" s="395"/>
      <c r="BZ96" s="395"/>
      <c r="CA96" s="395"/>
      <c r="CB96" s="1209"/>
      <c r="CC96" s="37"/>
      <c r="CD96" s="26"/>
      <c r="CE96" s="26"/>
    </row>
    <row r="97" spans="1:83" ht="14.25" customHeight="1">
      <c r="A97" s="18"/>
      <c r="B97" s="389" t="s">
        <v>117</v>
      </c>
      <c r="C97" s="68"/>
      <c r="D97" s="386"/>
      <c r="E97" s="386"/>
      <c r="F97" s="386"/>
      <c r="G97" s="387"/>
      <c r="H97" s="388"/>
      <c r="I97" s="386"/>
      <c r="J97" s="386"/>
      <c r="K97" s="387"/>
      <c r="L97" s="388"/>
      <c r="M97" s="386"/>
      <c r="N97" s="386"/>
      <c r="O97" s="387"/>
      <c r="P97" s="388"/>
      <c r="Q97" s="386"/>
      <c r="R97" s="386"/>
      <c r="S97" s="387"/>
      <c r="T97" s="388"/>
      <c r="U97" s="386"/>
      <c r="V97" s="386"/>
      <c r="W97" s="387"/>
      <c r="X97" s="388"/>
      <c r="Y97" s="386"/>
      <c r="Z97" s="386"/>
      <c r="AA97" s="387"/>
      <c r="AB97" s="388"/>
      <c r="AC97" s="386"/>
      <c r="AD97" s="386"/>
      <c r="AE97" s="387"/>
      <c r="AF97" s="388"/>
      <c r="AG97" s="386"/>
      <c r="AH97" s="386"/>
      <c r="AI97" s="387"/>
      <c r="AJ97" s="388"/>
      <c r="AK97" s="386"/>
      <c r="AL97" s="386"/>
      <c r="AM97" s="387"/>
      <c r="AN97" s="388"/>
      <c r="AO97" s="386"/>
      <c r="AP97" s="386"/>
      <c r="AQ97" s="387"/>
      <c r="AR97" s="388"/>
      <c r="AS97" s="386"/>
      <c r="AT97" s="386"/>
      <c r="AU97" s="387"/>
      <c r="AV97" s="388"/>
      <c r="AW97" s="386"/>
      <c r="AX97" s="386"/>
      <c r="AY97" s="387"/>
      <c r="AZ97" s="388"/>
      <c r="BA97" s="386"/>
      <c r="BB97" s="386"/>
      <c r="BC97" s="387"/>
      <c r="BD97" s="386"/>
      <c r="BE97" s="386"/>
      <c r="BF97" s="386"/>
      <c r="BG97" s="387"/>
      <c r="BH97" s="386"/>
      <c r="BI97" s="386"/>
      <c r="BJ97" s="386"/>
      <c r="BK97" s="387"/>
      <c r="BL97" s="385"/>
      <c r="BM97" s="420"/>
      <c r="BN97" s="420"/>
      <c r="BO97" s="420"/>
      <c r="BP97" s="420"/>
      <c r="BQ97" s="420"/>
      <c r="BR97" s="420"/>
      <c r="BS97" s="420"/>
      <c r="BT97" s="420"/>
      <c r="BU97" s="420"/>
      <c r="BV97" s="420"/>
      <c r="BW97" s="420"/>
      <c r="BX97" s="420"/>
      <c r="BY97" s="420"/>
      <c r="BZ97" s="420"/>
      <c r="CA97" s="420"/>
      <c r="CB97" s="421"/>
      <c r="CC97" s="37"/>
      <c r="CD97" s="26"/>
      <c r="CE97" s="26"/>
    </row>
    <row r="98" spans="1:83" ht="14.25" customHeight="1">
      <c r="A98" s="18"/>
      <c r="B98" s="37" t="s">
        <v>224</v>
      </c>
      <c r="C98" s="26"/>
      <c r="D98" s="26"/>
      <c r="E98" s="26"/>
      <c r="F98" s="26"/>
      <c r="G98" s="422">
        <f>SUM(IS!D89:G89)/AVERAGE(D26:G26)</f>
        <v>0.18263742865725444</v>
      </c>
      <c r="H98" s="423">
        <f>SUM(IS!E89:H89)/AVERAGE(E26:H26)</f>
        <v>0.16565547758222843</v>
      </c>
      <c r="I98" s="424">
        <f>SUM(IS!F89:I89)/AVERAGE(F26:I26)</f>
        <v>0.14162027138593111</v>
      </c>
      <c r="J98" s="424">
        <f>SUM(IS!G89:J89)/AVERAGE(G26:J26)</f>
        <v>0.12726915749982753</v>
      </c>
      <c r="K98" s="422">
        <f>SUM(IS!H89:K89)/AVERAGE(H26:K26)</f>
        <v>0.10703164372297817</v>
      </c>
      <c r="L98" s="423">
        <f>SUM(IS!I89:L89)/AVERAGE(I26:L26)</f>
        <v>0.11202365481645946</v>
      </c>
      <c r="M98" s="424">
        <f>SUM(IS!J89:M89)/AVERAGE(J26:M26)</f>
        <v>0.11769005471681603</v>
      </c>
      <c r="N98" s="424">
        <f>SUM(IS!K89:N89)/AVERAGE(K26:N26)</f>
        <v>0.12383703238100939</v>
      </c>
      <c r="O98" s="422">
        <f>SUM(IS!L89:O89)/AVERAGE(L26:O26)</f>
        <v>0.13432174833927024</v>
      </c>
      <c r="P98" s="423">
        <f>SUM(IS!M89:P89)/AVERAGE(M26:P26)</f>
        <v>0.12775755635185596</v>
      </c>
      <c r="Q98" s="424">
        <f>SUM(IS!N89:Q89)/AVERAGE(N26:Q26)</f>
        <v>0.13253197431796671</v>
      </c>
      <c r="R98" s="424">
        <f>SUM(IS!O89:R89)/AVERAGE(O26:R26)</f>
        <v>0.13689533922642647</v>
      </c>
      <c r="S98" s="422">
        <f>SUM(IS!P89:S89)/AVERAGE(P26:S26)</f>
        <v>0.10117918102603567</v>
      </c>
      <c r="T98" s="423">
        <f>SUM(IS!Q89:T89)/AVERAGE(Q26:T26)</f>
        <v>8.7683571568435481E-2</v>
      </c>
      <c r="U98" s="424">
        <f>SUM(IS!R89:U89)/AVERAGE(R26:U26)</f>
        <v>4.9345853923134723E-2</v>
      </c>
      <c r="V98" s="424">
        <f>SUM(IS!S89:V89)/AVERAGE(S26:V26)</f>
        <v>4.6600343328682001E-2</v>
      </c>
      <c r="W98" s="422">
        <f>SUM(IS!T89:W89)/AVERAGE(T26:W26)</f>
        <v>8.6683928057696702E-2</v>
      </c>
      <c r="X98" s="423">
        <f>SUM(IS!U89:X89)/AVERAGE(U26:X26)</f>
        <v>0.11835826253440229</v>
      </c>
      <c r="Y98" s="424">
        <f>SUM(IS!V89:Y89)/AVERAGE(V26:Y26)</f>
        <v>0.17406173151616833</v>
      </c>
      <c r="Z98" s="424">
        <f>SUM(IS!W89:Z89)/AVERAGE(W26:Z26)</f>
        <v>0.18606453089849304</v>
      </c>
      <c r="AA98" s="422">
        <f>SUM(IS!X89:AA89)/AVERAGE(X26:AA26)</f>
        <v>0.19329112536777412</v>
      </c>
      <c r="AB98" s="423">
        <f>SUM(IS!Y89:AB89)/AVERAGE(Y26:AB26)</f>
        <v>0.1972657752300449</v>
      </c>
      <c r="AC98" s="424">
        <f>SUM(IS!Z89:AC89)/AVERAGE(Z26:AC26)</f>
        <v>0.19182898420218075</v>
      </c>
      <c r="AD98" s="424">
        <f>SUM(IS!AA89:AD89)/AVERAGE(AA26:AD26)</f>
        <v>0.1923595776590373</v>
      </c>
      <c r="AE98" s="422">
        <f>SUM(IS!AB89:AE89)/AVERAGE(AB26:AE26)</f>
        <v>0.18941059818302228</v>
      </c>
      <c r="AF98" s="423">
        <f>SUM(IS!AC89:AF89)/AVERAGE(AC26:AF26)</f>
        <v>0.17912839442584486</v>
      </c>
      <c r="AG98" s="424">
        <f>SUM(IS!AD89:AG89)/AVERAGE(AD26:AG26)</f>
        <v>0.17342629942030305</v>
      </c>
      <c r="AH98" s="424">
        <f>SUM(IS!AE89:AH89)/AVERAGE(AE26:AH26)</f>
        <v>0.16425004055513945</v>
      </c>
      <c r="AI98" s="422">
        <f>SUM(IS!AF89:AI89)/AVERAGE(AF26:AI26)</f>
        <v>0.14529922993388589</v>
      </c>
      <c r="AJ98" s="423">
        <f>SUM(IS!AG89:AJ89)/AVERAGE(AG26:AJ26)</f>
        <v>0.1312681596425514</v>
      </c>
      <c r="AK98" s="424">
        <f>SUM(IS!AH89:AK89)/AVERAGE(AH26:AK26)</f>
        <v>0.1158345952811294</v>
      </c>
      <c r="AL98" s="424">
        <f>SUM(IS!AI89:AL89)/AVERAGE(AI26:AL26)</f>
        <v>0.11014823393841337</v>
      </c>
      <c r="AM98" s="422">
        <f>SUM(IS!AJ89:AM89)/AVERAGE(AJ26:AM26)</f>
        <v>0.10942605352435497</v>
      </c>
      <c r="AN98" s="423">
        <f>SUM(IS!AK89:AN89)/AVERAGE(AK26:AN26)</f>
        <v>0.10546404735618665</v>
      </c>
      <c r="AO98" s="424">
        <f>SUM(IS!AL89:AO89)/AVERAGE(AL26:AO26)</f>
        <v>0.11238455789697628</v>
      </c>
      <c r="AP98" s="424">
        <f>SUM(IS!AM89:AP89)/AVERAGE(AM26:AP26)</f>
        <v>0.11621642967832953</v>
      </c>
      <c r="AQ98" s="422">
        <f>SUM(IS!AN89:AQ89)/AVERAGE(AN26:AQ26)</f>
        <v>0.12764228750596415</v>
      </c>
      <c r="AR98" s="423">
        <f>SUM(IS!AO89:AR89)/AVERAGE(AO26:AR26)</f>
        <v>0.1291515851694113</v>
      </c>
      <c r="AS98" s="424">
        <f>SUM(IS!AP89:AS89)/AVERAGE(AP26:AS26)</f>
        <v>0.12862288905780098</v>
      </c>
      <c r="AT98" s="424">
        <f>SUM(IS!AQ89:AT89)/AVERAGE(AQ26:AT26)</f>
        <v>0.12378901464246585</v>
      </c>
      <c r="AU98" s="422">
        <f>SUM(IS!AR89:AU89)/AVERAGE(AR26:AU26)</f>
        <v>0.11968297635422807</v>
      </c>
      <c r="AV98" s="423">
        <f>SUM(IS!AS89:AV89)/AVERAGE(AS26:AV26)</f>
        <v>0.11543956375636356</v>
      </c>
      <c r="AW98" s="424">
        <f>SUM(IS!AT89:AW89)/AVERAGE(AT26:AW26)</f>
        <v>9.6883057697612227E-2</v>
      </c>
      <c r="AX98" s="424">
        <f>SUM(IS!AU89:AX89)/AVERAGE(AU26:AX26)</f>
        <v>9.6307306423893346E-2</v>
      </c>
      <c r="AY98" s="422">
        <f>SUM(IS!AV89:AY89)/AVERAGE(AV26:AY26)</f>
        <v>9.3602696657759471E-2</v>
      </c>
      <c r="AZ98" s="423">
        <f>SUM(IS!AW89:AZ89)/AVERAGE(AW26:AZ26)</f>
        <v>9.9631282661859819E-2</v>
      </c>
      <c r="BA98" s="424">
        <f>SUM(IS!AX89:BA89)/AVERAGE(AX26:BA26)</f>
        <v>0.10975201759554845</v>
      </c>
      <c r="BB98" s="424">
        <f>SUM(IS!AY89:BB89)/AVERAGE(AY26:BB26)</f>
        <v>0.11585837672794194</v>
      </c>
      <c r="BC98" s="422">
        <f>SUM(IS!AZ89:BC89)/AVERAGE(AZ26:BC26)</f>
        <v>7.8681887840816894E-2</v>
      </c>
      <c r="BD98" s="424">
        <f>SUM(IS!BA89:BD89)/AVERAGE(BA26:BD26)</f>
        <v>8.8543828836021077E-2</v>
      </c>
      <c r="BE98" s="424">
        <f>SUM(IS!BB89:BE89)/AVERAGE(BB26:BE26)</f>
        <v>9.6785768981237474E-2</v>
      </c>
      <c r="BF98" s="424">
        <f>SUM(IS!BC89:BF89)/AVERAGE(BC26:BF26)</f>
        <v>9.8679533809702541E-2</v>
      </c>
      <c r="BG98" s="422">
        <f>SUM(IS!BD89:BG89)/AVERAGE(BD26:BG26)</f>
        <v>0.13862681978304167</v>
      </c>
      <c r="BH98" s="424">
        <f>SUM(IS!BE89:BH89)/AVERAGE(BE26:BH26)</f>
        <v>0.1328457199232102</v>
      </c>
      <c r="BI98" s="424">
        <f>SUM(IS!BF89:BI89)/AVERAGE(BF26:BI26)</f>
        <v>0.13057706372150091</v>
      </c>
      <c r="BJ98" s="424">
        <f>SUM(IS!BG89:BJ89)/AVERAGE(BG26:BJ26)</f>
        <v>0.12763833337032657</v>
      </c>
      <c r="BK98" s="422">
        <f>SUM(IS!BH89:BK89)/AVERAGE(BH26:BK26)</f>
        <v>0.12592773925442768</v>
      </c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26"/>
      <c r="CA98" s="18"/>
      <c r="CB98" s="18"/>
      <c r="CC98" s="26"/>
      <c r="CD98" s="26"/>
      <c r="CE98" s="18"/>
    </row>
    <row r="99" spans="1:83" ht="14.25" customHeight="1">
      <c r="A99" s="18"/>
      <c r="B99" s="37" t="s">
        <v>225</v>
      </c>
      <c r="C99" s="26"/>
      <c r="D99" s="133">
        <f>D26-D9-D10-D11</f>
        <v>31450</v>
      </c>
      <c r="E99" s="133">
        <f t="shared" ref="E99:AR99" si="333">E26-E9-E10-E11</f>
        <v>31689</v>
      </c>
      <c r="F99" s="133">
        <f t="shared" si="333"/>
        <v>33427</v>
      </c>
      <c r="G99" s="425">
        <f t="shared" si="333"/>
        <v>35542</v>
      </c>
      <c r="H99" s="172">
        <f t="shared" si="333"/>
        <v>38075</v>
      </c>
      <c r="I99" s="133">
        <f t="shared" si="333"/>
        <v>38445</v>
      </c>
      <c r="J99" s="133">
        <f t="shared" si="333"/>
        <v>38636</v>
      </c>
      <c r="K99" s="425">
        <f t="shared" si="333"/>
        <v>38366</v>
      </c>
      <c r="L99" s="172">
        <f t="shared" si="333"/>
        <v>39732</v>
      </c>
      <c r="M99" s="133">
        <f t="shared" si="333"/>
        <v>39633</v>
      </c>
      <c r="N99" s="133">
        <f t="shared" si="333"/>
        <v>40018</v>
      </c>
      <c r="O99" s="425">
        <f t="shared" si="333"/>
        <v>40288</v>
      </c>
      <c r="P99" s="172">
        <f t="shared" si="333"/>
        <v>39695</v>
      </c>
      <c r="Q99" s="133">
        <f t="shared" si="333"/>
        <v>40431</v>
      </c>
      <c r="R99" s="133">
        <f t="shared" si="333"/>
        <v>40515</v>
      </c>
      <c r="S99" s="425">
        <f t="shared" si="333"/>
        <v>38872</v>
      </c>
      <c r="T99" s="172">
        <f t="shared" si="333"/>
        <v>37855</v>
      </c>
      <c r="U99" s="133">
        <f t="shared" si="333"/>
        <v>37437</v>
      </c>
      <c r="V99" s="133">
        <f t="shared" si="333"/>
        <v>38066</v>
      </c>
      <c r="W99" s="425">
        <f t="shared" si="333"/>
        <v>39175</v>
      </c>
      <c r="X99" s="172">
        <f t="shared" si="333"/>
        <v>39431</v>
      </c>
      <c r="Y99" s="133">
        <f t="shared" si="333"/>
        <v>39388</v>
      </c>
      <c r="Z99" s="133">
        <f t="shared" si="333"/>
        <v>39838</v>
      </c>
      <c r="AA99" s="425">
        <f t="shared" si="333"/>
        <v>41301</v>
      </c>
      <c r="AB99" s="172">
        <f t="shared" si="333"/>
        <v>53574</v>
      </c>
      <c r="AC99" s="133">
        <f t="shared" si="333"/>
        <v>54542</v>
      </c>
      <c r="AD99" s="133">
        <f t="shared" si="333"/>
        <v>55353</v>
      </c>
      <c r="AE99" s="425">
        <f t="shared" si="333"/>
        <v>56282</v>
      </c>
      <c r="AF99" s="172">
        <f t="shared" si="333"/>
        <v>58064</v>
      </c>
      <c r="AG99" s="133">
        <f t="shared" si="333"/>
        <v>58704</v>
      </c>
      <c r="AH99" s="133">
        <f t="shared" si="333"/>
        <v>63976</v>
      </c>
      <c r="AI99" s="425">
        <f t="shared" si="333"/>
        <v>66189</v>
      </c>
      <c r="AJ99" s="172">
        <f t="shared" si="333"/>
        <v>66010</v>
      </c>
      <c r="AK99" s="133">
        <f t="shared" si="333"/>
        <v>68311</v>
      </c>
      <c r="AL99" s="133">
        <f t="shared" si="333"/>
        <v>71405</v>
      </c>
      <c r="AM99" s="425">
        <f>AM26-AM9-AM10-AM11</f>
        <v>72271</v>
      </c>
      <c r="AN99" s="172">
        <f>AN26-AN9-AN10-AN11</f>
        <v>72886</v>
      </c>
      <c r="AO99" s="133">
        <f>AO26-AO9-AO10-AO11</f>
        <v>74482</v>
      </c>
      <c r="AP99" s="133">
        <f>AP26-AP9-AP10-AP11</f>
        <v>75500</v>
      </c>
      <c r="AQ99" s="425">
        <f t="shared" si="333"/>
        <v>77902</v>
      </c>
      <c r="AR99" s="172">
        <f t="shared" si="333"/>
        <v>75448</v>
      </c>
      <c r="AS99" s="133">
        <f t="shared" ref="AS99:AW99" si="334">AS26-AS9-AS10-AS11</f>
        <v>76622</v>
      </c>
      <c r="AT99" s="133">
        <f t="shared" si="334"/>
        <v>77709</v>
      </c>
      <c r="AU99" s="425">
        <f t="shared" si="334"/>
        <v>77752</v>
      </c>
      <c r="AV99" s="172">
        <f t="shared" si="334"/>
        <v>90376</v>
      </c>
      <c r="AW99" s="133">
        <f t="shared" si="334"/>
        <v>92142</v>
      </c>
      <c r="AX99" s="133">
        <f t="shared" ref="AX99:AZ99" si="335">AX26-AX9-AX10-AX11</f>
        <v>94448</v>
      </c>
      <c r="AY99" s="425">
        <f t="shared" si="335"/>
        <v>96228</v>
      </c>
      <c r="AZ99" s="172">
        <f t="shared" si="335"/>
        <v>98353</v>
      </c>
      <c r="BA99" s="133">
        <f t="shared" ref="BA99:BC99" si="336">BA26-BA9-BA10-BA11</f>
        <v>96178</v>
      </c>
      <c r="BB99" s="133">
        <f t="shared" si="336"/>
        <v>109584</v>
      </c>
      <c r="BC99" s="425">
        <f t="shared" si="336"/>
        <v>109247</v>
      </c>
      <c r="BD99" s="133">
        <f t="shared" ref="BD99:BG99" si="337">BD26-BD9-BD10-BD11</f>
        <v>112399</v>
      </c>
      <c r="BE99" s="133">
        <f t="shared" si="337"/>
        <v>112752.47674296127</v>
      </c>
      <c r="BF99" s="133">
        <f t="shared" si="337"/>
        <v>114988.33501501795</v>
      </c>
      <c r="BG99" s="425">
        <f t="shared" si="337"/>
        <v>116387.49860307852</v>
      </c>
      <c r="BH99" s="133">
        <f t="shared" ref="BH99:BK99" si="338">BH26-BH9-BH10-BH11</f>
        <v>116211.91911190769</v>
      </c>
      <c r="BI99" s="133">
        <f t="shared" si="338"/>
        <v>118067.02008374584</v>
      </c>
      <c r="BJ99" s="133">
        <f t="shared" si="338"/>
        <v>120844.43603209779</v>
      </c>
      <c r="BK99" s="425">
        <f t="shared" si="338"/>
        <v>122522.74609773426</v>
      </c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26"/>
      <c r="CA99" s="18"/>
      <c r="CB99" s="18"/>
      <c r="CC99" s="26"/>
      <c r="CD99" s="26"/>
      <c r="CE99" s="18"/>
    </row>
    <row r="100" spans="1:83" ht="14.25" customHeight="1">
      <c r="A100" s="18"/>
      <c r="B100" s="37"/>
      <c r="C100" s="26"/>
      <c r="D100" s="26"/>
      <c r="E100" s="26"/>
      <c r="F100" s="26"/>
      <c r="G100" s="422"/>
      <c r="H100" s="423"/>
      <c r="I100" s="424"/>
      <c r="J100" s="424"/>
      <c r="K100" s="422"/>
      <c r="L100" s="423"/>
      <c r="M100" s="424"/>
      <c r="N100" s="424"/>
      <c r="O100" s="422"/>
      <c r="P100" s="423"/>
      <c r="Q100" s="424"/>
      <c r="R100" s="424"/>
      <c r="S100" s="422"/>
      <c r="T100" s="423"/>
      <c r="U100" s="424"/>
      <c r="V100" s="424"/>
      <c r="W100" s="422"/>
      <c r="X100" s="423"/>
      <c r="Y100" s="424"/>
      <c r="Z100" s="424"/>
      <c r="AA100" s="422"/>
      <c r="AB100" s="423"/>
      <c r="AC100" s="424"/>
      <c r="AD100" s="424"/>
      <c r="AE100" s="422"/>
      <c r="AF100" s="423"/>
      <c r="AG100" s="424"/>
      <c r="AH100" s="424"/>
      <c r="AI100" s="422"/>
      <c r="AJ100" s="423"/>
      <c r="AK100" s="424"/>
      <c r="AL100" s="424"/>
      <c r="AM100" s="422"/>
      <c r="AN100" s="423"/>
      <c r="AO100" s="424"/>
      <c r="AP100" s="424"/>
      <c r="AQ100" s="422"/>
      <c r="AR100" s="423"/>
      <c r="AS100" s="424"/>
      <c r="AT100" s="424"/>
      <c r="AU100" s="422"/>
      <c r="AV100" s="423"/>
      <c r="AW100" s="424"/>
      <c r="AX100" s="424"/>
      <c r="AY100" s="422"/>
      <c r="AZ100" s="423"/>
      <c r="BA100" s="424"/>
      <c r="BB100" s="424"/>
      <c r="BC100" s="422"/>
      <c r="BD100" s="424"/>
      <c r="BE100" s="424"/>
      <c r="BF100" s="424"/>
      <c r="BG100" s="422"/>
      <c r="BH100" s="424"/>
      <c r="BI100" s="424"/>
      <c r="BJ100" s="424"/>
      <c r="BK100" s="422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26"/>
      <c r="CD100" s="26"/>
      <c r="CE100" s="18"/>
    </row>
    <row r="101" spans="1:83" ht="14.25" customHeight="1">
      <c r="A101" s="18"/>
      <c r="B101" s="37" t="s">
        <v>226</v>
      </c>
      <c r="C101" s="26"/>
      <c r="D101" s="133">
        <f>D42-D9-D10-D11</f>
        <v>21595</v>
      </c>
      <c r="E101" s="133">
        <f t="shared" ref="E101:AR101" si="339">E42-E9-E10-E11</f>
        <v>22790</v>
      </c>
      <c r="F101" s="133">
        <f t="shared" si="339"/>
        <v>22743</v>
      </c>
      <c r="G101" s="425">
        <f t="shared" si="339"/>
        <v>23410</v>
      </c>
      <c r="H101" s="172">
        <f t="shared" si="339"/>
        <v>25239</v>
      </c>
      <c r="I101" s="133">
        <f t="shared" si="339"/>
        <v>27153</v>
      </c>
      <c r="J101" s="133">
        <f t="shared" si="339"/>
        <v>26798</v>
      </c>
      <c r="K101" s="425">
        <f t="shared" si="339"/>
        <v>26750</v>
      </c>
      <c r="L101" s="172">
        <f t="shared" si="339"/>
        <v>28502</v>
      </c>
      <c r="M101" s="133">
        <f t="shared" si="339"/>
        <v>29037</v>
      </c>
      <c r="N101" s="133">
        <f t="shared" si="339"/>
        <v>27881</v>
      </c>
      <c r="O101" s="425">
        <f t="shared" si="339"/>
        <v>27399</v>
      </c>
      <c r="P101" s="172">
        <f t="shared" si="339"/>
        <v>26968</v>
      </c>
      <c r="Q101" s="133">
        <f t="shared" si="339"/>
        <v>28400</v>
      </c>
      <c r="R101" s="133">
        <f t="shared" si="339"/>
        <v>26707</v>
      </c>
      <c r="S101" s="425">
        <f t="shared" si="339"/>
        <v>27245</v>
      </c>
      <c r="T101" s="172">
        <f t="shared" si="339"/>
        <v>28465</v>
      </c>
      <c r="U101" s="133">
        <f t="shared" si="339"/>
        <v>27423</v>
      </c>
      <c r="V101" s="133">
        <f t="shared" si="339"/>
        <v>26103</v>
      </c>
      <c r="W101" s="425">
        <f t="shared" si="339"/>
        <v>27784</v>
      </c>
      <c r="X101" s="172">
        <f t="shared" si="339"/>
        <v>26558</v>
      </c>
      <c r="Y101" s="133">
        <f t="shared" si="339"/>
        <v>27538</v>
      </c>
      <c r="Z101" s="133">
        <f t="shared" si="339"/>
        <v>26946</v>
      </c>
      <c r="AA101" s="425">
        <f t="shared" si="339"/>
        <v>27545</v>
      </c>
      <c r="AB101" s="172">
        <f t="shared" si="339"/>
        <v>35371</v>
      </c>
      <c r="AC101" s="133">
        <f t="shared" si="339"/>
        <v>37176</v>
      </c>
      <c r="AD101" s="133">
        <f t="shared" si="339"/>
        <v>30919</v>
      </c>
      <c r="AE101" s="425">
        <f t="shared" si="339"/>
        <v>31074</v>
      </c>
      <c r="AF101" s="172">
        <f t="shared" si="339"/>
        <v>33007</v>
      </c>
      <c r="AG101" s="133">
        <f t="shared" si="339"/>
        <v>35131</v>
      </c>
      <c r="AH101" s="133">
        <f t="shared" si="339"/>
        <v>38804</v>
      </c>
      <c r="AI101" s="425">
        <f t="shared" si="339"/>
        <v>33041</v>
      </c>
      <c r="AJ101" s="172">
        <f t="shared" si="339"/>
        <v>34121</v>
      </c>
      <c r="AK101" s="133">
        <f t="shared" si="339"/>
        <v>36490</v>
      </c>
      <c r="AL101" s="133">
        <f t="shared" si="339"/>
        <v>36306</v>
      </c>
      <c r="AM101" s="425">
        <f>AM42-AM9-AM10-AM11</f>
        <v>38169</v>
      </c>
      <c r="AN101" s="172">
        <f>AN42-AN9-AN10-AN11</f>
        <v>38992</v>
      </c>
      <c r="AO101" s="133">
        <f>AO42-AO9-AO10-AO11</f>
        <v>41936</v>
      </c>
      <c r="AP101" s="133">
        <f>AP42-AP9-AP10-AP11</f>
        <v>41394</v>
      </c>
      <c r="AQ101" s="425">
        <f t="shared" si="339"/>
        <v>42723</v>
      </c>
      <c r="AR101" s="172">
        <f t="shared" si="339"/>
        <v>41714</v>
      </c>
      <c r="AS101" s="133">
        <f t="shared" ref="AS101:AW101" si="340">AS42-AS9-AS10-AS11</f>
        <v>44730</v>
      </c>
      <c r="AT101" s="133">
        <f t="shared" si="340"/>
        <v>37159</v>
      </c>
      <c r="AU101" s="425">
        <f t="shared" si="340"/>
        <v>36669</v>
      </c>
      <c r="AV101" s="172">
        <f t="shared" si="340"/>
        <v>46977</v>
      </c>
      <c r="AW101" s="133">
        <f t="shared" si="340"/>
        <v>44568</v>
      </c>
      <c r="AX101" s="133">
        <f t="shared" ref="AX101:AZ101" si="341">AX42-AX9-AX10-AX11</f>
        <v>46232</v>
      </c>
      <c r="AY101" s="425">
        <f t="shared" si="341"/>
        <v>50009</v>
      </c>
      <c r="AZ101" s="172">
        <f t="shared" si="341"/>
        <v>50427</v>
      </c>
      <c r="BA101" s="133">
        <f t="shared" ref="BA101:BC101" si="342">BA42-BA9-BA10-BA11</f>
        <v>43570</v>
      </c>
      <c r="BB101" s="133">
        <f t="shared" si="342"/>
        <v>54302</v>
      </c>
      <c r="BC101" s="425">
        <f t="shared" si="342"/>
        <v>55883</v>
      </c>
      <c r="BD101" s="133">
        <f t="shared" ref="BD101:BG101" si="343">BD42-BD9-BD10-BD11</f>
        <v>54769</v>
      </c>
      <c r="BE101" s="133">
        <f t="shared" si="343"/>
        <v>55699.999611922438</v>
      </c>
      <c r="BF101" s="133">
        <f t="shared" si="343"/>
        <v>57697.433749038581</v>
      </c>
      <c r="BG101" s="425">
        <f t="shared" si="343"/>
        <v>59047.357612229694</v>
      </c>
      <c r="BH101" s="133">
        <f t="shared" ref="BH101:BK101" si="344">BH42-BH9-BH10-BH11</f>
        <v>59250.867502365436</v>
      </c>
      <c r="BI101" s="133">
        <f t="shared" si="344"/>
        <v>60973.178760020281</v>
      </c>
      <c r="BJ101" s="133">
        <f t="shared" si="344"/>
        <v>63400.759670718733</v>
      </c>
      <c r="BK101" s="425">
        <f t="shared" si="344"/>
        <v>65052.757061722805</v>
      </c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26"/>
      <c r="CD101" s="26"/>
      <c r="CE101" s="18"/>
    </row>
    <row r="102" spans="1:83" ht="14.25" customHeight="1">
      <c r="A102" s="18"/>
      <c r="B102" s="426" t="s">
        <v>227</v>
      </c>
      <c r="C102" s="427"/>
      <c r="D102" s="427"/>
      <c r="E102" s="427"/>
      <c r="F102" s="427"/>
      <c r="G102" s="428">
        <f>SUM(IS!D89:G89)/AVERAGE(D101:G101)</f>
        <v>0.38277850184452938</v>
      </c>
      <c r="H102" s="429">
        <f>SUM(IS!E89:H89)/AVERAGE(E101:H101)</f>
        <v>0.33309974305068907</v>
      </c>
      <c r="I102" s="430">
        <f>SUM(IS!F89:I89)/AVERAGE(F101:I101)</f>
        <v>0.27155106803998175</v>
      </c>
      <c r="J102" s="430">
        <f>SUM(IS!G89:J89)/AVERAGE(G101:J101)</f>
        <v>0.23376218323586745</v>
      </c>
      <c r="K102" s="428">
        <f>SUM(IS!H89:K89)/AVERAGE(H101:K101)</f>
        <v>0.19044742306966209</v>
      </c>
      <c r="L102" s="429">
        <f>SUM(IS!I89:L89)/AVERAGE(I101:L101)</f>
        <v>0.19497632848914406</v>
      </c>
      <c r="M102" s="430">
        <f>SUM(IS!J89:M89)/AVERAGE(J101:M101)</f>
        <v>0.20582066308388922</v>
      </c>
      <c r="N102" s="430">
        <f>SUM(IS!K89:N89)/AVERAGE(K101:N101)</f>
        <v>0.22130694481590443</v>
      </c>
      <c r="O102" s="428">
        <f>SUM(IS!L89:O89)/AVERAGE(L101:O101)</f>
        <v>0.24733422561802534</v>
      </c>
      <c r="P102" s="429">
        <f>SUM(IS!M89:P89)/AVERAGE(M101:P101)</f>
        <v>0.24380644291683515</v>
      </c>
      <c r="Q102" s="430">
        <f>SUM(IS!N89:Q89)/AVERAGE(N101:Q101)</f>
        <v>0.25688670378136069</v>
      </c>
      <c r="R102" s="430">
        <f>SUM(IS!O89:R89)/AVERAGE(O101:R101)</f>
        <v>0.26778961214534958</v>
      </c>
      <c r="S102" s="428">
        <f>SUM(IS!P89:S89)/AVERAGE(P101:S101)</f>
        <v>0.19363336992316135</v>
      </c>
      <c r="T102" s="429">
        <f>SUM(IS!Q89:T89)/AVERAGE(Q101:T101)</f>
        <v>0.16163585009520201</v>
      </c>
      <c r="U102" s="430">
        <f>SUM(IS!R89:U89)/AVERAGE(R101:U101)</f>
        <v>9.0276766205389658E-2</v>
      </c>
      <c r="V102" s="430">
        <f>SUM(IS!S89:V89)/AVERAGE(S101:V101)</f>
        <v>8.4990296239335017E-2</v>
      </c>
      <c r="W102" s="428">
        <f>SUM(IS!T89:W89)/AVERAGE(T101:W101)</f>
        <v>0.15919836028239581</v>
      </c>
      <c r="X102" s="429">
        <f>SUM(IS!U89:X89)/AVERAGE(U101:X101)</f>
        <v>0.22924314903400453</v>
      </c>
      <c r="Y102" s="430">
        <f>SUM(IS!V89:Y89)/AVERAGE(V101:Y101)</f>
        <v>0.35068483001954009</v>
      </c>
      <c r="Z102" s="430">
        <f>SUM(IS!W89:Z89)/AVERAGE(W101:Z101)</f>
        <v>0.38836307500045947</v>
      </c>
      <c r="AA102" s="428">
        <f>SUM(IS!X89:AA89)/AVERAGE(X101:AA101)</f>
        <v>0.42229732840947809</v>
      </c>
      <c r="AB102" s="429">
        <f>SUM(IS!Y89:AB89)/AVERAGE(Y101:AB101)</f>
        <v>0.4150596252129472</v>
      </c>
      <c r="AC102" s="430">
        <f>SUM(IS!Z89:AC89)/AVERAGE(Z101:AC101)</f>
        <v>0.38567987531289849</v>
      </c>
      <c r="AD102" s="430">
        <f>SUM(IS!AA89:AD89)/AVERAGE(AA101:AD101)</f>
        <v>0.38964667089023058</v>
      </c>
      <c r="AE102" s="428">
        <f>SUM(IS!AB89:AE89)/AVERAGE(AB101:AE101)</f>
        <v>0.38477776126059166</v>
      </c>
      <c r="AF102" s="429">
        <f>SUM(IS!AC89:AF89)/AVERAGE(AC101:AF101)</f>
        <v>0.37888875438808861</v>
      </c>
      <c r="AG102" s="430">
        <f>SUM(IS!AD89:AG89)/AVERAGE(AD101:AG101)</f>
        <v>0.38093920741406734</v>
      </c>
      <c r="AH102" s="430">
        <f>SUM(IS!AE89:AH89)/AVERAGE(AE101:AH101)</f>
        <v>0.34480060282865754</v>
      </c>
      <c r="AI102" s="428">
        <f>SUM(IS!AF89:AI89)/AVERAGE(AF101:AI101)</f>
        <v>0.31446675667759655</v>
      </c>
      <c r="AJ102" s="429">
        <f>SUM(IS!AG89:AJ89)/AVERAGE(AG101:AJ101)</f>
        <v>0.2923378952068435</v>
      </c>
      <c r="AK102" s="430">
        <f>SUM(IS!AH89:AK89)/AVERAGE(AH101:AK101)</f>
        <v>0.2663278485988656</v>
      </c>
      <c r="AL102" s="430">
        <f>SUM(IS!AI89:AL89)/AVERAGE(AI101:AL101)</f>
        <v>0.27045256434073078</v>
      </c>
      <c r="AM102" s="428">
        <f>SUM(IS!AJ89:AM89)/AVERAGE(AJ101:AM101)</f>
        <v>0.26522200625835712</v>
      </c>
      <c r="AN102" s="429">
        <f>SUM(IS!AK89:AN89)/AVERAGE(AK101:AN101)</f>
        <v>0.25353934794641131</v>
      </c>
      <c r="AO102" s="430">
        <f>SUM(IS!AL89:AO89)/AVERAGE(AL101:AO101)</f>
        <v>0.26514288655946155</v>
      </c>
      <c r="AP102" s="430">
        <f>SUM(IS!AM89:AP89)/AVERAGE(AM101:AP101)</f>
        <v>0.2658840682655102</v>
      </c>
      <c r="AQ102" s="428">
        <f>SUM(IS!AN89:AQ89)/AVERAGE(AN101:AQ101)</f>
        <v>0.28365597261352965</v>
      </c>
      <c r="AR102" s="429">
        <f>SUM(IS!AO89:AR89)/AVERAGE(AO101:AR101)</f>
        <v>0.28053192820995787</v>
      </c>
      <c r="AS102" s="430">
        <f>SUM(IS!AP89:AS89)/AVERAGE(AP101:AS101)</f>
        <v>0.27382578666869917</v>
      </c>
      <c r="AT102" s="430">
        <f>SUM(IS!AQ89:AT89)/AVERAGE(AQ101:AT101)</f>
        <v>0.27579572646489425</v>
      </c>
      <c r="AU102" s="428">
        <f>SUM(IS!AR89:AU89)/AVERAGE(AR101:AU101)</f>
        <v>0.28501547369471897</v>
      </c>
      <c r="AV102" s="429">
        <f>SUM(IS!AS89:AV89)/AVERAGE(AS101:AV101)</f>
        <v>0.27725858579756546</v>
      </c>
      <c r="AW102" s="430">
        <f>SUM(IS!AT89:AW89)/AVERAGE(AT101:AW101)</f>
        <v>0.24424785182587241</v>
      </c>
      <c r="AX102" s="430">
        <f>SUM(IS!AU89:AX89)/AVERAGE(AU101:AX101)</f>
        <v>0.23771252995196221</v>
      </c>
      <c r="AY102" s="428">
        <f>SUM(IS!AV89:AY89)/AVERAGE(AV101:AY101)</f>
        <v>0.21973949069685705</v>
      </c>
      <c r="AZ102" s="429">
        <f>SUM(IS!AW89:AZ89)/AVERAGE(AW101:AZ101)</f>
        <v>0.23497667803133301</v>
      </c>
      <c r="BA102" s="430">
        <f>SUM(IS!AX89:BA89)/AVERAGE(AX101:BA101)</f>
        <v>0.26728624144492691</v>
      </c>
      <c r="BB102" s="430">
        <f>SUM(IS!AY89:BB89)/AVERAGE(AY101:BB101)</f>
        <v>0.27936341448655627</v>
      </c>
      <c r="BC102" s="428">
        <f>SUM(IS!AZ89:BC89)/AVERAGE(AZ101:BC101)</f>
        <v>0.18808709876482746</v>
      </c>
      <c r="BD102" s="430">
        <f>SUM(IS!BA89:BD89)/AVERAGE(BA101:BD101)</f>
        <v>0.21275248892213847</v>
      </c>
      <c r="BE102" s="430">
        <f>SUM(IS!BB89:BE89)/AVERAGE(BB101:BE101)</f>
        <v>0.22355171709496141</v>
      </c>
      <c r="BF102" s="430">
        <f>SUM(IS!BC89:BF89)/AVERAGE(BC101:BF101)</f>
        <v>0.22776325712654363</v>
      </c>
      <c r="BG102" s="428">
        <f>SUM(IS!BD89:BG89)/AVERAGE(BD101:BG101)</f>
        <v>0.32467178354230114</v>
      </c>
      <c r="BH102" s="430">
        <f>SUM(IS!BE89:BH89)/AVERAGE(BE101:BH101)</f>
        <v>0.31201237146451888</v>
      </c>
      <c r="BI102" s="430">
        <f>SUM(IS!BF89:BI89)/AVERAGE(BF101:BI101)</f>
        <v>0.30694204430359534</v>
      </c>
      <c r="BJ102" s="430">
        <f>SUM(IS!BG89:BJ89)/AVERAGE(BG101:BJ101)</f>
        <v>0.29980409994435425</v>
      </c>
      <c r="BK102" s="428">
        <f>SUM(IS!BH89:BK89)/AVERAGE(BH101:BK101)</f>
        <v>0.2952846766623653</v>
      </c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26"/>
      <c r="CD102" s="26"/>
      <c r="CE102" s="18"/>
    </row>
    <row r="103" spans="1:83" ht="14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26"/>
      <c r="CD103" s="26"/>
      <c r="CE103" s="18"/>
    </row>
    <row r="104" spans="1:83" ht="14.2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26"/>
      <c r="CD104" s="26"/>
      <c r="CE104" s="18"/>
    </row>
    <row r="105" spans="1:83" ht="14.2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26"/>
      <c r="CD105" s="26"/>
      <c r="CE105" s="18"/>
    </row>
    <row r="106" spans="1:83" ht="14.2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26"/>
      <c r="CD106" s="26"/>
      <c r="CE106" s="18"/>
    </row>
    <row r="107" spans="1:83" ht="14.2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431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26"/>
      <c r="CD107" s="26"/>
      <c r="CE107" s="18"/>
    </row>
    <row r="108" spans="1:83" ht="14.2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431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26"/>
      <c r="CD108" s="26"/>
      <c r="CE108" s="18"/>
    </row>
    <row r="109" spans="1:83" ht="14.2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26"/>
      <c r="CD109" s="26"/>
      <c r="CE109" s="18"/>
    </row>
    <row r="110" spans="1:83" ht="14.2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26"/>
      <c r="CD110" s="26"/>
      <c r="CE110" s="18"/>
    </row>
    <row r="111" spans="1:83" ht="14.2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26"/>
      <c r="CD111" s="26"/>
      <c r="CE111" s="18"/>
    </row>
    <row r="112" spans="1:83" ht="14.2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26"/>
      <c r="CD112" s="26"/>
      <c r="CE112" s="18"/>
    </row>
    <row r="113" spans="1:83" ht="14.25" customHeight="1">
      <c r="AS113"/>
      <c r="AT113"/>
      <c r="AU113"/>
      <c r="AV113"/>
      <c r="AW113"/>
      <c r="AZ113"/>
      <c r="BA113"/>
      <c r="BB113"/>
      <c r="BC113"/>
      <c r="BD113"/>
      <c r="BE113"/>
      <c r="BF113"/>
      <c r="BG113"/>
      <c r="BH113"/>
      <c r="BI113"/>
      <c r="BJ113"/>
      <c r="BK113"/>
      <c r="CB113"/>
      <c r="CC113"/>
      <c r="CD113"/>
    </row>
    <row r="114" spans="1:83" ht="14.25" customHeight="1">
      <c r="A114" s="18"/>
      <c r="B114" s="257" t="s">
        <v>155</v>
      </c>
      <c r="C114" s="257"/>
      <c r="D114" s="258" t="str">
        <f>IS!D116</f>
        <v>A</v>
      </c>
      <c r="E114" s="258" t="str">
        <f>IS!E116</f>
        <v>A</v>
      </c>
      <c r="F114" s="258" t="str">
        <f>IS!F116</f>
        <v>A</v>
      </c>
      <c r="G114" s="258" t="str">
        <f>IS!G116</f>
        <v>A</v>
      </c>
      <c r="H114" s="258" t="str">
        <f>IS!H116</f>
        <v>A</v>
      </c>
      <c r="I114" s="258" t="str">
        <f>IS!I116</f>
        <v>A</v>
      </c>
      <c r="J114" s="258" t="str">
        <f>IS!J116</f>
        <v>A</v>
      </c>
      <c r="K114" s="258" t="str">
        <f>IS!K116</f>
        <v>A</v>
      </c>
      <c r="L114" s="258" t="str">
        <f>IS!L116</f>
        <v>A</v>
      </c>
      <c r="M114" s="258" t="str">
        <f>IS!M116</f>
        <v>A</v>
      </c>
      <c r="N114" s="258" t="str">
        <f>IS!N116</f>
        <v>A</v>
      </c>
      <c r="O114" s="258" t="str">
        <f>IS!O116</f>
        <v>A</v>
      </c>
      <c r="P114" s="258" t="str">
        <f>IS!P116</f>
        <v>A</v>
      </c>
      <c r="Q114" s="258" t="str">
        <f>IS!Q116</f>
        <v>A</v>
      </c>
      <c r="R114" s="258" t="str">
        <f>IS!R116</f>
        <v>A</v>
      </c>
      <c r="S114" s="258" t="str">
        <f>IS!S116</f>
        <v>A</v>
      </c>
      <c r="T114" s="258" t="str">
        <f>IS!T116</f>
        <v>A</v>
      </c>
      <c r="U114" s="258" t="str">
        <f>IS!U116</f>
        <v>A</v>
      </c>
      <c r="V114" s="258" t="str">
        <f>IS!V116</f>
        <v>A</v>
      </c>
      <c r="W114" s="258" t="str">
        <f>IS!W116</f>
        <v>A</v>
      </c>
      <c r="X114" s="258" t="str">
        <f>IS!X116</f>
        <v>A</v>
      </c>
      <c r="Y114" s="258" t="str">
        <f>IS!Y116</f>
        <v>A</v>
      </c>
      <c r="Z114" s="258" t="str">
        <f>IS!Z116</f>
        <v>A</v>
      </c>
      <c r="AA114" s="258" t="str">
        <f>IS!AA116</f>
        <v>A</v>
      </c>
      <c r="AB114" s="258" t="str">
        <f>IS!AB116</f>
        <v>A</v>
      </c>
      <c r="AC114" s="258" t="e">
        <f>IS!AC116</f>
        <v>#NAME?</v>
      </c>
      <c r="AD114" s="258" t="e">
        <f>IS!AD116</f>
        <v>#NAME?</v>
      </c>
      <c r="AE114" s="258" t="e">
        <f>IS!AE116</f>
        <v>#NAME?</v>
      </c>
      <c r="AF114" s="258" t="e">
        <f>IS!AF116</f>
        <v>#NAME?</v>
      </c>
      <c r="AG114" s="258" t="e">
        <f>IS!AG116</f>
        <v>#NAME?</v>
      </c>
      <c r="AH114" s="258" t="e">
        <f>IS!AH116</f>
        <v>#NAME?</v>
      </c>
      <c r="AI114" s="258" t="e">
        <f>IS!AI116</f>
        <v>#NAME?</v>
      </c>
      <c r="AJ114" s="258" t="e">
        <f>IS!AJ116</f>
        <v>#NAME?</v>
      </c>
      <c r="AK114" s="258" t="e">
        <f>IS!AK116</f>
        <v>#NAME?</v>
      </c>
      <c r="AL114" s="258" t="e">
        <f>IS!AL116</f>
        <v>#NAME?</v>
      </c>
      <c r="AM114" s="258" t="e">
        <f>IS!AM116</f>
        <v>#NAME?</v>
      </c>
      <c r="AN114" s="258" t="e">
        <f>IS!AN116</f>
        <v>#NAME?</v>
      </c>
      <c r="AO114" s="258" t="e">
        <f>IS!AO116</f>
        <v>#NAME?</v>
      </c>
      <c r="AP114" s="258" t="e">
        <f>IS!AP116</f>
        <v>#NAME?</v>
      </c>
      <c r="AQ114" s="258" t="e">
        <f>IS!AQ116</f>
        <v>#NAME?</v>
      </c>
      <c r="AR114" s="258" t="e">
        <f>IS!AR116</f>
        <v>#NAME?</v>
      </c>
      <c r="AS114" s="258" t="e">
        <f>IS!AS116</f>
        <v>#NAME?</v>
      </c>
      <c r="AT114" s="258" t="e">
        <f>IS!AT116</f>
        <v>#NAME?</v>
      </c>
      <c r="AU114" s="258" t="e">
        <f>IS!AU116</f>
        <v>#NAME?</v>
      </c>
      <c r="AV114" s="258" t="e">
        <f>IS!AV116</f>
        <v>#NAME?</v>
      </c>
      <c r="AW114" s="258" t="e">
        <f>IS!AW116</f>
        <v>#NAME?</v>
      </c>
      <c r="AX114" s="258" t="e">
        <f>IS!AX116</f>
        <v>#NAME?</v>
      </c>
      <c r="AY114" s="258" t="e">
        <f>IS!AY116</f>
        <v>#NAME?</v>
      </c>
      <c r="AZ114" s="258" t="e">
        <f>IS!AZ116</f>
        <v>#NAME?</v>
      </c>
      <c r="BA114" s="258" t="e">
        <f>IS!BA116</f>
        <v>#NAME?</v>
      </c>
      <c r="BB114" s="258" t="e">
        <f>IS!BB116</f>
        <v>#NAME?</v>
      </c>
      <c r="BC114" s="258" t="e">
        <f>IS!BC116</f>
        <v>#NAME?</v>
      </c>
      <c r="BD114" s="258" t="e">
        <f>IS!BD116</f>
        <v>#NAME?</v>
      </c>
      <c r="BE114" s="258" t="e">
        <f>IS!BE116</f>
        <v>#NAME?</v>
      </c>
      <c r="BF114" s="258" t="e">
        <f>IS!BF116</f>
        <v>#NAME?</v>
      </c>
      <c r="BG114" s="258" t="e">
        <f>IS!BG116</f>
        <v>#NAME?</v>
      </c>
      <c r="BH114" s="258" t="e">
        <f>IS!BH116</f>
        <v>#NAME?</v>
      </c>
      <c r="BI114" s="258" t="e">
        <f>IS!BI116</f>
        <v>#NAME?</v>
      </c>
      <c r="BJ114" s="258" t="e">
        <f>IS!BJ116</f>
        <v>#NAME?</v>
      </c>
      <c r="BK114" s="258" t="e">
        <f>IS!BK116</f>
        <v>#NAME?</v>
      </c>
      <c r="BL114" s="258"/>
      <c r="BM114" s="258" t="e">
        <f>IS!BM116</f>
        <v>#NAME?</v>
      </c>
      <c r="BN114" s="258" t="e">
        <f>IS!BN116</f>
        <v>#NAME?</v>
      </c>
      <c r="BO114" s="258" t="e">
        <f>IS!BO116</f>
        <v>#NAME?</v>
      </c>
      <c r="BP114" s="258" t="e">
        <f>IS!BP116</f>
        <v>#NAME?</v>
      </c>
      <c r="BQ114" s="258" t="e">
        <f>IS!BQ116</f>
        <v>#NAME?</v>
      </c>
      <c r="BR114" s="258" t="e">
        <f>IS!BR116</f>
        <v>#NAME?</v>
      </c>
      <c r="BS114" s="258" t="e">
        <f>IS!BS116</f>
        <v>#NAME?</v>
      </c>
      <c r="BT114" s="258" t="e">
        <f>IS!BT116</f>
        <v>#NAME?</v>
      </c>
      <c r="BU114" s="258" t="e">
        <f>IS!BU116</f>
        <v>#NAME?</v>
      </c>
      <c r="BV114" s="258" t="e">
        <f>IS!BV116</f>
        <v>#NAME?</v>
      </c>
      <c r="BW114" s="258" t="e">
        <f>IS!BW116</f>
        <v>#NAME?</v>
      </c>
      <c r="BX114" s="258" t="e">
        <f>IS!BX116</f>
        <v>#NAME?</v>
      </c>
      <c r="BY114" s="258" t="e">
        <f>IS!BY116</f>
        <v>#NAME?</v>
      </c>
      <c r="BZ114" s="258" t="e">
        <f>IS!BZ116</f>
        <v>#NAME?</v>
      </c>
      <c r="CA114" s="258" t="e">
        <f>IS!CA116</f>
        <v>#NAME?</v>
      </c>
      <c r="CB114" s="258" t="e">
        <f>IS!CB116</f>
        <v>#NAME?</v>
      </c>
      <c r="CC114" s="26"/>
      <c r="CD114" s="26"/>
      <c r="CE114" s="18"/>
    </row>
    <row r="115" spans="1:83" ht="14.25" customHeight="1" outlineLevel="1">
      <c r="A115" s="18"/>
      <c r="B115" s="201" t="s">
        <v>228</v>
      </c>
      <c r="C115" s="201"/>
      <c r="D115" s="432" t="s">
        <v>229</v>
      </c>
      <c r="E115" s="432" t="s">
        <v>229</v>
      </c>
      <c r="F115" s="432" t="s">
        <v>229</v>
      </c>
      <c r="G115" s="432" t="s">
        <v>229</v>
      </c>
      <c r="H115" s="432" t="s">
        <v>229</v>
      </c>
      <c r="I115" s="432" t="s">
        <v>229</v>
      </c>
      <c r="J115" s="432" t="s">
        <v>229</v>
      </c>
      <c r="K115" s="432" t="s">
        <v>229</v>
      </c>
      <c r="L115" s="432" t="s">
        <v>229</v>
      </c>
      <c r="M115" s="432" t="s">
        <v>229</v>
      </c>
      <c r="N115" s="432" t="s">
        <v>229</v>
      </c>
      <c r="O115" s="432" t="s">
        <v>229</v>
      </c>
      <c r="P115" s="432" t="s">
        <v>229</v>
      </c>
      <c r="Q115" s="432" t="s">
        <v>229</v>
      </c>
      <c r="R115" s="432" t="s">
        <v>229</v>
      </c>
      <c r="S115" s="432" t="s">
        <v>229</v>
      </c>
      <c r="T115" s="432" t="s">
        <v>229</v>
      </c>
      <c r="U115" s="432" t="s">
        <v>229</v>
      </c>
      <c r="V115" s="432" t="s">
        <v>229</v>
      </c>
      <c r="W115" s="432" t="s">
        <v>229</v>
      </c>
      <c r="X115" s="432" t="s">
        <v>229</v>
      </c>
      <c r="Y115" s="432" t="s">
        <v>229</v>
      </c>
      <c r="Z115" s="432" t="s">
        <v>229</v>
      </c>
      <c r="AA115" s="432" t="s">
        <v>229</v>
      </c>
      <c r="AB115" s="432" t="s">
        <v>229</v>
      </c>
      <c r="AC115" s="432" t="s">
        <v>229</v>
      </c>
      <c r="AD115" s="432" t="s">
        <v>229</v>
      </c>
      <c r="AE115" s="432" t="s">
        <v>229</v>
      </c>
      <c r="AF115" s="432" t="s">
        <v>229</v>
      </c>
      <c r="AG115" s="432" t="s">
        <v>229</v>
      </c>
      <c r="AH115" s="432" t="s">
        <v>229</v>
      </c>
      <c r="AI115" s="432" t="s">
        <v>229</v>
      </c>
      <c r="AJ115" s="432" t="s">
        <v>229</v>
      </c>
      <c r="AK115" s="432" t="s">
        <v>229</v>
      </c>
      <c r="AL115" s="432" t="s">
        <v>229</v>
      </c>
      <c r="AM115" s="432" t="s">
        <v>229</v>
      </c>
      <c r="AN115" s="432" t="s">
        <v>229</v>
      </c>
      <c r="AO115" s="432" t="s">
        <v>229</v>
      </c>
      <c r="AP115" s="432" t="s">
        <v>229</v>
      </c>
      <c r="AQ115" s="432" t="s">
        <v>229</v>
      </c>
      <c r="AR115" s="432" t="s">
        <v>229</v>
      </c>
      <c r="AS115" s="432" t="s">
        <v>229</v>
      </c>
      <c r="AT115" s="432" t="s">
        <v>229</v>
      </c>
      <c r="AU115" s="432" t="s">
        <v>229</v>
      </c>
      <c r="AV115" s="432" t="s">
        <v>229</v>
      </c>
      <c r="AW115" s="432" t="s">
        <v>229</v>
      </c>
      <c r="AX115" s="432" t="s">
        <v>229</v>
      </c>
      <c r="AY115" s="432" t="s">
        <v>229</v>
      </c>
      <c r="AZ115" s="432" t="s">
        <v>229</v>
      </c>
      <c r="BA115" s="432" t="s">
        <v>229</v>
      </c>
      <c r="BB115" s="432" t="s">
        <v>229</v>
      </c>
      <c r="BC115" s="432" t="s">
        <v>229</v>
      </c>
      <c r="BD115" s="432" t="s">
        <v>229</v>
      </c>
      <c r="BE115" s="432" t="s">
        <v>229</v>
      </c>
      <c r="BF115" s="432" t="s">
        <v>229</v>
      </c>
      <c r="BG115" s="432" t="s">
        <v>229</v>
      </c>
      <c r="BH115" s="432" t="s">
        <v>229</v>
      </c>
      <c r="BI115" s="432" t="s">
        <v>229</v>
      </c>
      <c r="BJ115" s="432" t="s">
        <v>229</v>
      </c>
      <c r="BK115" s="432" t="s">
        <v>229</v>
      </c>
      <c r="BL115" s="18"/>
      <c r="BM115" s="432" t="s">
        <v>229</v>
      </c>
      <c r="BN115" s="432" t="s">
        <v>229</v>
      </c>
      <c r="BO115" s="432" t="s">
        <v>229</v>
      </c>
      <c r="BP115" s="432" t="s">
        <v>229</v>
      </c>
      <c r="BQ115" s="432" t="s">
        <v>229</v>
      </c>
      <c r="BR115" s="432" t="s">
        <v>229</v>
      </c>
      <c r="BS115" s="432" t="s">
        <v>229</v>
      </c>
      <c r="BT115" s="432" t="s">
        <v>229</v>
      </c>
      <c r="BU115" s="432" t="s">
        <v>229</v>
      </c>
      <c r="BV115" s="432" t="s">
        <v>229</v>
      </c>
      <c r="BW115" s="432" t="s">
        <v>229</v>
      </c>
      <c r="BX115" s="432" t="s">
        <v>229</v>
      </c>
      <c r="BY115" s="432" t="s">
        <v>229</v>
      </c>
      <c r="BZ115" s="432" t="s">
        <v>229</v>
      </c>
      <c r="CA115" s="432" t="s">
        <v>229</v>
      </c>
      <c r="CB115" s="432" t="s">
        <v>229</v>
      </c>
      <c r="CC115" s="26"/>
      <c r="CD115" s="26"/>
      <c r="CE115" s="18"/>
    </row>
    <row r="116" spans="1:83" ht="14.25" customHeight="1">
      <c r="A116" s="18"/>
      <c r="B116" s="201" t="s">
        <v>230</v>
      </c>
      <c r="C116" s="201"/>
      <c r="D116" s="433">
        <f>D65-C65+D68-C68-D63+C63-IS!D80+C61-D61</f>
        <v>35453</v>
      </c>
      <c r="E116" s="433">
        <f>E65-D65+E68-D68-E63+D63-IS!E80+D61-E61</f>
        <v>-2108</v>
      </c>
      <c r="F116" s="433">
        <f>F65-E65+F68-E68-F63+E63-IS!F80+E61-F61</f>
        <v>-3024</v>
      </c>
      <c r="G116" s="433">
        <f>G65-F65+G68-F68-G63+F63-IS!G80+F61-G61</f>
        <v>-2930</v>
      </c>
      <c r="H116" s="433">
        <f>H65-G65+H68-G68-H63+G63-IS!H80+G61-H61</f>
        <v>-3219</v>
      </c>
      <c r="I116" s="433">
        <f>I65-H65+I68-H68-I63+H63-IS!I80+H61-I61</f>
        <v>-473</v>
      </c>
      <c r="J116" s="433">
        <f>J65-I65+J68-I68-J63+I63-IS!J80+I61-J61</f>
        <v>-1057</v>
      </c>
      <c r="K116" s="433">
        <f>K65-J65+K68-J68-K63+J63-IS!K80+J61-K61</f>
        <v>459</v>
      </c>
      <c r="L116" s="433">
        <f>L65-K65+L68-K68-L63+K63-IS!L80+K61-L61</f>
        <v>-827</v>
      </c>
      <c r="M116" s="433">
        <f>M65-L65+M68-L68-M63+L63-IS!M80+L61-M61</f>
        <v>898</v>
      </c>
      <c r="N116" s="433">
        <f>N65-M65+N68-M68-N63+M63-IS!N80+M61-N61</f>
        <v>-915</v>
      </c>
      <c r="O116" s="433">
        <f>O65-N65+O68-N68-O63+N63-IS!O80+N61-O61</f>
        <v>-440</v>
      </c>
      <c r="P116" s="433">
        <f>P65-O65+P68-O68-P63+O63-IS!P80+O61-P61</f>
        <v>-3356</v>
      </c>
      <c r="Q116" s="433">
        <f>Q65-P65+Q68-P68-Q63+P63-IS!Q80+P61-Q61</f>
        <v>-1957</v>
      </c>
      <c r="R116" s="433">
        <f>R65-Q65+R68-Q68-R63+Q63-IS!R80+Q61-R61</f>
        <v>-3199</v>
      </c>
      <c r="S116" s="433">
        <f>S65-R65+S68-R68-S63+R63-IS!S80+R61-S61</f>
        <v>200</v>
      </c>
      <c r="T116" s="433">
        <f>T65-S65+T68-S68-T63+S63-IS!T80+S61-T61</f>
        <v>-656</v>
      </c>
      <c r="U116" s="433">
        <f>U65-T65+U68-T68-U63+T63-IS!U80+T61-U61</f>
        <v>144</v>
      </c>
      <c r="V116" s="433">
        <f>V65-U65+V68-U68-V63+U63-IS!V80+U61-V61</f>
        <v>-2256</v>
      </c>
      <c r="W116" s="433">
        <f>W65-V65+W68-V68-W63+V63-IS!W80+V61-W61</f>
        <v>229</v>
      </c>
      <c r="X116" s="433">
        <f>X65-W65+X68-W68-X63+W63-IS!X80+W61-X61</f>
        <v>-1267</v>
      </c>
      <c r="Y116" s="433">
        <f>Y65-X65+Y68-X68-Y63+X63-IS!Y80+X61-Y61</f>
        <v>237</v>
      </c>
      <c r="Z116" s="433">
        <f>Z65-Y65+Z68-Y68-Z63+Y63-IS!Z80+Y61-Z61</f>
        <v>-1400</v>
      </c>
      <c r="AA116" s="433">
        <f>AA65-Z65+AA68-Z68-AA63+Z63-IS!AA80+Z61-AA61</f>
        <v>-1248</v>
      </c>
      <c r="AB116" s="433">
        <f>AB65-AA65+AB68-AA68-AB63+AA63-IS!AB80+AA61-AB61</f>
        <v>-5389</v>
      </c>
      <c r="AC116" s="433">
        <f>AC65-AB65+AC68-AB68-AC63+AB63-IS!AC80+AB61-AC61</f>
        <v>-1565</v>
      </c>
      <c r="AD116" s="433">
        <f>AD65-AC65+AD68-AC68-AD63+AC63-IS!AD80+AC61-AD61</f>
        <v>-5576</v>
      </c>
      <c r="AE116" s="433">
        <f>AE65-AD65+AE68-AD68-AE63+AD63-IS!AE80+AD61-AE61</f>
        <v>-2817</v>
      </c>
      <c r="AF116" s="433">
        <f>AF65-AE65+AF68-AE68-AF63+AE63-IS!AF80+AE61-AF61</f>
        <v>-2066</v>
      </c>
      <c r="AG116" s="433">
        <f>AG65-AF65+AG68-AF68-AG63+AF63-IS!AG80+AF61-AG61</f>
        <v>-555</v>
      </c>
      <c r="AH116" s="433">
        <f>AH65-AG65+AH68-AG68-AH63+AG63-IS!AH80+AG61-AH61</f>
        <v>-2838</v>
      </c>
      <c r="AI116" s="433">
        <f>AI65-AH65+AI68-AH68-AI63+AH63-IS!AI80+AH61-AI61</f>
        <v>-636</v>
      </c>
      <c r="AJ116" s="433">
        <f>AJ65-AI65+AJ68-AI68-AJ63+AI63-IS!AJ80+AI61-AJ61</f>
        <v>-2043</v>
      </c>
      <c r="AK116" s="433">
        <f>AK65-AJ65+AK68-AJ68-AK63+AJ63-IS!AK80+AJ61-AK61</f>
        <v>91</v>
      </c>
      <c r="AL116" s="433">
        <f>AL65-AK65+AL68-AK68-AL63+AK63-IS!AL80+AK61-AL61</f>
        <v>-2241</v>
      </c>
      <c r="AM116" s="433">
        <f>AM65-AL65+AM68-AL68-AM63+AL63-IS!AM80+AL61-AM61</f>
        <v>-16</v>
      </c>
      <c r="AN116" s="433">
        <f>AN65-AM65+AN68-AM68-AN63+AM63-IS!AN80+AM61-AN61</f>
        <v>-2061</v>
      </c>
      <c r="AO116" s="433">
        <f>AO65-AN65+AO68-AN68-AO63+AN63-IS!AO80+AN61-AO61</f>
        <v>-1551</v>
      </c>
      <c r="AP116" s="433">
        <f>AP65-AO65+AP68-AO68-AP63+AO63-IS!AP80+AO61-AP61</f>
        <v>-7098</v>
      </c>
      <c r="AQ116" s="433">
        <f>AQ65-AP65+AQ68-AP68-AQ63+AP63-IS!AQ80+AP61-AQ61</f>
        <v>-1896</v>
      </c>
      <c r="AR116" s="433">
        <f>AR65-AQ65+AR68-AQ68-AR63+AQ63-IS!AR80+AQ61-AR61</f>
        <v>-2339</v>
      </c>
      <c r="AS116" s="433">
        <f>AS65-AR65+AS68-AR68-AS63+AR63-IS!AS80+AR61-AS61</f>
        <v>-515</v>
      </c>
      <c r="AT116" s="433">
        <f>AT65-AS65+AT68-AS68-AT63+AS63-IS!AT80+AS61-AT61</f>
        <v>-2727</v>
      </c>
      <c r="AU116" s="433">
        <f>AU65-AT65+AU68-AT68-AU63+AT63-IS!AU80+AT61-AU61</f>
        <v>-28</v>
      </c>
      <c r="AV116" s="433">
        <f>AV65-AU65+AV68-AU68-AV63+AU63-IS!AV80+AU61-AV61</f>
        <v>-2460</v>
      </c>
      <c r="AW116" s="433">
        <f>AW65-AV65+AW68-AV68-AW63+AV63-IS!AW80+AV61-AW61</f>
        <v>-501</v>
      </c>
      <c r="AX116" s="433">
        <f>AX65-AW65+AX68-AW68-AX63+AW63-IS!AX80+AW61-AX61</f>
        <v>-2114</v>
      </c>
      <c r="AY116" s="433">
        <f>AY65-AX65+AY68-AX68-AY63+AX63-IS!AY80+AX61-AY61</f>
        <v>-161</v>
      </c>
      <c r="AZ116" s="433">
        <f>AZ65-AY65+AZ68-AY68-AZ63+AY63-IS!AZ80+AY61-AZ61</f>
        <v>-3107</v>
      </c>
      <c r="BA116" s="433">
        <f>BA65-AZ65+BA68-AZ68-BA63+AZ63-IS!BA80+AZ61-BA61</f>
        <v>-1342</v>
      </c>
      <c r="BB116" s="433">
        <f>BB65-BA65+BB68-BA68-BB63+BA63-IS!BB80+BA61-BB61</f>
        <v>-2645</v>
      </c>
      <c r="BC116" s="433">
        <f>BC65-BB65+BC68-BB68-BC63+BB63-IS!BC80+BB61-BC61</f>
        <v>-486</v>
      </c>
      <c r="BD116" s="433">
        <f>BD65-BC65+BD68-BC68-BD63+BC63-IS!BD80+BC61-BD61</f>
        <v>-1828</v>
      </c>
      <c r="BE116" s="433">
        <f>BE65-BD65+BE68-BD68-BE63+BD63-IS!BE80+BD61-BE61</f>
        <v>-1343.0020000000027</v>
      </c>
      <c r="BF116" s="433">
        <f>BF65-BE65+BF68-BE68-BF63+BE63-IS!BF80+BE61-BF61</f>
        <v>-1343.0020000000004</v>
      </c>
      <c r="BG116" s="433">
        <f>BG65-BF65+BG68-BF68-BG63+BF63-IS!BG80+BF61-BG61</f>
        <v>-1343.0020000000004</v>
      </c>
      <c r="BH116" s="433">
        <f>BH65-BG65+BH68-BG68-BH63+BG63-IS!BH80+BG61-BH61</f>
        <v>-1343.0020000000031</v>
      </c>
      <c r="BI116" s="433">
        <f>BI65-BH65+BI68-BH68-BI63+BH63-IS!BI80+BH61-BI61</f>
        <v>-1343.0019999999995</v>
      </c>
      <c r="BJ116" s="433">
        <f>BJ65-BI65+BJ68-BI68-BJ63+BI63-IS!BJ80+BI61-BJ61</f>
        <v>-1343.0019999999968</v>
      </c>
      <c r="BK116" s="433">
        <f>BK65-BJ65+BK68-BJ68-BK63+BJ63-IS!BK80+BJ61-BK61</f>
        <v>-1343.001999999995</v>
      </c>
      <c r="BL116" s="18"/>
      <c r="BM116" s="434">
        <f>BM65-BL65+BM68-BL68-BM63+BL63-IS!BM80+BL61-BM61</f>
        <v>27391</v>
      </c>
      <c r="BN116" s="434">
        <f>BN65-BM65+BN68-BM68-BN63+BM63-IS!BN80+BM61-BN61</f>
        <v>-4290</v>
      </c>
      <c r="BO116" s="434">
        <f>BO65-BN65+BO68-BN68-BO63+BN63-IS!BO80+BN61-BO61</f>
        <v>-1284</v>
      </c>
      <c r="BP116" s="434">
        <f>BP65-BO65+BP68-BO68-BP63+BO63-IS!BP80+BO61-BP61</f>
        <v>-8312</v>
      </c>
      <c r="BQ116" s="434">
        <f>BQ65-BP65+BQ68-BP68-BQ63+BP63-IS!BQ80+BP61-BQ61</f>
        <v>-2539</v>
      </c>
      <c r="BR116" s="434">
        <f>BR65-BQ65+BR68-BQ68-BR63+BQ63-IS!BR80+BQ61-BR61</f>
        <v>-3678</v>
      </c>
      <c r="BS116" s="434">
        <f>BS65-BR65+BS68-BR68-BS63+BR63-IS!BS80+BR61-BS61</f>
        <v>-15347</v>
      </c>
      <c r="BT116" s="434">
        <f>BT65-BS65+BT68-BS68-BT63+BS63-IS!BT80+BS61-BT61</f>
        <v>-6095</v>
      </c>
      <c r="BU116" s="434">
        <f>BU65-BT65+BU68-BT68-BU63+BT63-IS!BU80+BT61-BU61</f>
        <v>-4209</v>
      </c>
      <c r="BV116" s="434">
        <f>BV65-BU65+BV68-BU68-BV63+BU63-IS!BV80+BU61-BV61</f>
        <v>-12606</v>
      </c>
      <c r="BW116" s="434">
        <f>BW65-BV65+BW68-BV68-BW63+BV63-IS!BW80+BV61-BW61</f>
        <v>-5609</v>
      </c>
      <c r="BX116" s="434">
        <f>BX65-BW65+BX68-BW68-BX63+BW63-IS!BX80+BW61-BX61</f>
        <v>-5236</v>
      </c>
      <c r="BY116" s="434">
        <f>BY65-BX65+BY68-BX68-BY63+BX63-IS!BY80+BX61-BY61</f>
        <v>-7580</v>
      </c>
      <c r="BZ116" s="434">
        <f>BZ65-BY65+BZ68-BY68-BZ63+BY63-IS!BZ80+BY61-BZ61</f>
        <v>-5857.0060000000085</v>
      </c>
      <c r="CA116" s="434">
        <f>CA65-BZ65+CA68-BZ68-CA63+BZ63-IS!CA80+BZ61-CA61</f>
        <v>-5372.0079999999871</v>
      </c>
      <c r="CB116" s="434">
        <f>CB65-CA65+CB68-CA68-CB63+CA63-IS!CB80+CA61-CB61</f>
        <v>-5498.6800000000039</v>
      </c>
      <c r="CC116" s="26"/>
      <c r="CD116" s="26"/>
      <c r="CE116" s="18"/>
    </row>
  </sheetData>
  <conditionalFormatting sqref="B4">
    <cfRule type="cellIs" dxfId="5" priority="1" stopIfTrue="1" operator="equal">
      <formula>"Bear Case"</formula>
    </cfRule>
    <cfRule type="cellIs" dxfId="4" priority="2" stopIfTrue="1" operator="equal">
      <formula>"Bull Case"</formula>
    </cfRule>
    <cfRule type="cellIs" dxfId="3" priority="3" stopIfTrue="1" operator="equal">
      <formula>"Base Case"</formula>
    </cfRule>
  </conditionalFormatting>
  <pageMargins left="0" right="0" top="0" bottom="0" header="0" footer="0"/>
  <pageSetup paperSize="5" scale="43" orientation="landscape" r:id="rId1"/>
  <headerFooter alignWithMargins="0"/>
  <rowBreaks count="1" manualBreakCount="1">
    <brk id="57" min="1" max="74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7"/>
    <pageSetUpPr fitToPage="1"/>
  </sheetPr>
  <dimension ref="A1:CO189"/>
  <sheetViews>
    <sheetView topLeftCell="A4" zoomScale="85" zoomScaleNormal="85" workbookViewId="0">
      <pane xSplit="2" ySplit="4" topLeftCell="AZ8" activePane="bottomRight" state="frozen"/>
      <selection activeCell="BI53" sqref="BI53"/>
      <selection pane="topRight" activeCell="BI53" sqref="BI53"/>
      <selection pane="bottomLeft" activeCell="BI53" sqref="BI53"/>
      <selection pane="bottomRight" activeCell="B5" sqref="B5"/>
    </sheetView>
  </sheetViews>
  <sheetFormatPr defaultRowHeight="14.25" customHeight="1" outlineLevelRow="1" outlineLevelCol="1"/>
  <cols>
    <col min="1" max="1" width="1.7109375" customWidth="1"/>
    <col min="2" max="2" width="56" customWidth="1"/>
    <col min="3" max="3" width="1.7109375" hidden="1" customWidth="1" outlineLevel="1"/>
    <col min="4" max="31" width="11.42578125" hidden="1" customWidth="1" outlineLevel="1"/>
    <col min="32" max="32" width="11.42578125" hidden="1" customWidth="1" outlineLevel="1" collapsed="1"/>
    <col min="33" max="35" width="11.42578125" hidden="1" customWidth="1" outlineLevel="1"/>
    <col min="36" max="36" width="11.42578125" hidden="1" customWidth="1" outlineLevel="1" collapsed="1"/>
    <col min="37" max="41" width="11.42578125" hidden="1" customWidth="1" outlineLevel="1"/>
    <col min="42" max="42" width="11.28515625" hidden="1" customWidth="1" outlineLevel="1"/>
    <col min="43" max="43" width="11.42578125" hidden="1" customWidth="1" outlineLevel="1"/>
    <col min="44" max="44" width="11.42578125" hidden="1" customWidth="1" outlineLevel="1" collapsed="1"/>
    <col min="45" max="45" width="11.42578125" style="692" hidden="1" customWidth="1" outlineLevel="1"/>
    <col min="46" max="46" width="11.28515625" style="693" hidden="1" customWidth="1" outlineLevel="1"/>
    <col min="47" max="47" width="11.42578125" hidden="1" customWidth="1" outlineLevel="1"/>
    <col min="48" max="48" width="11.42578125" style="706" hidden="1" customWidth="1" outlineLevel="1"/>
    <col min="49" max="49" width="11.42578125" style="988" hidden="1" customWidth="1" outlineLevel="1"/>
    <col min="50" max="51" width="11.42578125" hidden="1" customWidth="1" outlineLevel="1"/>
    <col min="52" max="52" width="11.42578125" style="974" customWidth="1" collapsed="1"/>
    <col min="53" max="55" width="11.42578125" style="974" customWidth="1"/>
    <col min="56" max="59" width="11.42578125" style="1060" customWidth="1"/>
    <col min="60" max="63" width="11.42578125" style="1167" customWidth="1"/>
    <col min="64" max="64" width="2.7109375" customWidth="1"/>
    <col min="65" max="69" width="11.42578125" hidden="1" customWidth="1" outlineLevel="1"/>
    <col min="70" max="70" width="11.42578125" hidden="1" customWidth="1" outlineLevel="1" collapsed="1"/>
    <col min="71" max="71" width="12" hidden="1" customWidth="1" outlineLevel="1"/>
    <col min="72" max="72" width="11.42578125" hidden="1" customWidth="1" outlineLevel="1"/>
    <col min="73" max="73" width="11.42578125" hidden="1" customWidth="1" outlineLevel="1" collapsed="1"/>
    <col min="74" max="76" width="11.42578125" hidden="1" customWidth="1" outlineLevel="1"/>
    <col min="77" max="77" width="11.42578125" customWidth="1" collapsed="1"/>
    <col min="78" max="78" width="11.42578125" style="1170" customWidth="1"/>
    <col min="79" max="79" width="11.42578125" style="1179" customWidth="1"/>
    <col min="80" max="80" width="11.42578125" hidden="1" customWidth="1" outlineLevel="1"/>
    <col min="81" max="81" width="11.42578125" style="260" customWidth="1" collapsed="1"/>
    <col min="82" max="83" width="11.42578125" style="260" customWidth="1"/>
    <col min="84" max="84" width="20" customWidth="1"/>
    <col min="91" max="93" width="9.140625" style="611"/>
  </cols>
  <sheetData>
    <row r="1" spans="1:83" ht="67.5" customHeight="1">
      <c r="A1" s="1"/>
      <c r="B1" s="261"/>
      <c r="C1" s="1"/>
      <c r="D1" s="3"/>
      <c r="E1" s="1"/>
      <c r="F1" s="3"/>
      <c r="G1" s="1"/>
      <c r="H1" s="3"/>
      <c r="I1" s="1"/>
      <c r="J1" s="3"/>
      <c r="K1" s="1"/>
      <c r="L1" s="3"/>
      <c r="M1" s="1"/>
      <c r="N1" s="3"/>
      <c r="O1" s="1"/>
      <c r="P1" s="3"/>
      <c r="Q1" s="1"/>
      <c r="R1" s="3"/>
      <c r="S1" s="1"/>
      <c r="T1" s="3"/>
      <c r="U1" s="1"/>
      <c r="V1" s="3"/>
      <c r="W1" s="1"/>
      <c r="X1" s="3"/>
      <c r="Y1" s="1"/>
      <c r="Z1" s="3"/>
      <c r="AA1" s="1"/>
      <c r="AB1" s="3"/>
      <c r="AC1" s="1"/>
      <c r="AD1" s="3"/>
      <c r="AE1" s="1"/>
      <c r="AF1" s="3"/>
      <c r="AG1" s="1"/>
      <c r="AH1" s="3"/>
      <c r="AI1" s="1"/>
      <c r="AJ1" s="3"/>
      <c r="AK1" s="1"/>
      <c r="AL1" s="3"/>
      <c r="AM1" s="1"/>
      <c r="AN1" s="3"/>
      <c r="AO1" s="1"/>
      <c r="AP1" s="3"/>
      <c r="AQ1" s="1"/>
      <c r="AR1" s="3"/>
      <c r="AS1" s="1"/>
      <c r="AT1" s="3"/>
      <c r="AU1" s="1"/>
      <c r="AV1" s="3"/>
      <c r="AW1" s="1"/>
      <c r="AX1" s="3"/>
      <c r="AY1" s="1"/>
      <c r="AZ1" s="3"/>
      <c r="BA1" s="1"/>
      <c r="BB1" s="3"/>
      <c r="BC1" s="1"/>
      <c r="BD1" s="1"/>
      <c r="BE1" s="1"/>
      <c r="BF1" s="1"/>
      <c r="BG1" s="1"/>
      <c r="BH1" s="1"/>
      <c r="BI1" s="1"/>
      <c r="BJ1" s="1"/>
      <c r="BK1" s="1"/>
      <c r="BL1" s="3"/>
      <c r="BM1" s="3"/>
      <c r="BN1" s="1"/>
      <c r="BO1" s="3"/>
      <c r="BP1" s="1"/>
      <c r="BQ1" s="3"/>
      <c r="BR1" s="1"/>
      <c r="BS1" s="3"/>
      <c r="BT1" s="1"/>
      <c r="BU1" s="3"/>
      <c r="BV1" s="1"/>
      <c r="BW1" s="1"/>
      <c r="BX1" s="1"/>
      <c r="BY1" s="3"/>
      <c r="BZ1" s="3"/>
      <c r="CA1" s="3"/>
      <c r="CB1" s="1"/>
      <c r="CC1" s="9"/>
      <c r="CD1" s="9"/>
      <c r="CE1" s="9"/>
    </row>
    <row r="2" spans="1:83" ht="18" customHeight="1">
      <c r="A2" s="1"/>
      <c r="B2" s="5" t="s">
        <v>0</v>
      </c>
      <c r="C2" s="5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5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9"/>
      <c r="CD2" s="9"/>
      <c r="CE2" s="9"/>
    </row>
    <row r="3" spans="1:8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3"/>
      <c r="AE3" s="13"/>
      <c r="AF3" s="13"/>
      <c r="AG3" s="13"/>
      <c r="AH3" s="13"/>
      <c r="AI3" s="15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9"/>
      <c r="CD3" s="9"/>
      <c r="CE3" s="9"/>
    </row>
    <row r="4" spans="1:83" ht="14.25" customHeight="1">
      <c r="A4" s="1"/>
      <c r="B4" s="263" t="s">
        <v>289</v>
      </c>
      <c r="C4" s="26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5"/>
      <c r="AE4" s="15"/>
      <c r="AF4" s="15"/>
      <c r="AG4" s="15"/>
      <c r="AH4" s="1"/>
      <c r="AI4" s="15"/>
      <c r="AJ4" s="1"/>
      <c r="AK4" s="1"/>
      <c r="AL4" s="1"/>
      <c r="AM4" s="1"/>
      <c r="AN4" s="695"/>
      <c r="AO4" s="695"/>
      <c r="AP4" s="695"/>
      <c r="AQ4" s="695"/>
      <c r="AR4" s="695"/>
      <c r="AS4" s="695"/>
      <c r="AT4" s="695"/>
      <c r="AU4" s="695"/>
      <c r="AV4" s="695"/>
      <c r="AW4" s="695"/>
      <c r="AX4" s="1"/>
      <c r="AY4" s="1"/>
      <c r="AZ4" s="695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9"/>
      <c r="CD4" s="9"/>
      <c r="CE4" s="9"/>
    </row>
    <row r="5" spans="1:83" ht="14.25" customHeight="1">
      <c r="A5" s="18"/>
      <c r="B5" s="265"/>
      <c r="C5" s="20"/>
      <c r="D5" s="266" t="str">
        <f>BS!D5</f>
        <v>C1Q05A</v>
      </c>
      <c r="E5" s="267" t="str">
        <f>BS!E5</f>
        <v>C2Q05A</v>
      </c>
      <c r="F5" s="267" t="str">
        <f>BS!F5</f>
        <v>C3Q05A</v>
      </c>
      <c r="G5" s="268" t="str">
        <f>BS!G5</f>
        <v>C4Q05A</v>
      </c>
      <c r="H5" s="266" t="str">
        <f>BS!H5</f>
        <v>C1Q06A</v>
      </c>
      <c r="I5" s="267" t="str">
        <f>BS!I5</f>
        <v>C2Q06A</v>
      </c>
      <c r="J5" s="267" t="str">
        <f>BS!J5</f>
        <v>C3Q06A</v>
      </c>
      <c r="K5" s="268" t="str">
        <f>BS!K5</f>
        <v>C4Q06A</v>
      </c>
      <c r="L5" s="266" t="str">
        <f>BS!L5</f>
        <v>C1Q07A</v>
      </c>
      <c r="M5" s="267" t="str">
        <f>BS!M5</f>
        <v>C2Q07A</v>
      </c>
      <c r="N5" s="267" t="str">
        <f>BS!N5</f>
        <v>C3Q07A</v>
      </c>
      <c r="O5" s="268" t="str">
        <f>BS!O5</f>
        <v>C4Q07A</v>
      </c>
      <c r="P5" s="266" t="str">
        <f>BS!P5</f>
        <v>C1Q08A</v>
      </c>
      <c r="Q5" s="267" t="str">
        <f>BS!Q5</f>
        <v>C2Q08A</v>
      </c>
      <c r="R5" s="267" t="str">
        <f>BS!R5</f>
        <v>C3Q08A</v>
      </c>
      <c r="S5" s="268" t="str">
        <f>BS!S5</f>
        <v>C4Q08A</v>
      </c>
      <c r="T5" s="266" t="str">
        <f>BS!T5</f>
        <v>C1Q09A</v>
      </c>
      <c r="U5" s="267" t="str">
        <f>BS!U5</f>
        <v>C2Q09A</v>
      </c>
      <c r="V5" s="267" t="str">
        <f>BS!V5</f>
        <v>C3Q09A</v>
      </c>
      <c r="W5" s="268" t="str">
        <f>BS!W5</f>
        <v>C4Q09A</v>
      </c>
      <c r="X5" s="266" t="str">
        <f>BS!X5</f>
        <v>C1Q10A</v>
      </c>
      <c r="Y5" s="267" t="str">
        <f>BS!Y5</f>
        <v>C2Q10A</v>
      </c>
      <c r="Z5" s="267" t="str">
        <f>BS!Z5</f>
        <v>C3Q10A</v>
      </c>
      <c r="AA5" s="268" t="str">
        <f>BS!AA5</f>
        <v>C4Q10A</v>
      </c>
      <c r="AB5" s="266" t="str">
        <f>BS!AB5</f>
        <v>C1Q11A</v>
      </c>
      <c r="AC5" s="267" t="str">
        <f>BS!AC5</f>
        <v>C2Q11A</v>
      </c>
      <c r="AD5" s="267" t="str">
        <f>BS!AD5</f>
        <v>C3Q11A</v>
      </c>
      <c r="AE5" s="268" t="str">
        <f>BS!AE5</f>
        <v>C4Q11A</v>
      </c>
      <c r="AF5" s="266" t="str">
        <f>BS!AF5</f>
        <v>C1Q12A</v>
      </c>
      <c r="AG5" s="267" t="str">
        <f>BS!AG5</f>
        <v>C2Q12A</v>
      </c>
      <c r="AH5" s="267" t="str">
        <f>BS!AH5</f>
        <v>C3Q12A</v>
      </c>
      <c r="AI5" s="268" t="str">
        <f>BS!AI5</f>
        <v>C4Q12A</v>
      </c>
      <c r="AJ5" s="266" t="str">
        <f>BS!AJ5</f>
        <v>C1Q13A</v>
      </c>
      <c r="AK5" s="267" t="str">
        <f>BS!AK5</f>
        <v>C2Q13A</v>
      </c>
      <c r="AL5" s="267" t="str">
        <f>BS!AL5</f>
        <v>C3Q13A</v>
      </c>
      <c r="AM5" s="268" t="str">
        <f>BS!AM5</f>
        <v>C4Q13A</v>
      </c>
      <c r="AN5" s="266" t="str">
        <f>BS!AN5</f>
        <v>C1Q14A</v>
      </c>
      <c r="AO5" s="267" t="str">
        <f>BS!AO5</f>
        <v>C2Q14A</v>
      </c>
      <c r="AP5" s="267" t="str">
        <f>BS!AP5</f>
        <v>C3Q14A</v>
      </c>
      <c r="AQ5" s="268" t="str">
        <f>BS!AQ5</f>
        <v>C4Q14A</v>
      </c>
      <c r="AR5" s="266" t="str">
        <f>BS!AR5</f>
        <v>C1Q15A</v>
      </c>
      <c r="AS5" s="267" t="str">
        <f>BS!AS5</f>
        <v>C2Q15A</v>
      </c>
      <c r="AT5" s="267" t="str">
        <f>BS!AT5</f>
        <v>C3Q15A</v>
      </c>
      <c r="AU5" s="596" t="str">
        <f>BS!AU5</f>
        <v>C4Q15A</v>
      </c>
      <c r="AV5" s="266" t="str">
        <f>BS!AV5</f>
        <v>C1Q16A</v>
      </c>
      <c r="AW5" s="267" t="str">
        <f>BS!AW5</f>
        <v>C2Q16A</v>
      </c>
      <c r="AX5" s="267" t="str">
        <f>BS!AX5</f>
        <v>C3Q16E</v>
      </c>
      <c r="AY5" s="267" t="str">
        <f>BS!AY5</f>
        <v>C4Q16E</v>
      </c>
      <c r="AZ5" s="266" t="str">
        <f>BS!AZ5</f>
        <v>C1Q17A</v>
      </c>
      <c r="BA5" s="267" t="str">
        <f>BS!BA5</f>
        <v>C2Q17A</v>
      </c>
      <c r="BB5" s="267" t="str">
        <f>BS!BB5</f>
        <v>C3Q17A</v>
      </c>
      <c r="BC5" s="268" t="str">
        <f>BS!BC5</f>
        <v>C4Q17A</v>
      </c>
      <c r="BD5" s="266" t="str">
        <f>BS!BD5</f>
        <v>C1Q18A</v>
      </c>
      <c r="BE5" s="267" t="str">
        <f>BS!BE5</f>
        <v>C2Q18E</v>
      </c>
      <c r="BF5" s="267" t="str">
        <f>BS!BF5</f>
        <v>C3Q18E</v>
      </c>
      <c r="BG5" s="268" t="str">
        <f>BS!BG5</f>
        <v>C4Q18E</v>
      </c>
      <c r="BH5" s="266" t="str">
        <f>BS!BH5</f>
        <v>C1Q19E</v>
      </c>
      <c r="BI5" s="267" t="str">
        <f>BS!BI5</f>
        <v>C2Q19E</v>
      </c>
      <c r="BJ5" s="267" t="str">
        <f>BS!BJ5</f>
        <v>C3Q19E</v>
      </c>
      <c r="BK5" s="268" t="str">
        <f>BS!BK5</f>
        <v>C4Q19E</v>
      </c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X5" s="1"/>
      <c r="BY5" s="1"/>
      <c r="BZ5" s="1"/>
      <c r="CA5" s="1"/>
      <c r="CB5" s="1"/>
      <c r="CC5" s="9"/>
      <c r="CD5" s="9"/>
      <c r="CE5" s="9"/>
    </row>
    <row r="6" spans="1:83" ht="14.25" customHeight="1">
      <c r="A6" s="18"/>
      <c r="B6" s="191" t="s">
        <v>43</v>
      </c>
      <c r="C6" s="28"/>
      <c r="D6" s="266">
        <f>BS!D6</f>
        <v>38442</v>
      </c>
      <c r="E6" s="267">
        <f>BS!E6</f>
        <v>38533</v>
      </c>
      <c r="F6" s="267">
        <f>BS!F6</f>
        <v>38625</v>
      </c>
      <c r="G6" s="268">
        <f>BS!G6</f>
        <v>38717</v>
      </c>
      <c r="H6" s="266">
        <f>BS!H6</f>
        <v>38807</v>
      </c>
      <c r="I6" s="267">
        <f>BS!I6</f>
        <v>38898</v>
      </c>
      <c r="J6" s="267">
        <f>BS!J6</f>
        <v>38990</v>
      </c>
      <c r="K6" s="268">
        <f>BS!K6</f>
        <v>39082</v>
      </c>
      <c r="L6" s="266">
        <f>BS!L6</f>
        <v>39172</v>
      </c>
      <c r="M6" s="267">
        <f>BS!M6</f>
        <v>39263</v>
      </c>
      <c r="N6" s="267">
        <f>BS!N6</f>
        <v>39355</v>
      </c>
      <c r="O6" s="268">
        <f>BS!O6</f>
        <v>39447</v>
      </c>
      <c r="P6" s="266">
        <f>BS!P6</f>
        <v>39538</v>
      </c>
      <c r="Q6" s="267">
        <f>BS!Q6</f>
        <v>39629</v>
      </c>
      <c r="R6" s="267">
        <f>BS!R6</f>
        <v>39721</v>
      </c>
      <c r="S6" s="268">
        <f>BS!S6</f>
        <v>39813</v>
      </c>
      <c r="T6" s="266">
        <f>BS!T6</f>
        <v>39903</v>
      </c>
      <c r="U6" s="267">
        <f>BS!U6</f>
        <v>39994</v>
      </c>
      <c r="V6" s="267">
        <f>BS!V6</f>
        <v>40086</v>
      </c>
      <c r="W6" s="268">
        <f>BS!W6</f>
        <v>40178</v>
      </c>
      <c r="X6" s="266">
        <f>BS!X6</f>
        <v>40268</v>
      </c>
      <c r="Y6" s="267">
        <f>BS!Y6</f>
        <v>40359</v>
      </c>
      <c r="Z6" s="267">
        <f>BS!Z6</f>
        <v>40451</v>
      </c>
      <c r="AA6" s="268">
        <f>BS!AA6</f>
        <v>40543</v>
      </c>
      <c r="AB6" s="266">
        <f>BS!AB6</f>
        <v>40633</v>
      </c>
      <c r="AC6" s="267">
        <f>BS!AC6</f>
        <v>40724</v>
      </c>
      <c r="AD6" s="267">
        <f>BS!AD6</f>
        <v>40816</v>
      </c>
      <c r="AE6" s="268">
        <f>BS!AE6</f>
        <v>40908</v>
      </c>
      <c r="AF6" s="266">
        <f>BS!AF6</f>
        <v>40999</v>
      </c>
      <c r="AG6" s="267">
        <f>BS!AG6</f>
        <v>41090</v>
      </c>
      <c r="AH6" s="267">
        <f>BS!AH6</f>
        <v>41182</v>
      </c>
      <c r="AI6" s="268">
        <f>BS!AI6</f>
        <v>41274</v>
      </c>
      <c r="AJ6" s="266">
        <f>BS!AJ6</f>
        <v>41364</v>
      </c>
      <c r="AK6" s="267">
        <f>BS!AK6</f>
        <v>41455</v>
      </c>
      <c r="AL6" s="267">
        <f>BS!AL6</f>
        <v>41547</v>
      </c>
      <c r="AM6" s="268">
        <f>BS!AM6</f>
        <v>41639</v>
      </c>
      <c r="AN6" s="266">
        <f>BS!AN6</f>
        <v>41729</v>
      </c>
      <c r="AO6" s="267">
        <f>BS!AO6</f>
        <v>41820</v>
      </c>
      <c r="AP6" s="267">
        <f>BS!AP6</f>
        <v>41912</v>
      </c>
      <c r="AQ6" s="268">
        <f>BS!AQ6</f>
        <v>42004</v>
      </c>
      <c r="AR6" s="266">
        <f>BS!AR6</f>
        <v>42094</v>
      </c>
      <c r="AS6" s="267">
        <f>BS!AS6</f>
        <v>42185</v>
      </c>
      <c r="AT6" s="267">
        <f>BS!AT6</f>
        <v>42277</v>
      </c>
      <c r="AU6" s="596">
        <f>BS!AU6</f>
        <v>42369</v>
      </c>
      <c r="AV6" s="266">
        <f>BS!AV6</f>
        <v>42460</v>
      </c>
      <c r="AW6" s="267">
        <f>BS!AW6</f>
        <v>42551</v>
      </c>
      <c r="AX6" s="267">
        <f>BS!AX6</f>
        <v>42643</v>
      </c>
      <c r="AY6" s="267">
        <f>BS!AY6</f>
        <v>42735</v>
      </c>
      <c r="AZ6" s="266">
        <f>BS!AZ6</f>
        <v>42825</v>
      </c>
      <c r="BA6" s="267">
        <f>BS!BA6</f>
        <v>42916</v>
      </c>
      <c r="BB6" s="267">
        <f>BS!BB6</f>
        <v>43008</v>
      </c>
      <c r="BC6" s="268">
        <f>BS!BC6</f>
        <v>43100</v>
      </c>
      <c r="BD6" s="266">
        <f>BS!BD6</f>
        <v>43190</v>
      </c>
      <c r="BE6" s="267">
        <f>BS!BE6</f>
        <v>43281</v>
      </c>
      <c r="BF6" s="267">
        <f>BS!BF6</f>
        <v>43373</v>
      </c>
      <c r="BG6" s="268">
        <f>BS!BG6</f>
        <v>43465</v>
      </c>
      <c r="BH6" s="266">
        <f>BS!BH6</f>
        <v>43555</v>
      </c>
      <c r="BI6" s="267">
        <f>BS!BI6</f>
        <v>43646</v>
      </c>
      <c r="BJ6" s="267">
        <f>BS!BJ6</f>
        <v>43738</v>
      </c>
      <c r="BK6" s="268">
        <f>BS!BK6</f>
        <v>43830</v>
      </c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"/>
      <c r="CC6" s="9"/>
      <c r="CD6" s="26"/>
      <c r="CE6" s="26"/>
    </row>
    <row r="7" spans="1:83" ht="14.25" customHeight="1">
      <c r="A7" s="18"/>
      <c r="B7" s="191"/>
      <c r="C7" s="270"/>
      <c r="D7" s="21" t="str">
        <f>BS!D7</f>
        <v>F1Q05A</v>
      </c>
      <c r="E7" s="22" t="str">
        <f>BS!E7</f>
        <v>F2Q05A</v>
      </c>
      <c r="F7" s="22" t="str">
        <f>BS!F7</f>
        <v>F3Q05A</v>
      </c>
      <c r="G7" s="23" t="str">
        <f>BS!G7</f>
        <v>F4Q05A</v>
      </c>
      <c r="H7" s="21" t="str">
        <f>BS!H7</f>
        <v>F1Q06A</v>
      </c>
      <c r="I7" s="22" t="str">
        <f>BS!I7</f>
        <v>F2Q06A</v>
      </c>
      <c r="J7" s="22" t="str">
        <f>BS!J7</f>
        <v>F3Q06A</v>
      </c>
      <c r="K7" s="23" t="str">
        <f>BS!K7</f>
        <v>F4Q06A</v>
      </c>
      <c r="L7" s="21" t="str">
        <f>BS!L7</f>
        <v>F1Q07A</v>
      </c>
      <c r="M7" s="22" t="str">
        <f>BS!M7</f>
        <v>F2Q07A</v>
      </c>
      <c r="N7" s="22" t="str">
        <f>BS!N7</f>
        <v>F3Q07A</v>
      </c>
      <c r="O7" s="23" t="str">
        <f>BS!O7</f>
        <v>F4Q07A</v>
      </c>
      <c r="P7" s="21" t="str">
        <f>BS!P7</f>
        <v>F1Q08A</v>
      </c>
      <c r="Q7" s="22" t="str">
        <f>BS!Q7</f>
        <v>F2Q08A</v>
      </c>
      <c r="R7" s="22" t="str">
        <f>BS!R7</f>
        <v>F3Q08A</v>
      </c>
      <c r="S7" s="23" t="str">
        <f>BS!S7</f>
        <v>F4Q08A</v>
      </c>
      <c r="T7" s="21" t="str">
        <f>BS!T7</f>
        <v>F1Q09A</v>
      </c>
      <c r="U7" s="22" t="str">
        <f>BS!U7</f>
        <v>F2Q09A</v>
      </c>
      <c r="V7" s="22" t="str">
        <f>BS!V7</f>
        <v>F3Q09A</v>
      </c>
      <c r="W7" s="23" t="str">
        <f>BS!W7</f>
        <v>F4Q09A</v>
      </c>
      <c r="X7" s="21" t="str">
        <f>BS!X7</f>
        <v>F1Q10A</v>
      </c>
      <c r="Y7" s="22" t="str">
        <f>BS!Y7</f>
        <v>F2Q10A</v>
      </c>
      <c r="Z7" s="22" t="str">
        <f>BS!Z7</f>
        <v>F3Q10A</v>
      </c>
      <c r="AA7" s="23" t="str">
        <f>BS!AA7</f>
        <v>F4Q10A</v>
      </c>
      <c r="AB7" s="21" t="str">
        <f>BS!AB7</f>
        <v>F1Q11A</v>
      </c>
      <c r="AC7" s="22" t="str">
        <f>BS!AC7</f>
        <v>F2Q11A</v>
      </c>
      <c r="AD7" s="22" t="str">
        <f>BS!AD7</f>
        <v>F3Q11A</v>
      </c>
      <c r="AE7" s="23" t="str">
        <f>BS!AE7</f>
        <v>F4Q11A</v>
      </c>
      <c r="AF7" s="21" t="str">
        <f>BS!AF7</f>
        <v>F1Q12A</v>
      </c>
      <c r="AG7" s="22" t="str">
        <f>BS!AG7</f>
        <v>F2Q12A</v>
      </c>
      <c r="AH7" s="22" t="str">
        <f>BS!AH7</f>
        <v>F3Q12A</v>
      </c>
      <c r="AI7" s="23" t="str">
        <f>BS!AI7</f>
        <v>F4Q12A</v>
      </c>
      <c r="AJ7" s="21" t="str">
        <f>BS!AJ7</f>
        <v>F1Q13A</v>
      </c>
      <c r="AK7" s="22" t="str">
        <f>BS!AK7</f>
        <v>F2Q13A</v>
      </c>
      <c r="AL7" s="22" t="str">
        <f>BS!AL7</f>
        <v>F3Q13A</v>
      </c>
      <c r="AM7" s="23" t="str">
        <f>BS!AM7</f>
        <v>F4Q13A</v>
      </c>
      <c r="AN7" s="21" t="str">
        <f>BS!AN7</f>
        <v>F1Q14A</v>
      </c>
      <c r="AO7" s="22" t="str">
        <f>BS!AO7</f>
        <v>F2Q14A</v>
      </c>
      <c r="AP7" s="22" t="str">
        <f>BS!AP7</f>
        <v>F3Q14A</v>
      </c>
      <c r="AQ7" s="23" t="str">
        <f>BS!AQ7</f>
        <v>F4Q14A</v>
      </c>
      <c r="AR7" s="21" t="str">
        <f>BS!AR7</f>
        <v>F1Q15A</v>
      </c>
      <c r="AS7" s="22" t="str">
        <f>BS!AS7</f>
        <v>F2Q15A</v>
      </c>
      <c r="AT7" s="22" t="str">
        <f>BS!AT7</f>
        <v>F3Q15A</v>
      </c>
      <c r="AU7" s="597" t="str">
        <f>BS!AU7</f>
        <v>F4Q15A</v>
      </c>
      <c r="AV7" s="21" t="str">
        <f>BS!AV7</f>
        <v>F1Q16A</v>
      </c>
      <c r="AW7" s="22" t="str">
        <f>BS!AW7</f>
        <v>F2Q16A</v>
      </c>
      <c r="AX7" s="22" t="str">
        <f>BS!AX7</f>
        <v>F3Q16A</v>
      </c>
      <c r="AY7" s="22" t="str">
        <f>BS!AY7</f>
        <v>F4Q16A</v>
      </c>
      <c r="AZ7" s="21" t="str">
        <f>BS!AZ7</f>
        <v>F1Q17A</v>
      </c>
      <c r="BA7" s="22" t="str">
        <f>BS!BA7</f>
        <v>F2Q17A</v>
      </c>
      <c r="BB7" s="22" t="str">
        <f>BS!BB7</f>
        <v>F3Q17A</v>
      </c>
      <c r="BC7" s="23" t="str">
        <f>BS!BC7</f>
        <v>F4Q17A</v>
      </c>
      <c r="BD7" s="21" t="str">
        <f>BS!BD7</f>
        <v>F1Q18A</v>
      </c>
      <c r="BE7" s="22" t="str">
        <f>BS!BE7</f>
        <v>F2Q18E</v>
      </c>
      <c r="BF7" s="22" t="str">
        <f>BS!BF7</f>
        <v>F3Q18E</v>
      </c>
      <c r="BG7" s="23" t="str">
        <f>BS!BG7</f>
        <v>F4Q18E</v>
      </c>
      <c r="BH7" s="21" t="str">
        <f>BS!BH7</f>
        <v>F1Q19E</v>
      </c>
      <c r="BI7" s="22" t="str">
        <f>BS!BI7</f>
        <v>F2Q19E</v>
      </c>
      <c r="BJ7" s="22" t="str">
        <f>BS!BJ7</f>
        <v>F3Q19E</v>
      </c>
      <c r="BK7" s="23" t="str">
        <f>BS!BK7</f>
        <v>F4Q19E</v>
      </c>
      <c r="BL7" s="35"/>
      <c r="BM7" s="21" t="str">
        <f>BS!BM7</f>
        <v>FY2005A</v>
      </c>
      <c r="BN7" s="22" t="str">
        <f>BS!BN7</f>
        <v>FY2006A</v>
      </c>
      <c r="BO7" s="22" t="str">
        <f>BS!BO7</f>
        <v>FY2007A</v>
      </c>
      <c r="BP7" s="22" t="str">
        <f>BS!BP7</f>
        <v>FY2008A</v>
      </c>
      <c r="BQ7" s="22" t="str">
        <f>BS!BQ7</f>
        <v>FY2009A</v>
      </c>
      <c r="BR7" s="21" t="str">
        <f>BS!BR7</f>
        <v>FY2010A</v>
      </c>
      <c r="BS7" s="22" t="str">
        <f>BS!BS7</f>
        <v>FY2011A</v>
      </c>
      <c r="BT7" s="21" t="str">
        <f>BS!BT7</f>
        <v>FY2012A</v>
      </c>
      <c r="BU7" s="21" t="str">
        <f>BS!BU7</f>
        <v>FY2013A</v>
      </c>
      <c r="BV7" s="22" t="str">
        <f>BS!BV7</f>
        <v>FY2014</v>
      </c>
      <c r="BW7" s="22" t="str">
        <f>BS!BW7</f>
        <v>FY2015</v>
      </c>
      <c r="BX7" s="22" t="str">
        <f>BS!BX7</f>
        <v>FY2016</v>
      </c>
      <c r="BY7" s="22" t="str">
        <f>BS!BY7</f>
        <v>FY2017A</v>
      </c>
      <c r="BZ7" s="22" t="str">
        <f>BS!BZ7</f>
        <v>FY2018E</v>
      </c>
      <c r="CA7" s="22" t="str">
        <f>BS!CA7</f>
        <v>FY2019E</v>
      </c>
      <c r="CB7" s="23" t="str">
        <f>BS!CB7</f>
        <v>FY2020E</v>
      </c>
      <c r="CC7" s="37"/>
      <c r="CD7" s="26"/>
      <c r="CE7" s="26"/>
    </row>
    <row r="8" spans="1:83" ht="14.25" customHeight="1">
      <c r="A8" s="18"/>
      <c r="B8" s="435" t="str">
        <f t="shared" ref="B8:B25" si="0">B95</f>
        <v>Cash flows provided by (used for) operating activities:</v>
      </c>
      <c r="C8" s="128"/>
      <c r="D8" s="436"/>
      <c r="E8" s="437"/>
      <c r="F8" s="437"/>
      <c r="G8" s="438"/>
      <c r="H8" s="436"/>
      <c r="I8" s="437"/>
      <c r="J8" s="437"/>
      <c r="K8" s="438"/>
      <c r="L8" s="436"/>
      <c r="M8" s="437"/>
      <c r="N8" s="437"/>
      <c r="O8" s="438"/>
      <c r="P8" s="436"/>
      <c r="Q8" s="437"/>
      <c r="R8" s="437"/>
      <c r="S8" s="438"/>
      <c r="T8" s="436"/>
      <c r="U8" s="437"/>
      <c r="V8" s="437"/>
      <c r="W8" s="438"/>
      <c r="X8" s="436"/>
      <c r="Y8" s="437"/>
      <c r="Z8" s="437"/>
      <c r="AA8" s="438"/>
      <c r="AB8" s="436"/>
      <c r="AC8" s="437"/>
      <c r="AD8" s="437"/>
      <c r="AE8" s="438"/>
      <c r="AF8" s="436"/>
      <c r="AG8" s="437"/>
      <c r="AH8" s="437"/>
      <c r="AI8" s="439"/>
      <c r="AJ8" s="437"/>
      <c r="AK8" s="437"/>
      <c r="AL8" s="437"/>
      <c r="AM8" s="439"/>
      <c r="AO8" s="440"/>
      <c r="AP8" s="440"/>
      <c r="AQ8" s="439"/>
      <c r="AS8" s="440"/>
      <c r="AT8" s="440"/>
      <c r="AU8" s="598"/>
      <c r="AW8" s="440"/>
      <c r="AX8" s="437"/>
      <c r="AY8" s="603"/>
      <c r="AZ8" s="73"/>
      <c r="BA8" s="437"/>
      <c r="BB8" s="437"/>
      <c r="BC8" s="1010"/>
      <c r="BD8" s="73"/>
      <c r="BE8" s="437"/>
      <c r="BF8" s="437"/>
      <c r="BG8" s="1010"/>
      <c r="BH8" s="73"/>
      <c r="BI8" s="437"/>
      <c r="BJ8" s="437"/>
      <c r="BK8" s="1010"/>
      <c r="BL8" s="35"/>
      <c r="BM8" s="440"/>
      <c r="BN8" s="437"/>
      <c r="BO8" s="437"/>
      <c r="BP8" s="437"/>
      <c r="BQ8" s="440"/>
      <c r="BR8" s="440"/>
      <c r="BS8" s="437"/>
      <c r="BT8" s="436"/>
      <c r="BU8" s="437"/>
      <c r="BV8" s="437"/>
      <c r="BW8" s="440"/>
      <c r="BX8" s="440"/>
      <c r="BY8" s="437"/>
      <c r="BZ8" s="437"/>
      <c r="CA8" s="437"/>
      <c r="CB8" s="439"/>
      <c r="CC8" s="37"/>
      <c r="CD8" s="26"/>
      <c r="CE8" s="26"/>
    </row>
    <row r="9" spans="1:83" ht="14.25" customHeight="1">
      <c r="A9" s="18"/>
      <c r="B9" s="297" t="str">
        <f t="shared" si="0"/>
        <v>Net income</v>
      </c>
      <c r="C9" s="68"/>
      <c r="D9" s="282">
        <f>IS!D80</f>
        <v>2178</v>
      </c>
      <c r="E9" s="281">
        <f>IS!E80</f>
        <v>2038</v>
      </c>
      <c r="F9" s="281">
        <f>IS!F80</f>
        <v>1995</v>
      </c>
      <c r="G9" s="280">
        <f>IS!G80</f>
        <v>2453</v>
      </c>
      <c r="H9" s="282">
        <f>IS!H80</f>
        <v>1357</v>
      </c>
      <c r="I9" s="281">
        <f>IS!I80</f>
        <v>885</v>
      </c>
      <c r="J9" s="281">
        <f>IS!J80</f>
        <v>1301</v>
      </c>
      <c r="K9" s="280">
        <f>IS!K80</f>
        <v>1501</v>
      </c>
      <c r="L9" s="282">
        <f>IS!L80</f>
        <v>1636</v>
      </c>
      <c r="M9" s="281">
        <f>IS!M80</f>
        <v>1278</v>
      </c>
      <c r="N9" s="281">
        <f>IS!N80</f>
        <v>1791</v>
      </c>
      <c r="O9" s="280">
        <f>IS!O80</f>
        <v>2271</v>
      </c>
      <c r="P9" s="282">
        <f>IS!P80</f>
        <v>1443</v>
      </c>
      <c r="Q9" s="281">
        <f>IS!Q80</f>
        <v>1601</v>
      </c>
      <c r="R9" s="281">
        <f>IS!R80</f>
        <v>2014</v>
      </c>
      <c r="S9" s="280">
        <f>IS!S80</f>
        <v>234</v>
      </c>
      <c r="T9" s="282">
        <f>IS!T80</f>
        <v>629</v>
      </c>
      <c r="U9" s="281">
        <f>IS!U80</f>
        <v>-398</v>
      </c>
      <c r="V9" s="281">
        <f>IS!V80</f>
        <v>1856</v>
      </c>
      <c r="W9" s="280">
        <f>IS!W80</f>
        <v>2282</v>
      </c>
      <c r="X9" s="282">
        <f>IS!X80</f>
        <v>2442</v>
      </c>
      <c r="Y9" s="281">
        <f>IS!Y80</f>
        <v>2887</v>
      </c>
      <c r="Z9" s="281">
        <f>IS!Z80</f>
        <v>2955</v>
      </c>
      <c r="AA9" s="280">
        <f>IS!AA80</f>
        <v>3180</v>
      </c>
      <c r="AB9" s="282">
        <f>IS!AB80</f>
        <v>3160</v>
      </c>
      <c r="AC9" s="281">
        <f>IS!AC80</f>
        <v>2954</v>
      </c>
      <c r="AD9" s="281">
        <f>IS!AD80</f>
        <v>3468</v>
      </c>
      <c r="AE9" s="280">
        <f>IS!AE80</f>
        <v>3360</v>
      </c>
      <c r="AF9" s="282">
        <f>IS!AF80</f>
        <v>2738</v>
      </c>
      <c r="AG9" s="281">
        <f>IS!AG80</f>
        <v>2827</v>
      </c>
      <c r="AH9" s="281">
        <f>IS!AH80</f>
        <v>2972</v>
      </c>
      <c r="AI9" s="280">
        <f>IS!AI80</f>
        <v>2468</v>
      </c>
      <c r="AJ9" s="282">
        <f>IS!AJ80</f>
        <v>2045</v>
      </c>
      <c r="AK9" s="281">
        <f>IS!AK80</f>
        <v>2000</v>
      </c>
      <c r="AL9" s="281">
        <f>IS!AL80</f>
        <v>2950</v>
      </c>
      <c r="AM9" s="281">
        <f>IS!AM80</f>
        <v>2625</v>
      </c>
      <c r="AN9" s="282">
        <f>IS!AN80</f>
        <v>1930</v>
      </c>
      <c r="AO9" s="281">
        <f>IS!AO80</f>
        <v>2796</v>
      </c>
      <c r="AP9" s="281">
        <f>IS!AP80</f>
        <v>3317</v>
      </c>
      <c r="AQ9" s="280">
        <f>IS!AQ80</f>
        <v>3661</v>
      </c>
      <c r="AR9" s="282">
        <f>IS!AR80</f>
        <v>1992</v>
      </c>
      <c r="AS9" s="281">
        <f>IS!AS80</f>
        <v>2706</v>
      </c>
      <c r="AT9" s="281">
        <f>IS!AT80</f>
        <v>3109</v>
      </c>
      <c r="AU9" s="280">
        <f>IS!AU80</f>
        <v>3613</v>
      </c>
      <c r="AV9" s="282">
        <f>IS!AV80</f>
        <v>2046</v>
      </c>
      <c r="AW9" s="281">
        <f>IS!AW80</f>
        <v>1330</v>
      </c>
      <c r="AX9" s="281">
        <f>IS!AX80</f>
        <v>3378</v>
      </c>
      <c r="AY9" s="280">
        <f>IS!AY80</f>
        <v>3562</v>
      </c>
      <c r="AZ9" s="282">
        <f>IS!AZ80</f>
        <v>2964</v>
      </c>
      <c r="BA9" s="281">
        <f>IS!BA80</f>
        <v>2808</v>
      </c>
      <c r="BB9" s="281">
        <f>IS!BB80</f>
        <v>4516</v>
      </c>
      <c r="BC9" s="280">
        <f>IS!BC80</f>
        <v>-687</v>
      </c>
      <c r="BD9" s="1011">
        <f>IS!BD80</f>
        <v>4454</v>
      </c>
      <c r="BE9" s="603">
        <f>IS!BE80</f>
        <v>4048.8951242790522</v>
      </c>
      <c r="BF9" s="603">
        <f>IS!BF80</f>
        <v>4941.6620506331892</v>
      </c>
      <c r="BG9" s="1012">
        <f>IS!BG80</f>
        <v>4997.9195152561224</v>
      </c>
      <c r="BH9" s="1011">
        <f>IS!BH80</f>
        <v>4084.5012745795202</v>
      </c>
      <c r="BI9" s="603">
        <f>IS!BI80</f>
        <v>4159.8420236439406</v>
      </c>
      <c r="BJ9" s="603">
        <f>IS!BJ80</f>
        <v>4946.2645798349222</v>
      </c>
      <c r="BK9" s="1012">
        <f>IS!BK80</f>
        <v>5167.0605674697526</v>
      </c>
      <c r="BL9" s="35"/>
      <c r="BM9" s="281">
        <f>SUM(D9:G9)</f>
        <v>8664</v>
      </c>
      <c r="BN9" s="281">
        <f>SUM(H9:K9)</f>
        <v>5044</v>
      </c>
      <c r="BO9" s="281">
        <f>SUM(L9:O9)</f>
        <v>6976</v>
      </c>
      <c r="BP9" s="281">
        <f>SUM(P9:S9)</f>
        <v>5292</v>
      </c>
      <c r="BQ9" s="281">
        <f>SUM(T9:W9)</f>
        <v>4369</v>
      </c>
      <c r="BR9" s="281">
        <f>SUM(X9:AA9)</f>
        <v>11464</v>
      </c>
      <c r="BS9" s="281">
        <f>SUM(AB9:AE9)</f>
        <v>12942</v>
      </c>
      <c r="BT9" s="282">
        <f>SUM(AF9:AI9)</f>
        <v>11005</v>
      </c>
      <c r="BU9" s="281">
        <f>SUM(AJ9:AM9)</f>
        <v>9620</v>
      </c>
      <c r="BV9" s="281">
        <f>SUM(AN9:AQ9)</f>
        <v>11704</v>
      </c>
      <c r="BW9" s="281">
        <f>SUM(AR9:AU9)</f>
        <v>11420</v>
      </c>
      <c r="BX9" s="281">
        <f>IS!BX80</f>
        <v>10316</v>
      </c>
      <c r="BY9" s="281">
        <f>IS!BY80</f>
        <v>9601</v>
      </c>
      <c r="BZ9" s="281">
        <f>IS!BZ80</f>
        <v>18442.476690168369</v>
      </c>
      <c r="CA9" s="281">
        <f>IS!CA80</f>
        <v>18357.668445528128</v>
      </c>
      <c r="CB9" s="1168">
        <f>IS!CB80</f>
        <v>18709.190610168498</v>
      </c>
      <c r="CC9" s="691">
        <v>-5642</v>
      </c>
      <c r="CD9" s="626"/>
      <c r="CE9" s="626"/>
    </row>
    <row r="10" spans="1:83" ht="14.25" customHeight="1">
      <c r="A10" s="18"/>
      <c r="B10" s="441" t="str">
        <f t="shared" si="0"/>
        <v>Adjustments to reconcile net income to net cash</v>
      </c>
      <c r="C10" s="442"/>
      <c r="D10" s="443"/>
      <c r="E10" s="444"/>
      <c r="F10" s="444"/>
      <c r="G10" s="445"/>
      <c r="H10" s="443"/>
      <c r="I10" s="444"/>
      <c r="J10" s="444"/>
      <c r="K10" s="445"/>
      <c r="L10" s="443"/>
      <c r="M10" s="444"/>
      <c r="N10" s="444"/>
      <c r="O10" s="445"/>
      <c r="P10" s="443"/>
      <c r="Q10" s="444"/>
      <c r="R10" s="444"/>
      <c r="S10" s="445"/>
      <c r="T10" s="443"/>
      <c r="U10" s="444"/>
      <c r="V10" s="444"/>
      <c r="W10" s="445"/>
      <c r="X10" s="443"/>
      <c r="Y10" s="444"/>
      <c r="Z10" s="444"/>
      <c r="AA10" s="445"/>
      <c r="AB10" s="446"/>
      <c r="AC10" s="447"/>
      <c r="AD10" s="447"/>
      <c r="AE10" s="445"/>
      <c r="AF10" s="446"/>
      <c r="AG10" s="447"/>
      <c r="AH10" s="447"/>
      <c r="AI10" s="445"/>
      <c r="AJ10" s="446"/>
      <c r="AK10" s="447"/>
      <c r="AL10" s="447"/>
      <c r="AM10" s="447"/>
      <c r="AN10" s="446"/>
      <c r="AO10" s="447"/>
      <c r="AP10" s="447"/>
      <c r="AQ10" s="448"/>
      <c r="AR10" s="446"/>
      <c r="AS10" s="447"/>
      <c r="AT10" s="447"/>
      <c r="AU10" s="448"/>
      <c r="AV10" s="446"/>
      <c r="AW10" s="447"/>
      <c r="AX10" s="447"/>
      <c r="AY10" s="448"/>
      <c r="AZ10" s="446"/>
      <c r="BA10" s="447"/>
      <c r="BB10" s="447"/>
      <c r="BC10" s="448"/>
      <c r="BD10" s="446"/>
      <c r="BE10" s="447"/>
      <c r="BF10" s="447"/>
      <c r="BG10" s="1013"/>
      <c r="BH10" s="446"/>
      <c r="BI10" s="447"/>
      <c r="BJ10" s="447"/>
      <c r="BK10" s="1013"/>
      <c r="BL10" s="35"/>
      <c r="BM10" s="447"/>
      <c r="BN10" s="447"/>
      <c r="BO10" s="447"/>
      <c r="BP10" s="447"/>
      <c r="BQ10" s="447"/>
      <c r="BR10" s="447"/>
      <c r="BS10" s="447"/>
      <c r="BT10" s="446"/>
      <c r="BU10" s="447"/>
      <c r="BV10" s="447"/>
      <c r="BW10" s="447"/>
      <c r="BX10" s="447"/>
      <c r="BY10" s="447"/>
      <c r="BZ10" s="447"/>
      <c r="CA10" s="447"/>
      <c r="CB10" s="1187"/>
      <c r="CC10" s="691">
        <v>368</v>
      </c>
      <c r="CD10" s="626"/>
      <c r="CE10" s="626"/>
    </row>
    <row r="11" spans="1:83" ht="14.25" customHeight="1">
      <c r="A11" s="18"/>
      <c r="B11" s="449" t="str">
        <f t="shared" si="0"/>
        <v>Depreciation</v>
      </c>
      <c r="C11" s="142"/>
      <c r="D11" s="450">
        <f t="shared" ref="D11:D18" si="1">D98</f>
        <v>1189</v>
      </c>
      <c r="E11" s="451">
        <f t="shared" ref="E11:E18" si="2">E98-D11</f>
        <v>1051</v>
      </c>
      <c r="F11" s="451">
        <f t="shared" ref="F11:F18" si="3">F98-E11-D11</f>
        <v>1055</v>
      </c>
      <c r="G11" s="452">
        <f t="shared" ref="G11:G18" si="4">G98-F11-E11-D11</f>
        <v>1050</v>
      </c>
      <c r="H11" s="450">
        <f t="shared" ref="H11:H18" si="5">H98</f>
        <v>1139</v>
      </c>
      <c r="I11" s="451">
        <f t="shared" ref="I11:I18" si="6">I98-H11</f>
        <v>1156</v>
      </c>
      <c r="J11" s="451">
        <f t="shared" ref="J11:J18" si="7">J98-I11-H11</f>
        <v>1193</v>
      </c>
      <c r="K11" s="452">
        <f t="shared" ref="K11:K18" si="8">K98-J11-I11-H11</f>
        <v>1166</v>
      </c>
      <c r="L11" s="450">
        <f t="shared" ref="L11:L18" si="9">L98</f>
        <v>1187</v>
      </c>
      <c r="M11" s="451">
        <f t="shared" ref="M11:M18" si="10">M98-L11</f>
        <v>1153</v>
      </c>
      <c r="N11" s="451">
        <f t="shared" ref="N11:N18" si="11">N98-M11-L11</f>
        <v>1098</v>
      </c>
      <c r="O11" s="452">
        <f t="shared" ref="O11:O18" si="12">O98-N11-M11-L11</f>
        <v>1108</v>
      </c>
      <c r="P11" s="450">
        <f t="shared" ref="P11:P18" si="13">P98</f>
        <v>1102</v>
      </c>
      <c r="Q11" s="451">
        <f t="shared" ref="Q11:Q18" si="14">Q98-P11</f>
        <v>1042</v>
      </c>
      <c r="R11" s="451">
        <f t="shared" ref="R11:R18" si="15">R98-Q11-P11</f>
        <v>1059</v>
      </c>
      <c r="S11" s="452">
        <f t="shared" ref="S11:S18" si="16">S98-R11-Q11-P11</f>
        <v>1157</v>
      </c>
      <c r="T11" s="450">
        <f t="shared" ref="T11:T18" si="17">T98</f>
        <v>1208</v>
      </c>
      <c r="U11" s="451">
        <f t="shared" ref="U11:U18" si="18">U98-T11</f>
        <v>1211</v>
      </c>
      <c r="V11" s="451">
        <f t="shared" ref="V11:V18" si="19">V98-U11-T11</f>
        <v>1153</v>
      </c>
      <c r="W11" s="452">
        <f t="shared" ref="W11:W18" si="20">W98-V11-U11-T11</f>
        <v>1172</v>
      </c>
      <c r="X11" s="450">
        <f t="shared" ref="X11:X18" si="21">X98</f>
        <v>1080</v>
      </c>
      <c r="Y11" s="451">
        <f t="shared" ref="Y11:Y18" si="22">Y98-X11</f>
        <v>1086</v>
      </c>
      <c r="Z11" s="451">
        <f t="shared" ref="Z11:Z18" si="23">Z98-Y11-X11</f>
        <v>1086</v>
      </c>
      <c r="AA11" s="452">
        <f t="shared" ref="AA11:AA18" si="24">AA98-Z11-Y11-X11</f>
        <v>1146</v>
      </c>
      <c r="AB11" s="450">
        <f t="shared" ref="AB11:AB18" si="25">AB98</f>
        <v>1287</v>
      </c>
      <c r="AC11" s="451">
        <f t="shared" ref="AC11:AC18" si="26">AC98-AB11</f>
        <v>1248</v>
      </c>
      <c r="AD11" s="451">
        <f t="shared" ref="AD11:AD18" si="27">AD98-AC11-AB11</f>
        <v>1273</v>
      </c>
      <c r="AE11" s="452">
        <f t="shared" ref="AE11:AE18" si="28">AE98-AD11-AC11-AB11</f>
        <v>1333</v>
      </c>
      <c r="AF11" s="450">
        <f t="shared" ref="AF11:AF18" si="29">AF98</f>
        <v>1519</v>
      </c>
      <c r="AG11" s="451">
        <f t="shared" ref="AG11:AG18" si="30">AG98-AF11</f>
        <v>1572</v>
      </c>
      <c r="AH11" s="451">
        <f t="shared" ref="AH11:AH18" si="31">AH98-AG11-AF11</f>
        <v>1625</v>
      </c>
      <c r="AI11" s="452">
        <f t="shared" ref="AI11:AI18" si="32">AI98-AH11-AG11-AF11</f>
        <v>1641</v>
      </c>
      <c r="AJ11" s="450">
        <f t="shared" ref="AJ11:AJ18" si="33">AJ98</f>
        <v>1682</v>
      </c>
      <c r="AK11" s="451">
        <f t="shared" ref="AK11:AK18" si="34">AK98-AJ11</f>
        <v>1712</v>
      </c>
      <c r="AL11" s="451">
        <f t="shared" ref="AL11:AL18" si="35">AL98-AK11-AJ11</f>
        <v>1729</v>
      </c>
      <c r="AM11" s="451">
        <f t="shared" ref="AM11:AM18" si="36">AM98-AL11-AK11-AJ11</f>
        <v>1667</v>
      </c>
      <c r="AN11" s="450">
        <f t="shared" ref="AN11:AN18" si="37">AN98</f>
        <v>1720</v>
      </c>
      <c r="AO11" s="451">
        <f t="shared" ref="AO11:AO18" si="38">AO98-AN11</f>
        <v>1880</v>
      </c>
      <c r="AP11" s="451">
        <f t="shared" ref="AP11:AP17" si="39">AP98-AO11-AN11</f>
        <v>1891</v>
      </c>
      <c r="AQ11" s="452">
        <f t="shared" ref="AQ11:AQ18" si="40">AQ98-AP11-AO11-AN11</f>
        <v>1889</v>
      </c>
      <c r="AR11" s="450">
        <f t="shared" ref="AR11:AR18" si="41">AR98</f>
        <v>1848</v>
      </c>
      <c r="AS11" s="451">
        <f t="shared" ref="AS11:AS18" si="42">AS98-AR11</f>
        <v>1977</v>
      </c>
      <c r="AT11" s="451">
        <f t="shared" ref="AT11:AT17" si="43">AT98-AS11-AR11</f>
        <v>2060</v>
      </c>
      <c r="AU11" s="452">
        <f t="shared" ref="AU11:AU18" si="44">AU98-AT11-AS11-AR11</f>
        <v>1936</v>
      </c>
      <c r="AV11" s="450">
        <f t="shared" ref="AV11:AV18" si="45">AV98</f>
        <v>1619</v>
      </c>
      <c r="AW11" s="451">
        <f t="shared" ref="AW11:AW18" si="46">AW98-AV11</f>
        <v>1522</v>
      </c>
      <c r="AX11" s="451">
        <f t="shared" ref="AX11:AX17" si="47">AX98-AW11-AV11</f>
        <v>1543</v>
      </c>
      <c r="AY11" s="452">
        <f t="shared" ref="AY11:AY18" si="48">AY98-AX11-AW11-AV11</f>
        <v>1582</v>
      </c>
      <c r="AZ11" s="450">
        <f t="shared" ref="AZ11:AZ18" si="49">AZ98</f>
        <v>1625</v>
      </c>
      <c r="BA11" s="451">
        <f t="shared" ref="BA11:BA18" si="50">BA98-AZ11</f>
        <v>1675</v>
      </c>
      <c r="BB11" s="451">
        <f t="shared" ref="BB11:BB17" si="51">BB98-BA11-AZ11</f>
        <v>1690</v>
      </c>
      <c r="BC11" s="452">
        <f t="shared" ref="BC11:BC18" si="52">BC98-BB11-BA11-AZ11</f>
        <v>1762</v>
      </c>
      <c r="BD11" s="450">
        <f t="shared" ref="BD11:BD12" si="53">BD98</f>
        <v>1806</v>
      </c>
      <c r="BE11" s="451">
        <f t="shared" ref="BE11:BG11" si="54">BE79</f>
        <v>1806</v>
      </c>
      <c r="BF11" s="451">
        <f t="shared" si="54"/>
        <v>2000</v>
      </c>
      <c r="BG11" s="1014">
        <f t="shared" si="54"/>
        <v>2000</v>
      </c>
      <c r="BH11" s="450">
        <f t="shared" ref="BH11:BK11" si="55">BH79</f>
        <v>2000</v>
      </c>
      <c r="BI11" s="451">
        <f t="shared" si="55"/>
        <v>2000</v>
      </c>
      <c r="BJ11" s="451">
        <f t="shared" si="55"/>
        <v>2000</v>
      </c>
      <c r="BK11" s="1014">
        <f t="shared" si="55"/>
        <v>2000</v>
      </c>
      <c r="BL11" s="35"/>
      <c r="BM11" s="451">
        <f t="shared" ref="BM11:BM18" si="56">SUM(D11:G11)</f>
        <v>4345</v>
      </c>
      <c r="BN11" s="451">
        <f t="shared" ref="BN11:BN18" si="57">SUM(H11:K11)</f>
        <v>4654</v>
      </c>
      <c r="BO11" s="451">
        <f t="shared" ref="BO11:BO18" si="58">SUM(L11:O11)</f>
        <v>4546</v>
      </c>
      <c r="BP11" s="451">
        <f t="shared" ref="BP11:BP18" si="59">SUM(P11:S11)</f>
        <v>4360</v>
      </c>
      <c r="BQ11" s="451">
        <f t="shared" ref="BQ11:BQ18" si="60">SUM(T11:W11)</f>
        <v>4744</v>
      </c>
      <c r="BR11" s="451">
        <f t="shared" ref="BR11:BR18" si="61">SUM(X11:AA11)</f>
        <v>4398</v>
      </c>
      <c r="BS11" s="451">
        <f t="shared" ref="BS11:BS18" si="62">SUM(AB11:AE11)</f>
        <v>5141</v>
      </c>
      <c r="BT11" s="450">
        <f t="shared" ref="BT11:BT18" si="63">SUM(AF11:AI11)</f>
        <v>6357</v>
      </c>
      <c r="BU11" s="451">
        <f t="shared" ref="BU11:BU18" si="64">SUM(AJ11:AM11)</f>
        <v>6790</v>
      </c>
      <c r="BV11" s="451">
        <f t="shared" ref="BV11:BV18" si="65">SUM(AN11:AQ11)</f>
        <v>7380</v>
      </c>
      <c r="BW11" s="451">
        <f t="shared" ref="BW11:BW18" si="66">SUM(AR11:AU11)</f>
        <v>7821</v>
      </c>
      <c r="BX11" s="451">
        <f t="shared" ref="BX11:BX18" si="67">SUM(AV11:AY11)</f>
        <v>6266</v>
      </c>
      <c r="BY11" s="451">
        <f t="shared" ref="BY11:BY18" si="68">SUM(AZ11:BC11)</f>
        <v>6752</v>
      </c>
      <c r="BZ11" s="451">
        <f t="shared" ref="BZ11:BZ18" si="69">SUM(BD11:BG11)</f>
        <v>7612</v>
      </c>
      <c r="CA11" s="451">
        <f t="shared" ref="CA11:CA18" si="70">SUM(BH11:BK11)</f>
        <v>8000</v>
      </c>
      <c r="CB11" s="1188">
        <f>CB79</f>
        <v>8828.2360000000008</v>
      </c>
      <c r="CC11" s="691">
        <v>1772</v>
      </c>
      <c r="CD11" s="626"/>
      <c r="CE11" s="626"/>
    </row>
    <row r="12" spans="1:83" ht="14.25" customHeight="1">
      <c r="A12" s="18"/>
      <c r="B12" s="449" t="str">
        <f t="shared" si="0"/>
        <v>Stock-based compensation expense</v>
      </c>
      <c r="C12" s="142"/>
      <c r="D12" s="450">
        <f t="shared" si="1"/>
        <v>0</v>
      </c>
      <c r="E12" s="451">
        <f t="shared" si="2"/>
        <v>0</v>
      </c>
      <c r="F12" s="451">
        <f t="shared" si="3"/>
        <v>0</v>
      </c>
      <c r="G12" s="452">
        <f t="shared" si="4"/>
        <v>0</v>
      </c>
      <c r="H12" s="450">
        <f t="shared" si="5"/>
        <v>374</v>
      </c>
      <c r="I12" s="451">
        <f t="shared" si="6"/>
        <v>332</v>
      </c>
      <c r="J12" s="451">
        <f t="shared" si="7"/>
        <v>335</v>
      </c>
      <c r="K12" s="452">
        <f t="shared" si="8"/>
        <v>334</v>
      </c>
      <c r="L12" s="450">
        <f t="shared" si="9"/>
        <v>284</v>
      </c>
      <c r="M12" s="451">
        <f t="shared" si="10"/>
        <v>237</v>
      </c>
      <c r="N12" s="451">
        <f t="shared" si="11"/>
        <v>227</v>
      </c>
      <c r="O12" s="452">
        <f t="shared" si="12"/>
        <v>204</v>
      </c>
      <c r="P12" s="450">
        <f t="shared" si="13"/>
        <v>219</v>
      </c>
      <c r="Q12" s="451">
        <f t="shared" si="14"/>
        <v>243</v>
      </c>
      <c r="R12" s="451">
        <f t="shared" si="15"/>
        <v>197</v>
      </c>
      <c r="S12" s="452">
        <f t="shared" si="16"/>
        <v>192</v>
      </c>
      <c r="T12" s="450">
        <f t="shared" si="17"/>
        <v>213</v>
      </c>
      <c r="U12" s="451">
        <f t="shared" si="18"/>
        <v>258</v>
      </c>
      <c r="V12" s="451">
        <f t="shared" si="19"/>
        <v>218</v>
      </c>
      <c r="W12" s="452">
        <f t="shared" si="20"/>
        <v>200</v>
      </c>
      <c r="X12" s="450">
        <f t="shared" si="21"/>
        <v>248</v>
      </c>
      <c r="Y12" s="451">
        <f t="shared" si="22"/>
        <v>232</v>
      </c>
      <c r="Z12" s="451">
        <f t="shared" si="23"/>
        <v>224</v>
      </c>
      <c r="AA12" s="452">
        <f t="shared" si="24"/>
        <v>213</v>
      </c>
      <c r="AB12" s="451">
        <f t="shared" si="25"/>
        <v>300</v>
      </c>
      <c r="AC12" s="451">
        <f t="shared" si="26"/>
        <v>262</v>
      </c>
      <c r="AD12" s="451">
        <f t="shared" si="27"/>
        <v>250</v>
      </c>
      <c r="AE12" s="452">
        <f t="shared" si="28"/>
        <v>241</v>
      </c>
      <c r="AF12" s="451">
        <f t="shared" si="29"/>
        <v>274</v>
      </c>
      <c r="AG12" s="451">
        <f t="shared" si="30"/>
        <v>280</v>
      </c>
      <c r="AH12" s="451">
        <f t="shared" si="31"/>
        <v>276</v>
      </c>
      <c r="AI12" s="452">
        <f t="shared" si="32"/>
        <v>272</v>
      </c>
      <c r="AJ12" s="451">
        <f t="shared" si="33"/>
        <v>295</v>
      </c>
      <c r="AK12" s="451">
        <f t="shared" si="34"/>
        <v>292</v>
      </c>
      <c r="AL12" s="451">
        <f t="shared" si="35"/>
        <v>268</v>
      </c>
      <c r="AM12" s="451">
        <f t="shared" si="36"/>
        <v>263</v>
      </c>
      <c r="AN12" s="450">
        <f t="shared" si="37"/>
        <v>283</v>
      </c>
      <c r="AO12" s="451">
        <f t="shared" si="38"/>
        <v>303</v>
      </c>
      <c r="AP12" s="451">
        <f t="shared" si="39"/>
        <v>281</v>
      </c>
      <c r="AQ12" s="452">
        <f t="shared" si="40"/>
        <v>281</v>
      </c>
      <c r="AR12" s="450">
        <f t="shared" si="41"/>
        <v>368</v>
      </c>
      <c r="AS12" s="451">
        <f t="shared" si="42"/>
        <v>332</v>
      </c>
      <c r="AT12" s="451">
        <f t="shared" si="43"/>
        <v>309</v>
      </c>
      <c r="AU12" s="452">
        <f t="shared" si="44"/>
        <v>296</v>
      </c>
      <c r="AV12" s="450">
        <f t="shared" si="45"/>
        <v>448</v>
      </c>
      <c r="AW12" s="451">
        <f t="shared" si="46"/>
        <v>364</v>
      </c>
      <c r="AX12" s="451">
        <f t="shared" si="47"/>
        <v>324</v>
      </c>
      <c r="AY12" s="452">
        <f t="shared" si="48"/>
        <v>308</v>
      </c>
      <c r="AZ12" s="450">
        <f t="shared" si="49"/>
        <v>397</v>
      </c>
      <c r="BA12" s="451">
        <f t="shared" si="50"/>
        <v>328</v>
      </c>
      <c r="BB12" s="451">
        <f t="shared" si="51"/>
        <v>326</v>
      </c>
      <c r="BC12" s="452">
        <f t="shared" si="52"/>
        <v>307</v>
      </c>
      <c r="BD12" s="450">
        <f t="shared" si="53"/>
        <v>433</v>
      </c>
      <c r="BE12" s="451">
        <f t="shared" ref="BE12" si="71">BD12</f>
        <v>433</v>
      </c>
      <c r="BF12" s="451">
        <f t="shared" ref="BF12" si="72">BE12</f>
        <v>433</v>
      </c>
      <c r="BG12" s="1014">
        <f t="shared" ref="BG12" si="73">BF12</f>
        <v>433</v>
      </c>
      <c r="BH12" s="450">
        <f t="shared" ref="BH12" si="74">BG12</f>
        <v>433</v>
      </c>
      <c r="BI12" s="451">
        <f t="shared" ref="BI12" si="75">BH12</f>
        <v>433</v>
      </c>
      <c r="BJ12" s="451">
        <f t="shared" ref="BJ12" si="76">BI12</f>
        <v>433</v>
      </c>
      <c r="BK12" s="1014">
        <f t="shared" ref="BK12" si="77">BJ12</f>
        <v>433</v>
      </c>
      <c r="BL12" s="35"/>
      <c r="BM12" s="451">
        <f t="shared" si="56"/>
        <v>0</v>
      </c>
      <c r="BN12" s="451">
        <f t="shared" si="57"/>
        <v>1375</v>
      </c>
      <c r="BO12" s="451">
        <f t="shared" si="58"/>
        <v>952</v>
      </c>
      <c r="BP12" s="451">
        <f t="shared" si="59"/>
        <v>851</v>
      </c>
      <c r="BQ12" s="451">
        <f t="shared" si="60"/>
        <v>889</v>
      </c>
      <c r="BR12" s="451">
        <f t="shared" si="61"/>
        <v>917</v>
      </c>
      <c r="BS12" s="451">
        <f t="shared" si="62"/>
        <v>1053</v>
      </c>
      <c r="BT12" s="450">
        <f t="shared" si="63"/>
        <v>1102</v>
      </c>
      <c r="BU12" s="451">
        <f t="shared" si="64"/>
        <v>1118</v>
      </c>
      <c r="BV12" s="451">
        <f t="shared" si="65"/>
        <v>1148</v>
      </c>
      <c r="BW12" s="451">
        <f t="shared" si="66"/>
        <v>1305</v>
      </c>
      <c r="BX12" s="451">
        <f t="shared" si="67"/>
        <v>1444</v>
      </c>
      <c r="BY12" s="451">
        <f t="shared" si="68"/>
        <v>1358</v>
      </c>
      <c r="BZ12" s="451">
        <f t="shared" si="69"/>
        <v>1732</v>
      </c>
      <c r="CA12" s="451">
        <f t="shared" si="70"/>
        <v>1732</v>
      </c>
      <c r="CB12" s="1189">
        <f>+CA12</f>
        <v>1732</v>
      </c>
      <c r="CC12" s="691">
        <v>-347</v>
      </c>
      <c r="CD12" s="626"/>
      <c r="CE12" s="626"/>
    </row>
    <row r="13" spans="1:83" ht="14.25" customHeight="1">
      <c r="A13" s="18"/>
      <c r="B13" s="449" t="str">
        <f t="shared" si="0"/>
        <v>Restructuring and other charges</v>
      </c>
      <c r="C13" s="142"/>
      <c r="D13" s="450">
        <f t="shared" si="1"/>
        <v>20</v>
      </c>
      <c r="E13" s="451">
        <f t="shared" si="2"/>
        <v>16</v>
      </c>
      <c r="F13" s="451">
        <f t="shared" si="3"/>
        <v>21</v>
      </c>
      <c r="G13" s="452">
        <f t="shared" si="4"/>
        <v>17</v>
      </c>
      <c r="H13" s="450">
        <f t="shared" si="5"/>
        <v>39</v>
      </c>
      <c r="I13" s="451">
        <f t="shared" si="6"/>
        <v>9</v>
      </c>
      <c r="J13" s="451">
        <f t="shared" si="7"/>
        <v>109</v>
      </c>
      <c r="K13" s="452">
        <f t="shared" si="8"/>
        <v>478</v>
      </c>
      <c r="L13" s="450">
        <f t="shared" si="9"/>
        <v>81</v>
      </c>
      <c r="M13" s="451">
        <f t="shared" si="10"/>
        <v>102</v>
      </c>
      <c r="N13" s="451">
        <f t="shared" si="11"/>
        <v>130</v>
      </c>
      <c r="O13" s="452">
        <f t="shared" si="12"/>
        <v>251</v>
      </c>
      <c r="P13" s="450">
        <f t="shared" si="13"/>
        <v>343</v>
      </c>
      <c r="Q13" s="451">
        <f t="shared" si="14"/>
        <v>117</v>
      </c>
      <c r="R13" s="451">
        <f t="shared" si="15"/>
        <v>56</v>
      </c>
      <c r="S13" s="452">
        <f t="shared" si="16"/>
        <v>279</v>
      </c>
      <c r="T13" s="450">
        <f t="shared" si="17"/>
        <v>96</v>
      </c>
      <c r="U13" s="451">
        <f t="shared" si="18"/>
        <v>116</v>
      </c>
      <c r="V13" s="451">
        <f t="shared" si="19"/>
        <v>119</v>
      </c>
      <c r="W13" s="452">
        <f t="shared" si="20"/>
        <v>37</v>
      </c>
      <c r="X13" s="450">
        <f t="shared" si="21"/>
        <v>33</v>
      </c>
      <c r="Y13" s="451">
        <f t="shared" si="22"/>
        <v>-17</v>
      </c>
      <c r="Z13" s="451">
        <f t="shared" si="23"/>
        <v>10</v>
      </c>
      <c r="AA13" s="452">
        <f t="shared" si="24"/>
        <v>41</v>
      </c>
      <c r="AB13" s="451">
        <f t="shared" si="25"/>
        <v>36</v>
      </c>
      <c r="AC13" s="451">
        <f t="shared" si="26"/>
        <v>20</v>
      </c>
      <c r="AD13" s="451">
        <f t="shared" si="27"/>
        <v>22</v>
      </c>
      <c r="AE13" s="452">
        <f t="shared" si="28"/>
        <v>18</v>
      </c>
      <c r="AF13" s="451">
        <f t="shared" si="29"/>
        <v>0</v>
      </c>
      <c r="AG13" s="451">
        <f t="shared" si="30"/>
        <v>0</v>
      </c>
      <c r="AH13" s="451">
        <f t="shared" si="31"/>
        <v>0</v>
      </c>
      <c r="AI13" s="452">
        <f t="shared" si="32"/>
        <v>0</v>
      </c>
      <c r="AJ13" s="451">
        <f t="shared" si="33"/>
        <v>0</v>
      </c>
      <c r="AK13" s="451">
        <f t="shared" si="34"/>
        <v>0</v>
      </c>
      <c r="AL13" s="451">
        <f t="shared" si="35"/>
        <v>124</v>
      </c>
      <c r="AM13" s="451">
        <f t="shared" si="36"/>
        <v>116</v>
      </c>
      <c r="AN13" s="450">
        <f t="shared" si="37"/>
        <v>0</v>
      </c>
      <c r="AO13" s="451">
        <f t="shared" si="38"/>
        <v>218</v>
      </c>
      <c r="AP13" s="451">
        <f t="shared" si="39"/>
        <v>20</v>
      </c>
      <c r="AQ13" s="452">
        <f t="shared" si="40"/>
        <v>57</v>
      </c>
      <c r="AR13" s="450">
        <f t="shared" si="41"/>
        <v>105</v>
      </c>
      <c r="AS13" s="451">
        <f t="shared" si="42"/>
        <v>248</v>
      </c>
      <c r="AT13" s="451">
        <f t="shared" si="43"/>
        <v>14</v>
      </c>
      <c r="AU13" s="452">
        <f t="shared" si="44"/>
        <v>-13</v>
      </c>
      <c r="AV13" s="450">
        <f t="shared" si="45"/>
        <v>0</v>
      </c>
      <c r="AW13" s="451">
        <f>AW100-AV13</f>
        <v>1414</v>
      </c>
      <c r="AX13" s="451">
        <f t="shared" si="47"/>
        <v>372</v>
      </c>
      <c r="AY13" s="452">
        <f t="shared" si="48"/>
        <v>100</v>
      </c>
      <c r="AZ13" s="450">
        <f t="shared" si="49"/>
        <v>80</v>
      </c>
      <c r="BA13" s="451">
        <f>BA100-AZ13</f>
        <v>105</v>
      </c>
      <c r="BB13" s="451">
        <f t="shared" si="51"/>
        <v>4</v>
      </c>
      <c r="BC13" s="452">
        <f t="shared" si="52"/>
        <v>195</v>
      </c>
      <c r="BD13" s="450">
        <f>IS!BD47</f>
        <v>0</v>
      </c>
      <c r="BE13" s="451">
        <f>IS!BE47</f>
        <v>0</v>
      </c>
      <c r="BF13" s="451">
        <f>IS!BF47</f>
        <v>0</v>
      </c>
      <c r="BG13" s="1014">
        <f>IS!BG47</f>
        <v>0</v>
      </c>
      <c r="BH13" s="450">
        <f>IS!BH47</f>
        <v>0</v>
      </c>
      <c r="BI13" s="451">
        <f>IS!BI47</f>
        <v>0</v>
      </c>
      <c r="BJ13" s="451">
        <f>IS!BJ47</f>
        <v>0</v>
      </c>
      <c r="BK13" s="1014">
        <f>IS!BK47</f>
        <v>0</v>
      </c>
      <c r="BL13" s="35"/>
      <c r="BM13" s="451">
        <f t="shared" si="56"/>
        <v>74</v>
      </c>
      <c r="BN13" s="451">
        <f t="shared" si="57"/>
        <v>635</v>
      </c>
      <c r="BO13" s="451">
        <f t="shared" si="58"/>
        <v>564</v>
      </c>
      <c r="BP13" s="451">
        <f t="shared" si="59"/>
        <v>795</v>
      </c>
      <c r="BQ13" s="451">
        <f t="shared" si="60"/>
        <v>368</v>
      </c>
      <c r="BR13" s="451">
        <f t="shared" si="61"/>
        <v>67</v>
      </c>
      <c r="BS13" s="451">
        <f t="shared" si="62"/>
        <v>96</v>
      </c>
      <c r="BT13" s="450">
        <f t="shared" si="63"/>
        <v>0</v>
      </c>
      <c r="BU13" s="451">
        <f t="shared" si="64"/>
        <v>240</v>
      </c>
      <c r="BV13" s="451">
        <f t="shared" si="65"/>
        <v>295</v>
      </c>
      <c r="BW13" s="451">
        <f t="shared" si="66"/>
        <v>354</v>
      </c>
      <c r="BX13" s="451">
        <f t="shared" si="67"/>
        <v>1886</v>
      </c>
      <c r="BY13" s="451">
        <f t="shared" si="68"/>
        <v>384</v>
      </c>
      <c r="BZ13" s="451">
        <f t="shared" si="69"/>
        <v>0</v>
      </c>
      <c r="CA13" s="451">
        <f t="shared" si="70"/>
        <v>0</v>
      </c>
      <c r="CB13" s="1189">
        <v>0</v>
      </c>
      <c r="CC13" s="691">
        <v>54</v>
      </c>
      <c r="CD13" s="626"/>
      <c r="CE13" s="626"/>
    </row>
    <row r="14" spans="1:83" ht="14.25" customHeight="1">
      <c r="A14" s="18"/>
      <c r="B14" s="449" t="str">
        <f t="shared" si="0"/>
        <v>Excess tax benefit from share-based payments</v>
      </c>
      <c r="C14" s="142"/>
      <c r="D14" s="450">
        <f t="shared" si="1"/>
        <v>101</v>
      </c>
      <c r="E14" s="451">
        <f t="shared" si="2"/>
        <v>95</v>
      </c>
      <c r="F14" s="451">
        <f t="shared" si="3"/>
        <v>88</v>
      </c>
      <c r="G14" s="452">
        <f t="shared" si="4"/>
        <v>67</v>
      </c>
      <c r="H14" s="450">
        <f t="shared" si="5"/>
        <v>-61</v>
      </c>
      <c r="I14" s="451">
        <f t="shared" si="6"/>
        <v>-45</v>
      </c>
      <c r="J14" s="451">
        <f t="shared" si="7"/>
        <v>-8</v>
      </c>
      <c r="K14" s="452">
        <f t="shared" si="8"/>
        <v>-9</v>
      </c>
      <c r="L14" s="450">
        <f t="shared" si="9"/>
        <v>-18</v>
      </c>
      <c r="M14" s="451">
        <f t="shared" si="10"/>
        <v>-38</v>
      </c>
      <c r="N14" s="451">
        <f t="shared" si="11"/>
        <v>-24</v>
      </c>
      <c r="O14" s="452">
        <f t="shared" si="12"/>
        <v>-38</v>
      </c>
      <c r="P14" s="450">
        <f t="shared" si="13"/>
        <v>-7</v>
      </c>
      <c r="Q14" s="451">
        <f t="shared" si="14"/>
        <v>-21</v>
      </c>
      <c r="R14" s="451">
        <f t="shared" si="15"/>
        <v>-2</v>
      </c>
      <c r="S14" s="452">
        <f t="shared" si="16"/>
        <v>0</v>
      </c>
      <c r="T14" s="450">
        <f t="shared" si="17"/>
        <v>0</v>
      </c>
      <c r="U14" s="451">
        <f t="shared" si="18"/>
        <v>0</v>
      </c>
      <c r="V14" s="451">
        <f t="shared" si="19"/>
        <v>-6</v>
      </c>
      <c r="W14" s="452">
        <f t="shared" si="20"/>
        <v>-3</v>
      </c>
      <c r="X14" s="450">
        <f t="shared" si="21"/>
        <v>-2</v>
      </c>
      <c r="Y14" s="451">
        <f t="shared" si="22"/>
        <v>-60</v>
      </c>
      <c r="Z14" s="451">
        <f t="shared" si="23"/>
        <v>-1</v>
      </c>
      <c r="AA14" s="452">
        <f t="shared" si="24"/>
        <v>-2</v>
      </c>
      <c r="AB14" s="451">
        <f t="shared" si="25"/>
        <v>-1</v>
      </c>
      <c r="AC14" s="451">
        <f t="shared" si="26"/>
        <v>-25</v>
      </c>
      <c r="AD14" s="451">
        <f t="shared" si="27"/>
        <v>-2</v>
      </c>
      <c r="AE14" s="452">
        <f t="shared" si="28"/>
        <v>-9</v>
      </c>
      <c r="AF14" s="451">
        <f t="shared" si="29"/>
        <v>-19</v>
      </c>
      <c r="AG14" s="451">
        <f t="shared" si="30"/>
        <v>-115</v>
      </c>
      <c r="AH14" s="451">
        <f t="shared" si="31"/>
        <v>-5</v>
      </c>
      <c r="AI14" s="452">
        <f t="shared" si="32"/>
        <v>-3</v>
      </c>
      <c r="AJ14" s="451">
        <f t="shared" si="33"/>
        <v>-1</v>
      </c>
      <c r="AK14" s="451">
        <f t="shared" si="34"/>
        <v>-37</v>
      </c>
      <c r="AL14" s="451">
        <f t="shared" si="35"/>
        <v>-4</v>
      </c>
      <c r="AM14" s="451">
        <f t="shared" si="36"/>
        <v>-7</v>
      </c>
      <c r="AN14" s="450">
        <f t="shared" si="37"/>
        <v>-7</v>
      </c>
      <c r="AO14" s="451">
        <f t="shared" si="38"/>
        <v>-58</v>
      </c>
      <c r="AP14" s="451">
        <f t="shared" si="39"/>
        <v>-44</v>
      </c>
      <c r="AQ14" s="452">
        <f t="shared" si="40"/>
        <v>-13</v>
      </c>
      <c r="AR14" s="450">
        <f t="shared" si="41"/>
        <v>-22</v>
      </c>
      <c r="AS14" s="451">
        <f t="shared" si="42"/>
        <v>-111</v>
      </c>
      <c r="AT14" s="451">
        <f t="shared" si="43"/>
        <v>-6</v>
      </c>
      <c r="AU14" s="452">
        <f t="shared" si="44"/>
        <v>-20</v>
      </c>
      <c r="AV14" s="450">
        <f t="shared" si="45"/>
        <v>-13</v>
      </c>
      <c r="AW14" s="451">
        <f t="shared" si="46"/>
        <v>-75</v>
      </c>
      <c r="AX14" s="451">
        <f t="shared" si="47"/>
        <v>-23</v>
      </c>
      <c r="AY14" s="452">
        <f t="shared" si="48"/>
        <v>-10</v>
      </c>
      <c r="AZ14" s="450">
        <f t="shared" si="49"/>
        <v>0</v>
      </c>
      <c r="BA14" s="451">
        <f t="shared" si="50"/>
        <v>0</v>
      </c>
      <c r="BB14" s="451">
        <f t="shared" si="51"/>
        <v>0</v>
      </c>
      <c r="BC14" s="452">
        <f t="shared" si="52"/>
        <v>0</v>
      </c>
      <c r="BD14" s="450">
        <v>0</v>
      </c>
      <c r="BE14" s="453">
        <v>0</v>
      </c>
      <c r="BF14" s="453">
        <v>0</v>
      </c>
      <c r="BG14" s="1015">
        <v>0</v>
      </c>
      <c r="BH14" s="450">
        <v>0</v>
      </c>
      <c r="BI14" s="453">
        <v>0</v>
      </c>
      <c r="BJ14" s="453">
        <v>0</v>
      </c>
      <c r="BK14" s="1015">
        <v>0</v>
      </c>
      <c r="BL14" s="35"/>
      <c r="BM14" s="451">
        <f t="shared" si="56"/>
        <v>351</v>
      </c>
      <c r="BN14" s="451">
        <f t="shared" si="57"/>
        <v>-123</v>
      </c>
      <c r="BO14" s="451">
        <f t="shared" si="58"/>
        <v>-118</v>
      </c>
      <c r="BP14" s="451">
        <f t="shared" si="59"/>
        <v>-30</v>
      </c>
      <c r="BQ14" s="451">
        <f t="shared" si="60"/>
        <v>-9</v>
      </c>
      <c r="BR14" s="451">
        <f t="shared" si="61"/>
        <v>-65</v>
      </c>
      <c r="BS14" s="451">
        <f t="shared" si="62"/>
        <v>-37</v>
      </c>
      <c r="BT14" s="450">
        <f t="shared" si="63"/>
        <v>-142</v>
      </c>
      <c r="BU14" s="451">
        <f t="shared" si="64"/>
        <v>-49</v>
      </c>
      <c r="BV14" s="451">
        <f t="shared" si="65"/>
        <v>-122</v>
      </c>
      <c r="BW14" s="451">
        <f t="shared" si="66"/>
        <v>-159</v>
      </c>
      <c r="BX14" s="451">
        <f t="shared" si="67"/>
        <v>-121</v>
      </c>
      <c r="BY14" s="451">
        <f t="shared" si="68"/>
        <v>0</v>
      </c>
      <c r="BZ14" s="451">
        <f t="shared" si="69"/>
        <v>0</v>
      </c>
      <c r="CA14" s="451">
        <f t="shared" si="70"/>
        <v>0</v>
      </c>
      <c r="CB14" s="1189">
        <v>0</v>
      </c>
      <c r="CC14" s="691">
        <v>0</v>
      </c>
      <c r="CD14" s="626"/>
      <c r="CE14" s="626"/>
    </row>
    <row r="15" spans="1:83" ht="14.25" customHeight="1">
      <c r="A15" s="18"/>
      <c r="B15" s="449" t="str">
        <f t="shared" si="0"/>
        <v>Amortization of intangibles</v>
      </c>
      <c r="C15" s="142"/>
      <c r="D15" s="450">
        <f t="shared" si="1"/>
        <v>67</v>
      </c>
      <c r="E15" s="451">
        <f t="shared" si="2"/>
        <v>66</v>
      </c>
      <c r="F15" s="451">
        <f t="shared" si="3"/>
        <v>59</v>
      </c>
      <c r="G15" s="452">
        <f t="shared" si="4"/>
        <v>58</v>
      </c>
      <c r="H15" s="450">
        <f t="shared" si="5"/>
        <v>75</v>
      </c>
      <c r="I15" s="451">
        <f t="shared" si="6"/>
        <v>59</v>
      </c>
      <c r="J15" s="451">
        <f t="shared" si="7"/>
        <v>63</v>
      </c>
      <c r="K15" s="452">
        <f t="shared" si="8"/>
        <v>61</v>
      </c>
      <c r="L15" s="450">
        <f t="shared" si="9"/>
        <v>64</v>
      </c>
      <c r="M15" s="451">
        <f t="shared" si="10"/>
        <v>60</v>
      </c>
      <c r="N15" s="451">
        <f t="shared" si="11"/>
        <v>65</v>
      </c>
      <c r="O15" s="452">
        <f t="shared" si="12"/>
        <v>63</v>
      </c>
      <c r="P15" s="450">
        <f t="shared" si="13"/>
        <v>63</v>
      </c>
      <c r="Q15" s="451">
        <f t="shared" si="14"/>
        <v>63</v>
      </c>
      <c r="R15" s="451">
        <f t="shared" si="15"/>
        <v>68</v>
      </c>
      <c r="S15" s="452">
        <f t="shared" si="16"/>
        <v>62</v>
      </c>
      <c r="T15" s="450">
        <f t="shared" si="17"/>
        <v>62</v>
      </c>
      <c r="U15" s="451">
        <f t="shared" si="18"/>
        <v>75</v>
      </c>
      <c r="V15" s="451">
        <f t="shared" si="19"/>
        <v>82</v>
      </c>
      <c r="W15" s="452">
        <f t="shared" si="20"/>
        <v>89</v>
      </c>
      <c r="X15" s="450">
        <f t="shared" si="21"/>
        <v>61</v>
      </c>
      <c r="Y15" s="451">
        <f t="shared" si="22"/>
        <v>63</v>
      </c>
      <c r="Z15" s="451">
        <f t="shared" si="23"/>
        <v>56</v>
      </c>
      <c r="AA15" s="452">
        <f t="shared" si="24"/>
        <v>60</v>
      </c>
      <c r="AB15" s="451">
        <f t="shared" si="25"/>
        <v>155</v>
      </c>
      <c r="AC15" s="451">
        <f t="shared" si="26"/>
        <v>256</v>
      </c>
      <c r="AD15" s="451">
        <f t="shared" si="27"/>
        <v>256</v>
      </c>
      <c r="AE15" s="452">
        <f t="shared" si="28"/>
        <v>256</v>
      </c>
      <c r="AF15" s="451">
        <f t="shared" si="29"/>
        <v>266</v>
      </c>
      <c r="AG15" s="451">
        <f t="shared" si="30"/>
        <v>267</v>
      </c>
      <c r="AH15" s="451">
        <f t="shared" si="31"/>
        <v>268</v>
      </c>
      <c r="AI15" s="452">
        <f t="shared" si="32"/>
        <v>364</v>
      </c>
      <c r="AJ15" s="451">
        <f t="shared" si="33"/>
        <v>382</v>
      </c>
      <c r="AK15" s="451">
        <f t="shared" si="34"/>
        <v>279</v>
      </c>
      <c r="AL15" s="451">
        <f t="shared" si="35"/>
        <v>292</v>
      </c>
      <c r="AM15" s="451">
        <f t="shared" si="36"/>
        <v>289</v>
      </c>
      <c r="AN15" s="450">
        <f t="shared" si="37"/>
        <v>287</v>
      </c>
      <c r="AO15" s="451">
        <f t="shared" si="38"/>
        <v>290</v>
      </c>
      <c r="AP15" s="451">
        <f t="shared" si="39"/>
        <v>307</v>
      </c>
      <c r="AQ15" s="452">
        <f t="shared" si="40"/>
        <v>285</v>
      </c>
      <c r="AR15" s="450">
        <f t="shared" si="41"/>
        <v>251</v>
      </c>
      <c r="AS15" s="451">
        <f t="shared" si="42"/>
        <v>214</v>
      </c>
      <c r="AT15" s="451">
        <f t="shared" si="43"/>
        <v>215</v>
      </c>
      <c r="AU15" s="452">
        <f t="shared" si="44"/>
        <v>210</v>
      </c>
      <c r="AV15" s="450">
        <f t="shared" si="45"/>
        <v>396</v>
      </c>
      <c r="AW15" s="451">
        <f t="shared" si="46"/>
        <v>395</v>
      </c>
      <c r="AX15" s="451">
        <f t="shared" si="47"/>
        <v>385</v>
      </c>
      <c r="AY15" s="452">
        <f t="shared" si="48"/>
        <v>348</v>
      </c>
      <c r="AZ15" s="450">
        <f t="shared" si="49"/>
        <v>321</v>
      </c>
      <c r="BA15" s="451">
        <f t="shared" si="50"/>
        <v>313</v>
      </c>
      <c r="BB15" s="451">
        <f t="shared" si="51"/>
        <v>365</v>
      </c>
      <c r="BC15" s="452">
        <f t="shared" si="52"/>
        <v>378</v>
      </c>
      <c r="BD15" s="450">
        <f t="shared" ref="BD15" si="78">BD102</f>
        <v>390</v>
      </c>
      <c r="BE15" s="451">
        <f>IS!BE19+IS!BE46</f>
        <v>40</v>
      </c>
      <c r="BF15" s="451">
        <f>IS!BF19+IS!BF46</f>
        <v>40</v>
      </c>
      <c r="BG15" s="1014">
        <f>IS!BG19+IS!BG46</f>
        <v>40</v>
      </c>
      <c r="BH15" s="450">
        <f>IS!BH19+IS!BH46</f>
        <v>40</v>
      </c>
      <c r="BI15" s="451">
        <f>IS!BI19+IS!BI46</f>
        <v>40</v>
      </c>
      <c r="BJ15" s="451">
        <f>IS!BJ19+IS!BJ46</f>
        <v>40</v>
      </c>
      <c r="BK15" s="1014">
        <f>IS!BK19+IS!BK46</f>
        <v>40</v>
      </c>
      <c r="BL15" s="35"/>
      <c r="BM15" s="451">
        <f t="shared" si="56"/>
        <v>250</v>
      </c>
      <c r="BN15" s="451">
        <f t="shared" si="57"/>
        <v>258</v>
      </c>
      <c r="BO15" s="451">
        <f t="shared" si="58"/>
        <v>252</v>
      </c>
      <c r="BP15" s="451">
        <f t="shared" si="59"/>
        <v>256</v>
      </c>
      <c r="BQ15" s="451">
        <f t="shared" si="60"/>
        <v>308</v>
      </c>
      <c r="BR15" s="451">
        <f t="shared" si="61"/>
        <v>240</v>
      </c>
      <c r="BS15" s="451">
        <f t="shared" si="62"/>
        <v>923</v>
      </c>
      <c r="BT15" s="450">
        <f t="shared" si="63"/>
        <v>1165</v>
      </c>
      <c r="BU15" s="451">
        <f t="shared" si="64"/>
        <v>1242</v>
      </c>
      <c r="BV15" s="451">
        <f t="shared" si="65"/>
        <v>1169</v>
      </c>
      <c r="BW15" s="451">
        <f t="shared" si="66"/>
        <v>890</v>
      </c>
      <c r="BX15" s="451">
        <f t="shared" si="67"/>
        <v>1524</v>
      </c>
      <c r="BY15" s="451">
        <f t="shared" si="68"/>
        <v>1377</v>
      </c>
      <c r="BZ15" s="451">
        <f t="shared" si="69"/>
        <v>510</v>
      </c>
      <c r="CA15" s="451">
        <f t="shared" si="70"/>
        <v>160</v>
      </c>
      <c r="CB15" s="1189">
        <f>+CA15*0.5</f>
        <v>80</v>
      </c>
      <c r="CC15" s="691">
        <v>0</v>
      </c>
      <c r="CD15" s="626"/>
      <c r="CE15" s="626"/>
    </row>
    <row r="16" spans="1:83" ht="14.25" customHeight="1">
      <c r="A16" s="18"/>
      <c r="B16" s="449" t="str">
        <f t="shared" si="0"/>
        <v>(Gains) losses on equity method investments, net</v>
      </c>
      <c r="C16" s="142"/>
      <c r="D16" s="450">
        <f t="shared" si="1"/>
        <v>-4</v>
      </c>
      <c r="E16" s="451">
        <f t="shared" si="2"/>
        <v>22</v>
      </c>
      <c r="F16" s="451">
        <f t="shared" si="3"/>
        <v>2</v>
      </c>
      <c r="G16" s="452">
        <f t="shared" si="4"/>
        <v>25</v>
      </c>
      <c r="H16" s="450">
        <f t="shared" si="5"/>
        <v>-2</v>
      </c>
      <c r="I16" s="451">
        <f t="shared" si="6"/>
        <v>-37</v>
      </c>
      <c r="J16" s="451">
        <f t="shared" si="7"/>
        <v>-297</v>
      </c>
      <c r="K16" s="452">
        <f t="shared" si="8"/>
        <v>-490</v>
      </c>
      <c r="L16" s="450">
        <f t="shared" si="9"/>
        <v>-29</v>
      </c>
      <c r="M16" s="451">
        <f t="shared" si="10"/>
        <v>1</v>
      </c>
      <c r="N16" s="451">
        <f t="shared" si="11"/>
        <v>-169</v>
      </c>
      <c r="O16" s="452">
        <f t="shared" si="12"/>
        <v>19</v>
      </c>
      <c r="P16" s="450">
        <f t="shared" si="13"/>
        <v>20</v>
      </c>
      <c r="Q16" s="451">
        <f t="shared" si="14"/>
        <v>109</v>
      </c>
      <c r="R16" s="451">
        <f t="shared" si="15"/>
        <v>376</v>
      </c>
      <c r="S16" s="452">
        <f t="shared" si="16"/>
        <v>1192</v>
      </c>
      <c r="T16" s="450">
        <f t="shared" si="17"/>
        <v>113</v>
      </c>
      <c r="U16" s="451">
        <f t="shared" si="18"/>
        <v>69</v>
      </c>
      <c r="V16" s="451">
        <f t="shared" si="19"/>
        <v>79</v>
      </c>
      <c r="W16" s="452">
        <f t="shared" si="20"/>
        <v>-91</v>
      </c>
      <c r="X16" s="450">
        <f t="shared" si="21"/>
        <v>31</v>
      </c>
      <c r="Y16" s="451">
        <f t="shared" si="22"/>
        <v>-193</v>
      </c>
      <c r="Z16" s="451">
        <f t="shared" si="23"/>
        <v>-77</v>
      </c>
      <c r="AA16" s="452">
        <f t="shared" si="24"/>
        <v>-109</v>
      </c>
      <c r="AB16" s="451">
        <f t="shared" si="25"/>
        <v>-192</v>
      </c>
      <c r="AC16" s="451">
        <f t="shared" si="26"/>
        <v>25</v>
      </c>
      <c r="AD16" s="451">
        <f t="shared" si="27"/>
        <v>-92</v>
      </c>
      <c r="AE16" s="452">
        <f t="shared" si="28"/>
        <v>-17</v>
      </c>
      <c r="AF16" s="451">
        <f t="shared" si="29"/>
        <v>19</v>
      </c>
      <c r="AG16" s="451">
        <f t="shared" si="30"/>
        <v>-47</v>
      </c>
      <c r="AH16" s="451">
        <f t="shared" si="31"/>
        <v>-53</v>
      </c>
      <c r="AI16" s="452">
        <f t="shared" si="32"/>
        <v>-60</v>
      </c>
      <c r="AJ16" s="451">
        <f t="shared" si="33"/>
        <v>26</v>
      </c>
      <c r="AK16" s="451">
        <f t="shared" si="34"/>
        <v>34</v>
      </c>
      <c r="AL16" s="451">
        <f t="shared" si="35"/>
        <v>-451</v>
      </c>
      <c r="AM16" s="451">
        <f t="shared" si="36"/>
        <v>-34</v>
      </c>
      <c r="AN16" s="450">
        <f t="shared" si="37"/>
        <v>-48</v>
      </c>
      <c r="AO16" s="451">
        <f t="shared" si="38"/>
        <v>-42</v>
      </c>
      <c r="AP16" s="451">
        <f t="shared" si="39"/>
        <v>-34</v>
      </c>
      <c r="AQ16" s="452">
        <f t="shared" si="40"/>
        <v>-230</v>
      </c>
      <c r="AR16" s="450">
        <f t="shared" si="41"/>
        <v>-32</v>
      </c>
      <c r="AS16" s="451">
        <f t="shared" si="42"/>
        <v>-53</v>
      </c>
      <c r="AT16" s="451">
        <f t="shared" si="43"/>
        <v>-160</v>
      </c>
      <c r="AU16" s="452">
        <f t="shared" si="44"/>
        <v>-18</v>
      </c>
      <c r="AV16" s="450">
        <f t="shared" si="45"/>
        <v>-22</v>
      </c>
      <c r="AW16" s="451">
        <f t="shared" si="46"/>
        <v>-404</v>
      </c>
      <c r="AX16" s="451">
        <f t="shared" si="47"/>
        <v>12</v>
      </c>
      <c r="AY16" s="452">
        <f t="shared" si="48"/>
        <v>-18</v>
      </c>
      <c r="AZ16" s="450">
        <f t="shared" si="49"/>
        <v>-250</v>
      </c>
      <c r="BA16" s="451">
        <f t="shared" si="50"/>
        <v>-276</v>
      </c>
      <c r="BB16" s="451">
        <f t="shared" si="51"/>
        <v>-846</v>
      </c>
      <c r="BC16" s="452">
        <f t="shared" si="52"/>
        <v>-1211</v>
      </c>
      <c r="BD16" s="450">
        <v>0</v>
      </c>
      <c r="BE16" s="453">
        <v>0</v>
      </c>
      <c r="BF16" s="453">
        <v>0</v>
      </c>
      <c r="BG16" s="1015">
        <v>0</v>
      </c>
      <c r="BH16" s="450">
        <v>0</v>
      </c>
      <c r="BI16" s="453">
        <v>0</v>
      </c>
      <c r="BJ16" s="453">
        <v>0</v>
      </c>
      <c r="BK16" s="1015">
        <v>0</v>
      </c>
      <c r="BL16" s="35"/>
      <c r="BM16" s="451">
        <f t="shared" si="56"/>
        <v>45</v>
      </c>
      <c r="BN16" s="451">
        <f t="shared" si="57"/>
        <v>-826</v>
      </c>
      <c r="BO16" s="451">
        <f t="shared" si="58"/>
        <v>-178</v>
      </c>
      <c r="BP16" s="451">
        <f t="shared" si="59"/>
        <v>1697</v>
      </c>
      <c r="BQ16" s="451">
        <f t="shared" si="60"/>
        <v>170</v>
      </c>
      <c r="BR16" s="451">
        <f t="shared" si="61"/>
        <v>-348</v>
      </c>
      <c r="BS16" s="451">
        <f t="shared" si="62"/>
        <v>-276</v>
      </c>
      <c r="BT16" s="450">
        <f t="shared" si="63"/>
        <v>-141</v>
      </c>
      <c r="BU16" s="451">
        <f t="shared" si="64"/>
        <v>-425</v>
      </c>
      <c r="BV16" s="451">
        <f t="shared" si="65"/>
        <v>-354</v>
      </c>
      <c r="BW16" s="451">
        <f t="shared" si="66"/>
        <v>-263</v>
      </c>
      <c r="BX16" s="451">
        <f t="shared" si="67"/>
        <v>-432</v>
      </c>
      <c r="BY16" s="451">
        <f t="shared" si="68"/>
        <v>-2583</v>
      </c>
      <c r="BZ16" s="451">
        <f t="shared" si="69"/>
        <v>0</v>
      </c>
      <c r="CA16" s="451">
        <f t="shared" si="70"/>
        <v>0</v>
      </c>
      <c r="CB16" s="1189">
        <v>0</v>
      </c>
      <c r="CC16" s="691">
        <v>141</v>
      </c>
      <c r="CD16" s="626"/>
      <c r="CE16" s="626"/>
    </row>
    <row r="17" spans="1:83" ht="14.25" customHeight="1">
      <c r="A17" s="18"/>
      <c r="B17" s="449" t="str">
        <f t="shared" si="0"/>
        <v>Deferred taxes</v>
      </c>
      <c r="C17" s="142"/>
      <c r="D17" s="450">
        <f t="shared" si="1"/>
        <v>5</v>
      </c>
      <c r="E17" s="451">
        <f t="shared" si="2"/>
        <v>-133</v>
      </c>
      <c r="F17" s="451">
        <f t="shared" si="3"/>
        <v>-42</v>
      </c>
      <c r="G17" s="452">
        <f t="shared" si="4"/>
        <v>-243</v>
      </c>
      <c r="H17" s="450">
        <f t="shared" si="5"/>
        <v>4</v>
      </c>
      <c r="I17" s="451">
        <f t="shared" si="6"/>
        <v>-367</v>
      </c>
      <c r="J17" s="451">
        <f t="shared" si="7"/>
        <v>20</v>
      </c>
      <c r="K17" s="452">
        <f t="shared" si="8"/>
        <v>18</v>
      </c>
      <c r="L17" s="450">
        <f t="shared" si="9"/>
        <v>-150</v>
      </c>
      <c r="M17" s="451">
        <f t="shared" si="10"/>
        <v>-63</v>
      </c>
      <c r="N17" s="451">
        <f t="shared" si="11"/>
        <v>-623</v>
      </c>
      <c r="O17" s="452">
        <f t="shared" si="12"/>
        <v>393</v>
      </c>
      <c r="P17" s="450">
        <f t="shared" si="13"/>
        <v>-137</v>
      </c>
      <c r="Q17" s="451">
        <f t="shared" si="14"/>
        <v>-188</v>
      </c>
      <c r="R17" s="451">
        <f t="shared" si="15"/>
        <v>-90</v>
      </c>
      <c r="S17" s="452">
        <f t="shared" si="16"/>
        <v>-375</v>
      </c>
      <c r="T17" s="450">
        <f t="shared" si="17"/>
        <v>50</v>
      </c>
      <c r="U17" s="451">
        <f t="shared" si="18"/>
        <v>66</v>
      </c>
      <c r="V17" s="451">
        <f t="shared" si="19"/>
        <v>65</v>
      </c>
      <c r="W17" s="452">
        <f t="shared" si="20"/>
        <v>90</v>
      </c>
      <c r="X17" s="450">
        <f t="shared" si="21"/>
        <v>-6</v>
      </c>
      <c r="Y17" s="451">
        <f t="shared" si="22"/>
        <v>8</v>
      </c>
      <c r="Z17" s="451">
        <f t="shared" si="23"/>
        <v>-38</v>
      </c>
      <c r="AA17" s="452">
        <f t="shared" si="24"/>
        <v>-10</v>
      </c>
      <c r="AB17" s="451">
        <f t="shared" si="25"/>
        <v>-109</v>
      </c>
      <c r="AC17" s="451">
        <f t="shared" si="26"/>
        <v>140</v>
      </c>
      <c r="AD17" s="451">
        <f t="shared" si="27"/>
        <v>558</v>
      </c>
      <c r="AE17" s="452">
        <f t="shared" si="28"/>
        <v>201</v>
      </c>
      <c r="AF17" s="451">
        <f t="shared" si="29"/>
        <v>-45</v>
      </c>
      <c r="AG17" s="451">
        <f t="shared" si="30"/>
        <v>100</v>
      </c>
      <c r="AH17" s="451">
        <f t="shared" si="31"/>
        <v>-97</v>
      </c>
      <c r="AI17" s="452">
        <f t="shared" si="32"/>
        <v>-200</v>
      </c>
      <c r="AJ17" s="451">
        <f t="shared" si="33"/>
        <v>-56</v>
      </c>
      <c r="AK17" s="451">
        <f t="shared" si="34"/>
        <v>-295</v>
      </c>
      <c r="AL17" s="451">
        <f t="shared" si="35"/>
        <v>-162</v>
      </c>
      <c r="AM17" s="451">
        <f t="shared" si="36"/>
        <v>-387</v>
      </c>
      <c r="AN17" s="450">
        <f t="shared" si="37"/>
        <v>-25</v>
      </c>
      <c r="AO17" s="451">
        <f t="shared" si="38"/>
        <v>-181</v>
      </c>
      <c r="AP17" s="451">
        <f t="shared" si="39"/>
        <v>-141</v>
      </c>
      <c r="AQ17" s="452">
        <f t="shared" si="40"/>
        <v>-356</v>
      </c>
      <c r="AR17" s="450">
        <f t="shared" si="41"/>
        <v>-171</v>
      </c>
      <c r="AS17" s="451">
        <f t="shared" si="42"/>
        <v>-554</v>
      </c>
      <c r="AT17" s="451">
        <f t="shared" si="43"/>
        <v>-368</v>
      </c>
      <c r="AU17" s="452">
        <f t="shared" si="44"/>
        <v>-177</v>
      </c>
      <c r="AV17" s="450">
        <f t="shared" si="45"/>
        <v>-43</v>
      </c>
      <c r="AW17" s="451">
        <f t="shared" si="46"/>
        <v>114</v>
      </c>
      <c r="AX17" s="451">
        <f t="shared" si="47"/>
        <v>-259</v>
      </c>
      <c r="AY17" s="452">
        <f t="shared" si="48"/>
        <v>445</v>
      </c>
      <c r="AZ17" s="450">
        <f t="shared" si="49"/>
        <v>212</v>
      </c>
      <c r="BA17" s="451">
        <f t="shared" si="50"/>
        <v>595</v>
      </c>
      <c r="BB17" s="451">
        <f t="shared" si="51"/>
        <v>-237</v>
      </c>
      <c r="BC17" s="452">
        <f t="shared" si="52"/>
        <v>978</v>
      </c>
      <c r="BD17" s="450">
        <f>BS!BD39-BS!BC39</f>
        <v>-1482</v>
      </c>
      <c r="BE17" s="453">
        <f>BS!BE39-BS!BD39</f>
        <v>0</v>
      </c>
      <c r="BF17" s="453">
        <f>BS!BF39-BS!BE39</f>
        <v>0</v>
      </c>
      <c r="BG17" s="1015">
        <f>BS!BG39-BS!BF39</f>
        <v>0</v>
      </c>
      <c r="BH17" s="450">
        <f>BS!BH39-BS!BG39</f>
        <v>0</v>
      </c>
      <c r="BI17" s="453">
        <f>BS!BI39-BS!BH39</f>
        <v>0</v>
      </c>
      <c r="BJ17" s="453">
        <f>BS!BJ39-BS!BI39</f>
        <v>0</v>
      </c>
      <c r="BK17" s="1015">
        <f>BS!BK39-BS!BJ39</f>
        <v>0</v>
      </c>
      <c r="BL17" s="35"/>
      <c r="BM17" s="451">
        <f t="shared" si="56"/>
        <v>-413</v>
      </c>
      <c r="BN17" s="451">
        <f t="shared" si="57"/>
        <v>-325</v>
      </c>
      <c r="BO17" s="451">
        <f t="shared" si="58"/>
        <v>-443</v>
      </c>
      <c r="BP17" s="451">
        <f t="shared" si="59"/>
        <v>-790</v>
      </c>
      <c r="BQ17" s="451">
        <f t="shared" si="60"/>
        <v>271</v>
      </c>
      <c r="BR17" s="451">
        <f t="shared" si="61"/>
        <v>-46</v>
      </c>
      <c r="BS17" s="451">
        <f t="shared" si="62"/>
        <v>790</v>
      </c>
      <c r="BT17" s="450">
        <f t="shared" si="63"/>
        <v>-242</v>
      </c>
      <c r="BU17" s="451">
        <f t="shared" si="64"/>
        <v>-900</v>
      </c>
      <c r="BV17" s="451">
        <f t="shared" si="65"/>
        <v>-703</v>
      </c>
      <c r="BW17" s="451">
        <f t="shared" si="66"/>
        <v>-1270</v>
      </c>
      <c r="BX17" s="451">
        <f t="shared" si="67"/>
        <v>257</v>
      </c>
      <c r="BY17" s="451">
        <f t="shared" si="68"/>
        <v>1548</v>
      </c>
      <c r="BZ17" s="451">
        <f t="shared" si="69"/>
        <v>-1482</v>
      </c>
      <c r="CA17" s="451">
        <f t="shared" si="70"/>
        <v>0</v>
      </c>
      <c r="CB17" s="1189">
        <v>0</v>
      </c>
      <c r="CC17" s="691">
        <v>-3654</v>
      </c>
      <c r="CD17" s="626"/>
      <c r="CE17" s="626"/>
    </row>
    <row r="18" spans="1:83" ht="14.25" customHeight="1">
      <c r="A18" s="18"/>
      <c r="B18" s="449" t="str">
        <f t="shared" si="0"/>
        <v>Other operating activities</v>
      </c>
      <c r="C18" s="142"/>
      <c r="D18" s="450">
        <f t="shared" si="1"/>
        <v>0</v>
      </c>
      <c r="E18" s="451">
        <f t="shared" si="2"/>
        <v>0</v>
      </c>
      <c r="F18" s="451">
        <f t="shared" si="3"/>
        <v>0</v>
      </c>
      <c r="G18" s="452">
        <f t="shared" si="4"/>
        <v>0</v>
      </c>
      <c r="H18" s="450">
        <f t="shared" si="5"/>
        <v>0</v>
      </c>
      <c r="I18" s="451">
        <f t="shared" si="6"/>
        <v>0</v>
      </c>
      <c r="J18" s="451">
        <f t="shared" si="7"/>
        <v>0</v>
      </c>
      <c r="K18" s="452">
        <f t="shared" si="8"/>
        <v>0</v>
      </c>
      <c r="L18" s="450">
        <f t="shared" si="9"/>
        <v>0</v>
      </c>
      <c r="M18" s="451">
        <f t="shared" si="10"/>
        <v>0</v>
      </c>
      <c r="N18" s="451">
        <f t="shared" si="11"/>
        <v>0</v>
      </c>
      <c r="O18" s="452">
        <f t="shared" si="12"/>
        <v>0</v>
      </c>
      <c r="P18" s="450">
        <f t="shared" si="13"/>
        <v>0</v>
      </c>
      <c r="Q18" s="451">
        <f t="shared" si="14"/>
        <v>0</v>
      </c>
      <c r="R18" s="451">
        <f t="shared" si="15"/>
        <v>0</v>
      </c>
      <c r="S18" s="452">
        <f t="shared" si="16"/>
        <v>0</v>
      </c>
      <c r="T18" s="450">
        <f t="shared" si="17"/>
        <v>0</v>
      </c>
      <c r="U18" s="451">
        <f t="shared" si="18"/>
        <v>0</v>
      </c>
      <c r="V18" s="451">
        <f t="shared" si="19"/>
        <v>0</v>
      </c>
      <c r="W18" s="452">
        <f t="shared" si="20"/>
        <v>0</v>
      </c>
      <c r="X18" s="450">
        <f t="shared" si="21"/>
        <v>0</v>
      </c>
      <c r="Y18" s="451">
        <f t="shared" si="22"/>
        <v>0</v>
      </c>
      <c r="Z18" s="451">
        <f t="shared" si="23"/>
        <v>0</v>
      </c>
      <c r="AA18" s="452">
        <f t="shared" si="24"/>
        <v>0</v>
      </c>
      <c r="AB18" s="451">
        <f t="shared" si="25"/>
        <v>0</v>
      </c>
      <c r="AC18" s="451">
        <f t="shared" si="26"/>
        <v>0</v>
      </c>
      <c r="AD18" s="451">
        <f t="shared" si="27"/>
        <v>0</v>
      </c>
      <c r="AE18" s="452">
        <f t="shared" si="28"/>
        <v>0</v>
      </c>
      <c r="AF18" s="451">
        <f t="shared" si="29"/>
        <v>0</v>
      </c>
      <c r="AG18" s="451">
        <f t="shared" si="30"/>
        <v>0</v>
      </c>
      <c r="AH18" s="451">
        <f t="shared" si="31"/>
        <v>0</v>
      </c>
      <c r="AI18" s="452">
        <f t="shared" si="32"/>
        <v>0</v>
      </c>
      <c r="AJ18" s="451">
        <f t="shared" si="33"/>
        <v>0</v>
      </c>
      <c r="AK18" s="451">
        <f t="shared" si="34"/>
        <v>0</v>
      </c>
      <c r="AL18" s="451">
        <f t="shared" si="35"/>
        <v>0</v>
      </c>
      <c r="AM18" s="451">
        <f t="shared" si="36"/>
        <v>0</v>
      </c>
      <c r="AN18" s="450">
        <f t="shared" si="37"/>
        <v>0</v>
      </c>
      <c r="AO18" s="451">
        <f t="shared" si="38"/>
        <v>0</v>
      </c>
      <c r="AP18" s="451">
        <f>AP105-AO18</f>
        <v>0</v>
      </c>
      <c r="AQ18" s="452">
        <f t="shared" si="40"/>
        <v>0</v>
      </c>
      <c r="AR18" s="450">
        <f t="shared" si="41"/>
        <v>0</v>
      </c>
      <c r="AS18" s="451">
        <f t="shared" si="42"/>
        <v>0</v>
      </c>
      <c r="AT18" s="451">
        <f>AT105-AS18</f>
        <v>0</v>
      </c>
      <c r="AU18" s="452">
        <f t="shared" si="44"/>
        <v>0</v>
      </c>
      <c r="AV18" s="450">
        <f t="shared" si="45"/>
        <v>0</v>
      </c>
      <c r="AW18" s="451">
        <f t="shared" si="46"/>
        <v>0</v>
      </c>
      <c r="AX18" s="451">
        <f>AX105-AW18</f>
        <v>0</v>
      </c>
      <c r="AY18" s="452">
        <f t="shared" si="48"/>
        <v>0</v>
      </c>
      <c r="AZ18" s="450">
        <f t="shared" si="49"/>
        <v>0</v>
      </c>
      <c r="BA18" s="451">
        <f t="shared" si="50"/>
        <v>-387</v>
      </c>
      <c r="BB18" s="451">
        <f>BB105-BA18</f>
        <v>0</v>
      </c>
      <c r="BC18" s="452">
        <f t="shared" si="52"/>
        <v>476</v>
      </c>
      <c r="BD18" s="450">
        <f>BS!BD63-BS!BC63</f>
        <v>0</v>
      </c>
      <c r="BE18" s="602">
        <f>BS!BE63-BS!BD63</f>
        <v>0</v>
      </c>
      <c r="BF18" s="602">
        <f>BS!BF63-BS!BE63</f>
        <v>0</v>
      </c>
      <c r="BG18" s="1016">
        <f>BS!BG63-BS!BF63</f>
        <v>0</v>
      </c>
      <c r="BH18" s="450">
        <f>BS!BH63-BS!BG63</f>
        <v>0</v>
      </c>
      <c r="BI18" s="602">
        <f>BS!BI63-BS!BH63</f>
        <v>0</v>
      </c>
      <c r="BJ18" s="602">
        <f>BS!BJ63-BS!BI63</f>
        <v>0</v>
      </c>
      <c r="BK18" s="1016">
        <f>BS!BK63-BS!BJ63</f>
        <v>0</v>
      </c>
      <c r="BL18" s="35"/>
      <c r="BM18" s="451">
        <f t="shared" si="56"/>
        <v>0</v>
      </c>
      <c r="BN18" s="451">
        <f t="shared" si="57"/>
        <v>0</v>
      </c>
      <c r="BO18" s="451">
        <f t="shared" si="58"/>
        <v>0</v>
      </c>
      <c r="BP18" s="451">
        <f t="shared" si="59"/>
        <v>0</v>
      </c>
      <c r="BQ18" s="451">
        <f t="shared" si="60"/>
        <v>0</v>
      </c>
      <c r="BR18" s="451">
        <f t="shared" si="61"/>
        <v>0</v>
      </c>
      <c r="BS18" s="451">
        <f t="shared" si="62"/>
        <v>0</v>
      </c>
      <c r="BT18" s="450">
        <f t="shared" si="63"/>
        <v>0</v>
      </c>
      <c r="BU18" s="451">
        <f t="shared" si="64"/>
        <v>0</v>
      </c>
      <c r="BV18" s="451">
        <f t="shared" si="65"/>
        <v>0</v>
      </c>
      <c r="BW18" s="451">
        <f t="shared" si="66"/>
        <v>0</v>
      </c>
      <c r="BX18" s="451">
        <f t="shared" si="67"/>
        <v>0</v>
      </c>
      <c r="BY18" s="451">
        <f t="shared" si="68"/>
        <v>89</v>
      </c>
      <c r="BZ18" s="451">
        <f t="shared" si="69"/>
        <v>0</v>
      </c>
      <c r="CA18" s="451">
        <f t="shared" si="70"/>
        <v>0</v>
      </c>
      <c r="CB18" s="1188">
        <f>BS!CB63-BS!CA63</f>
        <v>0</v>
      </c>
      <c r="CC18" s="691">
        <v>0</v>
      </c>
      <c r="CD18" s="626"/>
      <c r="CE18" s="626"/>
    </row>
    <row r="19" spans="1:83" ht="14.25" customHeight="1">
      <c r="A19" s="18"/>
      <c r="B19" s="278" t="str">
        <f t="shared" si="0"/>
        <v>Changes in current assets and liabilities:</v>
      </c>
      <c r="C19" s="103"/>
      <c r="D19" s="450"/>
      <c r="E19" s="451"/>
      <c r="F19" s="451"/>
      <c r="G19" s="452"/>
      <c r="H19" s="450"/>
      <c r="I19" s="451"/>
      <c r="J19" s="451"/>
      <c r="K19" s="452"/>
      <c r="L19" s="450"/>
      <c r="M19" s="451"/>
      <c r="N19" s="451"/>
      <c r="O19" s="452"/>
      <c r="P19" s="450"/>
      <c r="Q19" s="451"/>
      <c r="R19" s="451"/>
      <c r="S19" s="452"/>
      <c r="T19" s="450"/>
      <c r="U19" s="451"/>
      <c r="V19" s="451"/>
      <c r="W19" s="452"/>
      <c r="X19" s="450"/>
      <c r="Y19" s="451"/>
      <c r="Z19" s="451"/>
      <c r="AA19" s="452"/>
      <c r="AB19" s="451"/>
      <c r="AC19" s="451"/>
      <c r="AD19" s="451"/>
      <c r="AE19" s="452"/>
      <c r="AF19" s="451"/>
      <c r="AG19" s="451"/>
      <c r="AH19" s="451"/>
      <c r="AI19" s="452"/>
      <c r="AJ19" s="451"/>
      <c r="AK19" s="451"/>
      <c r="AL19" s="451"/>
      <c r="AM19" s="451"/>
      <c r="AN19" s="450"/>
      <c r="AO19" s="451"/>
      <c r="AP19" s="451"/>
      <c r="AQ19" s="452"/>
      <c r="AR19" s="450"/>
      <c r="AS19" s="451"/>
      <c r="AT19" s="451"/>
      <c r="AU19" s="452"/>
      <c r="AV19" s="450"/>
      <c r="AW19" s="451"/>
      <c r="AX19" s="451"/>
      <c r="AY19" s="452"/>
      <c r="AZ19" s="450"/>
      <c r="BA19" s="451"/>
      <c r="BB19" s="451"/>
      <c r="BC19" s="452"/>
      <c r="BD19" s="450"/>
      <c r="BE19" s="602"/>
      <c r="BF19" s="602"/>
      <c r="BG19" s="1016"/>
      <c r="BH19" s="450"/>
      <c r="BI19" s="602"/>
      <c r="BJ19" s="602"/>
      <c r="BK19" s="1016"/>
      <c r="BL19" s="35"/>
      <c r="BM19" s="451"/>
      <c r="BN19" s="451"/>
      <c r="BO19" s="451"/>
      <c r="BP19" s="451"/>
      <c r="BQ19" s="451"/>
      <c r="BR19" s="451"/>
      <c r="BS19" s="451"/>
      <c r="BT19" s="450"/>
      <c r="BU19" s="451"/>
      <c r="BV19" s="451"/>
      <c r="BW19" s="451"/>
      <c r="BX19" s="451"/>
      <c r="BY19" s="451"/>
      <c r="BZ19" s="451"/>
      <c r="CA19" s="451"/>
      <c r="CB19" s="1188"/>
      <c r="CC19" s="691">
        <v>1637</v>
      </c>
      <c r="CD19" s="626"/>
      <c r="CE19" s="626"/>
    </row>
    <row r="20" spans="1:83" ht="14.25" customHeight="1">
      <c r="A20" s="18"/>
      <c r="B20" s="449" t="str">
        <f t="shared" si="0"/>
        <v>Accounts receivable</v>
      </c>
      <c r="C20" s="142"/>
      <c r="D20" s="450">
        <f t="shared" ref="D20:D26" si="79">D107</f>
        <v>-227</v>
      </c>
      <c r="E20" s="451">
        <f t="shared" ref="E20:E26" si="80">E107-D20</f>
        <v>-221</v>
      </c>
      <c r="F20" s="451">
        <f t="shared" ref="F20:F26" si="81">F107-E20-D20</f>
        <v>-300</v>
      </c>
      <c r="G20" s="452">
        <f t="shared" ref="G20:G26" si="82">G107-F20-E20-D20</f>
        <v>-164</v>
      </c>
      <c r="H20" s="450">
        <f t="shared" ref="H20:H26" si="83">H107</f>
        <v>2</v>
      </c>
      <c r="I20" s="451">
        <f t="shared" ref="I20:I26" si="84">I107-H20</f>
        <v>744</v>
      </c>
      <c r="J20" s="451">
        <f t="shared" ref="J20:J26" si="85">J107-I20-H20</f>
        <v>-147</v>
      </c>
      <c r="K20" s="452">
        <f t="shared" ref="K20:K26" si="86">K107-J20-I20-H20</f>
        <v>630</v>
      </c>
      <c r="L20" s="450">
        <f t="shared" ref="L20:L26" si="87">L107</f>
        <v>17</v>
      </c>
      <c r="M20" s="451">
        <f t="shared" ref="M20:M26" si="88">M107-L20</f>
        <v>334</v>
      </c>
      <c r="N20" s="451">
        <f t="shared" ref="N20:N26" si="89">N107-M20-L20</f>
        <v>-329</v>
      </c>
      <c r="O20" s="452">
        <f t="shared" ref="O20:O26" si="90">O107-N20-M20-L20</f>
        <v>294</v>
      </c>
      <c r="P20" s="450">
        <f t="shared" ref="P20:P26" si="91">P107</f>
        <v>-172</v>
      </c>
      <c r="Q20" s="451">
        <f t="shared" ref="Q20:Q26" si="92">Q107-P20</f>
        <v>312</v>
      </c>
      <c r="R20" s="451">
        <f t="shared" ref="R20:R26" si="93">R107-Q20-P20</f>
        <v>-611</v>
      </c>
      <c r="S20" s="452">
        <f t="shared" ref="S20:S26" si="94">S107-R20-Q20-P20</f>
        <v>731</v>
      </c>
      <c r="T20" s="450">
        <f t="shared" ref="T20:T26" si="95">T107</f>
        <v>-374</v>
      </c>
      <c r="U20" s="451">
        <f t="shared" ref="U20:U26" si="96">U107-T20</f>
        <v>148</v>
      </c>
      <c r="V20" s="451">
        <f t="shared" ref="V20:V26" si="97">V107-U20-T20</f>
        <v>-61</v>
      </c>
      <c r="W20" s="452">
        <f t="shared" ref="W20:W26" si="98">W107-V20-U20-T20</f>
        <v>-248</v>
      </c>
      <c r="X20" s="450">
        <f t="shared" ref="X20:X26" si="99">X107</f>
        <v>88</v>
      </c>
      <c r="Y20" s="451">
        <f t="shared" ref="Y20:Y26" si="100">Y107-X20</f>
        <v>-235</v>
      </c>
      <c r="Z20" s="451">
        <f t="shared" ref="Z20:Z26" si="101">Z107-Y20-X20</f>
        <v>-481</v>
      </c>
      <c r="AA20" s="452">
        <f t="shared" ref="AA20:AA26" si="102">AA107-Z20-Y20-X20</f>
        <v>44</v>
      </c>
      <c r="AB20" s="451">
        <f t="shared" ref="AB20:AB26" si="103">AB107</f>
        <v>-504</v>
      </c>
      <c r="AC20" s="451">
        <f t="shared" ref="AC20:AC26" si="104">AC107-AB20</f>
        <v>116</v>
      </c>
      <c r="AD20" s="451">
        <f t="shared" ref="AD20:AD26" si="105">AD107-AC20-AB20</f>
        <v>-468</v>
      </c>
      <c r="AE20" s="452">
        <f t="shared" ref="AE20:AE26" si="106">AE107-AD20-AC20-AB20</f>
        <v>178</v>
      </c>
      <c r="AF20" s="451">
        <f t="shared" ref="AF20:AF25" si="107">AF107</f>
        <v>-387</v>
      </c>
      <c r="AG20" s="451">
        <f t="shared" ref="AG20:AG26" si="108">AG107-AF20</f>
        <v>490</v>
      </c>
      <c r="AH20" s="451">
        <f t="shared" ref="AH20:AH26" si="109">AH107-AG20-AF20</f>
        <v>-386</v>
      </c>
      <c r="AI20" s="452">
        <f t="shared" ref="AI20:AI26" si="110">AI107-AH20-AG20-AF20</f>
        <v>107</v>
      </c>
      <c r="AJ20" s="451">
        <f t="shared" ref="AJ20:AJ25" si="111">AJ107</f>
        <v>293</v>
      </c>
      <c r="AK20" s="451">
        <f t="shared" ref="AK20:AK26" si="112">AK107-AJ20</f>
        <v>75</v>
      </c>
      <c r="AL20" s="451">
        <f t="shared" ref="AL20:AL26" si="113">AL107-AK20-AJ20</f>
        <v>-237</v>
      </c>
      <c r="AM20" s="451">
        <f t="shared" ref="AM20:AM26" si="114">AM107-AL20-AK20-AJ20</f>
        <v>140</v>
      </c>
      <c r="AN20" s="450">
        <f t="shared" ref="AN20:AN25" si="115">AN107</f>
        <v>78</v>
      </c>
      <c r="AO20" s="451">
        <f t="shared" ref="AO20:AO26" si="116">AO107-AN20</f>
        <v>11</v>
      </c>
      <c r="AP20" s="451">
        <f t="shared" ref="AP20:AP26" si="117">AP107-AO20-AN20</f>
        <v>-165</v>
      </c>
      <c r="AQ20" s="452">
        <f t="shared" ref="AQ20:AQ26" si="118">AQ107-AP20-AO20-AN20</f>
        <v>-785</v>
      </c>
      <c r="AR20" s="450">
        <f t="shared" ref="AR20:AR25" si="119">AR107</f>
        <v>1167</v>
      </c>
      <c r="AS20" s="451">
        <f t="shared" ref="AS20:AS26" si="120">AS107-AR20</f>
        <v>-594</v>
      </c>
      <c r="AT20" s="451">
        <f t="shared" ref="AT20:AT26" si="121">AT107-AS20-AR20</f>
        <v>-241</v>
      </c>
      <c r="AU20" s="452">
        <f t="shared" ref="AU20:AU26" si="122">AU107-AT20-AS20-AR20</f>
        <v>-687</v>
      </c>
      <c r="AV20" s="450">
        <f t="shared" ref="AV20:AV25" si="123">AV107</f>
        <v>942</v>
      </c>
      <c r="AW20" s="451">
        <f t="shared" ref="AW20:AW26" si="124">AW107-AV20</f>
        <v>-208</v>
      </c>
      <c r="AX20" s="451">
        <f t="shared" ref="AX20:AX26" si="125">AX107-AW20-AV20</f>
        <v>-834</v>
      </c>
      <c r="AY20" s="452">
        <f t="shared" ref="AY20:AY26" si="126">AY107-AX20-AW20-AV20</f>
        <v>165</v>
      </c>
      <c r="AZ20" s="450">
        <f t="shared" ref="AZ20:AZ25" si="127">AZ107</f>
        <v>-105</v>
      </c>
      <c r="BA20" s="451">
        <f t="shared" ref="BA20:BA26" si="128">BA107-AZ20</f>
        <v>-513</v>
      </c>
      <c r="BB20" s="451">
        <f t="shared" ref="BB20:BB26" si="129">BB107-BA20-AZ20</f>
        <v>-510</v>
      </c>
      <c r="BC20" s="452">
        <f t="shared" ref="BC20:BC26" si="130">BC107-BB20-BA20-AZ20</f>
        <v>347</v>
      </c>
      <c r="BD20" s="1017">
        <f>BS!BC12-BS!BD12</f>
        <v>728</v>
      </c>
      <c r="BE20" s="602">
        <f>BS!BD12-BS!BE12</f>
        <v>-14.123142292712146</v>
      </c>
      <c r="BF20" s="602">
        <f>BS!BE12-BS!BF12</f>
        <v>-372.39523959448979</v>
      </c>
      <c r="BG20" s="1016">
        <f>BS!BF12-BS!BG12</f>
        <v>-63.611127821794071</v>
      </c>
      <c r="BH20" s="1017">
        <f>BS!BG12-BS!BH12</f>
        <v>668.96961267083043</v>
      </c>
      <c r="BI20" s="602">
        <f>BS!BH12-BS!BI12</f>
        <v>-102.52602583619591</v>
      </c>
      <c r="BJ20" s="602">
        <f>BS!BI12-BS!BJ12</f>
        <v>-429.54951494644047</v>
      </c>
      <c r="BK20" s="1016">
        <f>BS!BJ12-BS!BK12</f>
        <v>-101.05235817431276</v>
      </c>
      <c r="BL20" s="35"/>
      <c r="BM20" s="451">
        <f t="shared" ref="BM20:BM26" si="131">SUM(D20:G20)</f>
        <v>-912</v>
      </c>
      <c r="BN20" s="451">
        <f t="shared" ref="BN20:BN26" si="132">SUM(H20:K20)</f>
        <v>1229</v>
      </c>
      <c r="BO20" s="451">
        <f t="shared" ref="BO20:BO26" si="133">SUM(L20:O20)</f>
        <v>316</v>
      </c>
      <c r="BP20" s="451">
        <f t="shared" ref="BP20:BP26" si="134">SUM(P20:S20)</f>
        <v>260</v>
      </c>
      <c r="BQ20" s="451">
        <f t="shared" ref="BQ20:BQ26" si="135">SUM(T20:W20)</f>
        <v>-535</v>
      </c>
      <c r="BR20" s="451">
        <f t="shared" ref="BR20:BR26" si="136">SUM(X20:AA20)</f>
        <v>-584</v>
      </c>
      <c r="BS20" s="451">
        <f t="shared" ref="BS20:BS26" si="137">SUM(AB20:AE20)</f>
        <v>-678</v>
      </c>
      <c r="BT20" s="450">
        <f t="shared" ref="BT20:BT26" si="138">SUM(AF20:AI20)</f>
        <v>-176</v>
      </c>
      <c r="BU20" s="451">
        <f t="shared" ref="BU20:BU26" si="139">SUM(AJ20:AM20)</f>
        <v>271</v>
      </c>
      <c r="BV20" s="451">
        <f t="shared" ref="BV20:BV26" si="140">SUM(AN20:AQ20)</f>
        <v>-861</v>
      </c>
      <c r="BW20" s="451">
        <f t="shared" ref="BW20:BW26" si="141">SUM(AR20:AU20)</f>
        <v>-355</v>
      </c>
      <c r="BX20" s="451">
        <f t="shared" ref="BX20:BX26" si="142">SUM(AV20:AY20)</f>
        <v>65</v>
      </c>
      <c r="BY20" s="451">
        <f t="shared" ref="BY20:BY26" si="143">SUM(AZ20:BC20)</f>
        <v>-781</v>
      </c>
      <c r="BZ20" s="451">
        <f t="shared" ref="BZ20:BZ26" si="144">SUM(BD20:BG20)</f>
        <v>277.87049029100399</v>
      </c>
      <c r="CA20" s="451">
        <f t="shared" ref="CA20:CA26" si="145">SUM(BH20:BK20)</f>
        <v>35.84171371388129</v>
      </c>
      <c r="CB20" s="1188">
        <f>BS!CA12-BS!CB12</f>
        <v>-52.932877959950929</v>
      </c>
      <c r="CC20" s="691">
        <v>-1867</v>
      </c>
      <c r="CD20" s="626"/>
      <c r="CE20" s="626"/>
    </row>
    <row r="21" spans="1:83" ht="14.25" customHeight="1">
      <c r="A21" s="18"/>
      <c r="B21" s="449" t="str">
        <f t="shared" si="0"/>
        <v>Inventory</v>
      </c>
      <c r="C21" s="142"/>
      <c r="D21" s="450">
        <f t="shared" si="79"/>
        <v>-187</v>
      </c>
      <c r="E21" s="451">
        <f t="shared" si="80"/>
        <v>70</v>
      </c>
      <c r="F21" s="451">
        <f t="shared" si="81"/>
        <v>-76</v>
      </c>
      <c r="G21" s="452">
        <f t="shared" si="82"/>
        <v>-307</v>
      </c>
      <c r="H21" s="450">
        <f t="shared" si="83"/>
        <v>-359</v>
      </c>
      <c r="I21" s="451">
        <f t="shared" si="84"/>
        <v>-737</v>
      </c>
      <c r="J21" s="451">
        <f t="shared" si="85"/>
        <v>-167</v>
      </c>
      <c r="K21" s="452">
        <f t="shared" si="86"/>
        <v>147</v>
      </c>
      <c r="L21" s="450">
        <f t="shared" si="87"/>
        <v>-65</v>
      </c>
      <c r="M21" s="451">
        <f t="shared" si="88"/>
        <v>227</v>
      </c>
      <c r="N21" s="451">
        <f t="shared" si="89"/>
        <v>582</v>
      </c>
      <c r="O21" s="452">
        <f t="shared" si="90"/>
        <v>-44</v>
      </c>
      <c r="P21" s="450">
        <f t="shared" si="91"/>
        <v>75</v>
      </c>
      <c r="Q21" s="451">
        <f t="shared" si="92"/>
        <v>-4</v>
      </c>
      <c r="R21" s="451">
        <f t="shared" si="93"/>
        <v>-131</v>
      </c>
      <c r="S21" s="452">
        <f t="shared" si="94"/>
        <v>-335</v>
      </c>
      <c r="T21" s="450">
        <f t="shared" si="95"/>
        <v>686</v>
      </c>
      <c r="U21" s="451">
        <f t="shared" si="96"/>
        <v>241</v>
      </c>
      <c r="V21" s="451">
        <f t="shared" si="97"/>
        <v>309</v>
      </c>
      <c r="W21" s="452">
        <f t="shared" si="98"/>
        <v>-440</v>
      </c>
      <c r="X21" s="450">
        <f t="shared" si="99"/>
        <v>-51</v>
      </c>
      <c r="Y21" s="451">
        <f t="shared" si="100"/>
        <v>-344</v>
      </c>
      <c r="Z21" s="451">
        <f t="shared" si="101"/>
        <v>-84</v>
      </c>
      <c r="AA21" s="452">
        <f t="shared" si="102"/>
        <v>-327</v>
      </c>
      <c r="AB21" s="451">
        <f t="shared" si="103"/>
        <v>-251</v>
      </c>
      <c r="AC21" s="451">
        <f t="shared" si="104"/>
        <v>67</v>
      </c>
      <c r="AD21" s="451">
        <f t="shared" si="105"/>
        <v>74</v>
      </c>
      <c r="AE21" s="452">
        <f t="shared" si="106"/>
        <v>-133</v>
      </c>
      <c r="AF21" s="451">
        <f t="shared" si="107"/>
        <v>-381</v>
      </c>
      <c r="AG21" s="451">
        <f t="shared" si="108"/>
        <v>-401</v>
      </c>
      <c r="AH21" s="451">
        <f t="shared" si="109"/>
        <v>-416</v>
      </c>
      <c r="AI21" s="452">
        <f t="shared" si="110"/>
        <v>572</v>
      </c>
      <c r="AJ21" s="451">
        <f t="shared" si="111"/>
        <v>372</v>
      </c>
      <c r="AK21" s="451">
        <f t="shared" si="112"/>
        <v>-177</v>
      </c>
      <c r="AL21" s="451">
        <f t="shared" si="113"/>
        <v>10</v>
      </c>
      <c r="AM21" s="451">
        <f t="shared" si="114"/>
        <v>358</v>
      </c>
      <c r="AN21" s="450">
        <f t="shared" si="115"/>
        <v>405</v>
      </c>
      <c r="AO21" s="451">
        <f t="shared" si="116"/>
        <v>-170</v>
      </c>
      <c r="AP21" s="451">
        <f t="shared" si="117"/>
        <v>-176</v>
      </c>
      <c r="AQ21" s="452">
        <f t="shared" si="118"/>
        <v>-157</v>
      </c>
      <c r="AR21" s="450">
        <f t="shared" si="119"/>
        <v>-137</v>
      </c>
      <c r="AS21" s="451">
        <f t="shared" si="120"/>
        <v>-352</v>
      </c>
      <c r="AT21" s="451">
        <f t="shared" si="121"/>
        <v>-151</v>
      </c>
      <c r="AU21" s="452">
        <f t="shared" si="122"/>
        <v>-124</v>
      </c>
      <c r="AV21" s="450">
        <f t="shared" si="123"/>
        <v>-57</v>
      </c>
      <c r="AW21" s="451">
        <f t="shared" si="124"/>
        <v>-47</v>
      </c>
      <c r="AX21" s="451">
        <f t="shared" si="125"/>
        <v>-14</v>
      </c>
      <c r="AY21" s="452">
        <f t="shared" si="126"/>
        <v>237</v>
      </c>
      <c r="AZ21" s="450">
        <f t="shared" si="127"/>
        <v>-232</v>
      </c>
      <c r="BA21" s="451">
        <f t="shared" si="128"/>
        <v>-528</v>
      </c>
      <c r="BB21" s="451">
        <f t="shared" si="129"/>
        <v>-485</v>
      </c>
      <c r="BC21" s="452">
        <f t="shared" si="130"/>
        <v>-55</v>
      </c>
      <c r="BD21" s="1017">
        <f>BS!BC13-BS!BD13</f>
        <v>-163</v>
      </c>
      <c r="BE21" s="602">
        <f>BS!BD13-BS!BE13</f>
        <v>866.49196739101899</v>
      </c>
      <c r="BF21" s="602">
        <f>BS!BE13-BS!BF13</f>
        <v>-390.14858444814308</v>
      </c>
      <c r="BG21" s="1016">
        <f>BS!BF13-BS!BG13</f>
        <v>-80.574095240937822</v>
      </c>
      <c r="BH21" s="1017">
        <f>BS!BG13-BS!BH13</f>
        <v>620.32807850170502</v>
      </c>
      <c r="BI21" s="602">
        <f>BS!BH13-BS!BI13</f>
        <v>-217.29225957274502</v>
      </c>
      <c r="BJ21" s="602">
        <f>BS!BI13-BS!BJ13</f>
        <v>-572.45733434208341</v>
      </c>
      <c r="BK21" s="1016">
        <f>BS!BJ13-BS!BK13</f>
        <v>-43.057103943927359</v>
      </c>
      <c r="BL21" s="35"/>
      <c r="BM21" s="451">
        <f t="shared" si="131"/>
        <v>-500</v>
      </c>
      <c r="BN21" s="451">
        <f t="shared" si="132"/>
        <v>-1116</v>
      </c>
      <c r="BO21" s="451">
        <f t="shared" si="133"/>
        <v>700</v>
      </c>
      <c r="BP21" s="451">
        <f t="shared" si="134"/>
        <v>-395</v>
      </c>
      <c r="BQ21" s="451">
        <f t="shared" si="135"/>
        <v>796</v>
      </c>
      <c r="BR21" s="451">
        <f t="shared" si="136"/>
        <v>-806</v>
      </c>
      <c r="BS21" s="451">
        <f t="shared" si="137"/>
        <v>-243</v>
      </c>
      <c r="BT21" s="450">
        <f t="shared" si="138"/>
        <v>-626</v>
      </c>
      <c r="BU21" s="451">
        <f t="shared" si="139"/>
        <v>563</v>
      </c>
      <c r="BV21" s="451">
        <f t="shared" si="140"/>
        <v>-98</v>
      </c>
      <c r="BW21" s="451">
        <f t="shared" si="141"/>
        <v>-764</v>
      </c>
      <c r="BX21" s="451">
        <f t="shared" si="142"/>
        <v>119</v>
      </c>
      <c r="BY21" s="451">
        <f t="shared" si="143"/>
        <v>-1300</v>
      </c>
      <c r="BZ21" s="451">
        <f t="shared" si="144"/>
        <v>232.76928770193808</v>
      </c>
      <c r="CA21" s="451">
        <f t="shared" si="145"/>
        <v>-212.47861935705077</v>
      </c>
      <c r="CB21" s="1188">
        <f>BS!CA13-BS!CB13</f>
        <v>-130.01736424032515</v>
      </c>
      <c r="CC21" s="691">
        <v>-132</v>
      </c>
      <c r="CD21" s="626"/>
      <c r="CE21" s="626"/>
    </row>
    <row r="22" spans="1:83" ht="14.25" customHeight="1">
      <c r="A22" s="18"/>
      <c r="B22" s="449" t="str">
        <f t="shared" si="0"/>
        <v>Prepaid expenses and other assets</v>
      </c>
      <c r="C22" s="142"/>
      <c r="D22" s="450">
        <f t="shared" si="79"/>
        <v>668</v>
      </c>
      <c r="E22" s="451">
        <f t="shared" si="80"/>
        <v>219</v>
      </c>
      <c r="F22" s="451">
        <f t="shared" si="81"/>
        <v>242</v>
      </c>
      <c r="G22" s="452">
        <f t="shared" si="82"/>
        <v>477</v>
      </c>
      <c r="H22" s="450">
        <f t="shared" si="83"/>
        <v>193</v>
      </c>
      <c r="I22" s="451">
        <f t="shared" si="84"/>
        <v>43</v>
      </c>
      <c r="J22" s="451">
        <f t="shared" si="85"/>
        <v>126</v>
      </c>
      <c r="K22" s="452">
        <f t="shared" si="86"/>
        <v>-38</v>
      </c>
      <c r="L22" s="450">
        <f t="shared" si="87"/>
        <v>-201</v>
      </c>
      <c r="M22" s="451">
        <f t="shared" si="88"/>
        <v>-400</v>
      </c>
      <c r="N22" s="451">
        <f t="shared" si="89"/>
        <v>-489</v>
      </c>
      <c r="O22" s="452">
        <f t="shared" si="90"/>
        <v>-339</v>
      </c>
      <c r="P22" s="450">
        <f t="shared" si="91"/>
        <v>38</v>
      </c>
      <c r="Q22" s="451">
        <f t="shared" si="92"/>
        <v>11</v>
      </c>
      <c r="R22" s="451">
        <f t="shared" si="93"/>
        <v>34</v>
      </c>
      <c r="S22" s="452">
        <f t="shared" si="94"/>
        <v>110</v>
      </c>
      <c r="T22" s="450">
        <f t="shared" si="95"/>
        <v>13</v>
      </c>
      <c r="U22" s="451">
        <f t="shared" si="96"/>
        <v>-33</v>
      </c>
      <c r="V22" s="451">
        <f t="shared" si="97"/>
        <v>319</v>
      </c>
      <c r="W22" s="452">
        <f t="shared" si="98"/>
        <v>0</v>
      </c>
      <c r="X22" s="450">
        <f t="shared" si="99"/>
        <v>0</v>
      </c>
      <c r="Y22" s="451">
        <f t="shared" si="100"/>
        <v>0</v>
      </c>
      <c r="Z22" s="451">
        <f t="shared" si="101"/>
        <v>0</v>
      </c>
      <c r="AA22" s="452">
        <f t="shared" si="102"/>
        <v>0</v>
      </c>
      <c r="AB22" s="451">
        <f t="shared" si="103"/>
        <v>0</v>
      </c>
      <c r="AC22" s="451">
        <f t="shared" si="104"/>
        <v>0</v>
      </c>
      <c r="AD22" s="451">
        <f t="shared" si="105"/>
        <v>0</v>
      </c>
      <c r="AE22" s="452">
        <f t="shared" si="106"/>
        <v>0</v>
      </c>
      <c r="AF22" s="451">
        <f t="shared" si="107"/>
        <v>0</v>
      </c>
      <c r="AG22" s="451">
        <f t="shared" si="108"/>
        <v>0</v>
      </c>
      <c r="AH22" s="451">
        <f t="shared" si="109"/>
        <v>0</v>
      </c>
      <c r="AI22" s="452">
        <f t="shared" si="110"/>
        <v>0</v>
      </c>
      <c r="AJ22" s="451">
        <f t="shared" si="111"/>
        <v>0</v>
      </c>
      <c r="AK22" s="451">
        <f t="shared" si="112"/>
        <v>0</v>
      </c>
      <c r="AL22" s="451">
        <f t="shared" si="113"/>
        <v>0</v>
      </c>
      <c r="AM22" s="451">
        <f t="shared" si="114"/>
        <v>0</v>
      </c>
      <c r="AN22" s="450">
        <f>AN109</f>
        <v>0</v>
      </c>
      <c r="AO22" s="451">
        <f t="shared" si="116"/>
        <v>0</v>
      </c>
      <c r="AP22" s="451">
        <f t="shared" si="117"/>
        <v>0</v>
      </c>
      <c r="AQ22" s="452">
        <f t="shared" si="118"/>
        <v>0</v>
      </c>
      <c r="AR22" s="450">
        <f>AR109</f>
        <v>0</v>
      </c>
      <c r="AS22" s="451">
        <f t="shared" si="120"/>
        <v>0</v>
      </c>
      <c r="AT22" s="451">
        <f t="shared" si="121"/>
        <v>0</v>
      </c>
      <c r="AU22" s="452">
        <f t="shared" si="122"/>
        <v>0</v>
      </c>
      <c r="AV22" s="450">
        <f>AV109</f>
        <v>0</v>
      </c>
      <c r="AW22" s="451">
        <f t="shared" si="124"/>
        <v>0</v>
      </c>
      <c r="AX22" s="451">
        <f t="shared" si="125"/>
        <v>0</v>
      </c>
      <c r="AY22" s="452">
        <f t="shared" si="126"/>
        <v>0</v>
      </c>
      <c r="AZ22" s="450">
        <f>AZ109</f>
        <v>0</v>
      </c>
      <c r="BA22" s="451">
        <f t="shared" si="128"/>
        <v>0</v>
      </c>
      <c r="BB22" s="451">
        <f t="shared" si="129"/>
        <v>0</v>
      </c>
      <c r="BC22" s="452">
        <f t="shared" si="130"/>
        <v>0</v>
      </c>
      <c r="BD22" s="1017">
        <f>BS!BC16-BS!BD16</f>
        <v>-500</v>
      </c>
      <c r="BE22" s="602">
        <f>BS!BD16-BS!BE16</f>
        <v>-51.845568059579819</v>
      </c>
      <c r="BF22" s="602">
        <f>BS!BE16-BS!BF16</f>
        <v>-263.3144480140304</v>
      </c>
      <c r="BG22" s="1016">
        <f>BS!BF16-BS!BG16</f>
        <v>-44.97836499785717</v>
      </c>
      <c r="BH22" s="1017">
        <f>BS!BG16-BS!BH16</f>
        <v>346.28179999833083</v>
      </c>
      <c r="BI22" s="602">
        <f>BS!BH16-BS!BI16</f>
        <v>-75.282686429243313</v>
      </c>
      <c r="BJ22" s="602">
        <f>BS!BI16-BS!BJ16</f>
        <v>-315.40909906341221</v>
      </c>
      <c r="BK22" s="1016">
        <f>BS!BJ16-BS!BK16</f>
        <v>-74.200603518239859</v>
      </c>
      <c r="BL22" s="35"/>
      <c r="BM22" s="451">
        <f t="shared" si="131"/>
        <v>1606</v>
      </c>
      <c r="BN22" s="451">
        <f t="shared" si="132"/>
        <v>324</v>
      </c>
      <c r="BO22" s="451">
        <f t="shared" si="133"/>
        <v>-1429</v>
      </c>
      <c r="BP22" s="451">
        <f t="shared" si="134"/>
        <v>193</v>
      </c>
      <c r="BQ22" s="451">
        <f t="shared" si="135"/>
        <v>299</v>
      </c>
      <c r="BR22" s="451">
        <f t="shared" si="136"/>
        <v>0</v>
      </c>
      <c r="BS22" s="451">
        <f t="shared" si="137"/>
        <v>0</v>
      </c>
      <c r="BT22" s="450">
        <f t="shared" si="138"/>
        <v>0</v>
      </c>
      <c r="BU22" s="451">
        <f t="shared" si="139"/>
        <v>0</v>
      </c>
      <c r="BV22" s="451">
        <f t="shared" si="140"/>
        <v>0</v>
      </c>
      <c r="BW22" s="451">
        <f t="shared" si="141"/>
        <v>0</v>
      </c>
      <c r="BX22" s="451">
        <f t="shared" si="142"/>
        <v>0</v>
      </c>
      <c r="BY22" s="451">
        <f t="shared" si="143"/>
        <v>0</v>
      </c>
      <c r="BZ22" s="451">
        <f t="shared" si="144"/>
        <v>-860.13838107146739</v>
      </c>
      <c r="CA22" s="451">
        <f t="shared" si="145"/>
        <v>-118.61058901256456</v>
      </c>
      <c r="CB22" s="1188">
        <f>BS!CA16-BS!CB16</f>
        <v>-38.867489700839997</v>
      </c>
      <c r="CC22" s="691">
        <v>0</v>
      </c>
      <c r="CD22" s="626"/>
      <c r="CE22" s="626"/>
    </row>
    <row r="23" spans="1:83" ht="14.25" customHeight="1">
      <c r="A23" s="18"/>
      <c r="B23" s="449" t="str">
        <f t="shared" si="0"/>
        <v>Accounts payable</v>
      </c>
      <c r="C23" s="142"/>
      <c r="D23" s="450">
        <f t="shared" si="79"/>
        <v>138</v>
      </c>
      <c r="E23" s="451">
        <f t="shared" si="80"/>
        <v>-91</v>
      </c>
      <c r="F23" s="451">
        <f t="shared" si="81"/>
        <v>84</v>
      </c>
      <c r="G23" s="452">
        <f t="shared" si="82"/>
        <v>172</v>
      </c>
      <c r="H23" s="450">
        <f t="shared" si="83"/>
        <v>162</v>
      </c>
      <c r="I23" s="451">
        <f t="shared" si="84"/>
        <v>67</v>
      </c>
      <c r="J23" s="451">
        <f t="shared" si="85"/>
        <v>-77</v>
      </c>
      <c r="K23" s="452">
        <f t="shared" si="86"/>
        <v>-145</v>
      </c>
      <c r="L23" s="450">
        <f t="shared" si="87"/>
        <v>17</v>
      </c>
      <c r="M23" s="451">
        <f t="shared" si="88"/>
        <v>-94</v>
      </c>
      <c r="N23" s="451">
        <f t="shared" si="89"/>
        <v>157</v>
      </c>
      <c r="O23" s="452">
        <f t="shared" si="90"/>
        <v>22</v>
      </c>
      <c r="P23" s="450">
        <f t="shared" si="91"/>
        <v>-23</v>
      </c>
      <c r="Q23" s="451">
        <f t="shared" si="92"/>
        <v>41</v>
      </c>
      <c r="R23" s="451">
        <f t="shared" si="93"/>
        <v>128</v>
      </c>
      <c r="S23" s="452">
        <f t="shared" si="94"/>
        <v>-117</v>
      </c>
      <c r="T23" s="450">
        <f t="shared" si="95"/>
        <v>-721</v>
      </c>
      <c r="U23" s="451">
        <f t="shared" si="96"/>
        <v>57</v>
      </c>
      <c r="V23" s="451">
        <f t="shared" si="97"/>
        <v>182</v>
      </c>
      <c r="W23" s="452">
        <f t="shared" si="98"/>
        <v>-24</v>
      </c>
      <c r="X23" s="450">
        <f t="shared" si="99"/>
        <v>29</v>
      </c>
      <c r="Y23" s="451">
        <f t="shared" si="100"/>
        <v>214</v>
      </c>
      <c r="Z23" s="451">
        <f t="shared" si="101"/>
        <v>-223</v>
      </c>
      <c r="AA23" s="452">
        <f t="shared" si="102"/>
        <v>387</v>
      </c>
      <c r="AB23" s="451">
        <f t="shared" si="103"/>
        <v>404</v>
      </c>
      <c r="AC23" s="451">
        <f t="shared" si="104"/>
        <v>-16</v>
      </c>
      <c r="AD23" s="451">
        <f t="shared" si="105"/>
        <v>257</v>
      </c>
      <c r="AE23" s="452">
        <f t="shared" si="106"/>
        <v>-49</v>
      </c>
      <c r="AF23" s="451">
        <f t="shared" si="107"/>
        <v>37</v>
      </c>
      <c r="AG23" s="451">
        <f t="shared" si="108"/>
        <v>275</v>
      </c>
      <c r="AH23" s="451">
        <f t="shared" si="109"/>
        <v>-80</v>
      </c>
      <c r="AI23" s="452">
        <f t="shared" si="110"/>
        <v>-165</v>
      </c>
      <c r="AJ23" s="451">
        <f t="shared" si="111"/>
        <v>-17</v>
      </c>
      <c r="AK23" s="451">
        <f t="shared" si="112"/>
        <v>201</v>
      </c>
      <c r="AL23" s="451">
        <f t="shared" si="113"/>
        <v>128</v>
      </c>
      <c r="AM23" s="451">
        <f t="shared" si="114"/>
        <v>-45</v>
      </c>
      <c r="AN23" s="450">
        <f t="shared" si="115"/>
        <v>-95</v>
      </c>
      <c r="AO23" s="451">
        <f t="shared" si="116"/>
        <v>-8</v>
      </c>
      <c r="AP23" s="451">
        <f t="shared" si="117"/>
        <v>-189</v>
      </c>
      <c r="AQ23" s="452">
        <f t="shared" si="118"/>
        <v>43</v>
      </c>
      <c r="AR23" s="450">
        <f t="shared" si="119"/>
        <v>-71</v>
      </c>
      <c r="AS23" s="451">
        <f t="shared" si="120"/>
        <v>-233</v>
      </c>
      <c r="AT23" s="451">
        <f t="shared" si="121"/>
        <v>218</v>
      </c>
      <c r="AU23" s="452">
        <f t="shared" si="122"/>
        <v>-226</v>
      </c>
      <c r="AV23" s="450">
        <f t="shared" si="123"/>
        <v>434</v>
      </c>
      <c r="AW23" s="451">
        <f t="shared" si="124"/>
        <v>-59</v>
      </c>
      <c r="AX23" s="451">
        <f t="shared" si="125"/>
        <v>-187</v>
      </c>
      <c r="AY23" s="452">
        <f t="shared" si="126"/>
        <v>-6</v>
      </c>
      <c r="AZ23" s="450">
        <f t="shared" si="127"/>
        <v>188</v>
      </c>
      <c r="BA23" s="451">
        <f t="shared" si="128"/>
        <v>237</v>
      </c>
      <c r="BB23" s="451">
        <f t="shared" si="129"/>
        <v>-254</v>
      </c>
      <c r="BC23" s="452">
        <f t="shared" si="130"/>
        <v>20</v>
      </c>
      <c r="BD23" s="1017">
        <f>BS!BD30-BS!BC30</f>
        <v>1487</v>
      </c>
      <c r="BE23" s="602">
        <f>BS!BE30-BS!BD30</f>
        <v>-577.52286896117812</v>
      </c>
      <c r="BF23" s="602">
        <f>BS!BF30-BS!BE30</f>
        <v>238.42413494053199</v>
      </c>
      <c r="BG23" s="1016">
        <f>BS!BG30-BS!BF30</f>
        <v>49.239724869461952</v>
      </c>
      <c r="BH23" s="1017">
        <f>BS!BH30-BS!BG30</f>
        <v>-379.08938130659726</v>
      </c>
      <c r="BI23" s="602">
        <f>BS!BI30-BS!BH30</f>
        <v>132.78971418334413</v>
      </c>
      <c r="BJ23" s="602">
        <f>BS!BJ30-BS!BI30</f>
        <v>349.83503765349542</v>
      </c>
      <c r="BK23" s="1016">
        <f>BS!BK30-BS!BJ30</f>
        <v>26.312674632399649</v>
      </c>
      <c r="BL23" s="35"/>
      <c r="BM23" s="451">
        <f t="shared" si="131"/>
        <v>303</v>
      </c>
      <c r="BN23" s="451">
        <f t="shared" si="132"/>
        <v>7</v>
      </c>
      <c r="BO23" s="451">
        <f t="shared" si="133"/>
        <v>102</v>
      </c>
      <c r="BP23" s="451">
        <f t="shared" si="134"/>
        <v>29</v>
      </c>
      <c r="BQ23" s="451">
        <f t="shared" si="135"/>
        <v>-506</v>
      </c>
      <c r="BR23" s="451">
        <f t="shared" si="136"/>
        <v>407</v>
      </c>
      <c r="BS23" s="451">
        <f t="shared" si="137"/>
        <v>596</v>
      </c>
      <c r="BT23" s="450">
        <f t="shared" si="138"/>
        <v>67</v>
      </c>
      <c r="BU23" s="451">
        <f t="shared" si="139"/>
        <v>267</v>
      </c>
      <c r="BV23" s="451">
        <f t="shared" si="140"/>
        <v>-249</v>
      </c>
      <c r="BW23" s="451">
        <f t="shared" si="141"/>
        <v>-312</v>
      </c>
      <c r="BX23" s="451">
        <f t="shared" si="142"/>
        <v>182</v>
      </c>
      <c r="BY23" s="451">
        <f t="shared" si="143"/>
        <v>191</v>
      </c>
      <c r="BZ23" s="451">
        <f t="shared" si="144"/>
        <v>1197.1409908488158</v>
      </c>
      <c r="CA23" s="451">
        <f t="shared" si="145"/>
        <v>129.84804516264194</v>
      </c>
      <c r="CB23" s="1188">
        <f>BS!CB30-BS!CA30</f>
        <v>79.455055924643602</v>
      </c>
      <c r="CC23" s="691">
        <v>0</v>
      </c>
      <c r="CD23" s="626"/>
      <c r="CE23" s="626"/>
    </row>
    <row r="24" spans="1:83" ht="14.25" customHeight="1">
      <c r="A24" s="18"/>
      <c r="B24" s="449" t="str">
        <f t="shared" si="0"/>
        <v>Accrued liabilities</v>
      </c>
      <c r="C24" s="142"/>
      <c r="D24" s="450">
        <f t="shared" si="79"/>
        <v>-683</v>
      </c>
      <c r="E24" s="451">
        <f t="shared" si="80"/>
        <v>313</v>
      </c>
      <c r="F24" s="451">
        <f t="shared" si="81"/>
        <v>370</v>
      </c>
      <c r="G24" s="452">
        <f t="shared" si="82"/>
        <v>0</v>
      </c>
      <c r="H24" s="450">
        <f t="shared" si="83"/>
        <v>-927</v>
      </c>
      <c r="I24" s="451">
        <f t="shared" si="84"/>
        <v>286</v>
      </c>
      <c r="J24" s="451">
        <f t="shared" si="85"/>
        <v>30</v>
      </c>
      <c r="K24" s="452">
        <f t="shared" si="86"/>
        <v>176</v>
      </c>
      <c r="L24" s="450">
        <f t="shared" si="87"/>
        <v>-723</v>
      </c>
      <c r="M24" s="451">
        <f t="shared" si="88"/>
        <v>356</v>
      </c>
      <c r="N24" s="451">
        <f t="shared" si="89"/>
        <v>170</v>
      </c>
      <c r="O24" s="452">
        <f t="shared" si="90"/>
        <v>551</v>
      </c>
      <c r="P24" s="450">
        <f t="shared" si="91"/>
        <v>-1095</v>
      </c>
      <c r="Q24" s="451">
        <f t="shared" si="92"/>
        <v>310</v>
      </c>
      <c r="R24" s="451">
        <f t="shared" si="93"/>
        <v>161</v>
      </c>
      <c r="S24" s="452">
        <f t="shared" si="94"/>
        <v>55</v>
      </c>
      <c r="T24" s="450">
        <f t="shared" si="95"/>
        <v>-921</v>
      </c>
      <c r="U24" s="451">
        <f t="shared" si="96"/>
        <v>226</v>
      </c>
      <c r="V24" s="451">
        <f t="shared" si="97"/>
        <v>307</v>
      </c>
      <c r="W24" s="452">
        <f t="shared" si="98"/>
        <v>635</v>
      </c>
      <c r="X24" s="450">
        <f t="shared" si="99"/>
        <v>-1095</v>
      </c>
      <c r="Y24" s="451">
        <f t="shared" si="100"/>
        <v>582</v>
      </c>
      <c r="Z24" s="451">
        <f t="shared" si="101"/>
        <v>308</v>
      </c>
      <c r="AA24" s="452">
        <f t="shared" si="102"/>
        <v>366</v>
      </c>
      <c r="AB24" s="451">
        <f t="shared" si="103"/>
        <v>-1401</v>
      </c>
      <c r="AC24" s="451">
        <f t="shared" si="104"/>
        <v>569</v>
      </c>
      <c r="AD24" s="451">
        <f t="shared" si="105"/>
        <v>181</v>
      </c>
      <c r="AE24" s="452">
        <f t="shared" si="106"/>
        <v>556</v>
      </c>
      <c r="AF24" s="451">
        <f t="shared" si="107"/>
        <v>-1450</v>
      </c>
      <c r="AG24" s="451">
        <f t="shared" si="108"/>
        <v>486</v>
      </c>
      <c r="AH24" s="451">
        <f t="shared" si="109"/>
        <v>376</v>
      </c>
      <c r="AI24" s="452">
        <f t="shared" si="110"/>
        <v>780</v>
      </c>
      <c r="AJ24" s="451">
        <f t="shared" si="111"/>
        <v>-1370</v>
      </c>
      <c r="AK24" s="451">
        <f t="shared" si="112"/>
        <v>583</v>
      </c>
      <c r="AL24" s="451">
        <f t="shared" si="113"/>
        <v>565</v>
      </c>
      <c r="AM24" s="451">
        <f t="shared" si="114"/>
        <v>377</v>
      </c>
      <c r="AN24" s="450">
        <f t="shared" si="115"/>
        <v>-1229</v>
      </c>
      <c r="AO24" s="451">
        <f t="shared" si="116"/>
        <v>416</v>
      </c>
      <c r="AP24" s="451">
        <f t="shared" si="117"/>
        <v>405</v>
      </c>
      <c r="AQ24" s="452">
        <f t="shared" si="118"/>
        <v>412</v>
      </c>
      <c r="AR24" s="450">
        <f t="shared" si="119"/>
        <v>-1659</v>
      </c>
      <c r="AS24" s="451">
        <f t="shared" si="120"/>
        <v>355</v>
      </c>
      <c r="AT24" s="451">
        <f t="shared" si="121"/>
        <v>87</v>
      </c>
      <c r="AU24" s="452">
        <f t="shared" si="122"/>
        <v>506</v>
      </c>
      <c r="AV24" s="450">
        <f t="shared" si="123"/>
        <v>-1307</v>
      </c>
      <c r="AW24" s="451">
        <f t="shared" si="124"/>
        <v>-352</v>
      </c>
      <c r="AX24" s="451">
        <f t="shared" si="125"/>
        <v>-215</v>
      </c>
      <c r="AY24" s="452">
        <f t="shared" si="126"/>
        <v>279</v>
      </c>
      <c r="AZ24" s="450">
        <f t="shared" si="127"/>
        <v>-1277</v>
      </c>
      <c r="BA24" s="451">
        <f t="shared" si="128"/>
        <v>175</v>
      </c>
      <c r="BB24" s="451">
        <f t="shared" si="129"/>
        <v>551</v>
      </c>
      <c r="BC24" s="452">
        <f t="shared" si="130"/>
        <v>478</v>
      </c>
      <c r="BD24" s="1017">
        <f>BS!BD31-BS!BC31+BS!BD32-BS!BC32</f>
        <v>-1408</v>
      </c>
      <c r="BE24" s="602">
        <f>BS!BE31-BS!BD31+BS!BE32-BS!BD32</f>
        <v>0</v>
      </c>
      <c r="BF24" s="602">
        <f>BS!BF31-BS!BE31+BS!BF32-BS!BE32</f>
        <v>0</v>
      </c>
      <c r="BG24" s="1016">
        <f>BS!BG31-BS!BF31+BS!BG32-BS!BF32</f>
        <v>0</v>
      </c>
      <c r="BH24" s="1017">
        <f>BS!BH31-BS!BG31+BS!BH32-BS!BG32</f>
        <v>0</v>
      </c>
      <c r="BI24" s="602">
        <f>BS!BI31-BS!BH31+BS!BI32-BS!BH32</f>
        <v>0</v>
      </c>
      <c r="BJ24" s="602">
        <f>BS!BJ31-BS!BI31+BS!BJ32-BS!BI32</f>
        <v>0</v>
      </c>
      <c r="BK24" s="1016">
        <f>BS!BK31-BS!BJ31+BS!BK32-BS!BJ32</f>
        <v>0</v>
      </c>
      <c r="BL24" s="35"/>
      <c r="BM24" s="451">
        <f t="shared" si="131"/>
        <v>0</v>
      </c>
      <c r="BN24" s="451">
        <f t="shared" si="132"/>
        <v>-435</v>
      </c>
      <c r="BO24" s="451">
        <f t="shared" si="133"/>
        <v>354</v>
      </c>
      <c r="BP24" s="451">
        <f t="shared" si="134"/>
        <v>-569</v>
      </c>
      <c r="BQ24" s="451">
        <f t="shared" si="135"/>
        <v>247</v>
      </c>
      <c r="BR24" s="451">
        <f t="shared" si="136"/>
        <v>161</v>
      </c>
      <c r="BS24" s="451">
        <f t="shared" si="137"/>
        <v>-95</v>
      </c>
      <c r="BT24" s="450">
        <f t="shared" si="138"/>
        <v>192</v>
      </c>
      <c r="BU24" s="451">
        <f t="shared" si="139"/>
        <v>155</v>
      </c>
      <c r="BV24" s="451">
        <f t="shared" si="140"/>
        <v>4</v>
      </c>
      <c r="BW24" s="451">
        <f t="shared" si="141"/>
        <v>-711</v>
      </c>
      <c r="BX24" s="451">
        <f t="shared" si="142"/>
        <v>-1595</v>
      </c>
      <c r="BY24" s="451">
        <f t="shared" si="143"/>
        <v>-73</v>
      </c>
      <c r="BZ24" s="451">
        <f t="shared" si="144"/>
        <v>-1408</v>
      </c>
      <c r="CA24" s="451">
        <f t="shared" si="145"/>
        <v>0</v>
      </c>
      <c r="CB24" s="1188">
        <f>BS!CB31-BS!CA31+BS!CB32-BS!CA32</f>
        <v>0</v>
      </c>
      <c r="CC24" s="691">
        <v>-313</v>
      </c>
      <c r="CD24" s="626"/>
      <c r="CE24" s="626"/>
    </row>
    <row r="25" spans="1:83" ht="14.25" customHeight="1">
      <c r="A25" s="18"/>
      <c r="B25" s="449" t="str">
        <f t="shared" si="0"/>
        <v>Income taxes payable and receivable</v>
      </c>
      <c r="C25" s="142"/>
      <c r="D25" s="450">
        <f t="shared" si="79"/>
        <v>790</v>
      </c>
      <c r="E25" s="451">
        <f t="shared" si="80"/>
        <v>-623</v>
      </c>
      <c r="F25" s="451">
        <f t="shared" si="81"/>
        <v>571</v>
      </c>
      <c r="G25" s="452">
        <f t="shared" si="82"/>
        <v>59</v>
      </c>
      <c r="H25" s="450">
        <f t="shared" si="83"/>
        <v>-43</v>
      </c>
      <c r="I25" s="451">
        <f t="shared" si="84"/>
        <v>-810</v>
      </c>
      <c r="J25" s="451">
        <f t="shared" si="85"/>
        <v>390</v>
      </c>
      <c r="K25" s="452">
        <f t="shared" si="86"/>
        <v>403</v>
      </c>
      <c r="L25" s="450">
        <f t="shared" si="87"/>
        <v>-432</v>
      </c>
      <c r="M25" s="451">
        <f t="shared" si="88"/>
        <v>-746</v>
      </c>
      <c r="N25" s="451">
        <f t="shared" si="89"/>
        <v>1130</v>
      </c>
      <c r="O25" s="452">
        <f t="shared" si="90"/>
        <v>-200</v>
      </c>
      <c r="P25" s="450">
        <f t="shared" si="91"/>
        <v>337</v>
      </c>
      <c r="Q25" s="451">
        <f t="shared" si="92"/>
        <v>-890</v>
      </c>
      <c r="R25" s="451">
        <f t="shared" si="93"/>
        <v>272</v>
      </c>
      <c r="S25" s="452">
        <f t="shared" si="94"/>
        <v>-553</v>
      </c>
      <c r="T25" s="450">
        <f t="shared" si="95"/>
        <v>-230</v>
      </c>
      <c r="U25" s="451">
        <f t="shared" si="96"/>
        <v>191</v>
      </c>
      <c r="V25" s="451">
        <f t="shared" si="97"/>
        <v>814</v>
      </c>
      <c r="W25" s="452">
        <f t="shared" si="98"/>
        <v>-665</v>
      </c>
      <c r="X25" s="450">
        <f t="shared" si="99"/>
        <v>916</v>
      </c>
      <c r="Y25" s="451">
        <f t="shared" si="100"/>
        <v>-939</v>
      </c>
      <c r="Z25" s="451">
        <f t="shared" si="101"/>
        <v>202</v>
      </c>
      <c r="AA25" s="452">
        <f t="shared" si="102"/>
        <v>-126</v>
      </c>
      <c r="AB25" s="451">
        <f t="shared" si="103"/>
        <v>1032</v>
      </c>
      <c r="AC25" s="451">
        <f t="shared" si="104"/>
        <v>-1498</v>
      </c>
      <c r="AD25" s="451">
        <f t="shared" si="105"/>
        <v>660</v>
      </c>
      <c r="AE25" s="452">
        <f t="shared" si="106"/>
        <v>466</v>
      </c>
      <c r="AF25" s="451">
        <f t="shared" si="107"/>
        <v>760</v>
      </c>
      <c r="AG25" s="451">
        <f t="shared" si="108"/>
        <v>-811</v>
      </c>
      <c r="AH25" s="451">
        <f t="shared" si="109"/>
        <v>345</v>
      </c>
      <c r="AI25" s="452">
        <f t="shared" si="110"/>
        <v>-65</v>
      </c>
      <c r="AJ25" s="451">
        <f t="shared" si="111"/>
        <v>257</v>
      </c>
      <c r="AK25" s="451">
        <f t="shared" si="112"/>
        <v>39</v>
      </c>
      <c r="AL25" s="451">
        <f t="shared" si="113"/>
        <v>577</v>
      </c>
      <c r="AM25" s="451">
        <f t="shared" si="114"/>
        <v>146</v>
      </c>
      <c r="AN25" s="450">
        <f t="shared" si="115"/>
        <v>200</v>
      </c>
      <c r="AO25" s="451">
        <f t="shared" si="116"/>
        <v>-112</v>
      </c>
      <c r="AP25" s="451">
        <f t="shared" si="117"/>
        <v>-278</v>
      </c>
      <c r="AQ25" s="452">
        <f t="shared" si="118"/>
        <v>-96</v>
      </c>
      <c r="AR25" s="450">
        <f t="shared" si="119"/>
        <v>221</v>
      </c>
      <c r="AS25" s="451">
        <f t="shared" si="120"/>
        <v>-280</v>
      </c>
      <c r="AT25" s="451">
        <f t="shared" si="121"/>
        <v>833</v>
      </c>
      <c r="AU25" s="452">
        <f t="shared" si="122"/>
        <v>-388</v>
      </c>
      <c r="AV25" s="450">
        <f t="shared" si="123"/>
        <v>497</v>
      </c>
      <c r="AW25" s="451">
        <f t="shared" si="124"/>
        <v>-576</v>
      </c>
      <c r="AX25" s="451">
        <f t="shared" si="125"/>
        <v>1040</v>
      </c>
      <c r="AY25" s="452">
        <f t="shared" si="126"/>
        <v>421</v>
      </c>
      <c r="AZ25" s="450">
        <f t="shared" si="127"/>
        <v>427</v>
      </c>
      <c r="BA25" s="451">
        <f t="shared" si="128"/>
        <v>136</v>
      </c>
      <c r="BB25" s="451">
        <f t="shared" si="129"/>
        <v>416</v>
      </c>
      <c r="BC25" s="452">
        <f t="shared" si="130"/>
        <v>4251</v>
      </c>
      <c r="BD25" s="450">
        <f>BS!BC14-BS!BD14+BS!BD34-BS!BC34+BS!BD39-BS!BC39</f>
        <v>-1482</v>
      </c>
      <c r="BE25" s="602">
        <f>BS!BD14-BS!BE14+BS!BE34-BS!BD34+BS!BE39-BS!BD39</f>
        <v>0</v>
      </c>
      <c r="BF25" s="602">
        <f>BS!BE14-BS!BF14+BS!BF34-BS!BE34+BS!BF39-BS!BE39</f>
        <v>0</v>
      </c>
      <c r="BG25" s="1016">
        <f>BS!BF14-BS!BG14+BS!BG34-BS!BF34+BS!BG39-BS!BF39</f>
        <v>0</v>
      </c>
      <c r="BH25" s="450">
        <f>BS!BG14-BS!BH14+BS!BH34-BS!BG34+BS!BH39-BS!BG39</f>
        <v>0</v>
      </c>
      <c r="BI25" s="602">
        <f>BS!BH14-BS!BI14+BS!BI34-BS!BH34+BS!BI39-BS!BH39</f>
        <v>0</v>
      </c>
      <c r="BJ25" s="602">
        <f>BS!BI14-BS!BJ14+BS!BJ34-BS!BI34+BS!BJ39-BS!BI39</f>
        <v>0</v>
      </c>
      <c r="BK25" s="1016">
        <f>BS!BJ14-BS!BK14+BS!BK34-BS!BJ34+BS!BK39-BS!BJ39</f>
        <v>0</v>
      </c>
      <c r="BL25" s="35"/>
      <c r="BM25" s="451">
        <f t="shared" si="131"/>
        <v>797</v>
      </c>
      <c r="BN25" s="451">
        <f t="shared" si="132"/>
        <v>-60</v>
      </c>
      <c r="BO25" s="451">
        <f t="shared" si="133"/>
        <v>-248</v>
      </c>
      <c r="BP25" s="451">
        <f t="shared" si="134"/>
        <v>-834</v>
      </c>
      <c r="BQ25" s="451">
        <f t="shared" si="135"/>
        <v>110</v>
      </c>
      <c r="BR25" s="451">
        <f t="shared" si="136"/>
        <v>53</v>
      </c>
      <c r="BS25" s="451">
        <f t="shared" si="137"/>
        <v>660</v>
      </c>
      <c r="BT25" s="450">
        <f t="shared" si="138"/>
        <v>229</v>
      </c>
      <c r="BU25" s="451">
        <f t="shared" si="139"/>
        <v>1019</v>
      </c>
      <c r="BV25" s="451">
        <f t="shared" si="140"/>
        <v>-286</v>
      </c>
      <c r="BW25" s="451">
        <f t="shared" si="141"/>
        <v>386</v>
      </c>
      <c r="BX25" s="451">
        <f t="shared" si="142"/>
        <v>1382</v>
      </c>
      <c r="BY25" s="451">
        <f t="shared" si="143"/>
        <v>5230</v>
      </c>
      <c r="BZ25" s="451">
        <f t="shared" si="144"/>
        <v>-1482</v>
      </c>
      <c r="CA25" s="451">
        <f t="shared" si="145"/>
        <v>0</v>
      </c>
      <c r="CB25" s="1188">
        <f>BS!CA14-BS!CB14+BS!CB34-BS!CA34+BS!CB39-BS!CA39</f>
        <v>0</v>
      </c>
      <c r="CC25" s="691">
        <v>490</v>
      </c>
      <c r="CD25" s="626"/>
      <c r="CE25" s="626"/>
    </row>
    <row r="26" spans="1:83" ht="14.25" customHeight="1">
      <c r="A26" s="18"/>
      <c r="B26" s="449" t="s">
        <v>231</v>
      </c>
      <c r="C26" s="142"/>
      <c r="D26" s="450">
        <f t="shared" si="79"/>
        <v>-299</v>
      </c>
      <c r="E26" s="451">
        <f t="shared" si="80"/>
        <v>150</v>
      </c>
      <c r="F26" s="451">
        <f t="shared" si="81"/>
        <v>297</v>
      </c>
      <c r="G26" s="452">
        <f t="shared" si="82"/>
        <v>93</v>
      </c>
      <c r="H26" s="450">
        <f t="shared" si="83"/>
        <v>143</v>
      </c>
      <c r="I26" s="451">
        <f t="shared" si="84"/>
        <v>-43</v>
      </c>
      <c r="J26" s="451">
        <f t="shared" si="85"/>
        <v>-60</v>
      </c>
      <c r="K26" s="452">
        <f t="shared" si="86"/>
        <v>-49</v>
      </c>
      <c r="L26" s="450">
        <f t="shared" si="87"/>
        <v>-116</v>
      </c>
      <c r="M26" s="451">
        <f t="shared" si="88"/>
        <v>10</v>
      </c>
      <c r="N26" s="451">
        <f t="shared" si="89"/>
        <v>168</v>
      </c>
      <c r="O26" s="452">
        <f t="shared" si="90"/>
        <v>217</v>
      </c>
      <c r="P26" s="450">
        <f t="shared" si="91"/>
        <v>9</v>
      </c>
      <c r="Q26" s="451">
        <f t="shared" si="92"/>
        <v>82</v>
      </c>
      <c r="R26" s="451">
        <f t="shared" si="93"/>
        <v>-244</v>
      </c>
      <c r="S26" s="452">
        <f t="shared" si="94"/>
        <v>-36</v>
      </c>
      <c r="T26" s="450">
        <f t="shared" si="95"/>
        <v>-446</v>
      </c>
      <c r="U26" s="451">
        <f t="shared" si="96"/>
        <v>1157</v>
      </c>
      <c r="V26" s="451">
        <f t="shared" si="97"/>
        <v>-1433</v>
      </c>
      <c r="W26" s="452">
        <f t="shared" si="98"/>
        <v>371</v>
      </c>
      <c r="X26" s="450">
        <f t="shared" si="99"/>
        <v>305</v>
      </c>
      <c r="Y26" s="451">
        <f t="shared" si="100"/>
        <v>202</v>
      </c>
      <c r="Z26" s="451">
        <f t="shared" si="101"/>
        <v>-360</v>
      </c>
      <c r="AA26" s="452">
        <f t="shared" si="102"/>
        <v>687</v>
      </c>
      <c r="AB26" s="451">
        <f t="shared" si="103"/>
        <v>97</v>
      </c>
      <c r="AC26" s="451">
        <f t="shared" si="104"/>
        <v>-147</v>
      </c>
      <c r="AD26" s="451">
        <f t="shared" si="105"/>
        <v>-88</v>
      </c>
      <c r="AE26" s="452">
        <f t="shared" si="106"/>
        <v>229</v>
      </c>
      <c r="AF26" s="451">
        <f>AF113</f>
        <v>-359</v>
      </c>
      <c r="AG26" s="451">
        <f t="shared" si="108"/>
        <v>-184</v>
      </c>
      <c r="AH26" s="451">
        <f t="shared" si="109"/>
        <v>322</v>
      </c>
      <c r="AI26" s="452">
        <f t="shared" si="110"/>
        <v>315</v>
      </c>
      <c r="AJ26" s="451">
        <f>AJ113</f>
        <v>377</v>
      </c>
      <c r="AK26" s="451">
        <f t="shared" si="112"/>
        <v>16</v>
      </c>
      <c r="AL26" s="451">
        <f t="shared" si="113"/>
        <v>-58</v>
      </c>
      <c r="AM26" s="451">
        <f t="shared" si="114"/>
        <v>530</v>
      </c>
      <c r="AN26" s="450">
        <f>AN113</f>
        <v>2</v>
      </c>
      <c r="AO26" s="451">
        <f t="shared" si="116"/>
        <v>110</v>
      </c>
      <c r="AP26" s="451">
        <f t="shared" si="117"/>
        <v>499</v>
      </c>
      <c r="AQ26" s="452">
        <f t="shared" si="118"/>
        <v>780</v>
      </c>
      <c r="AR26" s="450">
        <f>AR113</f>
        <v>555</v>
      </c>
      <c r="AS26" s="451">
        <f t="shared" si="120"/>
        <v>-215</v>
      </c>
      <c r="AT26" s="451">
        <f t="shared" si="121"/>
        <v>-184</v>
      </c>
      <c r="AU26" s="452">
        <f t="shared" si="122"/>
        <v>519</v>
      </c>
      <c r="AV26" s="450">
        <f>AV113</f>
        <v>-885</v>
      </c>
      <c r="AW26" s="451">
        <f t="shared" si="124"/>
        <v>427</v>
      </c>
      <c r="AX26" s="451">
        <f t="shared" si="125"/>
        <v>236</v>
      </c>
      <c r="AY26" s="452">
        <f t="shared" si="126"/>
        <v>737</v>
      </c>
      <c r="AZ26" s="450">
        <f>AZ113</f>
        <v>-452</v>
      </c>
      <c r="BA26" s="451">
        <f t="shared" si="128"/>
        <v>39</v>
      </c>
      <c r="BB26" s="451">
        <f t="shared" si="129"/>
        <v>728</v>
      </c>
      <c r="BC26" s="452">
        <f t="shared" si="130"/>
        <v>2</v>
      </c>
      <c r="BD26" s="450">
        <f>BD113</f>
        <v>2021</v>
      </c>
      <c r="BE26" s="602">
        <f>BS!BE33-BS!BD33+BS!BE35-BS!BD35</f>
        <v>0</v>
      </c>
      <c r="BF26" s="602">
        <f>BS!BF33-BS!BE33+BS!BF35-BS!BE35</f>
        <v>0</v>
      </c>
      <c r="BG26" s="1016">
        <f>BS!BG33-BS!BF33+BS!BG35-BS!BF35</f>
        <v>0</v>
      </c>
      <c r="BH26" s="450">
        <f>BS!BH33-BS!BG33+BS!BH35-BS!BG35</f>
        <v>0</v>
      </c>
      <c r="BI26" s="602">
        <f>BS!BI33-BS!BH33+BS!BI35-BS!BH35</f>
        <v>0</v>
      </c>
      <c r="BJ26" s="602">
        <f>BS!BJ33-BS!BI33+BS!BJ35-BS!BI35</f>
        <v>0</v>
      </c>
      <c r="BK26" s="1016">
        <f>BS!BK33-BS!BJ33+BS!BK35-BS!BJ35</f>
        <v>0</v>
      </c>
      <c r="BL26" s="35"/>
      <c r="BM26" s="451">
        <f t="shared" si="131"/>
        <v>241</v>
      </c>
      <c r="BN26" s="451">
        <f t="shared" si="132"/>
        <v>-9</v>
      </c>
      <c r="BO26" s="451">
        <f t="shared" si="133"/>
        <v>279</v>
      </c>
      <c r="BP26" s="451">
        <f t="shared" si="134"/>
        <v>-189</v>
      </c>
      <c r="BQ26" s="451">
        <f t="shared" si="135"/>
        <v>-351</v>
      </c>
      <c r="BR26" s="451">
        <f t="shared" si="136"/>
        <v>834</v>
      </c>
      <c r="BS26" s="451">
        <f t="shared" si="137"/>
        <v>91</v>
      </c>
      <c r="BT26" s="450">
        <f t="shared" si="138"/>
        <v>94</v>
      </c>
      <c r="BU26" s="451">
        <f t="shared" si="139"/>
        <v>865</v>
      </c>
      <c r="BV26" s="451">
        <f t="shared" si="140"/>
        <v>1391</v>
      </c>
      <c r="BW26" s="451">
        <f t="shared" si="141"/>
        <v>675</v>
      </c>
      <c r="BX26" s="451">
        <f t="shared" si="142"/>
        <v>515</v>
      </c>
      <c r="BY26" s="451">
        <f t="shared" si="143"/>
        <v>317</v>
      </c>
      <c r="BZ26" s="451">
        <f t="shared" si="144"/>
        <v>2021</v>
      </c>
      <c r="CA26" s="451">
        <f t="shared" si="145"/>
        <v>0</v>
      </c>
      <c r="CB26" s="1188">
        <f>BS!CB33-BS!CA33+BS!CB35-BS!CA35</f>
        <v>0</v>
      </c>
      <c r="CC26" s="691">
        <v>-3839</v>
      </c>
      <c r="CD26" s="626"/>
      <c r="CE26" s="626"/>
    </row>
    <row r="27" spans="1:83" ht="14.25" customHeight="1" thickBot="1">
      <c r="A27" s="18"/>
      <c r="B27" s="455" t="str">
        <f>B114</f>
        <v>Net cash provided by operating activities</v>
      </c>
      <c r="C27" s="456"/>
      <c r="D27" s="457">
        <f t="shared" ref="D27:AM27" si="146">D9+SUM(D11:D18)+SUM(D20:D26)</f>
        <v>3756</v>
      </c>
      <c r="E27" s="458">
        <f t="shared" si="146"/>
        <v>2972</v>
      </c>
      <c r="F27" s="458">
        <f t="shared" si="146"/>
        <v>4366</v>
      </c>
      <c r="G27" s="459">
        <f t="shared" si="146"/>
        <v>3757</v>
      </c>
      <c r="H27" s="457">
        <f t="shared" si="146"/>
        <v>2096</v>
      </c>
      <c r="I27" s="458">
        <f t="shared" si="146"/>
        <v>1542</v>
      </c>
      <c r="J27" s="458">
        <f t="shared" si="146"/>
        <v>2811</v>
      </c>
      <c r="K27" s="459">
        <f t="shared" si="146"/>
        <v>4183</v>
      </c>
      <c r="L27" s="457">
        <f t="shared" si="146"/>
        <v>1552</v>
      </c>
      <c r="M27" s="458">
        <f t="shared" si="146"/>
        <v>2417</v>
      </c>
      <c r="N27" s="458">
        <f t="shared" si="146"/>
        <v>3884</v>
      </c>
      <c r="O27" s="459">
        <f t="shared" si="146"/>
        <v>4772</v>
      </c>
      <c r="P27" s="457">
        <f t="shared" si="146"/>
        <v>2215</v>
      </c>
      <c r="Q27" s="458">
        <f t="shared" si="146"/>
        <v>2828</v>
      </c>
      <c r="R27" s="458">
        <f t="shared" si="146"/>
        <v>3287</v>
      </c>
      <c r="S27" s="459">
        <f t="shared" si="146"/>
        <v>2596</v>
      </c>
      <c r="T27" s="457">
        <f t="shared" si="146"/>
        <v>378</v>
      </c>
      <c r="U27" s="458">
        <f t="shared" si="146"/>
        <v>3384</v>
      </c>
      <c r="V27" s="458">
        <f t="shared" si="146"/>
        <v>4003</v>
      </c>
      <c r="W27" s="459">
        <f t="shared" si="146"/>
        <v>3405</v>
      </c>
      <c r="X27" s="457">
        <f t="shared" si="146"/>
        <v>4079</v>
      </c>
      <c r="Y27" s="458">
        <f t="shared" si="146"/>
        <v>3486</v>
      </c>
      <c r="Z27" s="458">
        <f t="shared" si="146"/>
        <v>3577</v>
      </c>
      <c r="AA27" s="459">
        <f t="shared" si="146"/>
        <v>5550</v>
      </c>
      <c r="AB27" s="458">
        <f t="shared" si="146"/>
        <v>4013</v>
      </c>
      <c r="AC27" s="458">
        <f t="shared" si="146"/>
        <v>3971</v>
      </c>
      <c r="AD27" s="458">
        <f t="shared" si="146"/>
        <v>6349</v>
      </c>
      <c r="AE27" s="459">
        <f t="shared" si="146"/>
        <v>6630</v>
      </c>
      <c r="AF27" s="458">
        <f t="shared" si="146"/>
        <v>2972</v>
      </c>
      <c r="AG27" s="458">
        <f t="shared" si="146"/>
        <v>4739</v>
      </c>
      <c r="AH27" s="458">
        <f t="shared" si="146"/>
        <v>5147</v>
      </c>
      <c r="AI27" s="459">
        <f t="shared" si="146"/>
        <v>6026</v>
      </c>
      <c r="AJ27" s="458">
        <f t="shared" si="146"/>
        <v>4285</v>
      </c>
      <c r="AK27" s="458">
        <f t="shared" si="146"/>
        <v>4722</v>
      </c>
      <c r="AL27" s="458">
        <f t="shared" si="146"/>
        <v>5731</v>
      </c>
      <c r="AM27" s="458">
        <f t="shared" si="146"/>
        <v>6038</v>
      </c>
      <c r="AN27" s="457">
        <f t="shared" ref="AN27:AQ27" si="147">AN9+SUM(AN11:AN18)+SUM(AN20:AN26)</f>
        <v>3501</v>
      </c>
      <c r="AO27" s="458">
        <f t="shared" si="147"/>
        <v>5453</v>
      </c>
      <c r="AP27" s="458">
        <f t="shared" si="147"/>
        <v>5693</v>
      </c>
      <c r="AQ27" s="459">
        <f t="shared" si="147"/>
        <v>5771</v>
      </c>
      <c r="AR27" s="457">
        <f>AR9+SUM(AR11:AR18)+SUM(AR20:AR26)</f>
        <v>4415</v>
      </c>
      <c r="AS27" s="458">
        <f t="shared" ref="AS27" si="148">AS9+SUM(AS11:AS18)+SUM(AS20:AS26)</f>
        <v>3440</v>
      </c>
      <c r="AT27" s="458">
        <f t="shared" ref="AT27" si="149">AT9+SUM(AT11:AT18)+SUM(AT20:AT26)</f>
        <v>5735</v>
      </c>
      <c r="AU27" s="459">
        <f t="shared" ref="AU27" si="150">AU9+SUM(AU11:AU18)+SUM(AU20:AU26)</f>
        <v>5427</v>
      </c>
      <c r="AV27" s="457">
        <f>AV9+SUM(AV11:AV18)+SUM(AV20:AV26)</f>
        <v>4055</v>
      </c>
      <c r="AW27" s="458">
        <f t="shared" ref="AW27:AY27" si="151">AW9+SUM(AW11:AW18)+SUM(AW20:AW26)</f>
        <v>3845</v>
      </c>
      <c r="AX27" s="458">
        <f t="shared" si="151"/>
        <v>5758</v>
      </c>
      <c r="AY27" s="459">
        <f t="shared" si="151"/>
        <v>8150</v>
      </c>
      <c r="AZ27" s="457">
        <f>AZ9+SUM(AZ11:AZ18)+SUM(AZ20:AZ26)</f>
        <v>3898</v>
      </c>
      <c r="BA27" s="458">
        <f t="shared" ref="BA27:BC27" si="152">BA9+SUM(BA11:BA18)+SUM(BA20:BA26)</f>
        <v>4707</v>
      </c>
      <c r="BB27" s="458">
        <f t="shared" si="152"/>
        <v>6264</v>
      </c>
      <c r="BC27" s="459">
        <f t="shared" si="152"/>
        <v>7241</v>
      </c>
      <c r="BD27" s="457">
        <f t="shared" ref="BD27:BG27" si="153">BD9+SUM(BD11:BD18)+SUM(BD20:BD26)</f>
        <v>6284</v>
      </c>
      <c r="BE27" s="458">
        <f t="shared" si="153"/>
        <v>6550.8955123566011</v>
      </c>
      <c r="BF27" s="458">
        <f t="shared" si="153"/>
        <v>6627.2279135170575</v>
      </c>
      <c r="BG27" s="459">
        <f t="shared" si="153"/>
        <v>7330.9956520649957</v>
      </c>
      <c r="BH27" s="457">
        <f t="shared" ref="BH27:BK27" si="154">BH9+SUM(BH11:BH18)+SUM(BH20:BH26)</f>
        <v>7813.9913844437888</v>
      </c>
      <c r="BI27" s="458">
        <f t="shared" si="154"/>
        <v>6370.5307659891005</v>
      </c>
      <c r="BJ27" s="458">
        <f t="shared" si="154"/>
        <v>6451.6836691364815</v>
      </c>
      <c r="BK27" s="459">
        <f t="shared" si="154"/>
        <v>7448.0631764656719</v>
      </c>
      <c r="BL27" s="35"/>
      <c r="BM27" s="458">
        <f t="shared" ref="BM27:BY27" si="155">BM9+SUM(BM11:BM18)+SUM(BM20:BM26)</f>
        <v>14851</v>
      </c>
      <c r="BN27" s="458">
        <f t="shared" si="155"/>
        <v>10632</v>
      </c>
      <c r="BO27" s="458">
        <f t="shared" si="155"/>
        <v>12625</v>
      </c>
      <c r="BP27" s="458">
        <f t="shared" si="155"/>
        <v>10926</v>
      </c>
      <c r="BQ27" s="458">
        <f t="shared" si="155"/>
        <v>11170</v>
      </c>
      <c r="BR27" s="458">
        <f t="shared" si="155"/>
        <v>16692</v>
      </c>
      <c r="BS27" s="458">
        <f t="shared" si="155"/>
        <v>20963</v>
      </c>
      <c r="BT27" s="457">
        <f t="shared" si="155"/>
        <v>18884</v>
      </c>
      <c r="BU27" s="458">
        <f t="shared" si="155"/>
        <v>20776</v>
      </c>
      <c r="BV27" s="458">
        <f t="shared" si="155"/>
        <v>20418</v>
      </c>
      <c r="BW27" s="458">
        <f>BW9+SUM(BW11:BW18)+SUM(BW20:BW26)</f>
        <v>19017</v>
      </c>
      <c r="BX27" s="458">
        <f t="shared" si="155"/>
        <v>21808</v>
      </c>
      <c r="BY27" s="458">
        <f t="shared" si="155"/>
        <v>22110</v>
      </c>
      <c r="BZ27" s="458">
        <f t="shared" ref="BZ27:CB27" si="156">BZ9+SUM(BZ11:BZ18)+SUM(BZ20:BZ26)</f>
        <v>26793.11907793866</v>
      </c>
      <c r="CA27" s="458">
        <f t="shared" si="156"/>
        <v>28084.268996035036</v>
      </c>
      <c r="CB27" s="459">
        <f t="shared" si="156"/>
        <v>29207.063934192025</v>
      </c>
      <c r="CC27" s="691">
        <v>0</v>
      </c>
      <c r="CD27" s="626"/>
      <c r="CE27" s="626"/>
    </row>
    <row r="28" spans="1:83" ht="7.5" customHeight="1" thickTop="1">
      <c r="A28" s="18"/>
      <c r="B28" s="297"/>
      <c r="C28" s="68"/>
      <c r="D28" s="450"/>
      <c r="E28" s="451"/>
      <c r="F28" s="451"/>
      <c r="G28" s="452"/>
      <c r="H28" s="450"/>
      <c r="I28" s="451"/>
      <c r="J28" s="451"/>
      <c r="K28" s="452"/>
      <c r="L28" s="450"/>
      <c r="M28" s="451"/>
      <c r="N28" s="451"/>
      <c r="O28" s="452"/>
      <c r="P28" s="450"/>
      <c r="Q28" s="451"/>
      <c r="R28" s="451"/>
      <c r="S28" s="452"/>
      <c r="T28" s="450"/>
      <c r="U28" s="451"/>
      <c r="V28" s="451"/>
      <c r="W28" s="452"/>
      <c r="X28" s="450"/>
      <c r="Y28" s="451"/>
      <c r="Z28" s="451"/>
      <c r="AA28" s="452"/>
      <c r="AB28" s="451"/>
      <c r="AC28" s="451"/>
      <c r="AD28" s="451"/>
      <c r="AE28" s="452"/>
      <c r="AF28" s="451"/>
      <c r="AG28" s="451"/>
      <c r="AH28" s="451"/>
      <c r="AI28" s="452"/>
      <c r="AJ28" s="451"/>
      <c r="AK28" s="451"/>
      <c r="AL28" s="451"/>
      <c r="AM28" s="451"/>
      <c r="AN28" s="450"/>
      <c r="AO28" s="453"/>
      <c r="AP28" s="453"/>
      <c r="AQ28" s="452"/>
      <c r="AR28" s="450"/>
      <c r="AS28" s="453"/>
      <c r="AT28" s="453"/>
      <c r="AU28" s="452"/>
      <c r="AV28" s="450"/>
      <c r="AW28" s="453"/>
      <c r="AX28" s="453"/>
      <c r="AY28" s="452"/>
      <c r="AZ28" s="450"/>
      <c r="BA28" s="453"/>
      <c r="BB28" s="453"/>
      <c r="BC28" s="452"/>
      <c r="BD28" s="450"/>
      <c r="BE28" s="453"/>
      <c r="BF28" s="453"/>
      <c r="BG28" s="1015"/>
      <c r="BH28" s="450"/>
      <c r="BI28" s="453"/>
      <c r="BJ28" s="453"/>
      <c r="BK28" s="1015"/>
      <c r="BL28" s="35"/>
      <c r="BM28" s="453"/>
      <c r="BN28" s="453"/>
      <c r="BO28" s="453"/>
      <c r="BP28" s="453"/>
      <c r="BQ28" s="453"/>
      <c r="BR28" s="453"/>
      <c r="BS28" s="453"/>
      <c r="BT28" s="460"/>
      <c r="BU28" s="453"/>
      <c r="BV28" s="447"/>
      <c r="BW28" s="447"/>
      <c r="BX28" s="447"/>
      <c r="BY28" s="453"/>
      <c r="BZ28" s="453"/>
      <c r="CA28" s="453"/>
      <c r="CB28" s="1189"/>
      <c r="CC28" s="691">
        <v>0</v>
      </c>
      <c r="CD28" s="626"/>
      <c r="CE28" s="626"/>
    </row>
    <row r="29" spans="1:83" ht="14.25" customHeight="1">
      <c r="A29" s="18"/>
      <c r="B29" s="389" t="str">
        <f t="shared" ref="B29:B41" si="157">B116</f>
        <v>Cash flows from investing activities:</v>
      </c>
      <c r="C29" s="128"/>
      <c r="D29" s="450"/>
      <c r="E29" s="451"/>
      <c r="F29" s="451"/>
      <c r="G29" s="452"/>
      <c r="H29" s="450"/>
      <c r="I29" s="451"/>
      <c r="J29" s="451"/>
      <c r="K29" s="452"/>
      <c r="L29" s="450"/>
      <c r="M29" s="451"/>
      <c r="N29" s="451"/>
      <c r="O29" s="452"/>
      <c r="P29" s="450"/>
      <c r="Q29" s="451"/>
      <c r="R29" s="451"/>
      <c r="S29" s="452"/>
      <c r="T29" s="450"/>
      <c r="U29" s="451"/>
      <c r="V29" s="451"/>
      <c r="W29" s="452"/>
      <c r="X29" s="450"/>
      <c r="Y29" s="451"/>
      <c r="Z29" s="451"/>
      <c r="AA29" s="452"/>
      <c r="AB29" s="451"/>
      <c r="AC29" s="451"/>
      <c r="AD29" s="451"/>
      <c r="AE29" s="452"/>
      <c r="AF29" s="451"/>
      <c r="AG29" s="451"/>
      <c r="AH29" s="451"/>
      <c r="AI29" s="452"/>
      <c r="AJ29" s="451"/>
      <c r="AK29" s="451"/>
      <c r="AL29" s="451"/>
      <c r="AM29" s="451"/>
      <c r="AN29" s="450"/>
      <c r="AO29" s="453"/>
      <c r="AP29" s="453"/>
      <c r="AQ29" s="452"/>
      <c r="AR29" s="450"/>
      <c r="AS29" s="453"/>
      <c r="AT29" s="453"/>
      <c r="AU29" s="452"/>
      <c r="AV29" s="450"/>
      <c r="AW29" s="453"/>
      <c r="AX29" s="453"/>
      <c r="AY29" s="452"/>
      <c r="AZ29" s="450"/>
      <c r="BA29" s="453"/>
      <c r="BB29" s="453"/>
      <c r="BC29" s="452"/>
      <c r="BD29" s="450"/>
      <c r="BE29" s="453"/>
      <c r="BF29" s="453"/>
      <c r="BG29" s="1015"/>
      <c r="BH29" s="450"/>
      <c r="BI29" s="453"/>
      <c r="BJ29" s="453"/>
      <c r="BK29" s="1015"/>
      <c r="BL29" s="35"/>
      <c r="BM29" s="453"/>
      <c r="BN29" s="453"/>
      <c r="BO29" s="453"/>
      <c r="BP29" s="453"/>
      <c r="BQ29" s="453"/>
      <c r="BR29" s="453"/>
      <c r="BS29" s="453"/>
      <c r="BT29" s="460"/>
      <c r="BU29" s="453"/>
      <c r="BV29" s="453"/>
      <c r="BX29" s="701"/>
      <c r="BY29" s="453"/>
      <c r="BZ29" s="453"/>
      <c r="CA29" s="453"/>
      <c r="CB29" s="1189"/>
      <c r="CC29" s="691">
        <v>-2366</v>
      </c>
      <c r="CD29" s="626"/>
      <c r="CE29" s="626"/>
    </row>
    <row r="30" spans="1:83" ht="14.25" customHeight="1">
      <c r="A30" s="18"/>
      <c r="B30" s="278" t="str">
        <f t="shared" si="157"/>
        <v>Additions to property, plant and equipment</v>
      </c>
      <c r="C30" s="103"/>
      <c r="D30" s="450">
        <f t="shared" ref="D30:D40" si="158">D117</f>
        <v>-1788</v>
      </c>
      <c r="E30" s="451">
        <f t="shared" ref="E30:E40" si="159">E117-D30</f>
        <v>-1389</v>
      </c>
      <c r="F30" s="451">
        <f t="shared" ref="F30:F40" si="160">F117-E30-D30</f>
        <v>-1282</v>
      </c>
      <c r="G30" s="452">
        <f t="shared" ref="G30:G40" si="161">G117-F30-E30-D30</f>
        <v>-1412</v>
      </c>
      <c r="H30" s="450">
        <f t="shared" ref="H30:H40" si="162">H117</f>
        <v>-1762</v>
      </c>
      <c r="I30" s="451">
        <f t="shared" ref="I30:I40" si="163">I117-H30</f>
        <v>-1762</v>
      </c>
      <c r="J30" s="451">
        <f t="shared" ref="J30:J40" si="164">J117-I30-H30</f>
        <v>-1188</v>
      </c>
      <c r="K30" s="452">
        <f t="shared" ref="K30:K40" si="165">K117-J30-I30-H30</f>
        <v>-1148</v>
      </c>
      <c r="L30" s="450">
        <f t="shared" ref="L30:L40" si="166">L117</f>
        <v>-1361</v>
      </c>
      <c r="M30" s="451">
        <f t="shared" ref="M30:M40" si="167">M117-L30</f>
        <v>-1278</v>
      </c>
      <c r="N30" s="451">
        <f t="shared" ref="N30:N40" si="168">N117-M30-L30</f>
        <v>-1088</v>
      </c>
      <c r="O30" s="452">
        <f t="shared" ref="O30:O40" si="169">O117-N30-M30-L30</f>
        <v>-1273</v>
      </c>
      <c r="P30" s="450">
        <f t="shared" ref="P30:P40" si="170">P117</f>
        <v>-907</v>
      </c>
      <c r="Q30" s="451">
        <f t="shared" ref="Q30:Q40" si="171">Q117-P30</f>
        <v>-1151</v>
      </c>
      <c r="R30" s="451">
        <f t="shared" ref="R30:R40" si="172">R117-Q30-P30</f>
        <v>-1374</v>
      </c>
      <c r="S30" s="452">
        <f t="shared" ref="S30:S40" si="173">S117-R30-Q30-P30</f>
        <v>-1765</v>
      </c>
      <c r="T30" s="450">
        <f t="shared" ref="T30:T40" si="174">T117</f>
        <v>-1509</v>
      </c>
      <c r="U30" s="451">
        <f t="shared" ref="U30:U40" si="175">U117-T30</f>
        <v>-981</v>
      </c>
      <c r="V30" s="451">
        <f t="shared" ref="V30:V40" si="176">V117-U30-T30</f>
        <v>-944</v>
      </c>
      <c r="W30" s="452">
        <f t="shared" ref="W30:W40" si="177">W117-V30-U30-T30</f>
        <v>-1081</v>
      </c>
      <c r="X30" s="450">
        <f t="shared" ref="X30:X40" si="178">X117</f>
        <v>-928</v>
      </c>
      <c r="Y30" s="451">
        <f t="shared" ref="Y30:Y40" si="179">Y117-X30</f>
        <v>-1048</v>
      </c>
      <c r="Z30" s="451">
        <f t="shared" ref="Z30:Z40" si="180">Z117-Y30-X30</f>
        <v>-1362</v>
      </c>
      <c r="AA30" s="452">
        <f t="shared" ref="AA30:AA40" si="181">AA117-Z30-Y30-X30</f>
        <v>-1869</v>
      </c>
      <c r="AB30" s="451">
        <f t="shared" ref="AB30:AB40" si="182">AB117</f>
        <v>-2723</v>
      </c>
      <c r="AC30" s="451">
        <f t="shared" ref="AC30:AC40" si="183">AC117-AB30</f>
        <v>-2484</v>
      </c>
      <c r="AD30" s="451">
        <f t="shared" ref="AD30:AD40" si="184">AD117-AC30-AB30</f>
        <v>-2713</v>
      </c>
      <c r="AE30" s="452">
        <f t="shared" ref="AE30:AE40" si="185">AE117-AD30-AC30-AB30</f>
        <v>-2844</v>
      </c>
      <c r="AF30" s="451">
        <f t="shared" ref="AF30:AF40" si="186">AF117</f>
        <v>-2974</v>
      </c>
      <c r="AG30" s="451">
        <f t="shared" ref="AG30:AG40" si="187">AG117-AF30</f>
        <v>-2662</v>
      </c>
      <c r="AH30" s="451">
        <f t="shared" ref="AH30:AH40" si="188">AH117-AG30-AF30</f>
        <v>-2887</v>
      </c>
      <c r="AI30" s="452">
        <f t="shared" ref="AI30:AI40" si="189">AI117-AH30-AG30-AF30</f>
        <v>-2504</v>
      </c>
      <c r="AJ30" s="451">
        <f t="shared" ref="AJ30:AJ40" si="190">AJ117</f>
        <v>-2174</v>
      </c>
      <c r="AK30" s="451">
        <f t="shared" ref="AK30:AK40" si="191">AK117-AJ30</f>
        <v>-2723</v>
      </c>
      <c r="AL30" s="451">
        <f t="shared" ref="AL30:AL40" si="192">AL117-AK30-AJ30</f>
        <v>-2866</v>
      </c>
      <c r="AM30" s="451">
        <f t="shared" ref="AM30:AM40" si="193">AM117-AL30-AK30-AJ30</f>
        <v>-2948</v>
      </c>
      <c r="AN30" s="450">
        <f t="shared" ref="AN30:AN40" si="194">AN117</f>
        <v>-2689</v>
      </c>
      <c r="AO30" s="451">
        <f t="shared" ref="AO30:AO40" si="195">AO117-AN30</f>
        <v>-2828</v>
      </c>
      <c r="AP30" s="451">
        <f t="shared" ref="AP30:AP38" si="196">AP117-AO30-AN30</f>
        <v>-2445</v>
      </c>
      <c r="AQ30" s="452">
        <f t="shared" ref="AQ30:AQ40" si="197">AQ117-AP30-AO30-AN30</f>
        <v>-2143</v>
      </c>
      <c r="AR30" s="450">
        <f t="shared" ref="AR30:AR40" si="198">AR117</f>
        <v>-2025</v>
      </c>
      <c r="AS30" s="451">
        <f t="shared" ref="AS30:AS40" si="199">AS117-AR30</f>
        <v>-1767</v>
      </c>
      <c r="AT30" s="451">
        <f t="shared" ref="AT30:AT38" si="200">AT117-AS30-AR30</f>
        <v>-1206</v>
      </c>
      <c r="AU30" s="452">
        <f t="shared" ref="AU30:AU40" si="201">AU117-AT30-AS30-AR30</f>
        <v>-2328</v>
      </c>
      <c r="AV30" s="450">
        <f>AV117</f>
        <v>-1346</v>
      </c>
      <c r="AW30" s="451">
        <f t="shared" ref="AW30:AW40" si="202">AW117-AV30</f>
        <v>-2286</v>
      </c>
      <c r="AX30" s="451">
        <f t="shared" ref="AX30:AX38" si="203">AX117-AW30-AV30</f>
        <v>-2463</v>
      </c>
      <c r="AY30" s="452">
        <f t="shared" ref="AY30:AY40" si="204">AY117-AX30-AW30-AV30</f>
        <v>-3530</v>
      </c>
      <c r="AZ30" s="450">
        <f>AZ117</f>
        <v>-1952</v>
      </c>
      <c r="BA30" s="451">
        <f t="shared" ref="BA30:BA40" si="205">BA117-AZ30</f>
        <v>-2778</v>
      </c>
      <c r="BB30" s="451">
        <f t="shared" ref="BB30:BB38" si="206">BB117-BA30-AZ30</f>
        <v>-2979</v>
      </c>
      <c r="BC30" s="452">
        <f t="shared" ref="BC30:BC40" si="207">BC117-BB30-BA30-AZ30</f>
        <v>-4069</v>
      </c>
      <c r="BD30" s="450">
        <f>BD117</f>
        <v>-2910</v>
      </c>
      <c r="BE30" s="451">
        <f t="shared" ref="BE30:BG30" si="208">-BE65-BE66</f>
        <v>-3500</v>
      </c>
      <c r="BF30" s="451">
        <f t="shared" si="208"/>
        <v>-3750</v>
      </c>
      <c r="BG30" s="1014">
        <f t="shared" si="208"/>
        <v>-3750</v>
      </c>
      <c r="BH30" s="450">
        <f t="shared" ref="BH30:BK30" si="209">-BH65-BH66</f>
        <v>-3500</v>
      </c>
      <c r="BI30" s="451">
        <f t="shared" si="209"/>
        <v>-3500</v>
      </c>
      <c r="BJ30" s="451">
        <f t="shared" si="209"/>
        <v>-3500</v>
      </c>
      <c r="BK30" s="1014">
        <f t="shared" si="209"/>
        <v>-3500</v>
      </c>
      <c r="BL30" s="35"/>
      <c r="BM30" s="451">
        <f t="shared" ref="BM30:BM40" si="210">SUM(D30:G30)</f>
        <v>-5871</v>
      </c>
      <c r="BN30" s="451">
        <f t="shared" ref="BN30:BN40" si="211">SUM(H30:K30)</f>
        <v>-5860</v>
      </c>
      <c r="BO30" s="451">
        <f t="shared" ref="BO30:BO40" si="212">SUM(L30:O30)</f>
        <v>-5000</v>
      </c>
      <c r="BP30" s="451">
        <f t="shared" ref="BP30:BP40" si="213">SUM(P30:S30)</f>
        <v>-5197</v>
      </c>
      <c r="BQ30" s="451">
        <f t="shared" ref="BQ30:BQ40" si="214">SUM(T30:W30)</f>
        <v>-4515</v>
      </c>
      <c r="BR30" s="451">
        <f t="shared" ref="BR30:BR40" si="215">SUM(X30:AA30)</f>
        <v>-5207</v>
      </c>
      <c r="BS30" s="451">
        <f t="shared" ref="BS30:BS40" si="216">SUM(AB30:AE30)</f>
        <v>-10764</v>
      </c>
      <c r="BT30" s="450">
        <f t="shared" ref="BT30:BT40" si="217">SUM(AF30:AI30)</f>
        <v>-11027</v>
      </c>
      <c r="BU30" s="451">
        <f t="shared" ref="BU30:BU40" si="218">SUM(AJ30:AM30)</f>
        <v>-10711</v>
      </c>
      <c r="BV30" s="451">
        <f t="shared" ref="BV30:BV40" si="219">SUM(AN30:AQ30)</f>
        <v>-10105</v>
      </c>
      <c r="BW30" s="451">
        <f t="shared" ref="BW30:BW40" si="220">SUM(AR30:AU30)</f>
        <v>-7326</v>
      </c>
      <c r="BX30" s="451">
        <f t="shared" ref="BX30:BX40" si="221">SUM(AV30:AY30)</f>
        <v>-9625</v>
      </c>
      <c r="BY30" s="451">
        <f t="shared" ref="BY30:BY40" si="222">SUM(AZ30:BC30)</f>
        <v>-11778</v>
      </c>
      <c r="BZ30" s="451">
        <f t="shared" ref="BZ30:BZ40" si="223">SUM(BD30:BG30)</f>
        <v>-13910</v>
      </c>
      <c r="CA30" s="451">
        <f t="shared" ref="CA30:CA40" si="224">SUM(BH30:BK30)</f>
        <v>-14000</v>
      </c>
      <c r="CB30" s="1188">
        <f>-CB65-CB66</f>
        <v>-14000</v>
      </c>
      <c r="CC30" s="691">
        <v>-626</v>
      </c>
      <c r="CD30" s="626"/>
      <c r="CE30" s="626"/>
    </row>
    <row r="31" spans="1:83" ht="14.25" customHeight="1">
      <c r="A31" s="18"/>
      <c r="B31" s="278" t="str">
        <f t="shared" si="157"/>
        <v>Restricted cash</v>
      </c>
      <c r="C31" s="103"/>
      <c r="D31" s="450">
        <f t="shared" si="158"/>
        <v>0</v>
      </c>
      <c r="E31" s="451">
        <f t="shared" si="159"/>
        <v>0</v>
      </c>
      <c r="F31" s="451">
        <f t="shared" si="160"/>
        <v>0</v>
      </c>
      <c r="G31" s="452">
        <f t="shared" si="161"/>
        <v>0</v>
      </c>
      <c r="H31" s="450">
        <f t="shared" si="162"/>
        <v>0</v>
      </c>
      <c r="I31" s="451">
        <f t="shared" si="163"/>
        <v>0</v>
      </c>
      <c r="J31" s="451">
        <f t="shared" si="164"/>
        <v>0</v>
      </c>
      <c r="K31" s="452">
        <f t="shared" si="165"/>
        <v>0</v>
      </c>
      <c r="L31" s="450">
        <f t="shared" si="166"/>
        <v>0</v>
      </c>
      <c r="M31" s="451">
        <f t="shared" si="167"/>
        <v>0</v>
      </c>
      <c r="N31" s="451">
        <f t="shared" si="168"/>
        <v>0</v>
      </c>
      <c r="O31" s="452">
        <f t="shared" si="169"/>
        <v>0</v>
      </c>
      <c r="P31" s="450">
        <f t="shared" si="170"/>
        <v>0</v>
      </c>
      <c r="Q31" s="451">
        <f t="shared" si="171"/>
        <v>0</v>
      </c>
      <c r="R31" s="451">
        <f t="shared" si="172"/>
        <v>0</v>
      </c>
      <c r="S31" s="452">
        <f t="shared" si="173"/>
        <v>0</v>
      </c>
      <c r="T31" s="450">
        <f t="shared" si="174"/>
        <v>0</v>
      </c>
      <c r="U31" s="451">
        <f t="shared" si="175"/>
        <v>0</v>
      </c>
      <c r="V31" s="451">
        <f t="shared" si="176"/>
        <v>0</v>
      </c>
      <c r="W31" s="452">
        <f t="shared" si="177"/>
        <v>0</v>
      </c>
      <c r="X31" s="450">
        <f t="shared" si="178"/>
        <v>0</v>
      </c>
      <c r="Y31" s="451">
        <f t="shared" si="179"/>
        <v>0</v>
      </c>
      <c r="Z31" s="451">
        <f t="shared" si="180"/>
        <v>0</v>
      </c>
      <c r="AA31" s="452">
        <f t="shared" si="181"/>
        <v>0</v>
      </c>
      <c r="AB31" s="451">
        <f t="shared" si="182"/>
        <v>0</v>
      </c>
      <c r="AC31" s="451">
        <f t="shared" si="183"/>
        <v>0</v>
      </c>
      <c r="AD31" s="451">
        <f t="shared" si="184"/>
        <v>0</v>
      </c>
      <c r="AE31" s="452">
        <f t="shared" si="185"/>
        <v>0</v>
      </c>
      <c r="AF31" s="451">
        <f t="shared" si="186"/>
        <v>0</v>
      </c>
      <c r="AG31" s="451">
        <f t="shared" si="187"/>
        <v>0</v>
      </c>
      <c r="AH31" s="451">
        <f t="shared" si="188"/>
        <v>0</v>
      </c>
      <c r="AI31" s="452">
        <f t="shared" si="189"/>
        <v>0</v>
      </c>
      <c r="AJ31" s="451">
        <f t="shared" si="190"/>
        <v>0</v>
      </c>
      <c r="AK31" s="451">
        <f t="shared" si="191"/>
        <v>0</v>
      </c>
      <c r="AL31" s="451">
        <f t="shared" si="192"/>
        <v>0</v>
      </c>
      <c r="AM31" s="451">
        <f t="shared" si="193"/>
        <v>0</v>
      </c>
      <c r="AN31" s="450">
        <f t="shared" si="194"/>
        <v>0</v>
      </c>
      <c r="AO31" s="453">
        <f t="shared" si="195"/>
        <v>0</v>
      </c>
      <c r="AP31" s="451">
        <f t="shared" si="196"/>
        <v>0</v>
      </c>
      <c r="AQ31" s="452">
        <f t="shared" si="197"/>
        <v>0</v>
      </c>
      <c r="AR31" s="450">
        <f t="shared" si="198"/>
        <v>0</v>
      </c>
      <c r="AS31" s="453">
        <f t="shared" si="199"/>
        <v>0</v>
      </c>
      <c r="AT31" s="451">
        <f t="shared" si="200"/>
        <v>0</v>
      </c>
      <c r="AU31" s="452">
        <f t="shared" si="201"/>
        <v>0</v>
      </c>
      <c r="AV31" s="450">
        <f t="shared" ref="AV31:AV40" si="225">AV118</f>
        <v>0</v>
      </c>
      <c r="AW31" s="453">
        <f t="shared" si="202"/>
        <v>0</v>
      </c>
      <c r="AX31" s="451">
        <f t="shared" si="203"/>
        <v>0</v>
      </c>
      <c r="AY31" s="452">
        <f t="shared" si="204"/>
        <v>0</v>
      </c>
      <c r="AZ31" s="450">
        <f t="shared" ref="AZ31:AZ40" si="226">AZ118</f>
        <v>0</v>
      </c>
      <c r="BA31" s="453">
        <f t="shared" si="205"/>
        <v>0</v>
      </c>
      <c r="BB31" s="451">
        <f t="shared" si="206"/>
        <v>0</v>
      </c>
      <c r="BC31" s="452">
        <f t="shared" si="207"/>
        <v>0</v>
      </c>
      <c r="BD31" s="450">
        <v>0</v>
      </c>
      <c r="BE31" s="453">
        <v>0</v>
      </c>
      <c r="BF31" s="453">
        <v>0</v>
      </c>
      <c r="BG31" s="1015">
        <v>0</v>
      </c>
      <c r="BH31" s="450">
        <v>0</v>
      </c>
      <c r="BI31" s="453">
        <v>0</v>
      </c>
      <c r="BJ31" s="453">
        <v>0</v>
      </c>
      <c r="BK31" s="1015">
        <v>0</v>
      </c>
      <c r="BL31" s="35"/>
      <c r="BM31" s="451">
        <f t="shared" si="210"/>
        <v>0</v>
      </c>
      <c r="BN31" s="451">
        <f t="shared" si="211"/>
        <v>0</v>
      </c>
      <c r="BO31" s="451">
        <f t="shared" si="212"/>
        <v>0</v>
      </c>
      <c r="BP31" s="451">
        <f t="shared" si="213"/>
        <v>0</v>
      </c>
      <c r="BQ31" s="451">
        <f t="shared" si="214"/>
        <v>0</v>
      </c>
      <c r="BR31" s="451">
        <f t="shared" si="215"/>
        <v>0</v>
      </c>
      <c r="BS31" s="451">
        <f t="shared" si="216"/>
        <v>0</v>
      </c>
      <c r="BT31" s="450">
        <f t="shared" si="217"/>
        <v>0</v>
      </c>
      <c r="BU31" s="451">
        <f t="shared" si="218"/>
        <v>0</v>
      </c>
      <c r="BV31" s="451">
        <f t="shared" si="219"/>
        <v>0</v>
      </c>
      <c r="BW31" s="451">
        <f t="shared" si="220"/>
        <v>0</v>
      </c>
      <c r="BX31" s="451">
        <f t="shared" si="221"/>
        <v>0</v>
      </c>
      <c r="BY31" s="461">
        <f t="shared" si="222"/>
        <v>0</v>
      </c>
      <c r="BZ31" s="461">
        <f t="shared" si="223"/>
        <v>0</v>
      </c>
      <c r="CA31" s="461">
        <f t="shared" si="224"/>
        <v>0</v>
      </c>
      <c r="CB31" s="1212">
        <v>0</v>
      </c>
      <c r="CC31" s="691">
        <v>721</v>
      </c>
      <c r="CD31" s="626"/>
      <c r="CE31" s="626"/>
    </row>
    <row r="32" spans="1:83" ht="14.25" customHeight="1">
      <c r="A32" s="18"/>
      <c r="B32" s="278" t="str">
        <f t="shared" si="157"/>
        <v>Acquisitions, net of cash acquired</v>
      </c>
      <c r="C32" s="103"/>
      <c r="D32" s="450">
        <f t="shared" si="158"/>
        <v>0</v>
      </c>
      <c r="E32" s="451">
        <f t="shared" si="159"/>
        <v>-81</v>
      </c>
      <c r="F32" s="451">
        <f t="shared" si="160"/>
        <v>-22</v>
      </c>
      <c r="G32" s="452">
        <f t="shared" si="161"/>
        <v>-88</v>
      </c>
      <c r="H32" s="450">
        <f t="shared" si="162"/>
        <v>0</v>
      </c>
      <c r="I32" s="451">
        <f t="shared" si="163"/>
        <v>0</v>
      </c>
      <c r="J32" s="451">
        <f t="shared" si="164"/>
        <v>0</v>
      </c>
      <c r="K32" s="452">
        <f t="shared" si="165"/>
        <v>0</v>
      </c>
      <c r="L32" s="450">
        <f t="shared" si="166"/>
        <v>0</v>
      </c>
      <c r="M32" s="451">
        <f t="shared" si="167"/>
        <v>0</v>
      </c>
      <c r="N32" s="451">
        <f t="shared" si="168"/>
        <v>-74</v>
      </c>
      <c r="O32" s="452">
        <f t="shared" si="169"/>
        <v>-2</v>
      </c>
      <c r="P32" s="450">
        <f t="shared" si="170"/>
        <v>-2199</v>
      </c>
      <c r="Q32" s="451">
        <f t="shared" si="171"/>
        <v>-1650</v>
      </c>
      <c r="R32" s="451">
        <f t="shared" si="172"/>
        <v>3840</v>
      </c>
      <c r="S32" s="452">
        <f t="shared" si="173"/>
        <v>-7</v>
      </c>
      <c r="T32" s="450">
        <f t="shared" si="174"/>
        <v>0</v>
      </c>
      <c r="U32" s="451">
        <f t="shared" si="175"/>
        <v>0</v>
      </c>
      <c r="V32" s="451">
        <f t="shared" si="176"/>
        <v>-853</v>
      </c>
      <c r="W32" s="452">
        <f t="shared" si="177"/>
        <v>0</v>
      </c>
      <c r="X32" s="450">
        <f t="shared" si="178"/>
        <v>-37</v>
      </c>
      <c r="Y32" s="451">
        <f t="shared" si="179"/>
        <v>-33</v>
      </c>
      <c r="Z32" s="451">
        <f t="shared" si="180"/>
        <v>0</v>
      </c>
      <c r="AA32" s="452">
        <f t="shared" si="181"/>
        <v>-148</v>
      </c>
      <c r="AB32" s="451">
        <f t="shared" si="182"/>
        <v>-8216</v>
      </c>
      <c r="AC32" s="451">
        <f t="shared" si="183"/>
        <v>-75</v>
      </c>
      <c r="AD32" s="451">
        <f t="shared" si="184"/>
        <v>-186</v>
      </c>
      <c r="AE32" s="452">
        <f t="shared" si="185"/>
        <v>-244</v>
      </c>
      <c r="AF32" s="451">
        <f t="shared" si="186"/>
        <v>-176</v>
      </c>
      <c r="AG32" s="451">
        <f t="shared" si="187"/>
        <v>-282</v>
      </c>
      <c r="AH32" s="451">
        <f t="shared" si="188"/>
        <v>-110</v>
      </c>
      <c r="AI32" s="452">
        <f t="shared" si="189"/>
        <v>-70</v>
      </c>
      <c r="AJ32" s="451">
        <f t="shared" si="190"/>
        <v>-98</v>
      </c>
      <c r="AK32" s="451">
        <f t="shared" si="191"/>
        <v>-286</v>
      </c>
      <c r="AL32" s="451">
        <f t="shared" si="192"/>
        <v>-498</v>
      </c>
      <c r="AM32" s="451">
        <f t="shared" si="193"/>
        <v>-43</v>
      </c>
      <c r="AN32" s="450">
        <f t="shared" si="194"/>
        <v>-108</v>
      </c>
      <c r="AO32" s="451">
        <f t="shared" si="195"/>
        <v>-29</v>
      </c>
      <c r="AP32" s="451">
        <f t="shared" si="196"/>
        <v>-56</v>
      </c>
      <c r="AQ32" s="452">
        <f t="shared" si="197"/>
        <v>-741</v>
      </c>
      <c r="AR32" s="450">
        <f t="shared" si="198"/>
        <v>-57</v>
      </c>
      <c r="AS32" s="451">
        <f t="shared" si="199"/>
        <v>-467</v>
      </c>
      <c r="AT32" s="451">
        <f t="shared" si="200"/>
        <v>-14</v>
      </c>
      <c r="AU32" s="452">
        <f t="shared" si="201"/>
        <v>-375</v>
      </c>
      <c r="AV32" s="450">
        <f t="shared" si="225"/>
        <v>-14569</v>
      </c>
      <c r="AW32" s="451">
        <f t="shared" si="202"/>
        <v>-50</v>
      </c>
      <c r="AX32" s="451">
        <f t="shared" si="203"/>
        <v>-532</v>
      </c>
      <c r="AY32" s="452">
        <f t="shared" si="204"/>
        <v>-319</v>
      </c>
      <c r="AZ32" s="450">
        <f t="shared" si="226"/>
        <v>0</v>
      </c>
      <c r="BA32" s="451">
        <f t="shared" si="205"/>
        <v>-3</v>
      </c>
      <c r="BB32" s="451">
        <f t="shared" si="206"/>
        <v>-14496</v>
      </c>
      <c r="BC32" s="452">
        <f t="shared" si="207"/>
        <v>0</v>
      </c>
      <c r="BD32" s="450">
        <v>0</v>
      </c>
      <c r="BE32" s="453">
        <v>0</v>
      </c>
      <c r="BF32" s="453">
        <v>0</v>
      </c>
      <c r="BG32" s="1015">
        <v>0</v>
      </c>
      <c r="BH32" s="450">
        <v>0</v>
      </c>
      <c r="BI32" s="453">
        <v>0</v>
      </c>
      <c r="BJ32" s="453">
        <v>0</v>
      </c>
      <c r="BK32" s="1015">
        <v>0</v>
      </c>
      <c r="BL32" s="35"/>
      <c r="BM32" s="451">
        <f t="shared" si="210"/>
        <v>-191</v>
      </c>
      <c r="BN32" s="451">
        <f t="shared" si="211"/>
        <v>0</v>
      </c>
      <c r="BO32" s="451">
        <f t="shared" si="212"/>
        <v>-76</v>
      </c>
      <c r="BP32" s="451">
        <f t="shared" si="213"/>
        <v>-16</v>
      </c>
      <c r="BQ32" s="451">
        <f t="shared" si="214"/>
        <v>-853</v>
      </c>
      <c r="BR32" s="451">
        <f t="shared" si="215"/>
        <v>-218</v>
      </c>
      <c r="BS32" s="451">
        <f t="shared" si="216"/>
        <v>-8721</v>
      </c>
      <c r="BT32" s="450">
        <f t="shared" si="217"/>
        <v>-638</v>
      </c>
      <c r="BU32" s="451">
        <f t="shared" si="218"/>
        <v>-925</v>
      </c>
      <c r="BV32" s="451">
        <f t="shared" si="219"/>
        <v>-934</v>
      </c>
      <c r="BW32" s="451">
        <f t="shared" si="220"/>
        <v>-913</v>
      </c>
      <c r="BX32" s="451">
        <f t="shared" si="221"/>
        <v>-15470</v>
      </c>
      <c r="BY32" s="451">
        <f t="shared" si="222"/>
        <v>-14499</v>
      </c>
      <c r="BZ32" s="451">
        <f t="shared" si="223"/>
        <v>0</v>
      </c>
      <c r="CA32" s="451">
        <f t="shared" si="224"/>
        <v>0</v>
      </c>
      <c r="CB32" s="1212">
        <v>0</v>
      </c>
      <c r="CC32" s="691">
        <v>-892</v>
      </c>
      <c r="CD32" s="626"/>
      <c r="CE32" s="626"/>
    </row>
    <row r="33" spans="1:83" ht="14.25" customHeight="1">
      <c r="A33" s="18"/>
      <c r="B33" s="278" t="str">
        <f t="shared" si="157"/>
        <v>Purchase of available-for-sale investments</v>
      </c>
      <c r="C33" s="103"/>
      <c r="D33" s="450">
        <f t="shared" si="158"/>
        <v>-2168</v>
      </c>
      <c r="E33" s="451">
        <f t="shared" si="159"/>
        <v>-1499</v>
      </c>
      <c r="F33" s="451">
        <f t="shared" si="160"/>
        <v>-1759</v>
      </c>
      <c r="G33" s="452">
        <f t="shared" si="161"/>
        <v>-3049</v>
      </c>
      <c r="H33" s="450">
        <f t="shared" si="162"/>
        <v>-2093</v>
      </c>
      <c r="I33" s="451">
        <f t="shared" si="163"/>
        <v>-657</v>
      </c>
      <c r="J33" s="451">
        <f t="shared" si="164"/>
        <v>-693</v>
      </c>
      <c r="K33" s="452">
        <f t="shared" si="165"/>
        <v>-1829</v>
      </c>
      <c r="L33" s="450">
        <f t="shared" si="166"/>
        <v>-2924</v>
      </c>
      <c r="M33" s="451">
        <f t="shared" si="167"/>
        <v>-2498</v>
      </c>
      <c r="N33" s="451">
        <f t="shared" si="168"/>
        <v>-3091</v>
      </c>
      <c r="O33" s="452">
        <f t="shared" si="169"/>
        <v>-3215</v>
      </c>
      <c r="P33" s="450">
        <f t="shared" si="170"/>
        <v>2624</v>
      </c>
      <c r="Q33" s="451">
        <f t="shared" si="171"/>
        <v>2095</v>
      </c>
      <c r="R33" s="451">
        <f t="shared" si="172"/>
        <v>-9871</v>
      </c>
      <c r="S33" s="452">
        <f t="shared" si="173"/>
        <v>-1327</v>
      </c>
      <c r="T33" s="450">
        <f t="shared" si="174"/>
        <v>-601</v>
      </c>
      <c r="U33" s="451">
        <f t="shared" si="175"/>
        <v>-2352</v>
      </c>
      <c r="V33" s="451">
        <f t="shared" si="176"/>
        <v>-2422</v>
      </c>
      <c r="W33" s="452">
        <f t="shared" si="177"/>
        <v>-3280</v>
      </c>
      <c r="X33" s="450">
        <f t="shared" si="178"/>
        <v>-3235</v>
      </c>
      <c r="Y33" s="451">
        <f t="shared" si="179"/>
        <v>-3628</v>
      </c>
      <c r="Z33" s="451">
        <f t="shared" si="180"/>
        <v>-4972</v>
      </c>
      <c r="AA33" s="452">
        <f t="shared" si="181"/>
        <v>-5840</v>
      </c>
      <c r="AB33" s="451">
        <f t="shared" si="182"/>
        <v>-3569</v>
      </c>
      <c r="AC33" s="451">
        <f t="shared" si="183"/>
        <v>-1644</v>
      </c>
      <c r="AD33" s="451">
        <f t="shared" si="184"/>
        <v>-2213</v>
      </c>
      <c r="AE33" s="452">
        <f t="shared" si="185"/>
        <v>-3804</v>
      </c>
      <c r="AF33" s="451">
        <f t="shared" si="186"/>
        <v>-1529</v>
      </c>
      <c r="AG33" s="451">
        <f t="shared" si="187"/>
        <v>-543</v>
      </c>
      <c r="AH33" s="451">
        <f t="shared" si="188"/>
        <v>-4571</v>
      </c>
      <c r="AI33" s="452">
        <f t="shared" si="189"/>
        <v>-2051</v>
      </c>
      <c r="AJ33" s="451">
        <f t="shared" si="190"/>
        <v>-3475</v>
      </c>
      <c r="AK33" s="451">
        <f t="shared" si="191"/>
        <v>-3847</v>
      </c>
      <c r="AL33" s="451">
        <f t="shared" si="192"/>
        <v>-2785</v>
      </c>
      <c r="AM33" s="451">
        <f t="shared" si="193"/>
        <v>-2386</v>
      </c>
      <c r="AN33" s="450">
        <f t="shared" si="194"/>
        <v>-2509</v>
      </c>
      <c r="AO33" s="451">
        <f t="shared" si="195"/>
        <v>-2604</v>
      </c>
      <c r="AP33" s="451">
        <f t="shared" si="196"/>
        <v>-964</v>
      </c>
      <c r="AQ33" s="452">
        <f t="shared" si="197"/>
        <v>-930</v>
      </c>
      <c r="AR33" s="450">
        <f t="shared" si="198"/>
        <v>-139</v>
      </c>
      <c r="AS33" s="451">
        <f t="shared" si="199"/>
        <v>-1116</v>
      </c>
      <c r="AT33" s="451">
        <f t="shared" si="200"/>
        <v>-6267</v>
      </c>
      <c r="AU33" s="452">
        <f t="shared" si="201"/>
        <v>-737</v>
      </c>
      <c r="AV33" s="450">
        <f t="shared" si="225"/>
        <v>-2847</v>
      </c>
      <c r="AW33" s="451">
        <f t="shared" si="202"/>
        <v>-2846</v>
      </c>
      <c r="AX33" s="451">
        <f t="shared" si="203"/>
        <v>-2269</v>
      </c>
      <c r="AY33" s="452">
        <f t="shared" si="204"/>
        <v>-1307</v>
      </c>
      <c r="AZ33" s="450">
        <f t="shared" si="226"/>
        <v>-1746</v>
      </c>
      <c r="BA33" s="451">
        <f t="shared" si="205"/>
        <v>-148</v>
      </c>
      <c r="BB33" s="451">
        <f t="shared" si="206"/>
        <v>-83</v>
      </c>
      <c r="BC33" s="452">
        <f t="shared" si="207"/>
        <v>-787</v>
      </c>
      <c r="BD33" s="450">
        <v>0</v>
      </c>
      <c r="BE33" s="453">
        <v>0</v>
      </c>
      <c r="BF33" s="453">
        <v>0</v>
      </c>
      <c r="BG33" s="1015">
        <v>0</v>
      </c>
      <c r="BH33" s="450">
        <v>0</v>
      </c>
      <c r="BI33" s="453">
        <v>0</v>
      </c>
      <c r="BJ33" s="453">
        <v>0</v>
      </c>
      <c r="BK33" s="1015">
        <v>0</v>
      </c>
      <c r="BL33" s="35"/>
      <c r="BM33" s="451">
        <f t="shared" si="210"/>
        <v>-8475</v>
      </c>
      <c r="BN33" s="451">
        <f t="shared" si="211"/>
        <v>-5272</v>
      </c>
      <c r="BO33" s="451">
        <f t="shared" si="212"/>
        <v>-11728</v>
      </c>
      <c r="BP33" s="451">
        <f t="shared" si="213"/>
        <v>-6479</v>
      </c>
      <c r="BQ33" s="451">
        <f t="shared" si="214"/>
        <v>-8655</v>
      </c>
      <c r="BR33" s="451">
        <f t="shared" si="215"/>
        <v>-17675</v>
      </c>
      <c r="BS33" s="451">
        <f t="shared" si="216"/>
        <v>-11230</v>
      </c>
      <c r="BT33" s="450">
        <f t="shared" si="217"/>
        <v>-8694</v>
      </c>
      <c r="BU33" s="451">
        <f t="shared" si="218"/>
        <v>-12493</v>
      </c>
      <c r="BV33" s="451">
        <f t="shared" si="219"/>
        <v>-7007</v>
      </c>
      <c r="BW33" s="451">
        <f t="shared" si="220"/>
        <v>-8259</v>
      </c>
      <c r="BX33" s="451">
        <f t="shared" si="221"/>
        <v>-9269</v>
      </c>
      <c r="BY33" s="451">
        <f t="shared" si="222"/>
        <v>-2764</v>
      </c>
      <c r="BZ33" s="451">
        <f t="shared" si="223"/>
        <v>0</v>
      </c>
      <c r="CA33" s="451">
        <f t="shared" si="224"/>
        <v>0</v>
      </c>
      <c r="CB33" s="1212">
        <v>0</v>
      </c>
      <c r="CC33" s="691">
        <v>-50</v>
      </c>
      <c r="CD33" s="626"/>
      <c r="CE33" s="626"/>
    </row>
    <row r="34" spans="1:83" ht="14.25" customHeight="1">
      <c r="A34" s="18"/>
      <c r="B34" s="278" t="str">
        <f t="shared" si="157"/>
        <v>Maturities and sales of available-for-sale investments</v>
      </c>
      <c r="C34" s="103"/>
      <c r="D34" s="450">
        <f t="shared" si="158"/>
        <v>3619</v>
      </c>
      <c r="E34" s="451">
        <f t="shared" si="159"/>
        <v>2326</v>
      </c>
      <c r="F34" s="451">
        <f t="shared" si="160"/>
        <v>1494</v>
      </c>
      <c r="G34" s="452">
        <f t="shared" si="161"/>
        <v>994</v>
      </c>
      <c r="H34" s="450">
        <f t="shared" si="162"/>
        <v>2324</v>
      </c>
      <c r="I34" s="451">
        <f t="shared" si="163"/>
        <v>2012</v>
      </c>
      <c r="J34" s="451">
        <f t="shared" si="164"/>
        <v>1756</v>
      </c>
      <c r="K34" s="452">
        <f t="shared" si="165"/>
        <v>1055</v>
      </c>
      <c r="L34" s="450">
        <f t="shared" si="166"/>
        <v>1533</v>
      </c>
      <c r="M34" s="451">
        <f t="shared" si="167"/>
        <v>1683</v>
      </c>
      <c r="N34" s="451">
        <f t="shared" si="168"/>
        <v>2455</v>
      </c>
      <c r="O34" s="452">
        <f t="shared" si="169"/>
        <v>2340</v>
      </c>
      <c r="P34" s="450">
        <f t="shared" si="170"/>
        <v>-325</v>
      </c>
      <c r="Q34" s="451">
        <f t="shared" si="171"/>
        <v>-1001</v>
      </c>
      <c r="R34" s="451">
        <f t="shared" si="172"/>
        <v>7845</v>
      </c>
      <c r="S34" s="452">
        <f t="shared" si="173"/>
        <v>1474</v>
      </c>
      <c r="T34" s="450">
        <f t="shared" si="174"/>
        <v>2078</v>
      </c>
      <c r="U34" s="451">
        <f t="shared" si="175"/>
        <v>985</v>
      </c>
      <c r="V34" s="451">
        <f t="shared" si="176"/>
        <v>2021</v>
      </c>
      <c r="W34" s="452">
        <f t="shared" si="177"/>
        <v>2672</v>
      </c>
      <c r="X34" s="450">
        <f t="shared" si="178"/>
        <v>2615</v>
      </c>
      <c r="Y34" s="451">
        <f t="shared" si="179"/>
        <v>3347</v>
      </c>
      <c r="Z34" s="451">
        <f t="shared" si="180"/>
        <v>2831</v>
      </c>
      <c r="AA34" s="452">
        <f t="shared" si="181"/>
        <v>4340</v>
      </c>
      <c r="AB34" s="451">
        <f t="shared" si="182"/>
        <v>12766</v>
      </c>
      <c r="AC34" s="451">
        <f t="shared" si="183"/>
        <v>3075</v>
      </c>
      <c r="AD34" s="451">
        <f t="shared" si="184"/>
        <v>1856</v>
      </c>
      <c r="AE34" s="452">
        <f t="shared" si="185"/>
        <v>2408</v>
      </c>
      <c r="AF34" s="451">
        <f t="shared" si="186"/>
        <v>2160</v>
      </c>
      <c r="AG34" s="451">
        <f t="shared" si="187"/>
        <v>1335</v>
      </c>
      <c r="AH34" s="451">
        <f t="shared" si="188"/>
        <v>3278</v>
      </c>
      <c r="AI34" s="452">
        <f t="shared" si="189"/>
        <v>878</v>
      </c>
      <c r="AJ34" s="451">
        <f t="shared" si="190"/>
        <v>2015</v>
      </c>
      <c r="AK34" s="451">
        <f t="shared" si="191"/>
        <v>1544</v>
      </c>
      <c r="AL34" s="451">
        <f t="shared" si="192"/>
        <v>2891</v>
      </c>
      <c r="AM34" s="451">
        <f t="shared" si="193"/>
        <v>2820</v>
      </c>
      <c r="AN34" s="450">
        <f t="shared" si="194"/>
        <v>3087</v>
      </c>
      <c r="AO34" s="451">
        <f t="shared" si="195"/>
        <v>2877</v>
      </c>
      <c r="AP34" s="451">
        <f t="shared" si="196"/>
        <v>2218</v>
      </c>
      <c r="AQ34" s="452">
        <f t="shared" si="197"/>
        <v>1989</v>
      </c>
      <c r="AR34" s="450">
        <f t="shared" si="198"/>
        <v>1122</v>
      </c>
      <c r="AS34" s="451">
        <f t="shared" si="199"/>
        <v>646</v>
      </c>
      <c r="AT34" s="451">
        <f t="shared" si="200"/>
        <v>1425</v>
      </c>
      <c r="AU34" s="452">
        <f t="shared" si="201"/>
        <v>5065</v>
      </c>
      <c r="AV34" s="450">
        <f t="shared" si="225"/>
        <v>4169</v>
      </c>
      <c r="AW34" s="451">
        <f t="shared" si="202"/>
        <v>1909</v>
      </c>
      <c r="AX34" s="451">
        <f t="shared" si="203"/>
        <v>2643</v>
      </c>
      <c r="AY34" s="452">
        <f t="shared" si="204"/>
        <v>785</v>
      </c>
      <c r="AZ34" s="450">
        <f t="shared" si="226"/>
        <v>1939</v>
      </c>
      <c r="BA34" s="451">
        <f t="shared" si="205"/>
        <v>1956</v>
      </c>
      <c r="BB34" s="451">
        <f t="shared" si="206"/>
        <v>4203</v>
      </c>
      <c r="BC34" s="452">
        <f t="shared" si="207"/>
        <v>2567</v>
      </c>
      <c r="BD34" s="450">
        <v>0</v>
      </c>
      <c r="BE34" s="453">
        <v>0</v>
      </c>
      <c r="BF34" s="453">
        <v>0</v>
      </c>
      <c r="BG34" s="1015">
        <v>0</v>
      </c>
      <c r="BH34" s="450">
        <v>0</v>
      </c>
      <c r="BI34" s="453">
        <v>0</v>
      </c>
      <c r="BJ34" s="453">
        <v>0</v>
      </c>
      <c r="BK34" s="1015">
        <v>0</v>
      </c>
      <c r="BL34" s="35"/>
      <c r="BM34" s="451">
        <f t="shared" si="210"/>
        <v>8433</v>
      </c>
      <c r="BN34" s="451">
        <f t="shared" si="211"/>
        <v>7147</v>
      </c>
      <c r="BO34" s="451">
        <f t="shared" si="212"/>
        <v>8011</v>
      </c>
      <c r="BP34" s="451">
        <f t="shared" si="213"/>
        <v>7993</v>
      </c>
      <c r="BQ34" s="451">
        <f t="shared" si="214"/>
        <v>7756</v>
      </c>
      <c r="BR34" s="451">
        <f t="shared" si="215"/>
        <v>13133</v>
      </c>
      <c r="BS34" s="451">
        <f t="shared" si="216"/>
        <v>20105</v>
      </c>
      <c r="BT34" s="450">
        <f t="shared" si="217"/>
        <v>7651</v>
      </c>
      <c r="BU34" s="451">
        <f t="shared" si="218"/>
        <v>9270</v>
      </c>
      <c r="BV34" s="451">
        <f t="shared" si="219"/>
        <v>10171</v>
      </c>
      <c r="BW34" s="451">
        <f t="shared" si="220"/>
        <v>8258</v>
      </c>
      <c r="BX34" s="451">
        <f t="shared" si="221"/>
        <v>9506</v>
      </c>
      <c r="BY34" s="451">
        <f t="shared" si="222"/>
        <v>10665</v>
      </c>
      <c r="BZ34" s="451">
        <f t="shared" si="223"/>
        <v>0</v>
      </c>
      <c r="CA34" s="451">
        <f t="shared" si="224"/>
        <v>0</v>
      </c>
      <c r="CB34" s="1212">
        <v>0</v>
      </c>
      <c r="CC34" s="691">
        <v>0</v>
      </c>
      <c r="CD34" s="626"/>
      <c r="CE34" s="626"/>
    </row>
    <row r="35" spans="1:83" ht="14.25" customHeight="1">
      <c r="A35" s="18"/>
      <c r="B35" s="278" t="str">
        <f t="shared" si="157"/>
        <v>Purchases of trading assets</v>
      </c>
      <c r="C35" s="103"/>
      <c r="D35" s="450">
        <f t="shared" si="158"/>
        <v>0</v>
      </c>
      <c r="E35" s="451">
        <f t="shared" si="159"/>
        <v>0</v>
      </c>
      <c r="F35" s="451">
        <f t="shared" si="160"/>
        <v>0</v>
      </c>
      <c r="G35" s="452">
        <f t="shared" si="161"/>
        <v>0</v>
      </c>
      <c r="H35" s="450">
        <f t="shared" si="162"/>
        <v>0</v>
      </c>
      <c r="I35" s="451">
        <f t="shared" si="163"/>
        <v>0</v>
      </c>
      <c r="J35" s="451">
        <f t="shared" si="164"/>
        <v>0</v>
      </c>
      <c r="K35" s="452">
        <f t="shared" si="165"/>
        <v>0</v>
      </c>
      <c r="L35" s="450">
        <f t="shared" si="166"/>
        <v>0</v>
      </c>
      <c r="M35" s="451">
        <f t="shared" si="167"/>
        <v>0</v>
      </c>
      <c r="N35" s="451">
        <f t="shared" si="168"/>
        <v>0</v>
      </c>
      <c r="O35" s="452">
        <f t="shared" si="169"/>
        <v>0</v>
      </c>
      <c r="P35" s="450">
        <f t="shared" si="170"/>
        <v>67</v>
      </c>
      <c r="Q35" s="451">
        <f t="shared" si="171"/>
        <v>221</v>
      </c>
      <c r="R35" s="451">
        <f t="shared" si="172"/>
        <v>-2461</v>
      </c>
      <c r="S35" s="452">
        <f t="shared" si="173"/>
        <v>-503</v>
      </c>
      <c r="T35" s="450">
        <f t="shared" si="174"/>
        <v>-304</v>
      </c>
      <c r="U35" s="451">
        <f t="shared" si="175"/>
        <v>-577</v>
      </c>
      <c r="V35" s="451">
        <f t="shared" si="176"/>
        <v>-1624</v>
      </c>
      <c r="W35" s="452">
        <f t="shared" si="177"/>
        <v>-1681</v>
      </c>
      <c r="X35" s="450">
        <f t="shared" si="178"/>
        <v>-2397</v>
      </c>
      <c r="Y35" s="451">
        <f t="shared" si="179"/>
        <v>1177</v>
      </c>
      <c r="Z35" s="451">
        <f t="shared" si="180"/>
        <v>-5541</v>
      </c>
      <c r="AA35" s="452">
        <f t="shared" si="181"/>
        <v>-2183</v>
      </c>
      <c r="AB35" s="451">
        <f t="shared" si="182"/>
        <v>-1540</v>
      </c>
      <c r="AC35" s="451">
        <f t="shared" si="183"/>
        <v>-2280</v>
      </c>
      <c r="AD35" s="451">
        <f t="shared" si="184"/>
        <v>-2975</v>
      </c>
      <c r="AE35" s="452">
        <f t="shared" si="185"/>
        <v>-4519</v>
      </c>
      <c r="AF35" s="451">
        <f t="shared" si="186"/>
        <v>-4303</v>
      </c>
      <c r="AG35" s="451">
        <f t="shared" si="187"/>
        <v>-3863</v>
      </c>
      <c r="AH35" s="451">
        <f t="shared" si="188"/>
        <v>-4382</v>
      </c>
      <c r="AI35" s="452">
        <f t="shared" si="189"/>
        <v>-4344</v>
      </c>
      <c r="AJ35" s="451">
        <f t="shared" si="190"/>
        <v>-5191</v>
      </c>
      <c r="AK35" s="451">
        <f t="shared" si="191"/>
        <v>-4425</v>
      </c>
      <c r="AL35" s="451">
        <f t="shared" si="192"/>
        <v>-3418</v>
      </c>
      <c r="AM35" s="451">
        <f t="shared" si="193"/>
        <v>-3684</v>
      </c>
      <c r="AN35" s="450">
        <f>AN122</f>
        <v>-3225</v>
      </c>
      <c r="AO35" s="451">
        <f t="shared" si="195"/>
        <v>-3600</v>
      </c>
      <c r="AP35" s="451">
        <f t="shared" si="196"/>
        <v>-3522</v>
      </c>
      <c r="AQ35" s="452">
        <f t="shared" si="197"/>
        <v>-4050</v>
      </c>
      <c r="AR35" s="450">
        <f>AR122</f>
        <v>-2475</v>
      </c>
      <c r="AS35" s="451">
        <f t="shared" si="199"/>
        <v>-2816</v>
      </c>
      <c r="AT35" s="451">
        <f t="shared" si="200"/>
        <v>-2652</v>
      </c>
      <c r="AU35" s="452">
        <f t="shared" si="201"/>
        <v>-3542</v>
      </c>
      <c r="AV35" s="450">
        <f>AV122</f>
        <v>-4533</v>
      </c>
      <c r="AW35" s="451">
        <f t="shared" si="202"/>
        <v>-2672</v>
      </c>
      <c r="AX35" s="451">
        <f t="shared" si="203"/>
        <v>-2748</v>
      </c>
      <c r="AY35" s="452">
        <f t="shared" si="204"/>
        <v>-2284</v>
      </c>
      <c r="AZ35" s="450">
        <f>AZ122</f>
        <v>-3075</v>
      </c>
      <c r="BA35" s="451">
        <f t="shared" si="205"/>
        <v>-4886</v>
      </c>
      <c r="BB35" s="451">
        <f t="shared" si="206"/>
        <v>-1831</v>
      </c>
      <c r="BC35" s="452">
        <f t="shared" si="207"/>
        <v>-3908</v>
      </c>
      <c r="BD35" s="450">
        <f>BS!BC20-BS!BD20</f>
        <v>-5289</v>
      </c>
      <c r="BE35" s="453">
        <f>BS!BD20-BS!BE20</f>
        <v>0</v>
      </c>
      <c r="BF35" s="453">
        <f>BS!BE20-BS!BF20</f>
        <v>0</v>
      </c>
      <c r="BG35" s="1015">
        <f>BS!BF20-BS!BG20</f>
        <v>0</v>
      </c>
      <c r="BH35" s="450">
        <f>BS!BG20-BS!BH20</f>
        <v>0</v>
      </c>
      <c r="BI35" s="453">
        <f>BS!BH20-BS!BI20</f>
        <v>0</v>
      </c>
      <c r="BJ35" s="453">
        <f>BS!BI20-BS!BJ20</f>
        <v>0</v>
      </c>
      <c r="BK35" s="1015">
        <f>BS!BJ20-BS!BK20</f>
        <v>0</v>
      </c>
      <c r="BL35" s="35"/>
      <c r="BM35" s="451">
        <f t="shared" si="210"/>
        <v>0</v>
      </c>
      <c r="BN35" s="451">
        <f t="shared" si="211"/>
        <v>0</v>
      </c>
      <c r="BO35" s="451">
        <f t="shared" si="212"/>
        <v>0</v>
      </c>
      <c r="BP35" s="451">
        <f t="shared" si="213"/>
        <v>-2676</v>
      </c>
      <c r="BQ35" s="451">
        <f t="shared" si="214"/>
        <v>-4186</v>
      </c>
      <c r="BR35" s="451">
        <f t="shared" si="215"/>
        <v>-8944</v>
      </c>
      <c r="BS35" s="451">
        <f t="shared" si="216"/>
        <v>-11314</v>
      </c>
      <c r="BT35" s="450">
        <f t="shared" si="217"/>
        <v>-16892</v>
      </c>
      <c r="BU35" s="451">
        <f t="shared" si="218"/>
        <v>-16718</v>
      </c>
      <c r="BV35" s="451">
        <f t="shared" si="219"/>
        <v>-14397</v>
      </c>
      <c r="BW35" s="451">
        <f t="shared" si="220"/>
        <v>-11485</v>
      </c>
      <c r="BX35" s="451">
        <f t="shared" si="221"/>
        <v>-12237</v>
      </c>
      <c r="BY35" s="451">
        <f t="shared" si="222"/>
        <v>-13700</v>
      </c>
      <c r="BZ35" s="451">
        <f t="shared" si="223"/>
        <v>-5289</v>
      </c>
      <c r="CA35" s="451">
        <f t="shared" si="224"/>
        <v>0</v>
      </c>
      <c r="CB35" s="1212">
        <v>0</v>
      </c>
      <c r="CC35" s="691">
        <v>-55</v>
      </c>
      <c r="CD35" s="626"/>
      <c r="CE35" s="626"/>
    </row>
    <row r="36" spans="1:83" ht="14.25" customHeight="1">
      <c r="A36" s="18"/>
      <c r="B36" s="278" t="str">
        <f t="shared" si="157"/>
        <v>Maturities and sales of trading assets</v>
      </c>
      <c r="C36" s="103"/>
      <c r="D36" s="450">
        <f t="shared" si="158"/>
        <v>0</v>
      </c>
      <c r="E36" s="451">
        <f t="shared" si="159"/>
        <v>0</v>
      </c>
      <c r="F36" s="451">
        <f t="shared" si="160"/>
        <v>0</v>
      </c>
      <c r="G36" s="452">
        <f t="shared" si="161"/>
        <v>0</v>
      </c>
      <c r="H36" s="450">
        <f t="shared" si="162"/>
        <v>0</v>
      </c>
      <c r="I36" s="451">
        <f t="shared" si="163"/>
        <v>0</v>
      </c>
      <c r="J36" s="451">
        <f t="shared" si="164"/>
        <v>0</v>
      </c>
      <c r="K36" s="452">
        <f t="shared" si="165"/>
        <v>0</v>
      </c>
      <c r="L36" s="450">
        <f t="shared" si="166"/>
        <v>0</v>
      </c>
      <c r="M36" s="451">
        <f t="shared" si="167"/>
        <v>0</v>
      </c>
      <c r="N36" s="451">
        <f t="shared" si="168"/>
        <v>0</v>
      </c>
      <c r="O36" s="452">
        <f t="shared" si="169"/>
        <v>0</v>
      </c>
      <c r="P36" s="450">
        <f t="shared" si="170"/>
        <v>-213</v>
      </c>
      <c r="Q36" s="451">
        <f t="shared" si="171"/>
        <v>-231</v>
      </c>
      <c r="R36" s="451">
        <f t="shared" si="172"/>
        <v>1086</v>
      </c>
      <c r="S36" s="452">
        <f t="shared" si="173"/>
        <v>1124</v>
      </c>
      <c r="T36" s="450">
        <f t="shared" si="174"/>
        <v>651</v>
      </c>
      <c r="U36" s="451">
        <f t="shared" si="175"/>
        <v>894</v>
      </c>
      <c r="V36" s="451">
        <f t="shared" si="176"/>
        <v>334</v>
      </c>
      <c r="W36" s="452">
        <f t="shared" si="177"/>
        <v>664</v>
      </c>
      <c r="X36" s="450">
        <f t="shared" si="178"/>
        <v>1554</v>
      </c>
      <c r="Y36" s="451">
        <f t="shared" si="179"/>
        <v>-1723</v>
      </c>
      <c r="Z36" s="451">
        <f t="shared" si="180"/>
        <v>6118</v>
      </c>
      <c r="AA36" s="452">
        <f t="shared" si="181"/>
        <v>2897</v>
      </c>
      <c r="AB36" s="451">
        <f t="shared" si="182"/>
        <v>2578</v>
      </c>
      <c r="AC36" s="451">
        <f t="shared" si="183"/>
        <v>2680</v>
      </c>
      <c r="AD36" s="451">
        <f t="shared" si="184"/>
        <v>2430</v>
      </c>
      <c r="AE36" s="452">
        <f t="shared" si="185"/>
        <v>4083</v>
      </c>
      <c r="AF36" s="451">
        <f t="shared" si="186"/>
        <v>4567</v>
      </c>
      <c r="AG36" s="451">
        <f t="shared" si="187"/>
        <v>3754</v>
      </c>
      <c r="AH36" s="451">
        <f t="shared" si="188"/>
        <v>4357</v>
      </c>
      <c r="AI36" s="452">
        <f t="shared" si="189"/>
        <v>3108</v>
      </c>
      <c r="AJ36" s="451">
        <f t="shared" si="190"/>
        <v>3558</v>
      </c>
      <c r="AK36" s="451">
        <f t="shared" si="191"/>
        <v>4200</v>
      </c>
      <c r="AL36" s="451">
        <f t="shared" si="192"/>
        <v>3132</v>
      </c>
      <c r="AM36" s="451">
        <f t="shared" si="193"/>
        <v>2787</v>
      </c>
      <c r="AN36" s="450">
        <f t="shared" si="194"/>
        <v>2693</v>
      </c>
      <c r="AO36" s="451">
        <f t="shared" si="195"/>
        <v>2851</v>
      </c>
      <c r="AP36" s="451">
        <f t="shared" si="196"/>
        <v>3997</v>
      </c>
      <c r="AQ36" s="452">
        <f t="shared" si="197"/>
        <v>3624</v>
      </c>
      <c r="AR36" s="450">
        <f t="shared" si="198"/>
        <v>3398</v>
      </c>
      <c r="AS36" s="451">
        <f t="shared" si="199"/>
        <v>4241</v>
      </c>
      <c r="AT36" s="451">
        <f t="shared" si="200"/>
        <v>276</v>
      </c>
      <c r="AU36" s="452">
        <f t="shared" si="201"/>
        <v>5457</v>
      </c>
      <c r="AV36" s="450">
        <f t="shared" si="225"/>
        <v>3138</v>
      </c>
      <c r="AW36" s="451">
        <f t="shared" si="202"/>
        <v>2175</v>
      </c>
      <c r="AX36" s="451">
        <f t="shared" si="203"/>
        <v>2554</v>
      </c>
      <c r="AY36" s="452">
        <f t="shared" si="204"/>
        <v>3040</v>
      </c>
      <c r="AZ36" s="450">
        <f t="shared" si="226"/>
        <v>2433</v>
      </c>
      <c r="BA36" s="451">
        <f t="shared" si="205"/>
        <v>3544</v>
      </c>
      <c r="BB36" s="451">
        <f t="shared" si="206"/>
        <v>5829</v>
      </c>
      <c r="BC36" s="452">
        <f t="shared" si="207"/>
        <v>2169</v>
      </c>
      <c r="BD36" s="450">
        <v>0</v>
      </c>
      <c r="BE36" s="453">
        <v>0</v>
      </c>
      <c r="BF36" s="453">
        <v>0</v>
      </c>
      <c r="BG36" s="1015">
        <v>0</v>
      </c>
      <c r="BH36" s="450">
        <v>0</v>
      </c>
      <c r="BI36" s="453">
        <v>0</v>
      </c>
      <c r="BJ36" s="453">
        <v>0</v>
      </c>
      <c r="BK36" s="1015">
        <v>0</v>
      </c>
      <c r="BL36" s="35"/>
      <c r="BM36" s="451">
        <f t="shared" si="210"/>
        <v>0</v>
      </c>
      <c r="BN36" s="451">
        <f t="shared" si="211"/>
        <v>0</v>
      </c>
      <c r="BO36" s="451">
        <f t="shared" si="212"/>
        <v>0</v>
      </c>
      <c r="BP36" s="451">
        <f t="shared" si="213"/>
        <v>1766</v>
      </c>
      <c r="BQ36" s="451">
        <f t="shared" si="214"/>
        <v>2543</v>
      </c>
      <c r="BR36" s="451">
        <f t="shared" si="215"/>
        <v>8846</v>
      </c>
      <c r="BS36" s="451">
        <f t="shared" si="216"/>
        <v>11771</v>
      </c>
      <c r="BT36" s="450">
        <f t="shared" si="217"/>
        <v>15786</v>
      </c>
      <c r="BU36" s="451">
        <f t="shared" si="218"/>
        <v>13677</v>
      </c>
      <c r="BV36" s="451">
        <f t="shared" si="219"/>
        <v>13165</v>
      </c>
      <c r="BW36" s="451">
        <f t="shared" si="220"/>
        <v>13372</v>
      </c>
      <c r="BX36" s="451">
        <f t="shared" si="221"/>
        <v>10907</v>
      </c>
      <c r="BY36" s="451">
        <f t="shared" si="222"/>
        <v>13975</v>
      </c>
      <c r="BZ36" s="451">
        <f t="shared" si="223"/>
        <v>0</v>
      </c>
      <c r="CA36" s="451">
        <f t="shared" si="224"/>
        <v>0</v>
      </c>
      <c r="CB36" s="1212">
        <v>0</v>
      </c>
      <c r="CC36" s="691">
        <v>-3268</v>
      </c>
      <c r="CD36" s="626"/>
      <c r="CE36" s="626"/>
    </row>
    <row r="37" spans="1:83" ht="14.25" customHeight="1">
      <c r="A37" s="18"/>
      <c r="B37" s="278" t="str">
        <f t="shared" si="157"/>
        <v>Investments in non-marketable equity investments</v>
      </c>
      <c r="C37" s="103"/>
      <c r="D37" s="450">
        <f t="shared" si="158"/>
        <v>0</v>
      </c>
      <c r="E37" s="451">
        <f t="shared" si="159"/>
        <v>0</v>
      </c>
      <c r="F37" s="451">
        <f t="shared" si="160"/>
        <v>-115</v>
      </c>
      <c r="G37" s="452">
        <f t="shared" si="161"/>
        <v>-78</v>
      </c>
      <c r="H37" s="450">
        <f t="shared" si="162"/>
        <v>-577</v>
      </c>
      <c r="I37" s="451">
        <f t="shared" si="163"/>
        <v>-106</v>
      </c>
      <c r="J37" s="451">
        <f t="shared" si="164"/>
        <v>-694</v>
      </c>
      <c r="K37" s="452">
        <f t="shared" si="165"/>
        <v>-345</v>
      </c>
      <c r="L37" s="450">
        <f t="shared" si="166"/>
        <v>-489</v>
      </c>
      <c r="M37" s="451">
        <f t="shared" si="167"/>
        <v>-311</v>
      </c>
      <c r="N37" s="451">
        <f t="shared" si="168"/>
        <v>-479</v>
      </c>
      <c r="O37" s="452">
        <f t="shared" si="169"/>
        <v>-180</v>
      </c>
      <c r="P37" s="450">
        <f t="shared" si="170"/>
        <v>0</v>
      </c>
      <c r="Q37" s="451">
        <f t="shared" si="171"/>
        <v>0</v>
      </c>
      <c r="R37" s="451">
        <f t="shared" si="172"/>
        <v>-564</v>
      </c>
      <c r="S37" s="452">
        <f t="shared" si="173"/>
        <v>-1127</v>
      </c>
      <c r="T37" s="450">
        <f t="shared" si="174"/>
        <v>-41</v>
      </c>
      <c r="U37" s="451">
        <f t="shared" si="175"/>
        <v>-83</v>
      </c>
      <c r="V37" s="451">
        <f t="shared" si="176"/>
        <v>-41</v>
      </c>
      <c r="W37" s="452">
        <f t="shared" si="177"/>
        <v>-85</v>
      </c>
      <c r="X37" s="450">
        <f t="shared" si="178"/>
        <v>-69</v>
      </c>
      <c r="Y37" s="451">
        <f t="shared" si="179"/>
        <v>168</v>
      </c>
      <c r="Z37" s="451">
        <f t="shared" si="180"/>
        <v>-341</v>
      </c>
      <c r="AA37" s="452">
        <f t="shared" si="181"/>
        <v>-151</v>
      </c>
      <c r="AB37" s="451">
        <f t="shared" si="182"/>
        <v>-147</v>
      </c>
      <c r="AC37" s="451">
        <f t="shared" si="183"/>
        <v>-148</v>
      </c>
      <c r="AD37" s="451">
        <f t="shared" si="184"/>
        <v>-274</v>
      </c>
      <c r="AE37" s="452">
        <f t="shared" si="185"/>
        <v>-124</v>
      </c>
      <c r="AF37" s="451">
        <f t="shared" si="186"/>
        <v>-116</v>
      </c>
      <c r="AG37" s="451">
        <f t="shared" si="187"/>
        <v>-79</v>
      </c>
      <c r="AH37" s="451">
        <f t="shared" si="188"/>
        <v>-163</v>
      </c>
      <c r="AI37" s="452">
        <f t="shared" si="189"/>
        <v>-117</v>
      </c>
      <c r="AJ37" s="451">
        <f t="shared" si="190"/>
        <v>-35</v>
      </c>
      <c r="AK37" s="451">
        <f t="shared" si="191"/>
        <v>-90</v>
      </c>
      <c r="AL37" s="451">
        <f t="shared" si="192"/>
        <v>-133</v>
      </c>
      <c r="AM37" s="451">
        <f t="shared" si="193"/>
        <v>-182</v>
      </c>
      <c r="AN37" s="450">
        <f t="shared" si="194"/>
        <v>-144</v>
      </c>
      <c r="AO37" s="451">
        <f t="shared" si="195"/>
        <v>-971</v>
      </c>
      <c r="AP37" s="451">
        <f t="shared" si="196"/>
        <v>-215</v>
      </c>
      <c r="AQ37" s="452">
        <f t="shared" si="197"/>
        <v>-47</v>
      </c>
      <c r="AR37" s="450">
        <f t="shared" si="198"/>
        <v>-278</v>
      </c>
      <c r="AS37" s="451">
        <f t="shared" si="199"/>
        <v>-280</v>
      </c>
      <c r="AT37" s="451">
        <f t="shared" si="200"/>
        <v>-1306</v>
      </c>
      <c r="AU37" s="452">
        <f t="shared" si="201"/>
        <v>-147</v>
      </c>
      <c r="AV37" s="450">
        <f t="shared" si="225"/>
        <v>-182</v>
      </c>
      <c r="AW37" s="451">
        <f t="shared" si="202"/>
        <v>-481</v>
      </c>
      <c r="AX37" s="451">
        <f t="shared" si="203"/>
        <v>-230</v>
      </c>
      <c r="AY37" s="452">
        <f t="shared" si="204"/>
        <v>-70</v>
      </c>
      <c r="AZ37" s="450">
        <f t="shared" si="226"/>
        <v>-422</v>
      </c>
      <c r="BA37" s="451">
        <f t="shared" si="205"/>
        <v>-203</v>
      </c>
      <c r="BB37" s="451">
        <f t="shared" si="206"/>
        <v>-101</v>
      </c>
      <c r="BC37" s="452">
        <f t="shared" si="207"/>
        <v>-875</v>
      </c>
      <c r="BD37" s="450">
        <v>0</v>
      </c>
      <c r="BE37" s="453">
        <v>0</v>
      </c>
      <c r="BF37" s="453">
        <v>0</v>
      </c>
      <c r="BG37" s="1015">
        <v>0</v>
      </c>
      <c r="BH37" s="450">
        <v>0</v>
      </c>
      <c r="BI37" s="453">
        <v>0</v>
      </c>
      <c r="BJ37" s="453">
        <v>0</v>
      </c>
      <c r="BK37" s="1015">
        <v>0</v>
      </c>
      <c r="BL37" s="35"/>
      <c r="BM37" s="451">
        <f t="shared" si="210"/>
        <v>-193</v>
      </c>
      <c r="BN37" s="451">
        <f t="shared" si="211"/>
        <v>-1722</v>
      </c>
      <c r="BO37" s="451">
        <f t="shared" si="212"/>
        <v>-1459</v>
      </c>
      <c r="BP37" s="451">
        <f t="shared" si="213"/>
        <v>-1691</v>
      </c>
      <c r="BQ37" s="451">
        <f t="shared" si="214"/>
        <v>-250</v>
      </c>
      <c r="BR37" s="451">
        <f t="shared" si="215"/>
        <v>-393</v>
      </c>
      <c r="BS37" s="451">
        <f t="shared" si="216"/>
        <v>-693</v>
      </c>
      <c r="BT37" s="450">
        <f t="shared" si="217"/>
        <v>-475</v>
      </c>
      <c r="BU37" s="451">
        <f t="shared" si="218"/>
        <v>-440</v>
      </c>
      <c r="BV37" s="451">
        <f t="shared" si="219"/>
        <v>-1377</v>
      </c>
      <c r="BW37" s="451">
        <f t="shared" si="220"/>
        <v>-2011</v>
      </c>
      <c r="BX37" s="451">
        <f t="shared" si="221"/>
        <v>-963</v>
      </c>
      <c r="BY37" s="451">
        <f t="shared" si="222"/>
        <v>-1601</v>
      </c>
      <c r="BZ37" s="451">
        <f t="shared" si="223"/>
        <v>0</v>
      </c>
      <c r="CA37" s="451">
        <f t="shared" si="224"/>
        <v>0</v>
      </c>
      <c r="CB37" s="1212">
        <v>0</v>
      </c>
      <c r="CC37" s="691">
        <v>0</v>
      </c>
      <c r="CD37" s="626"/>
      <c r="CE37" s="626"/>
    </row>
    <row r="38" spans="1:83" ht="14.25" customHeight="1">
      <c r="A38" s="18"/>
      <c r="B38" s="278" t="str">
        <f t="shared" si="157"/>
        <v>Return of equity method investments</v>
      </c>
      <c r="C38" s="103"/>
      <c r="D38" s="450">
        <f t="shared" si="158"/>
        <v>0</v>
      </c>
      <c r="E38" s="451">
        <f t="shared" si="159"/>
        <v>0</v>
      </c>
      <c r="F38" s="451">
        <f t="shared" si="160"/>
        <v>0</v>
      </c>
      <c r="G38" s="452">
        <f t="shared" si="161"/>
        <v>0</v>
      </c>
      <c r="H38" s="450">
        <f t="shared" si="162"/>
        <v>0</v>
      </c>
      <c r="I38" s="451">
        <f t="shared" si="163"/>
        <v>0</v>
      </c>
      <c r="J38" s="451">
        <f t="shared" si="164"/>
        <v>0</v>
      </c>
      <c r="K38" s="452">
        <f t="shared" si="165"/>
        <v>0</v>
      </c>
      <c r="L38" s="450">
        <f t="shared" si="166"/>
        <v>0</v>
      </c>
      <c r="M38" s="451">
        <f t="shared" si="167"/>
        <v>0</v>
      </c>
      <c r="N38" s="451">
        <f t="shared" si="168"/>
        <v>0</v>
      </c>
      <c r="O38" s="452">
        <f t="shared" si="169"/>
        <v>0</v>
      </c>
      <c r="P38" s="450">
        <f t="shared" si="170"/>
        <v>0</v>
      </c>
      <c r="Q38" s="451">
        <f t="shared" si="171"/>
        <v>91</v>
      </c>
      <c r="R38" s="451">
        <f t="shared" si="172"/>
        <v>102</v>
      </c>
      <c r="S38" s="452">
        <f t="shared" si="173"/>
        <v>123</v>
      </c>
      <c r="T38" s="450">
        <f t="shared" si="174"/>
        <v>118</v>
      </c>
      <c r="U38" s="451">
        <f t="shared" si="175"/>
        <v>121</v>
      </c>
      <c r="V38" s="451">
        <f t="shared" si="176"/>
        <v>109</v>
      </c>
      <c r="W38" s="452">
        <f t="shared" si="177"/>
        <v>101</v>
      </c>
      <c r="X38" s="450">
        <f t="shared" si="178"/>
        <v>70</v>
      </c>
      <c r="Y38" s="451">
        <f t="shared" si="179"/>
        <v>-70</v>
      </c>
      <c r="Z38" s="451">
        <f t="shared" si="180"/>
        <v>151</v>
      </c>
      <c r="AA38" s="452">
        <f t="shared" si="181"/>
        <v>48</v>
      </c>
      <c r="AB38" s="451">
        <f t="shared" si="182"/>
        <v>24</v>
      </c>
      <c r="AC38" s="451">
        <f t="shared" si="183"/>
        <v>89</v>
      </c>
      <c r="AD38" s="451">
        <f t="shared" si="184"/>
        <v>59</v>
      </c>
      <c r="AE38" s="452">
        <f t="shared" si="185"/>
        <v>91</v>
      </c>
      <c r="AF38" s="451">
        <f t="shared" si="186"/>
        <v>67</v>
      </c>
      <c r="AG38" s="451">
        <f t="shared" si="187"/>
        <v>70</v>
      </c>
      <c r="AH38" s="451">
        <f t="shared" si="188"/>
        <v>0</v>
      </c>
      <c r="AI38" s="452">
        <f t="shared" si="189"/>
        <v>0</v>
      </c>
      <c r="AJ38" s="451">
        <f t="shared" si="190"/>
        <v>13</v>
      </c>
      <c r="AK38" s="451">
        <f t="shared" si="191"/>
        <v>18</v>
      </c>
      <c r="AL38" s="451">
        <f t="shared" si="192"/>
        <v>4</v>
      </c>
      <c r="AM38" s="451">
        <f t="shared" si="193"/>
        <v>10</v>
      </c>
      <c r="AN38" s="450">
        <f t="shared" si="194"/>
        <v>0</v>
      </c>
      <c r="AO38" s="451">
        <f t="shared" si="195"/>
        <v>0</v>
      </c>
      <c r="AP38" s="451">
        <f t="shared" si="196"/>
        <v>0</v>
      </c>
      <c r="AQ38" s="452">
        <f t="shared" si="197"/>
        <v>0</v>
      </c>
      <c r="AR38" s="450">
        <f t="shared" si="198"/>
        <v>0</v>
      </c>
      <c r="AS38" s="451">
        <f t="shared" si="199"/>
        <v>0</v>
      </c>
      <c r="AT38" s="451">
        <f t="shared" si="200"/>
        <v>0</v>
      </c>
      <c r="AU38" s="452">
        <f t="shared" si="201"/>
        <v>0</v>
      </c>
      <c r="AV38" s="450">
        <f t="shared" si="225"/>
        <v>0</v>
      </c>
      <c r="AW38" s="451">
        <f t="shared" si="202"/>
        <v>0</v>
      </c>
      <c r="AX38" s="451">
        <f t="shared" si="203"/>
        <v>0</v>
      </c>
      <c r="AY38" s="452">
        <f t="shared" si="204"/>
        <v>0</v>
      </c>
      <c r="AZ38" s="450">
        <f t="shared" si="226"/>
        <v>0</v>
      </c>
      <c r="BA38" s="451">
        <f t="shared" si="205"/>
        <v>0</v>
      </c>
      <c r="BB38" s="451">
        <f t="shared" si="206"/>
        <v>0</v>
      </c>
      <c r="BC38" s="452">
        <f t="shared" si="207"/>
        <v>0</v>
      </c>
      <c r="BD38" s="450">
        <v>0</v>
      </c>
      <c r="BE38" s="453">
        <v>0</v>
      </c>
      <c r="BF38" s="453">
        <v>0</v>
      </c>
      <c r="BG38" s="1015">
        <v>0</v>
      </c>
      <c r="BH38" s="450">
        <v>0</v>
      </c>
      <c r="BI38" s="453">
        <v>0</v>
      </c>
      <c r="BJ38" s="453">
        <v>0</v>
      </c>
      <c r="BK38" s="1015">
        <v>0</v>
      </c>
      <c r="BL38" s="35"/>
      <c r="BM38" s="451">
        <f t="shared" si="210"/>
        <v>0</v>
      </c>
      <c r="BN38" s="451">
        <f t="shared" si="211"/>
        <v>0</v>
      </c>
      <c r="BO38" s="451">
        <f t="shared" si="212"/>
        <v>0</v>
      </c>
      <c r="BP38" s="451">
        <f t="shared" si="213"/>
        <v>316</v>
      </c>
      <c r="BQ38" s="451">
        <f t="shared" si="214"/>
        <v>449</v>
      </c>
      <c r="BR38" s="451">
        <f t="shared" si="215"/>
        <v>199</v>
      </c>
      <c r="BS38" s="451">
        <f t="shared" si="216"/>
        <v>263</v>
      </c>
      <c r="BT38" s="450">
        <f t="shared" si="217"/>
        <v>137</v>
      </c>
      <c r="BU38" s="451">
        <f t="shared" si="218"/>
        <v>45</v>
      </c>
      <c r="BV38" s="451">
        <f t="shared" si="219"/>
        <v>0</v>
      </c>
      <c r="BW38" s="451">
        <f t="shared" si="220"/>
        <v>0</v>
      </c>
      <c r="BX38" s="451">
        <f t="shared" si="221"/>
        <v>0</v>
      </c>
      <c r="BY38" s="451">
        <f t="shared" si="222"/>
        <v>0</v>
      </c>
      <c r="BZ38" s="451">
        <f t="shared" si="223"/>
        <v>0</v>
      </c>
      <c r="CA38" s="451">
        <f t="shared" si="224"/>
        <v>0</v>
      </c>
      <c r="CB38" s="1212">
        <v>0</v>
      </c>
      <c r="CC38" s="691">
        <v>-2461</v>
      </c>
      <c r="CD38" s="626"/>
      <c r="CE38" s="626"/>
    </row>
    <row r="39" spans="1:83" ht="14.25" customHeight="1">
      <c r="A39" s="18"/>
      <c r="B39" s="278" t="str">
        <f t="shared" si="157"/>
        <v>Proceeds from divestitures</v>
      </c>
      <c r="C39" s="103"/>
      <c r="D39" s="450">
        <f t="shared" si="158"/>
        <v>0</v>
      </c>
      <c r="E39" s="451">
        <f t="shared" si="159"/>
        <v>0</v>
      </c>
      <c r="F39" s="451">
        <f t="shared" si="160"/>
        <v>0</v>
      </c>
      <c r="G39" s="452">
        <f t="shared" si="161"/>
        <v>0</v>
      </c>
      <c r="H39" s="450">
        <f t="shared" si="162"/>
        <v>0</v>
      </c>
      <c r="I39" s="451">
        <f t="shared" si="163"/>
        <v>0</v>
      </c>
      <c r="J39" s="451">
        <f t="shared" si="164"/>
        <v>152</v>
      </c>
      <c r="K39" s="452">
        <f t="shared" si="165"/>
        <v>600</v>
      </c>
      <c r="L39" s="450">
        <f t="shared" si="166"/>
        <v>0</v>
      </c>
      <c r="M39" s="451">
        <f t="shared" si="167"/>
        <v>0</v>
      </c>
      <c r="N39" s="451">
        <f t="shared" si="168"/>
        <v>32</v>
      </c>
      <c r="O39" s="452">
        <f t="shared" si="169"/>
        <v>0</v>
      </c>
      <c r="P39" s="450">
        <f t="shared" si="170"/>
        <v>75</v>
      </c>
      <c r="Q39" s="451">
        <f t="shared" si="171"/>
        <v>0</v>
      </c>
      <c r="R39" s="451">
        <f t="shared" si="172"/>
        <v>0</v>
      </c>
      <c r="S39" s="452">
        <f t="shared" si="173"/>
        <v>10</v>
      </c>
      <c r="T39" s="450">
        <f t="shared" si="174"/>
        <v>0</v>
      </c>
      <c r="U39" s="451">
        <f t="shared" si="175"/>
        <v>0</v>
      </c>
      <c r="V39" s="451">
        <f t="shared" si="176"/>
        <v>0</v>
      </c>
      <c r="W39" s="452">
        <f t="shared" si="177"/>
        <v>0</v>
      </c>
      <c r="X39" s="450">
        <f t="shared" si="178"/>
        <v>0</v>
      </c>
      <c r="Y39" s="451">
        <f t="shared" si="179"/>
        <v>0</v>
      </c>
      <c r="Z39" s="451">
        <f t="shared" si="180"/>
        <v>0</v>
      </c>
      <c r="AA39" s="452">
        <f t="shared" si="181"/>
        <v>0</v>
      </c>
      <c r="AB39" s="451">
        <f t="shared" si="182"/>
        <v>50</v>
      </c>
      <c r="AC39" s="451">
        <f t="shared" si="183"/>
        <v>0</v>
      </c>
      <c r="AD39" s="451">
        <f t="shared" si="184"/>
        <v>0</v>
      </c>
      <c r="AE39" s="452">
        <f t="shared" si="185"/>
        <v>0</v>
      </c>
      <c r="AF39" s="451">
        <f t="shared" si="186"/>
        <v>0</v>
      </c>
      <c r="AG39" s="451">
        <f t="shared" si="187"/>
        <v>0</v>
      </c>
      <c r="AH39" s="451">
        <f t="shared" si="188"/>
        <v>0</v>
      </c>
      <c r="AI39" s="452">
        <f t="shared" si="189"/>
        <v>0</v>
      </c>
      <c r="AJ39" s="451">
        <f t="shared" si="190"/>
        <v>0</v>
      </c>
      <c r="AK39" s="451">
        <f t="shared" si="191"/>
        <v>0</v>
      </c>
      <c r="AL39" s="451">
        <f t="shared" si="192"/>
        <v>0</v>
      </c>
      <c r="AM39" s="451">
        <f t="shared" si="193"/>
        <v>0</v>
      </c>
      <c r="AN39" s="450">
        <f t="shared" si="194"/>
        <v>0</v>
      </c>
      <c r="AO39" s="451">
        <f t="shared" si="195"/>
        <v>0</v>
      </c>
      <c r="AP39" s="451">
        <f>AP126-AO39</f>
        <v>0</v>
      </c>
      <c r="AQ39" s="452">
        <f t="shared" si="197"/>
        <v>0</v>
      </c>
      <c r="AR39" s="450">
        <f t="shared" si="198"/>
        <v>0</v>
      </c>
      <c r="AS39" s="451">
        <f t="shared" si="199"/>
        <v>0</v>
      </c>
      <c r="AT39" s="451">
        <f>AT126-AS39</f>
        <v>0</v>
      </c>
      <c r="AU39" s="452">
        <f t="shared" si="201"/>
        <v>0</v>
      </c>
      <c r="AV39" s="450">
        <f t="shared" si="225"/>
        <v>0</v>
      </c>
      <c r="AW39" s="451">
        <f t="shared" si="202"/>
        <v>0</v>
      </c>
      <c r="AX39" s="451">
        <f>AX126-AW39</f>
        <v>0</v>
      </c>
      <c r="AY39" s="452">
        <f t="shared" si="204"/>
        <v>0</v>
      </c>
      <c r="AZ39" s="450">
        <f t="shared" si="226"/>
        <v>0</v>
      </c>
      <c r="BA39" s="451">
        <f t="shared" si="205"/>
        <v>924</v>
      </c>
      <c r="BB39" s="451">
        <f>BB126-BA39</f>
        <v>2200</v>
      </c>
      <c r="BC39" s="452">
        <f t="shared" si="207"/>
        <v>0</v>
      </c>
      <c r="BD39" s="450">
        <v>0</v>
      </c>
      <c r="BE39" s="453">
        <v>0</v>
      </c>
      <c r="BF39" s="453">
        <v>0</v>
      </c>
      <c r="BG39" s="1015">
        <v>0</v>
      </c>
      <c r="BH39" s="450">
        <v>0</v>
      </c>
      <c r="BI39" s="453">
        <v>0</v>
      </c>
      <c r="BJ39" s="453">
        <v>0</v>
      </c>
      <c r="BK39" s="1015">
        <v>0</v>
      </c>
      <c r="BL39" s="35"/>
      <c r="BM39" s="451">
        <f t="shared" si="210"/>
        <v>0</v>
      </c>
      <c r="BN39" s="451">
        <f t="shared" si="211"/>
        <v>752</v>
      </c>
      <c r="BO39" s="451">
        <f t="shared" si="212"/>
        <v>32</v>
      </c>
      <c r="BP39" s="451">
        <f t="shared" si="213"/>
        <v>85</v>
      </c>
      <c r="BQ39" s="451">
        <f t="shared" si="214"/>
        <v>0</v>
      </c>
      <c r="BR39" s="451">
        <f t="shared" si="215"/>
        <v>0</v>
      </c>
      <c r="BS39" s="451">
        <f t="shared" si="216"/>
        <v>50</v>
      </c>
      <c r="BT39" s="450">
        <f t="shared" si="217"/>
        <v>0</v>
      </c>
      <c r="BU39" s="451">
        <f t="shared" si="218"/>
        <v>0</v>
      </c>
      <c r="BV39" s="451">
        <f t="shared" si="219"/>
        <v>0</v>
      </c>
      <c r="BW39" s="451">
        <f t="shared" si="220"/>
        <v>0</v>
      </c>
      <c r="BX39" s="451">
        <f t="shared" si="221"/>
        <v>0</v>
      </c>
      <c r="BY39" s="451">
        <f t="shared" si="222"/>
        <v>3124</v>
      </c>
      <c r="BZ39" s="451">
        <f t="shared" si="223"/>
        <v>0</v>
      </c>
      <c r="CA39" s="451">
        <f t="shared" si="224"/>
        <v>0</v>
      </c>
      <c r="CB39" s="1212">
        <v>0</v>
      </c>
      <c r="CC39" s="691">
        <v>103</v>
      </c>
      <c r="CD39" s="626"/>
      <c r="CE39" s="626"/>
    </row>
    <row r="40" spans="1:83" ht="14.25" customHeight="1">
      <c r="A40" s="24"/>
      <c r="B40" s="278" t="str">
        <f t="shared" si="157"/>
        <v>Customer Prepayments/Other investing activities</v>
      </c>
      <c r="C40" s="103"/>
      <c r="D40" s="450">
        <f t="shared" si="158"/>
        <v>6</v>
      </c>
      <c r="E40" s="451">
        <f t="shared" si="159"/>
        <v>-27</v>
      </c>
      <c r="F40" s="451">
        <f t="shared" si="160"/>
        <v>-105</v>
      </c>
      <c r="G40" s="452">
        <f t="shared" si="161"/>
        <v>8</v>
      </c>
      <c r="H40" s="450">
        <f t="shared" si="162"/>
        <v>-193</v>
      </c>
      <c r="I40" s="451">
        <f t="shared" si="163"/>
        <v>91</v>
      </c>
      <c r="J40" s="451">
        <f t="shared" si="164"/>
        <v>67</v>
      </c>
      <c r="K40" s="452">
        <f t="shared" si="165"/>
        <v>2</v>
      </c>
      <c r="L40" s="450">
        <f t="shared" si="166"/>
        <v>25</v>
      </c>
      <c r="M40" s="451">
        <f t="shared" si="167"/>
        <v>24</v>
      </c>
      <c r="N40" s="451">
        <f t="shared" si="168"/>
        <v>77</v>
      </c>
      <c r="O40" s="452">
        <f t="shared" si="169"/>
        <v>168</v>
      </c>
      <c r="P40" s="450">
        <f t="shared" si="170"/>
        <v>-43</v>
      </c>
      <c r="Q40" s="451">
        <f t="shared" si="171"/>
        <v>3</v>
      </c>
      <c r="R40" s="451">
        <f t="shared" si="172"/>
        <v>65</v>
      </c>
      <c r="S40" s="452">
        <f t="shared" si="173"/>
        <v>9</v>
      </c>
      <c r="T40" s="450">
        <f t="shared" si="174"/>
        <v>17</v>
      </c>
      <c r="U40" s="451">
        <f t="shared" si="175"/>
        <v>-232</v>
      </c>
      <c r="V40" s="451">
        <f t="shared" si="176"/>
        <v>40</v>
      </c>
      <c r="W40" s="452">
        <f t="shared" si="177"/>
        <v>-79</v>
      </c>
      <c r="X40" s="450">
        <f t="shared" si="178"/>
        <v>-245</v>
      </c>
      <c r="Y40" s="451">
        <f t="shared" si="179"/>
        <v>-160</v>
      </c>
      <c r="Z40" s="451">
        <f t="shared" si="180"/>
        <v>191</v>
      </c>
      <c r="AA40" s="452">
        <f t="shared" si="181"/>
        <v>-66</v>
      </c>
      <c r="AB40" s="451">
        <f t="shared" si="182"/>
        <v>133</v>
      </c>
      <c r="AC40" s="451">
        <f t="shared" si="183"/>
        <v>4</v>
      </c>
      <c r="AD40" s="451">
        <f t="shared" si="184"/>
        <v>-91</v>
      </c>
      <c r="AE40" s="452">
        <f t="shared" si="185"/>
        <v>186</v>
      </c>
      <c r="AF40" s="451">
        <f t="shared" si="186"/>
        <v>193</v>
      </c>
      <c r="AG40" s="451">
        <f t="shared" si="187"/>
        <v>505</v>
      </c>
      <c r="AH40" s="451">
        <f t="shared" si="188"/>
        <v>-374</v>
      </c>
      <c r="AI40" s="452">
        <f t="shared" si="189"/>
        <v>-232</v>
      </c>
      <c r="AJ40" s="451">
        <f t="shared" si="190"/>
        <v>70</v>
      </c>
      <c r="AK40" s="451">
        <f t="shared" si="191"/>
        <v>97</v>
      </c>
      <c r="AL40" s="451">
        <f t="shared" si="192"/>
        <v>350</v>
      </c>
      <c r="AM40" s="451">
        <f t="shared" si="193"/>
        <v>-295</v>
      </c>
      <c r="AN40" s="450">
        <f t="shared" si="194"/>
        <v>146</v>
      </c>
      <c r="AO40" s="451">
        <f t="shared" si="195"/>
        <v>38</v>
      </c>
      <c r="AP40" s="451">
        <f>AP127-AO40-AN40</f>
        <v>1</v>
      </c>
      <c r="AQ40" s="452">
        <f t="shared" si="197"/>
        <v>394</v>
      </c>
      <c r="AR40" s="450">
        <f t="shared" si="198"/>
        <v>5</v>
      </c>
      <c r="AS40" s="451">
        <f t="shared" si="199"/>
        <v>264</v>
      </c>
      <c r="AT40" s="451">
        <f>AT127-AS40-AR40</f>
        <v>577</v>
      </c>
      <c r="AU40" s="452">
        <f t="shared" si="201"/>
        <v>-665</v>
      </c>
      <c r="AV40" s="450">
        <f t="shared" si="225"/>
        <v>650</v>
      </c>
      <c r="AW40" s="451">
        <f t="shared" si="202"/>
        <v>81</v>
      </c>
      <c r="AX40" s="451">
        <f>AX127-AW40-AV40</f>
        <v>362</v>
      </c>
      <c r="AY40" s="452">
        <f t="shared" si="204"/>
        <v>241</v>
      </c>
      <c r="AZ40" s="450">
        <f t="shared" si="226"/>
        <v>45</v>
      </c>
      <c r="BA40" s="451">
        <f t="shared" si="205"/>
        <v>156</v>
      </c>
      <c r="BB40" s="451">
        <f>BB127-BA40-AZ40</f>
        <v>942</v>
      </c>
      <c r="BC40" s="452">
        <f t="shared" si="207"/>
        <v>-327</v>
      </c>
      <c r="BD40" s="450">
        <v>500</v>
      </c>
      <c r="BE40" s="451">
        <v>500</v>
      </c>
      <c r="BF40" s="451">
        <v>500</v>
      </c>
      <c r="BG40" s="1014">
        <v>500</v>
      </c>
      <c r="BH40" s="450">
        <v>0</v>
      </c>
      <c r="BI40" s="451">
        <v>0</v>
      </c>
      <c r="BJ40" s="451">
        <v>0</v>
      </c>
      <c r="BK40" s="1014">
        <v>0</v>
      </c>
      <c r="BL40" s="377"/>
      <c r="BM40" s="451">
        <f t="shared" si="210"/>
        <v>-118</v>
      </c>
      <c r="BN40" s="451">
        <f t="shared" si="211"/>
        <v>-33</v>
      </c>
      <c r="BO40" s="451">
        <f t="shared" si="212"/>
        <v>294</v>
      </c>
      <c r="BP40" s="451">
        <f t="shared" si="213"/>
        <v>34</v>
      </c>
      <c r="BQ40" s="451">
        <f t="shared" si="214"/>
        <v>-254</v>
      </c>
      <c r="BR40" s="451">
        <f t="shared" si="215"/>
        <v>-280</v>
      </c>
      <c r="BS40" s="451">
        <f t="shared" si="216"/>
        <v>232</v>
      </c>
      <c r="BT40" s="450">
        <f t="shared" si="217"/>
        <v>92</v>
      </c>
      <c r="BU40" s="451">
        <f t="shared" si="218"/>
        <v>222</v>
      </c>
      <c r="BV40" s="451">
        <f t="shared" si="219"/>
        <v>579</v>
      </c>
      <c r="BW40" s="451">
        <f t="shared" si="220"/>
        <v>181</v>
      </c>
      <c r="BX40" s="451">
        <f t="shared" si="221"/>
        <v>1334</v>
      </c>
      <c r="BY40" s="451">
        <f t="shared" si="222"/>
        <v>816</v>
      </c>
      <c r="BZ40" s="451">
        <f t="shared" si="223"/>
        <v>2000</v>
      </c>
      <c r="CA40" s="451">
        <f t="shared" si="224"/>
        <v>0</v>
      </c>
      <c r="CB40" s="1189">
        <v>0</v>
      </c>
      <c r="CC40" s="691">
        <v>3708</v>
      </c>
      <c r="CD40" s="626"/>
      <c r="CE40" s="626"/>
    </row>
    <row r="41" spans="1:83" ht="14.25" customHeight="1" thickBot="1">
      <c r="A41" s="18"/>
      <c r="B41" s="455" t="str">
        <f t="shared" si="157"/>
        <v>Net cash used for investing activities</v>
      </c>
      <c r="C41" s="456"/>
      <c r="D41" s="457">
        <f t="shared" ref="D41:AM41" si="227">SUM(D30:D40)</f>
        <v>-331</v>
      </c>
      <c r="E41" s="458">
        <f t="shared" si="227"/>
        <v>-670</v>
      </c>
      <c r="F41" s="458">
        <f t="shared" si="227"/>
        <v>-1789</v>
      </c>
      <c r="G41" s="459">
        <f t="shared" si="227"/>
        <v>-3625</v>
      </c>
      <c r="H41" s="457">
        <f t="shared" si="227"/>
        <v>-2301</v>
      </c>
      <c r="I41" s="458">
        <f t="shared" si="227"/>
        <v>-422</v>
      </c>
      <c r="J41" s="458">
        <f t="shared" si="227"/>
        <v>-600</v>
      </c>
      <c r="K41" s="459">
        <f t="shared" si="227"/>
        <v>-1665</v>
      </c>
      <c r="L41" s="457">
        <f t="shared" si="227"/>
        <v>-3216</v>
      </c>
      <c r="M41" s="458">
        <f t="shared" si="227"/>
        <v>-2380</v>
      </c>
      <c r="N41" s="458">
        <f t="shared" si="227"/>
        <v>-2168</v>
      </c>
      <c r="O41" s="459">
        <f t="shared" si="227"/>
        <v>-2162</v>
      </c>
      <c r="P41" s="457">
        <f t="shared" si="227"/>
        <v>-921</v>
      </c>
      <c r="Q41" s="458">
        <f t="shared" si="227"/>
        <v>-1623</v>
      </c>
      <c r="R41" s="458">
        <f t="shared" si="227"/>
        <v>-1332</v>
      </c>
      <c r="S41" s="459">
        <f t="shared" si="227"/>
        <v>-1989</v>
      </c>
      <c r="T41" s="457">
        <f t="shared" si="227"/>
        <v>409</v>
      </c>
      <c r="U41" s="458">
        <f t="shared" si="227"/>
        <v>-2225</v>
      </c>
      <c r="V41" s="458">
        <f t="shared" si="227"/>
        <v>-3380</v>
      </c>
      <c r="W41" s="459">
        <f t="shared" si="227"/>
        <v>-2769</v>
      </c>
      <c r="X41" s="457">
        <f t="shared" si="227"/>
        <v>-2672</v>
      </c>
      <c r="Y41" s="458">
        <f t="shared" si="227"/>
        <v>-1970</v>
      </c>
      <c r="Z41" s="458">
        <f t="shared" si="227"/>
        <v>-2925</v>
      </c>
      <c r="AA41" s="459">
        <f t="shared" si="227"/>
        <v>-2972</v>
      </c>
      <c r="AB41" s="458">
        <f t="shared" si="227"/>
        <v>-644</v>
      </c>
      <c r="AC41" s="458">
        <f t="shared" si="227"/>
        <v>-783</v>
      </c>
      <c r="AD41" s="458">
        <f t="shared" si="227"/>
        <v>-4107</v>
      </c>
      <c r="AE41" s="459">
        <f t="shared" si="227"/>
        <v>-4767</v>
      </c>
      <c r="AF41" s="458">
        <f t="shared" si="227"/>
        <v>-2111</v>
      </c>
      <c r="AG41" s="458">
        <f t="shared" si="227"/>
        <v>-1765</v>
      </c>
      <c r="AH41" s="458">
        <f t="shared" si="227"/>
        <v>-4852</v>
      </c>
      <c r="AI41" s="459">
        <f t="shared" si="227"/>
        <v>-5332</v>
      </c>
      <c r="AJ41" s="458">
        <f t="shared" si="227"/>
        <v>-5317</v>
      </c>
      <c r="AK41" s="458">
        <f t="shared" si="227"/>
        <v>-5512</v>
      </c>
      <c r="AL41" s="458">
        <f t="shared" si="227"/>
        <v>-3323</v>
      </c>
      <c r="AM41" s="458">
        <f t="shared" si="227"/>
        <v>-3921</v>
      </c>
      <c r="AN41" s="457">
        <f t="shared" ref="AN41:AQ41" si="228">SUM(AN30:AN40)</f>
        <v>-2749</v>
      </c>
      <c r="AO41" s="458">
        <f t="shared" si="228"/>
        <v>-4266</v>
      </c>
      <c r="AP41" s="458">
        <f t="shared" si="228"/>
        <v>-986</v>
      </c>
      <c r="AQ41" s="459">
        <f t="shared" si="228"/>
        <v>-1904</v>
      </c>
      <c r="AR41" s="457">
        <f>SUM(AR30:AR40)</f>
        <v>-449</v>
      </c>
      <c r="AS41" s="458">
        <f t="shared" ref="AS41:AU41" si="229">SUM(AS30:AS40)</f>
        <v>-1295</v>
      </c>
      <c r="AT41" s="458">
        <f t="shared" si="229"/>
        <v>-9167</v>
      </c>
      <c r="AU41" s="459">
        <f t="shared" si="229"/>
        <v>2728</v>
      </c>
      <c r="AV41" s="457">
        <f>SUM(AV30:AV40)</f>
        <v>-15520</v>
      </c>
      <c r="AW41" s="458">
        <f t="shared" ref="AW41:AY41" si="230">SUM(AW30:AW40)</f>
        <v>-4170</v>
      </c>
      <c r="AX41" s="458">
        <f t="shared" si="230"/>
        <v>-2683</v>
      </c>
      <c r="AY41" s="459">
        <f t="shared" si="230"/>
        <v>-3444</v>
      </c>
      <c r="AZ41" s="557">
        <f>SUM(AZ30:AZ40)</f>
        <v>-2778</v>
      </c>
      <c r="BA41" s="458">
        <f t="shared" ref="BA41:BC41" si="231">SUM(BA30:BA40)</f>
        <v>-1438</v>
      </c>
      <c r="BB41" s="458">
        <f t="shared" si="231"/>
        <v>-6316</v>
      </c>
      <c r="BC41" s="459">
        <f t="shared" si="231"/>
        <v>-5230</v>
      </c>
      <c r="BD41" s="557">
        <f t="shared" ref="BD41:BG41" si="232">SUM(BD30:BD40)</f>
        <v>-7699</v>
      </c>
      <c r="BE41" s="478">
        <f t="shared" si="232"/>
        <v>-3000</v>
      </c>
      <c r="BF41" s="478">
        <f t="shared" si="232"/>
        <v>-3250</v>
      </c>
      <c r="BG41" s="558">
        <f t="shared" si="232"/>
        <v>-3250</v>
      </c>
      <c r="BH41" s="557">
        <f t="shared" ref="BH41:BK41" si="233">SUM(BH30:BH40)</f>
        <v>-3500</v>
      </c>
      <c r="BI41" s="478">
        <f t="shared" si="233"/>
        <v>-3500</v>
      </c>
      <c r="BJ41" s="478">
        <f t="shared" si="233"/>
        <v>-3500</v>
      </c>
      <c r="BK41" s="558">
        <f t="shared" si="233"/>
        <v>-3500</v>
      </c>
      <c r="BL41" s="35"/>
      <c r="BM41" s="458">
        <f t="shared" ref="BM41:BY41" si="234">SUM(BM30:BM40)</f>
        <v>-6415</v>
      </c>
      <c r="BN41" s="458">
        <f t="shared" si="234"/>
        <v>-4988</v>
      </c>
      <c r="BO41" s="458">
        <f t="shared" si="234"/>
        <v>-9926</v>
      </c>
      <c r="BP41" s="458">
        <f t="shared" si="234"/>
        <v>-5865</v>
      </c>
      <c r="BQ41" s="458">
        <f t="shared" si="234"/>
        <v>-7965</v>
      </c>
      <c r="BR41" s="458">
        <f t="shared" si="234"/>
        <v>-10539</v>
      </c>
      <c r="BS41" s="458">
        <f t="shared" si="234"/>
        <v>-10301</v>
      </c>
      <c r="BT41" s="457">
        <f t="shared" si="234"/>
        <v>-14060</v>
      </c>
      <c r="BU41" s="458">
        <f t="shared" si="234"/>
        <v>-18073</v>
      </c>
      <c r="BV41" s="458">
        <f t="shared" si="234"/>
        <v>-9905</v>
      </c>
      <c r="BW41" s="458">
        <f>SUM(BW30:BW40)</f>
        <v>-8183</v>
      </c>
      <c r="BX41" s="458">
        <f t="shared" si="234"/>
        <v>-25817</v>
      </c>
      <c r="BY41" s="458">
        <f t="shared" si="234"/>
        <v>-15762</v>
      </c>
      <c r="BZ41" s="458">
        <f t="shared" ref="BZ41:CB41" si="235">SUM(BZ30:BZ40)</f>
        <v>-17199</v>
      </c>
      <c r="CA41" s="458">
        <f t="shared" si="235"/>
        <v>-14000</v>
      </c>
      <c r="CB41" s="459">
        <f t="shared" si="235"/>
        <v>-14000</v>
      </c>
      <c r="CC41" s="691">
        <v>0</v>
      </c>
      <c r="CD41" s="626"/>
      <c r="CE41" s="626"/>
    </row>
    <row r="42" spans="1:83" ht="7.5" customHeight="1" thickTop="1">
      <c r="A42" s="18"/>
      <c r="B42" s="297"/>
      <c r="C42" s="68"/>
      <c r="D42" s="450"/>
      <c r="E42" s="451"/>
      <c r="F42" s="451"/>
      <c r="G42" s="452"/>
      <c r="H42" s="450"/>
      <c r="I42" s="451"/>
      <c r="J42" s="451"/>
      <c r="K42" s="452"/>
      <c r="L42" s="450"/>
      <c r="M42" s="451"/>
      <c r="N42" s="451"/>
      <c r="O42" s="452"/>
      <c r="P42" s="450"/>
      <c r="Q42" s="451"/>
      <c r="R42" s="451"/>
      <c r="S42" s="452"/>
      <c r="T42" s="450"/>
      <c r="U42" s="451"/>
      <c r="V42" s="451"/>
      <c r="W42" s="452"/>
      <c r="X42" s="450"/>
      <c r="Y42" s="451"/>
      <c r="Z42" s="451"/>
      <c r="AA42" s="452"/>
      <c r="AB42" s="451"/>
      <c r="AC42" s="451"/>
      <c r="AD42" s="451"/>
      <c r="AE42" s="452"/>
      <c r="AF42" s="451"/>
      <c r="AG42" s="451"/>
      <c r="AH42" s="451"/>
      <c r="AI42" s="452"/>
      <c r="AJ42" s="451"/>
      <c r="AK42" s="451"/>
      <c r="AL42" s="451"/>
      <c r="AM42" s="451"/>
      <c r="AN42" s="450"/>
      <c r="AO42" s="453"/>
      <c r="AP42" s="453"/>
      <c r="AQ42" s="452"/>
      <c r="AR42" s="450"/>
      <c r="AS42" s="453"/>
      <c r="AT42" s="453"/>
      <c r="AU42" s="452"/>
      <c r="AV42" s="450"/>
      <c r="AW42" s="453"/>
      <c r="AX42" s="453"/>
      <c r="AY42" s="452"/>
      <c r="AZ42" s="1045"/>
      <c r="BA42" s="453"/>
      <c r="BB42" s="453"/>
      <c r="BC42" s="452"/>
      <c r="BD42" s="1045"/>
      <c r="BE42" s="1046"/>
      <c r="BF42" s="1046"/>
      <c r="BG42" s="1047"/>
      <c r="BH42" s="1045"/>
      <c r="BI42" s="1046"/>
      <c r="BJ42" s="1046"/>
      <c r="BK42" s="1047"/>
      <c r="BL42" s="35"/>
      <c r="BM42" s="453"/>
      <c r="BN42" s="453"/>
      <c r="BO42" s="453"/>
      <c r="BP42" s="453"/>
      <c r="BQ42" s="453"/>
      <c r="BR42" s="453"/>
      <c r="BS42" s="453"/>
      <c r="BT42" s="460"/>
      <c r="BU42" s="453"/>
      <c r="BV42" s="453"/>
      <c r="BW42" s="453"/>
      <c r="BX42" s="453"/>
      <c r="BY42" s="453"/>
      <c r="BZ42" s="453"/>
      <c r="CA42" s="453"/>
      <c r="CB42" s="1189"/>
      <c r="CC42" s="691">
        <v>-1921</v>
      </c>
      <c r="CD42" s="626"/>
      <c r="CE42" s="626"/>
    </row>
    <row r="43" spans="1:83" ht="14.25" customHeight="1">
      <c r="A43" s="18"/>
      <c r="B43" s="462" t="str">
        <f t="shared" ref="B43:B60" si="236">B130</f>
        <v>Cash flows from financing activities:</v>
      </c>
      <c r="C43" s="463"/>
      <c r="D43" s="450"/>
      <c r="E43" s="451"/>
      <c r="F43" s="451"/>
      <c r="G43" s="452"/>
      <c r="H43" s="450"/>
      <c r="I43" s="451"/>
      <c r="J43" s="451"/>
      <c r="K43" s="452"/>
      <c r="L43" s="450"/>
      <c r="M43" s="451"/>
      <c r="N43" s="451"/>
      <c r="O43" s="452"/>
      <c r="P43" s="450"/>
      <c r="Q43" s="451"/>
      <c r="R43" s="451"/>
      <c r="S43" s="452"/>
      <c r="T43" s="450"/>
      <c r="U43" s="451"/>
      <c r="V43" s="451"/>
      <c r="W43" s="452"/>
      <c r="X43" s="450"/>
      <c r="Y43" s="451"/>
      <c r="Z43" s="451"/>
      <c r="AA43" s="452"/>
      <c r="AB43" s="451"/>
      <c r="AC43" s="451"/>
      <c r="AD43" s="451"/>
      <c r="AE43" s="452"/>
      <c r="AF43" s="451"/>
      <c r="AG43" s="451"/>
      <c r="AH43" s="451"/>
      <c r="AI43" s="452"/>
      <c r="AJ43" s="451"/>
      <c r="AK43" s="451"/>
      <c r="AL43" s="451"/>
      <c r="AM43" s="451"/>
      <c r="AN43" s="450"/>
      <c r="AO43" s="453"/>
      <c r="AP43" s="453"/>
      <c r="AQ43" s="452"/>
      <c r="AR43" s="450"/>
      <c r="AS43" s="453"/>
      <c r="AT43" s="453"/>
      <c r="AU43" s="452"/>
      <c r="AV43" s="450"/>
      <c r="AW43" s="453"/>
      <c r="AX43" s="453"/>
      <c r="AY43" s="452"/>
      <c r="AZ43" s="450"/>
      <c r="BA43" s="453"/>
      <c r="BB43" s="453"/>
      <c r="BC43" s="452"/>
      <c r="BD43" s="450"/>
      <c r="BE43" s="453"/>
      <c r="BF43" s="453"/>
      <c r="BG43" s="1015"/>
      <c r="BH43" s="450"/>
      <c r="BI43" s="453"/>
      <c r="BJ43" s="453"/>
      <c r="BK43" s="1015"/>
      <c r="BL43" s="35"/>
      <c r="BM43" s="453"/>
      <c r="BN43" s="453"/>
      <c r="BO43" s="453"/>
      <c r="BP43" s="453"/>
      <c r="BQ43" s="453"/>
      <c r="BR43" s="453"/>
      <c r="BS43" s="453"/>
      <c r="BT43" s="460"/>
      <c r="BU43" s="453"/>
      <c r="BV43" s="453"/>
      <c r="BW43" s="453"/>
      <c r="BX43" s="453"/>
      <c r="BY43" s="453"/>
      <c r="BZ43" s="453"/>
      <c r="CA43" s="453"/>
      <c r="CB43" s="1189"/>
      <c r="CC43" s="691"/>
      <c r="CD43" s="626"/>
      <c r="CE43" s="626"/>
    </row>
    <row r="44" spans="1:83" ht="14.25" customHeight="1">
      <c r="A44" s="18"/>
      <c r="B44" s="278" t="str">
        <f t="shared" si="236"/>
        <v>Increase (decrease) in short-term debt, net</v>
      </c>
      <c r="C44" s="103"/>
      <c r="D44" s="450">
        <f t="shared" ref="D44:D49" si="237">D131</f>
        <v>34</v>
      </c>
      <c r="E44" s="451">
        <f t="shared" ref="E44:E49" si="238">E131-D44</f>
        <v>95</v>
      </c>
      <c r="F44" s="451">
        <f t="shared" ref="F44:F49" si="239">F131-E44-D44</f>
        <v>-65</v>
      </c>
      <c r="G44" s="452">
        <f t="shared" ref="G44:G49" si="240">G131-F44-E44-D44</f>
        <v>62</v>
      </c>
      <c r="H44" s="450">
        <f t="shared" ref="H44:H49" si="241">H131</f>
        <v>-84</v>
      </c>
      <c r="I44" s="451">
        <f t="shared" ref="I44:I49" si="242">I131-H44</f>
        <v>63</v>
      </c>
      <c r="J44" s="451">
        <f t="shared" ref="J44:J49" si="243">J131-I44-H44</f>
        <v>-91</v>
      </c>
      <c r="K44" s="452">
        <f t="shared" ref="K44:K49" si="244">K131-J44-I44-H44</f>
        <v>-2</v>
      </c>
      <c r="L44" s="450">
        <f t="shared" ref="L44:L49" si="245">L131</f>
        <v>-42</v>
      </c>
      <c r="M44" s="451">
        <f t="shared" ref="M44:M49" si="246">M131-L44</f>
        <v>82</v>
      </c>
      <c r="N44" s="451">
        <f t="shared" ref="N44:N49" si="247">N131-M44-L44</f>
        <v>-84</v>
      </c>
      <c r="O44" s="452">
        <f t="shared" ref="O44:O49" si="248">O131-N44-M44-L44</f>
        <v>5</v>
      </c>
      <c r="P44" s="450">
        <f t="shared" ref="P44:P49" si="249">P131</f>
        <v>47</v>
      </c>
      <c r="Q44" s="451">
        <f t="shared" ref="Q44:Q49" si="250">Q131-P44</f>
        <v>-14</v>
      </c>
      <c r="R44" s="451">
        <f t="shared" ref="R44:R49" si="251">R131-Q44-P44</f>
        <v>292</v>
      </c>
      <c r="S44" s="452">
        <f t="shared" ref="S44:S49" si="252">S131-R44-Q44-P44</f>
        <v>-365</v>
      </c>
      <c r="T44" s="450">
        <f t="shared" ref="T44:T49" si="253">T131</f>
        <v>-69</v>
      </c>
      <c r="U44" s="451">
        <f t="shared" ref="U44:U49" si="254">U131-T44</f>
        <v>-7</v>
      </c>
      <c r="V44" s="451">
        <f t="shared" ref="V44:V49" si="255">V131-U44-T44</f>
        <v>-1</v>
      </c>
      <c r="W44" s="452">
        <f t="shared" ref="W44:W49" si="256">W131-V44-U44-T44</f>
        <v>-10</v>
      </c>
      <c r="X44" s="450">
        <f t="shared" ref="X44:X49" si="257">X131</f>
        <v>158</v>
      </c>
      <c r="Y44" s="451">
        <f t="shared" ref="Y44:Y49" si="258">Y131-X44</f>
        <v>-115</v>
      </c>
      <c r="Z44" s="451">
        <f t="shared" ref="Z44:Z49" si="259">Z131-Y44-X44</f>
        <v>44</v>
      </c>
      <c r="AA44" s="452">
        <f t="shared" ref="AA44:AA49" si="260">AA131-Z44-Y44-X44</f>
        <v>-64</v>
      </c>
      <c r="AB44" s="451">
        <f t="shared" ref="AB44:AB49" si="261">AB131</f>
        <v>16</v>
      </c>
      <c r="AC44" s="451">
        <f t="shared" ref="AC44:AC49" si="262">AC131-AB44</f>
        <v>17</v>
      </c>
      <c r="AD44" s="451">
        <f t="shared" ref="AD44:AD49" si="263">AD131-AC44-AB44</f>
        <v>-5</v>
      </c>
      <c r="AE44" s="452">
        <f t="shared" ref="AE44:AE49" si="264">AE131-AD44-AC44-AB44</f>
        <v>181</v>
      </c>
      <c r="AF44" s="451">
        <f t="shared" ref="AF44:AF49" si="265">AF131</f>
        <v>115</v>
      </c>
      <c r="AG44" s="451">
        <f t="shared" ref="AG44:AG49" si="266">AG131-AF44</f>
        <v>-270</v>
      </c>
      <c r="AH44" s="451">
        <f t="shared" ref="AH44:AH49" si="267">AH131-AG44-AF44</f>
        <v>-36</v>
      </c>
      <c r="AI44" s="452">
        <f t="shared" ref="AI44:AI49" si="268">AI131-AH44-AG44-AF44</f>
        <v>131</v>
      </c>
      <c r="AJ44" s="451">
        <f t="shared" ref="AJ44:AJ49" si="269">AJ131</f>
        <v>-224</v>
      </c>
      <c r="AK44" s="451">
        <f t="shared" ref="AK44:AK49" si="270">AK131-AJ44</f>
        <v>175</v>
      </c>
      <c r="AL44" s="451">
        <f t="shared" ref="AL44:AL49" si="271">AL131-AK44-AJ44</f>
        <v>87</v>
      </c>
      <c r="AM44" s="451">
        <f t="shared" ref="AM44:AM49" si="272">AM131-AL44-AK44-AJ44</f>
        <v>-69</v>
      </c>
      <c r="AN44" s="450">
        <f t="shared" ref="AN44:AN49" si="273">AN131</f>
        <v>-245</v>
      </c>
      <c r="AO44" s="451">
        <f t="shared" ref="AO44:AO49" si="274">AO131-AN44</f>
        <v>-22</v>
      </c>
      <c r="AP44" s="451">
        <f t="shared" ref="AP44:AP49" si="275">AP131-AO44-AN44</f>
        <v>65</v>
      </c>
      <c r="AQ44" s="452">
        <f t="shared" ref="AQ44:AQ49" si="276">AQ131-AP44-AO44-AN44</f>
        <v>437</v>
      </c>
      <c r="AR44" s="450">
        <f t="shared" ref="AR44:AR49" si="277">AR131</f>
        <v>-486</v>
      </c>
      <c r="AS44" s="451">
        <f t="shared" ref="AS44:AS49" si="278">AS131-AR44</f>
        <v>-6</v>
      </c>
      <c r="AT44" s="451">
        <f t="shared" ref="AT44:AT49" si="279">AT131-AS44-AR44</f>
        <v>19</v>
      </c>
      <c r="AU44" s="452">
        <f t="shared" ref="AU44:AU49" si="280">AU131-AT44-AS44-AR44</f>
        <v>-1</v>
      </c>
      <c r="AV44" s="450">
        <f t="shared" ref="AV44:AV49" si="281">AV131</f>
        <v>956</v>
      </c>
      <c r="AW44" s="451">
        <f t="shared" ref="AW44:AW49" si="282">AW131-AV44</f>
        <v>460</v>
      </c>
      <c r="AX44" s="451">
        <f t="shared" ref="AX44:AX49" si="283">AX131-AW44-AV44</f>
        <v>-990</v>
      </c>
      <c r="AY44" s="452">
        <f t="shared" ref="AY44:AY49" si="284">AY131-AX44-AW44-AV44</f>
        <v>-441</v>
      </c>
      <c r="AZ44" s="450">
        <f t="shared" ref="AZ44:AZ49" si="285">AZ131</f>
        <v>435</v>
      </c>
      <c r="BA44" s="451">
        <f t="shared" ref="BA44:BA49" si="286">BA131-AZ44</f>
        <v>-447</v>
      </c>
      <c r="BB44" s="451">
        <f t="shared" ref="BB44:BB49" si="287">BB131-BA44-AZ44</f>
        <v>7</v>
      </c>
      <c r="BC44" s="452">
        <f t="shared" ref="BC44:BC49" si="288">BC131-BB44-BA44-AZ44</f>
        <v>5</v>
      </c>
      <c r="BD44" s="450">
        <v>0</v>
      </c>
      <c r="BE44" s="453">
        <v>0</v>
      </c>
      <c r="BF44" s="453">
        <v>0</v>
      </c>
      <c r="BG44" s="1015">
        <v>0</v>
      </c>
      <c r="BH44" s="450">
        <v>0</v>
      </c>
      <c r="BI44" s="453">
        <v>0</v>
      </c>
      <c r="BJ44" s="453">
        <v>0</v>
      </c>
      <c r="BK44" s="1015">
        <v>0</v>
      </c>
      <c r="BL44" s="35"/>
      <c r="BM44" s="451">
        <f t="shared" ref="BM44:BM49" si="289">SUM(D44:G44)</f>
        <v>126</v>
      </c>
      <c r="BN44" s="451">
        <f t="shared" ref="BN44:BN49" si="290">SUM(H44:K44)</f>
        <v>-114</v>
      </c>
      <c r="BO44" s="451">
        <f t="shared" ref="BO44:BO49" si="291">SUM(L44:O44)</f>
        <v>-39</v>
      </c>
      <c r="BP44" s="451">
        <f t="shared" ref="BP44:BP49" si="292">SUM(P44:S44)</f>
        <v>-40</v>
      </c>
      <c r="BQ44" s="451">
        <f t="shared" ref="BQ44:BQ49" si="293">SUM(T44:W44)</f>
        <v>-87</v>
      </c>
      <c r="BR44" s="451">
        <f t="shared" ref="BR44:BR49" si="294">SUM(X44:AA44)</f>
        <v>23</v>
      </c>
      <c r="BS44" s="451">
        <f t="shared" ref="BS44:BS49" si="295">SUM(AB44:AE44)</f>
        <v>209</v>
      </c>
      <c r="BT44" s="450">
        <f t="shared" ref="BT44:BT49" si="296">SUM(AF44:AI44)</f>
        <v>-60</v>
      </c>
      <c r="BU44" s="451">
        <f t="shared" ref="BU44:BU49" si="297">SUM(AJ44:AM44)</f>
        <v>-31</v>
      </c>
      <c r="BV44" s="451">
        <f t="shared" ref="BV44:BV49" si="298">SUM(AN44:AQ44)</f>
        <v>235</v>
      </c>
      <c r="BW44" s="451">
        <f t="shared" ref="BW44:BW49" si="299">SUM(AR44:AU44)</f>
        <v>-474</v>
      </c>
      <c r="BX44" s="451">
        <f t="shared" ref="BX44:BX49" si="300">SUM(AV44:AY44)</f>
        <v>-15</v>
      </c>
      <c r="BY44" s="690">
        <f t="shared" ref="BY44:BY49" si="301">SUM(AZ44:BC44)</f>
        <v>0</v>
      </c>
      <c r="BZ44" s="690">
        <f t="shared" ref="BZ44:BZ49" si="302">SUM(BD44:BG44)</f>
        <v>0</v>
      </c>
      <c r="CA44" s="690">
        <f t="shared" ref="CA44:CA49" si="303">SUM(BH44:BK44)</f>
        <v>0</v>
      </c>
      <c r="CB44" s="1189">
        <v>0</v>
      </c>
      <c r="CC44" s="691"/>
      <c r="CD44" s="626"/>
      <c r="CE44" s="626"/>
    </row>
    <row r="45" spans="1:83" ht="14.25" customHeight="1">
      <c r="A45" s="18"/>
      <c r="B45" s="278" t="str">
        <f t="shared" si="236"/>
        <v>Payments of/Proceeds from long-term debt, net</v>
      </c>
      <c r="C45" s="103"/>
      <c r="D45" s="450">
        <f t="shared" si="237"/>
        <v>0</v>
      </c>
      <c r="E45" s="451">
        <f t="shared" si="238"/>
        <v>0</v>
      </c>
      <c r="F45" s="451">
        <f t="shared" si="239"/>
        <v>0</v>
      </c>
      <c r="G45" s="452">
        <f t="shared" si="240"/>
        <v>1723</v>
      </c>
      <c r="H45" s="450">
        <f t="shared" si="241"/>
        <v>0</v>
      </c>
      <c r="I45" s="451">
        <f t="shared" si="242"/>
        <v>-290</v>
      </c>
      <c r="J45" s="451">
        <f t="shared" si="243"/>
        <v>-291</v>
      </c>
      <c r="K45" s="452">
        <f t="shared" si="244"/>
        <v>0</v>
      </c>
      <c r="L45" s="450">
        <f t="shared" si="245"/>
        <v>0</v>
      </c>
      <c r="M45" s="451">
        <f t="shared" si="246"/>
        <v>0</v>
      </c>
      <c r="N45" s="451">
        <f t="shared" si="247"/>
        <v>0</v>
      </c>
      <c r="O45" s="452">
        <f t="shared" si="248"/>
        <v>125</v>
      </c>
      <c r="P45" s="450">
        <f t="shared" si="249"/>
        <v>0</v>
      </c>
      <c r="Q45" s="451">
        <f t="shared" si="250"/>
        <v>0</v>
      </c>
      <c r="R45" s="451">
        <f t="shared" si="251"/>
        <v>0</v>
      </c>
      <c r="S45" s="452">
        <f t="shared" si="252"/>
        <v>0</v>
      </c>
      <c r="T45" s="450">
        <f t="shared" si="253"/>
        <v>0</v>
      </c>
      <c r="U45" s="451">
        <f t="shared" si="254"/>
        <v>0</v>
      </c>
      <c r="V45" s="451">
        <f t="shared" si="255"/>
        <v>1980</v>
      </c>
      <c r="W45" s="452">
        <f t="shared" si="256"/>
        <v>0</v>
      </c>
      <c r="X45" s="450">
        <f t="shared" si="257"/>
        <v>0</v>
      </c>
      <c r="Y45" s="451">
        <f t="shared" si="258"/>
        <v>0</v>
      </c>
      <c r="Z45" s="451">
        <f t="shared" si="259"/>
        <v>0</v>
      </c>
      <c r="AA45" s="452">
        <f t="shared" si="260"/>
        <v>-157</v>
      </c>
      <c r="AB45" s="451">
        <f t="shared" si="261"/>
        <v>0</v>
      </c>
      <c r="AC45" s="451">
        <f t="shared" si="262"/>
        <v>0</v>
      </c>
      <c r="AD45" s="451">
        <f t="shared" si="263"/>
        <v>4962</v>
      </c>
      <c r="AE45" s="452">
        <f t="shared" si="264"/>
        <v>0</v>
      </c>
      <c r="AF45" s="451">
        <f t="shared" si="265"/>
        <v>0</v>
      </c>
      <c r="AG45" s="451">
        <f t="shared" si="266"/>
        <v>0</v>
      </c>
      <c r="AH45" s="451">
        <f t="shared" si="267"/>
        <v>0</v>
      </c>
      <c r="AI45" s="452">
        <f t="shared" si="268"/>
        <v>6124</v>
      </c>
      <c r="AJ45" s="451">
        <f t="shared" si="269"/>
        <v>0</v>
      </c>
      <c r="AK45" s="451">
        <f t="shared" si="270"/>
        <v>0</v>
      </c>
      <c r="AL45" s="451">
        <f t="shared" si="271"/>
        <v>0</v>
      </c>
      <c r="AM45" s="451">
        <f t="shared" si="272"/>
        <v>0</v>
      </c>
      <c r="AN45" s="450">
        <f t="shared" si="273"/>
        <v>0</v>
      </c>
      <c r="AO45" s="451">
        <f t="shared" si="274"/>
        <v>0</v>
      </c>
      <c r="AP45" s="451">
        <f t="shared" si="275"/>
        <v>0</v>
      </c>
      <c r="AQ45" s="452">
        <f t="shared" si="276"/>
        <v>0</v>
      </c>
      <c r="AR45" s="450">
        <f t="shared" si="277"/>
        <v>0</v>
      </c>
      <c r="AS45" s="451">
        <f t="shared" si="278"/>
        <v>0</v>
      </c>
      <c r="AT45" s="451">
        <f t="shared" si="279"/>
        <v>7986</v>
      </c>
      <c r="AU45" s="452">
        <f t="shared" si="280"/>
        <v>-7986</v>
      </c>
      <c r="AV45" s="450">
        <f t="shared" si="281"/>
        <v>0</v>
      </c>
      <c r="AW45" s="451">
        <f t="shared" si="282"/>
        <v>2734</v>
      </c>
      <c r="AX45" s="451">
        <f t="shared" si="283"/>
        <v>0</v>
      </c>
      <c r="AY45" s="452">
        <f t="shared" si="284"/>
        <v>-1500</v>
      </c>
      <c r="AZ45" s="450">
        <f t="shared" si="285"/>
        <v>0</v>
      </c>
      <c r="BA45" s="451">
        <f t="shared" si="286"/>
        <v>7078</v>
      </c>
      <c r="BB45" s="451">
        <f t="shared" si="287"/>
        <v>638</v>
      </c>
      <c r="BC45" s="452">
        <f t="shared" si="288"/>
        <v>-8080</v>
      </c>
      <c r="BD45" s="450">
        <f>(BS!BD38-BS!BC38)+(BS!BD29-BS!BC29)</f>
        <v>1799</v>
      </c>
      <c r="BE45" s="451">
        <f>(BS!BE38-BS!BD38)+(BS!BE29-BS!BD29)</f>
        <v>0</v>
      </c>
      <c r="BF45" s="451">
        <f>(BS!BF38-BS!BE38)+(BS!BF29-BS!BE29)</f>
        <v>0</v>
      </c>
      <c r="BG45" s="1014">
        <f>(BS!BG38-BS!BF38)+(BS!BG29-BS!BF29)</f>
        <v>0</v>
      </c>
      <c r="BH45" s="450">
        <f>(BS!BH38-BS!BG38)+(BS!BH29-BS!BG29)</f>
        <v>0</v>
      </c>
      <c r="BI45" s="451">
        <f>(BS!BI38-BS!BH38)+(BS!BI29-BS!BH29)</f>
        <v>0</v>
      </c>
      <c r="BJ45" s="451">
        <f>(BS!BJ38-BS!BI38)+(BS!BJ29-BS!BI29)</f>
        <v>0</v>
      </c>
      <c r="BK45" s="1014">
        <f>(BS!BK38-BS!BJ38)+(BS!BK29-BS!BJ29)</f>
        <v>0</v>
      </c>
      <c r="BL45" s="35"/>
      <c r="BM45" s="451">
        <f t="shared" si="289"/>
        <v>1723</v>
      </c>
      <c r="BN45" s="451">
        <f t="shared" si="290"/>
        <v>-581</v>
      </c>
      <c r="BO45" s="451">
        <f t="shared" si="291"/>
        <v>125</v>
      </c>
      <c r="BP45" s="451">
        <f t="shared" si="292"/>
        <v>0</v>
      </c>
      <c r="BQ45" s="451">
        <f t="shared" si="293"/>
        <v>1980</v>
      </c>
      <c r="BR45" s="451">
        <f t="shared" si="294"/>
        <v>-157</v>
      </c>
      <c r="BS45" s="451">
        <f t="shared" si="295"/>
        <v>4962</v>
      </c>
      <c r="BT45" s="450">
        <f t="shared" si="296"/>
        <v>6124</v>
      </c>
      <c r="BU45" s="451">
        <f t="shared" si="297"/>
        <v>0</v>
      </c>
      <c r="BV45" s="451">
        <f t="shared" si="298"/>
        <v>0</v>
      </c>
      <c r="BW45" s="451">
        <f t="shared" si="299"/>
        <v>0</v>
      </c>
      <c r="BX45" s="451">
        <f t="shared" si="300"/>
        <v>1234</v>
      </c>
      <c r="BY45" s="690">
        <f t="shared" si="301"/>
        <v>-364</v>
      </c>
      <c r="BZ45" s="690">
        <f t="shared" si="302"/>
        <v>1799</v>
      </c>
      <c r="CA45" s="690">
        <f t="shared" si="303"/>
        <v>0</v>
      </c>
      <c r="CB45" s="1188">
        <v>0</v>
      </c>
      <c r="CC45" s="691"/>
      <c r="CD45" s="626"/>
      <c r="CE45" s="626"/>
    </row>
    <row r="46" spans="1:83" ht="14.25" customHeight="1">
      <c r="A46" s="18"/>
      <c r="B46" s="278" t="str">
        <f t="shared" si="236"/>
        <v>Proceeds from sales of shares</v>
      </c>
      <c r="C46" s="103"/>
      <c r="D46" s="450">
        <f t="shared" si="237"/>
        <v>410</v>
      </c>
      <c r="E46" s="451">
        <f t="shared" si="238"/>
        <v>292</v>
      </c>
      <c r="F46" s="451">
        <f t="shared" si="239"/>
        <v>356</v>
      </c>
      <c r="G46" s="452">
        <f t="shared" si="240"/>
        <v>144</v>
      </c>
      <c r="H46" s="450">
        <f t="shared" si="241"/>
        <v>376</v>
      </c>
      <c r="I46" s="451">
        <f t="shared" si="242"/>
        <v>118</v>
      </c>
      <c r="J46" s="451">
        <f t="shared" si="243"/>
        <v>273</v>
      </c>
      <c r="K46" s="452">
        <f t="shared" si="244"/>
        <v>279</v>
      </c>
      <c r="L46" s="450">
        <f t="shared" si="245"/>
        <v>586</v>
      </c>
      <c r="M46" s="451">
        <f t="shared" si="246"/>
        <v>776</v>
      </c>
      <c r="N46" s="451">
        <f t="shared" si="247"/>
        <v>884</v>
      </c>
      <c r="O46" s="452">
        <f t="shared" si="248"/>
        <v>806</v>
      </c>
      <c r="P46" s="450">
        <f t="shared" si="249"/>
        <v>468</v>
      </c>
      <c r="Q46" s="451">
        <f t="shared" si="250"/>
        <v>360</v>
      </c>
      <c r="R46" s="451">
        <f t="shared" si="251"/>
        <v>275</v>
      </c>
      <c r="S46" s="452">
        <f t="shared" si="252"/>
        <v>2</v>
      </c>
      <c r="T46" s="450">
        <f t="shared" si="253"/>
        <v>247</v>
      </c>
      <c r="U46" s="451">
        <f t="shared" si="254"/>
        <v>1</v>
      </c>
      <c r="V46" s="451">
        <f t="shared" si="255"/>
        <v>119</v>
      </c>
      <c r="W46" s="452">
        <f t="shared" si="256"/>
        <v>33</v>
      </c>
      <c r="X46" s="450">
        <f t="shared" si="257"/>
        <v>228</v>
      </c>
      <c r="Y46" s="451">
        <f t="shared" si="258"/>
        <v>158</v>
      </c>
      <c r="Z46" s="451">
        <f t="shared" si="259"/>
        <v>149</v>
      </c>
      <c r="AA46" s="452">
        <f t="shared" si="260"/>
        <v>52</v>
      </c>
      <c r="AB46" s="451">
        <f t="shared" si="261"/>
        <v>239</v>
      </c>
      <c r="AC46" s="451">
        <f t="shared" si="262"/>
        <v>348</v>
      </c>
      <c r="AD46" s="451">
        <f t="shared" si="263"/>
        <v>338</v>
      </c>
      <c r="AE46" s="452">
        <f t="shared" si="264"/>
        <v>1120</v>
      </c>
      <c r="AF46" s="451">
        <f t="shared" si="265"/>
        <v>1244</v>
      </c>
      <c r="AG46" s="451">
        <f t="shared" si="266"/>
        <v>437</v>
      </c>
      <c r="AH46" s="451">
        <f t="shared" si="267"/>
        <v>294</v>
      </c>
      <c r="AI46" s="452">
        <f t="shared" si="268"/>
        <v>136</v>
      </c>
      <c r="AJ46" s="451">
        <f t="shared" si="269"/>
        <v>465</v>
      </c>
      <c r="AK46" s="451">
        <f t="shared" si="270"/>
        <v>575</v>
      </c>
      <c r="AL46" s="451">
        <f t="shared" si="271"/>
        <v>268</v>
      </c>
      <c r="AM46" s="451">
        <f t="shared" si="272"/>
        <v>280</v>
      </c>
      <c r="AN46" s="450">
        <f t="shared" si="273"/>
        <v>479</v>
      </c>
      <c r="AO46" s="451">
        <f t="shared" si="274"/>
        <v>526</v>
      </c>
      <c r="AP46" s="451">
        <f t="shared" si="275"/>
        <v>561</v>
      </c>
      <c r="AQ46" s="452">
        <f t="shared" si="276"/>
        <v>94</v>
      </c>
      <c r="AR46" s="450">
        <f t="shared" si="277"/>
        <v>341</v>
      </c>
      <c r="AS46" s="451">
        <f t="shared" si="278"/>
        <v>133</v>
      </c>
      <c r="AT46" s="451">
        <f t="shared" si="279"/>
        <v>222</v>
      </c>
      <c r="AU46" s="452">
        <f t="shared" si="280"/>
        <v>170</v>
      </c>
      <c r="AV46" s="450">
        <f t="shared" si="281"/>
        <v>343</v>
      </c>
      <c r="AW46" s="451">
        <f t="shared" si="282"/>
        <v>184</v>
      </c>
      <c r="AX46" s="451">
        <f t="shared" si="283"/>
        <v>497</v>
      </c>
      <c r="AY46" s="452">
        <f t="shared" si="284"/>
        <v>84</v>
      </c>
      <c r="AZ46" s="450">
        <f t="shared" si="285"/>
        <v>329</v>
      </c>
      <c r="BA46" s="451">
        <f t="shared" si="286"/>
        <v>77</v>
      </c>
      <c r="BB46" s="451">
        <f t="shared" si="287"/>
        <v>231</v>
      </c>
      <c r="BC46" s="452">
        <f t="shared" si="288"/>
        <v>133</v>
      </c>
      <c r="BD46" s="450">
        <v>0</v>
      </c>
      <c r="BE46" s="453">
        <v>0</v>
      </c>
      <c r="BF46" s="453">
        <v>0</v>
      </c>
      <c r="BG46" s="1015">
        <v>0</v>
      </c>
      <c r="BH46" s="450">
        <v>0</v>
      </c>
      <c r="BI46" s="453">
        <v>0</v>
      </c>
      <c r="BJ46" s="453">
        <v>0</v>
      </c>
      <c r="BK46" s="1015">
        <v>0</v>
      </c>
      <c r="BL46" s="35"/>
      <c r="BM46" s="451">
        <f t="shared" si="289"/>
        <v>1202</v>
      </c>
      <c r="BN46" s="451">
        <f t="shared" si="290"/>
        <v>1046</v>
      </c>
      <c r="BO46" s="451">
        <f t="shared" si="291"/>
        <v>3052</v>
      </c>
      <c r="BP46" s="451">
        <f t="shared" si="292"/>
        <v>1105</v>
      </c>
      <c r="BQ46" s="451">
        <f t="shared" si="293"/>
        <v>400</v>
      </c>
      <c r="BR46" s="451">
        <f t="shared" si="294"/>
        <v>587</v>
      </c>
      <c r="BS46" s="451">
        <f t="shared" si="295"/>
        <v>2045</v>
      </c>
      <c r="BT46" s="450">
        <f t="shared" si="296"/>
        <v>2111</v>
      </c>
      <c r="BU46" s="451">
        <f t="shared" si="297"/>
        <v>1588</v>
      </c>
      <c r="BV46" s="451">
        <f t="shared" si="298"/>
        <v>1660</v>
      </c>
      <c r="BW46" s="451">
        <f t="shared" si="299"/>
        <v>866</v>
      </c>
      <c r="BX46" s="451">
        <f t="shared" si="300"/>
        <v>1108</v>
      </c>
      <c r="BY46" s="690">
        <f t="shared" si="301"/>
        <v>770</v>
      </c>
      <c r="BZ46" s="690">
        <f t="shared" si="302"/>
        <v>0</v>
      </c>
      <c r="CA46" s="690">
        <f t="shared" si="303"/>
        <v>0</v>
      </c>
      <c r="CB46" s="1189">
        <v>0</v>
      </c>
      <c r="CC46" s="691"/>
      <c r="CD46" s="626"/>
      <c r="CE46" s="626"/>
    </row>
    <row r="47" spans="1:83" ht="14.25" customHeight="1">
      <c r="A47" s="18"/>
      <c r="B47" s="278" t="str">
        <f t="shared" si="236"/>
        <v>Repurchase of common stock</v>
      </c>
      <c r="C47" s="103"/>
      <c r="D47" s="450">
        <f t="shared" si="237"/>
        <v>-2500</v>
      </c>
      <c r="E47" s="451">
        <f t="shared" si="238"/>
        <v>-2500</v>
      </c>
      <c r="F47" s="451">
        <f t="shared" si="239"/>
        <v>-2500</v>
      </c>
      <c r="G47" s="452">
        <f t="shared" si="240"/>
        <v>-3137</v>
      </c>
      <c r="H47" s="450">
        <f t="shared" si="241"/>
        <v>-2943</v>
      </c>
      <c r="I47" s="451">
        <f t="shared" si="242"/>
        <v>-1000</v>
      </c>
      <c r="J47" s="451">
        <f t="shared" si="243"/>
        <v>-500</v>
      </c>
      <c r="K47" s="452">
        <f t="shared" si="244"/>
        <v>-150</v>
      </c>
      <c r="L47" s="450">
        <f t="shared" si="245"/>
        <v>-400</v>
      </c>
      <c r="M47" s="451">
        <f t="shared" si="246"/>
        <v>-100</v>
      </c>
      <c r="N47" s="451">
        <f t="shared" si="247"/>
        <v>-750</v>
      </c>
      <c r="O47" s="452">
        <f t="shared" si="248"/>
        <v>-1538</v>
      </c>
      <c r="P47" s="450">
        <f t="shared" si="249"/>
        <v>-2501</v>
      </c>
      <c r="Q47" s="451">
        <f t="shared" si="250"/>
        <v>-2576</v>
      </c>
      <c r="R47" s="451">
        <f t="shared" si="251"/>
        <v>-2118</v>
      </c>
      <c r="S47" s="452">
        <f t="shared" si="252"/>
        <v>0</v>
      </c>
      <c r="T47" s="450">
        <f t="shared" si="253"/>
        <v>0</v>
      </c>
      <c r="U47" s="451">
        <f t="shared" si="254"/>
        <v>-79</v>
      </c>
      <c r="V47" s="451">
        <f t="shared" si="255"/>
        <v>-1673</v>
      </c>
      <c r="W47" s="452">
        <f t="shared" si="256"/>
        <v>-10</v>
      </c>
      <c r="X47" s="450">
        <f t="shared" si="257"/>
        <v>-3</v>
      </c>
      <c r="Y47" s="451">
        <f t="shared" si="258"/>
        <v>-216</v>
      </c>
      <c r="Z47" s="451">
        <f t="shared" si="259"/>
        <v>-3</v>
      </c>
      <c r="AA47" s="452">
        <f t="shared" si="260"/>
        <v>-1514</v>
      </c>
      <c r="AB47" s="451">
        <f t="shared" si="261"/>
        <v>-4006</v>
      </c>
      <c r="AC47" s="451">
        <f t="shared" si="262"/>
        <v>-2174</v>
      </c>
      <c r="AD47" s="451">
        <f t="shared" si="263"/>
        <v>-4007</v>
      </c>
      <c r="AE47" s="452">
        <f t="shared" si="264"/>
        <v>-4153</v>
      </c>
      <c r="AF47" s="451">
        <f t="shared" si="265"/>
        <v>-1519</v>
      </c>
      <c r="AG47" s="451">
        <f t="shared" si="266"/>
        <v>-1396</v>
      </c>
      <c r="AH47" s="451">
        <f t="shared" si="267"/>
        <v>-1175</v>
      </c>
      <c r="AI47" s="452">
        <f t="shared" si="268"/>
        <v>-1020</v>
      </c>
      <c r="AJ47" s="451">
        <f t="shared" si="269"/>
        <v>-559</v>
      </c>
      <c r="AK47" s="451">
        <f t="shared" si="270"/>
        <v>-796</v>
      </c>
      <c r="AL47" s="451">
        <f t="shared" si="271"/>
        <v>-544</v>
      </c>
      <c r="AM47" s="451">
        <f t="shared" si="272"/>
        <v>-541</v>
      </c>
      <c r="AN47" s="450">
        <f t="shared" si="273"/>
        <v>-572</v>
      </c>
      <c r="AO47" s="451">
        <f t="shared" si="274"/>
        <v>-2352</v>
      </c>
      <c r="AP47" s="451">
        <f t="shared" si="275"/>
        <v>-4182</v>
      </c>
      <c r="AQ47" s="452">
        <f t="shared" si="276"/>
        <v>-3686</v>
      </c>
      <c r="AR47" s="450">
        <f t="shared" si="277"/>
        <v>-750</v>
      </c>
      <c r="AS47" s="451">
        <f t="shared" si="278"/>
        <v>-697</v>
      </c>
      <c r="AT47" s="451">
        <f t="shared" si="279"/>
        <v>-1029</v>
      </c>
      <c r="AU47" s="452">
        <f t="shared" si="280"/>
        <v>-525</v>
      </c>
      <c r="AV47" s="450">
        <f t="shared" si="281"/>
        <v>-793</v>
      </c>
      <c r="AW47" s="451">
        <f t="shared" si="282"/>
        <v>-804</v>
      </c>
      <c r="AX47" s="451">
        <f t="shared" si="283"/>
        <v>-457</v>
      </c>
      <c r="AY47" s="452">
        <f t="shared" si="284"/>
        <v>-533</v>
      </c>
      <c r="AZ47" s="450">
        <f t="shared" si="285"/>
        <v>-1242</v>
      </c>
      <c r="BA47" s="451">
        <f t="shared" si="286"/>
        <v>-1276</v>
      </c>
      <c r="BB47" s="451">
        <f t="shared" si="287"/>
        <v>-1093</v>
      </c>
      <c r="BC47" s="452">
        <f t="shared" si="288"/>
        <v>-4</v>
      </c>
      <c r="BD47" s="450">
        <f t="shared" ref="BD47" si="304">BD134</f>
        <v>-1914</v>
      </c>
      <c r="BE47" s="451">
        <v>-500</v>
      </c>
      <c r="BF47" s="451">
        <v>-500</v>
      </c>
      <c r="BG47" s="451">
        <v>-500</v>
      </c>
      <c r="BH47" s="450">
        <v>-500</v>
      </c>
      <c r="BI47" s="451">
        <v>-500</v>
      </c>
      <c r="BJ47" s="451">
        <v>-500</v>
      </c>
      <c r="BK47" s="451">
        <v>-500</v>
      </c>
      <c r="BL47" s="35"/>
      <c r="BM47" s="451">
        <f t="shared" si="289"/>
        <v>-10637</v>
      </c>
      <c r="BN47" s="451">
        <f t="shared" si="290"/>
        <v>-4593</v>
      </c>
      <c r="BO47" s="451">
        <f t="shared" si="291"/>
        <v>-2788</v>
      </c>
      <c r="BP47" s="451">
        <f t="shared" si="292"/>
        <v>-7195</v>
      </c>
      <c r="BQ47" s="451">
        <f t="shared" si="293"/>
        <v>-1762</v>
      </c>
      <c r="BR47" s="451">
        <f t="shared" si="294"/>
        <v>-1736</v>
      </c>
      <c r="BS47" s="451">
        <f t="shared" si="295"/>
        <v>-14340</v>
      </c>
      <c r="BT47" s="450">
        <f t="shared" si="296"/>
        <v>-5110</v>
      </c>
      <c r="BU47" s="451">
        <f t="shared" si="297"/>
        <v>-2440</v>
      </c>
      <c r="BV47" s="451">
        <f t="shared" si="298"/>
        <v>-10792</v>
      </c>
      <c r="BW47" s="451">
        <f t="shared" si="299"/>
        <v>-3001</v>
      </c>
      <c r="BX47" s="451">
        <f t="shared" si="300"/>
        <v>-2587</v>
      </c>
      <c r="BY47" s="690">
        <f t="shared" si="301"/>
        <v>-3615</v>
      </c>
      <c r="BZ47" s="690">
        <f t="shared" si="302"/>
        <v>-3414</v>
      </c>
      <c r="CA47" s="690">
        <f t="shared" si="303"/>
        <v>-2000</v>
      </c>
      <c r="CB47" s="1189">
        <v>-2000</v>
      </c>
      <c r="CC47" s="691"/>
      <c r="CD47" s="626"/>
      <c r="CE47" s="626"/>
    </row>
    <row r="48" spans="1:83" ht="14.25" customHeight="1">
      <c r="A48" s="18"/>
      <c r="B48" s="278" t="str">
        <f t="shared" si="236"/>
        <v>Payment of dividends to stockholders</v>
      </c>
      <c r="C48" s="103"/>
      <c r="D48" s="450">
        <f t="shared" si="237"/>
        <v>-497</v>
      </c>
      <c r="E48" s="451">
        <f t="shared" si="238"/>
        <v>-493</v>
      </c>
      <c r="F48" s="451">
        <f t="shared" si="239"/>
        <v>-486</v>
      </c>
      <c r="G48" s="452">
        <f t="shared" si="240"/>
        <v>-482</v>
      </c>
      <c r="H48" s="450">
        <f t="shared" si="241"/>
        <v>-585</v>
      </c>
      <c r="I48" s="451">
        <f t="shared" si="242"/>
        <v>-582</v>
      </c>
      <c r="J48" s="451">
        <f t="shared" si="243"/>
        <v>-577</v>
      </c>
      <c r="K48" s="452">
        <f t="shared" si="244"/>
        <v>-576</v>
      </c>
      <c r="L48" s="450">
        <f t="shared" si="245"/>
        <v>-650</v>
      </c>
      <c r="M48" s="451">
        <f t="shared" si="246"/>
        <v>-652</v>
      </c>
      <c r="N48" s="451">
        <f t="shared" si="247"/>
        <v>-657</v>
      </c>
      <c r="O48" s="452">
        <f t="shared" si="248"/>
        <v>-659</v>
      </c>
      <c r="P48" s="450">
        <f t="shared" si="249"/>
        <v>-739</v>
      </c>
      <c r="Q48" s="451">
        <f t="shared" si="250"/>
        <v>-800</v>
      </c>
      <c r="R48" s="451">
        <f t="shared" si="251"/>
        <v>-783</v>
      </c>
      <c r="S48" s="452">
        <f t="shared" si="252"/>
        <v>-778</v>
      </c>
      <c r="T48" s="450">
        <f t="shared" si="253"/>
        <v>-779</v>
      </c>
      <c r="U48" s="451">
        <f t="shared" si="254"/>
        <v>-784</v>
      </c>
      <c r="V48" s="451">
        <f t="shared" si="255"/>
        <v>-771</v>
      </c>
      <c r="W48" s="452">
        <f t="shared" si="256"/>
        <v>-774</v>
      </c>
      <c r="X48" s="450">
        <f t="shared" si="257"/>
        <v>-870</v>
      </c>
      <c r="Y48" s="451">
        <f t="shared" si="258"/>
        <v>-877</v>
      </c>
      <c r="Z48" s="451">
        <f t="shared" si="259"/>
        <v>-877</v>
      </c>
      <c r="AA48" s="452">
        <f t="shared" si="260"/>
        <v>-879</v>
      </c>
      <c r="AB48" s="451">
        <f t="shared" si="261"/>
        <v>-994</v>
      </c>
      <c r="AC48" s="451">
        <f t="shared" si="262"/>
        <v>-961</v>
      </c>
      <c r="AD48" s="451">
        <f t="shared" si="263"/>
        <v>-1102</v>
      </c>
      <c r="AE48" s="452">
        <f t="shared" si="264"/>
        <v>-1070</v>
      </c>
      <c r="AF48" s="451">
        <f t="shared" si="265"/>
        <v>-1049</v>
      </c>
      <c r="AG48" s="451">
        <f t="shared" si="266"/>
        <v>-1057</v>
      </c>
      <c r="AH48" s="451">
        <f t="shared" si="267"/>
        <v>-1125</v>
      </c>
      <c r="AI48" s="452">
        <f t="shared" si="268"/>
        <v>-1119</v>
      </c>
      <c r="AJ48" s="451">
        <f t="shared" si="269"/>
        <v>-1114</v>
      </c>
      <c r="AK48" s="451">
        <f t="shared" si="270"/>
        <v>-1123</v>
      </c>
      <c r="AL48" s="451">
        <f t="shared" si="271"/>
        <v>-1121</v>
      </c>
      <c r="AM48" s="451">
        <f t="shared" si="272"/>
        <v>-1121</v>
      </c>
      <c r="AN48" s="450">
        <f t="shared" si="273"/>
        <v>-1119</v>
      </c>
      <c r="AO48" s="451">
        <f t="shared" si="274"/>
        <v>-1126</v>
      </c>
      <c r="AP48" s="451">
        <f t="shared" si="275"/>
        <v>-1095</v>
      </c>
      <c r="AQ48" s="452">
        <f t="shared" si="276"/>
        <v>-1069</v>
      </c>
      <c r="AR48" s="450">
        <f>AR135</f>
        <v>-1137</v>
      </c>
      <c r="AS48" s="451">
        <f t="shared" si="278"/>
        <v>-1146</v>
      </c>
      <c r="AT48" s="451">
        <f t="shared" si="279"/>
        <v>-1140</v>
      </c>
      <c r="AU48" s="452">
        <f t="shared" si="280"/>
        <v>-1133</v>
      </c>
      <c r="AV48" s="450">
        <f>AV135</f>
        <v>-1228</v>
      </c>
      <c r="AW48" s="451">
        <f t="shared" si="282"/>
        <v>-1233</v>
      </c>
      <c r="AX48" s="451">
        <f t="shared" si="283"/>
        <v>-1231</v>
      </c>
      <c r="AY48" s="452">
        <f t="shared" si="284"/>
        <v>-1233</v>
      </c>
      <c r="AZ48" s="450">
        <f>AZ135</f>
        <v>-1229</v>
      </c>
      <c r="BA48" s="451">
        <f t="shared" si="286"/>
        <v>-1287</v>
      </c>
      <c r="BB48" s="451">
        <f t="shared" si="287"/>
        <v>-1278</v>
      </c>
      <c r="BC48" s="452">
        <f t="shared" si="288"/>
        <v>-1278</v>
      </c>
      <c r="BD48" s="1017">
        <f>BD135</f>
        <v>-1400</v>
      </c>
      <c r="BE48" s="602">
        <f>-IS!BE104*IS!BE97</f>
        <v>-1276.0020000000002</v>
      </c>
      <c r="BF48" s="602">
        <f>-IS!BF104*IS!BF97</f>
        <v>-1276.0020000000002</v>
      </c>
      <c r="BG48" s="1016">
        <f>-IS!BG104*IS!BG97</f>
        <v>-1276.0020000000002</v>
      </c>
      <c r="BH48" s="1017">
        <f>-IS!BH104*IS!BH97</f>
        <v>-1276.0020000000002</v>
      </c>
      <c r="BI48" s="602">
        <f>-IS!BI104*IS!BI97</f>
        <v>-1276.0020000000002</v>
      </c>
      <c r="BJ48" s="602">
        <f>-IS!BJ104*IS!BJ97</f>
        <v>-1276.0020000000002</v>
      </c>
      <c r="BK48" s="1016">
        <f>-IS!BK104*IS!BK97</f>
        <v>-1276.0020000000002</v>
      </c>
      <c r="BL48" s="35"/>
      <c r="BM48" s="451">
        <f t="shared" si="289"/>
        <v>-1958</v>
      </c>
      <c r="BN48" s="451">
        <f t="shared" si="290"/>
        <v>-2320</v>
      </c>
      <c r="BO48" s="451">
        <f t="shared" si="291"/>
        <v>-2618</v>
      </c>
      <c r="BP48" s="451">
        <f t="shared" si="292"/>
        <v>-3100</v>
      </c>
      <c r="BQ48" s="451">
        <f t="shared" si="293"/>
        <v>-3108</v>
      </c>
      <c r="BR48" s="451">
        <f t="shared" si="294"/>
        <v>-3503</v>
      </c>
      <c r="BS48" s="451">
        <f t="shared" si="295"/>
        <v>-4127</v>
      </c>
      <c r="BT48" s="450">
        <f t="shared" si="296"/>
        <v>-4350</v>
      </c>
      <c r="BU48" s="451">
        <f t="shared" si="297"/>
        <v>-4479</v>
      </c>
      <c r="BV48" s="451">
        <f t="shared" si="298"/>
        <v>-4409</v>
      </c>
      <c r="BW48" s="451">
        <f t="shared" si="299"/>
        <v>-4556</v>
      </c>
      <c r="BX48" s="451">
        <f t="shared" si="300"/>
        <v>-4925</v>
      </c>
      <c r="BY48" s="690">
        <f t="shared" si="301"/>
        <v>-5072</v>
      </c>
      <c r="BZ48" s="690">
        <f t="shared" si="302"/>
        <v>-5228.0060000000012</v>
      </c>
      <c r="CA48" s="690">
        <f t="shared" si="303"/>
        <v>-5104.0080000000007</v>
      </c>
      <c r="CB48" s="1189">
        <f>-IS!CB104*IS!CB98</f>
        <v>-5230.68</v>
      </c>
      <c r="CC48" s="691"/>
      <c r="CD48" s="626"/>
      <c r="CE48" s="626"/>
    </row>
    <row r="49" spans="1:83" ht="14.25" customHeight="1">
      <c r="A49" s="18"/>
      <c r="B49" s="278" t="str">
        <f t="shared" si="236"/>
        <v>Other financing activities</v>
      </c>
      <c r="C49" s="103"/>
      <c r="D49" s="450">
        <f t="shared" si="237"/>
        <v>0</v>
      </c>
      <c r="E49" s="451">
        <f t="shared" si="238"/>
        <v>0</v>
      </c>
      <c r="F49" s="451">
        <f t="shared" si="239"/>
        <v>0</v>
      </c>
      <c r="G49" s="452">
        <f t="shared" si="240"/>
        <v>25</v>
      </c>
      <c r="H49" s="450">
        <f t="shared" si="241"/>
        <v>65</v>
      </c>
      <c r="I49" s="451">
        <f t="shared" si="242"/>
        <v>59</v>
      </c>
      <c r="J49" s="451">
        <f t="shared" si="243"/>
        <v>8</v>
      </c>
      <c r="K49" s="452">
        <f t="shared" si="244"/>
        <v>60</v>
      </c>
      <c r="L49" s="450">
        <f t="shared" si="245"/>
        <v>44</v>
      </c>
      <c r="M49" s="451">
        <f t="shared" si="246"/>
        <v>94</v>
      </c>
      <c r="N49" s="451">
        <f t="shared" si="247"/>
        <v>26</v>
      </c>
      <c r="O49" s="452">
        <f t="shared" si="248"/>
        <v>114</v>
      </c>
      <c r="P49" s="450">
        <f t="shared" si="249"/>
        <v>7</v>
      </c>
      <c r="Q49" s="451">
        <f t="shared" si="250"/>
        <v>21</v>
      </c>
      <c r="R49" s="451">
        <f t="shared" si="251"/>
        <v>4</v>
      </c>
      <c r="S49" s="452">
        <f t="shared" si="252"/>
        <v>180</v>
      </c>
      <c r="T49" s="450">
        <f t="shared" si="253"/>
        <v>0</v>
      </c>
      <c r="U49" s="451">
        <f t="shared" si="254"/>
        <v>0</v>
      </c>
      <c r="V49" s="451">
        <f t="shared" si="255"/>
        <v>6</v>
      </c>
      <c r="W49" s="452">
        <f t="shared" si="256"/>
        <v>3</v>
      </c>
      <c r="X49" s="450">
        <f t="shared" si="257"/>
        <v>81</v>
      </c>
      <c r="Y49" s="451">
        <f t="shared" si="258"/>
        <v>60</v>
      </c>
      <c r="Z49" s="451">
        <f t="shared" si="259"/>
        <v>38</v>
      </c>
      <c r="AA49" s="452">
        <f t="shared" si="260"/>
        <v>-35</v>
      </c>
      <c r="AB49" s="451">
        <f t="shared" si="261"/>
        <v>57</v>
      </c>
      <c r="AC49" s="451">
        <f t="shared" si="262"/>
        <v>25</v>
      </c>
      <c r="AD49" s="451">
        <f t="shared" si="263"/>
        <v>-3</v>
      </c>
      <c r="AE49" s="452">
        <f t="shared" si="264"/>
        <v>72</v>
      </c>
      <c r="AF49" s="451">
        <f t="shared" si="265"/>
        <v>-286</v>
      </c>
      <c r="AG49" s="451">
        <f t="shared" si="266"/>
        <v>110</v>
      </c>
      <c r="AH49" s="451">
        <f t="shared" si="267"/>
        <v>38</v>
      </c>
      <c r="AI49" s="452">
        <f t="shared" si="268"/>
        <v>15</v>
      </c>
      <c r="AJ49" s="451">
        <f t="shared" si="269"/>
        <v>-306</v>
      </c>
      <c r="AK49" s="451">
        <f t="shared" si="270"/>
        <v>37</v>
      </c>
      <c r="AL49" s="451">
        <f t="shared" si="271"/>
        <v>4</v>
      </c>
      <c r="AM49" s="451">
        <f t="shared" si="272"/>
        <v>129</v>
      </c>
      <c r="AN49" s="450">
        <f t="shared" si="273"/>
        <v>-193</v>
      </c>
      <c r="AO49" s="451">
        <f t="shared" si="274"/>
        <v>59</v>
      </c>
      <c r="AP49" s="451">
        <f t="shared" si="275"/>
        <v>44</v>
      </c>
      <c r="AQ49" s="452">
        <f t="shared" si="276"/>
        <v>-215</v>
      </c>
      <c r="AR49" s="450">
        <f t="shared" si="277"/>
        <v>-242</v>
      </c>
      <c r="AS49" s="451">
        <f t="shared" si="278"/>
        <v>-229</v>
      </c>
      <c r="AT49" s="451">
        <f t="shared" si="279"/>
        <v>-15</v>
      </c>
      <c r="AU49" s="452">
        <f t="shared" si="280"/>
        <v>9563</v>
      </c>
      <c r="AV49" s="450">
        <f t="shared" si="281"/>
        <v>-60</v>
      </c>
      <c r="AW49" s="451">
        <f t="shared" si="282"/>
        <v>-192</v>
      </c>
      <c r="AX49" s="451">
        <f t="shared" si="283"/>
        <v>-27</v>
      </c>
      <c r="AY49" s="452">
        <f t="shared" si="284"/>
        <v>-275</v>
      </c>
      <c r="AZ49" s="1048">
        <f t="shared" si="285"/>
        <v>-39</v>
      </c>
      <c r="BA49" s="451">
        <f t="shared" si="286"/>
        <v>-661</v>
      </c>
      <c r="BB49" s="451">
        <f t="shared" si="287"/>
        <v>-1065</v>
      </c>
      <c r="BC49" s="452">
        <f t="shared" si="288"/>
        <v>1571</v>
      </c>
      <c r="BD49" s="1048">
        <f>+BS!BD40-BS!BC40</f>
        <v>3475</v>
      </c>
      <c r="BE49" s="1049">
        <f>+BS!BE40-BS!BD40</f>
        <v>0</v>
      </c>
      <c r="BF49" s="1049">
        <f>+BS!BF40-BS!BE40</f>
        <v>0</v>
      </c>
      <c r="BG49" s="1050">
        <f>+BS!BG40-BS!BF40</f>
        <v>0</v>
      </c>
      <c r="BH49" s="1048">
        <f>+BS!BH40-BS!BG40</f>
        <v>0</v>
      </c>
      <c r="BI49" s="1049">
        <f>+BS!BI40-BS!BH40</f>
        <v>0</v>
      </c>
      <c r="BJ49" s="1049">
        <f>+BS!BJ40-BS!BI40</f>
        <v>0</v>
      </c>
      <c r="BK49" s="1050">
        <f>+BS!BK40-BS!BJ40</f>
        <v>0</v>
      </c>
      <c r="BL49" s="35"/>
      <c r="BM49" s="451">
        <f t="shared" si="289"/>
        <v>25</v>
      </c>
      <c r="BN49" s="451">
        <f t="shared" si="290"/>
        <v>192</v>
      </c>
      <c r="BO49" s="451">
        <f t="shared" si="291"/>
        <v>278</v>
      </c>
      <c r="BP49" s="451">
        <f t="shared" si="292"/>
        <v>212</v>
      </c>
      <c r="BQ49" s="451">
        <f t="shared" si="293"/>
        <v>9</v>
      </c>
      <c r="BR49" s="451">
        <f t="shared" si="294"/>
        <v>144</v>
      </c>
      <c r="BS49" s="451">
        <f t="shared" si="295"/>
        <v>151</v>
      </c>
      <c r="BT49" s="450">
        <f t="shared" si="296"/>
        <v>-123</v>
      </c>
      <c r="BU49" s="451">
        <f t="shared" si="297"/>
        <v>-136</v>
      </c>
      <c r="BV49" s="451">
        <f t="shared" si="298"/>
        <v>-305</v>
      </c>
      <c r="BW49" s="451">
        <f t="shared" si="299"/>
        <v>9077</v>
      </c>
      <c r="BX49" s="451">
        <f t="shared" si="300"/>
        <v>-554</v>
      </c>
      <c r="BY49" s="690">
        <f t="shared" si="301"/>
        <v>-194</v>
      </c>
      <c r="BZ49" s="690">
        <f t="shared" si="302"/>
        <v>3475</v>
      </c>
      <c r="CA49" s="690">
        <f t="shared" si="303"/>
        <v>0</v>
      </c>
      <c r="CB49" s="1222">
        <f>+BS!CB40-BS!CA40</f>
        <v>0</v>
      </c>
      <c r="CC49" s="691"/>
      <c r="CD49" s="626"/>
      <c r="CE49" s="626"/>
    </row>
    <row r="50" spans="1:83" ht="14.25" customHeight="1" thickBot="1">
      <c r="A50" s="18"/>
      <c r="B50" s="455" t="str">
        <f t="shared" si="236"/>
        <v>Net cash used for financing activities</v>
      </c>
      <c r="C50" s="456"/>
      <c r="D50" s="457">
        <f t="shared" ref="D50:AM50" si="305">SUM(D44:D49)</f>
        <v>-2553</v>
      </c>
      <c r="E50" s="458">
        <f t="shared" si="305"/>
        <v>-2606</v>
      </c>
      <c r="F50" s="458">
        <f t="shared" si="305"/>
        <v>-2695</v>
      </c>
      <c r="G50" s="459">
        <f t="shared" si="305"/>
        <v>-1665</v>
      </c>
      <c r="H50" s="457">
        <f t="shared" si="305"/>
        <v>-3171</v>
      </c>
      <c r="I50" s="458">
        <f t="shared" si="305"/>
        <v>-1632</v>
      </c>
      <c r="J50" s="458">
        <f t="shared" si="305"/>
        <v>-1178</v>
      </c>
      <c r="K50" s="459">
        <f t="shared" si="305"/>
        <v>-389</v>
      </c>
      <c r="L50" s="457">
        <f t="shared" si="305"/>
        <v>-462</v>
      </c>
      <c r="M50" s="458">
        <f t="shared" si="305"/>
        <v>200</v>
      </c>
      <c r="N50" s="458">
        <f t="shared" si="305"/>
        <v>-581</v>
      </c>
      <c r="O50" s="459">
        <f t="shared" si="305"/>
        <v>-1147</v>
      </c>
      <c r="P50" s="457">
        <f t="shared" si="305"/>
        <v>-2718</v>
      </c>
      <c r="Q50" s="458">
        <f t="shared" si="305"/>
        <v>-3009</v>
      </c>
      <c r="R50" s="458">
        <f t="shared" si="305"/>
        <v>-2330</v>
      </c>
      <c r="S50" s="459">
        <f t="shared" si="305"/>
        <v>-961</v>
      </c>
      <c r="T50" s="457">
        <f t="shared" si="305"/>
        <v>-601</v>
      </c>
      <c r="U50" s="458">
        <f t="shared" si="305"/>
        <v>-869</v>
      </c>
      <c r="V50" s="458">
        <f t="shared" si="305"/>
        <v>-340</v>
      </c>
      <c r="W50" s="459">
        <f t="shared" si="305"/>
        <v>-758</v>
      </c>
      <c r="X50" s="457">
        <f t="shared" si="305"/>
        <v>-406</v>
      </c>
      <c r="Y50" s="458">
        <f t="shared" si="305"/>
        <v>-990</v>
      </c>
      <c r="Z50" s="458">
        <f t="shared" si="305"/>
        <v>-649</v>
      </c>
      <c r="AA50" s="459">
        <f t="shared" si="305"/>
        <v>-2597</v>
      </c>
      <c r="AB50" s="458">
        <f t="shared" si="305"/>
        <v>-4688</v>
      </c>
      <c r="AC50" s="458">
        <f t="shared" si="305"/>
        <v>-2745</v>
      </c>
      <c r="AD50" s="458">
        <f t="shared" si="305"/>
        <v>183</v>
      </c>
      <c r="AE50" s="459">
        <f t="shared" si="305"/>
        <v>-3850</v>
      </c>
      <c r="AF50" s="458">
        <f t="shared" si="305"/>
        <v>-1495</v>
      </c>
      <c r="AG50" s="458">
        <f t="shared" si="305"/>
        <v>-2176</v>
      </c>
      <c r="AH50" s="458">
        <f t="shared" si="305"/>
        <v>-2004</v>
      </c>
      <c r="AI50" s="459">
        <f t="shared" si="305"/>
        <v>4267</v>
      </c>
      <c r="AJ50" s="458">
        <f t="shared" si="305"/>
        <v>-1738</v>
      </c>
      <c r="AK50" s="458">
        <f t="shared" si="305"/>
        <v>-1132</v>
      </c>
      <c r="AL50" s="458">
        <f t="shared" si="305"/>
        <v>-1306</v>
      </c>
      <c r="AM50" s="458">
        <f t="shared" si="305"/>
        <v>-1322</v>
      </c>
      <c r="AN50" s="457">
        <f t="shared" ref="AN50:AQ50" si="306">SUM(AN44:AN49)</f>
        <v>-1650</v>
      </c>
      <c r="AO50" s="458">
        <f t="shared" si="306"/>
        <v>-2915</v>
      </c>
      <c r="AP50" s="458">
        <f t="shared" si="306"/>
        <v>-4607</v>
      </c>
      <c r="AQ50" s="459">
        <f t="shared" si="306"/>
        <v>-4439</v>
      </c>
      <c r="AR50" s="457">
        <f>SUM(AR44:AR49)</f>
        <v>-2274</v>
      </c>
      <c r="AS50" s="458">
        <f t="shared" ref="AS50:AU50" si="307">SUM(AS44:AS49)</f>
        <v>-1945</v>
      </c>
      <c r="AT50" s="458">
        <f t="shared" si="307"/>
        <v>6043</v>
      </c>
      <c r="AU50" s="459">
        <f t="shared" si="307"/>
        <v>88</v>
      </c>
      <c r="AV50" s="457">
        <f>SUM(AV44:AV49)</f>
        <v>-782</v>
      </c>
      <c r="AW50" s="458">
        <f t="shared" ref="AW50:AY50" si="308">SUM(AW44:AW49)</f>
        <v>1149</v>
      </c>
      <c r="AX50" s="458">
        <f t="shared" si="308"/>
        <v>-2208</v>
      </c>
      <c r="AY50" s="459">
        <f t="shared" si="308"/>
        <v>-3898</v>
      </c>
      <c r="AZ50" s="457">
        <f>SUM(AZ44:AZ49)</f>
        <v>-1746</v>
      </c>
      <c r="BA50" s="458">
        <f t="shared" ref="BA50:BC50" si="309">SUM(BA44:BA49)</f>
        <v>3484</v>
      </c>
      <c r="BB50" s="458">
        <f t="shared" si="309"/>
        <v>-2560</v>
      </c>
      <c r="BC50" s="459">
        <f t="shared" si="309"/>
        <v>-7653</v>
      </c>
      <c r="BD50" s="457">
        <f t="shared" ref="BD50:BG50" si="310">SUM(BD44:BD49)</f>
        <v>1960</v>
      </c>
      <c r="BE50" s="458">
        <f t="shared" si="310"/>
        <v>-1776.0020000000002</v>
      </c>
      <c r="BF50" s="458">
        <f t="shared" si="310"/>
        <v>-1776.0020000000002</v>
      </c>
      <c r="BG50" s="459">
        <f t="shared" si="310"/>
        <v>-1776.0020000000002</v>
      </c>
      <c r="BH50" s="457">
        <f t="shared" ref="BH50:BK50" si="311">SUM(BH44:BH49)</f>
        <v>-1776.0020000000002</v>
      </c>
      <c r="BI50" s="458">
        <f t="shared" si="311"/>
        <v>-1776.0020000000002</v>
      </c>
      <c r="BJ50" s="458">
        <f t="shared" si="311"/>
        <v>-1776.0020000000002</v>
      </c>
      <c r="BK50" s="459">
        <f t="shared" si="311"/>
        <v>-1776.0020000000002</v>
      </c>
      <c r="BL50" s="35"/>
      <c r="BM50" s="458">
        <f t="shared" ref="BM50:BY50" si="312">SUM(BM44:BM49)</f>
        <v>-9519</v>
      </c>
      <c r="BN50" s="458">
        <f t="shared" si="312"/>
        <v>-6370</v>
      </c>
      <c r="BO50" s="458">
        <f t="shared" si="312"/>
        <v>-1990</v>
      </c>
      <c r="BP50" s="458">
        <f t="shared" si="312"/>
        <v>-9018</v>
      </c>
      <c r="BQ50" s="458">
        <f t="shared" si="312"/>
        <v>-2568</v>
      </c>
      <c r="BR50" s="458">
        <f t="shared" si="312"/>
        <v>-4642</v>
      </c>
      <c r="BS50" s="458">
        <f t="shared" si="312"/>
        <v>-11100</v>
      </c>
      <c r="BT50" s="457">
        <f t="shared" si="312"/>
        <v>-1408</v>
      </c>
      <c r="BU50" s="458">
        <f t="shared" si="312"/>
        <v>-5498</v>
      </c>
      <c r="BV50" s="458">
        <f t="shared" si="312"/>
        <v>-13611</v>
      </c>
      <c r="BW50" s="458">
        <f>SUM(BW44:BW49)</f>
        <v>1912</v>
      </c>
      <c r="BX50" s="458">
        <f t="shared" si="312"/>
        <v>-5739</v>
      </c>
      <c r="BY50" s="458">
        <f t="shared" si="312"/>
        <v>-8475</v>
      </c>
      <c r="BZ50" s="458">
        <f t="shared" ref="BZ50:CA50" si="313">SUM(BZ44:BZ49)</f>
        <v>-3368.0060000000012</v>
      </c>
      <c r="CA50" s="458">
        <f t="shared" si="313"/>
        <v>-7104.0080000000007</v>
      </c>
      <c r="CB50" s="459">
        <f t="shared" ref="CB50" si="314">SUM(CB44:CB49)</f>
        <v>-7230.68</v>
      </c>
      <c r="CC50" s="691"/>
      <c r="CD50" s="626"/>
      <c r="CE50" s="626"/>
    </row>
    <row r="51" spans="1:83" ht="7.5" customHeight="1" thickTop="1">
      <c r="A51" s="18"/>
      <c r="B51" s="389"/>
      <c r="C51" s="128"/>
      <c r="D51" s="464"/>
      <c r="E51" s="465"/>
      <c r="F51" s="465"/>
      <c r="G51" s="466"/>
      <c r="H51" s="464"/>
      <c r="I51" s="465"/>
      <c r="J51" s="465"/>
      <c r="K51" s="466"/>
      <c r="L51" s="464"/>
      <c r="M51" s="465"/>
      <c r="N51" s="465"/>
      <c r="O51" s="466"/>
      <c r="P51" s="464"/>
      <c r="Q51" s="465"/>
      <c r="R51" s="465"/>
      <c r="S51" s="466"/>
      <c r="T51" s="464"/>
      <c r="U51" s="465"/>
      <c r="V51" s="465"/>
      <c r="W51" s="466"/>
      <c r="X51" s="464"/>
      <c r="Y51" s="465"/>
      <c r="Z51" s="465"/>
      <c r="AA51" s="466"/>
      <c r="AB51" s="465"/>
      <c r="AC51" s="465"/>
      <c r="AD51" s="465"/>
      <c r="AE51" s="466"/>
      <c r="AF51" s="465"/>
      <c r="AG51" s="465"/>
      <c r="AH51" s="465"/>
      <c r="AI51" s="466"/>
      <c r="AJ51" s="465"/>
      <c r="AK51" s="465"/>
      <c r="AL51" s="465"/>
      <c r="AN51" s="464"/>
      <c r="AO51" s="465"/>
      <c r="AP51" s="465"/>
      <c r="AQ51" s="566"/>
      <c r="AR51" s="464"/>
      <c r="AS51" s="465"/>
      <c r="AT51" s="465"/>
      <c r="AU51" s="566"/>
      <c r="AV51" s="464"/>
      <c r="AW51" s="465"/>
      <c r="AX51" s="465"/>
      <c r="AY51" s="566"/>
      <c r="AZ51" s="464"/>
      <c r="BA51" s="465"/>
      <c r="BB51" s="465"/>
      <c r="BC51" s="566"/>
      <c r="BD51" s="464"/>
      <c r="BE51" s="465"/>
      <c r="BF51" s="465"/>
      <c r="BG51" s="1018"/>
      <c r="BH51" s="464"/>
      <c r="BI51" s="465"/>
      <c r="BJ51" s="465"/>
      <c r="BK51" s="1018"/>
      <c r="BL51" s="35"/>
      <c r="BM51" s="465"/>
      <c r="BN51" s="465"/>
      <c r="BO51" s="465"/>
      <c r="BP51" s="465"/>
      <c r="BQ51" s="465"/>
      <c r="BR51" s="465"/>
      <c r="BS51" s="465"/>
      <c r="BT51" s="464"/>
      <c r="BU51" s="465"/>
      <c r="BV51" s="465"/>
      <c r="BW51" s="465"/>
      <c r="BX51" s="465"/>
      <c r="BY51" s="465"/>
      <c r="BZ51" s="465"/>
      <c r="CA51" s="465"/>
      <c r="CB51" s="1185"/>
      <c r="CC51" s="691"/>
      <c r="CD51" s="626"/>
      <c r="CE51" s="626"/>
    </row>
    <row r="52" spans="1:83" ht="14.25" customHeight="1">
      <c r="A52" s="18"/>
      <c r="B52" s="389" t="str">
        <f t="shared" si="236"/>
        <v>Effect of exchange rate changes on cash and cash equivalents</v>
      </c>
      <c r="C52" s="128"/>
      <c r="D52" s="450">
        <f>D139</f>
        <v>0</v>
      </c>
      <c r="E52" s="451">
        <f>E139-D52</f>
        <v>0</v>
      </c>
      <c r="F52" s="451">
        <f>F139-E52-D52</f>
        <v>0</v>
      </c>
      <c r="G52" s="452">
        <f>G139-F52-E52-D52</f>
        <v>0</v>
      </c>
      <c r="H52" s="450">
        <f>H139</f>
        <v>0</v>
      </c>
      <c r="I52" s="451">
        <f>I139-H52</f>
        <v>0</v>
      </c>
      <c r="J52" s="451">
        <f>J139-I52-H52</f>
        <v>0</v>
      </c>
      <c r="K52" s="452">
        <f>K139-J52-I52-H52</f>
        <v>0</v>
      </c>
      <c r="L52" s="450">
        <f>L139</f>
        <v>0</v>
      </c>
      <c r="M52" s="451">
        <f>M139-L52</f>
        <v>0</v>
      </c>
      <c r="N52" s="451">
        <f>N139-M52-L52</f>
        <v>0</v>
      </c>
      <c r="O52" s="452">
        <f>O139-N52-M52-L52</f>
        <v>0</v>
      </c>
      <c r="P52" s="450">
        <f>P139</f>
        <v>0</v>
      </c>
      <c r="Q52" s="451">
        <f>Q139-P52</f>
        <v>0</v>
      </c>
      <c r="R52" s="451">
        <f>R139-Q52-P52</f>
        <v>0</v>
      </c>
      <c r="S52" s="452">
        <f>S139-R52-Q52-P52</f>
        <v>0</v>
      </c>
      <c r="T52" s="450">
        <f>T139</f>
        <v>0</v>
      </c>
      <c r="U52" s="451">
        <f>U139-T52</f>
        <v>0</v>
      </c>
      <c r="V52" s="451">
        <f>V139-U52-T52</f>
        <v>0</v>
      </c>
      <c r="W52" s="452">
        <f>W139-V52-U52-T52</f>
        <v>0</v>
      </c>
      <c r="X52" s="450">
        <f>X139</f>
        <v>0</v>
      </c>
      <c r="Y52" s="451">
        <f>Y139-X52</f>
        <v>0</v>
      </c>
      <c r="Z52" s="451">
        <f>Z139-Y52-X52</f>
        <v>0</v>
      </c>
      <c r="AA52" s="452">
        <f>AA139-Z52-Y52-X52</f>
        <v>0</v>
      </c>
      <c r="AB52" s="451">
        <f>AB139</f>
        <v>9</v>
      </c>
      <c r="AC52" s="451">
        <f>AC139-AB52</f>
        <v>4</v>
      </c>
      <c r="AD52" s="451">
        <f>AD139-AC52-AB52</f>
        <v>-3</v>
      </c>
      <c r="AE52" s="452">
        <f>AE139-AD52-AC52-AB52</f>
        <v>-5</v>
      </c>
      <c r="AF52" s="451">
        <f>AF139</f>
        <v>-2</v>
      </c>
      <c r="AG52" s="451">
        <f>AG139-AF52</f>
        <v>-4</v>
      </c>
      <c r="AH52" s="451">
        <f>AH139-AG52-AF52</f>
        <v>6</v>
      </c>
      <c r="AI52" s="452">
        <f>AI139-AH52-AG52-AF52</f>
        <v>-3</v>
      </c>
      <c r="AJ52" s="451">
        <f>AJ139</f>
        <v>-10</v>
      </c>
      <c r="AK52" s="451">
        <f>AK139-AJ52</f>
        <v>2</v>
      </c>
      <c r="AL52" s="451">
        <f>AL139-AK52-AJ52</f>
        <v>1</v>
      </c>
      <c r="AM52" s="451">
        <f>AM139-AL52-AK52-AJ52</f>
        <v>-2</v>
      </c>
      <c r="AN52" s="450">
        <f>AN139</f>
        <v>1</v>
      </c>
      <c r="AO52" s="453">
        <f>AO139-AN52</f>
        <v>0</v>
      </c>
      <c r="AP52" s="451">
        <f>AP139-AO52-AN52</f>
        <v>-6</v>
      </c>
      <c r="AQ52" s="452">
        <f>AQ139-AP52-AO52-AN52</f>
        <v>-10</v>
      </c>
      <c r="AR52" s="450">
        <f>AR139</f>
        <v>-9</v>
      </c>
      <c r="AS52" s="690">
        <f>AS139-AR52</f>
        <v>10</v>
      </c>
      <c r="AT52" s="451">
        <f>AT139-AS52-AR52</f>
        <v>0</v>
      </c>
      <c r="AU52" s="452">
        <f>AU139-AT52-AS52-AR52</f>
        <v>0</v>
      </c>
      <c r="AV52" s="450">
        <f>AV139</f>
        <v>0</v>
      </c>
      <c r="AW52" s="690">
        <f>AW139-AV52</f>
        <v>0</v>
      </c>
      <c r="AX52" s="451">
        <f>AX139-AW52-AV52</f>
        <v>0</v>
      </c>
      <c r="AY52" s="452">
        <f>AY139-AX52-AW52-AV52</f>
        <v>0</v>
      </c>
      <c r="AZ52" s="450">
        <f>AZ139</f>
        <v>0</v>
      </c>
      <c r="BA52" s="690">
        <f>BA139-AZ52</f>
        <v>0</v>
      </c>
      <c r="BB52" s="451">
        <f>BB139-BA52-AZ52</f>
        <v>0</v>
      </c>
      <c r="BC52" s="452">
        <f>BC139-BB52-BA52-AZ52</f>
        <v>0</v>
      </c>
      <c r="BD52" s="450">
        <v>0</v>
      </c>
      <c r="BE52" s="453">
        <v>0</v>
      </c>
      <c r="BF52" s="453">
        <v>0</v>
      </c>
      <c r="BG52" s="1015">
        <v>0</v>
      </c>
      <c r="BH52" s="450">
        <v>0</v>
      </c>
      <c r="BI52" s="453">
        <v>0</v>
      </c>
      <c r="BJ52" s="453">
        <v>0</v>
      </c>
      <c r="BK52" s="1015">
        <v>0</v>
      </c>
      <c r="BL52" s="35"/>
      <c r="BM52" s="451">
        <f>SUM(D52:G52)</f>
        <v>0</v>
      </c>
      <c r="BN52" s="451">
        <f>SUM(H52:K52)</f>
        <v>0</v>
      </c>
      <c r="BO52" s="451">
        <f>SUM(L52:O52)</f>
        <v>0</v>
      </c>
      <c r="BP52" s="451">
        <f>SUM(P52:S52)</f>
        <v>0</v>
      </c>
      <c r="BQ52" s="451">
        <f>SUM(T52:W52)</f>
        <v>0</v>
      </c>
      <c r="BR52" s="451">
        <f>SUM(X52:AA52)</f>
        <v>0</v>
      </c>
      <c r="BS52" s="451">
        <f>SUM(AB52:AE52)</f>
        <v>5</v>
      </c>
      <c r="BT52" s="450">
        <f>SUM(AF52:AI52)</f>
        <v>-3</v>
      </c>
      <c r="BU52" s="451">
        <f>SUM(AJ52:AM52)</f>
        <v>-9</v>
      </c>
      <c r="BV52" s="451">
        <f>SUM(AN52:AQ52)</f>
        <v>-15</v>
      </c>
      <c r="BW52" s="451">
        <f>SUM(AR52:AU52)</f>
        <v>1</v>
      </c>
      <c r="BX52" s="451">
        <f>SUM(AV52:AY52)</f>
        <v>0</v>
      </c>
      <c r="BY52" s="690">
        <f>SUM(AZ52:BC52)</f>
        <v>0</v>
      </c>
      <c r="BZ52" s="690">
        <f>SUM(BD52:BG52)</f>
        <v>0</v>
      </c>
      <c r="CA52" s="690">
        <f>SUM(BH52:BK52)</f>
        <v>0</v>
      </c>
      <c r="CB52" s="1188">
        <f>CA52</f>
        <v>0</v>
      </c>
      <c r="CC52" s="691"/>
      <c r="CD52" s="626"/>
      <c r="CE52" s="626"/>
    </row>
    <row r="53" spans="1:83" ht="7.5" customHeight="1">
      <c r="A53" s="18"/>
      <c r="B53" s="389"/>
      <c r="C53" s="128"/>
      <c r="D53" s="464"/>
      <c r="E53" s="465"/>
      <c r="F53" s="465"/>
      <c r="G53" s="467"/>
      <c r="H53" s="464"/>
      <c r="I53" s="465"/>
      <c r="J53" s="465"/>
      <c r="K53" s="467"/>
      <c r="L53" s="464"/>
      <c r="M53" s="465"/>
      <c r="N53" s="465"/>
      <c r="O53" s="467"/>
      <c r="P53" s="464"/>
      <c r="Q53" s="465"/>
      <c r="R53" s="465"/>
      <c r="S53" s="467"/>
      <c r="T53" s="464"/>
      <c r="U53" s="465"/>
      <c r="V53" s="465"/>
      <c r="W53" s="467"/>
      <c r="X53" s="464"/>
      <c r="Y53" s="465"/>
      <c r="Z53" s="465"/>
      <c r="AA53" s="467"/>
      <c r="AB53" s="465"/>
      <c r="AC53" s="465"/>
      <c r="AD53" s="465"/>
      <c r="AE53" s="467"/>
      <c r="AF53" s="465"/>
      <c r="AG53" s="465"/>
      <c r="AH53" s="465"/>
      <c r="AI53" s="467"/>
      <c r="AJ53" s="465"/>
      <c r="AK53" s="465"/>
      <c r="AL53" s="465"/>
      <c r="AM53" s="465"/>
      <c r="AN53" s="464"/>
      <c r="AO53" s="468"/>
      <c r="AP53" s="468"/>
      <c r="AQ53" s="467"/>
      <c r="AR53" s="464"/>
      <c r="AS53" s="468"/>
      <c r="AT53" s="468"/>
      <c r="AU53" s="467"/>
      <c r="AV53" s="464"/>
      <c r="AW53" s="468"/>
      <c r="AX53" s="468"/>
      <c r="AY53" s="467"/>
      <c r="AZ53" s="464"/>
      <c r="BA53" s="468"/>
      <c r="BB53" s="468"/>
      <c r="BC53" s="467"/>
      <c r="BD53" s="464"/>
      <c r="BE53" s="468"/>
      <c r="BF53" s="468"/>
      <c r="BG53" s="1019"/>
      <c r="BH53" s="464"/>
      <c r="BI53" s="468"/>
      <c r="BJ53" s="468"/>
      <c r="BK53" s="1019"/>
      <c r="BL53" s="35"/>
      <c r="BM53" s="468"/>
      <c r="BN53" s="468"/>
      <c r="BO53" s="468"/>
      <c r="BP53" s="468"/>
      <c r="BQ53" s="468"/>
      <c r="BR53" s="468"/>
      <c r="BS53" s="468"/>
      <c r="BT53" s="470"/>
      <c r="BU53" s="468"/>
      <c r="BV53" s="468"/>
      <c r="BW53" s="468"/>
      <c r="BX53" s="468"/>
      <c r="BY53" s="468"/>
      <c r="BZ53" s="468"/>
      <c r="CA53" s="468"/>
      <c r="CB53" s="1190"/>
      <c r="CC53" s="691"/>
      <c r="CD53" s="626"/>
      <c r="CE53" s="626"/>
    </row>
    <row r="54" spans="1:83" ht="14.25" customHeight="1">
      <c r="A54" s="18"/>
      <c r="B54" s="389" t="str">
        <f t="shared" si="236"/>
        <v>Cash and cash equivalents, beginning of period</v>
      </c>
      <c r="C54" s="128"/>
      <c r="D54" s="464">
        <f>D141</f>
        <v>8407</v>
      </c>
      <c r="E54" s="465">
        <f t="shared" ref="E54:BC54" si="315">D57</f>
        <v>9279</v>
      </c>
      <c r="F54" s="465">
        <f t="shared" si="315"/>
        <v>8975</v>
      </c>
      <c r="G54" s="467">
        <f t="shared" si="315"/>
        <v>8857</v>
      </c>
      <c r="H54" s="464">
        <f t="shared" si="315"/>
        <v>7324</v>
      </c>
      <c r="I54" s="465">
        <f t="shared" si="315"/>
        <v>3948</v>
      </c>
      <c r="J54" s="465">
        <f t="shared" si="315"/>
        <v>3436</v>
      </c>
      <c r="K54" s="467">
        <f t="shared" si="315"/>
        <v>4469</v>
      </c>
      <c r="L54" s="464">
        <f t="shared" si="315"/>
        <v>6598</v>
      </c>
      <c r="M54" s="465">
        <f t="shared" si="315"/>
        <v>4472</v>
      </c>
      <c r="N54" s="465">
        <f t="shared" si="315"/>
        <v>4709</v>
      </c>
      <c r="O54" s="467">
        <f t="shared" si="315"/>
        <v>5844</v>
      </c>
      <c r="P54" s="464">
        <f t="shared" si="315"/>
        <v>7307</v>
      </c>
      <c r="Q54" s="465">
        <f t="shared" si="315"/>
        <v>5883</v>
      </c>
      <c r="R54" s="465">
        <f t="shared" si="315"/>
        <v>4079</v>
      </c>
      <c r="S54" s="467">
        <f t="shared" si="315"/>
        <v>3704</v>
      </c>
      <c r="T54" s="464">
        <f t="shared" si="315"/>
        <v>3350</v>
      </c>
      <c r="U54" s="465">
        <f t="shared" si="315"/>
        <v>3536</v>
      </c>
      <c r="V54" s="465">
        <f t="shared" si="315"/>
        <v>3826</v>
      </c>
      <c r="W54" s="467">
        <f t="shared" si="315"/>
        <v>4109</v>
      </c>
      <c r="X54" s="464">
        <f t="shared" si="315"/>
        <v>3987</v>
      </c>
      <c r="Y54" s="465">
        <f t="shared" si="315"/>
        <v>4988</v>
      </c>
      <c r="Z54" s="465">
        <f t="shared" si="315"/>
        <v>5514</v>
      </c>
      <c r="AA54" s="467">
        <f t="shared" si="315"/>
        <v>5517</v>
      </c>
      <c r="AB54" s="465">
        <f t="shared" si="315"/>
        <v>5498</v>
      </c>
      <c r="AC54" s="465">
        <f t="shared" si="315"/>
        <v>4188</v>
      </c>
      <c r="AD54" s="465">
        <f t="shared" si="315"/>
        <v>4635</v>
      </c>
      <c r="AE54" s="467">
        <f t="shared" si="315"/>
        <v>7057</v>
      </c>
      <c r="AF54" s="465">
        <f t="shared" si="315"/>
        <v>5065</v>
      </c>
      <c r="AG54" s="465">
        <f t="shared" si="315"/>
        <v>4429</v>
      </c>
      <c r="AH54" s="465">
        <f t="shared" si="315"/>
        <v>5223</v>
      </c>
      <c r="AI54" s="467">
        <f t="shared" si="315"/>
        <v>3520</v>
      </c>
      <c r="AJ54" s="465">
        <f t="shared" si="315"/>
        <v>8478</v>
      </c>
      <c r="AK54" s="465">
        <f t="shared" si="315"/>
        <v>5698</v>
      </c>
      <c r="AL54" s="465">
        <f t="shared" si="315"/>
        <v>3778</v>
      </c>
      <c r="AM54" s="465">
        <f t="shared" si="315"/>
        <v>4881</v>
      </c>
      <c r="AN54" s="464">
        <f t="shared" si="315"/>
        <v>5674</v>
      </c>
      <c r="AO54" s="465">
        <f t="shared" si="315"/>
        <v>4777</v>
      </c>
      <c r="AP54" s="465">
        <f t="shared" si="315"/>
        <v>3049</v>
      </c>
      <c r="AQ54" s="467">
        <f t="shared" si="315"/>
        <v>3143</v>
      </c>
      <c r="AR54" s="464">
        <f t="shared" si="315"/>
        <v>2561</v>
      </c>
      <c r="AS54" s="465">
        <f t="shared" si="315"/>
        <v>4244</v>
      </c>
      <c r="AT54" s="465">
        <f t="shared" si="315"/>
        <v>4454</v>
      </c>
      <c r="AU54" s="467">
        <f t="shared" si="315"/>
        <v>7065</v>
      </c>
      <c r="AV54" s="464">
        <f t="shared" si="315"/>
        <v>15308</v>
      </c>
      <c r="AW54" s="465">
        <f t="shared" si="315"/>
        <v>3061</v>
      </c>
      <c r="AX54" s="465">
        <f t="shared" si="315"/>
        <v>3885</v>
      </c>
      <c r="AY54" s="467">
        <f t="shared" si="315"/>
        <v>4752</v>
      </c>
      <c r="AZ54" s="464">
        <f t="shared" si="315"/>
        <v>5560</v>
      </c>
      <c r="BA54" s="465">
        <f t="shared" si="315"/>
        <v>4934</v>
      </c>
      <c r="BB54" s="465">
        <f t="shared" si="315"/>
        <v>11687</v>
      </c>
      <c r="BC54" s="467">
        <f t="shared" si="315"/>
        <v>9075</v>
      </c>
      <c r="BD54" s="464">
        <f t="shared" ref="BD54" si="316">BC57</f>
        <v>3433</v>
      </c>
      <c r="BE54" s="465">
        <f t="shared" ref="BE54" si="317">BD57</f>
        <v>3554</v>
      </c>
      <c r="BF54" s="465">
        <f t="shared" ref="BF54" si="318">BE57</f>
        <v>5328.8935123566007</v>
      </c>
      <c r="BG54" s="1018">
        <f t="shared" ref="BG54" si="319">BF57</f>
        <v>6930.1194258736577</v>
      </c>
      <c r="BH54" s="464">
        <f t="shared" ref="BH54" si="320">BG57</f>
        <v>9235.1130779386531</v>
      </c>
      <c r="BI54" s="465">
        <f t="shared" ref="BI54" si="321">BH57</f>
        <v>11773.102462382441</v>
      </c>
      <c r="BJ54" s="465">
        <f t="shared" ref="BJ54" si="322">BI57</f>
        <v>12867.631228371542</v>
      </c>
      <c r="BK54" s="1018">
        <f t="shared" ref="BK54" si="323">BJ57</f>
        <v>14043.312897508022</v>
      </c>
      <c r="BL54" s="35"/>
      <c r="BM54" s="465">
        <f>D54</f>
        <v>8407</v>
      </c>
      <c r="BN54" s="465">
        <f t="shared" ref="BN54:BW54" si="324">BM57</f>
        <v>7324</v>
      </c>
      <c r="BO54" s="465">
        <f t="shared" si="324"/>
        <v>6598</v>
      </c>
      <c r="BP54" s="465">
        <f t="shared" si="324"/>
        <v>7307</v>
      </c>
      <c r="BQ54" s="465">
        <f t="shared" si="324"/>
        <v>3350</v>
      </c>
      <c r="BR54" s="465">
        <f t="shared" si="324"/>
        <v>3987</v>
      </c>
      <c r="BS54" s="465">
        <f t="shared" si="324"/>
        <v>5498</v>
      </c>
      <c r="BT54" s="464">
        <f t="shared" si="324"/>
        <v>5065</v>
      </c>
      <c r="BU54" s="465">
        <f t="shared" si="324"/>
        <v>8478</v>
      </c>
      <c r="BV54" s="465">
        <f t="shared" si="324"/>
        <v>5674</v>
      </c>
      <c r="BW54" s="465">
        <f t="shared" si="324"/>
        <v>2561</v>
      </c>
      <c r="BX54" s="465">
        <f>BW57</f>
        <v>15308</v>
      </c>
      <c r="BY54" s="465">
        <f>BX57</f>
        <v>5560</v>
      </c>
      <c r="BZ54" s="465">
        <f>BY57</f>
        <v>3433</v>
      </c>
      <c r="CA54" s="465">
        <f>BZ57</f>
        <v>9235.1130779386531</v>
      </c>
      <c r="CB54" s="1185">
        <f>CA57</f>
        <v>16215.374073973693</v>
      </c>
      <c r="CC54" s="691"/>
      <c r="CD54" s="626"/>
      <c r="CE54" s="626"/>
    </row>
    <row r="55" spans="1:83" ht="14.25" customHeight="1">
      <c r="A55" s="18"/>
      <c r="B55" s="389" t="str">
        <f t="shared" si="236"/>
        <v>Change in cash flow due to restatement</v>
      </c>
      <c r="C55" s="128"/>
      <c r="D55" s="464"/>
      <c r="E55" s="465"/>
      <c r="F55" s="465"/>
      <c r="G55" s="467"/>
      <c r="H55" s="464"/>
      <c r="I55" s="465"/>
      <c r="J55" s="465"/>
      <c r="K55" s="467"/>
      <c r="L55" s="464"/>
      <c r="M55" s="465"/>
      <c r="N55" s="465"/>
      <c r="O55" s="467"/>
      <c r="P55" s="464"/>
      <c r="Q55" s="465"/>
      <c r="R55" s="465"/>
      <c r="S55" s="467"/>
      <c r="T55" s="464"/>
      <c r="U55" s="465"/>
      <c r="V55" s="465"/>
      <c r="W55" s="467"/>
      <c r="X55" s="464"/>
      <c r="Y55" s="465"/>
      <c r="Z55" s="465"/>
      <c r="AA55" s="467"/>
      <c r="AB55" s="465"/>
      <c r="AC55" s="465"/>
      <c r="AD55" s="465"/>
      <c r="AE55" s="467"/>
      <c r="AF55" s="465"/>
      <c r="AG55" s="465"/>
      <c r="AH55" s="465"/>
      <c r="AI55" s="467"/>
      <c r="AJ55" s="465"/>
      <c r="AK55" s="465"/>
      <c r="AL55" s="465"/>
      <c r="AM55" s="465"/>
      <c r="AN55" s="464"/>
      <c r="AP55" s="465"/>
      <c r="AQ55" s="467"/>
      <c r="AR55" s="464"/>
      <c r="AT55" s="465"/>
      <c r="AU55" s="467"/>
      <c r="AV55" s="464"/>
      <c r="AW55" s="1004"/>
      <c r="AX55" s="465"/>
      <c r="AY55" s="467"/>
      <c r="AZ55" s="464"/>
      <c r="BA55" s="1165"/>
      <c r="BB55" s="465"/>
      <c r="BC55" s="467"/>
      <c r="BD55" s="464">
        <f>BD142</f>
        <v>-424</v>
      </c>
      <c r="BE55" s="468"/>
      <c r="BF55" s="468"/>
      <c r="BG55" s="1019"/>
      <c r="BH55" s="464"/>
      <c r="BI55" s="468"/>
      <c r="BJ55" s="468"/>
      <c r="BK55" s="1019"/>
      <c r="BL55" s="35"/>
      <c r="BM55" s="468"/>
      <c r="BN55" s="468"/>
      <c r="BO55" s="468"/>
      <c r="BP55" s="468"/>
      <c r="BQ55" s="468"/>
      <c r="BR55" s="468"/>
      <c r="BS55" s="468"/>
      <c r="BT55" s="470"/>
      <c r="BU55" s="468">
        <f>+AM55</f>
        <v>0</v>
      </c>
      <c r="BV55" s="451">
        <f>SUM(AN55:AQ55)</f>
        <v>0</v>
      </c>
      <c r="BW55" s="451">
        <f>SUM(AR55:AU55)</f>
        <v>0</v>
      </c>
      <c r="BX55" s="451">
        <f>SUM(AV55:AY55)</f>
        <v>0</v>
      </c>
      <c r="BY55" s="690">
        <f>SUM(AZ55:BC55)</f>
        <v>0</v>
      </c>
      <c r="BZ55" s="690">
        <f>SUM(BD55:BG55)</f>
        <v>-424</v>
      </c>
      <c r="CA55" s="690">
        <f>SUM(BH55:BK55)</f>
        <v>0</v>
      </c>
      <c r="CB55" s="1190"/>
      <c r="CC55" s="691"/>
      <c r="CD55" s="626"/>
      <c r="CE55" s="626"/>
    </row>
    <row r="56" spans="1:83" ht="14.25" customHeight="1">
      <c r="A56" s="18"/>
      <c r="B56" s="462" t="str">
        <f t="shared" si="236"/>
        <v>Net increase (decrease) in cash and cash equivalents</v>
      </c>
      <c r="C56" s="463"/>
      <c r="D56" s="464">
        <f t="shared" ref="D56:AP56" si="325">D50+D41+D27+D52</f>
        <v>872</v>
      </c>
      <c r="E56" s="465">
        <f t="shared" si="325"/>
        <v>-304</v>
      </c>
      <c r="F56" s="465">
        <f t="shared" si="325"/>
        <v>-118</v>
      </c>
      <c r="G56" s="467">
        <f t="shared" si="325"/>
        <v>-1533</v>
      </c>
      <c r="H56" s="464">
        <f t="shared" si="325"/>
        <v>-3376</v>
      </c>
      <c r="I56" s="465">
        <f t="shared" si="325"/>
        <v>-512</v>
      </c>
      <c r="J56" s="465">
        <f t="shared" si="325"/>
        <v>1033</v>
      </c>
      <c r="K56" s="467">
        <f t="shared" si="325"/>
        <v>2129</v>
      </c>
      <c r="L56" s="464">
        <f t="shared" si="325"/>
        <v>-2126</v>
      </c>
      <c r="M56" s="465">
        <f t="shared" si="325"/>
        <v>237</v>
      </c>
      <c r="N56" s="465">
        <f t="shared" si="325"/>
        <v>1135</v>
      </c>
      <c r="O56" s="467">
        <f t="shared" si="325"/>
        <v>1463</v>
      </c>
      <c r="P56" s="464">
        <f t="shared" si="325"/>
        <v>-1424</v>
      </c>
      <c r="Q56" s="465">
        <f t="shared" si="325"/>
        <v>-1804</v>
      </c>
      <c r="R56" s="465">
        <f t="shared" si="325"/>
        <v>-375</v>
      </c>
      <c r="S56" s="467">
        <f t="shared" si="325"/>
        <v>-354</v>
      </c>
      <c r="T56" s="464">
        <f t="shared" si="325"/>
        <v>186</v>
      </c>
      <c r="U56" s="465">
        <f t="shared" si="325"/>
        <v>290</v>
      </c>
      <c r="V56" s="465">
        <f t="shared" si="325"/>
        <v>283</v>
      </c>
      <c r="W56" s="467">
        <f t="shared" si="325"/>
        <v>-122</v>
      </c>
      <c r="X56" s="464">
        <f t="shared" si="325"/>
        <v>1001</v>
      </c>
      <c r="Y56" s="465">
        <f t="shared" si="325"/>
        <v>526</v>
      </c>
      <c r="Z56" s="465">
        <f t="shared" si="325"/>
        <v>3</v>
      </c>
      <c r="AA56" s="467">
        <f t="shared" si="325"/>
        <v>-19</v>
      </c>
      <c r="AB56" s="465">
        <f t="shared" si="325"/>
        <v>-1310</v>
      </c>
      <c r="AC56" s="465">
        <f t="shared" si="325"/>
        <v>447</v>
      </c>
      <c r="AD56" s="465">
        <f t="shared" si="325"/>
        <v>2422</v>
      </c>
      <c r="AE56" s="467">
        <f t="shared" si="325"/>
        <v>-1992</v>
      </c>
      <c r="AF56" s="465">
        <f t="shared" si="325"/>
        <v>-636</v>
      </c>
      <c r="AG56" s="465">
        <f t="shared" si="325"/>
        <v>794</v>
      </c>
      <c r="AH56" s="465">
        <f t="shared" si="325"/>
        <v>-1703</v>
      </c>
      <c r="AI56" s="467">
        <f t="shared" si="325"/>
        <v>4958</v>
      </c>
      <c r="AJ56" s="465">
        <f t="shared" si="325"/>
        <v>-2780</v>
      </c>
      <c r="AK56" s="465">
        <f>AK50+AK41+AK27+AK52</f>
        <v>-1920</v>
      </c>
      <c r="AL56" s="465">
        <f>AL50+AL41+AL27+AL52</f>
        <v>1103</v>
      </c>
      <c r="AM56" s="465">
        <f>AM50+AM41+AM27+AM52</f>
        <v>793</v>
      </c>
      <c r="AN56" s="464">
        <f>AN50+AN41+AN27+AN52</f>
        <v>-897</v>
      </c>
      <c r="AO56" s="465">
        <f>AO50+AO41+AO27+AO52</f>
        <v>-1728</v>
      </c>
      <c r="AP56" s="465">
        <f t="shared" si="325"/>
        <v>94</v>
      </c>
      <c r="AQ56" s="467">
        <f t="shared" ref="AQ56" si="326">AQ50+AQ41+AQ27+AQ52</f>
        <v>-582</v>
      </c>
      <c r="AR56" s="464">
        <f>AR50+AR41+AR27+AR52</f>
        <v>1683</v>
      </c>
      <c r="AS56" s="465">
        <f>AS50+AS41+AS27+AS52</f>
        <v>210</v>
      </c>
      <c r="AT56" s="465">
        <f t="shared" ref="AT56:AU56" si="327">AT50+AT41+AT27+AT52</f>
        <v>2611</v>
      </c>
      <c r="AU56" s="467">
        <f t="shared" si="327"/>
        <v>8243</v>
      </c>
      <c r="AV56" s="464">
        <f>AV50+AV41+AV27+AV52</f>
        <v>-12247</v>
      </c>
      <c r="AW56" s="465">
        <f>AW50+AW41+AW27+AW52</f>
        <v>824</v>
      </c>
      <c r="AX56" s="465">
        <f t="shared" ref="AX56:AY56" si="328">AX50+AX41+AX27+AX52</f>
        <v>867</v>
      </c>
      <c r="AY56" s="467">
        <f t="shared" si="328"/>
        <v>808</v>
      </c>
      <c r="AZ56" s="464">
        <f>AZ50+AZ41+AZ27+AZ52</f>
        <v>-626</v>
      </c>
      <c r="BA56" s="465">
        <f>BA50+BA41+BA27+BA52</f>
        <v>6753</v>
      </c>
      <c r="BB56" s="465">
        <f t="shared" ref="BB56:BC56" si="329">BB50+BB41+BB27+BB52</f>
        <v>-2612</v>
      </c>
      <c r="BC56" s="467">
        <f t="shared" si="329"/>
        <v>-5642</v>
      </c>
      <c r="BD56" s="464">
        <f t="shared" ref="BD56:BG56" si="330">BD50+BD41+BD27+BD52</f>
        <v>545</v>
      </c>
      <c r="BE56" s="465">
        <f t="shared" si="330"/>
        <v>1774.8935123566007</v>
      </c>
      <c r="BF56" s="465">
        <f t="shared" si="330"/>
        <v>1601.2259135170571</v>
      </c>
      <c r="BG56" s="1018">
        <f t="shared" si="330"/>
        <v>2304.9936520649953</v>
      </c>
      <c r="BH56" s="464">
        <f t="shared" ref="BH56:BK56" si="331">BH50+BH41+BH27+BH52</f>
        <v>2537.9893844437884</v>
      </c>
      <c r="BI56" s="465">
        <f t="shared" si="331"/>
        <v>1094.5287659891001</v>
      </c>
      <c r="BJ56" s="465">
        <f t="shared" si="331"/>
        <v>1175.6816691364811</v>
      </c>
      <c r="BK56" s="1018">
        <f t="shared" si="331"/>
        <v>2172.0611764656715</v>
      </c>
      <c r="BL56" s="35"/>
      <c r="BM56" s="465">
        <f>SUM(D56:G56)</f>
        <v>-1083</v>
      </c>
      <c r="BN56" s="465">
        <f>SUM(H56:K56)</f>
        <v>-726</v>
      </c>
      <c r="BO56" s="465">
        <f>SUM(L56:O56)</f>
        <v>709</v>
      </c>
      <c r="BP56" s="465">
        <f>SUM(P56:S56)</f>
        <v>-3957</v>
      </c>
      <c r="BQ56" s="465">
        <f>SUM(T56:W56)</f>
        <v>637</v>
      </c>
      <c r="BR56" s="465">
        <f>SUM(X56:AA56)</f>
        <v>1511</v>
      </c>
      <c r="BS56" s="465">
        <f>SUM(AB56:AE56)</f>
        <v>-433</v>
      </c>
      <c r="BT56" s="464">
        <f>SUM(AF56:AI56)</f>
        <v>3413</v>
      </c>
      <c r="BU56" s="465">
        <f>SUM(AJ56:AM56)</f>
        <v>-2804</v>
      </c>
      <c r="BV56" s="465">
        <f>SUM(AN56:AQ56)</f>
        <v>-3113</v>
      </c>
      <c r="BW56" s="465">
        <f>SUM(AR56:AU56)</f>
        <v>12747</v>
      </c>
      <c r="BX56" s="465">
        <f>SUM(AV56:AY56)</f>
        <v>-9748</v>
      </c>
      <c r="BY56" s="465">
        <f>SUM(AZ56:BC56)</f>
        <v>-2127</v>
      </c>
      <c r="BZ56" s="465">
        <f>SUM(BD56:BG56)</f>
        <v>6226.1130779386531</v>
      </c>
      <c r="CA56" s="465">
        <f>SUM(BH56:BK56)</f>
        <v>6980.260996035041</v>
      </c>
      <c r="CB56" s="1185">
        <f>CB50+CB41+CB27+CB52</f>
        <v>7976.3839341920248</v>
      </c>
      <c r="CC56" s="691"/>
      <c r="CD56" s="626"/>
      <c r="CE56" s="626"/>
    </row>
    <row r="57" spans="1:83" ht="14.25" customHeight="1">
      <c r="A57" s="18"/>
      <c r="B57" s="471" t="str">
        <f t="shared" si="236"/>
        <v>Cash and cash equivalents, end of period</v>
      </c>
      <c r="C57" s="472"/>
      <c r="D57" s="473">
        <f t="shared" ref="D57:V57" si="332">D56+D54+D55</f>
        <v>9279</v>
      </c>
      <c r="E57" s="474">
        <f t="shared" si="332"/>
        <v>8975</v>
      </c>
      <c r="F57" s="474">
        <f t="shared" si="332"/>
        <v>8857</v>
      </c>
      <c r="G57" s="475">
        <f t="shared" si="332"/>
        <v>7324</v>
      </c>
      <c r="H57" s="473">
        <f t="shared" si="332"/>
        <v>3948</v>
      </c>
      <c r="I57" s="474">
        <f t="shared" si="332"/>
        <v>3436</v>
      </c>
      <c r="J57" s="474">
        <f t="shared" si="332"/>
        <v>4469</v>
      </c>
      <c r="K57" s="475">
        <f t="shared" si="332"/>
        <v>6598</v>
      </c>
      <c r="L57" s="473">
        <f t="shared" si="332"/>
        <v>4472</v>
      </c>
      <c r="M57" s="474">
        <f t="shared" si="332"/>
        <v>4709</v>
      </c>
      <c r="N57" s="474">
        <f t="shared" si="332"/>
        <v>5844</v>
      </c>
      <c r="O57" s="475">
        <f t="shared" si="332"/>
        <v>7307</v>
      </c>
      <c r="P57" s="473">
        <f t="shared" si="332"/>
        <v>5883</v>
      </c>
      <c r="Q57" s="474">
        <f t="shared" si="332"/>
        <v>4079</v>
      </c>
      <c r="R57" s="474">
        <f t="shared" si="332"/>
        <v>3704</v>
      </c>
      <c r="S57" s="475">
        <f t="shared" si="332"/>
        <v>3350</v>
      </c>
      <c r="T57" s="473">
        <f t="shared" si="332"/>
        <v>3536</v>
      </c>
      <c r="U57" s="474">
        <f t="shared" si="332"/>
        <v>3826</v>
      </c>
      <c r="V57" s="474">
        <f t="shared" si="332"/>
        <v>4109</v>
      </c>
      <c r="W57" s="475">
        <f>W56+W54+W55</f>
        <v>3987</v>
      </c>
      <c r="X57" s="473">
        <f>X56+X54+X55</f>
        <v>4988</v>
      </c>
      <c r="Y57" s="474">
        <f>Y56+Y54+Y55</f>
        <v>5514</v>
      </c>
      <c r="Z57" s="474">
        <f>Z56+Z54+Z55</f>
        <v>5517</v>
      </c>
      <c r="AA57" s="475">
        <f>AA56+AA54+AA55</f>
        <v>5498</v>
      </c>
      <c r="AB57" s="474">
        <f t="shared" ref="AB57:AP57" si="333">AB56+AB54+AB55</f>
        <v>4188</v>
      </c>
      <c r="AC57" s="474">
        <f t="shared" si="333"/>
        <v>4635</v>
      </c>
      <c r="AD57" s="474">
        <f t="shared" si="333"/>
        <v>7057</v>
      </c>
      <c r="AE57" s="475">
        <f>AE56+AE54+AE55</f>
        <v>5065</v>
      </c>
      <c r="AF57" s="474">
        <f t="shared" si="333"/>
        <v>4429</v>
      </c>
      <c r="AG57" s="474">
        <f t="shared" si="333"/>
        <v>5223</v>
      </c>
      <c r="AH57" s="474">
        <f t="shared" si="333"/>
        <v>3520</v>
      </c>
      <c r="AI57" s="475">
        <f>AI56+AI54+AI55</f>
        <v>8478</v>
      </c>
      <c r="AJ57" s="474">
        <f t="shared" si="333"/>
        <v>5698</v>
      </c>
      <c r="AK57" s="474">
        <f t="shared" si="333"/>
        <v>3778</v>
      </c>
      <c r="AL57" s="474">
        <f t="shared" si="333"/>
        <v>4881</v>
      </c>
      <c r="AM57" s="474">
        <f>AM56+AM54+AM55</f>
        <v>5674</v>
      </c>
      <c r="AN57" s="473">
        <f>AN56+AN54+AN55</f>
        <v>4777</v>
      </c>
      <c r="AO57" s="474">
        <f>AO56+AO54+AO55</f>
        <v>3049</v>
      </c>
      <c r="AP57" s="474">
        <f t="shared" si="333"/>
        <v>3143</v>
      </c>
      <c r="AQ57" s="475">
        <f t="shared" ref="AQ57" si="334">AQ56+AQ54+AQ55</f>
        <v>2561</v>
      </c>
      <c r="AR57" s="473">
        <f>AR56+AR54+AR55</f>
        <v>4244</v>
      </c>
      <c r="AS57" s="474">
        <f>AS56+AS54+AS55</f>
        <v>4454</v>
      </c>
      <c r="AT57" s="474">
        <f t="shared" ref="AT57:AU57" si="335">AT56+AT54+AT55</f>
        <v>7065</v>
      </c>
      <c r="AU57" s="475">
        <f t="shared" si="335"/>
        <v>15308</v>
      </c>
      <c r="AV57" s="473">
        <f>AV56+AV54+AV55</f>
        <v>3061</v>
      </c>
      <c r="AW57" s="474">
        <f>AW56+AW54+AW55</f>
        <v>3885</v>
      </c>
      <c r="AX57" s="474">
        <f t="shared" ref="AX57:AY57" si="336">AX56+AX54+AX55</f>
        <v>4752</v>
      </c>
      <c r="AY57" s="475">
        <f t="shared" si="336"/>
        <v>5560</v>
      </c>
      <c r="AZ57" s="473">
        <f>AZ56+AZ54+AZ55</f>
        <v>4934</v>
      </c>
      <c r="BA57" s="474">
        <f>BA56+BA54+BA55</f>
        <v>11687</v>
      </c>
      <c r="BB57" s="474">
        <f t="shared" ref="BB57:BC57" si="337">BB56+BB54+BB55</f>
        <v>9075</v>
      </c>
      <c r="BC57" s="475">
        <f t="shared" si="337"/>
        <v>3433</v>
      </c>
      <c r="BD57" s="473">
        <f t="shared" ref="BD57:BG57" si="338">BD56+BD54+BD55</f>
        <v>3554</v>
      </c>
      <c r="BE57" s="474">
        <f t="shared" si="338"/>
        <v>5328.8935123566007</v>
      </c>
      <c r="BF57" s="474">
        <f t="shared" si="338"/>
        <v>6930.1194258736577</v>
      </c>
      <c r="BG57" s="475">
        <f t="shared" si="338"/>
        <v>9235.1130779386531</v>
      </c>
      <c r="BH57" s="473">
        <f t="shared" ref="BH57:BK57" si="339">BH56+BH54+BH55</f>
        <v>11773.102462382441</v>
      </c>
      <c r="BI57" s="474">
        <f t="shared" si="339"/>
        <v>12867.631228371542</v>
      </c>
      <c r="BJ57" s="474">
        <f t="shared" si="339"/>
        <v>14043.312897508022</v>
      </c>
      <c r="BK57" s="475">
        <f t="shared" si="339"/>
        <v>16215.374073973693</v>
      </c>
      <c r="BL57" s="35"/>
      <c r="BM57" s="474">
        <f t="shared" ref="BM57:BY57" si="340">BM56+BM54+BM55</f>
        <v>7324</v>
      </c>
      <c r="BN57" s="474">
        <f t="shared" si="340"/>
        <v>6598</v>
      </c>
      <c r="BO57" s="474">
        <f t="shared" si="340"/>
        <v>7307</v>
      </c>
      <c r="BP57" s="474">
        <f t="shared" si="340"/>
        <v>3350</v>
      </c>
      <c r="BQ57" s="474">
        <f t="shared" si="340"/>
        <v>3987</v>
      </c>
      <c r="BR57" s="474">
        <f t="shared" si="340"/>
        <v>5498</v>
      </c>
      <c r="BS57" s="474">
        <f t="shared" si="340"/>
        <v>5065</v>
      </c>
      <c r="BT57" s="473">
        <f t="shared" si="340"/>
        <v>8478</v>
      </c>
      <c r="BU57" s="474">
        <f t="shared" si="340"/>
        <v>5674</v>
      </c>
      <c r="BV57" s="474">
        <f t="shared" si="340"/>
        <v>2561</v>
      </c>
      <c r="BW57" s="474">
        <f>BW56+BW54+BW55</f>
        <v>15308</v>
      </c>
      <c r="BX57" s="474">
        <f t="shared" si="340"/>
        <v>5560</v>
      </c>
      <c r="BY57" s="474">
        <f t="shared" si="340"/>
        <v>3433</v>
      </c>
      <c r="BZ57" s="474">
        <f t="shared" ref="BZ57:CB57" si="341">BZ56+BZ54+BZ55</f>
        <v>9235.1130779386531</v>
      </c>
      <c r="CA57" s="474">
        <f t="shared" si="341"/>
        <v>16215.374073973693</v>
      </c>
      <c r="CB57" s="475">
        <f t="shared" si="341"/>
        <v>24191.758008165718</v>
      </c>
      <c r="CC57" s="691"/>
      <c r="CD57" s="626"/>
      <c r="CE57" s="626"/>
    </row>
    <row r="58" spans="1:83" ht="14.25" customHeight="1">
      <c r="A58" s="18"/>
      <c r="B58" s="476"/>
      <c r="C58" s="477"/>
      <c r="D58" s="465"/>
      <c r="E58" s="465"/>
      <c r="F58" s="465"/>
      <c r="G58" s="465"/>
      <c r="H58" s="465"/>
      <c r="I58" s="465"/>
      <c r="J58" s="465"/>
      <c r="K58" s="465"/>
      <c r="L58" s="465"/>
      <c r="M58" s="465"/>
      <c r="N58" s="465"/>
      <c r="O58" s="465"/>
      <c r="P58" s="465"/>
      <c r="Q58" s="465"/>
      <c r="R58" s="465"/>
      <c r="S58" s="465"/>
      <c r="T58" s="465"/>
      <c r="U58" s="465"/>
      <c r="V58" s="465"/>
      <c r="W58" s="465"/>
      <c r="X58" s="465"/>
      <c r="Y58" s="465"/>
      <c r="Z58" s="465"/>
      <c r="AA58" s="465"/>
      <c r="AB58" s="465"/>
      <c r="AC58" s="465"/>
      <c r="AD58" s="465"/>
      <c r="AE58" s="465"/>
      <c r="AF58" s="465"/>
      <c r="AG58" s="465"/>
      <c r="AH58" s="465"/>
      <c r="AI58" s="465"/>
      <c r="AJ58" s="465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65"/>
      <c r="AV58" s="465"/>
      <c r="AW58" s="465"/>
      <c r="AX58" s="465"/>
      <c r="AY58" s="465"/>
      <c r="AZ58" s="465"/>
      <c r="BA58" s="465"/>
      <c r="BB58" s="465"/>
      <c r="BC58" s="465"/>
      <c r="BD58" s="465"/>
      <c r="BE58" s="465"/>
      <c r="BF58" s="465"/>
      <c r="BG58" s="599"/>
      <c r="BH58" s="465"/>
      <c r="BI58" s="465"/>
      <c r="BJ58" s="465"/>
      <c r="BK58" s="599"/>
      <c r="BL58" s="26"/>
      <c r="BM58" s="478"/>
      <c r="BN58" s="478"/>
      <c r="BO58" s="478"/>
      <c r="BP58" s="478"/>
      <c r="BQ58" s="478"/>
      <c r="BR58" s="478"/>
      <c r="BS58" s="478"/>
      <c r="BT58" s="478"/>
      <c r="BU58" s="478"/>
      <c r="BV58" s="478"/>
      <c r="BW58" s="478"/>
      <c r="BX58" s="478"/>
      <c r="BY58" s="478"/>
      <c r="BZ58" s="478"/>
      <c r="CA58" s="478"/>
      <c r="CB58" s="478"/>
      <c r="CC58" s="626"/>
      <c r="CD58" s="626"/>
      <c r="CE58" s="626"/>
    </row>
    <row r="59" spans="1:83" ht="14.25" customHeight="1">
      <c r="A59" s="18"/>
      <c r="B59" s="307" t="str">
        <f t="shared" si="236"/>
        <v>vs. Balance Sheet</v>
      </c>
      <c r="C59" s="413"/>
      <c r="D59" s="375">
        <f>BS!D9</f>
        <v>9279</v>
      </c>
      <c r="E59" s="373">
        <f>BS!E9</f>
        <v>8975</v>
      </c>
      <c r="F59" s="373">
        <f>BS!F9</f>
        <v>8857</v>
      </c>
      <c r="G59" s="376">
        <f>BS!G9</f>
        <v>7324</v>
      </c>
      <c r="H59" s="375">
        <f>BS!H9</f>
        <v>3948</v>
      </c>
      <c r="I59" s="373">
        <f>BS!I9</f>
        <v>3436</v>
      </c>
      <c r="J59" s="373">
        <f>BS!J9</f>
        <v>4469</v>
      </c>
      <c r="K59" s="376">
        <f>BS!K9</f>
        <v>6598</v>
      </c>
      <c r="L59" s="375">
        <f>BS!L9</f>
        <v>4472</v>
      </c>
      <c r="M59" s="373">
        <f>BS!M9</f>
        <v>4709</v>
      </c>
      <c r="N59" s="373">
        <f>BS!N9</f>
        <v>5844</v>
      </c>
      <c r="O59" s="376">
        <f>BS!O9</f>
        <v>7307</v>
      </c>
      <c r="P59" s="375">
        <f>BS!P9</f>
        <v>5883</v>
      </c>
      <c r="Q59" s="373">
        <f>BS!Q9</f>
        <v>4079</v>
      </c>
      <c r="R59" s="373">
        <f>BS!R9</f>
        <v>3704</v>
      </c>
      <c r="S59" s="376">
        <f>BS!S9</f>
        <v>3350</v>
      </c>
      <c r="T59" s="375">
        <f>BS!T9</f>
        <v>3536</v>
      </c>
      <c r="U59" s="373">
        <f>BS!U9</f>
        <v>3826</v>
      </c>
      <c r="V59" s="373">
        <f>BS!V9</f>
        <v>4109</v>
      </c>
      <c r="W59" s="376">
        <f>BS!W9</f>
        <v>3987</v>
      </c>
      <c r="X59" s="375">
        <f>BS!X9</f>
        <v>4988</v>
      </c>
      <c r="Y59" s="373">
        <f>BS!Y9</f>
        <v>5514</v>
      </c>
      <c r="Z59" s="373">
        <f>BS!Z9</f>
        <v>5517</v>
      </c>
      <c r="AA59" s="376">
        <f>BS!AA9</f>
        <v>5498</v>
      </c>
      <c r="AB59" s="373">
        <f>BS!AB9</f>
        <v>4188</v>
      </c>
      <c r="AC59" s="373">
        <f>BS!AC9</f>
        <v>4635</v>
      </c>
      <c r="AD59" s="373">
        <f>BS!AD9</f>
        <v>7057</v>
      </c>
      <c r="AE59" s="374">
        <f>BS!AE9</f>
        <v>5065</v>
      </c>
      <c r="AF59" s="373">
        <f>BS!AF9</f>
        <v>4429</v>
      </c>
      <c r="AG59" s="373">
        <f>BS!AG9</f>
        <v>5223</v>
      </c>
      <c r="AH59" s="373">
        <f>BS!AH9</f>
        <v>3520</v>
      </c>
      <c r="AI59" s="374">
        <f>BS!AI9</f>
        <v>8478</v>
      </c>
      <c r="AJ59" s="373">
        <f>BS!AJ9</f>
        <v>5698</v>
      </c>
      <c r="AK59" s="373">
        <f>BS!AK9</f>
        <v>3778</v>
      </c>
      <c r="AL59" s="373">
        <f>BS!AL9</f>
        <v>4881</v>
      </c>
      <c r="AM59" s="374">
        <f>BS!AM9</f>
        <v>5674</v>
      </c>
      <c r="AN59" s="373">
        <f>BS!AN9</f>
        <v>4777</v>
      </c>
      <c r="AO59" s="373">
        <f>BS!AO9</f>
        <v>3049</v>
      </c>
      <c r="AP59" s="373">
        <f>BS!AP9</f>
        <v>3143</v>
      </c>
      <c r="AQ59" s="374">
        <f>BS!AQ9</f>
        <v>2561</v>
      </c>
      <c r="AR59" s="373">
        <f>BS!AR9</f>
        <v>4244</v>
      </c>
      <c r="AS59" s="373">
        <f>BS!AS9</f>
        <v>4454</v>
      </c>
      <c r="AT59" s="373">
        <f>BS!AT9</f>
        <v>7065</v>
      </c>
      <c r="AU59" s="374">
        <f>BS!AU9</f>
        <v>15308</v>
      </c>
      <c r="AV59" s="373">
        <f>BS!AV9</f>
        <v>3061</v>
      </c>
      <c r="AW59" s="373">
        <f>BS!AW9</f>
        <v>3885</v>
      </c>
      <c r="AX59" s="373">
        <f>BS!AX9</f>
        <v>4752</v>
      </c>
      <c r="AY59" s="374">
        <f>BS!AY9</f>
        <v>5560</v>
      </c>
      <c r="AZ59" s="373">
        <f>BS!AZ9</f>
        <v>4934</v>
      </c>
      <c r="BA59" s="373">
        <f>BS!BA9</f>
        <v>11687</v>
      </c>
      <c r="BB59" s="373">
        <f>BS!BB9</f>
        <v>9075</v>
      </c>
      <c r="BC59" s="374">
        <f>BS!BC9</f>
        <v>3433</v>
      </c>
      <c r="BD59" s="373">
        <f>BS!BD9</f>
        <v>3554</v>
      </c>
      <c r="BE59" s="373">
        <f>BS!BE9</f>
        <v>5328.8935123566007</v>
      </c>
      <c r="BF59" s="373">
        <f>BS!BF9</f>
        <v>6930.1194258736577</v>
      </c>
      <c r="BG59" s="600">
        <f>BS!BG9</f>
        <v>9235.1130779386531</v>
      </c>
      <c r="BH59" s="373">
        <f>BS!BH9</f>
        <v>11773.102462382441</v>
      </c>
      <c r="BI59" s="373">
        <f>BS!BI9</f>
        <v>12867.631228371542</v>
      </c>
      <c r="BJ59" s="373">
        <f>BS!BJ9</f>
        <v>14043.312897508022</v>
      </c>
      <c r="BK59" s="600">
        <f>BS!BK9</f>
        <v>16215.374073973693</v>
      </c>
      <c r="BL59" s="35"/>
      <c r="BM59" s="479">
        <f>BS!BM9</f>
        <v>7324</v>
      </c>
      <c r="BN59" s="479">
        <f>BS!BN9</f>
        <v>6598</v>
      </c>
      <c r="BO59" s="479">
        <f>BS!BO9</f>
        <v>7307</v>
      </c>
      <c r="BP59" s="479">
        <f>BS!BP9</f>
        <v>3350</v>
      </c>
      <c r="BQ59" s="479">
        <f>BS!BQ9</f>
        <v>3987</v>
      </c>
      <c r="BR59" s="479">
        <f>BS!BR9</f>
        <v>5498</v>
      </c>
      <c r="BS59" s="479">
        <f>BS!BS9</f>
        <v>5065</v>
      </c>
      <c r="BT59" s="479">
        <f>BS!BT9</f>
        <v>8478</v>
      </c>
      <c r="BU59" s="479">
        <f>BS!BU9</f>
        <v>5674</v>
      </c>
      <c r="BV59" s="479">
        <f>BS!BV9</f>
        <v>2561</v>
      </c>
      <c r="BW59" s="479">
        <f>BS!BW9</f>
        <v>15308</v>
      </c>
      <c r="BX59" s="479">
        <f>BS!BX9</f>
        <v>5560</v>
      </c>
      <c r="BY59" s="479">
        <f>BS!BY9</f>
        <v>3433</v>
      </c>
      <c r="BZ59" s="479">
        <f>BS!BZ9</f>
        <v>9235.1130779386531</v>
      </c>
      <c r="CA59" s="479">
        <f>BS!CA9</f>
        <v>16215.374073973693</v>
      </c>
      <c r="CB59" s="1213">
        <f>BS!CB9</f>
        <v>24191.758008165718</v>
      </c>
      <c r="CC59" s="691"/>
      <c r="CD59" s="626"/>
      <c r="CE59" s="626"/>
    </row>
    <row r="60" spans="1:83" ht="14.25" customHeight="1">
      <c r="A60" s="18"/>
      <c r="B60" s="330" t="str">
        <f t="shared" si="236"/>
        <v>Check</v>
      </c>
      <c r="C60" s="331"/>
      <c r="D60" s="332">
        <f t="shared" ref="D60:AP60" si="342">IF(ROUND(D59,4)=ROUND(D57,4),0,(D59-D57))</f>
        <v>0</v>
      </c>
      <c r="E60" s="333">
        <f t="shared" si="342"/>
        <v>0</v>
      </c>
      <c r="F60" s="333">
        <f t="shared" si="342"/>
        <v>0</v>
      </c>
      <c r="G60" s="334">
        <f t="shared" si="342"/>
        <v>0</v>
      </c>
      <c r="H60" s="332">
        <f t="shared" si="342"/>
        <v>0</v>
      </c>
      <c r="I60" s="333">
        <f t="shared" si="342"/>
        <v>0</v>
      </c>
      <c r="J60" s="333">
        <f t="shared" si="342"/>
        <v>0</v>
      </c>
      <c r="K60" s="334">
        <f t="shared" si="342"/>
        <v>0</v>
      </c>
      <c r="L60" s="332">
        <f t="shared" si="342"/>
        <v>0</v>
      </c>
      <c r="M60" s="333">
        <f t="shared" si="342"/>
        <v>0</v>
      </c>
      <c r="N60" s="333">
        <f t="shared" si="342"/>
        <v>0</v>
      </c>
      <c r="O60" s="334">
        <f t="shared" si="342"/>
        <v>0</v>
      </c>
      <c r="P60" s="332">
        <f t="shared" si="342"/>
        <v>0</v>
      </c>
      <c r="Q60" s="333">
        <f t="shared" si="342"/>
        <v>0</v>
      </c>
      <c r="R60" s="333">
        <f t="shared" si="342"/>
        <v>0</v>
      </c>
      <c r="S60" s="334">
        <f t="shared" si="342"/>
        <v>0</v>
      </c>
      <c r="T60" s="332">
        <f t="shared" si="342"/>
        <v>0</v>
      </c>
      <c r="U60" s="333">
        <f t="shared" si="342"/>
        <v>0</v>
      </c>
      <c r="V60" s="333">
        <f t="shared" si="342"/>
        <v>0</v>
      </c>
      <c r="W60" s="334">
        <f t="shared" si="342"/>
        <v>0</v>
      </c>
      <c r="X60" s="332">
        <f t="shared" si="342"/>
        <v>0</v>
      </c>
      <c r="Y60" s="333">
        <f t="shared" si="342"/>
        <v>0</v>
      </c>
      <c r="Z60" s="333">
        <f t="shared" si="342"/>
        <v>0</v>
      </c>
      <c r="AA60" s="334">
        <f t="shared" si="342"/>
        <v>0</v>
      </c>
      <c r="AB60" s="332">
        <f t="shared" si="342"/>
        <v>0</v>
      </c>
      <c r="AC60" s="333">
        <f t="shared" si="342"/>
        <v>0</v>
      </c>
      <c r="AD60" s="333">
        <f t="shared" si="342"/>
        <v>0</v>
      </c>
      <c r="AE60" s="334">
        <f t="shared" si="342"/>
        <v>0</v>
      </c>
      <c r="AF60" s="332">
        <f t="shared" si="342"/>
        <v>0</v>
      </c>
      <c r="AG60" s="333">
        <f t="shared" si="342"/>
        <v>0</v>
      </c>
      <c r="AH60" s="333">
        <f t="shared" si="342"/>
        <v>0</v>
      </c>
      <c r="AI60" s="334">
        <f t="shared" si="342"/>
        <v>0</v>
      </c>
      <c r="AJ60" s="332">
        <f t="shared" si="342"/>
        <v>0</v>
      </c>
      <c r="AK60" s="333">
        <f t="shared" si="342"/>
        <v>0</v>
      </c>
      <c r="AL60" s="333">
        <f t="shared" si="342"/>
        <v>0</v>
      </c>
      <c r="AM60" s="334">
        <f t="shared" si="342"/>
        <v>0</v>
      </c>
      <c r="AN60" s="332">
        <f>IF(ROUND(AN59,4)=ROUND(AN57,4),0,(AN59-AN57))</f>
        <v>0</v>
      </c>
      <c r="AO60" s="333">
        <f>IF(ROUND(AO59,4)=ROUND(AO57,4),0,(AO59-AO57))</f>
        <v>0</v>
      </c>
      <c r="AP60" s="333">
        <f t="shared" si="342"/>
        <v>0</v>
      </c>
      <c r="AQ60" s="334">
        <f t="shared" ref="AQ60:AY60" si="343">IF(ROUND(AQ59,4)=ROUND(AQ57,4),0,(AQ59-AQ57))</f>
        <v>0</v>
      </c>
      <c r="AR60" s="332">
        <f>IF(ROUND(AR59,4)=ROUND(AR57,4),0,(AR59-AR57))</f>
        <v>0</v>
      </c>
      <c r="AS60" s="333">
        <f>IF(ROUND(AS59,4)=ROUND(AS57,4),0,(AS59-AS57))</f>
        <v>0</v>
      </c>
      <c r="AT60" s="333">
        <f t="shared" ref="AT60:AU60" si="344">IF(ROUND(AT59,4)=ROUND(AT57,4),0,(AT59-AT57))</f>
        <v>0</v>
      </c>
      <c r="AU60" s="334">
        <f t="shared" si="344"/>
        <v>0</v>
      </c>
      <c r="AV60" s="332">
        <f>IF(ROUND(AV59,4)=ROUND(AV57,4),0,(AV59-AV57))</f>
        <v>0</v>
      </c>
      <c r="AW60" s="333">
        <f t="shared" si="343"/>
        <v>0</v>
      </c>
      <c r="AX60" s="333">
        <f t="shared" si="343"/>
        <v>0</v>
      </c>
      <c r="AY60" s="334">
        <f t="shared" si="343"/>
        <v>0</v>
      </c>
      <c r="AZ60" s="332">
        <f>IF(ROUND(AZ59,4)=ROUND(AZ57,4),0,(AZ59-AZ57))</f>
        <v>0</v>
      </c>
      <c r="BA60" s="333">
        <f t="shared" ref="BA60:BC60" si="345">IF(ROUND(BA59,4)=ROUND(BA57,4),0,(BA59-BA57))</f>
        <v>0</v>
      </c>
      <c r="BB60" s="333">
        <f t="shared" si="345"/>
        <v>0</v>
      </c>
      <c r="BC60" s="334">
        <f t="shared" si="345"/>
        <v>0</v>
      </c>
      <c r="BD60" s="332">
        <f t="shared" ref="BD60:BG60" si="346">IF(ROUND(BD59,4)=ROUND(BD57,4),0,(BD59-BD57))</f>
        <v>0</v>
      </c>
      <c r="BE60" s="333">
        <f t="shared" si="346"/>
        <v>0</v>
      </c>
      <c r="BF60" s="333">
        <f t="shared" si="346"/>
        <v>0</v>
      </c>
      <c r="BG60" s="601">
        <f t="shared" si="346"/>
        <v>0</v>
      </c>
      <c r="BH60" s="332">
        <f t="shared" ref="BH60:BK60" si="347">IF(ROUND(BH59,4)=ROUND(BH57,4),0,(BH59-BH57))</f>
        <v>0</v>
      </c>
      <c r="BI60" s="333">
        <f t="shared" si="347"/>
        <v>0</v>
      </c>
      <c r="BJ60" s="333">
        <f t="shared" si="347"/>
        <v>0</v>
      </c>
      <c r="BK60" s="601">
        <f t="shared" si="347"/>
        <v>0</v>
      </c>
      <c r="BL60" s="35"/>
      <c r="BM60" s="480">
        <f t="shared" ref="BM60:BY60" si="348">IF(ROUND(BM59,4)=ROUND(BM57,4),0,(BM59-BM57))</f>
        <v>0</v>
      </c>
      <c r="BN60" s="480">
        <f t="shared" si="348"/>
        <v>0</v>
      </c>
      <c r="BO60" s="480">
        <f t="shared" si="348"/>
        <v>0</v>
      </c>
      <c r="BP60" s="480">
        <f t="shared" si="348"/>
        <v>0</v>
      </c>
      <c r="BQ60" s="480">
        <f t="shared" si="348"/>
        <v>0</v>
      </c>
      <c r="BR60" s="480">
        <f t="shared" si="348"/>
        <v>0</v>
      </c>
      <c r="BS60" s="480">
        <f t="shared" si="348"/>
        <v>0</v>
      </c>
      <c r="BT60" s="480">
        <f t="shared" si="348"/>
        <v>0</v>
      </c>
      <c r="BU60" s="480">
        <f t="shared" si="348"/>
        <v>0</v>
      </c>
      <c r="BV60" s="480">
        <f t="shared" si="348"/>
        <v>0</v>
      </c>
      <c r="BW60" s="480">
        <f>IF(ROUND(BW59,4)=ROUND(BW57,4),0,(BW59-BW57))</f>
        <v>0</v>
      </c>
      <c r="BX60" s="480">
        <f t="shared" si="348"/>
        <v>0</v>
      </c>
      <c r="BY60" s="480">
        <f t="shared" si="348"/>
        <v>0</v>
      </c>
      <c r="BZ60" s="480">
        <f t="shared" ref="BZ60:CB60" si="349">IF(ROUND(BZ59,4)=ROUND(BZ57,4),0,(BZ59-BZ57))</f>
        <v>0</v>
      </c>
      <c r="CA60" s="480">
        <f t="shared" si="349"/>
        <v>0</v>
      </c>
      <c r="CB60" s="1214">
        <f t="shared" si="349"/>
        <v>0</v>
      </c>
      <c r="CC60" s="37"/>
      <c r="CD60" s="26"/>
      <c r="CE60" s="26"/>
    </row>
    <row r="61" spans="1:83" ht="14.25" customHeight="1">
      <c r="A61" s="18"/>
      <c r="B61" s="481"/>
      <c r="C61" s="481"/>
      <c r="D61" s="482"/>
      <c r="E61" s="482"/>
      <c r="F61" s="482"/>
      <c r="G61" s="482"/>
      <c r="H61" s="482"/>
      <c r="I61" s="482"/>
      <c r="J61" s="482"/>
      <c r="K61" s="482"/>
      <c r="L61" s="482"/>
      <c r="M61" s="482"/>
      <c r="N61" s="482"/>
      <c r="O61" s="482"/>
      <c r="P61" s="482"/>
      <c r="Q61" s="482"/>
      <c r="R61" s="482"/>
      <c r="S61" s="482"/>
      <c r="T61" s="482"/>
      <c r="U61" s="482"/>
      <c r="V61" s="482"/>
      <c r="W61" s="482"/>
      <c r="X61" s="482"/>
      <c r="Y61" s="482"/>
      <c r="Z61" s="482"/>
      <c r="AA61" s="482"/>
      <c r="AB61" s="482"/>
      <c r="AC61" s="482"/>
      <c r="AD61" s="482"/>
      <c r="AE61" s="482"/>
      <c r="AF61" s="482"/>
      <c r="AG61" s="482"/>
      <c r="AH61" s="482"/>
      <c r="AI61" s="482"/>
      <c r="AJ61" s="482"/>
      <c r="AK61" s="482"/>
      <c r="AL61" s="482"/>
      <c r="AM61" s="482"/>
      <c r="AN61" s="482"/>
      <c r="AO61" s="482"/>
      <c r="AP61" s="482"/>
      <c r="AQ61" s="482"/>
      <c r="AR61" s="482"/>
      <c r="AS61" s="482"/>
      <c r="AT61" s="482"/>
      <c r="AU61" s="482"/>
      <c r="AV61" s="482"/>
      <c r="AW61" s="482"/>
      <c r="AX61" s="482"/>
      <c r="AY61" s="482"/>
      <c r="AZ61" s="482"/>
      <c r="BA61" s="482"/>
      <c r="BB61" s="482"/>
      <c r="BC61" s="482"/>
      <c r="BD61" s="482"/>
      <c r="BE61" s="482"/>
      <c r="BF61" s="482"/>
      <c r="BG61" s="482"/>
      <c r="BH61" s="482"/>
      <c r="BI61" s="482"/>
      <c r="BJ61" s="482"/>
      <c r="BK61" s="482"/>
      <c r="BL61" s="26"/>
      <c r="BM61" s="482"/>
      <c r="BN61" s="482"/>
      <c r="BO61" s="482"/>
      <c r="BP61" s="482"/>
      <c r="BQ61" s="482"/>
      <c r="BR61" s="482"/>
      <c r="BS61" s="482"/>
      <c r="BT61" s="482"/>
      <c r="BU61" s="482"/>
      <c r="BV61" s="482"/>
      <c r="BW61" s="482"/>
      <c r="BX61" s="482"/>
      <c r="BY61" s="482"/>
      <c r="BZ61" s="482"/>
      <c r="CA61" s="482"/>
      <c r="CB61" s="482"/>
      <c r="CC61" s="26"/>
      <c r="CD61" s="26"/>
      <c r="CE61" s="26"/>
    </row>
    <row r="62" spans="1:83" ht="14.25" customHeight="1">
      <c r="A62" s="18"/>
      <c r="B62" s="26"/>
      <c r="C62" s="26"/>
      <c r="D62" s="483"/>
      <c r="E62" s="483"/>
      <c r="F62" s="483"/>
      <c r="G62" s="483"/>
      <c r="H62" s="483"/>
      <c r="I62" s="483"/>
      <c r="J62" s="483"/>
      <c r="K62" s="483"/>
      <c r="L62" s="483"/>
      <c r="M62" s="483"/>
      <c r="N62" s="483"/>
      <c r="O62" s="483"/>
      <c r="P62" s="483"/>
      <c r="Q62" s="483"/>
      <c r="R62" s="483"/>
      <c r="S62" s="483"/>
      <c r="T62" s="483"/>
      <c r="U62" s="483"/>
      <c r="V62" s="483"/>
      <c r="W62" s="483"/>
      <c r="X62" s="483"/>
      <c r="Y62" s="483"/>
      <c r="Z62" s="483"/>
      <c r="AA62" s="483"/>
      <c r="AB62" s="484"/>
      <c r="AC62" s="483"/>
      <c r="AD62" s="483"/>
      <c r="AE62" s="483"/>
      <c r="AF62" s="483"/>
      <c r="AG62" s="483"/>
      <c r="AH62" s="483"/>
      <c r="AI62" s="483"/>
      <c r="AJ62" s="483"/>
      <c r="AK62" s="483"/>
      <c r="AL62" s="483"/>
      <c r="AM62" s="483"/>
      <c r="AN62" s="483"/>
      <c r="AO62" s="483"/>
      <c r="AP62" s="483"/>
      <c r="AQ62" s="483"/>
      <c r="AR62" s="483"/>
      <c r="AS62" s="483"/>
      <c r="AT62" s="483"/>
      <c r="AU62" s="483"/>
      <c r="AV62" s="984"/>
      <c r="AW62" s="1027"/>
      <c r="AX62" s="483"/>
      <c r="AY62" s="483"/>
      <c r="AZ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26"/>
      <c r="BM62" s="483"/>
      <c r="BN62" s="483"/>
      <c r="BO62" s="483"/>
      <c r="BP62" s="483"/>
      <c r="BQ62" s="483"/>
      <c r="BR62" s="483"/>
      <c r="BS62" s="483"/>
      <c r="BT62" s="485"/>
      <c r="BU62" s="485"/>
      <c r="BV62" s="485"/>
      <c r="BW62" s="985"/>
      <c r="BX62" s="985"/>
      <c r="BY62" s="483"/>
      <c r="BZ62" s="483"/>
      <c r="CA62" s="483"/>
      <c r="CB62" s="483"/>
      <c r="CC62" s="26"/>
      <c r="CD62" s="26"/>
      <c r="CE62" s="26"/>
    </row>
    <row r="63" spans="1:83" ht="14.25" customHeight="1">
      <c r="A63" s="18"/>
      <c r="B63" s="26"/>
      <c r="C63" s="427"/>
      <c r="D63" s="483"/>
      <c r="E63" s="483"/>
      <c r="F63" s="483"/>
      <c r="G63" s="483"/>
      <c r="H63" s="483"/>
      <c r="I63" s="483"/>
      <c r="J63" s="483"/>
      <c r="K63" s="483"/>
      <c r="L63" s="483"/>
      <c r="M63" s="483"/>
      <c r="N63" s="483"/>
      <c r="O63" s="483"/>
      <c r="P63" s="483"/>
      <c r="Q63" s="483"/>
      <c r="R63" s="483"/>
      <c r="S63" s="483"/>
      <c r="T63" s="483"/>
      <c r="U63" s="483"/>
      <c r="V63" s="483"/>
      <c r="W63" s="483"/>
      <c r="X63" s="483"/>
      <c r="Y63" s="483"/>
      <c r="Z63" s="483"/>
      <c r="AA63" s="483"/>
      <c r="AB63" s="483"/>
      <c r="AC63" s="483"/>
      <c r="AD63" s="483"/>
      <c r="AE63" s="483"/>
      <c r="AF63" s="483"/>
      <c r="AG63" s="483"/>
      <c r="AH63" s="483"/>
      <c r="AI63" s="483"/>
      <c r="AJ63" s="483"/>
      <c r="AK63" s="483"/>
      <c r="AL63" s="483"/>
      <c r="AM63" s="486"/>
      <c r="AN63" s="483"/>
      <c r="AO63" s="483"/>
      <c r="AP63" s="483"/>
      <c r="AQ63" s="486"/>
      <c r="AR63" s="483"/>
      <c r="AS63" s="483"/>
      <c r="AT63" s="483"/>
      <c r="AU63" s="984"/>
      <c r="AV63" s="984"/>
      <c r="AW63" s="483"/>
      <c r="AX63" s="483"/>
      <c r="AY63" s="984"/>
      <c r="AZ63" s="483"/>
      <c r="BA63" s="483"/>
      <c r="BB63" s="483"/>
      <c r="BC63" s="486"/>
      <c r="BD63" s="483"/>
      <c r="BE63" s="483"/>
      <c r="BF63" s="483"/>
      <c r="BG63" s="486"/>
      <c r="BH63" s="483"/>
      <c r="BI63" s="483"/>
      <c r="BJ63" s="483"/>
      <c r="BK63" s="486"/>
      <c r="BL63" s="26"/>
      <c r="BM63" s="483"/>
      <c r="BN63" s="483"/>
      <c r="BO63" s="483"/>
      <c r="BP63" s="483"/>
      <c r="BQ63" s="483"/>
      <c r="BR63" s="483"/>
      <c r="BS63" s="483"/>
      <c r="BT63" s="485"/>
      <c r="BU63" s="485"/>
      <c r="BV63" s="485"/>
      <c r="BW63" s="565"/>
      <c r="BX63" s="604"/>
      <c r="BY63" s="483"/>
      <c r="BZ63" s="483"/>
      <c r="CA63" s="483"/>
      <c r="CB63" s="483"/>
      <c r="CC63" s="26"/>
      <c r="CD63" s="26"/>
      <c r="CE63" s="26"/>
    </row>
    <row r="64" spans="1:83" ht="14.25" customHeight="1">
      <c r="A64" s="18"/>
      <c r="B64" s="341" t="s">
        <v>232</v>
      </c>
      <c r="C64" s="342"/>
      <c r="D64" s="487" t="str">
        <f t="shared" ref="D64:AR64" si="350">D7</f>
        <v>F1Q05A</v>
      </c>
      <c r="E64" s="487" t="str">
        <f t="shared" si="350"/>
        <v>F2Q05A</v>
      </c>
      <c r="F64" s="487" t="str">
        <f t="shared" si="350"/>
        <v>F3Q05A</v>
      </c>
      <c r="G64" s="488" t="str">
        <f t="shared" si="350"/>
        <v>F4Q05A</v>
      </c>
      <c r="H64" s="487" t="str">
        <f t="shared" si="350"/>
        <v>F1Q06A</v>
      </c>
      <c r="I64" s="487" t="str">
        <f t="shared" si="350"/>
        <v>F2Q06A</v>
      </c>
      <c r="J64" s="487" t="str">
        <f t="shared" si="350"/>
        <v>F3Q06A</v>
      </c>
      <c r="K64" s="488" t="str">
        <f t="shared" si="350"/>
        <v>F4Q06A</v>
      </c>
      <c r="L64" s="487" t="str">
        <f t="shared" si="350"/>
        <v>F1Q07A</v>
      </c>
      <c r="M64" s="487" t="str">
        <f t="shared" si="350"/>
        <v>F2Q07A</v>
      </c>
      <c r="N64" s="487" t="str">
        <f t="shared" si="350"/>
        <v>F3Q07A</v>
      </c>
      <c r="O64" s="488" t="str">
        <f t="shared" si="350"/>
        <v>F4Q07A</v>
      </c>
      <c r="P64" s="487" t="str">
        <f t="shared" si="350"/>
        <v>F1Q08A</v>
      </c>
      <c r="Q64" s="487" t="str">
        <f t="shared" si="350"/>
        <v>F2Q08A</v>
      </c>
      <c r="R64" s="487" t="str">
        <f t="shared" si="350"/>
        <v>F3Q08A</v>
      </c>
      <c r="S64" s="488" t="str">
        <f t="shared" si="350"/>
        <v>F4Q08A</v>
      </c>
      <c r="T64" s="487" t="str">
        <f t="shared" si="350"/>
        <v>F1Q09A</v>
      </c>
      <c r="U64" s="487" t="str">
        <f t="shared" si="350"/>
        <v>F2Q09A</v>
      </c>
      <c r="V64" s="487" t="str">
        <f t="shared" si="350"/>
        <v>F3Q09A</v>
      </c>
      <c r="W64" s="488" t="str">
        <f t="shared" si="350"/>
        <v>F4Q09A</v>
      </c>
      <c r="X64" s="487" t="str">
        <f t="shared" si="350"/>
        <v>F1Q10A</v>
      </c>
      <c r="Y64" s="487" t="str">
        <f t="shared" si="350"/>
        <v>F2Q10A</v>
      </c>
      <c r="Z64" s="487" t="str">
        <f t="shared" si="350"/>
        <v>F3Q10A</v>
      </c>
      <c r="AA64" s="488" t="str">
        <f t="shared" si="350"/>
        <v>F4Q10A</v>
      </c>
      <c r="AB64" s="487" t="str">
        <f>AB7</f>
        <v>F1Q11A</v>
      </c>
      <c r="AC64" s="487" t="str">
        <f t="shared" si="350"/>
        <v>F2Q11A</v>
      </c>
      <c r="AD64" s="487" t="str">
        <f t="shared" si="350"/>
        <v>F3Q11A</v>
      </c>
      <c r="AE64" s="488" t="str">
        <f t="shared" si="350"/>
        <v>F4Q11A</v>
      </c>
      <c r="AF64" s="487" t="str">
        <f t="shared" si="350"/>
        <v>F1Q12A</v>
      </c>
      <c r="AG64" s="487" t="str">
        <f>AG7</f>
        <v>F2Q12A</v>
      </c>
      <c r="AH64" s="487" t="str">
        <f>AH7</f>
        <v>F3Q12A</v>
      </c>
      <c r="AI64" s="487" t="str">
        <f>AI7</f>
        <v>F4Q12A</v>
      </c>
      <c r="AJ64" s="489" t="str">
        <f t="shared" si="350"/>
        <v>F1Q13A</v>
      </c>
      <c r="AK64" s="487" t="str">
        <f>AK7</f>
        <v>F2Q13A</v>
      </c>
      <c r="AL64" s="487" t="str">
        <f t="shared" si="350"/>
        <v>F3Q13A</v>
      </c>
      <c r="AM64" s="488" t="str">
        <f>AM7</f>
        <v>F4Q13A</v>
      </c>
      <c r="AN64" s="489" t="str">
        <f t="shared" si="350"/>
        <v>F1Q14A</v>
      </c>
      <c r="AO64" s="487" t="str">
        <f t="shared" si="350"/>
        <v>F2Q14A</v>
      </c>
      <c r="AP64" s="487" t="str">
        <f t="shared" si="350"/>
        <v>F3Q14A</v>
      </c>
      <c r="AQ64" s="488" t="str">
        <f t="shared" si="350"/>
        <v>F4Q14A</v>
      </c>
      <c r="AR64" s="489" t="str">
        <f t="shared" si="350"/>
        <v>F1Q15A</v>
      </c>
      <c r="AS64" s="487" t="str">
        <f t="shared" ref="AS64:BC64" si="351">AS7</f>
        <v>F2Q15A</v>
      </c>
      <c r="AT64" s="487" t="str">
        <f t="shared" si="351"/>
        <v>F3Q15A</v>
      </c>
      <c r="AU64" s="488" t="str">
        <f t="shared" si="351"/>
        <v>F4Q15A</v>
      </c>
      <c r="AV64" s="489" t="str">
        <f t="shared" si="351"/>
        <v>F1Q16A</v>
      </c>
      <c r="AW64" s="487" t="str">
        <f t="shared" si="351"/>
        <v>F2Q16A</v>
      </c>
      <c r="AX64" s="487" t="str">
        <f t="shared" ref="AX64:AY64" si="352">AX7</f>
        <v>F3Q16A</v>
      </c>
      <c r="AY64" s="488" t="str">
        <f t="shared" si="352"/>
        <v>F4Q16A</v>
      </c>
      <c r="AZ64" s="489" t="str">
        <f t="shared" si="351"/>
        <v>F1Q17A</v>
      </c>
      <c r="BA64" s="487" t="str">
        <f t="shared" si="351"/>
        <v>F2Q17A</v>
      </c>
      <c r="BB64" s="487" t="str">
        <f t="shared" si="351"/>
        <v>F3Q17A</v>
      </c>
      <c r="BC64" s="488" t="str">
        <f t="shared" si="351"/>
        <v>F4Q17A</v>
      </c>
      <c r="BD64" s="489" t="str">
        <f t="shared" ref="BD64:BG64" si="353">BD7</f>
        <v>F1Q18A</v>
      </c>
      <c r="BE64" s="487" t="str">
        <f t="shared" si="353"/>
        <v>F2Q18E</v>
      </c>
      <c r="BF64" s="487" t="str">
        <f t="shared" si="353"/>
        <v>F3Q18E</v>
      </c>
      <c r="BG64" s="488" t="str">
        <f t="shared" si="353"/>
        <v>F4Q18E</v>
      </c>
      <c r="BH64" s="489" t="str">
        <f t="shared" ref="BH64:BK64" si="354">BH7</f>
        <v>F1Q19E</v>
      </c>
      <c r="BI64" s="487" t="str">
        <f t="shared" si="354"/>
        <v>F2Q19E</v>
      </c>
      <c r="BJ64" s="487" t="str">
        <f t="shared" si="354"/>
        <v>F3Q19E</v>
      </c>
      <c r="BK64" s="488" t="str">
        <f t="shared" si="354"/>
        <v>F4Q19E</v>
      </c>
      <c r="BL64" s="1029"/>
      <c r="BM64" s="21" t="str">
        <f t="shared" ref="BM64:BY64" si="355">BM7</f>
        <v>FY2005A</v>
      </c>
      <c r="BN64" s="22" t="str">
        <f t="shared" si="355"/>
        <v>FY2006A</v>
      </c>
      <c r="BO64" s="22" t="str">
        <f t="shared" si="355"/>
        <v>FY2007A</v>
      </c>
      <c r="BP64" s="22" t="str">
        <f t="shared" si="355"/>
        <v>FY2008A</v>
      </c>
      <c r="BQ64" s="22" t="str">
        <f t="shared" si="355"/>
        <v>FY2009A</v>
      </c>
      <c r="BR64" s="21" t="str">
        <f t="shared" si="355"/>
        <v>FY2010A</v>
      </c>
      <c r="BS64" s="22" t="str">
        <f t="shared" si="355"/>
        <v>FY2011A</v>
      </c>
      <c r="BT64" s="22" t="str">
        <f t="shared" si="355"/>
        <v>FY2012A</v>
      </c>
      <c r="BU64" s="22" t="str">
        <f t="shared" si="355"/>
        <v>FY2013A</v>
      </c>
      <c r="BV64" s="22" t="str">
        <f t="shared" si="355"/>
        <v>FY2014</v>
      </c>
      <c r="BW64" s="22" t="str">
        <f>BW7</f>
        <v>FY2015</v>
      </c>
      <c r="BX64" s="22" t="str">
        <f t="shared" si="355"/>
        <v>FY2016</v>
      </c>
      <c r="BY64" s="22" t="str">
        <f t="shared" si="355"/>
        <v>FY2017A</v>
      </c>
      <c r="BZ64" s="22" t="str">
        <f t="shared" ref="BZ64:CB64" si="356">BZ7</f>
        <v>FY2018E</v>
      </c>
      <c r="CA64" s="22" t="str">
        <f t="shared" si="356"/>
        <v>FY2019E</v>
      </c>
      <c r="CB64" s="23" t="str">
        <f t="shared" si="356"/>
        <v>FY2020E</v>
      </c>
      <c r="CC64" s="37"/>
      <c r="CD64" s="26"/>
      <c r="CE64" s="26"/>
    </row>
    <row r="65" spans="1:83" ht="14.25" customHeight="1">
      <c r="A65" s="18"/>
      <c r="B65" s="37" t="s">
        <v>233</v>
      </c>
      <c r="C65" s="490"/>
      <c r="D65" s="491">
        <f t="shared" ref="D65:AJ65" si="357">-D30</f>
        <v>1788</v>
      </c>
      <c r="E65" s="492">
        <f t="shared" si="357"/>
        <v>1389</v>
      </c>
      <c r="F65" s="492">
        <f t="shared" si="357"/>
        <v>1282</v>
      </c>
      <c r="G65" s="376">
        <f t="shared" si="357"/>
        <v>1412</v>
      </c>
      <c r="H65" s="491">
        <f t="shared" si="357"/>
        <v>1762</v>
      </c>
      <c r="I65" s="492">
        <f t="shared" si="357"/>
        <v>1762</v>
      </c>
      <c r="J65" s="492">
        <f t="shared" si="357"/>
        <v>1188</v>
      </c>
      <c r="K65" s="376">
        <f t="shared" si="357"/>
        <v>1148</v>
      </c>
      <c r="L65" s="491">
        <f t="shared" si="357"/>
        <v>1361</v>
      </c>
      <c r="M65" s="492">
        <f t="shared" si="357"/>
        <v>1278</v>
      </c>
      <c r="N65" s="492">
        <f t="shared" si="357"/>
        <v>1088</v>
      </c>
      <c r="O65" s="376">
        <f t="shared" si="357"/>
        <v>1273</v>
      </c>
      <c r="P65" s="491">
        <f t="shared" si="357"/>
        <v>907</v>
      </c>
      <c r="Q65" s="492">
        <f t="shared" si="357"/>
        <v>1151</v>
      </c>
      <c r="R65" s="492">
        <f t="shared" si="357"/>
        <v>1374</v>
      </c>
      <c r="S65" s="376">
        <f t="shared" si="357"/>
        <v>1765</v>
      </c>
      <c r="T65" s="491">
        <f t="shared" si="357"/>
        <v>1509</v>
      </c>
      <c r="U65" s="492">
        <f t="shared" si="357"/>
        <v>981</v>
      </c>
      <c r="V65" s="492">
        <f t="shared" si="357"/>
        <v>944</v>
      </c>
      <c r="W65" s="376">
        <f t="shared" si="357"/>
        <v>1081</v>
      </c>
      <c r="X65" s="491">
        <f t="shared" si="357"/>
        <v>928</v>
      </c>
      <c r="Y65" s="492">
        <f t="shared" si="357"/>
        <v>1048</v>
      </c>
      <c r="Z65" s="492">
        <f t="shared" si="357"/>
        <v>1362</v>
      </c>
      <c r="AA65" s="376">
        <f t="shared" si="357"/>
        <v>1869</v>
      </c>
      <c r="AB65" s="493">
        <f t="shared" si="357"/>
        <v>2723</v>
      </c>
      <c r="AC65" s="493">
        <f t="shared" si="357"/>
        <v>2484</v>
      </c>
      <c r="AD65" s="493">
        <f t="shared" si="357"/>
        <v>2713</v>
      </c>
      <c r="AE65" s="376">
        <f t="shared" si="357"/>
        <v>2844</v>
      </c>
      <c r="AF65" s="493">
        <f t="shared" si="357"/>
        <v>2974</v>
      </c>
      <c r="AG65" s="493">
        <f t="shared" si="357"/>
        <v>2662</v>
      </c>
      <c r="AH65" s="493">
        <f t="shared" si="357"/>
        <v>2887</v>
      </c>
      <c r="AI65" s="373">
        <f t="shared" si="357"/>
        <v>2504</v>
      </c>
      <c r="AJ65" s="491">
        <f t="shared" si="357"/>
        <v>2174</v>
      </c>
      <c r="AK65" s="493">
        <f>-AK30</f>
        <v>2723</v>
      </c>
      <c r="AL65" s="493">
        <f>-AL30</f>
        <v>2866</v>
      </c>
      <c r="AM65" s="373">
        <f>-AM30</f>
        <v>2948</v>
      </c>
      <c r="AN65" s="491">
        <v>2689</v>
      </c>
      <c r="AO65" s="493">
        <f>-AO30</f>
        <v>2828</v>
      </c>
      <c r="AP65" s="493">
        <v>2445</v>
      </c>
      <c r="AQ65" s="376">
        <v>2143</v>
      </c>
      <c r="AR65" s="491">
        <v>2025</v>
      </c>
      <c r="AS65" s="493">
        <v>1767</v>
      </c>
      <c r="AT65" s="493">
        <v>1206</v>
      </c>
      <c r="AU65" s="376">
        <v>2143</v>
      </c>
      <c r="AV65" s="491">
        <v>1346</v>
      </c>
      <c r="AW65" s="493">
        <f>-AW30</f>
        <v>2286</v>
      </c>
      <c r="AX65" s="493">
        <f>-AX30</f>
        <v>2463</v>
      </c>
      <c r="AY65" s="376">
        <v>2143</v>
      </c>
      <c r="AZ65" s="491">
        <f>AY65</f>
        <v>2143</v>
      </c>
      <c r="BA65" s="493">
        <f>-BA30</f>
        <v>2778</v>
      </c>
      <c r="BB65" s="493">
        <f>-BB30</f>
        <v>2979</v>
      </c>
      <c r="BC65" s="376">
        <v>2143</v>
      </c>
      <c r="BD65" s="499">
        <v>3500</v>
      </c>
      <c r="BE65" s="495">
        <v>3500</v>
      </c>
      <c r="BF65" s="495">
        <v>3750</v>
      </c>
      <c r="BG65" s="1131">
        <v>3750</v>
      </c>
      <c r="BH65" s="499">
        <v>3500</v>
      </c>
      <c r="BI65" s="495">
        <v>3500</v>
      </c>
      <c r="BJ65" s="495">
        <v>3500</v>
      </c>
      <c r="BK65" s="1131">
        <v>3500</v>
      </c>
      <c r="BL65" s="1029"/>
      <c r="BM65" s="496">
        <f t="shared" ref="BM65:BS65" si="358">-BM30</f>
        <v>5871</v>
      </c>
      <c r="BN65" s="497">
        <f t="shared" si="358"/>
        <v>5860</v>
      </c>
      <c r="BO65" s="497">
        <f t="shared" si="358"/>
        <v>5000</v>
      </c>
      <c r="BP65" s="497">
        <f t="shared" si="358"/>
        <v>5197</v>
      </c>
      <c r="BQ65" s="496">
        <f t="shared" si="358"/>
        <v>4515</v>
      </c>
      <c r="BR65" s="373">
        <f t="shared" si="358"/>
        <v>5207</v>
      </c>
      <c r="BS65" s="498">
        <f t="shared" si="358"/>
        <v>10764</v>
      </c>
      <c r="BT65" s="498">
        <f t="shared" ref="BT65:BY65" si="359">-BT30</f>
        <v>11027</v>
      </c>
      <c r="BU65" s="498">
        <f t="shared" si="359"/>
        <v>10711</v>
      </c>
      <c r="BV65" s="498">
        <f t="shared" si="359"/>
        <v>10105</v>
      </c>
      <c r="BW65" s="498">
        <f t="shared" si="359"/>
        <v>7326</v>
      </c>
      <c r="BX65" s="498">
        <f t="shared" si="359"/>
        <v>9625</v>
      </c>
      <c r="BY65" s="498">
        <f t="shared" si="359"/>
        <v>11778</v>
      </c>
      <c r="BZ65" s="498">
        <f t="shared" ref="BZ65:CA65" si="360">-BZ30</f>
        <v>13910</v>
      </c>
      <c r="CA65" s="498">
        <f t="shared" si="360"/>
        <v>14000</v>
      </c>
      <c r="CB65" s="1206">
        <f>CA65</f>
        <v>14000</v>
      </c>
      <c r="CC65" s="37"/>
      <c r="CD65" s="26"/>
      <c r="CE65" s="26"/>
    </row>
    <row r="66" spans="1:83" ht="14.25" customHeight="1">
      <c r="A66" s="18"/>
      <c r="B66" s="37" t="s">
        <v>234</v>
      </c>
      <c r="C66" s="385"/>
      <c r="D66" s="499">
        <v>0</v>
      </c>
      <c r="E66" s="495">
        <v>0</v>
      </c>
      <c r="F66" s="495">
        <v>0</v>
      </c>
      <c r="G66" s="500">
        <v>0</v>
      </c>
      <c r="H66" s="499">
        <v>0</v>
      </c>
      <c r="I66" s="495">
        <v>0</v>
      </c>
      <c r="J66" s="495">
        <v>0</v>
      </c>
      <c r="K66" s="500">
        <v>0</v>
      </c>
      <c r="L66" s="499">
        <v>0</v>
      </c>
      <c r="M66" s="495">
        <v>0</v>
      </c>
      <c r="N66" s="495">
        <v>0</v>
      </c>
      <c r="O66" s="500">
        <v>0</v>
      </c>
      <c r="P66" s="499">
        <v>0</v>
      </c>
      <c r="Q66" s="495">
        <v>0</v>
      </c>
      <c r="R66" s="495">
        <v>0</v>
      </c>
      <c r="S66" s="500">
        <v>0</v>
      </c>
      <c r="T66" s="499">
        <v>0</v>
      </c>
      <c r="U66" s="495">
        <v>0</v>
      </c>
      <c r="V66" s="495">
        <v>0</v>
      </c>
      <c r="W66" s="500">
        <v>0</v>
      </c>
      <c r="X66" s="499">
        <v>0</v>
      </c>
      <c r="Y66" s="495">
        <v>0</v>
      </c>
      <c r="Z66" s="495">
        <v>0</v>
      </c>
      <c r="AA66" s="500">
        <v>0</v>
      </c>
      <c r="AB66" s="495">
        <v>0</v>
      </c>
      <c r="AC66" s="495">
        <v>0</v>
      </c>
      <c r="AD66" s="495">
        <v>0</v>
      </c>
      <c r="AE66" s="495">
        <v>0</v>
      </c>
      <c r="AF66" s="499">
        <v>0</v>
      </c>
      <c r="AG66" s="495">
        <v>0</v>
      </c>
      <c r="AH66" s="495">
        <v>0</v>
      </c>
      <c r="AI66" s="495">
        <v>0</v>
      </c>
      <c r="AJ66" s="499">
        <v>0</v>
      </c>
      <c r="AK66" s="495">
        <v>0</v>
      </c>
      <c r="AL66" s="495">
        <v>0</v>
      </c>
      <c r="AM66" s="495">
        <v>0</v>
      </c>
      <c r="AN66" s="499">
        <v>0</v>
      </c>
      <c r="AO66" s="495">
        <v>0</v>
      </c>
      <c r="AP66" s="495">
        <v>0</v>
      </c>
      <c r="AQ66" s="494">
        <v>0</v>
      </c>
      <c r="AR66" s="499"/>
      <c r="AS66" s="495"/>
      <c r="AT66" s="495"/>
      <c r="AU66" s="494"/>
      <c r="AV66" s="499"/>
      <c r="AW66" s="495"/>
      <c r="AX66" s="495"/>
      <c r="AY66" s="494"/>
      <c r="AZ66" s="526">
        <v>0</v>
      </c>
      <c r="BA66" s="495"/>
      <c r="BB66" s="495"/>
      <c r="BC66" s="494"/>
      <c r="BD66" s="1286">
        <v>932</v>
      </c>
      <c r="BE66" s="495">
        <v>0</v>
      </c>
      <c r="BF66" s="495">
        <v>0</v>
      </c>
      <c r="BG66" s="1131">
        <v>0</v>
      </c>
      <c r="BH66" s="499">
        <v>0</v>
      </c>
      <c r="BI66" s="495">
        <v>0</v>
      </c>
      <c r="BJ66" s="495">
        <v>0</v>
      </c>
      <c r="BK66" s="1131">
        <v>0</v>
      </c>
      <c r="BL66" s="1029"/>
      <c r="BM66" s="498">
        <f>G66</f>
        <v>0</v>
      </c>
      <c r="BN66" s="498">
        <f>K66</f>
        <v>0</v>
      </c>
      <c r="BO66" s="498">
        <f>O66</f>
        <v>0</v>
      </c>
      <c r="BP66" s="498">
        <f>S66</f>
        <v>0</v>
      </c>
      <c r="BQ66" s="498">
        <f>W66</f>
        <v>0</v>
      </c>
      <c r="BR66" s="498">
        <f>AA66</f>
        <v>0</v>
      </c>
      <c r="BS66" s="498">
        <f>AE66</f>
        <v>0</v>
      </c>
      <c r="BT66" s="498">
        <f>AI66</f>
        <v>0</v>
      </c>
      <c r="BU66" s="498">
        <f>AM66</f>
        <v>0</v>
      </c>
      <c r="BV66" s="498">
        <f>AQ66</f>
        <v>0</v>
      </c>
      <c r="BW66" s="498">
        <f>AR66</f>
        <v>0</v>
      </c>
      <c r="BX66" s="498">
        <f>AV66</f>
        <v>0</v>
      </c>
      <c r="BY66" s="498">
        <f>SUM(AZ66:BC66)</f>
        <v>0</v>
      </c>
      <c r="BZ66" s="498">
        <f>SUM(BD66:BG66)</f>
        <v>932</v>
      </c>
      <c r="CA66" s="498">
        <f>SUM(BH66:BK66)</f>
        <v>0</v>
      </c>
      <c r="CB66" s="1215">
        <v>0</v>
      </c>
      <c r="CC66" s="37"/>
      <c r="CD66" s="26"/>
      <c r="CE66" s="26"/>
    </row>
    <row r="67" spans="1:83" ht="14.25" customHeight="1">
      <c r="A67" s="18"/>
      <c r="B67" s="502" t="s">
        <v>235</v>
      </c>
      <c r="C67" s="503"/>
      <c r="D67" s="504">
        <f>D65/IS!D8</f>
        <v>0.18952724189103243</v>
      </c>
      <c r="E67" s="348">
        <f>E65/IS!E8</f>
        <v>0.15047123821904451</v>
      </c>
      <c r="F67" s="348">
        <f>F65/IS!F8</f>
        <v>0.12871485943775102</v>
      </c>
      <c r="G67" s="349">
        <f>G65/IS!G8</f>
        <v>0.13841780217625724</v>
      </c>
      <c r="H67" s="504">
        <f>H65/IS!H8</f>
        <v>0.19709172259507829</v>
      </c>
      <c r="I67" s="348">
        <f>I65/IS!I8</f>
        <v>0.22000249719066051</v>
      </c>
      <c r="J67" s="348">
        <f>J65/IS!J8</f>
        <v>0.13594232749742532</v>
      </c>
      <c r="K67" s="349">
        <f>K65/IS!K8</f>
        <v>0.11842376727872911</v>
      </c>
      <c r="L67" s="504">
        <f>L65/IS!L8</f>
        <v>0.15375056484410302</v>
      </c>
      <c r="M67" s="348">
        <f>M65/IS!M8</f>
        <v>0.14723502304147465</v>
      </c>
      <c r="N67" s="348">
        <f>N65/IS!N8</f>
        <v>0.10782953419226958</v>
      </c>
      <c r="O67" s="349">
        <f>O65/IS!O8</f>
        <v>0.1188386855862584</v>
      </c>
      <c r="P67" s="504">
        <f>P65/IS!P8</f>
        <v>9.3766153209965883E-2</v>
      </c>
      <c r="Q67" s="348">
        <f>Q65/IS!Q8</f>
        <v>0.12154171066525871</v>
      </c>
      <c r="R67" s="348">
        <f>R65/IS!R8</f>
        <v>0.13448174610942545</v>
      </c>
      <c r="S67" s="349">
        <f>S65/IS!S8</f>
        <v>0.21456357889618283</v>
      </c>
      <c r="T67" s="504">
        <f>T65/IS!T8</f>
        <v>0.21119664100769769</v>
      </c>
      <c r="U67" s="348">
        <f>U65/IS!U8</f>
        <v>0.12225822532402791</v>
      </c>
      <c r="V67" s="348">
        <f>V65/IS!V8</f>
        <v>0.10054318883800192</v>
      </c>
      <c r="W67" s="349">
        <f>W65/IS!W8</f>
        <v>0.10228025357176648</v>
      </c>
      <c r="X67" s="504">
        <f>X65/IS!X8</f>
        <v>9.0105835518011462E-2</v>
      </c>
      <c r="Y67" s="348">
        <f>Y65/IS!Y8</f>
        <v>9.735253135160242E-2</v>
      </c>
      <c r="Z67" s="348">
        <f>Z65/IS!Z8</f>
        <v>0.12268059809043416</v>
      </c>
      <c r="AA67" s="349">
        <f>AA65/IS!AA8</f>
        <v>0.16313170987169415</v>
      </c>
      <c r="AB67" s="348">
        <f>AB65/IS!AB8</f>
        <v>0.21195609870008561</v>
      </c>
      <c r="AC67" s="348">
        <f>AC65/IS!AC8</f>
        <v>0.19060773480662985</v>
      </c>
      <c r="AD67" s="348">
        <f>AD65/IS!AD8</f>
        <v>0.19061336331061618</v>
      </c>
      <c r="AE67" s="349">
        <f>AE65/IS!AE8</f>
        <v>0.20479585223590407</v>
      </c>
      <c r="AF67" s="348">
        <f>AF65/IS!AF8</f>
        <v>0.23043545637687898</v>
      </c>
      <c r="AG67" s="348">
        <f>AG65/IS!AG8</f>
        <v>0.19717057995704021</v>
      </c>
      <c r="AH67" s="348">
        <f>AH65/IS!AH8</f>
        <v>0.21453518614847292</v>
      </c>
      <c r="AI67" s="348">
        <f>AI65/IS!AI8</f>
        <v>0.18579802626697337</v>
      </c>
      <c r="AJ67" s="504">
        <f>AJ65/IS!AJ8</f>
        <v>0.17281399046104928</v>
      </c>
      <c r="AK67" s="348">
        <f>AK65/IS!AK8</f>
        <v>0.21255171337132153</v>
      </c>
      <c r="AL67" s="348">
        <f>AL65/IS!AL8</f>
        <v>0.21256396944300229</v>
      </c>
      <c r="AM67" s="348">
        <f>AM65/IS!AM8</f>
        <v>0.21309816394390632</v>
      </c>
      <c r="AN67" s="504">
        <f>AN65/IS!AN8</f>
        <v>0.21067063616421183</v>
      </c>
      <c r="AO67" s="348">
        <f>AO65/IS!AO8</f>
        <v>0.20446822355578048</v>
      </c>
      <c r="AP67" s="348">
        <f>AP65/IS!AP8</f>
        <v>0.16799505290641747</v>
      </c>
      <c r="AQ67" s="349">
        <f>AQ65/IS!AQ8</f>
        <v>0.14557434956864343</v>
      </c>
      <c r="AR67" s="504">
        <f>AR65/IS!AR8</f>
        <v>0.1584383068617479</v>
      </c>
      <c r="AS67" s="348">
        <f>AS65/IS!AS8</f>
        <v>0.1339143615005684</v>
      </c>
      <c r="AT67" s="348">
        <f>AT65/IS!AT8</f>
        <v>8.3373660559972348E-2</v>
      </c>
      <c r="AU67" s="349">
        <f>AU65/IS!AU8</f>
        <v>0.14369049215502214</v>
      </c>
      <c r="AV67" s="504">
        <f>AV65/IS!AV8</f>
        <v>9.8233834476718726E-2</v>
      </c>
      <c r="AW67" s="348">
        <f>AW65/IS!AW8</f>
        <v>0.16892041675903346</v>
      </c>
      <c r="AX67" s="348">
        <f>AX65/IS!AX8</f>
        <v>0.15610343516288502</v>
      </c>
      <c r="AY67" s="349">
        <f>AY65/IS!AY8</f>
        <v>0.13087822157078294</v>
      </c>
      <c r="AZ67" s="504">
        <f>AZ65/IS!AZ8</f>
        <v>0.14483644228169776</v>
      </c>
      <c r="BA67" s="348">
        <f>BA65/IS!BA8</f>
        <v>0.1881731355415566</v>
      </c>
      <c r="BB67" s="348">
        <f>BB65/IS!BB8</f>
        <v>0.1844696266022664</v>
      </c>
      <c r="BC67" s="349">
        <f>BC65/IS!BC8</f>
        <v>0.12566703805781973</v>
      </c>
      <c r="BD67" s="504">
        <f>BD65/IS!BD8</f>
        <v>0.21785136312710071</v>
      </c>
      <c r="BE67" s="348">
        <f>BE65/IS!BE8</f>
        <v>0.2145868741631575</v>
      </c>
      <c r="BF67" s="348">
        <f>BF65/IS!BF8</f>
        <v>0.21365417769119843</v>
      </c>
      <c r="BG67" s="1132">
        <f>BG65/IS!BG8</f>
        <v>0.21110389566445947</v>
      </c>
      <c r="BH67" s="504">
        <f>BH65/IS!BH8</f>
        <v>0.21696918849366903</v>
      </c>
      <c r="BI67" s="348">
        <f>BI65/IS!BI8</f>
        <v>0.21229850707873016</v>
      </c>
      <c r="BJ67" s="348">
        <f>BJ65/IS!BJ8</f>
        <v>0.19473522016087114</v>
      </c>
      <c r="BK67" s="1132">
        <f>BK65/IS!BK8</f>
        <v>0.19101759626146053</v>
      </c>
      <c r="BL67" s="1029"/>
      <c r="BM67" s="505">
        <f>BM65/IS!BM8</f>
        <v>0.15121310462061505</v>
      </c>
      <c r="BN67" s="505">
        <f>BN65/IS!BN8</f>
        <v>0.16562093719970605</v>
      </c>
      <c r="BO67" s="505">
        <f>BO65/IS!BO8</f>
        <v>0.13043251421714405</v>
      </c>
      <c r="BP67" s="505">
        <f>BP65/IS!BP8</f>
        <v>0.13826956845634011</v>
      </c>
      <c r="BQ67" s="505">
        <f>BQ65/IS!BQ8</f>
        <v>0.12853360662738064</v>
      </c>
      <c r="BR67" s="348">
        <f>BR65/IS!BR8</f>
        <v>0.11936363844760792</v>
      </c>
      <c r="BS67" s="348">
        <f>BS65/IS!BS8</f>
        <v>0.19933702475971776</v>
      </c>
      <c r="BT67" s="348">
        <f>BT65/IS!BT8</f>
        <v>0.20672653306087249</v>
      </c>
      <c r="BU67" s="348">
        <f>BU65/IS!BU8</f>
        <v>0.20321393336874857</v>
      </c>
      <c r="BV67" s="348">
        <f>BV65/IS!BV8</f>
        <v>0.1808662967603365</v>
      </c>
      <c r="BW67" s="348">
        <f>BW65/IS!BW8</f>
        <v>0.13234576822328606</v>
      </c>
      <c r="BX67" s="348">
        <f>BX65/IS!BX8</f>
        <v>0.16207250745112567</v>
      </c>
      <c r="BY67" s="348">
        <f>BY65/IS!BY8</f>
        <v>0.18766431382546486</v>
      </c>
      <c r="BZ67" s="348">
        <f>BZ65/IS!BZ8</f>
        <v>0.2054898635113068</v>
      </c>
      <c r="CA67" s="348">
        <f>CA65/IS!CA8</f>
        <v>0.20315297719915434</v>
      </c>
      <c r="CB67" s="1218">
        <f>CB65/IS!CB8</f>
        <v>0.20114156158332114</v>
      </c>
      <c r="CC67" s="37"/>
      <c r="CD67" s="26"/>
      <c r="CE67" s="26"/>
    </row>
    <row r="68" spans="1:83" ht="14.25" customHeight="1">
      <c r="A68" s="18"/>
      <c r="B68" s="426" t="s">
        <v>508</v>
      </c>
      <c r="C68" s="34"/>
      <c r="D68" s="506">
        <f t="shared" ref="D68:AQ68" si="361">D16+D39</f>
        <v>-4</v>
      </c>
      <c r="E68" s="507">
        <f t="shared" si="361"/>
        <v>22</v>
      </c>
      <c r="F68" s="507">
        <f t="shared" si="361"/>
        <v>2</v>
      </c>
      <c r="G68" s="508">
        <f t="shared" si="361"/>
        <v>25</v>
      </c>
      <c r="H68" s="506">
        <f t="shared" si="361"/>
        <v>-2</v>
      </c>
      <c r="I68" s="507">
        <f t="shared" si="361"/>
        <v>-37</v>
      </c>
      <c r="J68" s="507">
        <f t="shared" si="361"/>
        <v>-145</v>
      </c>
      <c r="K68" s="508">
        <f t="shared" si="361"/>
        <v>110</v>
      </c>
      <c r="L68" s="506">
        <f t="shared" si="361"/>
        <v>-29</v>
      </c>
      <c r="M68" s="507">
        <f t="shared" si="361"/>
        <v>1</v>
      </c>
      <c r="N68" s="507">
        <f t="shared" si="361"/>
        <v>-137</v>
      </c>
      <c r="O68" s="508">
        <f t="shared" si="361"/>
        <v>19</v>
      </c>
      <c r="P68" s="506">
        <f t="shared" si="361"/>
        <v>95</v>
      </c>
      <c r="Q68" s="507">
        <f t="shared" si="361"/>
        <v>109</v>
      </c>
      <c r="R68" s="507">
        <f t="shared" si="361"/>
        <v>376</v>
      </c>
      <c r="S68" s="508">
        <f t="shared" si="361"/>
        <v>1202</v>
      </c>
      <c r="T68" s="506">
        <f t="shared" si="361"/>
        <v>113</v>
      </c>
      <c r="U68" s="507">
        <f t="shared" si="361"/>
        <v>69</v>
      </c>
      <c r="V68" s="507">
        <f t="shared" si="361"/>
        <v>79</v>
      </c>
      <c r="W68" s="508">
        <f t="shared" si="361"/>
        <v>-91</v>
      </c>
      <c r="X68" s="506">
        <f t="shared" si="361"/>
        <v>31</v>
      </c>
      <c r="Y68" s="507">
        <f t="shared" si="361"/>
        <v>-193</v>
      </c>
      <c r="Z68" s="507">
        <f t="shared" si="361"/>
        <v>-77</v>
      </c>
      <c r="AA68" s="508">
        <f t="shared" si="361"/>
        <v>-109</v>
      </c>
      <c r="AB68" s="507">
        <f t="shared" si="361"/>
        <v>-142</v>
      </c>
      <c r="AC68" s="507">
        <f t="shared" si="361"/>
        <v>25</v>
      </c>
      <c r="AD68" s="507">
        <f t="shared" si="361"/>
        <v>-92</v>
      </c>
      <c r="AE68" s="508">
        <f>AE16+AE39</f>
        <v>-17</v>
      </c>
      <c r="AF68" s="507">
        <f t="shared" si="361"/>
        <v>19</v>
      </c>
      <c r="AG68" s="507">
        <f t="shared" si="361"/>
        <v>-47</v>
      </c>
      <c r="AH68" s="507">
        <f t="shared" si="361"/>
        <v>-53</v>
      </c>
      <c r="AI68" s="507">
        <f t="shared" si="361"/>
        <v>-60</v>
      </c>
      <c r="AJ68" s="506">
        <f t="shared" si="361"/>
        <v>26</v>
      </c>
      <c r="AK68" s="507">
        <f t="shared" si="361"/>
        <v>34</v>
      </c>
      <c r="AL68" s="507">
        <f t="shared" si="361"/>
        <v>-451</v>
      </c>
      <c r="AM68" s="507">
        <f>AM16+AM39</f>
        <v>-34</v>
      </c>
      <c r="AN68" s="506">
        <f t="shared" si="361"/>
        <v>-48</v>
      </c>
      <c r="AO68" s="507">
        <f t="shared" si="361"/>
        <v>-42</v>
      </c>
      <c r="AP68" s="507">
        <f t="shared" si="361"/>
        <v>-34</v>
      </c>
      <c r="AQ68" s="508">
        <f t="shared" si="361"/>
        <v>-230</v>
      </c>
      <c r="AR68" s="506">
        <f>AR16+AR39</f>
        <v>-32</v>
      </c>
      <c r="AS68" s="507">
        <f t="shared" ref="AS68:AW68" si="362">AS16+AS39</f>
        <v>-53</v>
      </c>
      <c r="AT68" s="507">
        <f t="shared" si="362"/>
        <v>-160</v>
      </c>
      <c r="AU68" s="508">
        <f t="shared" si="362"/>
        <v>-18</v>
      </c>
      <c r="AV68" s="506">
        <f t="shared" si="362"/>
        <v>-22</v>
      </c>
      <c r="AW68" s="507">
        <f t="shared" si="362"/>
        <v>-404</v>
      </c>
      <c r="AX68" s="507">
        <f t="shared" ref="AX68:BA68" si="363">AX16+AX39</f>
        <v>12</v>
      </c>
      <c r="AY68" s="508">
        <f t="shared" si="363"/>
        <v>-18</v>
      </c>
      <c r="AZ68" s="506">
        <f t="shared" si="363"/>
        <v>-250</v>
      </c>
      <c r="BA68" s="507">
        <f t="shared" si="363"/>
        <v>648</v>
      </c>
      <c r="BB68" s="507">
        <f t="shared" ref="BB68:BC68" si="364">BB16+BB39</f>
        <v>1354</v>
      </c>
      <c r="BC68" s="508">
        <f t="shared" si="364"/>
        <v>-1211</v>
      </c>
      <c r="BD68" s="506">
        <f t="shared" ref="BD68:BG68" si="365">-BD13</f>
        <v>0</v>
      </c>
      <c r="BE68" s="507">
        <f t="shared" si="365"/>
        <v>0</v>
      </c>
      <c r="BF68" s="507">
        <f t="shared" si="365"/>
        <v>0</v>
      </c>
      <c r="BG68" s="508">
        <f t="shared" si="365"/>
        <v>0</v>
      </c>
      <c r="BH68" s="506">
        <f t="shared" ref="BH68:BK68" si="366">-BH13</f>
        <v>0</v>
      </c>
      <c r="BI68" s="507">
        <f t="shared" si="366"/>
        <v>0</v>
      </c>
      <c r="BJ68" s="507">
        <f t="shared" si="366"/>
        <v>0</v>
      </c>
      <c r="BK68" s="508">
        <f t="shared" si="366"/>
        <v>0</v>
      </c>
      <c r="BL68" s="1029"/>
      <c r="BM68" s="509">
        <f t="shared" ref="BM68:BS68" si="367">BM16</f>
        <v>45</v>
      </c>
      <c r="BN68" s="509">
        <f t="shared" si="367"/>
        <v>-826</v>
      </c>
      <c r="BO68" s="509">
        <f t="shared" si="367"/>
        <v>-178</v>
      </c>
      <c r="BP68" s="509">
        <f t="shared" si="367"/>
        <v>1697</v>
      </c>
      <c r="BQ68" s="509">
        <f t="shared" si="367"/>
        <v>170</v>
      </c>
      <c r="BR68" s="507">
        <f t="shared" si="367"/>
        <v>-348</v>
      </c>
      <c r="BS68" s="507">
        <f t="shared" si="367"/>
        <v>-276</v>
      </c>
      <c r="BT68" s="507">
        <f t="shared" ref="BT68:BY68" si="368">BT16</f>
        <v>-141</v>
      </c>
      <c r="BU68" s="507">
        <f t="shared" si="368"/>
        <v>-425</v>
      </c>
      <c r="BV68" s="507">
        <f t="shared" si="368"/>
        <v>-354</v>
      </c>
      <c r="BW68" s="507">
        <f t="shared" si="368"/>
        <v>-263</v>
      </c>
      <c r="BX68" s="507">
        <f t="shared" si="368"/>
        <v>-432</v>
      </c>
      <c r="BY68" s="507">
        <f t="shared" si="368"/>
        <v>-2583</v>
      </c>
      <c r="BZ68" s="507">
        <f t="shared" ref="BZ68:CA68" si="369">BZ16</f>
        <v>0</v>
      </c>
      <c r="CA68" s="507">
        <f t="shared" si="369"/>
        <v>0</v>
      </c>
      <c r="CB68" s="1216">
        <f>CB16+CB39</f>
        <v>0</v>
      </c>
      <c r="CC68" s="37"/>
      <c r="CD68" s="26"/>
      <c r="CE68" s="26"/>
    </row>
    <row r="69" spans="1:83" ht="14.25" customHeight="1">
      <c r="A69" s="18"/>
      <c r="B69" s="37" t="s">
        <v>236</v>
      </c>
      <c r="C69" s="385"/>
      <c r="D69" s="499">
        <f>16321+24938</f>
        <v>41259</v>
      </c>
      <c r="E69" s="495">
        <f>16624+25705</f>
        <v>42329</v>
      </c>
      <c r="F69" s="495">
        <f>16825+26303</f>
        <v>43128</v>
      </c>
      <c r="G69" s="510">
        <v>44132</v>
      </c>
      <c r="H69" s="499">
        <f>17618+27786</f>
        <v>45404</v>
      </c>
      <c r="I69" s="495">
        <f>18098+28365</f>
        <v>46463</v>
      </c>
      <c r="J69" s="495">
        <f>18038+28937</f>
        <v>46975</v>
      </c>
      <c r="K69" s="510">
        <v>47084</v>
      </c>
      <c r="L69" s="499">
        <f>17617+30293</f>
        <v>47910</v>
      </c>
      <c r="M69" s="495">
        <f>17143+29662</f>
        <v>46805</v>
      </c>
      <c r="N69" s="495">
        <f>16985+29982</f>
        <v>46967</v>
      </c>
      <c r="O69" s="510">
        <v>46052</v>
      </c>
      <c r="P69" s="499">
        <f>16667+30260</f>
        <v>46927</v>
      </c>
      <c r="Q69" s="495">
        <f>16723+29810</f>
        <v>46533</v>
      </c>
      <c r="R69" s="495">
        <f>17026+30342</f>
        <v>47368</v>
      </c>
      <c r="S69" s="510">
        <v>48088</v>
      </c>
      <c r="T69" s="499">
        <f>17815+31195</f>
        <v>49010</v>
      </c>
      <c r="U69" s="495">
        <f>17515+30956</f>
        <v>48471</v>
      </c>
      <c r="V69" s="495">
        <f>17354+31261</f>
        <v>48615</v>
      </c>
      <c r="W69" s="510">
        <v>47822</v>
      </c>
      <c r="X69" s="499">
        <f>17028+30935</f>
        <v>47963</v>
      </c>
      <c r="Y69" s="495">
        <f>16946+31472</f>
        <v>48418</v>
      </c>
      <c r="Z69" s="495">
        <f>17189+31919</f>
        <v>49108</v>
      </c>
      <c r="AA69" s="510">
        <f>17899+32582</f>
        <v>50481</v>
      </c>
      <c r="AB69" s="495">
        <f>19559+33453</f>
        <v>53012</v>
      </c>
      <c r="AC69" s="495">
        <f>20778+34093</f>
        <v>54871</v>
      </c>
      <c r="AD69" s="495">
        <f>22157+34660</f>
        <v>56817</v>
      </c>
      <c r="AE69" s="494">
        <v>58073</v>
      </c>
      <c r="AF69" s="495">
        <f>35575+25027</f>
        <v>60602</v>
      </c>
      <c r="AG69" s="495">
        <v>61999</v>
      </c>
      <c r="AH69" s="495">
        <f>27157+37009</f>
        <v>64166</v>
      </c>
      <c r="AI69" s="495">
        <v>66046</v>
      </c>
      <c r="AJ69" s="499">
        <f>28418+39023</f>
        <v>67441</v>
      </c>
      <c r="AK69" s="495">
        <f>29345+40160</f>
        <v>69505</v>
      </c>
      <c r="AL69" s="495">
        <f>30346+41282</f>
        <v>71628</v>
      </c>
      <c r="AM69" s="495">
        <v>73416</v>
      </c>
      <c r="AN69" s="499">
        <f>32502+42791</f>
        <v>75293</v>
      </c>
      <c r="AO69" s="495">
        <f>33115+44030</f>
        <v>77145</v>
      </c>
      <c r="AP69" s="495">
        <f>79590-534</f>
        <v>79056</v>
      </c>
      <c r="AQ69" s="494">
        <v>79709</v>
      </c>
      <c r="AR69" s="499">
        <f>47990+33296</f>
        <v>81286</v>
      </c>
      <c r="AS69" s="495">
        <f>32683+49645</f>
        <v>82328</v>
      </c>
      <c r="AT69" s="495">
        <f>31597+51405</f>
        <v>83002</v>
      </c>
      <c r="AU69" s="494">
        <v>83396</v>
      </c>
      <c r="AV69" s="499">
        <f>84843</f>
        <v>84843</v>
      </c>
      <c r="AW69" s="495">
        <v>87117</v>
      </c>
      <c r="AX69" s="495">
        <v>88767</v>
      </c>
      <c r="AY69" s="494">
        <v>90105</v>
      </c>
      <c r="AZ69" s="499">
        <v>92084</v>
      </c>
      <c r="BA69" s="495">
        <v>94650</v>
      </c>
      <c r="BB69" s="495">
        <v>97520</v>
      </c>
      <c r="BC69" s="494">
        <v>100395</v>
      </c>
      <c r="BD69" s="526">
        <f t="shared" ref="BD69" si="370">BC69+BD65+BD66+BD68</f>
        <v>104827</v>
      </c>
      <c r="BE69" s="493">
        <f t="shared" ref="BE69" si="371">BD69+BE65+BE66+BE68</f>
        <v>108327</v>
      </c>
      <c r="BF69" s="493">
        <f t="shared" ref="BF69" si="372">BE69+BF65+BF66+BF68</f>
        <v>112077</v>
      </c>
      <c r="BG69" s="1159">
        <f t="shared" ref="BG69" si="373">BF69+BG65+BG66+BG68</f>
        <v>115827</v>
      </c>
      <c r="BH69" s="526">
        <f t="shared" ref="BH69" si="374">BG69+BH65+BH66+BH68</f>
        <v>119327</v>
      </c>
      <c r="BI69" s="493">
        <f t="shared" ref="BI69" si="375">BH69+BI65+BI66+BI68</f>
        <v>122827</v>
      </c>
      <c r="BJ69" s="493">
        <f t="shared" ref="BJ69" si="376">BI69+BJ65+BJ66+BJ68</f>
        <v>126327</v>
      </c>
      <c r="BK69" s="1159">
        <f t="shared" ref="BK69" si="377">BJ69+BK65+BK66+BK68</f>
        <v>129827</v>
      </c>
      <c r="BL69" s="1029"/>
      <c r="BM69" s="498">
        <f>G69</f>
        <v>44132</v>
      </c>
      <c r="BN69" s="498">
        <f>K69</f>
        <v>47084</v>
      </c>
      <c r="BO69" s="498">
        <f>O69</f>
        <v>46052</v>
      </c>
      <c r="BP69" s="498">
        <f>S69</f>
        <v>48088</v>
      </c>
      <c r="BQ69" s="498">
        <f>W69</f>
        <v>47822</v>
      </c>
      <c r="BR69" s="498">
        <f>AA69</f>
        <v>50481</v>
      </c>
      <c r="BS69" s="498">
        <f>AE69</f>
        <v>58073</v>
      </c>
      <c r="BT69" s="498">
        <f>AI69</f>
        <v>66046</v>
      </c>
      <c r="BU69" s="498">
        <f>AM69</f>
        <v>73416</v>
      </c>
      <c r="BV69" s="498">
        <f>AQ69</f>
        <v>79709</v>
      </c>
      <c r="BW69" s="373">
        <f>AU69</f>
        <v>83396</v>
      </c>
      <c r="BX69" s="498">
        <f>AY69</f>
        <v>90105</v>
      </c>
      <c r="BY69" s="498">
        <f>BC69</f>
        <v>100395</v>
      </c>
      <c r="BZ69" s="498">
        <f>BG69</f>
        <v>115827</v>
      </c>
      <c r="CA69" s="498">
        <f>BK69</f>
        <v>129827</v>
      </c>
      <c r="CB69" s="1217">
        <f>CA69+CB65+CB66-CB68</f>
        <v>143827</v>
      </c>
      <c r="CC69" s="37"/>
      <c r="CD69" s="26"/>
      <c r="CE69" s="26"/>
    </row>
    <row r="70" spans="1:83" ht="14.25" customHeight="1">
      <c r="A70" s="18"/>
      <c r="B70" s="502" t="s">
        <v>237</v>
      </c>
      <c r="C70" s="503"/>
      <c r="D70" s="504">
        <f>D69/BS!D26</f>
        <v>0.86740528949249462</v>
      </c>
      <c r="E70" s="348">
        <f>E69/BS!E26</f>
        <v>0.91004665362371806</v>
      </c>
      <c r="F70" s="348">
        <f>F69/BS!F26</f>
        <v>0.91064189189189193</v>
      </c>
      <c r="G70" s="349">
        <f>G69/BS!G26</f>
        <v>0.9134412385643913</v>
      </c>
      <c r="H70" s="504">
        <f>H69/BS!H26</f>
        <v>0.9620714497605628</v>
      </c>
      <c r="I70" s="348">
        <f>I69/BS!I26</f>
        <v>1.0081366082277383</v>
      </c>
      <c r="J70" s="348">
        <f>J69/BS!J26</f>
        <v>1.0025610927328994</v>
      </c>
      <c r="K70" s="349">
        <f>K69/BS!K26</f>
        <v>0.97345352299040688</v>
      </c>
      <c r="L70" s="504">
        <f>L69/BS!L26</f>
        <v>0.98264828944129956</v>
      </c>
      <c r="M70" s="348">
        <f>M69/BS!M26</f>
        <v>0.93062790790153893</v>
      </c>
      <c r="N70" s="348">
        <f>N69/BS!N26</f>
        <v>0.8855182035860405</v>
      </c>
      <c r="O70" s="349">
        <f>O69/BS!O26</f>
        <v>0.82751433038040645</v>
      </c>
      <c r="P70" s="504">
        <f>P69/BS!P26</f>
        <v>0.8789967595107423</v>
      </c>
      <c r="Q70" s="348">
        <f>Q69/BS!Q26</f>
        <v>0.88816994961062756</v>
      </c>
      <c r="R70" s="348">
        <f>R69/BS!R26</f>
        <v>0.89849959217739339</v>
      </c>
      <c r="S70" s="349">
        <f>S69/BS!S26</f>
        <v>0.94820072956718915</v>
      </c>
      <c r="T70" s="504">
        <f>T69/BS!T26</f>
        <v>1.0114748008420358</v>
      </c>
      <c r="U70" s="348">
        <f>U69/BS!U26</f>
        <v>0.98797415462383564</v>
      </c>
      <c r="V70" s="348">
        <f>V69/BS!V26</f>
        <v>0.95331006353439485</v>
      </c>
      <c r="W70" s="349">
        <f>W69/BS!W26</f>
        <v>0.90068744702891046</v>
      </c>
      <c r="X70" s="504">
        <f>X69/BS!X26</f>
        <v>0.85996808491564014</v>
      </c>
      <c r="Y70" s="348">
        <f>Y69/BS!Y26</f>
        <v>0.83926435665875088</v>
      </c>
      <c r="Z70" s="348">
        <f>Z69/BS!Z26</f>
        <v>0.81052353601373206</v>
      </c>
      <c r="AA70" s="349">
        <f>AA69/BS!AA26</f>
        <v>0.79892697749501473</v>
      </c>
      <c r="AB70" s="348">
        <f>AB69/BS!AB26</f>
        <v>0.80870148889431293</v>
      </c>
      <c r="AC70" s="348">
        <f>AC69/BS!AC26</f>
        <v>0.83025919593275732</v>
      </c>
      <c r="AD70" s="348">
        <f>AD69/BS!AD26</f>
        <v>0.80533231279499939</v>
      </c>
      <c r="AE70" s="349">
        <f>AE69/BS!AE26</f>
        <v>0.81656097526680638</v>
      </c>
      <c r="AF70" s="348">
        <f>AF69/BS!AF26</f>
        <v>0.84383920241725496</v>
      </c>
      <c r="AG70" s="348">
        <f>AG69/BS!AG26</f>
        <v>0.85690789473684215</v>
      </c>
      <c r="AH70" s="348">
        <f>AH69/BS!AH26</f>
        <v>0.86197122553431582</v>
      </c>
      <c r="AI70" s="348">
        <f>AI69/BS!AI26</f>
        <v>0.78299012459840434</v>
      </c>
      <c r="AJ70" s="504">
        <f>AJ69/BS!AJ26</f>
        <v>0.81173043823646229</v>
      </c>
      <c r="AK70" s="348">
        <f>AK69/BS!AK26</f>
        <v>0.81139608456590517</v>
      </c>
      <c r="AL70" s="348">
        <f>AL69/BS!AL26</f>
        <v>0.79102384291725103</v>
      </c>
      <c r="AM70" s="348">
        <f>AM69/BS!AM26</f>
        <v>0.79490677580718505</v>
      </c>
      <c r="AN70" s="504">
        <f>AN69/BS!AN26</f>
        <v>0.81900752730278903</v>
      </c>
      <c r="AO70" s="348">
        <f>AO69/BS!AO26</f>
        <v>0.8404235617094985</v>
      </c>
      <c r="AP70" s="348">
        <f>AP69/BS!AP26</f>
        <v>0.86785079149010913</v>
      </c>
      <c r="AQ70" s="349">
        <f>AQ69/BS!AQ26</f>
        <v>0.86681673844012352</v>
      </c>
      <c r="AR70" s="504">
        <f>AR69/BS!AR26</f>
        <v>0.90755420583703639</v>
      </c>
      <c r="AS70" s="348">
        <f>AS69/BS!AS26</f>
        <v>0.90978208018388362</v>
      </c>
      <c r="AT70" s="348">
        <f>AT69/BS!AT26</f>
        <v>0.84221527721405953</v>
      </c>
      <c r="AU70" s="349">
        <f>AU69/BS!AU26</f>
        <v>0.80915926842283992</v>
      </c>
      <c r="AV70" s="504">
        <f>AV69/BS!AV26</f>
        <v>0.80445068125574826</v>
      </c>
      <c r="AW70" s="348">
        <f>AW69/BS!AW26</f>
        <v>0.79319135763126991</v>
      </c>
      <c r="AX70" s="348">
        <f>AX69/BS!AX26</f>
        <v>0.79102987960825899</v>
      </c>
      <c r="AY70" s="349">
        <f>AY69/BS!AY26</f>
        <v>0.79508854906597726</v>
      </c>
      <c r="AZ70" s="504">
        <f>AZ69/BS!AZ26</f>
        <v>0.79624377421140013</v>
      </c>
      <c r="BA70" s="348">
        <f>BA69/BS!BA26</f>
        <v>0.77513983637301709</v>
      </c>
      <c r="BB70" s="348">
        <f>BB69/BS!BB26</f>
        <v>0.76734231398715846</v>
      </c>
      <c r="BC70" s="349">
        <f>BC69/BS!BC26</f>
        <v>0.81457050361463379</v>
      </c>
      <c r="BD70" s="504">
        <f>BD69/BS!BD26</f>
        <v>0.81516532396030983</v>
      </c>
      <c r="BE70" s="348">
        <f>BE69/BS!BE26</f>
        <v>0.82866721628435802</v>
      </c>
      <c r="BF70" s="348">
        <f>BF69/BS!BF26</f>
        <v>0.83290568213374749</v>
      </c>
      <c r="BG70" s="1132">
        <f>BG69/BS!BG26</f>
        <v>0.83771372065540262</v>
      </c>
      <c r="BH70" s="504">
        <f>BH69/BS!BH26</f>
        <v>0.84852932341768494</v>
      </c>
      <c r="BI70" s="348">
        <f>BI69/BS!BI26</f>
        <v>0.85547436441199043</v>
      </c>
      <c r="BJ70" s="348">
        <f>BJ69/BS!BJ26</f>
        <v>0.8562757317816968</v>
      </c>
      <c r="BK70" s="1132">
        <f>BK69/BS!BK26</f>
        <v>0.85761685375785557</v>
      </c>
      <c r="BL70" s="1029"/>
      <c r="BM70" s="348">
        <f>BM69/BS!BM26</f>
        <v>0.9134412385643913</v>
      </c>
      <c r="BN70" s="348">
        <f>BN69/BS!BN26</f>
        <v>0.97345352299040688</v>
      </c>
      <c r="BO70" s="348">
        <f>BO69/BS!BO26</f>
        <v>0.82751433038040645</v>
      </c>
      <c r="BP70" s="348">
        <f>BP69/BS!BP26</f>
        <v>0.94820072956718915</v>
      </c>
      <c r="BQ70" s="348">
        <f>BQ69/BS!BQ26</f>
        <v>0.90068744702891046</v>
      </c>
      <c r="BR70" s="348">
        <f>BR69/BS!BR26</f>
        <v>0.79892697749501473</v>
      </c>
      <c r="BS70" s="348">
        <f>BS69/BS!BS26</f>
        <v>0.81656097526680638</v>
      </c>
      <c r="BT70" s="348">
        <f>BT69/BS!BT26</f>
        <v>0.78299012459840434</v>
      </c>
      <c r="BU70" s="348">
        <f>BU69/BS!BU26</f>
        <v>0.79490677580718505</v>
      </c>
      <c r="BV70" s="348">
        <f>BV69/BS!BV26</f>
        <v>0.86681673844012352</v>
      </c>
      <c r="BW70" s="348">
        <f>BW69/BS!BW26</f>
        <v>0.80915926842283992</v>
      </c>
      <c r="BX70" s="348">
        <f>BX69/BS!BX26</f>
        <v>0.79508854906597726</v>
      </c>
      <c r="BY70" s="348">
        <f>BY69/BS!BY26</f>
        <v>0.81457050361463379</v>
      </c>
      <c r="BZ70" s="348">
        <f>BZ69/BS!BZ26</f>
        <v>0.83771372065540262</v>
      </c>
      <c r="CA70" s="348">
        <f>CA69/BS!CA26</f>
        <v>0.85761685375785557</v>
      </c>
      <c r="CB70" s="1218">
        <f>CB69/BS!CB26</f>
        <v>0.87341987980614733</v>
      </c>
      <c r="CC70" s="37"/>
      <c r="CD70" s="26"/>
      <c r="CE70" s="26"/>
    </row>
    <row r="71" spans="1:83" ht="14.25" customHeight="1">
      <c r="A71" s="18"/>
      <c r="B71" s="426" t="s">
        <v>238</v>
      </c>
      <c r="C71" s="34"/>
      <c r="D71" s="512">
        <v>24938</v>
      </c>
      <c r="E71" s="501">
        <v>25705</v>
      </c>
      <c r="F71" s="501">
        <v>26303</v>
      </c>
      <c r="G71" s="513">
        <v>27021</v>
      </c>
      <c r="H71" s="512">
        <v>27786</v>
      </c>
      <c r="I71" s="501">
        <v>28365</v>
      </c>
      <c r="J71" s="501">
        <v>28937</v>
      </c>
      <c r="K71" s="513">
        <v>29482</v>
      </c>
      <c r="L71" s="512">
        <v>30293</v>
      </c>
      <c r="M71" s="501">
        <v>29662</v>
      </c>
      <c r="N71" s="501">
        <v>29982</v>
      </c>
      <c r="O71" s="513">
        <v>29134</v>
      </c>
      <c r="P71" s="512">
        <v>30260</v>
      </c>
      <c r="Q71" s="501">
        <v>29810</v>
      </c>
      <c r="R71" s="501">
        <v>30342</v>
      </c>
      <c r="S71" s="513">
        <v>30544</v>
      </c>
      <c r="T71" s="512">
        <v>31195</v>
      </c>
      <c r="U71" s="501">
        <v>30956</v>
      </c>
      <c r="V71" s="501">
        <v>31261</v>
      </c>
      <c r="W71" s="513">
        <v>30597</v>
      </c>
      <c r="X71" s="512">
        <v>30935</v>
      </c>
      <c r="Y71" s="501">
        <v>31472</v>
      </c>
      <c r="Z71" s="501">
        <v>31919</v>
      </c>
      <c r="AA71" s="513">
        <v>32582</v>
      </c>
      <c r="AB71" s="514">
        <v>33453</v>
      </c>
      <c r="AC71" s="514">
        <v>34093</v>
      </c>
      <c r="AD71" s="514">
        <v>34660</v>
      </c>
      <c r="AE71" s="500">
        <v>34446</v>
      </c>
      <c r="AF71" s="514">
        <v>35575</v>
      </c>
      <c r="AG71" s="514">
        <v>36023</v>
      </c>
      <c r="AH71" s="514">
        <v>37009</v>
      </c>
      <c r="AI71" s="501">
        <v>38063</v>
      </c>
      <c r="AJ71" s="512">
        <v>39023</v>
      </c>
      <c r="AK71" s="514">
        <v>40160</v>
      </c>
      <c r="AL71" s="514">
        <v>41282</v>
      </c>
      <c r="AM71" s="501">
        <v>41988</v>
      </c>
      <c r="AN71" s="512">
        <v>42791</v>
      </c>
      <c r="AO71" s="514">
        <v>44030</v>
      </c>
      <c r="AP71" s="514">
        <f>AO71+AP79</f>
        <v>45921</v>
      </c>
      <c r="AQ71" s="500">
        <v>46471</v>
      </c>
      <c r="AR71" s="512">
        <v>47990</v>
      </c>
      <c r="AS71" s="514">
        <v>49645</v>
      </c>
      <c r="AT71" s="514">
        <v>51405</v>
      </c>
      <c r="AU71" s="500">
        <v>51538</v>
      </c>
      <c r="AV71" s="512">
        <v>52199</v>
      </c>
      <c r="AW71" s="514">
        <v>53313</v>
      </c>
      <c r="AX71" s="514">
        <v>54060</v>
      </c>
      <c r="AY71" s="500">
        <v>53934</v>
      </c>
      <c r="AZ71" s="512">
        <v>55173</v>
      </c>
      <c r="BA71" s="514">
        <v>56520</v>
      </c>
      <c r="BB71" s="514">
        <v>58048</v>
      </c>
      <c r="BC71" s="500">
        <v>59286</v>
      </c>
      <c r="BD71" s="1028">
        <f t="shared" ref="BD71" si="378">BC71+BD79</f>
        <v>61092</v>
      </c>
      <c r="BE71" s="498">
        <f t="shared" ref="BE71" si="379">BD71+BE79</f>
        <v>62898</v>
      </c>
      <c r="BF71" s="498">
        <f t="shared" ref="BF71" si="380">BE71+BF79</f>
        <v>64898</v>
      </c>
      <c r="BG71" s="1160">
        <f t="shared" ref="BG71" si="381">BF71+BG79</f>
        <v>66898</v>
      </c>
      <c r="BH71" s="1028">
        <f t="shared" ref="BH71" si="382">BG71+BH79</f>
        <v>68898</v>
      </c>
      <c r="BI71" s="498">
        <f t="shared" ref="BI71" si="383">BH71+BI79</f>
        <v>70898</v>
      </c>
      <c r="BJ71" s="498">
        <f t="shared" ref="BJ71" si="384">BI71+BJ79</f>
        <v>72898</v>
      </c>
      <c r="BK71" s="1160">
        <f t="shared" ref="BK71" si="385">BJ71+BK79</f>
        <v>74898</v>
      </c>
      <c r="BL71" s="1029"/>
      <c r="BM71" s="507">
        <f>G71</f>
        <v>27021</v>
      </c>
      <c r="BN71" s="507">
        <f>K71</f>
        <v>29482</v>
      </c>
      <c r="BO71" s="507">
        <f>O71</f>
        <v>29134</v>
      </c>
      <c r="BP71" s="507">
        <f>S71</f>
        <v>30544</v>
      </c>
      <c r="BQ71" s="507">
        <f>W71</f>
        <v>30597</v>
      </c>
      <c r="BR71" s="507">
        <f>AA71</f>
        <v>32582</v>
      </c>
      <c r="BS71" s="507">
        <f>AE71</f>
        <v>34446</v>
      </c>
      <c r="BT71" s="507">
        <f>AI71</f>
        <v>38063</v>
      </c>
      <c r="BU71" s="507">
        <f>AM71</f>
        <v>41988</v>
      </c>
      <c r="BV71" s="507">
        <f>AQ71</f>
        <v>46471</v>
      </c>
      <c r="BW71" s="507">
        <f>AU71</f>
        <v>51538</v>
      </c>
      <c r="BX71" s="507">
        <f>AY71</f>
        <v>53934</v>
      </c>
      <c r="BY71" s="507">
        <f>BC71</f>
        <v>59286</v>
      </c>
      <c r="BZ71" s="507">
        <f>BG71</f>
        <v>66898</v>
      </c>
      <c r="CA71" s="507">
        <f>BK71</f>
        <v>74898</v>
      </c>
      <c r="CB71" s="1216">
        <f>CA71+CB79</f>
        <v>83726.236000000004</v>
      </c>
      <c r="CC71" s="37"/>
      <c r="CD71" s="26"/>
      <c r="CE71" s="26"/>
    </row>
    <row r="72" spans="1:83" ht="14.25" customHeight="1">
      <c r="A72" s="18"/>
      <c r="B72" s="515" t="s">
        <v>239</v>
      </c>
      <c r="C72" s="516"/>
      <c r="D72" s="517">
        <f t="shared" ref="D72:AR72" si="386">D69-D71</f>
        <v>16321</v>
      </c>
      <c r="E72" s="518">
        <f t="shared" si="386"/>
        <v>16624</v>
      </c>
      <c r="F72" s="518">
        <f t="shared" si="386"/>
        <v>16825</v>
      </c>
      <c r="G72" s="519">
        <f t="shared" si="386"/>
        <v>17111</v>
      </c>
      <c r="H72" s="517">
        <f t="shared" si="386"/>
        <v>17618</v>
      </c>
      <c r="I72" s="518">
        <f t="shared" si="386"/>
        <v>18098</v>
      </c>
      <c r="J72" s="518">
        <f t="shared" si="386"/>
        <v>18038</v>
      </c>
      <c r="K72" s="519">
        <f t="shared" si="386"/>
        <v>17602</v>
      </c>
      <c r="L72" s="517">
        <f t="shared" si="386"/>
        <v>17617</v>
      </c>
      <c r="M72" s="518">
        <f t="shared" si="386"/>
        <v>17143</v>
      </c>
      <c r="N72" s="518">
        <f t="shared" si="386"/>
        <v>16985</v>
      </c>
      <c r="O72" s="519">
        <f t="shared" si="386"/>
        <v>16918</v>
      </c>
      <c r="P72" s="517">
        <f t="shared" si="386"/>
        <v>16667</v>
      </c>
      <c r="Q72" s="518">
        <f t="shared" si="386"/>
        <v>16723</v>
      </c>
      <c r="R72" s="518">
        <f t="shared" si="386"/>
        <v>17026</v>
      </c>
      <c r="S72" s="519">
        <f t="shared" si="386"/>
        <v>17544</v>
      </c>
      <c r="T72" s="517">
        <f t="shared" si="386"/>
        <v>17815</v>
      </c>
      <c r="U72" s="518">
        <f t="shared" si="386"/>
        <v>17515</v>
      </c>
      <c r="V72" s="518">
        <f t="shared" si="386"/>
        <v>17354</v>
      </c>
      <c r="W72" s="519">
        <f t="shared" si="386"/>
        <v>17225</v>
      </c>
      <c r="X72" s="517">
        <f t="shared" si="386"/>
        <v>17028</v>
      </c>
      <c r="Y72" s="518">
        <f t="shared" si="386"/>
        <v>16946</v>
      </c>
      <c r="Z72" s="518">
        <f t="shared" si="386"/>
        <v>17189</v>
      </c>
      <c r="AA72" s="519">
        <f t="shared" si="386"/>
        <v>17899</v>
      </c>
      <c r="AB72" s="518">
        <f t="shared" si="386"/>
        <v>19559</v>
      </c>
      <c r="AC72" s="518">
        <f t="shared" si="386"/>
        <v>20778</v>
      </c>
      <c r="AD72" s="518">
        <f>AD69-AD71</f>
        <v>22157</v>
      </c>
      <c r="AE72" s="519">
        <f>AE69-AE71</f>
        <v>23627</v>
      </c>
      <c r="AF72" s="518">
        <f t="shared" si="386"/>
        <v>25027</v>
      </c>
      <c r="AG72" s="518">
        <f t="shared" si="386"/>
        <v>25976</v>
      </c>
      <c r="AH72" s="518">
        <f>AH69-AH71</f>
        <v>27157</v>
      </c>
      <c r="AI72" s="518">
        <f>AI69-AI71</f>
        <v>27983</v>
      </c>
      <c r="AJ72" s="517">
        <f t="shared" si="386"/>
        <v>28418</v>
      </c>
      <c r="AK72" s="518">
        <f t="shared" si="386"/>
        <v>29345</v>
      </c>
      <c r="AL72" s="518">
        <f>AL69-AL71</f>
        <v>30346</v>
      </c>
      <c r="AM72" s="518">
        <f>AM69-AM71</f>
        <v>31428</v>
      </c>
      <c r="AN72" s="517">
        <f t="shared" si="386"/>
        <v>32502</v>
      </c>
      <c r="AO72" s="518">
        <f>AO69-AO71</f>
        <v>33115</v>
      </c>
      <c r="AP72" s="518">
        <f>AP69-AP71</f>
        <v>33135</v>
      </c>
      <c r="AQ72" s="519">
        <f t="shared" si="386"/>
        <v>33238</v>
      </c>
      <c r="AR72" s="517">
        <f t="shared" si="386"/>
        <v>33296</v>
      </c>
      <c r="AS72" s="518">
        <f>AS69-AS71</f>
        <v>32683</v>
      </c>
      <c r="AT72" s="518">
        <f t="shared" ref="AT72:AW72" si="387">AT69-AT71</f>
        <v>31597</v>
      </c>
      <c r="AU72" s="519">
        <f t="shared" si="387"/>
        <v>31858</v>
      </c>
      <c r="AV72" s="517">
        <f t="shared" si="387"/>
        <v>32644</v>
      </c>
      <c r="AW72" s="518">
        <f t="shared" si="387"/>
        <v>33804</v>
      </c>
      <c r="AX72" s="518">
        <f t="shared" ref="AX72:AY72" si="388">AX69-AX71</f>
        <v>34707</v>
      </c>
      <c r="AY72" s="519">
        <f t="shared" si="388"/>
        <v>36171</v>
      </c>
      <c r="AZ72" s="517">
        <f t="shared" ref="AZ72:BB72" si="389">AZ69-AZ71</f>
        <v>36911</v>
      </c>
      <c r="BA72" s="518">
        <f t="shared" si="389"/>
        <v>38130</v>
      </c>
      <c r="BB72" s="518">
        <f t="shared" si="389"/>
        <v>39472</v>
      </c>
      <c r="BC72" s="519">
        <f>BC69-BC71</f>
        <v>41109</v>
      </c>
      <c r="BD72" s="517">
        <f t="shared" ref="BD72:BG72" si="390">BD69-BD71</f>
        <v>43735</v>
      </c>
      <c r="BE72" s="518">
        <f t="shared" si="390"/>
        <v>45429</v>
      </c>
      <c r="BF72" s="518">
        <f t="shared" si="390"/>
        <v>47179</v>
      </c>
      <c r="BG72" s="519">
        <f t="shared" si="390"/>
        <v>48929</v>
      </c>
      <c r="BH72" s="517">
        <f t="shared" ref="BH72:BK72" si="391">BH69-BH71</f>
        <v>50429</v>
      </c>
      <c r="BI72" s="518">
        <f t="shared" si="391"/>
        <v>51929</v>
      </c>
      <c r="BJ72" s="518">
        <f t="shared" si="391"/>
        <v>53429</v>
      </c>
      <c r="BK72" s="519">
        <f t="shared" si="391"/>
        <v>54929</v>
      </c>
      <c r="BL72" s="1029"/>
      <c r="BM72" s="518">
        <f t="shared" ref="BM72:BY72" si="392">BM69-BM71</f>
        <v>17111</v>
      </c>
      <c r="BN72" s="518">
        <f t="shared" si="392"/>
        <v>17602</v>
      </c>
      <c r="BO72" s="518">
        <f t="shared" si="392"/>
        <v>16918</v>
      </c>
      <c r="BP72" s="518">
        <f t="shared" si="392"/>
        <v>17544</v>
      </c>
      <c r="BQ72" s="518">
        <f t="shared" si="392"/>
        <v>17225</v>
      </c>
      <c r="BR72" s="518">
        <f t="shared" si="392"/>
        <v>17899</v>
      </c>
      <c r="BS72" s="518">
        <f t="shared" si="392"/>
        <v>23627</v>
      </c>
      <c r="BT72" s="518">
        <f t="shared" si="392"/>
        <v>27983</v>
      </c>
      <c r="BU72" s="518">
        <f t="shared" si="392"/>
        <v>31428</v>
      </c>
      <c r="BV72" s="518">
        <f t="shared" si="392"/>
        <v>33238</v>
      </c>
      <c r="BW72" s="605">
        <f>BW69-BW71</f>
        <v>31858</v>
      </c>
      <c r="BX72" s="518">
        <f>BX69-BX71</f>
        <v>36171</v>
      </c>
      <c r="BY72" s="518">
        <f t="shared" si="392"/>
        <v>41109</v>
      </c>
      <c r="BZ72" s="518">
        <f t="shared" ref="BZ72:CB72" si="393">BZ69-BZ71</f>
        <v>48929</v>
      </c>
      <c r="CA72" s="518">
        <f t="shared" si="393"/>
        <v>54929</v>
      </c>
      <c r="CB72" s="1219">
        <f t="shared" si="393"/>
        <v>60100.763999999996</v>
      </c>
      <c r="CC72" s="37"/>
      <c r="CD72" s="26"/>
      <c r="CE72" s="26"/>
    </row>
    <row r="73" spans="1:83" ht="14.25" customHeight="1">
      <c r="A73" s="18"/>
      <c r="B73" s="198"/>
      <c r="C73" s="198"/>
      <c r="D73" s="520"/>
      <c r="E73" s="520"/>
      <c r="F73" s="520"/>
      <c r="G73" s="520"/>
      <c r="H73" s="520"/>
      <c r="I73" s="520"/>
      <c r="J73" s="520"/>
      <c r="K73" s="520"/>
      <c r="L73" s="520"/>
      <c r="M73" s="520"/>
      <c r="N73" s="520"/>
      <c r="O73" s="520"/>
      <c r="P73" s="520"/>
      <c r="Q73" s="520"/>
      <c r="R73" s="520"/>
      <c r="S73" s="520"/>
      <c r="T73" s="520"/>
      <c r="U73" s="520"/>
      <c r="V73" s="520"/>
      <c r="W73" s="520"/>
      <c r="X73" s="520"/>
      <c r="Y73" s="520"/>
      <c r="Z73" s="520"/>
      <c r="AA73" s="520"/>
      <c r="AB73" s="520"/>
      <c r="AC73" s="520"/>
      <c r="AD73" s="520"/>
      <c r="AE73" s="520"/>
      <c r="AF73" s="520"/>
      <c r="AG73" s="520"/>
      <c r="AH73" s="520"/>
      <c r="AI73" s="520"/>
      <c r="AJ73" s="521"/>
      <c r="AK73" s="520"/>
      <c r="AL73" s="520"/>
      <c r="AM73" s="520"/>
      <c r="AN73" s="521"/>
      <c r="AO73" s="520"/>
      <c r="AP73" s="520"/>
      <c r="AQ73" s="520"/>
      <c r="AR73" s="521"/>
      <c r="AS73" s="520"/>
      <c r="AT73" s="520"/>
      <c r="AU73" s="520"/>
      <c r="AV73" s="521"/>
      <c r="AW73" s="520"/>
      <c r="AX73" s="520"/>
      <c r="AY73" s="520"/>
      <c r="AZ73" s="521"/>
      <c r="BA73" s="520"/>
      <c r="BB73" s="520"/>
      <c r="BC73" s="1031"/>
      <c r="BD73" s="521"/>
      <c r="BE73" s="520"/>
      <c r="BF73" s="520"/>
      <c r="BG73" s="1161"/>
      <c r="BH73" s="521"/>
      <c r="BI73" s="520"/>
      <c r="BJ73" s="520"/>
      <c r="BK73" s="1161"/>
      <c r="BL73" s="26"/>
      <c r="BM73" s="520"/>
      <c r="BN73" s="520"/>
      <c r="BO73" s="520"/>
      <c r="BP73" s="520"/>
      <c r="BQ73" s="520"/>
      <c r="BR73" s="520"/>
      <c r="BS73" s="520"/>
      <c r="BT73" s="520"/>
      <c r="BU73" s="520"/>
      <c r="BV73" s="520"/>
      <c r="BW73" s="554"/>
      <c r="BX73" s="520"/>
      <c r="BY73" s="520"/>
      <c r="BZ73" s="520"/>
      <c r="CA73" s="520"/>
      <c r="CB73" s="1220"/>
      <c r="CC73" s="26"/>
      <c r="CD73" s="26"/>
      <c r="CE73" s="26"/>
    </row>
    <row r="74" spans="1:83" ht="14.25" customHeight="1">
      <c r="A74" s="18"/>
      <c r="B74" s="412" t="s">
        <v>210</v>
      </c>
      <c r="C74" s="413"/>
      <c r="D74" s="522">
        <f>BS!D19</f>
        <v>16321</v>
      </c>
      <c r="E74" s="479">
        <f>BS!E19</f>
        <v>16624</v>
      </c>
      <c r="F74" s="479">
        <f>BS!F19</f>
        <v>16825</v>
      </c>
      <c r="G74" s="374">
        <f>BS!G19</f>
        <v>17111</v>
      </c>
      <c r="H74" s="522">
        <f>BS!H19</f>
        <v>17618</v>
      </c>
      <c r="I74" s="479">
        <f>BS!I19</f>
        <v>18098</v>
      </c>
      <c r="J74" s="479">
        <f>BS!J19</f>
        <v>18038</v>
      </c>
      <c r="K74" s="374">
        <f>BS!K19</f>
        <v>17602</v>
      </c>
      <c r="L74" s="522">
        <f>BS!L19</f>
        <v>17617</v>
      </c>
      <c r="M74" s="479">
        <f>BS!M19</f>
        <v>17143</v>
      </c>
      <c r="N74" s="479">
        <f>BS!N19</f>
        <v>16985</v>
      </c>
      <c r="O74" s="374">
        <f>BS!O19</f>
        <v>16918</v>
      </c>
      <c r="P74" s="522">
        <f>BS!P19</f>
        <v>16667</v>
      </c>
      <c r="Q74" s="479">
        <f>BS!Q19</f>
        <v>16723</v>
      </c>
      <c r="R74" s="479">
        <f>BS!R19</f>
        <v>17026</v>
      </c>
      <c r="S74" s="374">
        <f>BS!S19</f>
        <v>17544</v>
      </c>
      <c r="T74" s="522">
        <f>BS!T19</f>
        <v>17815</v>
      </c>
      <c r="U74" s="479">
        <f>BS!U19</f>
        <v>17515</v>
      </c>
      <c r="V74" s="479">
        <f>BS!V19</f>
        <v>17354</v>
      </c>
      <c r="W74" s="374">
        <f>BS!W19</f>
        <v>17225</v>
      </c>
      <c r="X74" s="522">
        <f>BS!X19</f>
        <v>17028</v>
      </c>
      <c r="Y74" s="479">
        <f>BS!Y19</f>
        <v>16946</v>
      </c>
      <c r="Z74" s="479">
        <f>BS!Z19</f>
        <v>17189</v>
      </c>
      <c r="AA74" s="374">
        <f>BS!AA19</f>
        <v>17899</v>
      </c>
      <c r="AB74" s="479">
        <f>BS!AB19</f>
        <v>19559</v>
      </c>
      <c r="AC74" s="479">
        <f>BS!AC19</f>
        <v>20778</v>
      </c>
      <c r="AD74" s="479">
        <f>BS!AD19</f>
        <v>22157</v>
      </c>
      <c r="AE74" s="374">
        <f>BS!AE19</f>
        <v>23627</v>
      </c>
      <c r="AF74" s="479">
        <f>BS!AF19</f>
        <v>25027</v>
      </c>
      <c r="AG74" s="479">
        <f>BS!AG19</f>
        <v>25976</v>
      </c>
      <c r="AH74" s="479">
        <f>BS!AH19</f>
        <v>27157</v>
      </c>
      <c r="AI74" s="479">
        <f>BS!AI19</f>
        <v>27983</v>
      </c>
      <c r="AJ74" s="522">
        <f>BS!AJ19</f>
        <v>28418</v>
      </c>
      <c r="AK74" s="479">
        <f>BS!AK19</f>
        <v>29345</v>
      </c>
      <c r="AL74" s="479">
        <f>BS!AL19</f>
        <v>30346</v>
      </c>
      <c r="AM74" s="479">
        <f>BS!AM19</f>
        <v>31428</v>
      </c>
      <c r="AN74" s="522">
        <f>BS!AN19</f>
        <v>32502</v>
      </c>
      <c r="AO74" s="479">
        <f>BS!AO19</f>
        <v>33115</v>
      </c>
      <c r="AP74" s="479">
        <f>BS!AP19</f>
        <v>33135</v>
      </c>
      <c r="AQ74" s="479">
        <f>BS!AQ19</f>
        <v>33238</v>
      </c>
      <c r="AR74" s="522">
        <f>BS!AR19</f>
        <v>33296</v>
      </c>
      <c r="AS74" s="479">
        <f>BS!AS19</f>
        <v>32683</v>
      </c>
      <c r="AT74" s="479">
        <f>BS!AT19</f>
        <v>31597</v>
      </c>
      <c r="AU74" s="479">
        <f>BS!AU19</f>
        <v>31858</v>
      </c>
      <c r="AV74" s="522">
        <f>BS!AV19</f>
        <v>32644</v>
      </c>
      <c r="AW74" s="479">
        <f>BS!AW19</f>
        <v>33804</v>
      </c>
      <c r="AX74" s="479">
        <f>BS!AX19</f>
        <v>34707</v>
      </c>
      <c r="AY74" s="479">
        <f>BS!AY19</f>
        <v>36171</v>
      </c>
      <c r="AZ74" s="522">
        <f>BS!AZ19</f>
        <v>36911</v>
      </c>
      <c r="BA74" s="479">
        <f>BS!BA19</f>
        <v>38130</v>
      </c>
      <c r="BB74" s="479">
        <f>BS!BB19</f>
        <v>39472</v>
      </c>
      <c r="BC74" s="374">
        <f>BS!BC19</f>
        <v>41109</v>
      </c>
      <c r="BD74" s="522">
        <f>BS!BD19</f>
        <v>43735</v>
      </c>
      <c r="BE74" s="479">
        <f>BS!BE19</f>
        <v>45429</v>
      </c>
      <c r="BF74" s="479">
        <f>BS!BF19</f>
        <v>47179</v>
      </c>
      <c r="BG74" s="374">
        <f>BS!BG19</f>
        <v>48929</v>
      </c>
      <c r="BH74" s="522">
        <f>BS!BH19</f>
        <v>50429</v>
      </c>
      <c r="BI74" s="479">
        <f>BS!BI19</f>
        <v>51929</v>
      </c>
      <c r="BJ74" s="479">
        <f>BS!BJ19</f>
        <v>53429</v>
      </c>
      <c r="BK74" s="374">
        <f>BS!BK19</f>
        <v>54929</v>
      </c>
      <c r="BL74" s="1030"/>
      <c r="BM74" s="373">
        <f>BS!BM19</f>
        <v>17111</v>
      </c>
      <c r="BN74" s="373">
        <f>BS!BN19</f>
        <v>17602</v>
      </c>
      <c r="BO74" s="373">
        <f>BS!BO19</f>
        <v>16918</v>
      </c>
      <c r="BP74" s="373">
        <f>BS!BP19</f>
        <v>17544</v>
      </c>
      <c r="BQ74" s="373">
        <f>BS!BQ19</f>
        <v>17225</v>
      </c>
      <c r="BR74" s="373">
        <f>BS!BR19</f>
        <v>17899</v>
      </c>
      <c r="BS74" s="373">
        <f>BS!BS19</f>
        <v>23627</v>
      </c>
      <c r="BT74" s="373">
        <f>BS!BT19</f>
        <v>27983</v>
      </c>
      <c r="BU74" s="373">
        <f>BS!BU19</f>
        <v>31428</v>
      </c>
      <c r="BV74" s="522">
        <f>BS!BV19</f>
        <v>33238</v>
      </c>
      <c r="BW74" s="479">
        <f>BS!BW19</f>
        <v>31858</v>
      </c>
      <c r="BX74" s="479">
        <f>BS!BX19</f>
        <v>36171</v>
      </c>
      <c r="BY74" s="479">
        <f>BS!BY19</f>
        <v>41109</v>
      </c>
      <c r="BZ74" s="479">
        <f>BS!BZ19</f>
        <v>48929</v>
      </c>
      <c r="CA74" s="479">
        <f>BS!CA19</f>
        <v>54929</v>
      </c>
      <c r="CB74" s="1213">
        <f>BS!CB19</f>
        <v>60100.763999999996</v>
      </c>
      <c r="CC74" s="37"/>
      <c r="CD74" s="26"/>
      <c r="CE74" s="26"/>
    </row>
    <row r="75" spans="1:83" ht="14.25" customHeight="1" outlineLevel="1">
      <c r="A75" s="18"/>
      <c r="B75" s="330" t="s">
        <v>193</v>
      </c>
      <c r="C75" s="331"/>
      <c r="D75" s="332">
        <f t="shared" ref="D75:AR75" si="394">IF(ROUND(D74,4)=ROUND(D72,4),0,(D74-D72))</f>
        <v>0</v>
      </c>
      <c r="E75" s="333">
        <f t="shared" si="394"/>
        <v>0</v>
      </c>
      <c r="F75" s="333">
        <f t="shared" si="394"/>
        <v>0</v>
      </c>
      <c r="G75" s="334">
        <f t="shared" si="394"/>
        <v>0</v>
      </c>
      <c r="H75" s="332">
        <f t="shared" si="394"/>
        <v>0</v>
      </c>
      <c r="I75" s="333">
        <f t="shared" si="394"/>
        <v>0</v>
      </c>
      <c r="J75" s="333">
        <f t="shared" si="394"/>
        <v>0</v>
      </c>
      <c r="K75" s="334">
        <f t="shared" si="394"/>
        <v>0</v>
      </c>
      <c r="L75" s="332">
        <f t="shared" si="394"/>
        <v>0</v>
      </c>
      <c r="M75" s="333">
        <f t="shared" si="394"/>
        <v>0</v>
      </c>
      <c r="N75" s="333">
        <f t="shared" si="394"/>
        <v>0</v>
      </c>
      <c r="O75" s="334">
        <f t="shared" si="394"/>
        <v>0</v>
      </c>
      <c r="P75" s="332">
        <f t="shared" si="394"/>
        <v>0</v>
      </c>
      <c r="Q75" s="333">
        <f t="shared" si="394"/>
        <v>0</v>
      </c>
      <c r="R75" s="333">
        <f t="shared" si="394"/>
        <v>0</v>
      </c>
      <c r="S75" s="334">
        <f t="shared" si="394"/>
        <v>0</v>
      </c>
      <c r="T75" s="332">
        <f t="shared" si="394"/>
        <v>0</v>
      </c>
      <c r="U75" s="333">
        <f t="shared" si="394"/>
        <v>0</v>
      </c>
      <c r="V75" s="333">
        <f t="shared" si="394"/>
        <v>0</v>
      </c>
      <c r="W75" s="334">
        <f t="shared" si="394"/>
        <v>0</v>
      </c>
      <c r="X75" s="332">
        <f t="shared" si="394"/>
        <v>0</v>
      </c>
      <c r="Y75" s="333">
        <f t="shared" si="394"/>
        <v>0</v>
      </c>
      <c r="Z75" s="333">
        <f t="shared" si="394"/>
        <v>0</v>
      </c>
      <c r="AA75" s="334">
        <f t="shared" si="394"/>
        <v>0</v>
      </c>
      <c r="AB75" s="332">
        <f t="shared" si="394"/>
        <v>0</v>
      </c>
      <c r="AC75" s="333">
        <f t="shared" si="394"/>
        <v>0</v>
      </c>
      <c r="AD75" s="333">
        <f t="shared" si="394"/>
        <v>0</v>
      </c>
      <c r="AE75" s="334">
        <f t="shared" si="394"/>
        <v>0</v>
      </c>
      <c r="AF75" s="332">
        <f t="shared" si="394"/>
        <v>0</v>
      </c>
      <c r="AG75" s="333">
        <f t="shared" si="394"/>
        <v>0</v>
      </c>
      <c r="AH75" s="333">
        <f t="shared" si="394"/>
        <v>0</v>
      </c>
      <c r="AI75" s="334">
        <f t="shared" si="394"/>
        <v>0</v>
      </c>
      <c r="AJ75" s="332">
        <f t="shared" si="394"/>
        <v>0</v>
      </c>
      <c r="AK75" s="333">
        <f t="shared" si="394"/>
        <v>0</v>
      </c>
      <c r="AL75" s="333">
        <f t="shared" si="394"/>
        <v>0</v>
      </c>
      <c r="AM75" s="334">
        <f t="shared" si="394"/>
        <v>0</v>
      </c>
      <c r="AN75" s="332">
        <f t="shared" si="394"/>
        <v>0</v>
      </c>
      <c r="AO75" s="333">
        <f>IF(ROUND(AO74,4)=ROUND(AO72,4),0,(AO74-AO72))</f>
        <v>0</v>
      </c>
      <c r="AP75" s="333">
        <f>IF(ROUND(AP74,4)=ROUND(AP72,4),0,(AP74-AP72))</f>
        <v>0</v>
      </c>
      <c r="AQ75" s="334">
        <f t="shared" si="394"/>
        <v>0</v>
      </c>
      <c r="AR75" s="332">
        <f t="shared" si="394"/>
        <v>0</v>
      </c>
      <c r="AS75" s="333">
        <f t="shared" ref="AS75:AW75" si="395">IF(ROUND(AS74,4)=ROUND(AS72,4),0,(AS74-AS72))</f>
        <v>0</v>
      </c>
      <c r="AT75" s="333">
        <f t="shared" si="395"/>
        <v>0</v>
      </c>
      <c r="AU75" s="334">
        <f t="shared" si="395"/>
        <v>0</v>
      </c>
      <c r="AV75" s="332">
        <f t="shared" si="395"/>
        <v>0</v>
      </c>
      <c r="AW75" s="333">
        <f t="shared" si="395"/>
        <v>0</v>
      </c>
      <c r="AX75" s="333">
        <f t="shared" ref="AX75:AY75" si="396">IF(ROUND(AX74,4)=ROUND(AX72,4),0,(AX74-AX72))</f>
        <v>0</v>
      </c>
      <c r="AY75" s="334">
        <f t="shared" si="396"/>
        <v>0</v>
      </c>
      <c r="AZ75" s="332">
        <f t="shared" ref="AZ75:BC75" si="397">IF(ROUND(AZ74,4)=ROUND(AZ72,4),0,(AZ74-AZ72))</f>
        <v>0</v>
      </c>
      <c r="BA75" s="333">
        <f t="shared" si="397"/>
        <v>0</v>
      </c>
      <c r="BB75" s="333">
        <f t="shared" si="397"/>
        <v>0</v>
      </c>
      <c r="BC75" s="334">
        <f t="shared" si="397"/>
        <v>0</v>
      </c>
      <c r="BD75" s="332">
        <f t="shared" ref="BD75:BG75" si="398">IF(ROUND(BD74,4)=ROUND(BD72,4),0,(BD74-BD72))</f>
        <v>0</v>
      </c>
      <c r="BE75" s="333">
        <f t="shared" si="398"/>
        <v>0</v>
      </c>
      <c r="BF75" s="333">
        <f t="shared" si="398"/>
        <v>0</v>
      </c>
      <c r="BG75" s="334">
        <f t="shared" si="398"/>
        <v>0</v>
      </c>
      <c r="BH75" s="332">
        <f t="shared" ref="BH75:BK75" si="399">IF(ROUND(BH74,4)=ROUND(BH72,4),0,(BH74-BH72))</f>
        <v>0</v>
      </c>
      <c r="BI75" s="333">
        <f t="shared" si="399"/>
        <v>0</v>
      </c>
      <c r="BJ75" s="333">
        <f t="shared" si="399"/>
        <v>0</v>
      </c>
      <c r="BK75" s="334">
        <f t="shared" si="399"/>
        <v>0</v>
      </c>
      <c r="BL75" s="1030"/>
      <c r="BM75" s="333">
        <f t="shared" ref="BM75:BY75" si="400">IF(ROUND(BM74,4)=ROUND(BM72,4),0,(BM74-BM72))</f>
        <v>0</v>
      </c>
      <c r="BN75" s="333">
        <f t="shared" si="400"/>
        <v>0</v>
      </c>
      <c r="BO75" s="333">
        <f t="shared" si="400"/>
        <v>0</v>
      </c>
      <c r="BP75" s="333">
        <f t="shared" si="400"/>
        <v>0</v>
      </c>
      <c r="BQ75" s="333">
        <f t="shared" si="400"/>
        <v>0</v>
      </c>
      <c r="BR75" s="333">
        <f t="shared" si="400"/>
        <v>0</v>
      </c>
      <c r="BS75" s="333">
        <f t="shared" si="400"/>
        <v>0</v>
      </c>
      <c r="BT75" s="333">
        <f t="shared" si="400"/>
        <v>0</v>
      </c>
      <c r="BU75" s="333">
        <f t="shared" si="400"/>
        <v>0</v>
      </c>
      <c r="BV75" s="333">
        <f t="shared" si="400"/>
        <v>0</v>
      </c>
      <c r="BW75" s="333">
        <f>IF(ROUND(BW74,4)=ROUND(BW72,4),0,(BW74-BW72))</f>
        <v>0</v>
      </c>
      <c r="BX75" s="333">
        <f t="shared" si="400"/>
        <v>0</v>
      </c>
      <c r="BY75" s="333">
        <f t="shared" si="400"/>
        <v>0</v>
      </c>
      <c r="BZ75" s="333">
        <f t="shared" ref="BZ75:CB75" si="401">IF(ROUND(BZ74,4)=ROUND(BZ72,4),0,(BZ74-BZ72))</f>
        <v>0</v>
      </c>
      <c r="CA75" s="333">
        <f t="shared" si="401"/>
        <v>0</v>
      </c>
      <c r="CB75" s="1214">
        <f t="shared" si="401"/>
        <v>0</v>
      </c>
      <c r="CC75" s="37"/>
      <c r="CD75" s="26"/>
      <c r="CE75" s="26"/>
    </row>
    <row r="76" spans="1:83" ht="14.25" customHeight="1">
      <c r="A76" s="18"/>
      <c r="B76" s="26"/>
      <c r="C76" s="26"/>
      <c r="D76" s="484"/>
      <c r="E76" s="484"/>
      <c r="F76" s="484"/>
      <c r="G76" s="523"/>
      <c r="H76" s="484"/>
      <c r="I76" s="484"/>
      <c r="J76" s="484"/>
      <c r="K76" s="523"/>
      <c r="L76" s="484"/>
      <c r="M76" s="484"/>
      <c r="N76" s="484"/>
      <c r="O76" s="523"/>
      <c r="P76" s="484"/>
      <c r="Q76" s="484"/>
      <c r="R76" s="484"/>
      <c r="S76" s="523"/>
      <c r="T76" s="484"/>
      <c r="U76" s="484"/>
      <c r="V76" s="484"/>
      <c r="W76" s="523"/>
      <c r="X76" s="484"/>
      <c r="Y76" s="484"/>
      <c r="Z76" s="484"/>
      <c r="AA76" s="523"/>
      <c r="AB76" s="484"/>
      <c r="AC76" s="484"/>
      <c r="AD76" s="484"/>
      <c r="AE76" s="484"/>
      <c r="AF76" s="484"/>
      <c r="AG76" s="484"/>
      <c r="AH76" s="484"/>
      <c r="AI76" s="484"/>
      <c r="AJ76" s="484"/>
      <c r="AK76" s="484"/>
      <c r="AL76" s="484"/>
      <c r="AM76" s="484"/>
      <c r="AN76" s="484"/>
      <c r="AO76" s="484"/>
      <c r="AP76" s="484"/>
      <c r="AQ76" s="484"/>
      <c r="AR76" s="484"/>
      <c r="AS76" s="484"/>
      <c r="AT76" s="484"/>
      <c r="AU76" s="484"/>
      <c r="AV76" s="484"/>
      <c r="AW76" s="484"/>
      <c r="AX76" s="484"/>
      <c r="AY76" s="484"/>
      <c r="AZ76" s="484"/>
      <c r="BA76" s="484"/>
      <c r="BB76" s="484"/>
      <c r="BC76" s="484"/>
      <c r="BD76" s="484"/>
      <c r="BE76" s="484"/>
      <c r="BF76" s="484"/>
      <c r="BG76" s="484"/>
      <c r="BH76" s="484"/>
      <c r="BI76" s="484"/>
      <c r="BJ76" s="484"/>
      <c r="BK76" s="484"/>
      <c r="BL76" s="18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274"/>
      <c r="BX76" s="604"/>
      <c r="BY76" s="483"/>
      <c r="BZ76" s="483"/>
      <c r="CA76" s="483"/>
      <c r="CB76" s="483"/>
      <c r="CC76" s="26"/>
      <c r="CD76" s="26"/>
      <c r="CE76" s="26"/>
    </row>
    <row r="77" spans="1:83" ht="14.25" customHeight="1">
      <c r="A77" s="18"/>
      <c r="B77" s="26"/>
      <c r="C77" s="26"/>
      <c r="D77" s="483"/>
      <c r="E77" s="483"/>
      <c r="F77" s="483"/>
      <c r="G77" s="524"/>
      <c r="H77" s="483"/>
      <c r="I77" s="483"/>
      <c r="J77" s="483"/>
      <c r="K77" s="524"/>
      <c r="L77" s="483"/>
      <c r="M77" s="483"/>
      <c r="N77" s="483"/>
      <c r="O77" s="524"/>
      <c r="P77" s="483"/>
      <c r="Q77" s="483"/>
      <c r="R77" s="483"/>
      <c r="S77" s="524"/>
      <c r="T77" s="483"/>
      <c r="U77" s="483"/>
      <c r="V77" s="483"/>
      <c r="W77" s="524"/>
      <c r="X77" s="483"/>
      <c r="Y77" s="483"/>
      <c r="Z77" s="483"/>
      <c r="AA77" s="524"/>
      <c r="AB77" s="483"/>
      <c r="AC77" s="483"/>
      <c r="AD77" s="483"/>
      <c r="AE77" s="483"/>
      <c r="AF77" s="483"/>
      <c r="AG77" s="483"/>
      <c r="AH77" s="483"/>
      <c r="AI77" s="483"/>
      <c r="AJ77" s="525"/>
      <c r="AK77" s="483"/>
      <c r="AL77" s="483"/>
      <c r="AM77" s="483"/>
      <c r="AN77" s="525"/>
      <c r="AO77" s="483"/>
      <c r="AP77" s="483"/>
      <c r="AQ77" s="483"/>
      <c r="AR77" s="525"/>
      <c r="AS77" s="483"/>
      <c r="AT77" s="483"/>
      <c r="AU77" s="483"/>
      <c r="AV77" s="525"/>
      <c r="AW77" s="483"/>
      <c r="AX77" s="483"/>
      <c r="AY77" s="483"/>
      <c r="AZ77" s="525"/>
      <c r="BA77" s="483"/>
      <c r="BB77" s="483"/>
      <c r="BC77" s="483"/>
      <c r="BD77" s="525"/>
      <c r="BE77" s="483"/>
      <c r="BF77" s="483"/>
      <c r="BG77" s="483"/>
      <c r="BH77" s="525"/>
      <c r="BI77" s="483"/>
      <c r="BJ77" s="483"/>
      <c r="BK77" s="483"/>
      <c r="BL77" s="18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274"/>
      <c r="BX77" s="604"/>
      <c r="BY77" s="483"/>
      <c r="BZ77" s="483"/>
      <c r="CA77" s="483"/>
      <c r="CB77" s="483"/>
      <c r="CC77" s="26"/>
      <c r="CD77" s="26"/>
      <c r="CE77" s="26"/>
    </row>
    <row r="78" spans="1:83" ht="14.25" customHeight="1">
      <c r="A78" s="18"/>
      <c r="B78" s="341" t="s">
        <v>240</v>
      </c>
      <c r="C78" s="342"/>
      <c r="D78" s="489" t="str">
        <f t="shared" ref="D78:AI78" si="402">D64</f>
        <v>F1Q05A</v>
      </c>
      <c r="E78" s="487" t="str">
        <f t="shared" si="402"/>
        <v>F2Q05A</v>
      </c>
      <c r="F78" s="487" t="str">
        <f t="shared" si="402"/>
        <v>F3Q05A</v>
      </c>
      <c r="G78" s="488" t="str">
        <f t="shared" si="402"/>
        <v>F4Q05A</v>
      </c>
      <c r="H78" s="489" t="str">
        <f t="shared" si="402"/>
        <v>F1Q06A</v>
      </c>
      <c r="I78" s="487" t="str">
        <f t="shared" si="402"/>
        <v>F2Q06A</v>
      </c>
      <c r="J78" s="487" t="str">
        <f t="shared" si="402"/>
        <v>F3Q06A</v>
      </c>
      <c r="K78" s="488" t="str">
        <f t="shared" si="402"/>
        <v>F4Q06A</v>
      </c>
      <c r="L78" s="489" t="str">
        <f t="shared" si="402"/>
        <v>F1Q07A</v>
      </c>
      <c r="M78" s="487" t="str">
        <f t="shared" si="402"/>
        <v>F2Q07A</v>
      </c>
      <c r="N78" s="487" t="str">
        <f t="shared" si="402"/>
        <v>F3Q07A</v>
      </c>
      <c r="O78" s="488" t="str">
        <f t="shared" si="402"/>
        <v>F4Q07A</v>
      </c>
      <c r="P78" s="489" t="str">
        <f t="shared" si="402"/>
        <v>F1Q08A</v>
      </c>
      <c r="Q78" s="487" t="str">
        <f t="shared" si="402"/>
        <v>F2Q08A</v>
      </c>
      <c r="R78" s="487" t="str">
        <f t="shared" si="402"/>
        <v>F3Q08A</v>
      </c>
      <c r="S78" s="488" t="str">
        <f t="shared" si="402"/>
        <v>F4Q08A</v>
      </c>
      <c r="T78" s="489" t="str">
        <f t="shared" si="402"/>
        <v>F1Q09A</v>
      </c>
      <c r="U78" s="487" t="str">
        <f t="shared" si="402"/>
        <v>F2Q09A</v>
      </c>
      <c r="V78" s="487" t="str">
        <f t="shared" si="402"/>
        <v>F3Q09A</v>
      </c>
      <c r="W78" s="488" t="str">
        <f t="shared" si="402"/>
        <v>F4Q09A</v>
      </c>
      <c r="X78" s="489" t="str">
        <f t="shared" si="402"/>
        <v>F1Q10A</v>
      </c>
      <c r="Y78" s="487" t="str">
        <f t="shared" si="402"/>
        <v>F2Q10A</v>
      </c>
      <c r="Z78" s="487" t="str">
        <f t="shared" si="402"/>
        <v>F3Q10A</v>
      </c>
      <c r="AA78" s="488" t="str">
        <f t="shared" si="402"/>
        <v>F4Q10A</v>
      </c>
      <c r="AB78" s="489" t="str">
        <f t="shared" si="402"/>
        <v>F1Q11A</v>
      </c>
      <c r="AC78" s="487" t="str">
        <f t="shared" si="402"/>
        <v>F2Q11A</v>
      </c>
      <c r="AD78" s="487" t="str">
        <f t="shared" si="402"/>
        <v>F3Q11A</v>
      </c>
      <c r="AE78" s="488" t="str">
        <f t="shared" si="402"/>
        <v>F4Q11A</v>
      </c>
      <c r="AF78" s="489" t="str">
        <f t="shared" si="402"/>
        <v>F1Q12A</v>
      </c>
      <c r="AG78" s="487" t="str">
        <f t="shared" si="402"/>
        <v>F2Q12A</v>
      </c>
      <c r="AH78" s="487" t="str">
        <f t="shared" si="402"/>
        <v>F3Q12A</v>
      </c>
      <c r="AI78" s="488" t="str">
        <f t="shared" si="402"/>
        <v>F4Q12A</v>
      </c>
      <c r="AJ78" s="489" t="str">
        <f t="shared" ref="AJ78:BC78" si="403">AJ64</f>
        <v>F1Q13A</v>
      </c>
      <c r="AK78" s="487" t="str">
        <f t="shared" si="403"/>
        <v>F2Q13A</v>
      </c>
      <c r="AL78" s="487" t="str">
        <f t="shared" si="403"/>
        <v>F3Q13A</v>
      </c>
      <c r="AM78" s="488" t="str">
        <f t="shared" si="403"/>
        <v>F4Q13A</v>
      </c>
      <c r="AN78" s="489" t="str">
        <f t="shared" si="403"/>
        <v>F1Q14A</v>
      </c>
      <c r="AO78" s="487" t="str">
        <f t="shared" si="403"/>
        <v>F2Q14A</v>
      </c>
      <c r="AP78" s="487" t="str">
        <f t="shared" si="403"/>
        <v>F3Q14A</v>
      </c>
      <c r="AQ78" s="488" t="str">
        <f t="shared" si="403"/>
        <v>F4Q14A</v>
      </c>
      <c r="AR78" s="489" t="str">
        <f t="shared" si="403"/>
        <v>F1Q15A</v>
      </c>
      <c r="AS78" s="487" t="str">
        <f t="shared" si="403"/>
        <v>F2Q15A</v>
      </c>
      <c r="AT78" s="487" t="str">
        <f t="shared" si="403"/>
        <v>F3Q15A</v>
      </c>
      <c r="AU78" s="488" t="str">
        <f t="shared" si="403"/>
        <v>F4Q15A</v>
      </c>
      <c r="AV78" s="489" t="str">
        <f t="shared" si="403"/>
        <v>F1Q16A</v>
      </c>
      <c r="AW78" s="487" t="str">
        <f t="shared" si="403"/>
        <v>F2Q16A</v>
      </c>
      <c r="AX78" s="487" t="str">
        <f t="shared" ref="AX78:AY78" si="404">AX64</f>
        <v>F3Q16A</v>
      </c>
      <c r="AY78" s="488" t="str">
        <f t="shared" si="404"/>
        <v>F4Q16A</v>
      </c>
      <c r="AZ78" s="489" t="str">
        <f t="shared" si="403"/>
        <v>F1Q17A</v>
      </c>
      <c r="BA78" s="487" t="str">
        <f t="shared" si="403"/>
        <v>F2Q17A</v>
      </c>
      <c r="BB78" s="487" t="str">
        <f t="shared" si="403"/>
        <v>F3Q17A</v>
      </c>
      <c r="BC78" s="488" t="str">
        <f t="shared" si="403"/>
        <v>F4Q17A</v>
      </c>
      <c r="BD78" s="489" t="str">
        <f t="shared" ref="BD78:BG78" si="405">BD64</f>
        <v>F1Q18A</v>
      </c>
      <c r="BE78" s="487" t="str">
        <f t="shared" si="405"/>
        <v>F2Q18E</v>
      </c>
      <c r="BF78" s="487" t="str">
        <f t="shared" si="405"/>
        <v>F3Q18E</v>
      </c>
      <c r="BG78" s="488" t="str">
        <f t="shared" si="405"/>
        <v>F4Q18E</v>
      </c>
      <c r="BH78" s="489" t="str">
        <f t="shared" ref="BH78:BK78" si="406">BH64</f>
        <v>F1Q19E</v>
      </c>
      <c r="BI78" s="487" t="str">
        <f t="shared" si="406"/>
        <v>F2Q19E</v>
      </c>
      <c r="BJ78" s="487" t="str">
        <f t="shared" si="406"/>
        <v>F3Q19E</v>
      </c>
      <c r="BK78" s="488" t="str">
        <f t="shared" si="406"/>
        <v>F4Q19E</v>
      </c>
      <c r="BL78" s="35"/>
      <c r="BM78" s="21" t="str">
        <f t="shared" ref="BM78:BY78" si="407">BM64</f>
        <v>FY2005A</v>
      </c>
      <c r="BN78" s="22" t="str">
        <f t="shared" si="407"/>
        <v>FY2006A</v>
      </c>
      <c r="BO78" s="22" t="str">
        <f t="shared" si="407"/>
        <v>FY2007A</v>
      </c>
      <c r="BP78" s="22" t="str">
        <f t="shared" si="407"/>
        <v>FY2008A</v>
      </c>
      <c r="BQ78" s="22" t="str">
        <f t="shared" si="407"/>
        <v>FY2009A</v>
      </c>
      <c r="BR78" s="21" t="str">
        <f t="shared" si="407"/>
        <v>FY2010A</v>
      </c>
      <c r="BS78" s="22" t="str">
        <f t="shared" si="407"/>
        <v>FY2011A</v>
      </c>
      <c r="BT78" s="22" t="str">
        <f t="shared" si="407"/>
        <v>FY2012A</v>
      </c>
      <c r="BU78" s="22" t="str">
        <f t="shared" si="407"/>
        <v>FY2013A</v>
      </c>
      <c r="BV78" s="22" t="str">
        <f t="shared" si="407"/>
        <v>FY2014</v>
      </c>
      <c r="BW78" s="22" t="str">
        <f t="shared" si="407"/>
        <v>FY2015</v>
      </c>
      <c r="BX78" s="22" t="str">
        <f t="shared" si="407"/>
        <v>FY2016</v>
      </c>
      <c r="BY78" s="22" t="str">
        <f t="shared" si="407"/>
        <v>FY2017A</v>
      </c>
      <c r="BZ78" s="22" t="str">
        <f t="shared" ref="BZ78:CB78" si="408">BZ64</f>
        <v>FY2018E</v>
      </c>
      <c r="CA78" s="22" t="str">
        <f t="shared" si="408"/>
        <v>FY2019E</v>
      </c>
      <c r="CB78" s="23" t="str">
        <f t="shared" si="408"/>
        <v>FY2020E</v>
      </c>
      <c r="CC78" s="37"/>
      <c r="CD78" s="26"/>
      <c r="CE78" s="26"/>
    </row>
    <row r="79" spans="1:83" ht="14.25" customHeight="1">
      <c r="A79" s="18"/>
      <c r="B79" s="197" t="s">
        <v>510</v>
      </c>
      <c r="C79" s="20"/>
      <c r="D79" s="526">
        <f t="shared" ref="D79:AU79" si="409">D11</f>
        <v>1189</v>
      </c>
      <c r="E79" s="498">
        <f t="shared" si="409"/>
        <v>1051</v>
      </c>
      <c r="F79" s="498">
        <f t="shared" si="409"/>
        <v>1055</v>
      </c>
      <c r="G79" s="511">
        <f t="shared" si="409"/>
        <v>1050</v>
      </c>
      <c r="H79" s="526">
        <f t="shared" si="409"/>
        <v>1139</v>
      </c>
      <c r="I79" s="498">
        <f t="shared" si="409"/>
        <v>1156</v>
      </c>
      <c r="J79" s="498">
        <f t="shared" si="409"/>
        <v>1193</v>
      </c>
      <c r="K79" s="511">
        <f t="shared" si="409"/>
        <v>1166</v>
      </c>
      <c r="L79" s="526">
        <f t="shared" si="409"/>
        <v>1187</v>
      </c>
      <c r="M79" s="498">
        <f t="shared" si="409"/>
        <v>1153</v>
      </c>
      <c r="N79" s="498">
        <f t="shared" si="409"/>
        <v>1098</v>
      </c>
      <c r="O79" s="511">
        <f t="shared" si="409"/>
        <v>1108</v>
      </c>
      <c r="P79" s="526">
        <f t="shared" si="409"/>
        <v>1102</v>
      </c>
      <c r="Q79" s="498">
        <f t="shared" si="409"/>
        <v>1042</v>
      </c>
      <c r="R79" s="498">
        <f t="shared" si="409"/>
        <v>1059</v>
      </c>
      <c r="S79" s="511">
        <f t="shared" si="409"/>
        <v>1157</v>
      </c>
      <c r="T79" s="526">
        <f t="shared" si="409"/>
        <v>1208</v>
      </c>
      <c r="U79" s="498">
        <f t="shared" si="409"/>
        <v>1211</v>
      </c>
      <c r="V79" s="498">
        <f t="shared" si="409"/>
        <v>1153</v>
      </c>
      <c r="W79" s="511">
        <f t="shared" si="409"/>
        <v>1172</v>
      </c>
      <c r="X79" s="526">
        <f t="shared" si="409"/>
        <v>1080</v>
      </c>
      <c r="Y79" s="498">
        <f t="shared" si="409"/>
        <v>1086</v>
      </c>
      <c r="Z79" s="498">
        <f t="shared" si="409"/>
        <v>1086</v>
      </c>
      <c r="AA79" s="511">
        <f t="shared" si="409"/>
        <v>1146</v>
      </c>
      <c r="AB79" s="493">
        <f t="shared" si="409"/>
        <v>1287</v>
      </c>
      <c r="AC79" s="498">
        <f t="shared" si="409"/>
        <v>1248</v>
      </c>
      <c r="AD79" s="498">
        <f t="shared" si="409"/>
        <v>1273</v>
      </c>
      <c r="AE79" s="511">
        <f t="shared" si="409"/>
        <v>1333</v>
      </c>
      <c r="AF79" s="493">
        <f t="shared" si="409"/>
        <v>1519</v>
      </c>
      <c r="AG79" s="498">
        <f t="shared" si="409"/>
        <v>1572</v>
      </c>
      <c r="AH79" s="498">
        <f t="shared" si="409"/>
        <v>1625</v>
      </c>
      <c r="AI79" s="511">
        <f t="shared" si="409"/>
        <v>1641</v>
      </c>
      <c r="AJ79" s="493">
        <f t="shared" si="409"/>
        <v>1682</v>
      </c>
      <c r="AK79" s="498">
        <f t="shared" si="409"/>
        <v>1712</v>
      </c>
      <c r="AL79" s="498">
        <f t="shared" si="409"/>
        <v>1729</v>
      </c>
      <c r="AM79" s="511">
        <f t="shared" si="409"/>
        <v>1667</v>
      </c>
      <c r="AN79" s="493">
        <f t="shared" si="409"/>
        <v>1720</v>
      </c>
      <c r="AO79" s="498">
        <f t="shared" si="409"/>
        <v>1880</v>
      </c>
      <c r="AP79" s="498">
        <f t="shared" si="409"/>
        <v>1891</v>
      </c>
      <c r="AQ79" s="511">
        <f t="shared" si="409"/>
        <v>1889</v>
      </c>
      <c r="AR79" s="493">
        <f t="shared" si="409"/>
        <v>1848</v>
      </c>
      <c r="AS79" s="498">
        <f t="shared" si="409"/>
        <v>1977</v>
      </c>
      <c r="AT79" s="498">
        <f t="shared" si="409"/>
        <v>2060</v>
      </c>
      <c r="AU79" s="511">
        <f t="shared" si="409"/>
        <v>1936</v>
      </c>
      <c r="AV79" s="493">
        <f>1619</f>
        <v>1619</v>
      </c>
      <c r="AW79" s="498">
        <v>1522</v>
      </c>
      <c r="AX79" s="498">
        <f t="shared" ref="AX79:BA79" si="410">AX11</f>
        <v>1543</v>
      </c>
      <c r="AY79" s="511">
        <f t="shared" si="410"/>
        <v>1582</v>
      </c>
      <c r="AZ79" s="498">
        <f t="shared" si="410"/>
        <v>1625</v>
      </c>
      <c r="BA79" s="498">
        <f t="shared" si="410"/>
        <v>1675</v>
      </c>
      <c r="BB79" s="498">
        <f t="shared" ref="BB79" si="411">BB11</f>
        <v>1690</v>
      </c>
      <c r="BC79" s="376">
        <v>1762</v>
      </c>
      <c r="BD79" s="498">
        <f t="shared" ref="BD79" si="412">BD11</f>
        <v>1806</v>
      </c>
      <c r="BE79" s="1133">
        <f>BD79</f>
        <v>1806</v>
      </c>
      <c r="BF79" s="1133">
        <v>2000</v>
      </c>
      <c r="BG79" s="1134">
        <f>BF79</f>
        <v>2000</v>
      </c>
      <c r="BH79" s="1133">
        <v>2000</v>
      </c>
      <c r="BI79" s="1133">
        <v>2000</v>
      </c>
      <c r="BJ79" s="1133">
        <v>2000</v>
      </c>
      <c r="BK79" s="1134">
        <v>2000</v>
      </c>
      <c r="BL79" s="35"/>
      <c r="BM79" s="496">
        <f t="shared" ref="BM79:BY79" si="413">BM69*BM80</f>
        <v>4345</v>
      </c>
      <c r="BN79" s="497">
        <f t="shared" si="413"/>
        <v>4654</v>
      </c>
      <c r="BO79" s="497">
        <f t="shared" si="413"/>
        <v>4546</v>
      </c>
      <c r="BP79" s="497">
        <f t="shared" si="413"/>
        <v>4360</v>
      </c>
      <c r="BQ79" s="496">
        <f t="shared" si="413"/>
        <v>4744</v>
      </c>
      <c r="BR79" s="496">
        <f t="shared" si="413"/>
        <v>4398</v>
      </c>
      <c r="BS79" s="498">
        <f t="shared" si="413"/>
        <v>5141</v>
      </c>
      <c r="BT79" s="498">
        <f t="shared" si="413"/>
        <v>6357</v>
      </c>
      <c r="BU79" s="498">
        <f t="shared" si="413"/>
        <v>6789.9999999999991</v>
      </c>
      <c r="BV79" s="498">
        <f t="shared" si="413"/>
        <v>7379.9999999999991</v>
      </c>
      <c r="BW79" s="498">
        <f t="shared" si="413"/>
        <v>7821</v>
      </c>
      <c r="BX79" s="498">
        <f t="shared" si="413"/>
        <v>6266</v>
      </c>
      <c r="BY79" s="498">
        <f t="shared" si="413"/>
        <v>6752</v>
      </c>
      <c r="BZ79" s="498">
        <f t="shared" ref="BZ79:CA79" si="414">BZ69*BZ80</f>
        <v>7612</v>
      </c>
      <c r="CA79" s="498">
        <f t="shared" si="414"/>
        <v>8000</v>
      </c>
      <c r="CB79" s="1206">
        <f>CA69*CB80</f>
        <v>8828.2360000000008</v>
      </c>
      <c r="CC79" s="37"/>
      <c r="CD79" s="26"/>
      <c r="CE79" s="26"/>
    </row>
    <row r="80" spans="1:83" ht="14.25" customHeight="1">
      <c r="A80" s="18"/>
      <c r="B80" s="527" t="s">
        <v>241</v>
      </c>
      <c r="C80" s="528"/>
      <c r="D80" s="529">
        <f t="shared" ref="D80:AI80" si="415">D79/D69</f>
        <v>2.8817954870452508E-2</v>
      </c>
      <c r="E80" s="530">
        <f t="shared" si="415"/>
        <v>2.4829313236788018E-2</v>
      </c>
      <c r="F80" s="530">
        <f t="shared" si="415"/>
        <v>2.4462066406974587E-2</v>
      </c>
      <c r="G80" s="531">
        <f t="shared" si="415"/>
        <v>2.3792259584881719E-2</v>
      </c>
      <c r="H80" s="529">
        <f t="shared" si="415"/>
        <v>2.5085895515813583E-2</v>
      </c>
      <c r="I80" s="530">
        <f t="shared" si="415"/>
        <v>2.4880012052600993E-2</v>
      </c>
      <c r="J80" s="530">
        <f t="shared" si="415"/>
        <v>2.5396487493347525E-2</v>
      </c>
      <c r="K80" s="531">
        <f t="shared" si="415"/>
        <v>2.4764251125647778E-2</v>
      </c>
      <c r="L80" s="529">
        <f t="shared" si="415"/>
        <v>2.4775620955959091E-2</v>
      </c>
      <c r="M80" s="530">
        <f t="shared" si="415"/>
        <v>2.4634120286294199E-2</v>
      </c>
      <c r="N80" s="530">
        <f t="shared" si="415"/>
        <v>2.3378116549918029E-2</v>
      </c>
      <c r="O80" s="531">
        <f t="shared" si="415"/>
        <v>2.405975853383132E-2</v>
      </c>
      <c r="P80" s="529">
        <f t="shared" si="415"/>
        <v>2.3483282545229824E-2</v>
      </c>
      <c r="Q80" s="530">
        <f t="shared" si="415"/>
        <v>2.2392710549502502E-2</v>
      </c>
      <c r="R80" s="530">
        <f t="shared" si="415"/>
        <v>2.2356865394359059E-2</v>
      </c>
      <c r="S80" s="531">
        <f t="shared" si="415"/>
        <v>2.4060056562967891E-2</v>
      </c>
      <c r="T80" s="529">
        <f t="shared" si="415"/>
        <v>2.464803101407876E-2</v>
      </c>
      <c r="U80" s="530">
        <f t="shared" si="415"/>
        <v>2.4984011058158485E-2</v>
      </c>
      <c r="V80" s="530">
        <f t="shared" si="415"/>
        <v>2.3716959786074257E-2</v>
      </c>
      <c r="W80" s="531">
        <f t="shared" si="415"/>
        <v>2.4507548826899754E-2</v>
      </c>
      <c r="X80" s="529">
        <f t="shared" si="415"/>
        <v>2.2517357129453953E-2</v>
      </c>
      <c r="Y80" s="530">
        <f t="shared" si="415"/>
        <v>2.2429674914288076E-2</v>
      </c>
      <c r="Z80" s="530">
        <f t="shared" si="415"/>
        <v>2.2114523091960575E-2</v>
      </c>
      <c r="AA80" s="531">
        <f t="shared" si="415"/>
        <v>2.2701610506923396E-2</v>
      </c>
      <c r="AB80" s="530">
        <f t="shared" si="415"/>
        <v>2.4277522070474608E-2</v>
      </c>
      <c r="AC80" s="530">
        <f t="shared" si="415"/>
        <v>2.2744254706493411E-2</v>
      </c>
      <c r="AD80" s="530">
        <f t="shared" si="415"/>
        <v>2.2405266029533414E-2</v>
      </c>
      <c r="AE80" s="531">
        <f t="shared" si="415"/>
        <v>2.2953868407004977E-2</v>
      </c>
      <c r="AF80" s="532">
        <f t="shared" si="415"/>
        <v>2.506517936701759E-2</v>
      </c>
      <c r="AG80" s="530">
        <f t="shared" si="415"/>
        <v>2.5355247665284925E-2</v>
      </c>
      <c r="AH80" s="530">
        <f t="shared" si="415"/>
        <v>2.5324938440918866E-2</v>
      </c>
      <c r="AI80" s="531">
        <f t="shared" si="415"/>
        <v>2.4846319232050388E-2</v>
      </c>
      <c r="AJ80" s="532">
        <f t="shared" ref="AJ80:BC80" si="416">AJ79/AJ69</f>
        <v>2.4940318204059845E-2</v>
      </c>
      <c r="AK80" s="530">
        <f t="shared" si="416"/>
        <v>2.4631321487662759E-2</v>
      </c>
      <c r="AL80" s="530">
        <f t="shared" si="416"/>
        <v>2.4138605014798684E-2</v>
      </c>
      <c r="AM80" s="531">
        <f t="shared" si="416"/>
        <v>2.2706222076931459E-2</v>
      </c>
      <c r="AN80" s="532">
        <f t="shared" si="416"/>
        <v>2.2844089091947458E-2</v>
      </c>
      <c r="AO80" s="530">
        <f t="shared" si="416"/>
        <v>2.4369693434441637E-2</v>
      </c>
      <c r="AP80" s="532">
        <f t="shared" si="416"/>
        <v>2.3919753086419752E-2</v>
      </c>
      <c r="AQ80" s="531">
        <f t="shared" si="416"/>
        <v>2.3698704035930697E-2</v>
      </c>
      <c r="AR80" s="532">
        <f t="shared" si="416"/>
        <v>2.2734542233594959E-2</v>
      </c>
      <c r="AS80" s="530">
        <f t="shared" si="416"/>
        <v>2.4013701292391412E-2</v>
      </c>
      <c r="AT80" s="532">
        <f t="shared" si="416"/>
        <v>2.4818679067974265E-2</v>
      </c>
      <c r="AU80" s="531">
        <f t="shared" si="416"/>
        <v>2.3214542663916735E-2</v>
      </c>
      <c r="AV80" s="532">
        <f t="shared" si="416"/>
        <v>1.9082304963285127E-2</v>
      </c>
      <c r="AW80" s="530">
        <f t="shared" si="416"/>
        <v>1.7470757716633954E-2</v>
      </c>
      <c r="AX80" s="532">
        <f t="shared" ref="AX80:AY80" si="417">AX79/AX69</f>
        <v>1.7382585870875437E-2</v>
      </c>
      <c r="AY80" s="531">
        <f t="shared" si="417"/>
        <v>1.755729426779868E-2</v>
      </c>
      <c r="AZ80" s="532">
        <f t="shared" si="416"/>
        <v>1.7646931062942531E-2</v>
      </c>
      <c r="BA80" s="530">
        <f t="shared" ref="BA80:BB80" si="418">BA79/BA69</f>
        <v>1.7696777601690437E-2</v>
      </c>
      <c r="BB80" s="532">
        <f t="shared" si="418"/>
        <v>1.7329778506972929E-2</v>
      </c>
      <c r="BC80" s="533">
        <f t="shared" si="416"/>
        <v>1.7550674834404104E-2</v>
      </c>
      <c r="BD80" s="532">
        <f t="shared" ref="BD80" si="419">BD79/BD69</f>
        <v>1.7228385816631213E-2</v>
      </c>
      <c r="BE80" s="532">
        <f t="shared" ref="BE80:BG80" si="420">BE79/BE69</f>
        <v>1.6671743886565678E-2</v>
      </c>
      <c r="BF80" s="532">
        <f t="shared" si="420"/>
        <v>1.7844874505920039E-2</v>
      </c>
      <c r="BG80" s="533">
        <f t="shared" si="420"/>
        <v>1.7267131152494668E-2</v>
      </c>
      <c r="BH80" s="532">
        <f t="shared" ref="BH80:BK80" si="421">BH79/BH69</f>
        <v>1.6760666068869577E-2</v>
      </c>
      <c r="BI80" s="532">
        <f t="shared" si="421"/>
        <v>1.6283064798456367E-2</v>
      </c>
      <c r="BJ80" s="532">
        <f t="shared" si="421"/>
        <v>1.5831928249701172E-2</v>
      </c>
      <c r="BK80" s="533">
        <f t="shared" si="421"/>
        <v>1.5405116039036564E-2</v>
      </c>
      <c r="BL80" s="35"/>
      <c r="BM80" s="534">
        <f t="shared" ref="BM80:BY80" si="422">BM82/BM69</f>
        <v>9.845463609172482E-2</v>
      </c>
      <c r="BN80" s="534">
        <f t="shared" si="422"/>
        <v>9.8844618129300829E-2</v>
      </c>
      <c r="BO80" s="534">
        <f t="shared" si="422"/>
        <v>9.8714496655954137E-2</v>
      </c>
      <c r="BP80" s="534">
        <f t="shared" si="422"/>
        <v>9.0667110297787387E-2</v>
      </c>
      <c r="BQ80" s="534">
        <f t="shared" si="422"/>
        <v>9.9201204466563511E-2</v>
      </c>
      <c r="BR80" s="534">
        <f t="shared" si="422"/>
        <v>8.7121887442800264E-2</v>
      </c>
      <c r="BS80" s="530">
        <f t="shared" si="422"/>
        <v>8.8526509737743869E-2</v>
      </c>
      <c r="BT80" s="530">
        <f t="shared" si="422"/>
        <v>9.625109771977107E-2</v>
      </c>
      <c r="BU80" s="530">
        <f t="shared" si="422"/>
        <v>9.2486651411136531E-2</v>
      </c>
      <c r="BV80" s="530">
        <f t="shared" si="422"/>
        <v>9.2586784428358146E-2</v>
      </c>
      <c r="BW80" s="530">
        <f t="shared" si="422"/>
        <v>9.3781476329799995E-2</v>
      </c>
      <c r="BX80" s="530">
        <f t="shared" si="422"/>
        <v>6.9541090949447867E-2</v>
      </c>
      <c r="BY80" s="530">
        <f t="shared" si="422"/>
        <v>6.7254345335923102E-2</v>
      </c>
      <c r="BZ80" s="530">
        <f t="shared" ref="BZ80:CA80" si="423">BZ82/BZ69</f>
        <v>6.5718701166394708E-2</v>
      </c>
      <c r="CA80" s="530">
        <f t="shared" si="423"/>
        <v>6.1620464156146255E-2</v>
      </c>
      <c r="CB80" s="1221">
        <v>6.8000000000000005E-2</v>
      </c>
      <c r="CC80" s="37"/>
      <c r="CD80" s="26"/>
      <c r="CE80" s="26"/>
    </row>
    <row r="81" spans="1:83" ht="14.25" customHeight="1">
      <c r="A81" s="18"/>
      <c r="B81" s="26"/>
      <c r="C81" s="26"/>
      <c r="D81" s="493"/>
      <c r="E81" s="493"/>
      <c r="F81" s="493"/>
      <c r="G81" s="493"/>
      <c r="H81" s="493"/>
      <c r="I81" s="493"/>
      <c r="J81" s="493"/>
      <c r="K81" s="493"/>
      <c r="L81" s="493"/>
      <c r="M81" s="493"/>
      <c r="N81" s="493"/>
      <c r="O81" s="493"/>
      <c r="P81" s="493"/>
      <c r="Q81" s="493"/>
      <c r="R81" s="493"/>
      <c r="S81" s="493"/>
      <c r="T81" s="493"/>
      <c r="U81" s="493"/>
      <c r="V81" s="493"/>
      <c r="W81" s="493"/>
      <c r="X81" s="493"/>
      <c r="Y81" s="493"/>
      <c r="Z81" s="493"/>
      <c r="AA81" s="493"/>
      <c r="AB81" s="493"/>
      <c r="AC81" s="493"/>
      <c r="AD81" s="493"/>
      <c r="AE81" s="493"/>
      <c r="AF81" s="493"/>
      <c r="AG81" s="493"/>
      <c r="AH81" s="493"/>
      <c r="AI81" s="493"/>
      <c r="AJ81" s="493"/>
      <c r="AK81" s="493"/>
      <c r="AL81" s="493"/>
      <c r="AM81" s="493"/>
      <c r="AN81" s="493"/>
      <c r="AO81" s="493"/>
      <c r="AP81" s="493"/>
      <c r="AQ81" s="493"/>
      <c r="AR81" s="493"/>
      <c r="AS81" s="493"/>
      <c r="AT81" s="493"/>
      <c r="AU81" s="493"/>
      <c r="AV81" s="493"/>
      <c r="AW81" s="493"/>
      <c r="AX81" s="493"/>
      <c r="AY81" s="493"/>
      <c r="AZ81" s="493"/>
      <c r="BA81" s="493"/>
      <c r="BB81" s="493"/>
      <c r="BC81" s="493"/>
      <c r="BD81" s="493"/>
      <c r="BE81" s="493"/>
      <c r="BF81" s="493"/>
      <c r="BG81" s="493"/>
      <c r="BH81" s="493"/>
      <c r="BI81" s="493"/>
      <c r="BJ81" s="493"/>
      <c r="BK81" s="493"/>
      <c r="BL81" s="18"/>
      <c r="BM81" s="493"/>
      <c r="BN81" s="493"/>
      <c r="BO81" s="493"/>
      <c r="BP81" s="493"/>
      <c r="BQ81" s="493"/>
      <c r="BR81" s="493"/>
      <c r="BS81" s="493"/>
      <c r="BT81" s="493"/>
      <c r="BU81" s="493"/>
      <c r="BV81" s="493"/>
      <c r="BW81" s="498"/>
      <c r="BX81" s="493"/>
      <c r="BY81" s="493"/>
      <c r="BZ81" s="493"/>
      <c r="CA81" s="493"/>
      <c r="CB81" s="1223"/>
      <c r="CC81" s="26"/>
      <c r="CD81" s="26"/>
      <c r="CE81" s="26"/>
    </row>
    <row r="82" spans="1:83" ht="14.25" customHeight="1">
      <c r="A82" s="18"/>
      <c r="B82" s="307" t="s">
        <v>242</v>
      </c>
      <c r="C82" s="413"/>
      <c r="D82" s="375">
        <f t="shared" ref="D82:AI82" si="424">D11</f>
        <v>1189</v>
      </c>
      <c r="E82" s="373">
        <f t="shared" si="424"/>
        <v>1051</v>
      </c>
      <c r="F82" s="373">
        <f t="shared" si="424"/>
        <v>1055</v>
      </c>
      <c r="G82" s="376">
        <f t="shared" si="424"/>
        <v>1050</v>
      </c>
      <c r="H82" s="375">
        <f t="shared" si="424"/>
        <v>1139</v>
      </c>
      <c r="I82" s="373">
        <f t="shared" si="424"/>
        <v>1156</v>
      </c>
      <c r="J82" s="373">
        <f t="shared" si="424"/>
        <v>1193</v>
      </c>
      <c r="K82" s="376">
        <f t="shared" si="424"/>
        <v>1166</v>
      </c>
      <c r="L82" s="375">
        <f t="shared" si="424"/>
        <v>1187</v>
      </c>
      <c r="M82" s="373">
        <f t="shared" si="424"/>
        <v>1153</v>
      </c>
      <c r="N82" s="373">
        <f t="shared" si="424"/>
        <v>1098</v>
      </c>
      <c r="O82" s="376">
        <f t="shared" si="424"/>
        <v>1108</v>
      </c>
      <c r="P82" s="375">
        <f t="shared" si="424"/>
        <v>1102</v>
      </c>
      <c r="Q82" s="373">
        <f t="shared" si="424"/>
        <v>1042</v>
      </c>
      <c r="R82" s="373">
        <f t="shared" si="424"/>
        <v>1059</v>
      </c>
      <c r="S82" s="376">
        <f t="shared" si="424"/>
        <v>1157</v>
      </c>
      <c r="T82" s="375">
        <f t="shared" si="424"/>
        <v>1208</v>
      </c>
      <c r="U82" s="373">
        <f t="shared" si="424"/>
        <v>1211</v>
      </c>
      <c r="V82" s="373">
        <f t="shared" si="424"/>
        <v>1153</v>
      </c>
      <c r="W82" s="376">
        <f t="shared" si="424"/>
        <v>1172</v>
      </c>
      <c r="X82" s="375">
        <f t="shared" si="424"/>
        <v>1080</v>
      </c>
      <c r="Y82" s="373">
        <f t="shared" si="424"/>
        <v>1086</v>
      </c>
      <c r="Z82" s="373">
        <f t="shared" si="424"/>
        <v>1086</v>
      </c>
      <c r="AA82" s="376">
        <f t="shared" si="424"/>
        <v>1146</v>
      </c>
      <c r="AB82" s="373">
        <f t="shared" si="424"/>
        <v>1287</v>
      </c>
      <c r="AC82" s="373">
        <f t="shared" si="424"/>
        <v>1248</v>
      </c>
      <c r="AD82" s="373">
        <f t="shared" si="424"/>
        <v>1273</v>
      </c>
      <c r="AE82" s="376">
        <f t="shared" si="424"/>
        <v>1333</v>
      </c>
      <c r="AF82" s="373">
        <f t="shared" si="424"/>
        <v>1519</v>
      </c>
      <c r="AG82" s="373">
        <f t="shared" si="424"/>
        <v>1572</v>
      </c>
      <c r="AH82" s="373">
        <f t="shared" si="424"/>
        <v>1625</v>
      </c>
      <c r="AI82" s="376">
        <f t="shared" si="424"/>
        <v>1641</v>
      </c>
      <c r="AJ82" s="373">
        <f t="shared" ref="AJ82:BC82" si="425">AJ11</f>
        <v>1682</v>
      </c>
      <c r="AK82" s="373">
        <f t="shared" si="425"/>
        <v>1712</v>
      </c>
      <c r="AL82" s="373">
        <f t="shared" si="425"/>
        <v>1729</v>
      </c>
      <c r="AM82" s="376">
        <f t="shared" si="425"/>
        <v>1667</v>
      </c>
      <c r="AN82" s="373">
        <f t="shared" si="425"/>
        <v>1720</v>
      </c>
      <c r="AO82" s="373">
        <f t="shared" si="425"/>
        <v>1880</v>
      </c>
      <c r="AP82" s="373">
        <f t="shared" si="425"/>
        <v>1891</v>
      </c>
      <c r="AQ82" s="376">
        <f t="shared" si="425"/>
        <v>1889</v>
      </c>
      <c r="AR82" s="373">
        <f t="shared" si="425"/>
        <v>1848</v>
      </c>
      <c r="AS82" s="373">
        <f t="shared" si="425"/>
        <v>1977</v>
      </c>
      <c r="AT82" s="373">
        <f t="shared" si="425"/>
        <v>2060</v>
      </c>
      <c r="AU82" s="376">
        <f t="shared" si="425"/>
        <v>1936</v>
      </c>
      <c r="AV82" s="373">
        <f t="shared" si="425"/>
        <v>1619</v>
      </c>
      <c r="AW82" s="373">
        <f t="shared" si="425"/>
        <v>1522</v>
      </c>
      <c r="AX82" s="373">
        <f t="shared" ref="AX82:AY82" si="426">AX11</f>
        <v>1543</v>
      </c>
      <c r="AY82" s="376">
        <f t="shared" si="426"/>
        <v>1582</v>
      </c>
      <c r="AZ82" s="373">
        <f t="shared" si="425"/>
        <v>1625</v>
      </c>
      <c r="BA82" s="373">
        <f t="shared" ref="BA82:BB82" si="427">BA11</f>
        <v>1675</v>
      </c>
      <c r="BB82" s="373">
        <f t="shared" si="427"/>
        <v>1690</v>
      </c>
      <c r="BC82" s="373">
        <f t="shared" si="425"/>
        <v>1762</v>
      </c>
      <c r="BD82" s="373">
        <f t="shared" ref="BD82" si="428">BD11</f>
        <v>1806</v>
      </c>
      <c r="BE82" s="373">
        <f t="shared" ref="BE82:BG82" si="429">BE11</f>
        <v>1806</v>
      </c>
      <c r="BF82" s="373">
        <f t="shared" si="429"/>
        <v>2000</v>
      </c>
      <c r="BG82" s="374">
        <f t="shared" si="429"/>
        <v>2000</v>
      </c>
      <c r="BH82" s="373">
        <f t="shared" ref="BH82:BK82" si="430">BH11</f>
        <v>2000</v>
      </c>
      <c r="BI82" s="373">
        <f t="shared" si="430"/>
        <v>2000</v>
      </c>
      <c r="BJ82" s="373">
        <f t="shared" si="430"/>
        <v>2000</v>
      </c>
      <c r="BK82" s="374">
        <f t="shared" si="430"/>
        <v>2000</v>
      </c>
      <c r="BL82" s="377"/>
      <c r="BM82" s="373">
        <f t="shared" ref="BM82:BY82" si="431">BM11</f>
        <v>4345</v>
      </c>
      <c r="BN82" s="373">
        <f t="shared" si="431"/>
        <v>4654</v>
      </c>
      <c r="BO82" s="373">
        <f t="shared" si="431"/>
        <v>4546</v>
      </c>
      <c r="BP82" s="373">
        <f t="shared" si="431"/>
        <v>4360</v>
      </c>
      <c r="BQ82" s="373">
        <f t="shared" si="431"/>
        <v>4744</v>
      </c>
      <c r="BR82" s="373">
        <f t="shared" si="431"/>
        <v>4398</v>
      </c>
      <c r="BS82" s="373">
        <f t="shared" si="431"/>
        <v>5141</v>
      </c>
      <c r="BT82" s="373">
        <f t="shared" si="431"/>
        <v>6357</v>
      </c>
      <c r="BU82" s="373">
        <f t="shared" si="431"/>
        <v>6790</v>
      </c>
      <c r="BV82" s="373">
        <f t="shared" si="431"/>
        <v>7380</v>
      </c>
      <c r="BW82" s="373">
        <f t="shared" si="431"/>
        <v>7821</v>
      </c>
      <c r="BX82" s="373">
        <f t="shared" si="431"/>
        <v>6266</v>
      </c>
      <c r="BY82" s="373">
        <f t="shared" si="431"/>
        <v>6752</v>
      </c>
      <c r="BZ82" s="373">
        <f t="shared" ref="BZ82:CB82" si="432">BZ11</f>
        <v>7612</v>
      </c>
      <c r="CA82" s="373">
        <f t="shared" si="432"/>
        <v>8000</v>
      </c>
      <c r="CB82" s="1213">
        <f t="shared" si="432"/>
        <v>8828.2360000000008</v>
      </c>
      <c r="CC82" s="37"/>
      <c r="CD82" s="26"/>
      <c r="CE82" s="26"/>
    </row>
    <row r="83" spans="1:83" ht="14.25" customHeight="1">
      <c r="A83" s="18"/>
      <c r="B83" s="330" t="s">
        <v>193</v>
      </c>
      <c r="C83" s="331"/>
      <c r="D83" s="332">
        <f t="shared" ref="D83:AR83" si="433">IF(ROUND(D82,4)=ROUND(D79,4),0,(D82-D79))</f>
        <v>0</v>
      </c>
      <c r="E83" s="333">
        <f t="shared" si="433"/>
        <v>0</v>
      </c>
      <c r="F83" s="333">
        <f t="shared" si="433"/>
        <v>0</v>
      </c>
      <c r="G83" s="334">
        <f t="shared" si="433"/>
        <v>0</v>
      </c>
      <c r="H83" s="332">
        <f t="shared" si="433"/>
        <v>0</v>
      </c>
      <c r="I83" s="333">
        <f t="shared" si="433"/>
        <v>0</v>
      </c>
      <c r="J83" s="333">
        <f t="shared" si="433"/>
        <v>0</v>
      </c>
      <c r="K83" s="334">
        <f t="shared" si="433"/>
        <v>0</v>
      </c>
      <c r="L83" s="332">
        <f t="shared" si="433"/>
        <v>0</v>
      </c>
      <c r="M83" s="333">
        <f t="shared" si="433"/>
        <v>0</v>
      </c>
      <c r="N83" s="333">
        <f t="shared" si="433"/>
        <v>0</v>
      </c>
      <c r="O83" s="334">
        <f t="shared" si="433"/>
        <v>0</v>
      </c>
      <c r="P83" s="332">
        <f t="shared" si="433"/>
        <v>0</v>
      </c>
      <c r="Q83" s="333">
        <f t="shared" si="433"/>
        <v>0</v>
      </c>
      <c r="R83" s="333">
        <f t="shared" si="433"/>
        <v>0</v>
      </c>
      <c r="S83" s="334">
        <f t="shared" si="433"/>
        <v>0</v>
      </c>
      <c r="T83" s="332">
        <f t="shared" si="433"/>
        <v>0</v>
      </c>
      <c r="U83" s="333">
        <f t="shared" si="433"/>
        <v>0</v>
      </c>
      <c r="V83" s="333">
        <f t="shared" si="433"/>
        <v>0</v>
      </c>
      <c r="W83" s="334">
        <f t="shared" si="433"/>
        <v>0</v>
      </c>
      <c r="X83" s="332">
        <f t="shared" si="433"/>
        <v>0</v>
      </c>
      <c r="Y83" s="333">
        <f t="shared" si="433"/>
        <v>0</v>
      </c>
      <c r="Z83" s="333">
        <f t="shared" si="433"/>
        <v>0</v>
      </c>
      <c r="AA83" s="334">
        <f t="shared" si="433"/>
        <v>0</v>
      </c>
      <c r="AB83" s="332">
        <f t="shared" si="433"/>
        <v>0</v>
      </c>
      <c r="AC83" s="333">
        <f t="shared" si="433"/>
        <v>0</v>
      </c>
      <c r="AD83" s="333">
        <f t="shared" si="433"/>
        <v>0</v>
      </c>
      <c r="AE83" s="334">
        <f t="shared" si="433"/>
        <v>0</v>
      </c>
      <c r="AF83" s="332">
        <f t="shared" si="433"/>
        <v>0</v>
      </c>
      <c r="AG83" s="333">
        <f t="shared" si="433"/>
        <v>0</v>
      </c>
      <c r="AH83" s="333">
        <f t="shared" si="433"/>
        <v>0</v>
      </c>
      <c r="AI83" s="334">
        <f t="shared" si="433"/>
        <v>0</v>
      </c>
      <c r="AJ83" s="332">
        <f t="shared" si="433"/>
        <v>0</v>
      </c>
      <c r="AK83" s="333">
        <f t="shared" si="433"/>
        <v>0</v>
      </c>
      <c r="AL83" s="333">
        <f t="shared" si="433"/>
        <v>0</v>
      </c>
      <c r="AM83" s="334">
        <f t="shared" si="433"/>
        <v>0</v>
      </c>
      <c r="AN83" s="332">
        <f t="shared" si="433"/>
        <v>0</v>
      </c>
      <c r="AO83" s="333">
        <f>IF(ROUND(AO82,4)=ROUND(AO79,4),0,(AO82-AO79))</f>
        <v>0</v>
      </c>
      <c r="AP83" s="333">
        <f t="shared" si="433"/>
        <v>0</v>
      </c>
      <c r="AQ83" s="334">
        <f t="shared" si="433"/>
        <v>0</v>
      </c>
      <c r="AR83" s="332">
        <f t="shared" si="433"/>
        <v>0</v>
      </c>
      <c r="AS83" s="333">
        <f>IF(ROUND(AS82,4)=ROUND(AS79,4),0,(AS82-AS79))</f>
        <v>0</v>
      </c>
      <c r="AT83" s="333">
        <f t="shared" ref="AT83:AW83" si="434">IF(ROUND(AT82,4)=ROUND(AT79,4),0,(AT82-AT79))</f>
        <v>0</v>
      </c>
      <c r="AU83" s="334">
        <f t="shared" si="434"/>
        <v>0</v>
      </c>
      <c r="AV83" s="332">
        <f t="shared" si="434"/>
        <v>0</v>
      </c>
      <c r="AW83" s="333">
        <f t="shared" si="434"/>
        <v>0</v>
      </c>
      <c r="AX83" s="333">
        <f t="shared" ref="AX83:AY83" si="435">IF(ROUND(AX82,4)=ROUND(AX79,4),0,(AX82-AX79))</f>
        <v>0</v>
      </c>
      <c r="AY83" s="334">
        <f t="shared" si="435"/>
        <v>0</v>
      </c>
      <c r="AZ83" s="332">
        <f t="shared" ref="AZ83:BC83" si="436">IF(ROUND(AZ82,4)=ROUND(AZ79,4),0,(AZ82-AZ79))</f>
        <v>0</v>
      </c>
      <c r="BA83" s="333">
        <f t="shared" si="436"/>
        <v>0</v>
      </c>
      <c r="BB83" s="333">
        <f t="shared" si="436"/>
        <v>0</v>
      </c>
      <c r="BC83" s="333">
        <f t="shared" si="436"/>
        <v>0</v>
      </c>
      <c r="BD83" s="332">
        <f t="shared" ref="BD83" si="437">IF(ROUND(BD82,4)=ROUND(BD79,4),0,(BD82-BD79))</f>
        <v>0</v>
      </c>
      <c r="BE83" s="333">
        <f t="shared" ref="BE83:BG83" si="438">IF(ROUND(BE82,4)=ROUND(BE79,4),0,(BE82-BE79))</f>
        <v>0</v>
      </c>
      <c r="BF83" s="333">
        <f t="shared" si="438"/>
        <v>0</v>
      </c>
      <c r="BG83" s="334">
        <f t="shared" si="438"/>
        <v>0</v>
      </c>
      <c r="BH83" s="332">
        <f t="shared" ref="BH83:BK83" si="439">IF(ROUND(BH82,4)=ROUND(BH79,4),0,(BH82-BH79))</f>
        <v>0</v>
      </c>
      <c r="BI83" s="333">
        <f t="shared" si="439"/>
        <v>0</v>
      </c>
      <c r="BJ83" s="333">
        <f t="shared" si="439"/>
        <v>0</v>
      </c>
      <c r="BK83" s="334">
        <f t="shared" si="439"/>
        <v>0</v>
      </c>
      <c r="BL83" s="377"/>
      <c r="BM83" s="333">
        <f t="shared" ref="BM83:BY83" si="440">IF(ROUND(BM82,4)=ROUND(BM79,4),0,(BM82-BM79))</f>
        <v>0</v>
      </c>
      <c r="BN83" s="333">
        <f t="shared" si="440"/>
        <v>0</v>
      </c>
      <c r="BO83" s="333">
        <f t="shared" si="440"/>
        <v>0</v>
      </c>
      <c r="BP83" s="333">
        <f t="shared" si="440"/>
        <v>0</v>
      </c>
      <c r="BQ83" s="333">
        <f t="shared" si="440"/>
        <v>0</v>
      </c>
      <c r="BR83" s="333">
        <f t="shared" si="440"/>
        <v>0</v>
      </c>
      <c r="BS83" s="333">
        <f t="shared" si="440"/>
        <v>0</v>
      </c>
      <c r="BT83" s="333">
        <f t="shared" si="440"/>
        <v>0</v>
      </c>
      <c r="BU83" s="333">
        <f t="shared" si="440"/>
        <v>0</v>
      </c>
      <c r="BV83" s="333">
        <f t="shared" si="440"/>
        <v>0</v>
      </c>
      <c r="BW83" s="333">
        <f>IF(ROUND(BW82,4)=ROUND(BW79,4),0,(BW82-BW79))</f>
        <v>0</v>
      </c>
      <c r="BX83" s="333">
        <f t="shared" si="440"/>
        <v>0</v>
      </c>
      <c r="BY83" s="333">
        <f t="shared" si="440"/>
        <v>0</v>
      </c>
      <c r="BZ83" s="333">
        <f t="shared" ref="BZ83:CB83" si="441">IF(ROUND(BZ82,4)=ROUND(BZ79,4),0,(BZ82-BZ79))</f>
        <v>0</v>
      </c>
      <c r="CA83" s="333">
        <f t="shared" si="441"/>
        <v>0</v>
      </c>
      <c r="CB83" s="1207">
        <f t="shared" si="441"/>
        <v>0</v>
      </c>
      <c r="CC83" s="37"/>
      <c r="CD83" s="26"/>
      <c r="CE83" s="26"/>
    </row>
    <row r="84" spans="1:83" ht="14.25" customHeight="1">
      <c r="A84" s="18"/>
      <c r="B84" s="26"/>
      <c r="C84" s="26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201"/>
      <c r="BX84" s="26"/>
      <c r="BY84" s="18"/>
      <c r="BZ84" s="18"/>
      <c r="CA84" s="18"/>
      <c r="CB84" s="18"/>
      <c r="CC84" s="26"/>
      <c r="CD84" s="26"/>
      <c r="CE84" s="26"/>
    </row>
    <row r="85" spans="1:83" ht="14.25" customHeight="1">
      <c r="A85" s="18"/>
      <c r="B85" s="26"/>
      <c r="C85" s="26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201"/>
      <c r="BX85" s="26"/>
      <c r="BY85" s="18"/>
      <c r="BZ85" s="18"/>
      <c r="CA85" s="18"/>
      <c r="CB85" s="18"/>
      <c r="CC85" s="26"/>
      <c r="CD85" s="26"/>
      <c r="CE85" s="26"/>
    </row>
    <row r="86" spans="1:83" ht="14.25" customHeight="1">
      <c r="A86" s="18"/>
      <c r="B86" s="341" t="s">
        <v>243</v>
      </c>
      <c r="C86" s="342"/>
      <c r="D86" s="489" t="str">
        <f t="shared" ref="D86:AR86" si="442">D78</f>
        <v>F1Q05A</v>
      </c>
      <c r="E86" s="487" t="str">
        <f t="shared" si="442"/>
        <v>F2Q05A</v>
      </c>
      <c r="F86" s="487" t="str">
        <f t="shared" si="442"/>
        <v>F3Q05A</v>
      </c>
      <c r="G86" s="488" t="str">
        <f t="shared" si="442"/>
        <v>F4Q05A</v>
      </c>
      <c r="H86" s="489" t="str">
        <f t="shared" si="442"/>
        <v>F1Q06A</v>
      </c>
      <c r="I86" s="487" t="str">
        <f t="shared" si="442"/>
        <v>F2Q06A</v>
      </c>
      <c r="J86" s="487" t="str">
        <f t="shared" si="442"/>
        <v>F3Q06A</v>
      </c>
      <c r="K86" s="488" t="str">
        <f t="shared" si="442"/>
        <v>F4Q06A</v>
      </c>
      <c r="L86" s="489" t="str">
        <f t="shared" si="442"/>
        <v>F1Q07A</v>
      </c>
      <c r="M86" s="487" t="str">
        <f t="shared" si="442"/>
        <v>F2Q07A</v>
      </c>
      <c r="N86" s="487" t="str">
        <f t="shared" si="442"/>
        <v>F3Q07A</v>
      </c>
      <c r="O86" s="488" t="str">
        <f t="shared" si="442"/>
        <v>F4Q07A</v>
      </c>
      <c r="P86" s="489" t="str">
        <f t="shared" si="442"/>
        <v>F1Q08A</v>
      </c>
      <c r="Q86" s="487" t="str">
        <f t="shared" si="442"/>
        <v>F2Q08A</v>
      </c>
      <c r="R86" s="487" t="str">
        <f t="shared" si="442"/>
        <v>F3Q08A</v>
      </c>
      <c r="S86" s="488" t="str">
        <f t="shared" si="442"/>
        <v>F4Q08A</v>
      </c>
      <c r="T86" s="489" t="str">
        <f t="shared" si="442"/>
        <v>F1Q09A</v>
      </c>
      <c r="U86" s="487" t="str">
        <f t="shared" si="442"/>
        <v>F2Q09A</v>
      </c>
      <c r="V86" s="487" t="str">
        <f t="shared" si="442"/>
        <v>F3Q09A</v>
      </c>
      <c r="W86" s="488" t="str">
        <f t="shared" si="442"/>
        <v>F4Q09A</v>
      </c>
      <c r="X86" s="489" t="str">
        <f t="shared" si="442"/>
        <v>F1Q10A</v>
      </c>
      <c r="Y86" s="487" t="str">
        <f t="shared" si="442"/>
        <v>F2Q10A</v>
      </c>
      <c r="Z86" s="487" t="str">
        <f t="shared" si="442"/>
        <v>F3Q10A</v>
      </c>
      <c r="AA86" s="488" t="str">
        <f t="shared" si="442"/>
        <v>F4Q10A</v>
      </c>
      <c r="AB86" s="489" t="str">
        <f>AB78</f>
        <v>F1Q11A</v>
      </c>
      <c r="AC86" s="487" t="str">
        <f t="shared" si="442"/>
        <v>F2Q11A</v>
      </c>
      <c r="AD86" s="487" t="str">
        <f t="shared" si="442"/>
        <v>F3Q11A</v>
      </c>
      <c r="AE86" s="488" t="str">
        <f>AE78</f>
        <v>F4Q11A</v>
      </c>
      <c r="AF86" s="489" t="str">
        <f>AF78</f>
        <v>F1Q12A</v>
      </c>
      <c r="AG86" s="487" t="str">
        <f>AG78</f>
        <v>F2Q12A</v>
      </c>
      <c r="AH86" s="487" t="str">
        <f>AH78</f>
        <v>F3Q12A</v>
      </c>
      <c r="AI86" s="488" t="str">
        <f>AI78</f>
        <v>F4Q12A</v>
      </c>
      <c r="AJ86" s="489" t="str">
        <f t="shared" si="442"/>
        <v>F1Q13A</v>
      </c>
      <c r="AK86" s="487" t="str">
        <f>AK78</f>
        <v>F2Q13A</v>
      </c>
      <c r="AL86" s="487" t="str">
        <f t="shared" si="442"/>
        <v>F3Q13A</v>
      </c>
      <c r="AM86" s="488" t="str">
        <f>AM78</f>
        <v>F4Q13A</v>
      </c>
      <c r="AN86" s="489" t="str">
        <f t="shared" si="442"/>
        <v>F1Q14A</v>
      </c>
      <c r="AO86" s="487" t="str">
        <f t="shared" si="442"/>
        <v>F2Q14A</v>
      </c>
      <c r="AP86" s="487" t="str">
        <f t="shared" si="442"/>
        <v>F3Q14A</v>
      </c>
      <c r="AQ86" s="488" t="str">
        <f t="shared" si="442"/>
        <v>F4Q14A</v>
      </c>
      <c r="AR86" s="489" t="str">
        <f t="shared" si="442"/>
        <v>F1Q15A</v>
      </c>
      <c r="AS86" s="487" t="str">
        <f t="shared" ref="AS86:AW86" si="443">AS78</f>
        <v>F2Q15A</v>
      </c>
      <c r="AT86" s="487" t="str">
        <f t="shared" si="443"/>
        <v>F3Q15A</v>
      </c>
      <c r="AU86" s="488" t="str">
        <f t="shared" si="443"/>
        <v>F4Q15A</v>
      </c>
      <c r="AV86" s="489" t="str">
        <f t="shared" si="443"/>
        <v>F1Q16A</v>
      </c>
      <c r="AW86" s="487" t="str">
        <f t="shared" si="443"/>
        <v>F2Q16A</v>
      </c>
      <c r="AX86" s="487" t="str">
        <f t="shared" ref="AX86:AY86" si="444">AX78</f>
        <v>F3Q16A</v>
      </c>
      <c r="AY86" s="488" t="str">
        <f t="shared" si="444"/>
        <v>F4Q16A</v>
      </c>
      <c r="AZ86" s="489" t="str">
        <f t="shared" ref="AZ86:BC86" si="445">AZ78</f>
        <v>F1Q17A</v>
      </c>
      <c r="BA86" s="487" t="str">
        <f t="shared" si="445"/>
        <v>F2Q17A</v>
      </c>
      <c r="BB86" s="487" t="str">
        <f t="shared" si="445"/>
        <v>F3Q17A</v>
      </c>
      <c r="BC86" s="488" t="str">
        <f t="shared" si="445"/>
        <v>F4Q17A</v>
      </c>
      <c r="BD86" s="489" t="str">
        <f t="shared" ref="BD86:BG86" si="446">BD78</f>
        <v>F1Q18A</v>
      </c>
      <c r="BE86" s="487" t="str">
        <f t="shared" si="446"/>
        <v>F2Q18E</v>
      </c>
      <c r="BF86" s="487" t="str">
        <f t="shared" si="446"/>
        <v>F3Q18E</v>
      </c>
      <c r="BG86" s="488" t="str">
        <f t="shared" si="446"/>
        <v>F4Q18E</v>
      </c>
      <c r="BH86" s="487" t="str">
        <f t="shared" ref="BH86:BK86" si="447">BH78</f>
        <v>F1Q19E</v>
      </c>
      <c r="BI86" s="487" t="str">
        <f t="shared" si="447"/>
        <v>F2Q19E</v>
      </c>
      <c r="BJ86" s="487" t="str">
        <f t="shared" si="447"/>
        <v>F3Q19E</v>
      </c>
      <c r="BK86" s="488" t="str">
        <f t="shared" si="447"/>
        <v>F4Q19E</v>
      </c>
      <c r="BL86" s="35"/>
      <c r="BM86" s="21" t="str">
        <f t="shared" ref="BM86:BY86" si="448">BM78</f>
        <v>FY2005A</v>
      </c>
      <c r="BN86" s="22" t="str">
        <f t="shared" si="448"/>
        <v>FY2006A</v>
      </c>
      <c r="BO86" s="22" t="str">
        <f t="shared" si="448"/>
        <v>FY2007A</v>
      </c>
      <c r="BP86" s="22" t="str">
        <f t="shared" si="448"/>
        <v>FY2008A</v>
      </c>
      <c r="BQ86" s="22" t="str">
        <f t="shared" si="448"/>
        <v>FY2009A</v>
      </c>
      <c r="BR86" s="21" t="str">
        <f t="shared" si="448"/>
        <v>FY2010A</v>
      </c>
      <c r="BS86" s="22" t="str">
        <f t="shared" si="448"/>
        <v>FY2011A</v>
      </c>
      <c r="BT86" s="22" t="str">
        <f t="shared" si="448"/>
        <v>FY2012A</v>
      </c>
      <c r="BU86" s="22" t="str">
        <f t="shared" si="448"/>
        <v>FY2013A</v>
      </c>
      <c r="BV86" s="22" t="str">
        <f t="shared" si="448"/>
        <v>FY2014</v>
      </c>
      <c r="BW86" s="22" t="str">
        <f>BW78</f>
        <v>FY2015</v>
      </c>
      <c r="BX86" s="22" t="str">
        <f t="shared" si="448"/>
        <v>FY2016</v>
      </c>
      <c r="BY86" s="21" t="str">
        <f t="shared" si="448"/>
        <v>FY2017A</v>
      </c>
      <c r="BZ86" s="22" t="str">
        <f t="shared" ref="BZ86:CB86" si="449">BZ78</f>
        <v>FY2018E</v>
      </c>
      <c r="CA86" s="22" t="str">
        <f t="shared" si="449"/>
        <v>FY2019E</v>
      </c>
      <c r="CB86" s="23" t="str">
        <f t="shared" si="449"/>
        <v>FY2020E</v>
      </c>
      <c r="CC86" s="37"/>
      <c r="CD86" s="26"/>
      <c r="CE86" s="26"/>
    </row>
    <row r="87" spans="1:83" ht="14.25" customHeight="1">
      <c r="A87" s="18"/>
      <c r="B87" s="37" t="s">
        <v>244</v>
      </c>
      <c r="C87" s="490"/>
      <c r="D87" s="535">
        <f t="shared" ref="D87:AI87" si="450">D27+D30</f>
        <v>1968</v>
      </c>
      <c r="E87" s="536">
        <f t="shared" si="450"/>
        <v>1583</v>
      </c>
      <c r="F87" s="536">
        <f t="shared" si="450"/>
        <v>3084</v>
      </c>
      <c r="G87" s="537">
        <f t="shared" si="450"/>
        <v>2345</v>
      </c>
      <c r="H87" s="535">
        <f t="shared" si="450"/>
        <v>334</v>
      </c>
      <c r="I87" s="536">
        <f t="shared" si="450"/>
        <v>-220</v>
      </c>
      <c r="J87" s="536">
        <f t="shared" si="450"/>
        <v>1623</v>
      </c>
      <c r="K87" s="537">
        <f t="shared" si="450"/>
        <v>3035</v>
      </c>
      <c r="L87" s="535">
        <f t="shared" si="450"/>
        <v>191</v>
      </c>
      <c r="M87" s="536">
        <f t="shared" si="450"/>
        <v>1139</v>
      </c>
      <c r="N87" s="536">
        <f t="shared" si="450"/>
        <v>2796</v>
      </c>
      <c r="O87" s="537">
        <f t="shared" si="450"/>
        <v>3499</v>
      </c>
      <c r="P87" s="535">
        <f t="shared" si="450"/>
        <v>1308</v>
      </c>
      <c r="Q87" s="536">
        <f t="shared" si="450"/>
        <v>1677</v>
      </c>
      <c r="R87" s="536">
        <f t="shared" si="450"/>
        <v>1913</v>
      </c>
      <c r="S87" s="537">
        <f t="shared" si="450"/>
        <v>831</v>
      </c>
      <c r="T87" s="535">
        <f t="shared" si="450"/>
        <v>-1131</v>
      </c>
      <c r="U87" s="536">
        <f t="shared" si="450"/>
        <v>2403</v>
      </c>
      <c r="V87" s="536">
        <f t="shared" si="450"/>
        <v>3059</v>
      </c>
      <c r="W87" s="537">
        <f t="shared" si="450"/>
        <v>2324</v>
      </c>
      <c r="X87" s="535">
        <f t="shared" si="450"/>
        <v>3151</v>
      </c>
      <c r="Y87" s="536">
        <f t="shared" si="450"/>
        <v>2438</v>
      </c>
      <c r="Z87" s="536">
        <f t="shared" si="450"/>
        <v>2215</v>
      </c>
      <c r="AA87" s="537">
        <f t="shared" si="450"/>
        <v>3681</v>
      </c>
      <c r="AB87" s="538">
        <f t="shared" si="450"/>
        <v>1290</v>
      </c>
      <c r="AC87" s="538">
        <f t="shared" si="450"/>
        <v>1487</v>
      </c>
      <c r="AD87" s="538">
        <f t="shared" si="450"/>
        <v>3636</v>
      </c>
      <c r="AE87" s="537">
        <f t="shared" si="450"/>
        <v>3786</v>
      </c>
      <c r="AF87" s="538">
        <f t="shared" si="450"/>
        <v>-2</v>
      </c>
      <c r="AG87" s="538">
        <f t="shared" si="450"/>
        <v>2077</v>
      </c>
      <c r="AH87" s="538">
        <f t="shared" si="450"/>
        <v>2260</v>
      </c>
      <c r="AI87" s="537">
        <f t="shared" si="450"/>
        <v>3522</v>
      </c>
      <c r="AJ87" s="538">
        <f t="shared" ref="AJ87:BC87" si="451">AJ27+AJ30</f>
        <v>2111</v>
      </c>
      <c r="AK87" s="538">
        <f t="shared" si="451"/>
        <v>1999</v>
      </c>
      <c r="AL87" s="538">
        <f t="shared" si="451"/>
        <v>2865</v>
      </c>
      <c r="AM87" s="537">
        <f t="shared" si="451"/>
        <v>3090</v>
      </c>
      <c r="AN87" s="538">
        <f t="shared" si="451"/>
        <v>812</v>
      </c>
      <c r="AO87" s="538">
        <f t="shared" si="451"/>
        <v>2625</v>
      </c>
      <c r="AP87" s="538">
        <f t="shared" si="451"/>
        <v>3248</v>
      </c>
      <c r="AQ87" s="537">
        <f t="shared" si="451"/>
        <v>3628</v>
      </c>
      <c r="AR87" s="538">
        <f t="shared" si="451"/>
        <v>2390</v>
      </c>
      <c r="AS87" s="538">
        <f t="shared" si="451"/>
        <v>1673</v>
      </c>
      <c r="AT87" s="538">
        <f t="shared" si="451"/>
        <v>4529</v>
      </c>
      <c r="AU87" s="537">
        <f t="shared" si="451"/>
        <v>3099</v>
      </c>
      <c r="AV87" s="538">
        <f t="shared" si="451"/>
        <v>2709</v>
      </c>
      <c r="AW87" s="538">
        <f t="shared" si="451"/>
        <v>1559</v>
      </c>
      <c r="AX87" s="538">
        <f t="shared" ref="AX87:AY87" si="452">AX27+AX30</f>
        <v>3295</v>
      </c>
      <c r="AY87" s="537">
        <f t="shared" si="452"/>
        <v>4620</v>
      </c>
      <c r="AZ87" s="538">
        <f t="shared" si="451"/>
        <v>1946</v>
      </c>
      <c r="BA87" s="538">
        <f t="shared" si="451"/>
        <v>1929</v>
      </c>
      <c r="BB87" s="538">
        <f t="shared" si="451"/>
        <v>3285</v>
      </c>
      <c r="BC87" s="537">
        <f t="shared" si="451"/>
        <v>3172</v>
      </c>
      <c r="BD87" s="535">
        <f>BD27+BD30+BD40</f>
        <v>3874</v>
      </c>
      <c r="BE87" s="536">
        <f t="shared" ref="BE87:BK87" si="453">BE27+BE30+BE40</f>
        <v>3550.8955123566011</v>
      </c>
      <c r="BF87" s="536">
        <f t="shared" si="453"/>
        <v>3377.2279135170575</v>
      </c>
      <c r="BG87" s="1275">
        <f t="shared" si="453"/>
        <v>4080.9956520649957</v>
      </c>
      <c r="BH87" s="538">
        <f>BH27+BH30+BH40</f>
        <v>4313.9913844437888</v>
      </c>
      <c r="BI87" s="538">
        <f t="shared" si="453"/>
        <v>2870.5307659891005</v>
      </c>
      <c r="BJ87" s="538">
        <f t="shared" si="453"/>
        <v>2951.6836691364815</v>
      </c>
      <c r="BK87" s="538">
        <f t="shared" si="453"/>
        <v>3948.0631764656719</v>
      </c>
      <c r="BL87" s="35"/>
      <c r="BM87" s="539">
        <f t="shared" ref="BM87:BW87" si="454">BM27+BM30</f>
        <v>8980</v>
      </c>
      <c r="BN87" s="536">
        <f t="shared" si="454"/>
        <v>4772</v>
      </c>
      <c r="BO87" s="536">
        <f t="shared" si="454"/>
        <v>7625</v>
      </c>
      <c r="BP87" s="536">
        <f t="shared" si="454"/>
        <v>5729</v>
      </c>
      <c r="BQ87" s="539">
        <f t="shared" si="454"/>
        <v>6655</v>
      </c>
      <c r="BR87" s="539">
        <f t="shared" si="454"/>
        <v>11485</v>
      </c>
      <c r="BS87" s="536">
        <f t="shared" si="454"/>
        <v>10199</v>
      </c>
      <c r="BT87" s="536">
        <f t="shared" si="454"/>
        <v>7857</v>
      </c>
      <c r="BU87" s="536">
        <f t="shared" si="454"/>
        <v>10065</v>
      </c>
      <c r="BV87" s="536">
        <f t="shared" si="454"/>
        <v>10313</v>
      </c>
      <c r="BW87" s="451">
        <f t="shared" si="454"/>
        <v>11691</v>
      </c>
      <c r="BX87" s="539">
        <f>BX27+BX30</f>
        <v>12183</v>
      </c>
      <c r="BY87" s="535">
        <f>BY27+BY30</f>
        <v>10332</v>
      </c>
      <c r="BZ87" s="536">
        <f t="shared" ref="BZ87:CB87" si="455">BZ27+BZ30+BZ40</f>
        <v>14883.11907793866</v>
      </c>
      <c r="CA87" s="536">
        <f t="shared" si="455"/>
        <v>14084.268996035036</v>
      </c>
      <c r="CB87" s="1275">
        <f t="shared" si="455"/>
        <v>15207.063934192025</v>
      </c>
      <c r="CC87" s="37"/>
      <c r="CD87" s="26"/>
      <c r="CE87" s="26"/>
    </row>
    <row r="88" spans="1:83" ht="14.25" customHeight="1">
      <c r="A88" s="18"/>
      <c r="B88" s="426" t="s">
        <v>509</v>
      </c>
      <c r="C88" s="34"/>
      <c r="D88" s="540">
        <f t="shared" ref="D88:AI88" si="456">D87-D12</f>
        <v>1968</v>
      </c>
      <c r="E88" s="541">
        <f t="shared" si="456"/>
        <v>1583</v>
      </c>
      <c r="F88" s="541">
        <f t="shared" si="456"/>
        <v>3084</v>
      </c>
      <c r="G88" s="542">
        <f t="shared" si="456"/>
        <v>2345</v>
      </c>
      <c r="H88" s="540">
        <f t="shared" si="456"/>
        <v>-40</v>
      </c>
      <c r="I88" s="541">
        <f t="shared" si="456"/>
        <v>-552</v>
      </c>
      <c r="J88" s="541">
        <f t="shared" si="456"/>
        <v>1288</v>
      </c>
      <c r="K88" s="542">
        <f t="shared" si="456"/>
        <v>2701</v>
      </c>
      <c r="L88" s="540">
        <f t="shared" si="456"/>
        <v>-93</v>
      </c>
      <c r="M88" s="541">
        <f t="shared" si="456"/>
        <v>902</v>
      </c>
      <c r="N88" s="541">
        <f t="shared" si="456"/>
        <v>2569</v>
      </c>
      <c r="O88" s="542">
        <f t="shared" si="456"/>
        <v>3295</v>
      </c>
      <c r="P88" s="540">
        <f t="shared" si="456"/>
        <v>1089</v>
      </c>
      <c r="Q88" s="541">
        <f t="shared" si="456"/>
        <v>1434</v>
      </c>
      <c r="R88" s="541">
        <f t="shared" si="456"/>
        <v>1716</v>
      </c>
      <c r="S88" s="542">
        <f t="shared" si="456"/>
        <v>639</v>
      </c>
      <c r="T88" s="540">
        <f t="shared" si="456"/>
        <v>-1344</v>
      </c>
      <c r="U88" s="541">
        <f t="shared" si="456"/>
        <v>2145</v>
      </c>
      <c r="V88" s="541">
        <f t="shared" si="456"/>
        <v>2841</v>
      </c>
      <c r="W88" s="542">
        <f t="shared" si="456"/>
        <v>2124</v>
      </c>
      <c r="X88" s="540">
        <f t="shared" si="456"/>
        <v>2903</v>
      </c>
      <c r="Y88" s="541">
        <f t="shared" si="456"/>
        <v>2206</v>
      </c>
      <c r="Z88" s="541">
        <f t="shared" si="456"/>
        <v>1991</v>
      </c>
      <c r="AA88" s="542">
        <f t="shared" si="456"/>
        <v>3468</v>
      </c>
      <c r="AB88" s="541">
        <f t="shared" si="456"/>
        <v>990</v>
      </c>
      <c r="AC88" s="541">
        <f t="shared" si="456"/>
        <v>1225</v>
      </c>
      <c r="AD88" s="541">
        <f t="shared" si="456"/>
        <v>3386</v>
      </c>
      <c r="AE88" s="542">
        <f t="shared" si="456"/>
        <v>3545</v>
      </c>
      <c r="AF88" s="541">
        <f t="shared" si="456"/>
        <v>-276</v>
      </c>
      <c r="AG88" s="541">
        <f t="shared" si="456"/>
        <v>1797</v>
      </c>
      <c r="AH88" s="541">
        <f t="shared" si="456"/>
        <v>1984</v>
      </c>
      <c r="AI88" s="542">
        <f t="shared" si="456"/>
        <v>3250</v>
      </c>
      <c r="AJ88" s="541">
        <f t="shared" ref="AJ88:BC88" si="457">AJ87-AJ12</f>
        <v>1816</v>
      </c>
      <c r="AK88" s="541">
        <f t="shared" si="457"/>
        <v>1707</v>
      </c>
      <c r="AL88" s="541">
        <f t="shared" si="457"/>
        <v>2597</v>
      </c>
      <c r="AM88" s="542">
        <f t="shared" si="457"/>
        <v>2827</v>
      </c>
      <c r="AN88" s="541">
        <f t="shared" si="457"/>
        <v>529</v>
      </c>
      <c r="AO88" s="541">
        <f t="shared" si="457"/>
        <v>2322</v>
      </c>
      <c r="AP88" s="541">
        <f t="shared" si="457"/>
        <v>2967</v>
      </c>
      <c r="AQ88" s="542">
        <f t="shared" si="457"/>
        <v>3347</v>
      </c>
      <c r="AR88" s="541">
        <f t="shared" si="457"/>
        <v>2022</v>
      </c>
      <c r="AS88" s="541">
        <f t="shared" si="457"/>
        <v>1341</v>
      </c>
      <c r="AT88" s="541">
        <f t="shared" si="457"/>
        <v>4220</v>
      </c>
      <c r="AU88" s="542">
        <f t="shared" si="457"/>
        <v>2803</v>
      </c>
      <c r="AV88" s="541">
        <f t="shared" si="457"/>
        <v>2261</v>
      </c>
      <c r="AW88" s="541">
        <f t="shared" si="457"/>
        <v>1195</v>
      </c>
      <c r="AX88" s="541">
        <f t="shared" ref="AX88:AY88" si="458">AX87-AX12</f>
        <v>2971</v>
      </c>
      <c r="AY88" s="542">
        <f t="shared" si="458"/>
        <v>4312</v>
      </c>
      <c r="AZ88" s="541">
        <f t="shared" si="457"/>
        <v>1549</v>
      </c>
      <c r="BA88" s="541">
        <f t="shared" si="457"/>
        <v>1601</v>
      </c>
      <c r="BB88" s="541">
        <f t="shared" si="457"/>
        <v>2959</v>
      </c>
      <c r="BC88" s="542">
        <f t="shared" si="457"/>
        <v>2865</v>
      </c>
      <c r="BD88" s="540">
        <f t="shared" ref="BD88:BG88" si="459">BD87-BD12</f>
        <v>3441</v>
      </c>
      <c r="BE88" s="541">
        <f t="shared" si="459"/>
        <v>3117.8955123566011</v>
      </c>
      <c r="BF88" s="541">
        <f t="shared" si="459"/>
        <v>2944.2279135170575</v>
      </c>
      <c r="BG88" s="542">
        <f t="shared" si="459"/>
        <v>3647.9956520649957</v>
      </c>
      <c r="BH88" s="541">
        <f t="shared" ref="BH88:BK88" si="460">BH87-BH12</f>
        <v>3880.9913844437888</v>
      </c>
      <c r="BI88" s="541">
        <f t="shared" si="460"/>
        <v>2437.5307659891005</v>
      </c>
      <c r="BJ88" s="541">
        <f t="shared" si="460"/>
        <v>2518.6836691364815</v>
      </c>
      <c r="BK88" s="542">
        <f t="shared" si="460"/>
        <v>3515.0631764656719</v>
      </c>
      <c r="BL88" s="35"/>
      <c r="BM88" s="541">
        <f t="shared" ref="BM88:BY88" si="461">BM87-BM12</f>
        <v>8980</v>
      </c>
      <c r="BN88" s="541">
        <f t="shared" si="461"/>
        <v>3397</v>
      </c>
      <c r="BO88" s="541">
        <f t="shared" si="461"/>
        <v>6673</v>
      </c>
      <c r="BP88" s="541">
        <f t="shared" si="461"/>
        <v>4878</v>
      </c>
      <c r="BQ88" s="541">
        <f t="shared" si="461"/>
        <v>5766</v>
      </c>
      <c r="BR88" s="541">
        <f t="shared" si="461"/>
        <v>10568</v>
      </c>
      <c r="BS88" s="541">
        <f t="shared" si="461"/>
        <v>9146</v>
      </c>
      <c r="BT88" s="541">
        <f t="shared" si="461"/>
        <v>6755</v>
      </c>
      <c r="BU88" s="541">
        <f t="shared" si="461"/>
        <v>8947</v>
      </c>
      <c r="BV88" s="541">
        <f t="shared" si="461"/>
        <v>9165</v>
      </c>
      <c r="BW88" s="606">
        <f t="shared" si="461"/>
        <v>10386</v>
      </c>
      <c r="BX88" s="541">
        <f t="shared" si="461"/>
        <v>10739</v>
      </c>
      <c r="BY88" s="540">
        <f t="shared" si="461"/>
        <v>8974</v>
      </c>
      <c r="BZ88" s="541">
        <f t="shared" ref="BZ88:CB88" si="462">BZ87-BZ12</f>
        <v>13151.11907793866</v>
      </c>
      <c r="CA88" s="541">
        <f t="shared" si="462"/>
        <v>12352.268996035036</v>
      </c>
      <c r="CB88" s="542">
        <f t="shared" si="462"/>
        <v>13475.063934192025</v>
      </c>
      <c r="CC88" s="37"/>
      <c r="CD88" s="26"/>
      <c r="CE88" s="26"/>
    </row>
    <row r="89" spans="1:83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009" t="s">
        <v>2</v>
      </c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4"/>
      <c r="BN89" s="14"/>
      <c r="BO89" s="14"/>
      <c r="BP89" s="14"/>
      <c r="BQ89" s="14"/>
      <c r="BR89" s="543"/>
      <c r="BS89" s="14"/>
      <c r="BT89" s="14"/>
      <c r="BU89" s="14"/>
      <c r="BV89" s="14"/>
      <c r="BW89" s="607"/>
      <c r="BX89" s="543">
        <f>BX88/IS!BX98</f>
        <v>2.2029847684496642</v>
      </c>
      <c r="BY89" s="14"/>
      <c r="BZ89" s="14"/>
      <c r="CA89" s="14"/>
      <c r="CB89" s="14"/>
      <c r="CC89" s="9"/>
      <c r="CD89" s="9"/>
      <c r="CE89" s="9"/>
    </row>
    <row r="90" spans="1:83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608"/>
      <c r="BX90" s="543"/>
      <c r="BY90" s="14"/>
      <c r="BZ90" s="14"/>
      <c r="CA90" s="14"/>
      <c r="CB90" s="14"/>
      <c r="CC90" s="9"/>
      <c r="CD90" s="9"/>
      <c r="CE90" s="9"/>
    </row>
    <row r="91" spans="1:83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608"/>
      <c r="BX91" s="543"/>
      <c r="BY91" s="14"/>
      <c r="BZ91" s="14"/>
      <c r="CA91" s="14"/>
      <c r="CB91" s="14"/>
      <c r="CC91" s="9"/>
      <c r="CD91" s="9"/>
      <c r="CE91" s="9"/>
    </row>
    <row r="92" spans="1:83" ht="14.25" customHeight="1" outlineLevel="1">
      <c r="A92" s="18"/>
      <c r="B92" s="265" t="s">
        <v>245</v>
      </c>
      <c r="C92" s="20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26"/>
      <c r="BM92" s="483"/>
      <c r="BN92" s="483"/>
      <c r="BO92" s="483"/>
      <c r="BP92" s="483"/>
      <c r="BQ92" s="483"/>
      <c r="BR92" s="483"/>
      <c r="BS92" s="483"/>
      <c r="BT92" s="483"/>
      <c r="BU92" s="483"/>
      <c r="BV92" s="483"/>
      <c r="BW92" s="274"/>
      <c r="BX92" s="604"/>
      <c r="BY92" s="483"/>
      <c r="BZ92" s="483"/>
      <c r="CA92" s="483"/>
      <c r="CB92" s="483"/>
      <c r="CC92" s="26"/>
      <c r="CD92" s="26"/>
      <c r="CE92" s="26"/>
    </row>
    <row r="93" spans="1:83" ht="14.25" customHeight="1" outlineLevel="1">
      <c r="A93" s="26"/>
      <c r="B93" s="191" t="s">
        <v>43</v>
      </c>
      <c r="C93" s="28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201"/>
      <c r="BM93" s="274"/>
      <c r="BN93" s="274"/>
      <c r="BO93" s="274"/>
      <c r="BP93" s="274"/>
      <c r="BQ93" s="274"/>
      <c r="BR93" s="274"/>
      <c r="BS93" s="274"/>
      <c r="BT93" s="274"/>
      <c r="BU93" s="274"/>
      <c r="BV93" s="274"/>
      <c r="BW93" s="274"/>
      <c r="BX93" s="274"/>
      <c r="BY93" s="274"/>
      <c r="BZ93" s="274"/>
      <c r="CA93" s="274"/>
      <c r="CB93" s="274"/>
      <c r="CC93" s="26"/>
      <c r="CD93" s="26"/>
      <c r="CE93" s="26"/>
    </row>
    <row r="94" spans="1:83" ht="14.25" customHeight="1" outlineLevel="1">
      <c r="A94" s="26"/>
      <c r="B94" s="269"/>
      <c r="C94" s="270"/>
      <c r="D94" s="21" t="str">
        <f t="shared" ref="D94:AI94" si="463">D7</f>
        <v>F1Q05A</v>
      </c>
      <c r="E94" s="22" t="str">
        <f t="shared" si="463"/>
        <v>F2Q05A</v>
      </c>
      <c r="F94" s="22" t="str">
        <f t="shared" si="463"/>
        <v>F3Q05A</v>
      </c>
      <c r="G94" s="23" t="str">
        <f t="shared" si="463"/>
        <v>F4Q05A</v>
      </c>
      <c r="H94" s="21" t="str">
        <f t="shared" si="463"/>
        <v>F1Q06A</v>
      </c>
      <c r="I94" s="22" t="str">
        <f t="shared" si="463"/>
        <v>F2Q06A</v>
      </c>
      <c r="J94" s="22" t="str">
        <f t="shared" si="463"/>
        <v>F3Q06A</v>
      </c>
      <c r="K94" s="23" t="str">
        <f t="shared" si="463"/>
        <v>F4Q06A</v>
      </c>
      <c r="L94" s="21" t="str">
        <f t="shared" si="463"/>
        <v>F1Q07A</v>
      </c>
      <c r="M94" s="22" t="str">
        <f t="shared" si="463"/>
        <v>F2Q07A</v>
      </c>
      <c r="N94" s="22" t="str">
        <f t="shared" si="463"/>
        <v>F3Q07A</v>
      </c>
      <c r="O94" s="23" t="str">
        <f t="shared" si="463"/>
        <v>F4Q07A</v>
      </c>
      <c r="P94" s="21" t="str">
        <f t="shared" si="463"/>
        <v>F1Q08A</v>
      </c>
      <c r="Q94" s="22" t="str">
        <f t="shared" si="463"/>
        <v>F2Q08A</v>
      </c>
      <c r="R94" s="22" t="str">
        <f t="shared" si="463"/>
        <v>F3Q08A</v>
      </c>
      <c r="S94" s="23" t="str">
        <f t="shared" si="463"/>
        <v>F4Q08A</v>
      </c>
      <c r="T94" s="21" t="str">
        <f t="shared" si="463"/>
        <v>F1Q09A</v>
      </c>
      <c r="U94" s="22" t="str">
        <f t="shared" si="463"/>
        <v>F2Q09A</v>
      </c>
      <c r="V94" s="22" t="str">
        <f t="shared" si="463"/>
        <v>F3Q09A</v>
      </c>
      <c r="W94" s="23" t="str">
        <f t="shared" si="463"/>
        <v>F4Q09A</v>
      </c>
      <c r="X94" s="21" t="str">
        <f t="shared" si="463"/>
        <v>F1Q10A</v>
      </c>
      <c r="Y94" s="22" t="str">
        <f t="shared" si="463"/>
        <v>F2Q10A</v>
      </c>
      <c r="Z94" s="22" t="str">
        <f t="shared" si="463"/>
        <v>F3Q10A</v>
      </c>
      <c r="AA94" s="23" t="str">
        <f t="shared" si="463"/>
        <v>F4Q10A</v>
      </c>
      <c r="AB94" s="21" t="str">
        <f t="shared" si="463"/>
        <v>F1Q11A</v>
      </c>
      <c r="AC94" s="22" t="str">
        <f t="shared" si="463"/>
        <v>F2Q11A</v>
      </c>
      <c r="AD94" s="22" t="str">
        <f t="shared" si="463"/>
        <v>F3Q11A</v>
      </c>
      <c r="AE94" s="23" t="str">
        <f t="shared" si="463"/>
        <v>F4Q11A</v>
      </c>
      <c r="AF94" s="21" t="str">
        <f t="shared" si="463"/>
        <v>F1Q12A</v>
      </c>
      <c r="AG94" s="22" t="str">
        <f t="shared" si="463"/>
        <v>F2Q12A</v>
      </c>
      <c r="AH94" s="22" t="str">
        <f t="shared" si="463"/>
        <v>F3Q12A</v>
      </c>
      <c r="AI94" s="23" t="str">
        <f t="shared" si="463"/>
        <v>F4Q12A</v>
      </c>
      <c r="AJ94" s="21" t="str">
        <f t="shared" ref="AJ94:BC94" si="464">AJ7</f>
        <v>F1Q13A</v>
      </c>
      <c r="AK94" s="22" t="str">
        <f t="shared" si="464"/>
        <v>F2Q13A</v>
      </c>
      <c r="AL94" s="22" t="str">
        <f t="shared" si="464"/>
        <v>F3Q13A</v>
      </c>
      <c r="AM94" s="23" t="str">
        <f t="shared" si="464"/>
        <v>F4Q13A</v>
      </c>
      <c r="AN94" s="21" t="str">
        <f t="shared" si="464"/>
        <v>F1Q14A</v>
      </c>
      <c r="AO94" s="22" t="str">
        <f t="shared" si="464"/>
        <v>F2Q14A</v>
      </c>
      <c r="AP94" s="22" t="str">
        <f t="shared" si="464"/>
        <v>F3Q14A</v>
      </c>
      <c r="AQ94" s="23" t="str">
        <f t="shared" si="464"/>
        <v>F4Q14A</v>
      </c>
      <c r="AR94" s="21" t="str">
        <f t="shared" si="464"/>
        <v>F1Q15A</v>
      </c>
      <c r="AS94" s="22" t="str">
        <f t="shared" si="464"/>
        <v>F2Q15A</v>
      </c>
      <c r="AT94" s="22" t="str">
        <f t="shared" si="464"/>
        <v>F3Q15A</v>
      </c>
      <c r="AU94" s="23" t="str">
        <f t="shared" si="464"/>
        <v>F4Q15A</v>
      </c>
      <c r="AV94" s="21" t="str">
        <f t="shared" si="464"/>
        <v>F1Q16A</v>
      </c>
      <c r="AW94" s="22" t="str">
        <f t="shared" si="464"/>
        <v>F2Q16A</v>
      </c>
      <c r="AX94" s="22" t="str">
        <f t="shared" si="464"/>
        <v>F3Q16A</v>
      </c>
      <c r="AY94" s="23" t="str">
        <f t="shared" ref="AY94" si="465">AY7</f>
        <v>F4Q16A</v>
      </c>
      <c r="AZ94" s="21" t="str">
        <f t="shared" si="464"/>
        <v>F1Q17A</v>
      </c>
      <c r="BA94" s="22" t="str">
        <f t="shared" si="464"/>
        <v>F2Q17A</v>
      </c>
      <c r="BB94" s="22" t="str">
        <f t="shared" si="464"/>
        <v>F3Q17A</v>
      </c>
      <c r="BC94" s="23" t="str">
        <f t="shared" si="464"/>
        <v>F4Q17A</v>
      </c>
      <c r="BD94" s="21" t="str">
        <f t="shared" ref="BD94:BG94" si="466">BD7</f>
        <v>F1Q18A</v>
      </c>
      <c r="BE94" s="22" t="str">
        <f t="shared" si="466"/>
        <v>F2Q18E</v>
      </c>
      <c r="BF94" s="22" t="str">
        <f t="shared" si="466"/>
        <v>F3Q18E</v>
      </c>
      <c r="BG94" s="23" t="str">
        <f t="shared" si="466"/>
        <v>F4Q18E</v>
      </c>
      <c r="BH94" s="21" t="str">
        <f t="shared" ref="BH94:BK94" si="467">BH7</f>
        <v>F1Q19E</v>
      </c>
      <c r="BI94" s="22" t="str">
        <f t="shared" si="467"/>
        <v>F2Q19E</v>
      </c>
      <c r="BJ94" s="22" t="str">
        <f t="shared" si="467"/>
        <v>F3Q19E</v>
      </c>
      <c r="BK94" s="23" t="str">
        <f t="shared" si="467"/>
        <v>F4Q19E</v>
      </c>
      <c r="BL94" s="377"/>
      <c r="BM94" s="21" t="str">
        <f t="shared" ref="BM94:BY94" si="468">BM7</f>
        <v>FY2005A</v>
      </c>
      <c r="BN94" s="22" t="str">
        <f t="shared" si="468"/>
        <v>FY2006A</v>
      </c>
      <c r="BO94" s="22" t="str">
        <f t="shared" si="468"/>
        <v>FY2007A</v>
      </c>
      <c r="BP94" s="22" t="str">
        <f t="shared" si="468"/>
        <v>FY2008A</v>
      </c>
      <c r="BQ94" s="22" t="str">
        <f t="shared" si="468"/>
        <v>FY2009A</v>
      </c>
      <c r="BR94" s="21" t="str">
        <f t="shared" si="468"/>
        <v>FY2010A</v>
      </c>
      <c r="BS94" s="22" t="str">
        <f t="shared" si="468"/>
        <v>FY2011A</v>
      </c>
      <c r="BT94" s="22" t="str">
        <f t="shared" si="468"/>
        <v>FY2012A</v>
      </c>
      <c r="BU94" s="22" t="str">
        <f t="shared" si="468"/>
        <v>FY2013A</v>
      </c>
      <c r="BV94" s="22" t="str">
        <f t="shared" si="468"/>
        <v>FY2014</v>
      </c>
      <c r="BW94" s="22" t="str">
        <f t="shared" si="468"/>
        <v>FY2015</v>
      </c>
      <c r="BX94" s="22" t="str">
        <f t="shared" si="468"/>
        <v>FY2016</v>
      </c>
      <c r="BY94" s="22" t="str">
        <f t="shared" si="468"/>
        <v>FY2017A</v>
      </c>
      <c r="BZ94" s="22" t="str">
        <f t="shared" ref="BZ94:CB94" si="469">BZ7</f>
        <v>FY2018E</v>
      </c>
      <c r="CA94" s="22" t="str">
        <f t="shared" si="469"/>
        <v>FY2019E</v>
      </c>
      <c r="CB94" s="23" t="str">
        <f t="shared" si="469"/>
        <v>FY2020E</v>
      </c>
      <c r="CC94" s="37"/>
      <c r="CD94" s="26"/>
      <c r="CE94" s="26"/>
    </row>
    <row r="95" spans="1:83" ht="14.25" customHeight="1" outlineLevel="1">
      <c r="A95" s="18"/>
      <c r="B95" s="435" t="s">
        <v>246</v>
      </c>
      <c r="C95" s="128"/>
      <c r="D95" s="436"/>
      <c r="E95" s="437"/>
      <c r="F95" s="437"/>
      <c r="G95" s="438"/>
      <c r="H95" s="436"/>
      <c r="I95" s="437"/>
      <c r="J95" s="437"/>
      <c r="K95" s="438"/>
      <c r="L95" s="436"/>
      <c r="M95" s="437"/>
      <c r="N95" s="437"/>
      <c r="O95" s="438"/>
      <c r="P95" s="436"/>
      <c r="Q95" s="437"/>
      <c r="R95" s="437"/>
      <c r="S95" s="438"/>
      <c r="T95" s="436"/>
      <c r="U95" s="437"/>
      <c r="V95" s="437"/>
      <c r="W95" s="438"/>
      <c r="X95" s="436"/>
      <c r="Y95" s="437"/>
      <c r="Z95" s="437"/>
      <c r="AA95" s="438"/>
      <c r="AB95" s="436"/>
      <c r="AC95" s="437"/>
      <c r="AD95" s="437"/>
      <c r="AE95" s="438"/>
      <c r="AF95" s="436"/>
      <c r="AG95" s="437"/>
      <c r="AH95" s="437"/>
      <c r="AI95" s="438"/>
      <c r="AJ95" s="436"/>
      <c r="AK95" s="437"/>
      <c r="AL95" s="437"/>
      <c r="AM95" s="438"/>
      <c r="AN95" s="436"/>
      <c r="AO95" s="437"/>
      <c r="AP95" s="437"/>
      <c r="AQ95" s="438"/>
      <c r="AR95" s="436"/>
      <c r="AS95" s="437"/>
      <c r="AT95" s="437"/>
      <c r="AU95" s="438"/>
      <c r="AV95" s="436"/>
      <c r="AW95" s="437"/>
      <c r="AX95" s="437"/>
      <c r="AY95" s="438"/>
      <c r="AZ95" s="436"/>
      <c r="BA95" s="437"/>
      <c r="BB95" s="437"/>
      <c r="BC95" s="438"/>
      <c r="BD95" s="436"/>
      <c r="BE95" s="437"/>
      <c r="BF95" s="437"/>
      <c r="BG95" s="438"/>
      <c r="BH95" s="436"/>
      <c r="BI95" s="437"/>
      <c r="BJ95" s="437"/>
      <c r="BK95" s="438"/>
      <c r="BL95" s="377"/>
      <c r="BM95" s="437"/>
      <c r="BN95" s="437"/>
      <c r="BO95" s="437"/>
      <c r="BP95" s="437"/>
      <c r="BQ95" s="437"/>
      <c r="BR95" s="437"/>
      <c r="BS95" s="437"/>
      <c r="BT95" s="437"/>
      <c r="BU95" s="437"/>
      <c r="BV95" s="440"/>
      <c r="BW95" s="440"/>
      <c r="BX95" s="437"/>
      <c r="BY95" s="437"/>
      <c r="BZ95" s="437"/>
      <c r="CA95" s="437"/>
      <c r="CB95" s="1186"/>
      <c r="CC95" s="37"/>
      <c r="CD95" s="26"/>
      <c r="CE95" s="26"/>
    </row>
    <row r="96" spans="1:83" ht="14.25" customHeight="1" outlineLevel="1">
      <c r="A96" s="18"/>
      <c r="B96" s="297" t="s">
        <v>247</v>
      </c>
      <c r="C96" s="68"/>
      <c r="D96" s="282">
        <f>D9</f>
        <v>2178</v>
      </c>
      <c r="E96" s="281">
        <f>D96+E9</f>
        <v>4216</v>
      </c>
      <c r="F96" s="281">
        <f>E96+F9</f>
        <v>6211</v>
      </c>
      <c r="G96" s="280">
        <f>F96+G9</f>
        <v>8664</v>
      </c>
      <c r="H96" s="282">
        <f>H9</f>
        <v>1357</v>
      </c>
      <c r="I96" s="281">
        <f>H96+I9</f>
        <v>2242</v>
      </c>
      <c r="J96" s="281">
        <f>I96+J9</f>
        <v>3543</v>
      </c>
      <c r="K96" s="280">
        <f>J96+K9</f>
        <v>5044</v>
      </c>
      <c r="L96" s="282">
        <f>L9</f>
        <v>1636</v>
      </c>
      <c r="M96" s="281">
        <f>L96+M9</f>
        <v>2914</v>
      </c>
      <c r="N96" s="281">
        <f>M96+N9</f>
        <v>4705</v>
      </c>
      <c r="O96" s="280">
        <f>N96+O9</f>
        <v>6976</v>
      </c>
      <c r="P96" s="282">
        <f>P9</f>
        <v>1443</v>
      </c>
      <c r="Q96" s="281">
        <f>P96+Q9</f>
        <v>3044</v>
      </c>
      <c r="R96" s="281">
        <f>Q96+R9</f>
        <v>5058</v>
      </c>
      <c r="S96" s="280">
        <f>R96+S9</f>
        <v>5292</v>
      </c>
      <c r="T96" s="282">
        <f>T9</f>
        <v>629</v>
      </c>
      <c r="U96" s="281">
        <f>T96+U9</f>
        <v>231</v>
      </c>
      <c r="V96" s="281">
        <f>U96+V9</f>
        <v>2087</v>
      </c>
      <c r="W96" s="280">
        <f>V96+W9</f>
        <v>4369</v>
      </c>
      <c r="X96" s="282">
        <f>X9</f>
        <v>2442</v>
      </c>
      <c r="Y96" s="281">
        <f>X96+Y9</f>
        <v>5329</v>
      </c>
      <c r="Z96" s="281">
        <f>Y96+Z9</f>
        <v>8284</v>
      </c>
      <c r="AA96" s="280">
        <f>Z96+AA9</f>
        <v>11464</v>
      </c>
      <c r="AB96" s="282">
        <f>AB9</f>
        <v>3160</v>
      </c>
      <c r="AC96" s="281">
        <f>AB96+AC9</f>
        <v>6114</v>
      </c>
      <c r="AD96" s="281">
        <f>AC96+AD9</f>
        <v>9582</v>
      </c>
      <c r="AE96" s="280">
        <f>AD96+AE9</f>
        <v>12942</v>
      </c>
      <c r="AF96" s="282">
        <f>AF9</f>
        <v>2738</v>
      </c>
      <c r="AG96" s="281">
        <f>AF96+AG9</f>
        <v>5565</v>
      </c>
      <c r="AH96" s="281">
        <f>AG96+AH9</f>
        <v>8537</v>
      </c>
      <c r="AI96" s="280">
        <f>AH96+AI9</f>
        <v>11005</v>
      </c>
      <c r="AJ96" s="282">
        <f>AJ9</f>
        <v>2045</v>
      </c>
      <c r="AK96" s="281">
        <f>AJ96+AK9</f>
        <v>4045</v>
      </c>
      <c r="AL96" s="281">
        <f>AK96+AL9</f>
        <v>6995</v>
      </c>
      <c r="AM96" s="280">
        <f>AL96+AM9</f>
        <v>9620</v>
      </c>
      <c r="AN96" s="282">
        <f>AN9</f>
        <v>1930</v>
      </c>
      <c r="AO96" s="281">
        <f>AN96+AO9</f>
        <v>4726</v>
      </c>
      <c r="AP96" s="281">
        <f>AO96+AP9</f>
        <v>8043</v>
      </c>
      <c r="AQ96" s="280">
        <f>AP96+AQ9</f>
        <v>11704</v>
      </c>
      <c r="AR96" s="281">
        <f>AR9</f>
        <v>1992</v>
      </c>
      <c r="AS96" s="281">
        <f>AR96+AS9</f>
        <v>4698</v>
      </c>
      <c r="AT96" s="281">
        <f>AS96+AT9</f>
        <v>7807</v>
      </c>
      <c r="AU96" s="280">
        <f>AT96+AU9</f>
        <v>11420</v>
      </c>
      <c r="AV96" s="281">
        <f>AV9</f>
        <v>2046</v>
      </c>
      <c r="AW96" s="281">
        <f>AV96+AW9</f>
        <v>3376</v>
      </c>
      <c r="AX96" s="281">
        <f>AW96+AX9</f>
        <v>6754</v>
      </c>
      <c r="AY96" s="280">
        <f>AX96+AY9</f>
        <v>10316</v>
      </c>
      <c r="AZ96" s="281">
        <f>AZ9</f>
        <v>2964</v>
      </c>
      <c r="BA96" s="281">
        <f>AZ96+BA9</f>
        <v>5772</v>
      </c>
      <c r="BB96" s="281">
        <f>BA96+BB9</f>
        <v>10288</v>
      </c>
      <c r="BC96" s="280">
        <f>BB96+BC9</f>
        <v>9601</v>
      </c>
      <c r="BD96" s="281">
        <f>BD9</f>
        <v>4454</v>
      </c>
      <c r="BE96" s="281">
        <f>BD96+BE9</f>
        <v>8502.8951242790517</v>
      </c>
      <c r="BF96" s="281">
        <f>BE96+BF9</f>
        <v>13444.557174912241</v>
      </c>
      <c r="BG96" s="280">
        <f>BF96+BG9</f>
        <v>18442.476690168362</v>
      </c>
      <c r="BH96" s="281">
        <f>BH9</f>
        <v>4084.5012745795202</v>
      </c>
      <c r="BI96" s="281">
        <f>BH96+BI9</f>
        <v>8244.3432982234608</v>
      </c>
      <c r="BJ96" s="281">
        <f>BI96+BJ9</f>
        <v>13190.607878058383</v>
      </c>
      <c r="BK96" s="280">
        <f>BJ96+BK9</f>
        <v>18357.668445528136</v>
      </c>
      <c r="BL96" s="377"/>
      <c r="BM96" s="281">
        <f t="shared" ref="BM96:BY96" si="470">BM9</f>
        <v>8664</v>
      </c>
      <c r="BN96" s="281">
        <f t="shared" si="470"/>
        <v>5044</v>
      </c>
      <c r="BO96" s="281">
        <f t="shared" si="470"/>
        <v>6976</v>
      </c>
      <c r="BP96" s="281">
        <f t="shared" si="470"/>
        <v>5292</v>
      </c>
      <c r="BQ96" s="281">
        <f t="shared" si="470"/>
        <v>4369</v>
      </c>
      <c r="BR96" s="281">
        <f t="shared" si="470"/>
        <v>11464</v>
      </c>
      <c r="BS96" s="281">
        <f t="shared" si="470"/>
        <v>12942</v>
      </c>
      <c r="BT96" s="281">
        <f t="shared" si="470"/>
        <v>11005</v>
      </c>
      <c r="BU96" s="281">
        <f t="shared" si="470"/>
        <v>9620</v>
      </c>
      <c r="BV96" s="281">
        <f t="shared" si="470"/>
        <v>11704</v>
      </c>
      <c r="BW96" s="281">
        <f t="shared" si="470"/>
        <v>11420</v>
      </c>
      <c r="BX96" s="281">
        <f t="shared" si="470"/>
        <v>10316</v>
      </c>
      <c r="BY96" s="281">
        <f t="shared" si="470"/>
        <v>9601</v>
      </c>
      <c r="BZ96" s="281">
        <f t="shared" ref="BZ96:CB96" si="471">BZ9</f>
        <v>18442.476690168369</v>
      </c>
      <c r="CA96" s="281">
        <f t="shared" si="471"/>
        <v>18357.668445528128</v>
      </c>
      <c r="CB96" s="1168">
        <f t="shared" si="471"/>
        <v>18709.190610168498</v>
      </c>
      <c r="CC96" s="37"/>
      <c r="CD96" s="26"/>
      <c r="CE96" s="26"/>
    </row>
    <row r="97" spans="1:83" ht="14.25" customHeight="1" outlineLevel="1">
      <c r="A97" s="18"/>
      <c r="B97" s="441" t="s">
        <v>248</v>
      </c>
      <c r="C97" s="442"/>
      <c r="D97" s="446"/>
      <c r="E97" s="447"/>
      <c r="F97" s="447"/>
      <c r="G97" s="448"/>
      <c r="H97" s="446"/>
      <c r="I97" s="447"/>
      <c r="J97" s="447"/>
      <c r="K97" s="448"/>
      <c r="L97" s="446"/>
      <c r="M97" s="447"/>
      <c r="N97" s="447"/>
      <c r="O97" s="448"/>
      <c r="P97" s="446"/>
      <c r="Q97" s="447"/>
      <c r="R97" s="447"/>
      <c r="S97" s="448"/>
      <c r="T97" s="446"/>
      <c r="U97" s="447"/>
      <c r="V97" s="447"/>
      <c r="W97" s="448"/>
      <c r="X97" s="446"/>
      <c r="Y97" s="447"/>
      <c r="Z97" s="447"/>
      <c r="AA97" s="448"/>
      <c r="AB97" s="544"/>
      <c r="AC97" s="447"/>
      <c r="AD97" s="447"/>
      <c r="AE97" s="448"/>
      <c r="AF97" s="446"/>
      <c r="AG97" s="447"/>
      <c r="AH97" s="447"/>
      <c r="AI97" s="448"/>
      <c r="AJ97" s="446"/>
      <c r="AK97" s="447"/>
      <c r="AL97" s="447"/>
      <c r="AM97" s="448"/>
      <c r="AN97" s="446"/>
      <c r="AO97" s="447"/>
      <c r="AP97" s="447"/>
      <c r="AQ97" s="448"/>
      <c r="AR97" s="447"/>
      <c r="AS97" s="447"/>
      <c r="AT97" s="447"/>
      <c r="AU97" s="448"/>
      <c r="AV97" s="447"/>
      <c r="AW97" s="447"/>
      <c r="AX97" s="447"/>
      <c r="AY97" s="448"/>
      <c r="AZ97" s="447"/>
      <c r="BA97" s="447"/>
      <c r="BB97" s="447"/>
      <c r="BC97" s="448"/>
      <c r="BD97" s="447"/>
      <c r="BE97" s="447"/>
      <c r="BF97" s="447"/>
      <c r="BG97" s="448"/>
      <c r="BH97" s="447"/>
      <c r="BI97" s="447"/>
      <c r="BJ97" s="447"/>
      <c r="BK97" s="448"/>
      <c r="BL97" s="377"/>
      <c r="BM97" s="447"/>
      <c r="BN97" s="447"/>
      <c r="BO97" s="447"/>
      <c r="BP97" s="447"/>
      <c r="BQ97" s="447"/>
      <c r="BR97" s="447"/>
      <c r="BS97" s="447"/>
      <c r="BT97" s="447"/>
      <c r="BU97" s="447"/>
      <c r="BV97" s="447"/>
      <c r="BW97" s="447"/>
      <c r="BX97" s="447"/>
      <c r="BY97" s="447"/>
      <c r="BZ97" s="447"/>
      <c r="CA97" s="447"/>
      <c r="CB97" s="1187"/>
      <c r="CC97" s="37"/>
      <c r="CD97" s="26"/>
      <c r="CE97" s="26"/>
    </row>
    <row r="98" spans="1:83" ht="14.25" customHeight="1" outlineLevel="1">
      <c r="A98" s="18"/>
      <c r="B98" s="449" t="s">
        <v>100</v>
      </c>
      <c r="C98" s="142"/>
      <c r="D98" s="460">
        <v>1189</v>
      </c>
      <c r="E98" s="453">
        <v>2240</v>
      </c>
      <c r="F98" s="453">
        <v>3295</v>
      </c>
      <c r="G98" s="454">
        <v>4345</v>
      </c>
      <c r="H98" s="460">
        <v>1139</v>
      </c>
      <c r="I98" s="453">
        <v>2295</v>
      </c>
      <c r="J98" s="453">
        <v>3488</v>
      </c>
      <c r="K98" s="454">
        <v>4654</v>
      </c>
      <c r="L98" s="460">
        <v>1187</v>
      </c>
      <c r="M98" s="453">
        <v>2340</v>
      </c>
      <c r="N98" s="453">
        <v>3438</v>
      </c>
      <c r="O98" s="454">
        <v>4546</v>
      </c>
      <c r="P98" s="460">
        <v>1102</v>
      </c>
      <c r="Q98" s="453">
        <v>2144</v>
      </c>
      <c r="R98" s="453">
        <v>3203</v>
      </c>
      <c r="S98" s="454">
        <v>4360</v>
      </c>
      <c r="T98" s="460">
        <v>1208</v>
      </c>
      <c r="U98" s="453">
        <v>2419</v>
      </c>
      <c r="V98" s="453">
        <v>3572</v>
      </c>
      <c r="W98" s="454">
        <v>4744</v>
      </c>
      <c r="X98" s="460">
        <v>1080</v>
      </c>
      <c r="Y98" s="453">
        <v>2166</v>
      </c>
      <c r="Z98" s="453">
        <v>3252</v>
      </c>
      <c r="AA98" s="454">
        <v>4398</v>
      </c>
      <c r="AB98" s="460">
        <v>1287</v>
      </c>
      <c r="AC98" s="453">
        <v>2535</v>
      </c>
      <c r="AD98" s="453">
        <v>3808</v>
      </c>
      <c r="AE98" s="454">
        <v>5141</v>
      </c>
      <c r="AF98" s="460">
        <v>1519</v>
      </c>
      <c r="AG98" s="453">
        <v>3091</v>
      </c>
      <c r="AH98" s="453">
        <v>4716</v>
      </c>
      <c r="AI98" s="454">
        <v>6357</v>
      </c>
      <c r="AJ98" s="460">
        <v>1682</v>
      </c>
      <c r="AK98" s="453">
        <v>3394</v>
      </c>
      <c r="AL98" s="453">
        <v>5123</v>
      </c>
      <c r="AM98" s="454">
        <v>6790</v>
      </c>
      <c r="AN98" s="460">
        <v>1720</v>
      </c>
      <c r="AO98" s="453">
        <v>3600</v>
      </c>
      <c r="AP98" s="613">
        <v>5491</v>
      </c>
      <c r="AQ98" s="454">
        <v>7380</v>
      </c>
      <c r="AR98" s="460">
        <v>1848</v>
      </c>
      <c r="AS98" s="453">
        <v>3825</v>
      </c>
      <c r="AT98" s="613">
        <v>5885</v>
      </c>
      <c r="AU98" s="454">
        <v>7821</v>
      </c>
      <c r="AV98" s="460">
        <v>1619</v>
      </c>
      <c r="AW98" s="453">
        <v>3141</v>
      </c>
      <c r="AX98" s="613">
        <v>4684</v>
      </c>
      <c r="AY98" s="454">
        <v>6266</v>
      </c>
      <c r="AZ98" s="460">
        <v>1625</v>
      </c>
      <c r="BA98" s="453">
        <v>3300</v>
      </c>
      <c r="BB98" s="613">
        <v>4990</v>
      </c>
      <c r="BC98" s="454">
        <v>6752</v>
      </c>
      <c r="BD98" s="1284">
        <v>1806</v>
      </c>
      <c r="BE98" s="451">
        <f t="shared" ref="BE98:BE105" si="472">BD98+BE11</f>
        <v>3612</v>
      </c>
      <c r="BF98" s="451">
        <f t="shared" ref="BF98:BF105" si="473">BE98+BF11</f>
        <v>5612</v>
      </c>
      <c r="BG98" s="452">
        <f t="shared" ref="BG98:BG105" si="474">BF98+BG11</f>
        <v>7612</v>
      </c>
      <c r="BH98" s="451">
        <f t="shared" ref="BH98:BH113" si="475">BH11</f>
        <v>2000</v>
      </c>
      <c r="BI98" s="451">
        <f t="shared" ref="BI98:BI105" si="476">BH98+BI11</f>
        <v>4000</v>
      </c>
      <c r="BJ98" s="451">
        <f t="shared" ref="BJ98:BJ105" si="477">BI98+BJ11</f>
        <v>6000</v>
      </c>
      <c r="BK98" s="452">
        <f t="shared" ref="BK98:BK105" si="478">BJ98+BK11</f>
        <v>8000</v>
      </c>
      <c r="BL98" s="377"/>
      <c r="BM98" s="451">
        <f t="shared" ref="BM98:BY98" si="479">BM11</f>
        <v>4345</v>
      </c>
      <c r="BN98" s="451">
        <f t="shared" si="479"/>
        <v>4654</v>
      </c>
      <c r="BO98" s="451">
        <f t="shared" si="479"/>
        <v>4546</v>
      </c>
      <c r="BP98" s="451">
        <f t="shared" si="479"/>
        <v>4360</v>
      </c>
      <c r="BQ98" s="451">
        <f t="shared" si="479"/>
        <v>4744</v>
      </c>
      <c r="BR98" s="451">
        <f t="shared" si="479"/>
        <v>4398</v>
      </c>
      <c r="BS98" s="451">
        <f t="shared" si="479"/>
        <v>5141</v>
      </c>
      <c r="BT98" s="451">
        <f t="shared" si="479"/>
        <v>6357</v>
      </c>
      <c r="BU98" s="451">
        <f t="shared" si="479"/>
        <v>6790</v>
      </c>
      <c r="BV98" s="451">
        <f t="shared" si="479"/>
        <v>7380</v>
      </c>
      <c r="BW98" s="451">
        <f t="shared" si="479"/>
        <v>7821</v>
      </c>
      <c r="BX98" s="451">
        <f t="shared" si="479"/>
        <v>6266</v>
      </c>
      <c r="BY98" s="451">
        <f t="shared" si="479"/>
        <v>6752</v>
      </c>
      <c r="BZ98" s="451">
        <f t="shared" ref="BZ98:CB105" si="480">BZ11</f>
        <v>7612</v>
      </c>
      <c r="CA98" s="451">
        <f t="shared" si="480"/>
        <v>8000</v>
      </c>
      <c r="CB98" s="1188">
        <f t="shared" si="480"/>
        <v>8828.2360000000008</v>
      </c>
      <c r="CC98" s="37"/>
      <c r="CD98" s="26"/>
      <c r="CE98" s="26"/>
    </row>
    <row r="99" spans="1:83" ht="14.25" customHeight="1" outlineLevel="1">
      <c r="A99" s="18"/>
      <c r="B99" s="449" t="s">
        <v>249</v>
      </c>
      <c r="C99" s="142"/>
      <c r="D99" s="460">
        <v>0</v>
      </c>
      <c r="E99" s="453">
        <v>0</v>
      </c>
      <c r="F99" s="453">
        <v>0</v>
      </c>
      <c r="G99" s="454">
        <v>0</v>
      </c>
      <c r="H99" s="460">
        <v>374</v>
      </c>
      <c r="I99" s="453">
        <v>706</v>
      </c>
      <c r="J99" s="453">
        <v>1041</v>
      </c>
      <c r="K99" s="454">
        <v>1375</v>
      </c>
      <c r="L99" s="460">
        <v>284</v>
      </c>
      <c r="M99" s="453">
        <v>521</v>
      </c>
      <c r="N99" s="453">
        <v>748</v>
      </c>
      <c r="O99" s="454">
        <v>952</v>
      </c>
      <c r="P99" s="460">
        <v>219</v>
      </c>
      <c r="Q99" s="453">
        <v>462</v>
      </c>
      <c r="R99" s="453">
        <v>659</v>
      </c>
      <c r="S99" s="454">
        <v>851</v>
      </c>
      <c r="T99" s="460">
        <v>213</v>
      </c>
      <c r="U99" s="453">
        <v>471</v>
      </c>
      <c r="V99" s="453">
        <v>689</v>
      </c>
      <c r="W99" s="454">
        <v>889</v>
      </c>
      <c r="X99" s="460">
        <v>248</v>
      </c>
      <c r="Y99" s="453">
        <v>480</v>
      </c>
      <c r="Z99" s="453">
        <v>704</v>
      </c>
      <c r="AA99" s="454">
        <v>917</v>
      </c>
      <c r="AB99" s="460">
        <v>300</v>
      </c>
      <c r="AC99" s="453">
        <v>562</v>
      </c>
      <c r="AD99" s="453">
        <v>812</v>
      </c>
      <c r="AE99" s="454">
        <v>1053</v>
      </c>
      <c r="AF99" s="460">
        <v>274</v>
      </c>
      <c r="AG99" s="453">
        <v>554</v>
      </c>
      <c r="AH99" s="453">
        <v>830</v>
      </c>
      <c r="AI99" s="454">
        <v>1102</v>
      </c>
      <c r="AJ99" s="460">
        <v>295</v>
      </c>
      <c r="AK99" s="453">
        <v>587</v>
      </c>
      <c r="AL99" s="453">
        <v>855</v>
      </c>
      <c r="AM99" s="454">
        <v>1118</v>
      </c>
      <c r="AN99" s="460">
        <v>283</v>
      </c>
      <c r="AO99" s="453">
        <v>586</v>
      </c>
      <c r="AP99" s="613">
        <v>867</v>
      </c>
      <c r="AQ99" s="454">
        <v>1148</v>
      </c>
      <c r="AR99" s="460">
        <v>368</v>
      </c>
      <c r="AS99" s="453">
        <v>700</v>
      </c>
      <c r="AT99" s="613">
        <v>1009</v>
      </c>
      <c r="AU99" s="454">
        <v>1305</v>
      </c>
      <c r="AV99" s="460">
        <v>448</v>
      </c>
      <c r="AW99" s="453">
        <v>812</v>
      </c>
      <c r="AX99" s="613">
        <v>1136</v>
      </c>
      <c r="AY99" s="454">
        <v>1444</v>
      </c>
      <c r="AZ99" s="460">
        <v>397</v>
      </c>
      <c r="BA99" s="453">
        <v>725</v>
      </c>
      <c r="BB99" s="613">
        <v>1051</v>
      </c>
      <c r="BC99" s="454">
        <v>1358</v>
      </c>
      <c r="BD99" s="1284">
        <v>433</v>
      </c>
      <c r="BE99" s="451">
        <f t="shared" si="472"/>
        <v>866</v>
      </c>
      <c r="BF99" s="451">
        <f t="shared" si="473"/>
        <v>1299</v>
      </c>
      <c r="BG99" s="452">
        <f t="shared" si="474"/>
        <v>1732</v>
      </c>
      <c r="BH99" s="451">
        <f t="shared" si="475"/>
        <v>433</v>
      </c>
      <c r="BI99" s="451">
        <f t="shared" si="476"/>
        <v>866</v>
      </c>
      <c r="BJ99" s="451">
        <f t="shared" si="477"/>
        <v>1299</v>
      </c>
      <c r="BK99" s="452">
        <f t="shared" si="478"/>
        <v>1732</v>
      </c>
      <c r="BL99" s="377"/>
      <c r="BM99" s="451">
        <f t="shared" ref="BM99:BY99" si="481">BM12</f>
        <v>0</v>
      </c>
      <c r="BN99" s="451">
        <f t="shared" si="481"/>
        <v>1375</v>
      </c>
      <c r="BO99" s="451">
        <f t="shared" si="481"/>
        <v>952</v>
      </c>
      <c r="BP99" s="451">
        <f t="shared" si="481"/>
        <v>851</v>
      </c>
      <c r="BQ99" s="451">
        <f t="shared" si="481"/>
        <v>889</v>
      </c>
      <c r="BR99" s="451">
        <f t="shared" si="481"/>
        <v>917</v>
      </c>
      <c r="BS99" s="451">
        <f t="shared" si="481"/>
        <v>1053</v>
      </c>
      <c r="BT99" s="451">
        <f t="shared" si="481"/>
        <v>1102</v>
      </c>
      <c r="BU99" s="451">
        <f t="shared" si="481"/>
        <v>1118</v>
      </c>
      <c r="BV99" s="451">
        <f t="shared" si="481"/>
        <v>1148</v>
      </c>
      <c r="BW99" s="451">
        <f t="shared" si="481"/>
        <v>1305</v>
      </c>
      <c r="BX99" s="451">
        <f t="shared" si="481"/>
        <v>1444</v>
      </c>
      <c r="BY99" s="451">
        <f t="shared" si="481"/>
        <v>1358</v>
      </c>
      <c r="BZ99" s="451">
        <f t="shared" ref="BZ99:CA99" si="482">BZ12</f>
        <v>1732</v>
      </c>
      <c r="CA99" s="451">
        <f t="shared" si="482"/>
        <v>1732</v>
      </c>
      <c r="CB99" s="1188">
        <f t="shared" si="480"/>
        <v>1732</v>
      </c>
      <c r="CC99" s="37"/>
      <c r="CD99" s="26"/>
      <c r="CE99" s="26"/>
    </row>
    <row r="100" spans="1:83" ht="14.25" customHeight="1" outlineLevel="1">
      <c r="A100" s="18"/>
      <c r="B100" s="449" t="s">
        <v>512</v>
      </c>
      <c r="C100" s="142"/>
      <c r="D100" s="460">
        <v>20</v>
      </c>
      <c r="E100" s="453">
        <v>36</v>
      </c>
      <c r="F100" s="453">
        <v>57</v>
      </c>
      <c r="G100" s="454">
        <v>74</v>
      </c>
      <c r="H100" s="460">
        <v>39</v>
      </c>
      <c r="I100" s="453">
        <v>48</v>
      </c>
      <c r="J100" s="453">
        <v>157</v>
      </c>
      <c r="K100" s="454">
        <v>635</v>
      </c>
      <c r="L100" s="460">
        <v>81</v>
      </c>
      <c r="M100" s="453">
        <v>183</v>
      </c>
      <c r="N100" s="453">
        <v>313</v>
      </c>
      <c r="O100" s="454">
        <v>564</v>
      </c>
      <c r="P100" s="460">
        <v>343</v>
      </c>
      <c r="Q100" s="453">
        <v>460</v>
      </c>
      <c r="R100" s="453">
        <v>516</v>
      </c>
      <c r="S100" s="454">
        <v>795</v>
      </c>
      <c r="T100" s="460">
        <v>96</v>
      </c>
      <c r="U100" s="453">
        <v>212</v>
      </c>
      <c r="V100" s="453">
        <v>331</v>
      </c>
      <c r="W100" s="454">
        <v>368</v>
      </c>
      <c r="X100" s="460">
        <v>33</v>
      </c>
      <c r="Y100" s="453">
        <v>16</v>
      </c>
      <c r="Z100" s="453">
        <v>26</v>
      </c>
      <c r="AA100" s="454">
        <v>67</v>
      </c>
      <c r="AB100" s="460">
        <v>36</v>
      </c>
      <c r="AC100" s="453">
        <v>56</v>
      </c>
      <c r="AD100" s="453">
        <v>78</v>
      </c>
      <c r="AE100" s="454">
        <v>96</v>
      </c>
      <c r="AF100" s="460">
        <v>0</v>
      </c>
      <c r="AG100" s="453">
        <v>0</v>
      </c>
      <c r="AH100" s="453">
        <v>0</v>
      </c>
      <c r="AI100" s="454">
        <v>0</v>
      </c>
      <c r="AJ100" s="460">
        <v>0</v>
      </c>
      <c r="AK100" s="453">
        <v>0</v>
      </c>
      <c r="AL100" s="453">
        <v>124</v>
      </c>
      <c r="AM100" s="454">
        <v>240</v>
      </c>
      <c r="AN100" s="460">
        <v>0</v>
      </c>
      <c r="AO100" s="453">
        <v>218</v>
      </c>
      <c r="AP100" s="613">
        <v>238</v>
      </c>
      <c r="AQ100" s="454">
        <v>295</v>
      </c>
      <c r="AR100" s="460">
        <v>105</v>
      </c>
      <c r="AS100" s="453">
        <v>353</v>
      </c>
      <c r="AT100" s="613">
        <v>367</v>
      </c>
      <c r="AU100" s="454">
        <v>354</v>
      </c>
      <c r="AV100" s="460">
        <v>0</v>
      </c>
      <c r="AW100" s="453">
        <v>1414</v>
      </c>
      <c r="AX100" s="613">
        <v>1786</v>
      </c>
      <c r="AY100" s="454">
        <v>1886</v>
      </c>
      <c r="AZ100" s="460">
        <v>80</v>
      </c>
      <c r="BA100" s="453">
        <v>185</v>
      </c>
      <c r="BB100" s="613">
        <v>189</v>
      </c>
      <c r="BC100" s="454">
        <v>384</v>
      </c>
      <c r="BD100" s="451">
        <f t="shared" ref="BD100:BD112" si="483">BD13</f>
        <v>0</v>
      </c>
      <c r="BE100" s="451">
        <f t="shared" si="472"/>
        <v>0</v>
      </c>
      <c r="BF100" s="451">
        <f t="shared" si="473"/>
        <v>0</v>
      </c>
      <c r="BG100" s="452">
        <f t="shared" si="474"/>
        <v>0</v>
      </c>
      <c r="BH100" s="451">
        <f t="shared" si="475"/>
        <v>0</v>
      </c>
      <c r="BI100" s="451">
        <f t="shared" si="476"/>
        <v>0</v>
      </c>
      <c r="BJ100" s="451">
        <f t="shared" si="477"/>
        <v>0</v>
      </c>
      <c r="BK100" s="452">
        <f t="shared" si="478"/>
        <v>0</v>
      </c>
      <c r="BL100" s="377"/>
      <c r="BM100" s="451">
        <f t="shared" ref="BM100:BY100" si="484">BM13</f>
        <v>74</v>
      </c>
      <c r="BN100" s="451">
        <f t="shared" si="484"/>
        <v>635</v>
      </c>
      <c r="BO100" s="451">
        <f t="shared" si="484"/>
        <v>564</v>
      </c>
      <c r="BP100" s="451">
        <f t="shared" si="484"/>
        <v>795</v>
      </c>
      <c r="BQ100" s="451">
        <f t="shared" si="484"/>
        <v>368</v>
      </c>
      <c r="BR100" s="451">
        <f t="shared" si="484"/>
        <v>67</v>
      </c>
      <c r="BS100" s="451">
        <f t="shared" si="484"/>
        <v>96</v>
      </c>
      <c r="BT100" s="451">
        <f t="shared" si="484"/>
        <v>0</v>
      </c>
      <c r="BU100" s="451">
        <f t="shared" si="484"/>
        <v>240</v>
      </c>
      <c r="BV100" s="451">
        <f t="shared" si="484"/>
        <v>295</v>
      </c>
      <c r="BW100" s="451">
        <f t="shared" si="484"/>
        <v>354</v>
      </c>
      <c r="BX100" s="451">
        <f t="shared" si="484"/>
        <v>1886</v>
      </c>
      <c r="BY100" s="451">
        <f t="shared" si="484"/>
        <v>384</v>
      </c>
      <c r="BZ100" s="451">
        <f t="shared" ref="BZ100:CA100" si="485">BZ13</f>
        <v>0</v>
      </c>
      <c r="CA100" s="451">
        <f t="shared" si="485"/>
        <v>0</v>
      </c>
      <c r="CB100" s="1188">
        <f t="shared" si="480"/>
        <v>0</v>
      </c>
      <c r="CC100" s="37"/>
      <c r="CD100" s="26"/>
      <c r="CE100" s="26"/>
    </row>
    <row r="101" spans="1:83" ht="14.25" customHeight="1" outlineLevel="1">
      <c r="A101" s="18"/>
      <c r="B101" s="449" t="s">
        <v>250</v>
      </c>
      <c r="C101" s="142"/>
      <c r="D101" s="460">
        <v>101</v>
      </c>
      <c r="E101" s="453">
        <v>196</v>
      </c>
      <c r="F101" s="453">
        <v>284</v>
      </c>
      <c r="G101" s="454">
        <v>351</v>
      </c>
      <c r="H101" s="460">
        <v>-61</v>
      </c>
      <c r="I101" s="453">
        <v>-106</v>
      </c>
      <c r="J101" s="453">
        <v>-114</v>
      </c>
      <c r="K101" s="454">
        <v>-123</v>
      </c>
      <c r="L101" s="460">
        <v>-18</v>
      </c>
      <c r="M101" s="453">
        <v>-56</v>
      </c>
      <c r="N101" s="453">
        <v>-80</v>
      </c>
      <c r="O101" s="454">
        <v>-118</v>
      </c>
      <c r="P101" s="460">
        <v>-7</v>
      </c>
      <c r="Q101" s="453">
        <v>-28</v>
      </c>
      <c r="R101" s="453">
        <v>-30</v>
      </c>
      <c r="S101" s="454">
        <v>-30</v>
      </c>
      <c r="T101" s="460">
        <v>0</v>
      </c>
      <c r="U101" s="453">
        <v>0</v>
      </c>
      <c r="V101" s="453">
        <v>-6</v>
      </c>
      <c r="W101" s="454">
        <v>-9</v>
      </c>
      <c r="X101" s="460">
        <v>-2</v>
      </c>
      <c r="Y101" s="453">
        <v>-62</v>
      </c>
      <c r="Z101" s="453">
        <v>-63</v>
      </c>
      <c r="AA101" s="454">
        <v>-65</v>
      </c>
      <c r="AB101" s="460">
        <v>-1</v>
      </c>
      <c r="AC101" s="453">
        <v>-26</v>
      </c>
      <c r="AD101" s="453">
        <v>-28</v>
      </c>
      <c r="AE101" s="454">
        <v>-37</v>
      </c>
      <c r="AF101" s="460">
        <v>-19</v>
      </c>
      <c r="AG101" s="453">
        <v>-134</v>
      </c>
      <c r="AH101" s="453">
        <v>-139</v>
      </c>
      <c r="AI101" s="454">
        <v>-142</v>
      </c>
      <c r="AJ101" s="460">
        <v>-1</v>
      </c>
      <c r="AK101" s="453">
        <v>-38</v>
      </c>
      <c r="AL101" s="453">
        <v>-42</v>
      </c>
      <c r="AM101" s="454">
        <v>-49</v>
      </c>
      <c r="AN101" s="460">
        <v>-7</v>
      </c>
      <c r="AO101" s="453">
        <v>-65</v>
      </c>
      <c r="AP101" s="613">
        <v>-109</v>
      </c>
      <c r="AQ101" s="454">
        <v>-122</v>
      </c>
      <c r="AR101" s="460">
        <v>-22</v>
      </c>
      <c r="AS101" s="453">
        <v>-133</v>
      </c>
      <c r="AT101" s="613">
        <v>-139</v>
      </c>
      <c r="AU101" s="454">
        <v>-159</v>
      </c>
      <c r="AV101" s="460">
        <v>-13</v>
      </c>
      <c r="AW101" s="453">
        <v>-88</v>
      </c>
      <c r="AX101" s="613">
        <v>-111</v>
      </c>
      <c r="AY101" s="454">
        <v>-121</v>
      </c>
      <c r="AZ101" s="460">
        <v>0</v>
      </c>
      <c r="BA101" s="453">
        <v>0</v>
      </c>
      <c r="BB101" s="613">
        <v>0</v>
      </c>
      <c r="BC101" s="454">
        <v>0</v>
      </c>
      <c r="BD101" s="451">
        <f t="shared" si="483"/>
        <v>0</v>
      </c>
      <c r="BE101" s="451">
        <f t="shared" si="472"/>
        <v>0</v>
      </c>
      <c r="BF101" s="451">
        <f t="shared" si="473"/>
        <v>0</v>
      </c>
      <c r="BG101" s="452">
        <f t="shared" si="474"/>
        <v>0</v>
      </c>
      <c r="BH101" s="451">
        <f t="shared" si="475"/>
        <v>0</v>
      </c>
      <c r="BI101" s="451">
        <f t="shared" si="476"/>
        <v>0</v>
      </c>
      <c r="BJ101" s="451">
        <f t="shared" si="477"/>
        <v>0</v>
      </c>
      <c r="BK101" s="452">
        <f t="shared" si="478"/>
        <v>0</v>
      </c>
      <c r="BL101" s="377"/>
      <c r="BM101" s="451">
        <f t="shared" ref="BM101:BY101" si="486">BM14</f>
        <v>351</v>
      </c>
      <c r="BN101" s="451">
        <f t="shared" si="486"/>
        <v>-123</v>
      </c>
      <c r="BO101" s="451">
        <f t="shared" si="486"/>
        <v>-118</v>
      </c>
      <c r="BP101" s="451">
        <f t="shared" si="486"/>
        <v>-30</v>
      </c>
      <c r="BQ101" s="451">
        <f t="shared" si="486"/>
        <v>-9</v>
      </c>
      <c r="BR101" s="451">
        <f t="shared" si="486"/>
        <v>-65</v>
      </c>
      <c r="BS101" s="451">
        <f t="shared" si="486"/>
        <v>-37</v>
      </c>
      <c r="BT101" s="451">
        <f t="shared" si="486"/>
        <v>-142</v>
      </c>
      <c r="BU101" s="451">
        <f t="shared" si="486"/>
        <v>-49</v>
      </c>
      <c r="BV101" s="451">
        <f t="shared" si="486"/>
        <v>-122</v>
      </c>
      <c r="BW101" s="451">
        <f t="shared" si="486"/>
        <v>-159</v>
      </c>
      <c r="BX101" s="451">
        <f t="shared" si="486"/>
        <v>-121</v>
      </c>
      <c r="BY101" s="451">
        <f t="shared" si="486"/>
        <v>0</v>
      </c>
      <c r="BZ101" s="451">
        <f t="shared" ref="BZ101:CA101" si="487">BZ14</f>
        <v>0</v>
      </c>
      <c r="CA101" s="451">
        <f t="shared" si="487"/>
        <v>0</v>
      </c>
      <c r="CB101" s="1188">
        <f t="shared" si="480"/>
        <v>0</v>
      </c>
      <c r="CC101" s="37"/>
      <c r="CD101" s="26"/>
      <c r="CE101" s="26"/>
    </row>
    <row r="102" spans="1:83" ht="14.25" customHeight="1" outlineLevel="1">
      <c r="A102" s="18"/>
      <c r="B102" s="449" t="s">
        <v>251</v>
      </c>
      <c r="C102" s="142"/>
      <c r="D102" s="460">
        <v>67</v>
      </c>
      <c r="E102" s="453">
        <v>133</v>
      </c>
      <c r="F102" s="453">
        <v>192</v>
      </c>
      <c r="G102" s="454">
        <v>250</v>
      </c>
      <c r="H102" s="460">
        <v>75</v>
      </c>
      <c r="I102" s="453">
        <v>134</v>
      </c>
      <c r="J102" s="453">
        <v>197</v>
      </c>
      <c r="K102" s="454">
        <v>258</v>
      </c>
      <c r="L102" s="460">
        <v>64</v>
      </c>
      <c r="M102" s="453">
        <v>124</v>
      </c>
      <c r="N102" s="453">
        <v>189</v>
      </c>
      <c r="O102" s="454">
        <v>252</v>
      </c>
      <c r="P102" s="460">
        <v>63</v>
      </c>
      <c r="Q102" s="453">
        <v>126</v>
      </c>
      <c r="R102" s="453">
        <v>194</v>
      </c>
      <c r="S102" s="454">
        <v>256</v>
      </c>
      <c r="T102" s="460">
        <v>62</v>
      </c>
      <c r="U102" s="453">
        <v>137</v>
      </c>
      <c r="V102" s="453">
        <v>219</v>
      </c>
      <c r="W102" s="454">
        <v>308</v>
      </c>
      <c r="X102" s="460">
        <v>61</v>
      </c>
      <c r="Y102" s="453">
        <v>124</v>
      </c>
      <c r="Z102" s="453">
        <v>180</v>
      </c>
      <c r="AA102" s="454">
        <v>240</v>
      </c>
      <c r="AB102" s="460">
        <v>155</v>
      </c>
      <c r="AC102" s="453">
        <v>411</v>
      </c>
      <c r="AD102" s="453">
        <v>667</v>
      </c>
      <c r="AE102" s="454">
        <v>923</v>
      </c>
      <c r="AF102" s="460">
        <v>266</v>
      </c>
      <c r="AG102" s="453">
        <v>533</v>
      </c>
      <c r="AH102" s="453">
        <v>801</v>
      </c>
      <c r="AI102" s="454">
        <v>1165</v>
      </c>
      <c r="AJ102" s="460">
        <v>382</v>
      </c>
      <c r="AK102" s="453">
        <v>661</v>
      </c>
      <c r="AL102" s="453">
        <v>953</v>
      </c>
      <c r="AM102" s="454">
        <v>1242</v>
      </c>
      <c r="AN102" s="460">
        <v>287</v>
      </c>
      <c r="AO102" s="453">
        <v>577</v>
      </c>
      <c r="AP102" s="613">
        <v>884</v>
      </c>
      <c r="AQ102" s="454">
        <v>1169</v>
      </c>
      <c r="AR102" s="460">
        <v>251</v>
      </c>
      <c r="AS102" s="453">
        <v>465</v>
      </c>
      <c r="AT102" s="613">
        <v>680</v>
      </c>
      <c r="AU102" s="454">
        <v>890</v>
      </c>
      <c r="AV102" s="460">
        <v>396</v>
      </c>
      <c r="AW102" s="453">
        <v>791</v>
      </c>
      <c r="AX102" s="613">
        <v>1176</v>
      </c>
      <c r="AY102" s="454">
        <v>1524</v>
      </c>
      <c r="AZ102" s="460">
        <v>321</v>
      </c>
      <c r="BA102" s="453">
        <v>634</v>
      </c>
      <c r="BB102" s="613">
        <v>999</v>
      </c>
      <c r="BC102" s="454">
        <v>1377</v>
      </c>
      <c r="BD102" s="1284">
        <v>390</v>
      </c>
      <c r="BE102" s="451">
        <f t="shared" si="472"/>
        <v>430</v>
      </c>
      <c r="BF102" s="451">
        <f t="shared" si="473"/>
        <v>470</v>
      </c>
      <c r="BG102" s="452">
        <f t="shared" si="474"/>
        <v>510</v>
      </c>
      <c r="BH102" s="451">
        <f t="shared" si="475"/>
        <v>40</v>
      </c>
      <c r="BI102" s="451">
        <f t="shared" si="476"/>
        <v>80</v>
      </c>
      <c r="BJ102" s="451">
        <f t="shared" si="477"/>
        <v>120</v>
      </c>
      <c r="BK102" s="452">
        <f t="shared" si="478"/>
        <v>160</v>
      </c>
      <c r="BL102" s="377"/>
      <c r="BM102" s="451">
        <f t="shared" ref="BM102:BY102" si="488">BM15</f>
        <v>250</v>
      </c>
      <c r="BN102" s="451">
        <f t="shared" si="488"/>
        <v>258</v>
      </c>
      <c r="BO102" s="451">
        <f t="shared" si="488"/>
        <v>252</v>
      </c>
      <c r="BP102" s="451">
        <f t="shared" si="488"/>
        <v>256</v>
      </c>
      <c r="BQ102" s="451">
        <f t="shared" si="488"/>
        <v>308</v>
      </c>
      <c r="BR102" s="451">
        <f t="shared" si="488"/>
        <v>240</v>
      </c>
      <c r="BS102" s="451">
        <f t="shared" si="488"/>
        <v>923</v>
      </c>
      <c r="BT102" s="451">
        <f t="shared" si="488"/>
        <v>1165</v>
      </c>
      <c r="BU102" s="451">
        <f t="shared" si="488"/>
        <v>1242</v>
      </c>
      <c r="BV102" s="451">
        <f t="shared" si="488"/>
        <v>1169</v>
      </c>
      <c r="BW102" s="451">
        <f t="shared" si="488"/>
        <v>890</v>
      </c>
      <c r="BX102" s="451">
        <f t="shared" si="488"/>
        <v>1524</v>
      </c>
      <c r="BY102" s="451">
        <f t="shared" si="488"/>
        <v>1377</v>
      </c>
      <c r="BZ102" s="451">
        <f t="shared" ref="BZ102:CA102" si="489">BZ15</f>
        <v>510</v>
      </c>
      <c r="CA102" s="451">
        <f t="shared" si="489"/>
        <v>160</v>
      </c>
      <c r="CB102" s="1188">
        <f t="shared" si="480"/>
        <v>80</v>
      </c>
      <c r="CC102" s="37"/>
      <c r="CD102" s="26"/>
      <c r="CE102" s="26"/>
    </row>
    <row r="103" spans="1:83" ht="14.25" customHeight="1" outlineLevel="1">
      <c r="A103" s="18"/>
      <c r="B103" s="449" t="s">
        <v>252</v>
      </c>
      <c r="C103" s="142"/>
      <c r="D103" s="460">
        <v>-4</v>
      </c>
      <c r="E103" s="453">
        <v>18</v>
      </c>
      <c r="F103" s="453">
        <v>20</v>
      </c>
      <c r="G103" s="454">
        <v>45</v>
      </c>
      <c r="H103" s="460">
        <v>-2</v>
      </c>
      <c r="I103" s="453">
        <v>-39</v>
      </c>
      <c r="J103" s="453">
        <f>-207-129</f>
        <v>-336</v>
      </c>
      <c r="K103" s="454">
        <f>-2-212-612</f>
        <v>-826</v>
      </c>
      <c r="L103" s="460">
        <v>-29</v>
      </c>
      <c r="M103" s="453">
        <v>-28</v>
      </c>
      <c r="N103" s="453">
        <f>-176-21</f>
        <v>-197</v>
      </c>
      <c r="O103" s="454">
        <f>-3-154-21</f>
        <v>-178</v>
      </c>
      <c r="P103" s="460">
        <f>52+7-39</f>
        <v>20</v>
      </c>
      <c r="Q103" s="453">
        <f>95+73-39</f>
        <v>129</v>
      </c>
      <c r="R103" s="453">
        <f>460+104-59</f>
        <v>505</v>
      </c>
      <c r="S103" s="454">
        <f>1380+376-59</f>
        <v>1697</v>
      </c>
      <c r="T103" s="460">
        <f>72+41</f>
        <v>113</v>
      </c>
      <c r="U103" s="453">
        <f>116+66</f>
        <v>182</v>
      </c>
      <c r="V103" s="453">
        <f>175+86</f>
        <v>261</v>
      </c>
      <c r="W103" s="454">
        <f>147+23</f>
        <v>170</v>
      </c>
      <c r="X103" s="460">
        <f>39-8</f>
        <v>31</v>
      </c>
      <c r="Y103" s="453">
        <f>-37-125</f>
        <v>-162</v>
      </c>
      <c r="Z103" s="453">
        <f>-163-76</f>
        <v>-239</v>
      </c>
      <c r="AA103" s="454">
        <f>-117-231</f>
        <v>-348</v>
      </c>
      <c r="AB103" s="460">
        <f>42-70-164</f>
        <v>-192</v>
      </c>
      <c r="AC103" s="453">
        <f>108-111-164</f>
        <v>-167</v>
      </c>
      <c r="AD103" s="453">
        <f>148-243-164</f>
        <v>-259</v>
      </c>
      <c r="AE103" s="454">
        <f>-112-164</f>
        <v>-276</v>
      </c>
      <c r="AF103" s="460">
        <v>19</v>
      </c>
      <c r="AG103" s="453">
        <v>-28</v>
      </c>
      <c r="AH103" s="453">
        <v>-81</v>
      </c>
      <c r="AI103" s="454">
        <v>-141</v>
      </c>
      <c r="AJ103" s="460">
        <v>26</v>
      </c>
      <c r="AK103" s="453">
        <v>60</v>
      </c>
      <c r="AL103" s="453">
        <v>-391</v>
      </c>
      <c r="AM103" s="454">
        <v>-425</v>
      </c>
      <c r="AN103" s="460">
        <v>-48</v>
      </c>
      <c r="AO103" s="453">
        <v>-90</v>
      </c>
      <c r="AP103" s="613">
        <v>-124</v>
      </c>
      <c r="AQ103" s="454">
        <v>-354</v>
      </c>
      <c r="AR103" s="460">
        <v>-32</v>
      </c>
      <c r="AS103" s="453">
        <v>-85</v>
      </c>
      <c r="AT103" s="613">
        <v>-245</v>
      </c>
      <c r="AU103" s="454">
        <v>-263</v>
      </c>
      <c r="AV103" s="460">
        <v>-22</v>
      </c>
      <c r="AW103" s="453">
        <v>-426</v>
      </c>
      <c r="AX103" s="613">
        <v>-414</v>
      </c>
      <c r="AY103" s="454">
        <v>-432</v>
      </c>
      <c r="AZ103" s="460">
        <v>-250</v>
      </c>
      <c r="BA103" s="453">
        <v>-526</v>
      </c>
      <c r="BB103" s="613">
        <v>-1372</v>
      </c>
      <c r="BC103" s="454">
        <v>-2583</v>
      </c>
      <c r="BD103" s="451">
        <f t="shared" si="483"/>
        <v>0</v>
      </c>
      <c r="BE103" s="451">
        <f t="shared" si="472"/>
        <v>0</v>
      </c>
      <c r="BF103" s="451">
        <f t="shared" si="473"/>
        <v>0</v>
      </c>
      <c r="BG103" s="452">
        <f t="shared" si="474"/>
        <v>0</v>
      </c>
      <c r="BH103" s="451">
        <f t="shared" si="475"/>
        <v>0</v>
      </c>
      <c r="BI103" s="451">
        <f t="shared" si="476"/>
        <v>0</v>
      </c>
      <c r="BJ103" s="451">
        <f t="shared" si="477"/>
        <v>0</v>
      </c>
      <c r="BK103" s="452">
        <f t="shared" si="478"/>
        <v>0</v>
      </c>
      <c r="BL103" s="377"/>
      <c r="BM103" s="451">
        <f t="shared" ref="BM103:BY103" si="490">BM16</f>
        <v>45</v>
      </c>
      <c r="BN103" s="451">
        <f t="shared" si="490"/>
        <v>-826</v>
      </c>
      <c r="BO103" s="451">
        <f t="shared" si="490"/>
        <v>-178</v>
      </c>
      <c r="BP103" s="451">
        <f t="shared" si="490"/>
        <v>1697</v>
      </c>
      <c r="BQ103" s="451">
        <f t="shared" si="490"/>
        <v>170</v>
      </c>
      <c r="BR103" s="451">
        <f t="shared" si="490"/>
        <v>-348</v>
      </c>
      <c r="BS103" s="451">
        <f t="shared" si="490"/>
        <v>-276</v>
      </c>
      <c r="BT103" s="451">
        <f t="shared" si="490"/>
        <v>-141</v>
      </c>
      <c r="BU103" s="451">
        <f t="shared" si="490"/>
        <v>-425</v>
      </c>
      <c r="BV103" s="451">
        <f t="shared" si="490"/>
        <v>-354</v>
      </c>
      <c r="BW103" s="451">
        <f t="shared" si="490"/>
        <v>-263</v>
      </c>
      <c r="BX103" s="451">
        <f t="shared" si="490"/>
        <v>-432</v>
      </c>
      <c r="BY103" s="451">
        <f t="shared" si="490"/>
        <v>-2583</v>
      </c>
      <c r="BZ103" s="451">
        <f t="shared" ref="BZ103:CA103" si="491">BZ16</f>
        <v>0</v>
      </c>
      <c r="CA103" s="451">
        <f t="shared" si="491"/>
        <v>0</v>
      </c>
      <c r="CB103" s="1188">
        <f t="shared" si="480"/>
        <v>0</v>
      </c>
      <c r="CC103" s="37"/>
      <c r="CD103" s="26"/>
      <c r="CE103" s="26"/>
    </row>
    <row r="104" spans="1:83" ht="14.25" customHeight="1" outlineLevel="1">
      <c r="A104" s="18"/>
      <c r="B104" s="449" t="s">
        <v>253</v>
      </c>
      <c r="C104" s="142"/>
      <c r="D104" s="460">
        <v>5</v>
      </c>
      <c r="E104" s="453">
        <v>-128</v>
      </c>
      <c r="F104" s="453">
        <v>-170</v>
      </c>
      <c r="G104" s="454">
        <v>-413</v>
      </c>
      <c r="H104" s="460">
        <v>4</v>
      </c>
      <c r="I104" s="453">
        <v>-363</v>
      </c>
      <c r="J104" s="453">
        <v>-343</v>
      </c>
      <c r="K104" s="454">
        <v>-325</v>
      </c>
      <c r="L104" s="460">
        <v>-150</v>
      </c>
      <c r="M104" s="453">
        <v>-213</v>
      </c>
      <c r="N104" s="453">
        <v>-836</v>
      </c>
      <c r="O104" s="454">
        <v>-443</v>
      </c>
      <c r="P104" s="460">
        <v>-137</v>
      </c>
      <c r="Q104" s="453">
        <v>-325</v>
      </c>
      <c r="R104" s="453">
        <v>-415</v>
      </c>
      <c r="S104" s="454">
        <v>-790</v>
      </c>
      <c r="T104" s="460">
        <v>50</v>
      </c>
      <c r="U104" s="453">
        <v>116</v>
      </c>
      <c r="V104" s="453">
        <v>181</v>
      </c>
      <c r="W104" s="454">
        <v>271</v>
      </c>
      <c r="X104" s="460">
        <v>-6</v>
      </c>
      <c r="Y104" s="453">
        <v>2</v>
      </c>
      <c r="Z104" s="453">
        <v>-36</v>
      </c>
      <c r="AA104" s="454">
        <v>-46</v>
      </c>
      <c r="AB104" s="460">
        <v>-109</v>
      </c>
      <c r="AC104" s="453">
        <v>31</v>
      </c>
      <c r="AD104" s="453">
        <v>589</v>
      </c>
      <c r="AE104" s="454">
        <v>790</v>
      </c>
      <c r="AF104" s="460">
        <v>-45</v>
      </c>
      <c r="AG104" s="453">
        <v>55</v>
      </c>
      <c r="AH104" s="453">
        <v>-42</v>
      </c>
      <c r="AI104" s="454">
        <v>-242</v>
      </c>
      <c r="AJ104" s="460">
        <v>-56</v>
      </c>
      <c r="AK104" s="453">
        <v>-351</v>
      </c>
      <c r="AL104" s="453">
        <v>-513</v>
      </c>
      <c r="AM104" s="454">
        <v>-900</v>
      </c>
      <c r="AN104" s="460">
        <v>-25</v>
      </c>
      <c r="AO104" s="453">
        <v>-206</v>
      </c>
      <c r="AP104" s="613">
        <v>-347</v>
      </c>
      <c r="AQ104" s="454">
        <v>-703</v>
      </c>
      <c r="AR104" s="460">
        <v>-171</v>
      </c>
      <c r="AS104" s="453">
        <v>-725</v>
      </c>
      <c r="AT104" s="613">
        <v>-1093</v>
      </c>
      <c r="AU104" s="454">
        <v>-1270</v>
      </c>
      <c r="AV104" s="460">
        <v>-43</v>
      </c>
      <c r="AW104" s="453">
        <v>71</v>
      </c>
      <c r="AX104" s="613">
        <v>-188</v>
      </c>
      <c r="AY104" s="454">
        <v>257</v>
      </c>
      <c r="AZ104" s="460">
        <v>212</v>
      </c>
      <c r="BA104" s="453">
        <v>807</v>
      </c>
      <c r="BB104" s="613">
        <v>570</v>
      </c>
      <c r="BC104" s="454">
        <v>1548</v>
      </c>
      <c r="BD104" s="451">
        <f t="shared" si="483"/>
        <v>-1482</v>
      </c>
      <c r="BE104" s="451">
        <f t="shared" si="472"/>
        <v>-1482</v>
      </c>
      <c r="BF104" s="451">
        <f t="shared" si="473"/>
        <v>-1482</v>
      </c>
      <c r="BG104" s="452">
        <f t="shared" si="474"/>
        <v>-1482</v>
      </c>
      <c r="BH104" s="451">
        <f t="shared" si="475"/>
        <v>0</v>
      </c>
      <c r="BI104" s="451">
        <f t="shared" si="476"/>
        <v>0</v>
      </c>
      <c r="BJ104" s="451">
        <f t="shared" si="477"/>
        <v>0</v>
      </c>
      <c r="BK104" s="452">
        <f t="shared" si="478"/>
        <v>0</v>
      </c>
      <c r="BL104" s="377"/>
      <c r="BM104" s="451">
        <f t="shared" ref="BM104:BY104" si="492">BM17</f>
        <v>-413</v>
      </c>
      <c r="BN104" s="451">
        <f t="shared" si="492"/>
        <v>-325</v>
      </c>
      <c r="BO104" s="451">
        <f t="shared" si="492"/>
        <v>-443</v>
      </c>
      <c r="BP104" s="451">
        <f t="shared" si="492"/>
        <v>-790</v>
      </c>
      <c r="BQ104" s="451">
        <f t="shared" si="492"/>
        <v>271</v>
      </c>
      <c r="BR104" s="451">
        <f t="shared" si="492"/>
        <v>-46</v>
      </c>
      <c r="BS104" s="451">
        <f t="shared" si="492"/>
        <v>790</v>
      </c>
      <c r="BT104" s="451">
        <f t="shared" si="492"/>
        <v>-242</v>
      </c>
      <c r="BU104" s="451">
        <f t="shared" si="492"/>
        <v>-900</v>
      </c>
      <c r="BV104" s="451">
        <f t="shared" si="492"/>
        <v>-703</v>
      </c>
      <c r="BW104" s="451">
        <f t="shared" si="492"/>
        <v>-1270</v>
      </c>
      <c r="BX104" s="451">
        <f t="shared" si="492"/>
        <v>257</v>
      </c>
      <c r="BY104" s="451">
        <f t="shared" si="492"/>
        <v>1548</v>
      </c>
      <c r="BZ104" s="451">
        <f t="shared" ref="BZ104:CA104" si="493">BZ17</f>
        <v>-1482</v>
      </c>
      <c r="CA104" s="451">
        <f t="shared" si="493"/>
        <v>0</v>
      </c>
      <c r="CB104" s="1188">
        <f t="shared" si="480"/>
        <v>0</v>
      </c>
      <c r="CC104" s="37"/>
      <c r="CD104" s="26"/>
      <c r="CE104" s="26"/>
    </row>
    <row r="105" spans="1:83" ht="14.25" customHeight="1" outlineLevel="1">
      <c r="A105" s="24"/>
      <c r="B105" s="449" t="s">
        <v>254</v>
      </c>
      <c r="C105" s="142"/>
      <c r="D105" s="460">
        <v>0</v>
      </c>
      <c r="E105" s="453">
        <v>0</v>
      </c>
      <c r="F105" s="453">
        <v>0</v>
      </c>
      <c r="G105" s="454">
        <v>0</v>
      </c>
      <c r="H105" s="460">
        <v>0</v>
      </c>
      <c r="I105" s="453">
        <v>0</v>
      </c>
      <c r="J105" s="453">
        <v>0</v>
      </c>
      <c r="K105" s="454">
        <v>0</v>
      </c>
      <c r="L105" s="460">
        <v>0</v>
      </c>
      <c r="M105" s="453">
        <v>0</v>
      </c>
      <c r="N105" s="453">
        <v>0</v>
      </c>
      <c r="O105" s="454">
        <v>0</v>
      </c>
      <c r="P105" s="460">
        <v>0</v>
      </c>
      <c r="Q105" s="453">
        <v>0</v>
      </c>
      <c r="R105" s="453">
        <v>0</v>
      </c>
      <c r="S105" s="454">
        <v>0</v>
      </c>
      <c r="T105" s="460">
        <v>0</v>
      </c>
      <c r="U105" s="453">
        <v>0</v>
      </c>
      <c r="V105" s="453">
        <v>0</v>
      </c>
      <c r="W105" s="454">
        <v>0</v>
      </c>
      <c r="X105" s="460">
        <v>0</v>
      </c>
      <c r="Y105" s="453">
        <v>0</v>
      </c>
      <c r="Z105" s="453">
        <v>0</v>
      </c>
      <c r="AA105" s="454">
        <v>0</v>
      </c>
      <c r="AB105" s="460">
        <v>0</v>
      </c>
      <c r="AC105" s="453">
        <v>0</v>
      </c>
      <c r="AD105" s="453">
        <v>0</v>
      </c>
      <c r="AE105" s="454">
        <v>0</v>
      </c>
      <c r="AF105" s="460">
        <v>0</v>
      </c>
      <c r="AG105" s="453">
        <v>0</v>
      </c>
      <c r="AH105" s="453">
        <v>0</v>
      </c>
      <c r="AI105" s="454">
        <v>0</v>
      </c>
      <c r="AJ105" s="460">
        <v>0</v>
      </c>
      <c r="AK105" s="453">
        <v>0</v>
      </c>
      <c r="AL105" s="453">
        <v>0</v>
      </c>
      <c r="AM105" s="454">
        <v>0</v>
      </c>
      <c r="AN105" s="460">
        <v>0</v>
      </c>
      <c r="AO105" s="453">
        <v>0</v>
      </c>
      <c r="AP105" s="613">
        <v>0</v>
      </c>
      <c r="AQ105" s="454">
        <v>0</v>
      </c>
      <c r="AR105" s="460">
        <v>0</v>
      </c>
      <c r="AS105" s="453">
        <v>0</v>
      </c>
      <c r="AT105" s="613">
        <v>0</v>
      </c>
      <c r="AU105" s="454">
        <v>0</v>
      </c>
      <c r="AV105" s="460">
        <v>0</v>
      </c>
      <c r="AW105" s="453">
        <v>0</v>
      </c>
      <c r="AX105" s="613">
        <v>0</v>
      </c>
      <c r="AY105" s="454">
        <v>0</v>
      </c>
      <c r="AZ105" s="460">
        <v>0</v>
      </c>
      <c r="BA105" s="453">
        <v>-387</v>
      </c>
      <c r="BB105" s="613">
        <v>-387</v>
      </c>
      <c r="BC105" s="454">
        <f>476-387</f>
        <v>89</v>
      </c>
      <c r="BD105" s="451">
        <f t="shared" si="483"/>
        <v>0</v>
      </c>
      <c r="BE105" s="451">
        <f t="shared" si="472"/>
        <v>0</v>
      </c>
      <c r="BF105" s="451">
        <f t="shared" si="473"/>
        <v>0</v>
      </c>
      <c r="BG105" s="452">
        <f t="shared" si="474"/>
        <v>0</v>
      </c>
      <c r="BH105" s="451">
        <f t="shared" si="475"/>
        <v>0</v>
      </c>
      <c r="BI105" s="451">
        <f t="shared" si="476"/>
        <v>0</v>
      </c>
      <c r="BJ105" s="451">
        <f t="shared" si="477"/>
        <v>0</v>
      </c>
      <c r="BK105" s="452">
        <f t="shared" si="478"/>
        <v>0</v>
      </c>
      <c r="BL105" s="377"/>
      <c r="BM105" s="451">
        <f t="shared" ref="BM105:BY105" si="494">BM18</f>
        <v>0</v>
      </c>
      <c r="BN105" s="451">
        <f t="shared" si="494"/>
        <v>0</v>
      </c>
      <c r="BO105" s="451">
        <f t="shared" si="494"/>
        <v>0</v>
      </c>
      <c r="BP105" s="451">
        <f t="shared" si="494"/>
        <v>0</v>
      </c>
      <c r="BQ105" s="451">
        <f t="shared" si="494"/>
        <v>0</v>
      </c>
      <c r="BR105" s="451">
        <f t="shared" si="494"/>
        <v>0</v>
      </c>
      <c r="BS105" s="451">
        <f t="shared" si="494"/>
        <v>0</v>
      </c>
      <c r="BT105" s="451">
        <f t="shared" si="494"/>
        <v>0</v>
      </c>
      <c r="BU105" s="451">
        <f t="shared" si="494"/>
        <v>0</v>
      </c>
      <c r="BV105" s="451">
        <f t="shared" si="494"/>
        <v>0</v>
      </c>
      <c r="BW105" s="451">
        <f t="shared" si="494"/>
        <v>0</v>
      </c>
      <c r="BX105" s="451">
        <f t="shared" si="494"/>
        <v>0</v>
      </c>
      <c r="BY105" s="451">
        <f t="shared" si="494"/>
        <v>89</v>
      </c>
      <c r="BZ105" s="451">
        <f t="shared" ref="BZ105:CA105" si="495">BZ18</f>
        <v>0</v>
      </c>
      <c r="CA105" s="451">
        <f t="shared" si="495"/>
        <v>0</v>
      </c>
      <c r="CB105" s="1188">
        <f t="shared" si="480"/>
        <v>0</v>
      </c>
      <c r="CC105" s="297"/>
      <c r="CD105" s="201"/>
      <c r="CE105" s="201"/>
    </row>
    <row r="106" spans="1:83" ht="14.25" customHeight="1" outlineLevel="1">
      <c r="A106" s="18"/>
      <c r="B106" s="278" t="s">
        <v>255</v>
      </c>
      <c r="C106" s="103"/>
      <c r="D106" s="460"/>
      <c r="E106" s="453"/>
      <c r="F106" s="453"/>
      <c r="G106" s="454"/>
      <c r="H106" s="460"/>
      <c r="I106" s="453"/>
      <c r="J106" s="453"/>
      <c r="K106" s="454"/>
      <c r="L106" s="460"/>
      <c r="M106" s="453"/>
      <c r="N106" s="453"/>
      <c r="O106" s="454"/>
      <c r="P106" s="460"/>
      <c r="Q106" s="453"/>
      <c r="R106" s="453"/>
      <c r="S106" s="454"/>
      <c r="T106" s="460"/>
      <c r="U106" s="453"/>
      <c r="V106" s="453"/>
      <c r="W106" s="454"/>
      <c r="X106" s="460"/>
      <c r="Y106" s="453"/>
      <c r="Z106" s="453"/>
      <c r="AA106" s="454"/>
      <c r="AB106" s="545"/>
      <c r="AC106" s="546"/>
      <c r="AD106" s="546"/>
      <c r="AE106" s="454"/>
      <c r="AF106" s="460"/>
      <c r="AG106" s="546"/>
      <c r="AH106" s="546"/>
      <c r="AI106" s="454"/>
      <c r="AJ106" s="460"/>
      <c r="AK106" s="546"/>
      <c r="AL106" s="546"/>
      <c r="AM106" s="454"/>
      <c r="AN106" s="460"/>
      <c r="AO106" s="546"/>
      <c r="AP106" s="613"/>
      <c r="AQ106" s="454"/>
      <c r="AR106" s="460"/>
      <c r="AS106" s="546"/>
      <c r="AT106" s="613"/>
      <c r="AU106" s="454"/>
      <c r="AV106" s="460"/>
      <c r="AW106" s="546"/>
      <c r="AX106" s="613"/>
      <c r="AY106" s="454"/>
      <c r="AZ106" s="460">
        <v>0</v>
      </c>
      <c r="BA106" s="546"/>
      <c r="BB106" s="613"/>
      <c r="BC106" s="454"/>
      <c r="BD106" s="451">
        <f t="shared" si="483"/>
        <v>0</v>
      </c>
      <c r="BE106" s="451"/>
      <c r="BF106" s="451"/>
      <c r="BG106" s="452"/>
      <c r="BH106" s="451">
        <f t="shared" si="475"/>
        <v>0</v>
      </c>
      <c r="BI106" s="451"/>
      <c r="BJ106" s="451"/>
      <c r="BK106" s="452"/>
      <c r="BL106" s="377"/>
      <c r="BM106" s="451"/>
      <c r="BN106" s="451"/>
      <c r="BO106" s="451"/>
      <c r="BP106" s="451"/>
      <c r="BQ106" s="451"/>
      <c r="BR106" s="451"/>
      <c r="BS106" s="451"/>
      <c r="BT106" s="451"/>
      <c r="BU106" s="451"/>
      <c r="BV106" s="451"/>
      <c r="BW106" s="451"/>
      <c r="BX106" s="451"/>
      <c r="BY106" s="451"/>
      <c r="BZ106" s="451"/>
      <c r="CA106" s="451"/>
      <c r="CB106" s="1188"/>
      <c r="CC106" s="37"/>
      <c r="CD106" s="26"/>
      <c r="CE106" s="26"/>
    </row>
    <row r="107" spans="1:83" ht="14.25" customHeight="1" outlineLevel="1">
      <c r="A107" s="18"/>
      <c r="B107" s="449" t="s">
        <v>256</v>
      </c>
      <c r="C107" s="142"/>
      <c r="D107" s="460">
        <v>-227</v>
      </c>
      <c r="E107" s="453">
        <v>-448</v>
      </c>
      <c r="F107" s="453">
        <v>-748</v>
      </c>
      <c r="G107" s="454">
        <v>-912</v>
      </c>
      <c r="H107" s="460">
        <v>2</v>
      </c>
      <c r="I107" s="453">
        <v>746</v>
      </c>
      <c r="J107" s="453">
        <v>599</v>
      </c>
      <c r="K107" s="454">
        <v>1229</v>
      </c>
      <c r="L107" s="460">
        <v>17</v>
      </c>
      <c r="M107" s="453">
        <v>351</v>
      </c>
      <c r="N107" s="453">
        <v>22</v>
      </c>
      <c r="O107" s="454">
        <v>316</v>
      </c>
      <c r="P107" s="460">
        <v>-172</v>
      </c>
      <c r="Q107" s="453">
        <v>140</v>
      </c>
      <c r="R107" s="453">
        <v>-471</v>
      </c>
      <c r="S107" s="454">
        <v>260</v>
      </c>
      <c r="T107" s="460">
        <v>-374</v>
      </c>
      <c r="U107" s="453">
        <v>-226</v>
      </c>
      <c r="V107" s="453">
        <v>-287</v>
      </c>
      <c r="W107" s="454">
        <v>-535</v>
      </c>
      <c r="X107" s="460">
        <v>88</v>
      </c>
      <c r="Y107" s="453">
        <v>-147</v>
      </c>
      <c r="Z107" s="453">
        <v>-628</v>
      </c>
      <c r="AA107" s="454">
        <v>-584</v>
      </c>
      <c r="AB107" s="460">
        <v>-504</v>
      </c>
      <c r="AC107" s="453">
        <v>-388</v>
      </c>
      <c r="AD107" s="453">
        <v>-856</v>
      </c>
      <c r="AE107" s="454">
        <v>-678</v>
      </c>
      <c r="AF107" s="460">
        <v>-387</v>
      </c>
      <c r="AG107" s="453">
        <v>103</v>
      </c>
      <c r="AH107" s="453">
        <v>-283</v>
      </c>
      <c r="AI107" s="454">
        <v>-176</v>
      </c>
      <c r="AJ107" s="460">
        <v>293</v>
      </c>
      <c r="AK107" s="453">
        <v>368</v>
      </c>
      <c r="AL107" s="453">
        <v>131</v>
      </c>
      <c r="AM107" s="454">
        <v>271</v>
      </c>
      <c r="AN107" s="460">
        <v>78</v>
      </c>
      <c r="AO107" s="453">
        <v>89</v>
      </c>
      <c r="AP107" s="613">
        <v>-76</v>
      </c>
      <c r="AQ107" s="454">
        <v>-861</v>
      </c>
      <c r="AR107" s="460">
        <v>1167</v>
      </c>
      <c r="AS107" s="453">
        <v>573</v>
      </c>
      <c r="AT107" s="613">
        <v>332</v>
      </c>
      <c r="AU107" s="454">
        <v>-355</v>
      </c>
      <c r="AV107" s="460">
        <v>942</v>
      </c>
      <c r="AW107" s="453">
        <v>734</v>
      </c>
      <c r="AX107" s="613">
        <v>-100</v>
      </c>
      <c r="AY107" s="454">
        <v>65</v>
      </c>
      <c r="AZ107" s="460">
        <v>-105</v>
      </c>
      <c r="BA107" s="453">
        <v>-618</v>
      </c>
      <c r="BB107" s="613">
        <v>-1128</v>
      </c>
      <c r="BC107" s="454">
        <v>-781</v>
      </c>
      <c r="BD107" s="451">
        <f t="shared" si="483"/>
        <v>728</v>
      </c>
      <c r="BE107" s="451">
        <f t="shared" ref="BE107:BE113" si="496">BD107+BE20</f>
        <v>713.87685770728785</v>
      </c>
      <c r="BF107" s="451">
        <f t="shared" ref="BF107:BF113" si="497">BE107+BF20</f>
        <v>341.48161811279806</v>
      </c>
      <c r="BG107" s="452">
        <f t="shared" ref="BG107:BG113" si="498">BF107+BG20</f>
        <v>277.87049029100399</v>
      </c>
      <c r="BH107" s="451">
        <f t="shared" si="475"/>
        <v>668.96961267083043</v>
      </c>
      <c r="BI107" s="451">
        <f t="shared" ref="BI107:BI113" si="499">BH107+BI20</f>
        <v>566.44358683463452</v>
      </c>
      <c r="BJ107" s="451">
        <f t="shared" ref="BJ107:BJ113" si="500">BI107+BJ20</f>
        <v>136.89407188819405</v>
      </c>
      <c r="BK107" s="452">
        <f t="shared" ref="BK107:BK113" si="501">BJ107+BK20</f>
        <v>35.84171371388129</v>
      </c>
      <c r="BL107" s="377"/>
      <c r="BM107" s="451">
        <f t="shared" ref="BM107:BY107" si="502">BM20</f>
        <v>-912</v>
      </c>
      <c r="BN107" s="451">
        <f t="shared" si="502"/>
        <v>1229</v>
      </c>
      <c r="BO107" s="451">
        <f t="shared" si="502"/>
        <v>316</v>
      </c>
      <c r="BP107" s="451">
        <f t="shared" si="502"/>
        <v>260</v>
      </c>
      <c r="BQ107" s="451">
        <f t="shared" si="502"/>
        <v>-535</v>
      </c>
      <c r="BR107" s="451">
        <f t="shared" si="502"/>
        <v>-584</v>
      </c>
      <c r="BS107" s="451">
        <f t="shared" si="502"/>
        <v>-678</v>
      </c>
      <c r="BT107" s="451">
        <f t="shared" si="502"/>
        <v>-176</v>
      </c>
      <c r="BU107" s="451">
        <f t="shared" si="502"/>
        <v>271</v>
      </c>
      <c r="BV107" s="451">
        <f t="shared" si="502"/>
        <v>-861</v>
      </c>
      <c r="BW107" s="451">
        <f t="shared" si="502"/>
        <v>-355</v>
      </c>
      <c r="BX107" s="451">
        <f t="shared" si="502"/>
        <v>65</v>
      </c>
      <c r="BY107" s="451">
        <f t="shared" si="502"/>
        <v>-781</v>
      </c>
      <c r="BZ107" s="451">
        <f t="shared" ref="BZ107:CB113" si="503">BZ20</f>
        <v>277.87049029100399</v>
      </c>
      <c r="CA107" s="451">
        <f t="shared" si="503"/>
        <v>35.84171371388129</v>
      </c>
      <c r="CB107" s="1188">
        <f t="shared" si="503"/>
        <v>-52.932877959950929</v>
      </c>
      <c r="CC107" s="37"/>
      <c r="CD107" s="26"/>
      <c r="CE107" s="26"/>
    </row>
    <row r="108" spans="1:83" ht="14.25" customHeight="1" outlineLevel="1">
      <c r="A108" s="18"/>
      <c r="B108" s="449" t="s">
        <v>167</v>
      </c>
      <c r="C108" s="142"/>
      <c r="D108" s="460">
        <v>-187</v>
      </c>
      <c r="E108" s="453">
        <v>-117</v>
      </c>
      <c r="F108" s="453">
        <v>-193</v>
      </c>
      <c r="G108" s="454">
        <v>-500</v>
      </c>
      <c r="H108" s="460">
        <v>-359</v>
      </c>
      <c r="I108" s="453">
        <v>-1096</v>
      </c>
      <c r="J108" s="453">
        <v>-1263</v>
      </c>
      <c r="K108" s="454">
        <v>-1116</v>
      </c>
      <c r="L108" s="460">
        <v>-65</v>
      </c>
      <c r="M108" s="453">
        <v>162</v>
      </c>
      <c r="N108" s="453">
        <v>744</v>
      </c>
      <c r="O108" s="454">
        <v>700</v>
      </c>
      <c r="P108" s="460">
        <v>75</v>
      </c>
      <c r="Q108" s="453">
        <v>71</v>
      </c>
      <c r="R108" s="453">
        <v>-60</v>
      </c>
      <c r="S108" s="454">
        <v>-395</v>
      </c>
      <c r="T108" s="460">
        <v>686</v>
      </c>
      <c r="U108" s="453">
        <v>927</v>
      </c>
      <c r="V108" s="453">
        <v>1236</v>
      </c>
      <c r="W108" s="454">
        <v>796</v>
      </c>
      <c r="X108" s="460">
        <v>-51</v>
      </c>
      <c r="Y108" s="453">
        <v>-395</v>
      </c>
      <c r="Z108" s="453">
        <v>-479</v>
      </c>
      <c r="AA108" s="454">
        <v>-806</v>
      </c>
      <c r="AB108" s="460">
        <v>-251</v>
      </c>
      <c r="AC108" s="453">
        <v>-184</v>
      </c>
      <c r="AD108" s="453">
        <v>-110</v>
      </c>
      <c r="AE108" s="454">
        <v>-243</v>
      </c>
      <c r="AF108" s="460">
        <v>-381</v>
      </c>
      <c r="AG108" s="453">
        <v>-782</v>
      </c>
      <c r="AH108" s="453">
        <v>-1198</v>
      </c>
      <c r="AI108" s="454">
        <v>-626</v>
      </c>
      <c r="AJ108" s="460">
        <v>372</v>
      </c>
      <c r="AK108" s="453">
        <v>195</v>
      </c>
      <c r="AL108" s="453">
        <v>205</v>
      </c>
      <c r="AM108" s="454">
        <v>563</v>
      </c>
      <c r="AN108" s="460">
        <v>405</v>
      </c>
      <c r="AO108" s="453">
        <v>235</v>
      </c>
      <c r="AP108" s="613">
        <v>59</v>
      </c>
      <c r="AQ108" s="454">
        <v>-98</v>
      </c>
      <c r="AR108" s="460">
        <v>-137</v>
      </c>
      <c r="AS108" s="453">
        <v>-489</v>
      </c>
      <c r="AT108" s="613">
        <v>-640</v>
      </c>
      <c r="AU108" s="454">
        <v>-764</v>
      </c>
      <c r="AV108" s="460">
        <v>-57</v>
      </c>
      <c r="AW108" s="453">
        <v>-104</v>
      </c>
      <c r="AX108" s="613">
        <v>-118</v>
      </c>
      <c r="AY108" s="454">
        <v>119</v>
      </c>
      <c r="AZ108" s="460">
        <v>-232</v>
      </c>
      <c r="BA108" s="453">
        <v>-760</v>
      </c>
      <c r="BB108" s="613">
        <v>-1245</v>
      </c>
      <c r="BC108" s="454">
        <v>-1300</v>
      </c>
      <c r="BD108" s="451">
        <f t="shared" si="483"/>
        <v>-163</v>
      </c>
      <c r="BE108" s="451">
        <f t="shared" si="496"/>
        <v>703.49196739101899</v>
      </c>
      <c r="BF108" s="451">
        <f t="shared" si="497"/>
        <v>313.34338294287591</v>
      </c>
      <c r="BG108" s="452">
        <f t="shared" si="498"/>
        <v>232.76928770193808</v>
      </c>
      <c r="BH108" s="451">
        <f t="shared" si="475"/>
        <v>620.32807850170502</v>
      </c>
      <c r="BI108" s="451">
        <f t="shared" si="499"/>
        <v>403.03581892896</v>
      </c>
      <c r="BJ108" s="451">
        <f t="shared" si="500"/>
        <v>-169.42151541312342</v>
      </c>
      <c r="BK108" s="452">
        <f t="shared" si="501"/>
        <v>-212.47861935705077</v>
      </c>
      <c r="BL108" s="377"/>
      <c r="BM108" s="451">
        <f t="shared" ref="BM108:BY108" si="504">BM21</f>
        <v>-500</v>
      </c>
      <c r="BN108" s="451">
        <f t="shared" si="504"/>
        <v>-1116</v>
      </c>
      <c r="BO108" s="451">
        <f t="shared" si="504"/>
        <v>700</v>
      </c>
      <c r="BP108" s="451">
        <f t="shared" si="504"/>
        <v>-395</v>
      </c>
      <c r="BQ108" s="451">
        <f t="shared" si="504"/>
        <v>796</v>
      </c>
      <c r="BR108" s="451">
        <f t="shared" si="504"/>
        <v>-806</v>
      </c>
      <c r="BS108" s="451">
        <f t="shared" si="504"/>
        <v>-243</v>
      </c>
      <c r="BT108" s="451">
        <f t="shared" si="504"/>
        <v>-626</v>
      </c>
      <c r="BU108" s="451">
        <f t="shared" si="504"/>
        <v>563</v>
      </c>
      <c r="BV108" s="451">
        <f t="shared" si="504"/>
        <v>-98</v>
      </c>
      <c r="BW108" s="451">
        <f t="shared" si="504"/>
        <v>-764</v>
      </c>
      <c r="BX108" s="451">
        <f t="shared" si="504"/>
        <v>119</v>
      </c>
      <c r="BY108" s="451">
        <f t="shared" si="504"/>
        <v>-1300</v>
      </c>
      <c r="BZ108" s="451">
        <f t="shared" ref="BZ108:CA108" si="505">BZ21</f>
        <v>232.76928770193808</v>
      </c>
      <c r="CA108" s="451">
        <f t="shared" si="505"/>
        <v>-212.47861935705077</v>
      </c>
      <c r="CB108" s="1188">
        <f t="shared" si="503"/>
        <v>-130.01736424032515</v>
      </c>
      <c r="CC108" s="37"/>
      <c r="CD108" s="26"/>
      <c r="CE108" s="26"/>
    </row>
    <row r="109" spans="1:83" ht="14.25" customHeight="1" outlineLevel="1">
      <c r="A109" s="18"/>
      <c r="B109" s="449" t="s">
        <v>257</v>
      </c>
      <c r="C109" s="142"/>
      <c r="D109" s="460">
        <v>668</v>
      </c>
      <c r="E109" s="453">
        <v>887</v>
      </c>
      <c r="F109" s="453">
        <v>1129</v>
      </c>
      <c r="G109" s="454">
        <v>1606</v>
      </c>
      <c r="H109" s="460">
        <v>193</v>
      </c>
      <c r="I109" s="453">
        <v>236</v>
      </c>
      <c r="J109" s="453">
        <v>362</v>
      </c>
      <c r="K109" s="454">
        <v>324</v>
      </c>
      <c r="L109" s="460">
        <v>-201</v>
      </c>
      <c r="M109" s="453">
        <v>-601</v>
      </c>
      <c r="N109" s="453">
        <v>-1090</v>
      </c>
      <c r="O109" s="454">
        <v>-1429</v>
      </c>
      <c r="P109" s="460">
        <v>38</v>
      </c>
      <c r="Q109" s="453">
        <v>49</v>
      </c>
      <c r="R109" s="453">
        <v>83</v>
      </c>
      <c r="S109" s="454">
        <v>193</v>
      </c>
      <c r="T109" s="460">
        <v>13</v>
      </c>
      <c r="U109" s="453">
        <v>-20</v>
      </c>
      <c r="V109" s="453">
        <v>299</v>
      </c>
      <c r="W109" s="454">
        <v>299</v>
      </c>
      <c r="X109" s="460">
        <v>0</v>
      </c>
      <c r="Y109" s="453">
        <v>0</v>
      </c>
      <c r="Z109" s="453">
        <v>0</v>
      </c>
      <c r="AA109" s="454">
        <v>0</v>
      </c>
      <c r="AB109" s="460">
        <v>0</v>
      </c>
      <c r="AC109" s="453">
        <v>0</v>
      </c>
      <c r="AD109" s="453">
        <v>0</v>
      </c>
      <c r="AE109" s="454">
        <v>0</v>
      </c>
      <c r="AF109" s="460">
        <v>0</v>
      </c>
      <c r="AG109" s="453">
        <v>0</v>
      </c>
      <c r="AH109" s="453">
        <v>0</v>
      </c>
      <c r="AI109" s="454">
        <v>0</v>
      </c>
      <c r="AJ109" s="460">
        <v>0</v>
      </c>
      <c r="AK109" s="453">
        <v>0</v>
      </c>
      <c r="AL109" s="453">
        <v>0</v>
      </c>
      <c r="AM109" s="454">
        <v>0</v>
      </c>
      <c r="AN109" s="460">
        <v>0</v>
      </c>
      <c r="AO109" s="453">
        <v>0</v>
      </c>
      <c r="AP109" s="613">
        <v>0</v>
      </c>
      <c r="AQ109" s="454">
        <v>0</v>
      </c>
      <c r="AR109" s="460">
        <v>0</v>
      </c>
      <c r="AS109" s="453">
        <v>0</v>
      </c>
      <c r="AT109" s="613">
        <v>0</v>
      </c>
      <c r="AU109" s="454">
        <v>0</v>
      </c>
      <c r="AV109" s="460">
        <v>0</v>
      </c>
      <c r="AW109" s="453">
        <v>0</v>
      </c>
      <c r="AX109" s="613">
        <v>0</v>
      </c>
      <c r="AY109" s="454">
        <v>0</v>
      </c>
      <c r="AZ109" s="460">
        <v>0</v>
      </c>
      <c r="BA109" s="453">
        <v>0</v>
      </c>
      <c r="BB109" s="613">
        <v>0</v>
      </c>
      <c r="BC109" s="454">
        <v>0</v>
      </c>
      <c r="BD109" s="451">
        <f t="shared" si="483"/>
        <v>-500</v>
      </c>
      <c r="BE109" s="451">
        <f t="shared" si="496"/>
        <v>-551.84556805957982</v>
      </c>
      <c r="BF109" s="451">
        <f t="shared" si="497"/>
        <v>-815.16001607361022</v>
      </c>
      <c r="BG109" s="452">
        <f t="shared" si="498"/>
        <v>-860.13838107146739</v>
      </c>
      <c r="BH109" s="451">
        <f t="shared" si="475"/>
        <v>346.28179999833083</v>
      </c>
      <c r="BI109" s="451">
        <f t="shared" si="499"/>
        <v>270.99911356908751</v>
      </c>
      <c r="BJ109" s="451">
        <f t="shared" si="500"/>
        <v>-44.409985494324701</v>
      </c>
      <c r="BK109" s="452">
        <f t="shared" si="501"/>
        <v>-118.61058901256456</v>
      </c>
      <c r="BL109" s="377"/>
      <c r="BM109" s="451">
        <f t="shared" ref="BM109:BY109" si="506">BM22</f>
        <v>1606</v>
      </c>
      <c r="BN109" s="451">
        <f t="shared" si="506"/>
        <v>324</v>
      </c>
      <c r="BO109" s="451">
        <f t="shared" si="506"/>
        <v>-1429</v>
      </c>
      <c r="BP109" s="451">
        <f t="shared" si="506"/>
        <v>193</v>
      </c>
      <c r="BQ109" s="451">
        <f t="shared" si="506"/>
        <v>299</v>
      </c>
      <c r="BR109" s="451">
        <f t="shared" si="506"/>
        <v>0</v>
      </c>
      <c r="BS109" s="451">
        <f t="shared" si="506"/>
        <v>0</v>
      </c>
      <c r="BT109" s="451">
        <f t="shared" si="506"/>
        <v>0</v>
      </c>
      <c r="BU109" s="451">
        <f t="shared" si="506"/>
        <v>0</v>
      </c>
      <c r="BV109" s="451">
        <f t="shared" si="506"/>
        <v>0</v>
      </c>
      <c r="BW109" s="451">
        <f t="shared" si="506"/>
        <v>0</v>
      </c>
      <c r="BX109" s="451">
        <f t="shared" si="506"/>
        <v>0</v>
      </c>
      <c r="BY109" s="451">
        <f t="shared" si="506"/>
        <v>0</v>
      </c>
      <c r="BZ109" s="451">
        <f t="shared" ref="BZ109:CA109" si="507">BZ22</f>
        <v>-860.13838107146739</v>
      </c>
      <c r="CA109" s="451">
        <f t="shared" si="507"/>
        <v>-118.61058901256456</v>
      </c>
      <c r="CB109" s="1188">
        <f t="shared" si="503"/>
        <v>-38.867489700839997</v>
      </c>
      <c r="CC109" s="37"/>
      <c r="CD109" s="26"/>
      <c r="CE109" s="26"/>
    </row>
    <row r="110" spans="1:83" ht="14.25" customHeight="1" outlineLevel="1">
      <c r="A110" s="18"/>
      <c r="B110" s="449" t="s">
        <v>181</v>
      </c>
      <c r="C110" s="142"/>
      <c r="D110" s="460">
        <v>138</v>
      </c>
      <c r="E110" s="453">
        <v>47</v>
      </c>
      <c r="F110" s="453">
        <v>131</v>
      </c>
      <c r="G110" s="454">
        <v>303</v>
      </c>
      <c r="H110" s="460">
        <v>162</v>
      </c>
      <c r="I110" s="453">
        <v>229</v>
      </c>
      <c r="J110" s="453">
        <v>152</v>
      </c>
      <c r="K110" s="454">
        <v>7</v>
      </c>
      <c r="L110" s="460">
        <v>17</v>
      </c>
      <c r="M110" s="453">
        <v>-77</v>
      </c>
      <c r="N110" s="453">
        <v>80</v>
      </c>
      <c r="O110" s="454">
        <v>102</v>
      </c>
      <c r="P110" s="460">
        <v>-23</v>
      </c>
      <c r="Q110" s="453">
        <v>18</v>
      </c>
      <c r="R110" s="453">
        <v>146</v>
      </c>
      <c r="S110" s="454">
        <v>29</v>
      </c>
      <c r="T110" s="460">
        <v>-721</v>
      </c>
      <c r="U110" s="453">
        <v>-664</v>
      </c>
      <c r="V110" s="453">
        <v>-482</v>
      </c>
      <c r="W110" s="454">
        <v>-506</v>
      </c>
      <c r="X110" s="460">
        <v>29</v>
      </c>
      <c r="Y110" s="453">
        <v>243</v>
      </c>
      <c r="Z110" s="453">
        <v>20</v>
      </c>
      <c r="AA110" s="454">
        <v>407</v>
      </c>
      <c r="AB110" s="460">
        <v>404</v>
      </c>
      <c r="AC110" s="453">
        <v>388</v>
      </c>
      <c r="AD110" s="453">
        <v>645</v>
      </c>
      <c r="AE110" s="454">
        <v>596</v>
      </c>
      <c r="AF110" s="460">
        <v>37</v>
      </c>
      <c r="AG110" s="453">
        <v>312</v>
      </c>
      <c r="AH110" s="453">
        <v>232</v>
      </c>
      <c r="AI110" s="454">
        <v>67</v>
      </c>
      <c r="AJ110" s="460">
        <v>-17</v>
      </c>
      <c r="AK110" s="453">
        <v>184</v>
      </c>
      <c r="AL110" s="453">
        <v>312</v>
      </c>
      <c r="AM110" s="454">
        <v>267</v>
      </c>
      <c r="AN110" s="460">
        <v>-95</v>
      </c>
      <c r="AO110" s="453">
        <v>-103</v>
      </c>
      <c r="AP110" s="613">
        <v>-292</v>
      </c>
      <c r="AQ110" s="454">
        <v>-249</v>
      </c>
      <c r="AR110" s="460">
        <v>-71</v>
      </c>
      <c r="AS110" s="453">
        <v>-304</v>
      </c>
      <c r="AT110" s="613">
        <v>-86</v>
      </c>
      <c r="AU110" s="454">
        <v>-312</v>
      </c>
      <c r="AV110" s="460">
        <v>434</v>
      </c>
      <c r="AW110" s="453">
        <v>375</v>
      </c>
      <c r="AX110" s="613">
        <v>188</v>
      </c>
      <c r="AY110" s="454">
        <v>182</v>
      </c>
      <c r="AZ110" s="460">
        <v>188</v>
      </c>
      <c r="BA110" s="453">
        <v>425</v>
      </c>
      <c r="BB110" s="613">
        <v>171</v>
      </c>
      <c r="BC110" s="454">
        <v>191</v>
      </c>
      <c r="BD110" s="451">
        <f t="shared" si="483"/>
        <v>1487</v>
      </c>
      <c r="BE110" s="451">
        <f t="shared" si="496"/>
        <v>909.47713103882188</v>
      </c>
      <c r="BF110" s="451">
        <f t="shared" si="497"/>
        <v>1147.9012659793539</v>
      </c>
      <c r="BG110" s="452">
        <f t="shared" si="498"/>
        <v>1197.1409908488158</v>
      </c>
      <c r="BH110" s="451">
        <f t="shared" si="475"/>
        <v>-379.08938130659726</v>
      </c>
      <c r="BI110" s="451">
        <f t="shared" si="499"/>
        <v>-246.29966712325313</v>
      </c>
      <c r="BJ110" s="451">
        <f t="shared" si="500"/>
        <v>103.53537053024229</v>
      </c>
      <c r="BK110" s="452">
        <f t="shared" si="501"/>
        <v>129.84804516264194</v>
      </c>
      <c r="BL110" s="377"/>
      <c r="BM110" s="451">
        <f t="shared" ref="BM110:BY110" si="508">BM23</f>
        <v>303</v>
      </c>
      <c r="BN110" s="451">
        <f t="shared" si="508"/>
        <v>7</v>
      </c>
      <c r="BO110" s="451">
        <f t="shared" si="508"/>
        <v>102</v>
      </c>
      <c r="BP110" s="451">
        <f t="shared" si="508"/>
        <v>29</v>
      </c>
      <c r="BQ110" s="451">
        <f t="shared" si="508"/>
        <v>-506</v>
      </c>
      <c r="BR110" s="451">
        <f t="shared" si="508"/>
        <v>407</v>
      </c>
      <c r="BS110" s="451">
        <f t="shared" si="508"/>
        <v>596</v>
      </c>
      <c r="BT110" s="451">
        <f t="shared" si="508"/>
        <v>67</v>
      </c>
      <c r="BU110" s="451">
        <f t="shared" si="508"/>
        <v>267</v>
      </c>
      <c r="BV110" s="451">
        <f t="shared" si="508"/>
        <v>-249</v>
      </c>
      <c r="BW110" s="451">
        <f t="shared" si="508"/>
        <v>-312</v>
      </c>
      <c r="BX110" s="451">
        <f t="shared" si="508"/>
        <v>182</v>
      </c>
      <c r="BY110" s="451">
        <f t="shared" si="508"/>
        <v>191</v>
      </c>
      <c r="BZ110" s="451">
        <f t="shared" ref="BZ110:CA110" si="509">BZ23</f>
        <v>1197.1409908488158</v>
      </c>
      <c r="CA110" s="451">
        <f t="shared" si="509"/>
        <v>129.84804516264194</v>
      </c>
      <c r="CB110" s="1188">
        <f t="shared" si="503"/>
        <v>79.455055924643602</v>
      </c>
      <c r="CC110" s="37"/>
      <c r="CD110" s="26"/>
      <c r="CE110" s="26"/>
    </row>
    <row r="111" spans="1:83" ht="14.25" customHeight="1" outlineLevel="1">
      <c r="A111" s="18"/>
      <c r="B111" s="449" t="s">
        <v>258</v>
      </c>
      <c r="C111" s="142"/>
      <c r="D111" s="460">
        <v>-683</v>
      </c>
      <c r="E111" s="453">
        <v>-370</v>
      </c>
      <c r="F111" s="453">
        <v>0</v>
      </c>
      <c r="G111" s="454">
        <v>0</v>
      </c>
      <c r="H111" s="460">
        <v>-927</v>
      </c>
      <c r="I111" s="453">
        <v>-641</v>
      </c>
      <c r="J111" s="453">
        <v>-611</v>
      </c>
      <c r="K111" s="454">
        <v>-435</v>
      </c>
      <c r="L111" s="460">
        <v>-723</v>
      </c>
      <c r="M111" s="453">
        <v>-367</v>
      </c>
      <c r="N111" s="453">
        <v>-197</v>
      </c>
      <c r="O111" s="454">
        <v>354</v>
      </c>
      <c r="P111" s="460">
        <v>-1095</v>
      </c>
      <c r="Q111" s="453">
        <v>-785</v>
      </c>
      <c r="R111" s="453">
        <v>-624</v>
      </c>
      <c r="S111" s="454">
        <v>-569</v>
      </c>
      <c r="T111" s="460">
        <v>-921</v>
      </c>
      <c r="U111" s="453">
        <v>-695</v>
      </c>
      <c r="V111" s="453">
        <v>-388</v>
      </c>
      <c r="W111" s="454">
        <v>247</v>
      </c>
      <c r="X111" s="460">
        <v>-1095</v>
      </c>
      <c r="Y111" s="453">
        <v>-513</v>
      </c>
      <c r="Z111" s="453">
        <v>-205</v>
      </c>
      <c r="AA111" s="454">
        <v>161</v>
      </c>
      <c r="AB111" s="460">
        <v>-1401</v>
      </c>
      <c r="AC111" s="453">
        <v>-832</v>
      </c>
      <c r="AD111" s="453">
        <v>-651</v>
      </c>
      <c r="AE111" s="454">
        <v>-95</v>
      </c>
      <c r="AF111" s="460">
        <v>-1450</v>
      </c>
      <c r="AG111" s="453">
        <v>-964</v>
      </c>
      <c r="AH111" s="453">
        <v>-588</v>
      </c>
      <c r="AI111" s="454">
        <v>192</v>
      </c>
      <c r="AJ111" s="460">
        <v>-1370</v>
      </c>
      <c r="AK111" s="453">
        <v>-787</v>
      </c>
      <c r="AL111" s="453">
        <v>-222</v>
      </c>
      <c r="AM111" s="454">
        <v>155</v>
      </c>
      <c r="AN111" s="460">
        <v>-1229</v>
      </c>
      <c r="AO111" s="453">
        <v>-813</v>
      </c>
      <c r="AP111" s="613">
        <v>-408</v>
      </c>
      <c r="AQ111" s="454">
        <v>4</v>
      </c>
      <c r="AR111" s="460">
        <v>-1659</v>
      </c>
      <c r="AS111" s="453">
        <v>-1304</v>
      </c>
      <c r="AT111" s="613">
        <v>-1217</v>
      </c>
      <c r="AU111" s="454">
        <v>-711</v>
      </c>
      <c r="AV111" s="460">
        <v>-1307</v>
      </c>
      <c r="AW111" s="453">
        <v>-1659</v>
      </c>
      <c r="AX111" s="613">
        <v>-1874</v>
      </c>
      <c r="AY111" s="454">
        <v>-1595</v>
      </c>
      <c r="AZ111" s="460">
        <v>-1277</v>
      </c>
      <c r="BA111" s="453">
        <v>-1102</v>
      </c>
      <c r="BB111" s="613">
        <v>-551</v>
      </c>
      <c r="BC111" s="454">
        <v>-73</v>
      </c>
      <c r="BD111" s="451">
        <f t="shared" si="483"/>
        <v>-1408</v>
      </c>
      <c r="BE111" s="451">
        <f t="shared" si="496"/>
        <v>-1408</v>
      </c>
      <c r="BF111" s="451">
        <f t="shared" si="497"/>
        <v>-1408</v>
      </c>
      <c r="BG111" s="452">
        <f t="shared" si="498"/>
        <v>-1408</v>
      </c>
      <c r="BH111" s="451">
        <f t="shared" si="475"/>
        <v>0</v>
      </c>
      <c r="BI111" s="451">
        <f t="shared" si="499"/>
        <v>0</v>
      </c>
      <c r="BJ111" s="451">
        <f t="shared" si="500"/>
        <v>0</v>
      </c>
      <c r="BK111" s="452">
        <f t="shared" si="501"/>
        <v>0</v>
      </c>
      <c r="BL111" s="377"/>
      <c r="BM111" s="451">
        <f t="shared" ref="BM111:BY111" si="510">BM24</f>
        <v>0</v>
      </c>
      <c r="BN111" s="451">
        <f t="shared" si="510"/>
        <v>-435</v>
      </c>
      <c r="BO111" s="451">
        <f t="shared" si="510"/>
        <v>354</v>
      </c>
      <c r="BP111" s="451">
        <f t="shared" si="510"/>
        <v>-569</v>
      </c>
      <c r="BQ111" s="451">
        <f t="shared" si="510"/>
        <v>247</v>
      </c>
      <c r="BR111" s="451">
        <f t="shared" si="510"/>
        <v>161</v>
      </c>
      <c r="BS111" s="451">
        <f t="shared" si="510"/>
        <v>-95</v>
      </c>
      <c r="BT111" s="451">
        <f t="shared" si="510"/>
        <v>192</v>
      </c>
      <c r="BU111" s="451">
        <f t="shared" si="510"/>
        <v>155</v>
      </c>
      <c r="BV111" s="451">
        <f t="shared" si="510"/>
        <v>4</v>
      </c>
      <c r="BW111" s="451">
        <f t="shared" si="510"/>
        <v>-711</v>
      </c>
      <c r="BX111" s="451">
        <f t="shared" si="510"/>
        <v>-1595</v>
      </c>
      <c r="BY111" s="451">
        <f t="shared" si="510"/>
        <v>-73</v>
      </c>
      <c r="BZ111" s="451">
        <f t="shared" ref="BZ111:CA111" si="511">BZ24</f>
        <v>-1408</v>
      </c>
      <c r="CA111" s="451">
        <f t="shared" si="511"/>
        <v>0</v>
      </c>
      <c r="CB111" s="1188">
        <f t="shared" si="503"/>
        <v>0</v>
      </c>
      <c r="CC111" s="37"/>
      <c r="CD111" s="26"/>
      <c r="CE111" s="26"/>
    </row>
    <row r="112" spans="1:83" ht="14.25" customHeight="1" outlineLevel="1">
      <c r="A112" s="18"/>
      <c r="B112" s="449" t="s">
        <v>259</v>
      </c>
      <c r="C112" s="142"/>
      <c r="D112" s="460">
        <v>790</v>
      </c>
      <c r="E112" s="453">
        <v>167</v>
      </c>
      <c r="F112" s="453">
        <v>738</v>
      </c>
      <c r="G112" s="454">
        <v>797</v>
      </c>
      <c r="H112" s="460">
        <v>-43</v>
      </c>
      <c r="I112" s="453">
        <v>-853</v>
      </c>
      <c r="J112" s="453">
        <v>-463</v>
      </c>
      <c r="K112" s="454">
        <v>-60</v>
      </c>
      <c r="L112" s="460">
        <v>-432</v>
      </c>
      <c r="M112" s="453">
        <v>-1178</v>
      </c>
      <c r="N112" s="453">
        <v>-48</v>
      </c>
      <c r="O112" s="454">
        <v>-248</v>
      </c>
      <c r="P112" s="460">
        <v>337</v>
      </c>
      <c r="Q112" s="453">
        <v>-553</v>
      </c>
      <c r="R112" s="453">
        <v>-281</v>
      </c>
      <c r="S112" s="454">
        <v>-834</v>
      </c>
      <c r="T112" s="460">
        <v>-230</v>
      </c>
      <c r="U112" s="453">
        <v>-39</v>
      </c>
      <c r="V112" s="453">
        <v>775</v>
      </c>
      <c r="W112" s="454">
        <v>110</v>
      </c>
      <c r="X112" s="460">
        <v>916</v>
      </c>
      <c r="Y112" s="453">
        <v>-23</v>
      </c>
      <c r="Z112" s="453">
        <v>179</v>
      </c>
      <c r="AA112" s="454">
        <v>53</v>
      </c>
      <c r="AB112" s="460">
        <v>1032</v>
      </c>
      <c r="AC112" s="453">
        <v>-466</v>
      </c>
      <c r="AD112" s="453">
        <v>194</v>
      </c>
      <c r="AE112" s="454">
        <v>660</v>
      </c>
      <c r="AF112" s="460">
        <v>760</v>
      </c>
      <c r="AG112" s="453">
        <v>-51</v>
      </c>
      <c r="AH112" s="453">
        <v>294</v>
      </c>
      <c r="AI112" s="454">
        <v>229</v>
      </c>
      <c r="AJ112" s="460">
        <v>257</v>
      </c>
      <c r="AK112" s="453">
        <v>296</v>
      </c>
      <c r="AL112" s="453">
        <v>873</v>
      </c>
      <c r="AM112" s="454">
        <v>1019</v>
      </c>
      <c r="AN112" s="460">
        <v>200</v>
      </c>
      <c r="AO112" s="453">
        <v>88</v>
      </c>
      <c r="AP112" s="613">
        <v>-190</v>
      </c>
      <c r="AQ112" s="454">
        <v>-286</v>
      </c>
      <c r="AR112" s="460">
        <v>221</v>
      </c>
      <c r="AS112" s="453">
        <v>-59</v>
      </c>
      <c r="AT112" s="613">
        <v>774</v>
      </c>
      <c r="AU112" s="454">
        <v>386</v>
      </c>
      <c r="AV112" s="460">
        <v>497</v>
      </c>
      <c r="AW112" s="453">
        <v>-79</v>
      </c>
      <c r="AX112" s="613">
        <v>961</v>
      </c>
      <c r="AY112" s="454">
        <v>1382</v>
      </c>
      <c r="AZ112" s="460">
        <v>427</v>
      </c>
      <c r="BA112" s="453">
        <v>563</v>
      </c>
      <c r="BB112" s="613">
        <v>979</v>
      </c>
      <c r="BC112" s="454">
        <v>5230</v>
      </c>
      <c r="BD112" s="451">
        <f t="shared" si="483"/>
        <v>-1482</v>
      </c>
      <c r="BE112" s="451">
        <f t="shared" si="496"/>
        <v>-1482</v>
      </c>
      <c r="BF112" s="451">
        <f t="shared" si="497"/>
        <v>-1482</v>
      </c>
      <c r="BG112" s="452">
        <f t="shared" si="498"/>
        <v>-1482</v>
      </c>
      <c r="BH112" s="451">
        <f t="shared" si="475"/>
        <v>0</v>
      </c>
      <c r="BI112" s="451">
        <f t="shared" si="499"/>
        <v>0</v>
      </c>
      <c r="BJ112" s="451">
        <f t="shared" si="500"/>
        <v>0</v>
      </c>
      <c r="BK112" s="452">
        <f t="shared" si="501"/>
        <v>0</v>
      </c>
      <c r="BL112" s="377"/>
      <c r="BM112" s="451">
        <f t="shared" ref="BM112:BY112" si="512">BM25</f>
        <v>797</v>
      </c>
      <c r="BN112" s="451">
        <f t="shared" si="512"/>
        <v>-60</v>
      </c>
      <c r="BO112" s="451">
        <f t="shared" si="512"/>
        <v>-248</v>
      </c>
      <c r="BP112" s="451">
        <f t="shared" si="512"/>
        <v>-834</v>
      </c>
      <c r="BQ112" s="451">
        <f t="shared" si="512"/>
        <v>110</v>
      </c>
      <c r="BR112" s="451">
        <f t="shared" si="512"/>
        <v>53</v>
      </c>
      <c r="BS112" s="451">
        <f t="shared" si="512"/>
        <v>660</v>
      </c>
      <c r="BT112" s="451">
        <f t="shared" si="512"/>
        <v>229</v>
      </c>
      <c r="BU112" s="451">
        <f t="shared" si="512"/>
        <v>1019</v>
      </c>
      <c r="BV112" s="451">
        <f t="shared" si="512"/>
        <v>-286</v>
      </c>
      <c r="BW112" s="451">
        <f t="shared" si="512"/>
        <v>386</v>
      </c>
      <c r="BX112" s="451">
        <f t="shared" si="512"/>
        <v>1382</v>
      </c>
      <c r="BY112" s="451">
        <f t="shared" si="512"/>
        <v>5230</v>
      </c>
      <c r="BZ112" s="451">
        <f t="shared" ref="BZ112:CA112" si="513">BZ25</f>
        <v>-1482</v>
      </c>
      <c r="CA112" s="451">
        <f t="shared" si="513"/>
        <v>0</v>
      </c>
      <c r="CB112" s="1188">
        <f t="shared" si="503"/>
        <v>0</v>
      </c>
      <c r="CC112" s="37"/>
      <c r="CD112" s="26"/>
      <c r="CE112" s="26"/>
    </row>
    <row r="113" spans="1:83" ht="14.25" customHeight="1" outlineLevel="1">
      <c r="A113" s="18"/>
      <c r="B113" s="449" t="s">
        <v>260</v>
      </c>
      <c r="C113" s="142"/>
      <c r="D113" s="460">
        <v>-299</v>
      </c>
      <c r="E113" s="453">
        <v>-149</v>
      </c>
      <c r="F113" s="453">
        <v>148</v>
      </c>
      <c r="G113" s="454">
        <v>241</v>
      </c>
      <c r="H113" s="460">
        <v>143</v>
      </c>
      <c r="I113" s="453">
        <v>100</v>
      </c>
      <c r="J113" s="453">
        <v>40</v>
      </c>
      <c r="K113" s="454">
        <v>-9</v>
      </c>
      <c r="L113" s="460">
        <v>-116</v>
      </c>
      <c r="M113" s="453">
        <v>-106</v>
      </c>
      <c r="N113" s="453">
        <v>62</v>
      </c>
      <c r="O113" s="454">
        <v>279</v>
      </c>
      <c r="P113" s="460">
        <v>9</v>
      </c>
      <c r="Q113" s="453">
        <v>91</v>
      </c>
      <c r="R113" s="453">
        <v>-153</v>
      </c>
      <c r="S113" s="454">
        <v>-189</v>
      </c>
      <c r="T113" s="460">
        <v>-446</v>
      </c>
      <c r="U113" s="453">
        <v>711</v>
      </c>
      <c r="V113" s="453">
        <v>-722</v>
      </c>
      <c r="W113" s="454">
        <v>-351</v>
      </c>
      <c r="X113" s="460">
        <v>305</v>
      </c>
      <c r="Y113" s="453">
        <v>507</v>
      </c>
      <c r="Z113" s="453">
        <v>147</v>
      </c>
      <c r="AA113" s="454">
        <v>834</v>
      </c>
      <c r="AB113" s="453">
        <v>97</v>
      </c>
      <c r="AC113" s="453">
        <v>-50</v>
      </c>
      <c r="AD113" s="453">
        <v>-138</v>
      </c>
      <c r="AE113" s="454">
        <v>91</v>
      </c>
      <c r="AF113" s="453">
        <v>-359</v>
      </c>
      <c r="AG113" s="453">
        <v>-543</v>
      </c>
      <c r="AH113" s="453">
        <v>-221</v>
      </c>
      <c r="AI113" s="454">
        <v>94</v>
      </c>
      <c r="AJ113" s="453">
        <v>377</v>
      </c>
      <c r="AK113" s="453">
        <v>393</v>
      </c>
      <c r="AL113" s="453">
        <v>335</v>
      </c>
      <c r="AM113" s="454">
        <v>865</v>
      </c>
      <c r="AN113" s="453">
        <f>-135+137</f>
        <v>2</v>
      </c>
      <c r="AO113" s="453">
        <v>112</v>
      </c>
      <c r="AP113" s="613">
        <v>611</v>
      </c>
      <c r="AQ113" s="454">
        <v>1391</v>
      </c>
      <c r="AR113" s="453">
        <v>555</v>
      </c>
      <c r="AS113" s="453">
        <v>340</v>
      </c>
      <c r="AT113" s="613">
        <v>156</v>
      </c>
      <c r="AU113" s="454">
        <v>675</v>
      </c>
      <c r="AV113" s="453">
        <v>-885</v>
      </c>
      <c r="AW113" s="453">
        <v>-458</v>
      </c>
      <c r="AX113" s="613">
        <v>-222</v>
      </c>
      <c r="AY113" s="454">
        <v>515</v>
      </c>
      <c r="AZ113" s="453">
        <v>-452</v>
      </c>
      <c r="BA113" s="453">
        <v>-413</v>
      </c>
      <c r="BB113" s="613">
        <v>315</v>
      </c>
      <c r="BC113" s="454">
        <v>317</v>
      </c>
      <c r="BD113" s="451">
        <f>6284-SUM(BD96:BD112)</f>
        <v>2021</v>
      </c>
      <c r="BE113" s="451">
        <f t="shared" si="496"/>
        <v>2021</v>
      </c>
      <c r="BF113" s="451">
        <f t="shared" si="497"/>
        <v>2021</v>
      </c>
      <c r="BG113" s="452">
        <f t="shared" si="498"/>
        <v>2021</v>
      </c>
      <c r="BH113" s="451">
        <f t="shared" si="475"/>
        <v>0</v>
      </c>
      <c r="BI113" s="451">
        <f t="shared" si="499"/>
        <v>0</v>
      </c>
      <c r="BJ113" s="451">
        <f t="shared" si="500"/>
        <v>0</v>
      </c>
      <c r="BK113" s="452">
        <f t="shared" si="501"/>
        <v>0</v>
      </c>
      <c r="BL113" s="377"/>
      <c r="BM113" s="451">
        <f t="shared" ref="BM113:BY113" si="514">BM26</f>
        <v>241</v>
      </c>
      <c r="BN113" s="451">
        <f t="shared" si="514"/>
        <v>-9</v>
      </c>
      <c r="BO113" s="451">
        <f t="shared" si="514"/>
        <v>279</v>
      </c>
      <c r="BP113" s="451">
        <f t="shared" si="514"/>
        <v>-189</v>
      </c>
      <c r="BQ113" s="451">
        <f t="shared" si="514"/>
        <v>-351</v>
      </c>
      <c r="BR113" s="451">
        <f t="shared" si="514"/>
        <v>834</v>
      </c>
      <c r="BS113" s="451">
        <f t="shared" si="514"/>
        <v>91</v>
      </c>
      <c r="BT113" s="451">
        <f t="shared" si="514"/>
        <v>94</v>
      </c>
      <c r="BU113" s="451">
        <f t="shared" si="514"/>
        <v>865</v>
      </c>
      <c r="BV113" s="451">
        <f t="shared" si="514"/>
        <v>1391</v>
      </c>
      <c r="BW113" s="451">
        <f t="shared" si="514"/>
        <v>675</v>
      </c>
      <c r="BX113" s="451">
        <f t="shared" si="514"/>
        <v>515</v>
      </c>
      <c r="BY113" s="451">
        <f t="shared" si="514"/>
        <v>317</v>
      </c>
      <c r="BZ113" s="451">
        <f t="shared" ref="BZ113:CA113" si="515">BZ26</f>
        <v>2021</v>
      </c>
      <c r="CA113" s="451">
        <f t="shared" si="515"/>
        <v>0</v>
      </c>
      <c r="CB113" s="1188">
        <f t="shared" si="503"/>
        <v>0</v>
      </c>
      <c r="CC113" s="37"/>
      <c r="CD113" s="26"/>
      <c r="CE113" s="26"/>
    </row>
    <row r="114" spans="1:83" ht="14.25" customHeight="1" outlineLevel="1" thickBot="1">
      <c r="A114" s="18"/>
      <c r="B114" s="455" t="s">
        <v>261</v>
      </c>
      <c r="C114" s="456"/>
      <c r="D114" s="457">
        <f t="shared" ref="D114:AO114" si="516">D96+SUM(D98:D105)+SUM(D107:D113)</f>
        <v>3756</v>
      </c>
      <c r="E114" s="458">
        <f t="shared" si="516"/>
        <v>6728</v>
      </c>
      <c r="F114" s="458">
        <f t="shared" si="516"/>
        <v>11094</v>
      </c>
      <c r="G114" s="459">
        <f t="shared" si="516"/>
        <v>14851</v>
      </c>
      <c r="H114" s="457">
        <f t="shared" si="516"/>
        <v>2096</v>
      </c>
      <c r="I114" s="458">
        <f t="shared" si="516"/>
        <v>3638</v>
      </c>
      <c r="J114" s="458">
        <f t="shared" si="516"/>
        <v>6449</v>
      </c>
      <c r="K114" s="459">
        <f t="shared" si="516"/>
        <v>10632</v>
      </c>
      <c r="L114" s="457">
        <f t="shared" si="516"/>
        <v>1552</v>
      </c>
      <c r="M114" s="458">
        <f t="shared" si="516"/>
        <v>3969</v>
      </c>
      <c r="N114" s="458">
        <f t="shared" si="516"/>
        <v>7853</v>
      </c>
      <c r="O114" s="459">
        <f t="shared" si="516"/>
        <v>12625</v>
      </c>
      <c r="P114" s="457">
        <f t="shared" si="516"/>
        <v>2215</v>
      </c>
      <c r="Q114" s="458">
        <f t="shared" si="516"/>
        <v>5043</v>
      </c>
      <c r="R114" s="458">
        <f t="shared" si="516"/>
        <v>8330</v>
      </c>
      <c r="S114" s="459">
        <f t="shared" si="516"/>
        <v>10926</v>
      </c>
      <c r="T114" s="457">
        <f t="shared" si="516"/>
        <v>378</v>
      </c>
      <c r="U114" s="458">
        <f t="shared" si="516"/>
        <v>3762</v>
      </c>
      <c r="V114" s="458">
        <f t="shared" si="516"/>
        <v>7765</v>
      </c>
      <c r="W114" s="459">
        <f t="shared" si="516"/>
        <v>11170</v>
      </c>
      <c r="X114" s="457">
        <f t="shared" si="516"/>
        <v>4079</v>
      </c>
      <c r="Y114" s="458">
        <f t="shared" si="516"/>
        <v>7565</v>
      </c>
      <c r="Z114" s="458">
        <f t="shared" si="516"/>
        <v>11142</v>
      </c>
      <c r="AA114" s="459">
        <f t="shared" si="516"/>
        <v>16692</v>
      </c>
      <c r="AB114" s="458">
        <f t="shared" si="516"/>
        <v>4013</v>
      </c>
      <c r="AC114" s="458">
        <f t="shared" si="516"/>
        <v>7984</v>
      </c>
      <c r="AD114" s="458">
        <f t="shared" si="516"/>
        <v>14333</v>
      </c>
      <c r="AE114" s="459">
        <f t="shared" si="516"/>
        <v>20963</v>
      </c>
      <c r="AF114" s="458">
        <f t="shared" si="516"/>
        <v>2972</v>
      </c>
      <c r="AG114" s="458">
        <f t="shared" si="516"/>
        <v>7711</v>
      </c>
      <c r="AH114" s="458">
        <f t="shared" si="516"/>
        <v>12858</v>
      </c>
      <c r="AI114" s="459">
        <f t="shared" si="516"/>
        <v>18884</v>
      </c>
      <c r="AJ114" s="458">
        <f t="shared" si="516"/>
        <v>4285</v>
      </c>
      <c r="AK114" s="458">
        <f t="shared" si="516"/>
        <v>9007</v>
      </c>
      <c r="AL114" s="458">
        <f t="shared" si="516"/>
        <v>14738</v>
      </c>
      <c r="AM114" s="459">
        <f t="shared" si="516"/>
        <v>20776</v>
      </c>
      <c r="AN114" s="458">
        <f>AN96+SUM(AN98:AN105)+SUM(AN107:AN113)</f>
        <v>3501</v>
      </c>
      <c r="AO114" s="458">
        <f t="shared" si="516"/>
        <v>8954</v>
      </c>
      <c r="AP114" s="458">
        <f>AP96+SUM(AP98:AP105)+SUM(AP107:AP113)</f>
        <v>14647</v>
      </c>
      <c r="AQ114" s="459">
        <f>AQ96+SUM(AQ98:AQ105)+SUM(AQ107:AQ113)</f>
        <v>20418</v>
      </c>
      <c r="AR114" s="458">
        <f>AR96+SUM(AR98:AR105)+SUM(AR107:AR113)</f>
        <v>4415</v>
      </c>
      <c r="AS114" s="458">
        <f t="shared" ref="AS114:AT114" si="517">AS96+SUM(AS98:AS105)+SUM(AS107:AS113)</f>
        <v>7855</v>
      </c>
      <c r="AT114" s="458">
        <f t="shared" si="517"/>
        <v>13590</v>
      </c>
      <c r="AU114" s="459">
        <f>AU96+SUM(AU98:AU105)+SUM(AU107:AU113)</f>
        <v>19017</v>
      </c>
      <c r="AV114" s="458">
        <f>AV96+SUM(AV98:AV105)+SUM(AV107:AV113)</f>
        <v>4055</v>
      </c>
      <c r="AW114" s="458">
        <f t="shared" ref="AW114:AX114" si="518">AW96+SUM(AW98:AW105)+SUM(AW107:AW113)</f>
        <v>7900</v>
      </c>
      <c r="AX114" s="458">
        <f t="shared" si="518"/>
        <v>13658</v>
      </c>
      <c r="AY114" s="459">
        <f>AY96+SUM(AY98:AY105)+SUM(AY107:AY113)</f>
        <v>21808</v>
      </c>
      <c r="AZ114" s="458">
        <f>AZ96+SUM(AZ98:AZ105)+SUM(AZ107:AZ113)</f>
        <v>3898</v>
      </c>
      <c r="BA114" s="458">
        <f t="shared" ref="BA114:BB114" si="519">BA96+SUM(BA98:BA105)+SUM(BA107:BA113)</f>
        <v>8605</v>
      </c>
      <c r="BB114" s="458">
        <f t="shared" si="519"/>
        <v>14869</v>
      </c>
      <c r="BC114" s="459">
        <f>BC96+SUM(BC98:BC105)+SUM(BC107:BC113)</f>
        <v>22110</v>
      </c>
      <c r="BD114" s="458">
        <f>BD96+SUM(BD98:BD105)+SUM(BD107:BD113)</f>
        <v>6284</v>
      </c>
      <c r="BE114" s="458">
        <f t="shared" ref="BE114:BG114" si="520">BE96+SUM(BE98:BE105)+SUM(BE107:BE113)</f>
        <v>12834.895512356601</v>
      </c>
      <c r="BF114" s="458">
        <f t="shared" si="520"/>
        <v>19462.123425873659</v>
      </c>
      <c r="BG114" s="459">
        <f t="shared" si="520"/>
        <v>26793.119077938652</v>
      </c>
      <c r="BH114" s="458">
        <f>BH96+SUM(BH98:BH105)+SUM(BH107:BH113)</f>
        <v>7813.9913844437888</v>
      </c>
      <c r="BI114" s="458">
        <f t="shared" ref="BI114:BK114" si="521">BI96+SUM(BI98:BI105)+SUM(BI107:BI113)</f>
        <v>14184.522150432889</v>
      </c>
      <c r="BJ114" s="458">
        <f t="shared" si="521"/>
        <v>20636.205819569372</v>
      </c>
      <c r="BK114" s="459">
        <f t="shared" si="521"/>
        <v>28084.268996035044</v>
      </c>
      <c r="BL114" s="377"/>
      <c r="BM114" s="458">
        <f t="shared" ref="BM114:BY114" si="522">BM96+SUM(BM98:BM105)+SUM(BM107:BM113)</f>
        <v>14851</v>
      </c>
      <c r="BN114" s="458">
        <f t="shared" si="522"/>
        <v>10632</v>
      </c>
      <c r="BO114" s="458">
        <f t="shared" si="522"/>
        <v>12625</v>
      </c>
      <c r="BP114" s="458">
        <f t="shared" si="522"/>
        <v>10926</v>
      </c>
      <c r="BQ114" s="458">
        <f t="shared" si="522"/>
        <v>11170</v>
      </c>
      <c r="BR114" s="458">
        <f t="shared" si="522"/>
        <v>16692</v>
      </c>
      <c r="BS114" s="458">
        <f t="shared" si="522"/>
        <v>20963</v>
      </c>
      <c r="BT114" s="458">
        <f t="shared" si="522"/>
        <v>18884</v>
      </c>
      <c r="BU114" s="458">
        <f t="shared" si="522"/>
        <v>20776</v>
      </c>
      <c r="BV114" s="458">
        <f t="shared" si="522"/>
        <v>20418</v>
      </c>
      <c r="BW114" s="458">
        <f>BW96+SUM(BW98:BW105)+SUM(BW107:BW113)</f>
        <v>19017</v>
      </c>
      <c r="BX114" s="458">
        <f t="shared" si="522"/>
        <v>21808</v>
      </c>
      <c r="BY114" s="458">
        <f t="shared" si="522"/>
        <v>22110</v>
      </c>
      <c r="BZ114" s="458">
        <f t="shared" ref="BZ114:CB114" si="523">BZ96+SUM(BZ98:BZ105)+SUM(BZ107:BZ113)</f>
        <v>26793.11907793866</v>
      </c>
      <c r="CA114" s="458">
        <f t="shared" si="523"/>
        <v>28084.268996035036</v>
      </c>
      <c r="CB114" s="459">
        <f t="shared" si="523"/>
        <v>29207.063934192025</v>
      </c>
      <c r="CC114" s="37"/>
      <c r="CD114" s="26"/>
      <c r="CE114" s="26"/>
    </row>
    <row r="115" spans="1:83" ht="14.25" customHeight="1" outlineLevel="1" thickTop="1">
      <c r="A115" s="18"/>
      <c r="B115" s="297"/>
      <c r="C115" s="68"/>
      <c r="D115" s="460"/>
      <c r="E115" s="453"/>
      <c r="F115" s="453"/>
      <c r="G115" s="454"/>
      <c r="H115" s="460"/>
      <c r="I115" s="453"/>
      <c r="J115" s="453"/>
      <c r="K115" s="454"/>
      <c r="L115" s="460"/>
      <c r="M115" s="453"/>
      <c r="N115" s="453"/>
      <c r="O115" s="454"/>
      <c r="P115" s="460"/>
      <c r="Q115" s="453"/>
      <c r="R115" s="453"/>
      <c r="S115" s="454"/>
      <c r="T115" s="460"/>
      <c r="U115" s="453"/>
      <c r="V115" s="453"/>
      <c r="W115" s="454"/>
      <c r="X115" s="460"/>
      <c r="Y115" s="453"/>
      <c r="Z115" s="453"/>
      <c r="AA115" s="454"/>
      <c r="AB115" s="453"/>
      <c r="AC115" s="453"/>
      <c r="AD115" s="453"/>
      <c r="AE115" s="454"/>
      <c r="AF115" s="453"/>
      <c r="AG115" s="453"/>
      <c r="AH115" s="453"/>
      <c r="AI115" s="454"/>
      <c r="AJ115" s="453"/>
      <c r="AK115" s="453"/>
      <c r="AL115" s="453"/>
      <c r="AM115" s="454"/>
      <c r="AN115" s="453"/>
      <c r="AO115" s="453"/>
      <c r="AP115" s="453"/>
      <c r="AQ115" s="454"/>
      <c r="AR115" s="453"/>
      <c r="AS115" s="453"/>
      <c r="AT115" s="453"/>
      <c r="AU115" s="454"/>
      <c r="AV115" s="453"/>
      <c r="AW115" s="453"/>
      <c r="AX115" s="453"/>
      <c r="AY115" s="454"/>
      <c r="AZ115" s="453"/>
      <c r="BA115" s="453"/>
      <c r="BB115" s="453"/>
      <c r="BC115" s="454"/>
      <c r="BD115" s="453"/>
      <c r="BE115" s="453"/>
      <c r="BF115" s="453"/>
      <c r="BG115" s="454"/>
      <c r="BH115" s="453"/>
      <c r="BI115" s="453"/>
      <c r="BJ115" s="453"/>
      <c r="BK115" s="454"/>
      <c r="BL115" s="377"/>
      <c r="BM115" s="453"/>
      <c r="BN115" s="453"/>
      <c r="BO115" s="453"/>
      <c r="BP115" s="453"/>
      <c r="BQ115" s="453"/>
      <c r="BR115" s="453"/>
      <c r="BS115" s="453"/>
      <c r="BT115" s="453"/>
      <c r="BU115" s="453"/>
      <c r="BV115" s="453"/>
      <c r="BW115" s="453"/>
      <c r="BX115" s="453"/>
      <c r="BY115" s="453"/>
      <c r="BZ115" s="453"/>
      <c r="CA115" s="453"/>
      <c r="CB115" s="1189"/>
      <c r="CC115" s="37"/>
      <c r="CD115" s="26"/>
      <c r="CE115" s="26"/>
    </row>
    <row r="116" spans="1:83" ht="14.25" customHeight="1" outlineLevel="1">
      <c r="A116" s="18"/>
      <c r="B116" s="389" t="s">
        <v>262</v>
      </c>
      <c r="C116" s="128"/>
      <c r="D116" s="460"/>
      <c r="E116" s="453"/>
      <c r="F116" s="453"/>
      <c r="G116" s="454"/>
      <c r="H116" s="460"/>
      <c r="I116" s="453"/>
      <c r="J116" s="453"/>
      <c r="K116" s="454"/>
      <c r="L116" s="460"/>
      <c r="M116" s="453"/>
      <c r="N116" s="453"/>
      <c r="O116" s="454"/>
      <c r="P116" s="460"/>
      <c r="Q116" s="453"/>
      <c r="R116" s="453"/>
      <c r="S116" s="454"/>
      <c r="T116" s="460"/>
      <c r="U116" s="453"/>
      <c r="V116" s="453"/>
      <c r="W116" s="454"/>
      <c r="X116" s="460"/>
      <c r="Y116" s="453"/>
      <c r="Z116" s="453"/>
      <c r="AA116" s="454"/>
      <c r="AB116" s="453"/>
      <c r="AC116" s="453"/>
      <c r="AD116" s="453"/>
      <c r="AE116" s="454"/>
      <c r="AF116" s="453"/>
      <c r="AG116" s="453"/>
      <c r="AH116" s="453"/>
      <c r="AI116" s="454"/>
      <c r="AJ116" s="453"/>
      <c r="AK116" s="453"/>
      <c r="AL116" s="453"/>
      <c r="AM116" s="454"/>
      <c r="AN116" s="453"/>
      <c r="AO116" s="453"/>
      <c r="AP116" s="453"/>
      <c r="AQ116" s="454"/>
      <c r="AR116" s="453"/>
      <c r="AS116" s="453"/>
      <c r="AT116" s="453"/>
      <c r="AU116" s="454"/>
      <c r="AV116" s="453"/>
      <c r="AW116" s="453"/>
      <c r="AX116" s="453"/>
      <c r="AY116" s="454"/>
      <c r="AZ116" s="453"/>
      <c r="BA116" s="453"/>
      <c r="BB116" s="453"/>
      <c r="BC116" s="454"/>
      <c r="BD116" s="453"/>
      <c r="BE116" s="453"/>
      <c r="BF116" s="453"/>
      <c r="BG116" s="454"/>
      <c r="BH116" s="453"/>
      <c r="BI116" s="453"/>
      <c r="BJ116" s="453"/>
      <c r="BK116" s="454"/>
      <c r="BL116" s="377"/>
      <c r="BM116" s="453"/>
      <c r="BN116" s="453"/>
      <c r="BO116" s="453"/>
      <c r="BP116" s="453"/>
      <c r="BQ116" s="453"/>
      <c r="BR116" s="453"/>
      <c r="BS116" s="453"/>
      <c r="BT116" s="453"/>
      <c r="BU116" s="453"/>
      <c r="BV116" s="453"/>
      <c r="BW116" s="453"/>
      <c r="BX116" s="453"/>
      <c r="BY116" s="453"/>
      <c r="BZ116" s="453"/>
      <c r="CA116" s="453"/>
      <c r="CB116" s="1189"/>
      <c r="CC116" s="37"/>
      <c r="CD116" s="26"/>
      <c r="CE116" s="26"/>
    </row>
    <row r="117" spans="1:83" ht="14.25" customHeight="1" outlineLevel="1">
      <c r="A117" s="18"/>
      <c r="B117" s="278" t="s">
        <v>263</v>
      </c>
      <c r="C117" s="103"/>
      <c r="D117" s="460">
        <v>-1788</v>
      </c>
      <c r="E117" s="453">
        <v>-3177</v>
      </c>
      <c r="F117" s="453">
        <v>-4459</v>
      </c>
      <c r="G117" s="454">
        <v>-5871</v>
      </c>
      <c r="H117" s="460">
        <v>-1762</v>
      </c>
      <c r="I117" s="453">
        <v>-3524</v>
      </c>
      <c r="J117" s="453">
        <v>-4712</v>
      </c>
      <c r="K117" s="454">
        <v>-5860</v>
      </c>
      <c r="L117" s="460">
        <v>-1361</v>
      </c>
      <c r="M117" s="453">
        <v>-2639</v>
      </c>
      <c r="N117" s="453">
        <v>-3727</v>
      </c>
      <c r="O117" s="454">
        <v>-5000</v>
      </c>
      <c r="P117" s="460">
        <v>-907</v>
      </c>
      <c r="Q117" s="453">
        <v>-2058</v>
      </c>
      <c r="R117" s="453">
        <v>-3432</v>
      </c>
      <c r="S117" s="454">
        <v>-5197</v>
      </c>
      <c r="T117" s="460">
        <v>-1509</v>
      </c>
      <c r="U117" s="453">
        <v>-2490</v>
      </c>
      <c r="V117" s="453">
        <v>-3434</v>
      </c>
      <c r="W117" s="454">
        <v>-4515</v>
      </c>
      <c r="X117" s="460">
        <v>-928</v>
      </c>
      <c r="Y117" s="453">
        <v>-1976</v>
      </c>
      <c r="Z117" s="453">
        <v>-3338</v>
      </c>
      <c r="AA117" s="454">
        <v>-5207</v>
      </c>
      <c r="AB117" s="453">
        <v>-2723</v>
      </c>
      <c r="AC117" s="453">
        <v>-5207</v>
      </c>
      <c r="AD117" s="453">
        <v>-7920</v>
      </c>
      <c r="AE117" s="454">
        <v>-10764</v>
      </c>
      <c r="AF117" s="453">
        <v>-2974</v>
      </c>
      <c r="AG117" s="453">
        <v>-5636</v>
      </c>
      <c r="AH117" s="453">
        <v>-8523</v>
      </c>
      <c r="AI117" s="454">
        <v>-11027</v>
      </c>
      <c r="AJ117" s="453">
        <v>-2174</v>
      </c>
      <c r="AK117" s="453">
        <v>-4897</v>
      </c>
      <c r="AL117" s="453">
        <v>-7763</v>
      </c>
      <c r="AM117" s="454">
        <v>-10711</v>
      </c>
      <c r="AN117" s="453">
        <v>-2689</v>
      </c>
      <c r="AO117" s="453">
        <v>-5517</v>
      </c>
      <c r="AP117" s="613">
        <v>-7962</v>
      </c>
      <c r="AQ117" s="454">
        <v>-10105</v>
      </c>
      <c r="AR117" s="453">
        <v>-2025</v>
      </c>
      <c r="AS117" s="453">
        <v>-3792</v>
      </c>
      <c r="AT117" s="613">
        <v>-4998</v>
      </c>
      <c r="AU117" s="454">
        <v>-7326</v>
      </c>
      <c r="AV117" s="453">
        <v>-1346</v>
      </c>
      <c r="AW117" s="453">
        <v>-3632</v>
      </c>
      <c r="AX117" s="613">
        <v>-6095</v>
      </c>
      <c r="AY117" s="454">
        <v>-9625</v>
      </c>
      <c r="AZ117" s="453">
        <v>-1952</v>
      </c>
      <c r="BA117" s="453">
        <v>-4730</v>
      </c>
      <c r="BB117" s="613">
        <v>-7709</v>
      </c>
      <c r="BC117" s="454">
        <v>-11778</v>
      </c>
      <c r="BD117" s="1284">
        <v>-2910</v>
      </c>
      <c r="BE117" s="451">
        <f t="shared" ref="BE117:BE127" si="524">BD117+BE30</f>
        <v>-6410</v>
      </c>
      <c r="BF117" s="451">
        <f t="shared" ref="BF117:BF127" si="525">BE117+BF30</f>
        <v>-10160</v>
      </c>
      <c r="BG117" s="452">
        <f t="shared" ref="BG117:BG127" si="526">BF117+BG30</f>
        <v>-13910</v>
      </c>
      <c r="BH117" s="451">
        <f t="shared" ref="BH117:BH127" si="527">BH30</f>
        <v>-3500</v>
      </c>
      <c r="BI117" s="451">
        <f t="shared" ref="BI117:BI127" si="528">BH117+BI30</f>
        <v>-7000</v>
      </c>
      <c r="BJ117" s="451">
        <f t="shared" ref="BJ117:BJ127" si="529">BI117+BJ30</f>
        <v>-10500</v>
      </c>
      <c r="BK117" s="452">
        <f t="shared" ref="BK117:BK127" si="530">BJ117+BK30</f>
        <v>-14000</v>
      </c>
      <c r="BL117" s="377"/>
      <c r="BM117" s="451">
        <f t="shared" ref="BM117:BY117" si="531">BM30</f>
        <v>-5871</v>
      </c>
      <c r="BN117" s="451">
        <f t="shared" si="531"/>
        <v>-5860</v>
      </c>
      <c r="BO117" s="451">
        <f t="shared" si="531"/>
        <v>-5000</v>
      </c>
      <c r="BP117" s="451">
        <f t="shared" si="531"/>
        <v>-5197</v>
      </c>
      <c r="BQ117" s="451">
        <f t="shared" si="531"/>
        <v>-4515</v>
      </c>
      <c r="BR117" s="451">
        <f t="shared" si="531"/>
        <v>-5207</v>
      </c>
      <c r="BS117" s="451">
        <f t="shared" si="531"/>
        <v>-10764</v>
      </c>
      <c r="BT117" s="451">
        <f t="shared" si="531"/>
        <v>-11027</v>
      </c>
      <c r="BU117" s="451">
        <f t="shared" si="531"/>
        <v>-10711</v>
      </c>
      <c r="BV117" s="451">
        <f t="shared" si="531"/>
        <v>-10105</v>
      </c>
      <c r="BW117" s="451">
        <f t="shared" si="531"/>
        <v>-7326</v>
      </c>
      <c r="BX117" s="451">
        <f t="shared" si="531"/>
        <v>-9625</v>
      </c>
      <c r="BY117" s="451">
        <f t="shared" si="531"/>
        <v>-11778</v>
      </c>
      <c r="BZ117" s="451">
        <f t="shared" ref="BZ117:CB127" si="532">BZ30</f>
        <v>-13910</v>
      </c>
      <c r="CA117" s="451">
        <f t="shared" si="532"/>
        <v>-14000</v>
      </c>
      <c r="CB117" s="1188">
        <f t="shared" si="532"/>
        <v>-14000</v>
      </c>
      <c r="CC117" s="37"/>
      <c r="CD117" s="26"/>
      <c r="CE117" s="26"/>
    </row>
    <row r="118" spans="1:83" ht="14.25" customHeight="1" outlineLevel="1">
      <c r="A118" s="18"/>
      <c r="B118" s="278" t="s">
        <v>174</v>
      </c>
      <c r="C118" s="103"/>
      <c r="D118" s="460">
        <v>0</v>
      </c>
      <c r="E118" s="453">
        <v>0</v>
      </c>
      <c r="F118" s="453">
        <v>0</v>
      </c>
      <c r="G118" s="454">
        <v>0</v>
      </c>
      <c r="H118" s="460">
        <v>0</v>
      </c>
      <c r="I118" s="453">
        <v>0</v>
      </c>
      <c r="J118" s="453">
        <v>0</v>
      </c>
      <c r="K118" s="454">
        <v>0</v>
      </c>
      <c r="L118" s="460">
        <v>0</v>
      </c>
      <c r="M118" s="453">
        <v>0</v>
      </c>
      <c r="N118" s="453">
        <v>0</v>
      </c>
      <c r="O118" s="454">
        <v>0</v>
      </c>
      <c r="P118" s="460">
        <v>0</v>
      </c>
      <c r="Q118" s="453">
        <v>0</v>
      </c>
      <c r="R118" s="453">
        <v>0</v>
      </c>
      <c r="S118" s="454">
        <v>0</v>
      </c>
      <c r="T118" s="460">
        <v>0</v>
      </c>
      <c r="U118" s="453">
        <v>0</v>
      </c>
      <c r="V118" s="453">
        <v>0</v>
      </c>
      <c r="W118" s="454">
        <v>0</v>
      </c>
      <c r="X118" s="460">
        <v>0</v>
      </c>
      <c r="Y118" s="453">
        <v>0</v>
      </c>
      <c r="Z118" s="453">
        <v>0</v>
      </c>
      <c r="AA118" s="454">
        <v>0</v>
      </c>
      <c r="AB118" s="453">
        <v>0</v>
      </c>
      <c r="AC118" s="453">
        <v>0</v>
      </c>
      <c r="AD118" s="453">
        <v>0</v>
      </c>
      <c r="AE118" s="454">
        <v>0</v>
      </c>
      <c r="AF118" s="453">
        <v>0</v>
      </c>
      <c r="AG118" s="453">
        <v>0</v>
      </c>
      <c r="AH118" s="453">
        <v>0</v>
      </c>
      <c r="AI118" s="454">
        <v>0</v>
      </c>
      <c r="AJ118" s="453">
        <v>0</v>
      </c>
      <c r="AK118" s="453">
        <v>0</v>
      </c>
      <c r="AL118" s="453">
        <v>0</v>
      </c>
      <c r="AM118" s="454">
        <v>0</v>
      </c>
      <c r="AN118" s="453">
        <v>0</v>
      </c>
      <c r="AO118" s="453">
        <v>0</v>
      </c>
      <c r="AP118" s="613">
        <v>0</v>
      </c>
      <c r="AQ118" s="454">
        <v>0</v>
      </c>
      <c r="AR118" s="453">
        <v>0</v>
      </c>
      <c r="AS118" s="453">
        <v>0</v>
      </c>
      <c r="AT118" s="613">
        <v>0</v>
      </c>
      <c r="AU118" s="454">
        <v>0</v>
      </c>
      <c r="AV118" s="453">
        <v>0</v>
      </c>
      <c r="AW118" s="453">
        <v>0</v>
      </c>
      <c r="AX118" s="613">
        <v>0</v>
      </c>
      <c r="AY118" s="454">
        <v>0</v>
      </c>
      <c r="AZ118" s="453">
        <v>0</v>
      </c>
      <c r="BA118" s="453">
        <v>0</v>
      </c>
      <c r="BB118" s="613">
        <v>0</v>
      </c>
      <c r="BC118" s="454">
        <v>0</v>
      </c>
      <c r="BD118" s="451">
        <f t="shared" ref="BD118:BD127" si="533">BD31</f>
        <v>0</v>
      </c>
      <c r="BE118" s="451">
        <f t="shared" si="524"/>
        <v>0</v>
      </c>
      <c r="BF118" s="451">
        <f t="shared" si="525"/>
        <v>0</v>
      </c>
      <c r="BG118" s="452">
        <f t="shared" si="526"/>
        <v>0</v>
      </c>
      <c r="BH118" s="451">
        <f t="shared" si="527"/>
        <v>0</v>
      </c>
      <c r="BI118" s="451">
        <f t="shared" si="528"/>
        <v>0</v>
      </c>
      <c r="BJ118" s="451">
        <f t="shared" si="529"/>
        <v>0</v>
      </c>
      <c r="BK118" s="452">
        <f t="shared" si="530"/>
        <v>0</v>
      </c>
      <c r="BL118" s="377"/>
      <c r="BM118" s="451">
        <f t="shared" ref="BM118:BY118" si="534">BM31</f>
        <v>0</v>
      </c>
      <c r="BN118" s="451">
        <f t="shared" si="534"/>
        <v>0</v>
      </c>
      <c r="BO118" s="451">
        <f t="shared" si="534"/>
        <v>0</v>
      </c>
      <c r="BP118" s="451">
        <f t="shared" si="534"/>
        <v>0</v>
      </c>
      <c r="BQ118" s="451">
        <f t="shared" si="534"/>
        <v>0</v>
      </c>
      <c r="BR118" s="451">
        <f t="shared" si="534"/>
        <v>0</v>
      </c>
      <c r="BS118" s="451">
        <f t="shared" si="534"/>
        <v>0</v>
      </c>
      <c r="BT118" s="451">
        <f t="shared" si="534"/>
        <v>0</v>
      </c>
      <c r="BU118" s="451">
        <f t="shared" si="534"/>
        <v>0</v>
      </c>
      <c r="BV118" s="451">
        <f t="shared" si="534"/>
        <v>0</v>
      </c>
      <c r="BW118" s="451">
        <f t="shared" si="534"/>
        <v>0</v>
      </c>
      <c r="BX118" s="451">
        <f t="shared" si="534"/>
        <v>0</v>
      </c>
      <c r="BY118" s="451">
        <f t="shared" si="534"/>
        <v>0</v>
      </c>
      <c r="BZ118" s="451">
        <f t="shared" ref="BZ118:CA118" si="535">BZ31</f>
        <v>0</v>
      </c>
      <c r="CA118" s="451">
        <f t="shared" si="535"/>
        <v>0</v>
      </c>
      <c r="CB118" s="1188">
        <f t="shared" si="532"/>
        <v>0</v>
      </c>
      <c r="CC118" s="37"/>
      <c r="CD118" s="26"/>
      <c r="CE118" s="26"/>
    </row>
    <row r="119" spans="1:83" ht="14.25" customHeight="1" outlineLevel="1">
      <c r="A119" s="18"/>
      <c r="B119" s="278" t="s">
        <v>264</v>
      </c>
      <c r="C119" s="103"/>
      <c r="D119" s="460">
        <v>0</v>
      </c>
      <c r="E119" s="453">
        <v>-81</v>
      </c>
      <c r="F119" s="453">
        <v>-103</v>
      </c>
      <c r="G119" s="454">
        <v>-191</v>
      </c>
      <c r="H119" s="460">
        <v>0</v>
      </c>
      <c r="I119" s="453">
        <v>0</v>
      </c>
      <c r="J119" s="453">
        <v>0</v>
      </c>
      <c r="K119" s="454">
        <v>0</v>
      </c>
      <c r="L119" s="460">
        <v>0</v>
      </c>
      <c r="M119" s="453">
        <v>0</v>
      </c>
      <c r="N119" s="453">
        <v>-74</v>
      </c>
      <c r="O119" s="454">
        <v>-76</v>
      </c>
      <c r="P119" s="460">
        <v>-2199</v>
      </c>
      <c r="Q119" s="453">
        <v>-3849</v>
      </c>
      <c r="R119" s="453">
        <v>-9</v>
      </c>
      <c r="S119" s="454">
        <v>-16</v>
      </c>
      <c r="T119" s="460">
        <v>0</v>
      </c>
      <c r="U119" s="453">
        <v>0</v>
      </c>
      <c r="V119" s="453">
        <v>-853</v>
      </c>
      <c r="W119" s="454">
        <v>-853</v>
      </c>
      <c r="X119" s="460">
        <v>-37</v>
      </c>
      <c r="Y119" s="453">
        <v>-70</v>
      </c>
      <c r="Z119" s="453">
        <v>-70</v>
      </c>
      <c r="AA119" s="454">
        <v>-218</v>
      </c>
      <c r="AB119" s="453">
        <v>-8216</v>
      </c>
      <c r="AC119" s="453">
        <v>-8291</v>
      </c>
      <c r="AD119" s="453">
        <v>-8477</v>
      </c>
      <c r="AE119" s="454">
        <v>-8721</v>
      </c>
      <c r="AF119" s="453">
        <v>-176</v>
      </c>
      <c r="AG119" s="453">
        <v>-458</v>
      </c>
      <c r="AH119" s="453">
        <v>-568</v>
      </c>
      <c r="AI119" s="454">
        <v>-638</v>
      </c>
      <c r="AJ119" s="453">
        <v>-98</v>
      </c>
      <c r="AK119" s="453">
        <v>-384</v>
      </c>
      <c r="AL119" s="453">
        <v>-882</v>
      </c>
      <c r="AM119" s="454">
        <v>-925</v>
      </c>
      <c r="AN119" s="453">
        <v>-108</v>
      </c>
      <c r="AO119" s="453">
        <v>-137</v>
      </c>
      <c r="AP119" s="613">
        <v>-193</v>
      </c>
      <c r="AQ119" s="454">
        <v>-934</v>
      </c>
      <c r="AR119" s="453">
        <v>-57</v>
      </c>
      <c r="AS119" s="453">
        <v>-524</v>
      </c>
      <c r="AT119" s="613">
        <v>-538</v>
      </c>
      <c r="AU119" s="454">
        <v>-913</v>
      </c>
      <c r="AV119" s="453">
        <v>-14569</v>
      </c>
      <c r="AW119" s="453">
        <v>-14619</v>
      </c>
      <c r="AX119" s="613">
        <v>-15151</v>
      </c>
      <c r="AY119" s="454">
        <v>-15470</v>
      </c>
      <c r="AZ119" s="453">
        <v>0</v>
      </c>
      <c r="BA119" s="453">
        <v>-3</v>
      </c>
      <c r="BB119" s="613">
        <v>-14499</v>
      </c>
      <c r="BC119" s="454">
        <v>-14499</v>
      </c>
      <c r="BD119" s="451">
        <f t="shared" si="533"/>
        <v>0</v>
      </c>
      <c r="BE119" s="451">
        <f t="shared" si="524"/>
        <v>0</v>
      </c>
      <c r="BF119" s="451">
        <f t="shared" si="525"/>
        <v>0</v>
      </c>
      <c r="BG119" s="452">
        <f t="shared" si="526"/>
        <v>0</v>
      </c>
      <c r="BH119" s="451">
        <f t="shared" si="527"/>
        <v>0</v>
      </c>
      <c r="BI119" s="451">
        <f t="shared" si="528"/>
        <v>0</v>
      </c>
      <c r="BJ119" s="451">
        <f t="shared" si="529"/>
        <v>0</v>
      </c>
      <c r="BK119" s="452">
        <f t="shared" si="530"/>
        <v>0</v>
      </c>
      <c r="BL119" s="377"/>
      <c r="BM119" s="451">
        <f t="shared" ref="BM119:BY119" si="536">BM32</f>
        <v>-191</v>
      </c>
      <c r="BN119" s="451">
        <f t="shared" si="536"/>
        <v>0</v>
      </c>
      <c r="BO119" s="451">
        <f t="shared" si="536"/>
        <v>-76</v>
      </c>
      <c r="BP119" s="451">
        <f t="shared" si="536"/>
        <v>-16</v>
      </c>
      <c r="BQ119" s="451">
        <f t="shared" si="536"/>
        <v>-853</v>
      </c>
      <c r="BR119" s="451">
        <f t="shared" si="536"/>
        <v>-218</v>
      </c>
      <c r="BS119" s="451">
        <f t="shared" si="536"/>
        <v>-8721</v>
      </c>
      <c r="BT119" s="451">
        <f t="shared" si="536"/>
        <v>-638</v>
      </c>
      <c r="BU119" s="451">
        <f t="shared" si="536"/>
        <v>-925</v>
      </c>
      <c r="BV119" s="451">
        <f t="shared" si="536"/>
        <v>-934</v>
      </c>
      <c r="BW119" s="451">
        <f t="shared" si="536"/>
        <v>-913</v>
      </c>
      <c r="BX119" s="451">
        <f t="shared" si="536"/>
        <v>-15470</v>
      </c>
      <c r="BY119" s="451">
        <f t="shared" si="536"/>
        <v>-14499</v>
      </c>
      <c r="BZ119" s="451">
        <f t="shared" ref="BZ119:CA119" si="537">BZ32</f>
        <v>0</v>
      </c>
      <c r="CA119" s="451">
        <f t="shared" si="537"/>
        <v>0</v>
      </c>
      <c r="CB119" s="1188">
        <f t="shared" si="532"/>
        <v>0</v>
      </c>
      <c r="CC119" s="37"/>
      <c r="CD119" s="26"/>
      <c r="CE119" s="26"/>
    </row>
    <row r="120" spans="1:83" ht="14.25" customHeight="1" outlineLevel="1">
      <c r="A120" s="18"/>
      <c r="B120" s="278" t="s">
        <v>265</v>
      </c>
      <c r="C120" s="103"/>
      <c r="D120" s="460">
        <v>-2168</v>
      </c>
      <c r="E120" s="453">
        <v>-3667</v>
      </c>
      <c r="F120" s="453">
        <v>-5426</v>
      </c>
      <c r="G120" s="454">
        <v>-8475</v>
      </c>
      <c r="H120" s="460">
        <v>-2093</v>
      </c>
      <c r="I120" s="453">
        <v>-2750</v>
      </c>
      <c r="J120" s="453">
        <v>-3443</v>
      </c>
      <c r="K120" s="454">
        <v>-5272</v>
      </c>
      <c r="L120" s="460">
        <v>-2924</v>
      </c>
      <c r="M120" s="453">
        <v>-5422</v>
      </c>
      <c r="N120" s="453">
        <v>-8513</v>
      </c>
      <c r="O120" s="454">
        <v>-11728</v>
      </c>
      <c r="P120" s="460">
        <v>2624</v>
      </c>
      <c r="Q120" s="453">
        <v>4719</v>
      </c>
      <c r="R120" s="453">
        <v>-5152</v>
      </c>
      <c r="S120" s="454">
        <v>-6479</v>
      </c>
      <c r="T120" s="460">
        <v>-601</v>
      </c>
      <c r="U120" s="453">
        <v>-2953</v>
      </c>
      <c r="V120" s="453">
        <v>-5375</v>
      </c>
      <c r="W120" s="454">
        <v>-8655</v>
      </c>
      <c r="X120" s="460">
        <v>-3235</v>
      </c>
      <c r="Y120" s="453">
        <v>-6863</v>
      </c>
      <c r="Z120" s="453">
        <v>-11835</v>
      </c>
      <c r="AA120" s="454">
        <v>-17675</v>
      </c>
      <c r="AB120" s="453">
        <v>-3569</v>
      </c>
      <c r="AC120" s="453">
        <v>-5213</v>
      </c>
      <c r="AD120" s="453">
        <v>-7426</v>
      </c>
      <c r="AE120" s="454">
        <v>-11230</v>
      </c>
      <c r="AF120" s="453">
        <v>-1529</v>
      </c>
      <c r="AG120" s="453">
        <v>-2072</v>
      </c>
      <c r="AH120" s="453">
        <v>-6643</v>
      </c>
      <c r="AI120" s="454">
        <v>-8694</v>
      </c>
      <c r="AJ120" s="453">
        <v>-3475</v>
      </c>
      <c r="AK120" s="453">
        <v>-7322</v>
      </c>
      <c r="AL120" s="453">
        <v>-10107</v>
      </c>
      <c r="AM120" s="454">
        <v>-12493</v>
      </c>
      <c r="AN120" s="453">
        <v>-2509</v>
      </c>
      <c r="AO120" s="453">
        <v>-5113</v>
      </c>
      <c r="AP120" s="613">
        <v>-6077</v>
      </c>
      <c r="AQ120" s="454">
        <v>-7007</v>
      </c>
      <c r="AR120" s="453">
        <v>-139</v>
      </c>
      <c r="AS120" s="453">
        <v>-1255</v>
      </c>
      <c r="AT120" s="613">
        <v>-7522</v>
      </c>
      <c r="AU120" s="454">
        <v>-8259</v>
      </c>
      <c r="AV120" s="453">
        <v>-2847</v>
      </c>
      <c r="AW120" s="453">
        <v>-5693</v>
      </c>
      <c r="AX120" s="613">
        <v>-7962</v>
      </c>
      <c r="AY120" s="454">
        <v>-9269</v>
      </c>
      <c r="AZ120" s="453">
        <v>-1746</v>
      </c>
      <c r="BA120" s="453">
        <v>-1894</v>
      </c>
      <c r="BB120" s="613">
        <v>-1977</v>
      </c>
      <c r="BC120" s="454">
        <v>-2764</v>
      </c>
      <c r="BD120" s="451">
        <f t="shared" si="533"/>
        <v>0</v>
      </c>
      <c r="BE120" s="451">
        <f t="shared" si="524"/>
        <v>0</v>
      </c>
      <c r="BF120" s="451">
        <f t="shared" si="525"/>
        <v>0</v>
      </c>
      <c r="BG120" s="452">
        <f t="shared" si="526"/>
        <v>0</v>
      </c>
      <c r="BH120" s="451">
        <f t="shared" si="527"/>
        <v>0</v>
      </c>
      <c r="BI120" s="451">
        <f t="shared" si="528"/>
        <v>0</v>
      </c>
      <c r="BJ120" s="451">
        <f t="shared" si="529"/>
        <v>0</v>
      </c>
      <c r="BK120" s="452">
        <f t="shared" si="530"/>
        <v>0</v>
      </c>
      <c r="BL120" s="377"/>
      <c r="BM120" s="451">
        <f t="shared" ref="BM120:BY120" si="538">BM33</f>
        <v>-8475</v>
      </c>
      <c r="BN120" s="451">
        <f t="shared" si="538"/>
        <v>-5272</v>
      </c>
      <c r="BO120" s="451">
        <f t="shared" si="538"/>
        <v>-11728</v>
      </c>
      <c r="BP120" s="451">
        <f t="shared" si="538"/>
        <v>-6479</v>
      </c>
      <c r="BQ120" s="451">
        <f t="shared" si="538"/>
        <v>-8655</v>
      </c>
      <c r="BR120" s="451">
        <f t="shared" si="538"/>
        <v>-17675</v>
      </c>
      <c r="BS120" s="451">
        <f t="shared" si="538"/>
        <v>-11230</v>
      </c>
      <c r="BT120" s="451">
        <f t="shared" si="538"/>
        <v>-8694</v>
      </c>
      <c r="BU120" s="451">
        <f t="shared" si="538"/>
        <v>-12493</v>
      </c>
      <c r="BV120" s="451">
        <f t="shared" si="538"/>
        <v>-7007</v>
      </c>
      <c r="BW120" s="451">
        <f t="shared" si="538"/>
        <v>-8259</v>
      </c>
      <c r="BX120" s="451">
        <f t="shared" si="538"/>
        <v>-9269</v>
      </c>
      <c r="BY120" s="451">
        <f t="shared" si="538"/>
        <v>-2764</v>
      </c>
      <c r="BZ120" s="451">
        <f t="shared" ref="BZ120:CA120" si="539">BZ33</f>
        <v>0</v>
      </c>
      <c r="CA120" s="451">
        <f t="shared" si="539"/>
        <v>0</v>
      </c>
      <c r="CB120" s="1188">
        <f t="shared" si="532"/>
        <v>0</v>
      </c>
      <c r="CC120" s="37"/>
      <c r="CD120" s="26"/>
      <c r="CE120" s="26"/>
    </row>
    <row r="121" spans="1:83" ht="14.25" customHeight="1" outlineLevel="1">
      <c r="A121" s="18"/>
      <c r="B121" s="278" t="s">
        <v>266</v>
      </c>
      <c r="C121" s="103"/>
      <c r="D121" s="460">
        <v>3619</v>
      </c>
      <c r="E121" s="453">
        <v>5945</v>
      </c>
      <c r="F121" s="453">
        <v>7439</v>
      </c>
      <c r="G121" s="454">
        <v>8433</v>
      </c>
      <c r="H121" s="460">
        <v>2324</v>
      </c>
      <c r="I121" s="453">
        <v>4336</v>
      </c>
      <c r="J121" s="453">
        <v>6092</v>
      </c>
      <c r="K121" s="454">
        <v>7147</v>
      </c>
      <c r="L121" s="460">
        <v>1533</v>
      </c>
      <c r="M121" s="453">
        <v>3216</v>
      </c>
      <c r="N121" s="453">
        <v>5671</v>
      </c>
      <c r="O121" s="454">
        <v>8011</v>
      </c>
      <c r="P121" s="460">
        <v>-325</v>
      </c>
      <c r="Q121" s="453">
        <v>-1326</v>
      </c>
      <c r="R121" s="453">
        <v>6519</v>
      </c>
      <c r="S121" s="454">
        <v>7993</v>
      </c>
      <c r="T121" s="460">
        <v>2078</v>
      </c>
      <c r="U121" s="453">
        <v>3063</v>
      </c>
      <c r="V121" s="453">
        <v>5084</v>
      </c>
      <c r="W121" s="454">
        <v>7756</v>
      </c>
      <c r="X121" s="460">
        <f>218+2397</f>
        <v>2615</v>
      </c>
      <c r="Y121" s="453">
        <f>337+5625</f>
        <v>5962</v>
      </c>
      <c r="Z121" s="453">
        <f>430+8363</f>
        <v>8793</v>
      </c>
      <c r="AA121" s="454">
        <v>13133</v>
      </c>
      <c r="AB121" s="453">
        <f>7594+5172</f>
        <v>12766</v>
      </c>
      <c r="AC121" s="453">
        <f>8754+7087</f>
        <v>15841</v>
      </c>
      <c r="AD121" s="453">
        <f>9052+8645</f>
        <v>17697</v>
      </c>
      <c r="AE121" s="454">
        <f>9076+11029</f>
        <v>20105</v>
      </c>
      <c r="AF121" s="453">
        <f>1827+333</f>
        <v>2160</v>
      </c>
      <c r="AG121" s="453">
        <f>607+2888</f>
        <v>3495</v>
      </c>
      <c r="AH121" s="453">
        <f>2142+4631</f>
        <v>6773</v>
      </c>
      <c r="AI121" s="454">
        <f>2282+5369</f>
        <v>7651</v>
      </c>
      <c r="AJ121" s="453">
        <f>1711+304</f>
        <v>2015</v>
      </c>
      <c r="AK121" s="453">
        <f>598+2961</f>
        <v>3559</v>
      </c>
      <c r="AL121" s="453">
        <f>864+5586</f>
        <v>6450</v>
      </c>
      <c r="AM121" s="454">
        <f>934+8336</f>
        <v>9270</v>
      </c>
      <c r="AN121" s="453">
        <f>174+2913</f>
        <v>3087</v>
      </c>
      <c r="AO121" s="453">
        <f>409+5555</f>
        <v>5964</v>
      </c>
      <c r="AP121" s="613">
        <f>7396+786</f>
        <v>8182</v>
      </c>
      <c r="AQ121" s="454">
        <f>1227+8944</f>
        <v>10171</v>
      </c>
      <c r="AR121" s="453">
        <f>1079+43</f>
        <v>1122</v>
      </c>
      <c r="AS121" s="453">
        <f>109+1659</f>
        <v>1768</v>
      </c>
      <c r="AT121" s="613">
        <f>1040+2153</f>
        <v>3193</v>
      </c>
      <c r="AU121" s="454">
        <f>2090+6168</f>
        <v>8258</v>
      </c>
      <c r="AV121" s="453">
        <f>2810+1359</f>
        <v>4169</v>
      </c>
      <c r="AW121" s="453">
        <f>3685+2393</f>
        <v>6078</v>
      </c>
      <c r="AX121" s="613">
        <f>3793+4928</f>
        <v>8721</v>
      </c>
      <c r="AY121" s="454">
        <f>3852+5654</f>
        <v>9506</v>
      </c>
      <c r="AZ121" s="453">
        <f>431+1508</f>
        <v>1939</v>
      </c>
      <c r="BA121" s="453">
        <f>1698+2197</f>
        <v>3895</v>
      </c>
      <c r="BB121" s="613">
        <f>4610+3488</f>
        <v>8098</v>
      </c>
      <c r="BC121" s="454">
        <f>6978+3687</f>
        <v>10665</v>
      </c>
      <c r="BD121" s="451">
        <f t="shared" si="533"/>
        <v>0</v>
      </c>
      <c r="BE121" s="451">
        <f t="shared" si="524"/>
        <v>0</v>
      </c>
      <c r="BF121" s="451">
        <f t="shared" si="525"/>
        <v>0</v>
      </c>
      <c r="BG121" s="452">
        <f t="shared" si="526"/>
        <v>0</v>
      </c>
      <c r="BH121" s="451">
        <f t="shared" si="527"/>
        <v>0</v>
      </c>
      <c r="BI121" s="451">
        <f t="shared" si="528"/>
        <v>0</v>
      </c>
      <c r="BJ121" s="451">
        <f t="shared" si="529"/>
        <v>0</v>
      </c>
      <c r="BK121" s="452">
        <f t="shared" si="530"/>
        <v>0</v>
      </c>
      <c r="BL121" s="377"/>
      <c r="BM121" s="451">
        <f t="shared" ref="BM121:BY121" si="540">BM34</f>
        <v>8433</v>
      </c>
      <c r="BN121" s="451">
        <f t="shared" si="540"/>
        <v>7147</v>
      </c>
      <c r="BO121" s="451">
        <f t="shared" si="540"/>
        <v>8011</v>
      </c>
      <c r="BP121" s="451">
        <f t="shared" si="540"/>
        <v>7993</v>
      </c>
      <c r="BQ121" s="451">
        <f t="shared" si="540"/>
        <v>7756</v>
      </c>
      <c r="BR121" s="451">
        <f t="shared" si="540"/>
        <v>13133</v>
      </c>
      <c r="BS121" s="451">
        <f t="shared" si="540"/>
        <v>20105</v>
      </c>
      <c r="BT121" s="451">
        <f t="shared" si="540"/>
        <v>7651</v>
      </c>
      <c r="BU121" s="451">
        <f t="shared" si="540"/>
        <v>9270</v>
      </c>
      <c r="BV121" s="451">
        <f t="shared" si="540"/>
        <v>10171</v>
      </c>
      <c r="BW121" s="451">
        <f t="shared" si="540"/>
        <v>8258</v>
      </c>
      <c r="BX121" s="451">
        <f t="shared" si="540"/>
        <v>9506</v>
      </c>
      <c r="BY121" s="451">
        <f t="shared" si="540"/>
        <v>10665</v>
      </c>
      <c r="BZ121" s="451">
        <f t="shared" ref="BZ121:CA121" si="541">BZ34</f>
        <v>0</v>
      </c>
      <c r="CA121" s="451">
        <f t="shared" si="541"/>
        <v>0</v>
      </c>
      <c r="CB121" s="1188">
        <f t="shared" si="532"/>
        <v>0</v>
      </c>
      <c r="CC121" s="37"/>
      <c r="CD121" s="26"/>
      <c r="CE121" s="26"/>
    </row>
    <row r="122" spans="1:83" ht="14.25" customHeight="1" outlineLevel="1">
      <c r="A122" s="18"/>
      <c r="B122" s="278" t="s">
        <v>267</v>
      </c>
      <c r="C122" s="103"/>
      <c r="D122" s="460">
        <v>0</v>
      </c>
      <c r="E122" s="453">
        <v>0</v>
      </c>
      <c r="F122" s="453">
        <v>0</v>
      </c>
      <c r="G122" s="454">
        <v>0</v>
      </c>
      <c r="H122" s="460">
        <v>0</v>
      </c>
      <c r="I122" s="453">
        <v>0</v>
      </c>
      <c r="J122" s="453">
        <v>0</v>
      </c>
      <c r="K122" s="454">
        <v>0</v>
      </c>
      <c r="L122" s="460">
        <v>0</v>
      </c>
      <c r="M122" s="453">
        <v>0</v>
      </c>
      <c r="N122" s="453">
        <v>0</v>
      </c>
      <c r="O122" s="454">
        <v>0</v>
      </c>
      <c r="P122" s="460">
        <v>67</v>
      </c>
      <c r="Q122" s="453">
        <v>288</v>
      </c>
      <c r="R122" s="453">
        <v>-2173</v>
      </c>
      <c r="S122" s="454">
        <v>-2676</v>
      </c>
      <c r="T122" s="460">
        <v>-304</v>
      </c>
      <c r="U122" s="453">
        <v>-881</v>
      </c>
      <c r="V122" s="453">
        <v>-2505</v>
      </c>
      <c r="W122" s="454">
        <v>-4186</v>
      </c>
      <c r="X122" s="460">
        <v>-2397</v>
      </c>
      <c r="Y122" s="453">
        <f>-4791+3571</f>
        <v>-1220</v>
      </c>
      <c r="Z122" s="453">
        <v>-6761</v>
      </c>
      <c r="AA122" s="454">
        <v>-8944</v>
      </c>
      <c r="AB122" s="453">
        <v>-1540</v>
      </c>
      <c r="AC122" s="453">
        <v>-3820</v>
      </c>
      <c r="AD122" s="453">
        <v>-6795</v>
      </c>
      <c r="AE122" s="454">
        <v>-11314</v>
      </c>
      <c r="AF122" s="453">
        <v>-4303</v>
      </c>
      <c r="AG122" s="453">
        <v>-8166</v>
      </c>
      <c r="AH122" s="453">
        <v>-12548</v>
      </c>
      <c r="AI122" s="454">
        <v>-16892</v>
      </c>
      <c r="AJ122" s="453">
        <v>-5191</v>
      </c>
      <c r="AK122" s="453">
        <v>-9616</v>
      </c>
      <c r="AL122" s="453">
        <v>-13034</v>
      </c>
      <c r="AM122" s="454">
        <v>-16718</v>
      </c>
      <c r="AN122" s="453">
        <v>-3225</v>
      </c>
      <c r="AO122" s="453">
        <v>-6825</v>
      </c>
      <c r="AP122" s="613">
        <v>-10347</v>
      </c>
      <c r="AQ122" s="454">
        <v>-14397</v>
      </c>
      <c r="AR122" s="453">
        <v>-2475</v>
      </c>
      <c r="AS122" s="453">
        <v>-5291</v>
      </c>
      <c r="AT122" s="613">
        <v>-7943</v>
      </c>
      <c r="AU122" s="454">
        <v>-11485</v>
      </c>
      <c r="AV122" s="453">
        <v>-4533</v>
      </c>
      <c r="AW122" s="453">
        <v>-7205</v>
      </c>
      <c r="AX122" s="613">
        <v>-9953</v>
      </c>
      <c r="AY122" s="454">
        <v>-12237</v>
      </c>
      <c r="AZ122" s="453">
        <v>-3075</v>
      </c>
      <c r="BA122" s="453">
        <v>-7961</v>
      </c>
      <c r="BB122" s="613">
        <v>-9792</v>
      </c>
      <c r="BC122" s="454">
        <v>-13700</v>
      </c>
      <c r="BD122" s="451">
        <f t="shared" si="533"/>
        <v>-5289</v>
      </c>
      <c r="BE122" s="451">
        <f t="shared" si="524"/>
        <v>-5289</v>
      </c>
      <c r="BF122" s="451">
        <f t="shared" si="525"/>
        <v>-5289</v>
      </c>
      <c r="BG122" s="452">
        <f t="shared" si="526"/>
        <v>-5289</v>
      </c>
      <c r="BH122" s="451">
        <f t="shared" si="527"/>
        <v>0</v>
      </c>
      <c r="BI122" s="451">
        <f t="shared" si="528"/>
        <v>0</v>
      </c>
      <c r="BJ122" s="451">
        <f t="shared" si="529"/>
        <v>0</v>
      </c>
      <c r="BK122" s="452">
        <f t="shared" si="530"/>
        <v>0</v>
      </c>
      <c r="BL122" s="377"/>
      <c r="BM122" s="451">
        <f t="shared" ref="BM122:BY122" si="542">BM35</f>
        <v>0</v>
      </c>
      <c r="BN122" s="451">
        <f t="shared" si="542"/>
        <v>0</v>
      </c>
      <c r="BO122" s="451">
        <f t="shared" si="542"/>
        <v>0</v>
      </c>
      <c r="BP122" s="451">
        <f t="shared" si="542"/>
        <v>-2676</v>
      </c>
      <c r="BQ122" s="451">
        <f t="shared" si="542"/>
        <v>-4186</v>
      </c>
      <c r="BR122" s="451">
        <f t="shared" si="542"/>
        <v>-8944</v>
      </c>
      <c r="BS122" s="451">
        <f t="shared" si="542"/>
        <v>-11314</v>
      </c>
      <c r="BT122" s="451">
        <f t="shared" si="542"/>
        <v>-16892</v>
      </c>
      <c r="BU122" s="451">
        <f t="shared" si="542"/>
        <v>-16718</v>
      </c>
      <c r="BV122" s="451">
        <f t="shared" si="542"/>
        <v>-14397</v>
      </c>
      <c r="BW122" s="451">
        <f t="shared" si="542"/>
        <v>-11485</v>
      </c>
      <c r="BX122" s="451">
        <f t="shared" si="542"/>
        <v>-12237</v>
      </c>
      <c r="BY122" s="451">
        <f t="shared" si="542"/>
        <v>-13700</v>
      </c>
      <c r="BZ122" s="451">
        <f t="shared" ref="BZ122:CA122" si="543">BZ35</f>
        <v>-5289</v>
      </c>
      <c r="CA122" s="451">
        <f t="shared" si="543"/>
        <v>0</v>
      </c>
      <c r="CB122" s="1188">
        <f t="shared" si="532"/>
        <v>0</v>
      </c>
      <c r="CC122" s="37"/>
      <c r="CD122" s="26"/>
      <c r="CE122" s="26"/>
    </row>
    <row r="123" spans="1:83" ht="14.25" customHeight="1" outlineLevel="1">
      <c r="A123" s="18"/>
      <c r="B123" s="278" t="s">
        <v>268</v>
      </c>
      <c r="C123" s="103"/>
      <c r="D123" s="460">
        <v>0</v>
      </c>
      <c r="E123" s="453">
        <v>0</v>
      </c>
      <c r="F123" s="453">
        <v>0</v>
      </c>
      <c r="G123" s="454">
        <v>0</v>
      </c>
      <c r="H123" s="460">
        <v>0</v>
      </c>
      <c r="I123" s="453">
        <v>0</v>
      </c>
      <c r="J123" s="453">
        <v>0</v>
      </c>
      <c r="K123" s="454">
        <v>0</v>
      </c>
      <c r="L123" s="460">
        <v>0</v>
      </c>
      <c r="M123" s="453">
        <v>0</v>
      </c>
      <c r="N123" s="453">
        <v>0</v>
      </c>
      <c r="O123" s="454">
        <v>0</v>
      </c>
      <c r="P123" s="460">
        <v>-213</v>
      </c>
      <c r="Q123" s="453">
        <v>-444</v>
      </c>
      <c r="R123" s="453">
        <v>642</v>
      </c>
      <c r="S123" s="454">
        <v>1766</v>
      </c>
      <c r="T123" s="460">
        <v>651</v>
      </c>
      <c r="U123" s="453">
        <v>1545</v>
      </c>
      <c r="V123" s="453">
        <v>1879</v>
      </c>
      <c r="W123" s="454">
        <v>2543</v>
      </c>
      <c r="X123" s="460">
        <v>1554</v>
      </c>
      <c r="Y123" s="453">
        <v>-169</v>
      </c>
      <c r="Z123" s="453">
        <v>5949</v>
      </c>
      <c r="AA123" s="454">
        <v>8846</v>
      </c>
      <c r="AB123" s="453">
        <v>2578</v>
      </c>
      <c r="AC123" s="453">
        <v>5258</v>
      </c>
      <c r="AD123" s="453">
        <v>7688</v>
      </c>
      <c r="AE123" s="454">
        <v>11771</v>
      </c>
      <c r="AF123" s="453">
        <v>4567</v>
      </c>
      <c r="AG123" s="453">
        <v>8321</v>
      </c>
      <c r="AH123" s="453">
        <v>12678</v>
      </c>
      <c r="AI123" s="454">
        <v>15786</v>
      </c>
      <c r="AJ123" s="453">
        <v>3558</v>
      </c>
      <c r="AK123" s="453">
        <v>7758</v>
      </c>
      <c r="AL123" s="453">
        <v>10890</v>
      </c>
      <c r="AM123" s="454">
        <v>13677</v>
      </c>
      <c r="AN123" s="453">
        <v>2693</v>
      </c>
      <c r="AO123" s="453">
        <v>5544</v>
      </c>
      <c r="AP123" s="613">
        <v>9541</v>
      </c>
      <c r="AQ123" s="454">
        <v>13165</v>
      </c>
      <c r="AR123" s="453">
        <v>3398</v>
      </c>
      <c r="AS123" s="453">
        <v>7639</v>
      </c>
      <c r="AT123" s="613">
        <f>10465-2550</f>
        <v>7915</v>
      </c>
      <c r="AU123" s="454">
        <v>13372</v>
      </c>
      <c r="AV123" s="453">
        <v>3138</v>
      </c>
      <c r="AW123" s="453">
        <v>5313</v>
      </c>
      <c r="AX123" s="613">
        <v>7867</v>
      </c>
      <c r="AY123" s="454">
        <v>10907</v>
      </c>
      <c r="AZ123" s="453">
        <v>2433</v>
      </c>
      <c r="BA123" s="453">
        <v>5977</v>
      </c>
      <c r="BB123" s="613">
        <v>11806</v>
      </c>
      <c r="BC123" s="454">
        <v>13975</v>
      </c>
      <c r="BD123" s="451">
        <f t="shared" si="533"/>
        <v>0</v>
      </c>
      <c r="BE123" s="451">
        <f t="shared" si="524"/>
        <v>0</v>
      </c>
      <c r="BF123" s="451">
        <f t="shared" si="525"/>
        <v>0</v>
      </c>
      <c r="BG123" s="452">
        <f t="shared" si="526"/>
        <v>0</v>
      </c>
      <c r="BH123" s="451">
        <f t="shared" si="527"/>
        <v>0</v>
      </c>
      <c r="BI123" s="451">
        <f t="shared" si="528"/>
        <v>0</v>
      </c>
      <c r="BJ123" s="451">
        <f t="shared" si="529"/>
        <v>0</v>
      </c>
      <c r="BK123" s="452">
        <f t="shared" si="530"/>
        <v>0</v>
      </c>
      <c r="BL123" s="377"/>
      <c r="BM123" s="451">
        <f t="shared" ref="BM123:BY123" si="544">BM36</f>
        <v>0</v>
      </c>
      <c r="BN123" s="451">
        <f t="shared" si="544"/>
        <v>0</v>
      </c>
      <c r="BO123" s="451">
        <f t="shared" si="544"/>
        <v>0</v>
      </c>
      <c r="BP123" s="451">
        <f t="shared" si="544"/>
        <v>1766</v>
      </c>
      <c r="BQ123" s="451">
        <f t="shared" si="544"/>
        <v>2543</v>
      </c>
      <c r="BR123" s="451">
        <f t="shared" si="544"/>
        <v>8846</v>
      </c>
      <c r="BS123" s="451">
        <f t="shared" si="544"/>
        <v>11771</v>
      </c>
      <c r="BT123" s="451">
        <f t="shared" si="544"/>
        <v>15786</v>
      </c>
      <c r="BU123" s="451">
        <f t="shared" si="544"/>
        <v>13677</v>
      </c>
      <c r="BV123" s="451">
        <f t="shared" si="544"/>
        <v>13165</v>
      </c>
      <c r="BW123" s="451">
        <f t="shared" si="544"/>
        <v>13372</v>
      </c>
      <c r="BX123" s="451">
        <f t="shared" si="544"/>
        <v>10907</v>
      </c>
      <c r="BY123" s="451">
        <f t="shared" si="544"/>
        <v>13975</v>
      </c>
      <c r="BZ123" s="451">
        <f t="shared" ref="BZ123:CA123" si="545">BZ36</f>
        <v>0</v>
      </c>
      <c r="CA123" s="451">
        <f t="shared" si="545"/>
        <v>0</v>
      </c>
      <c r="CB123" s="1188">
        <f t="shared" si="532"/>
        <v>0</v>
      </c>
      <c r="CC123" s="37"/>
      <c r="CD123" s="26"/>
      <c r="CE123" s="26"/>
    </row>
    <row r="124" spans="1:83" ht="14.25" customHeight="1" outlineLevel="1">
      <c r="A124" s="18"/>
      <c r="B124" s="278" t="s">
        <v>269</v>
      </c>
      <c r="C124" s="103"/>
      <c r="D124" s="460">
        <v>0</v>
      </c>
      <c r="E124" s="453">
        <v>0</v>
      </c>
      <c r="F124" s="453">
        <v>-115</v>
      </c>
      <c r="G124" s="454">
        <v>-193</v>
      </c>
      <c r="H124" s="460">
        <v>-577</v>
      </c>
      <c r="I124" s="453">
        <v>-683</v>
      </c>
      <c r="J124" s="453">
        <v>-1377</v>
      </c>
      <c r="K124" s="454">
        <v>-1722</v>
      </c>
      <c r="L124" s="460">
        <v>-489</v>
      </c>
      <c r="M124" s="453">
        <v>-800</v>
      </c>
      <c r="N124" s="453">
        <v>-1279</v>
      </c>
      <c r="O124" s="454">
        <v>-1459</v>
      </c>
      <c r="P124" s="460">
        <v>0</v>
      </c>
      <c r="Q124" s="453">
        <v>0</v>
      </c>
      <c r="R124" s="453">
        <v>-564</v>
      </c>
      <c r="S124" s="454">
        <v>-1691</v>
      </c>
      <c r="T124" s="460">
        <v>-41</v>
      </c>
      <c r="U124" s="453">
        <v>-124</v>
      </c>
      <c r="V124" s="453">
        <v>-165</v>
      </c>
      <c r="W124" s="454">
        <v>-250</v>
      </c>
      <c r="X124" s="460">
        <v>-69</v>
      </c>
      <c r="Y124" s="453">
        <v>99</v>
      </c>
      <c r="Z124" s="453">
        <v>-242</v>
      </c>
      <c r="AA124" s="454">
        <v>-393</v>
      </c>
      <c r="AB124" s="453">
        <v>-147</v>
      </c>
      <c r="AC124" s="453">
        <v>-295</v>
      </c>
      <c r="AD124" s="453">
        <v>-569</v>
      </c>
      <c r="AE124" s="454">
        <v>-693</v>
      </c>
      <c r="AF124" s="453">
        <v>-116</v>
      </c>
      <c r="AG124" s="453">
        <v>-195</v>
      </c>
      <c r="AH124" s="453">
        <v>-358</v>
      </c>
      <c r="AI124" s="454">
        <v>-475</v>
      </c>
      <c r="AJ124" s="453">
        <v>-35</v>
      </c>
      <c r="AK124" s="453">
        <v>-125</v>
      </c>
      <c r="AL124" s="453">
        <v>-258</v>
      </c>
      <c r="AM124" s="454">
        <v>-440</v>
      </c>
      <c r="AN124" s="453">
        <v>-144</v>
      </c>
      <c r="AO124" s="453">
        <v>-1115</v>
      </c>
      <c r="AP124" s="613">
        <v>-1330</v>
      </c>
      <c r="AQ124" s="454">
        <v>-1377</v>
      </c>
      <c r="AR124" s="453">
        <v>-278</v>
      </c>
      <c r="AS124" s="453">
        <v>-558</v>
      </c>
      <c r="AT124" s="613">
        <v>-1864</v>
      </c>
      <c r="AU124" s="454">
        <v>-2011</v>
      </c>
      <c r="AV124" s="453">
        <v>-182</v>
      </c>
      <c r="AW124" s="453">
        <v>-663</v>
      </c>
      <c r="AX124" s="613">
        <v>-893</v>
      </c>
      <c r="AY124" s="454">
        <v>-963</v>
      </c>
      <c r="AZ124" s="453">
        <v>-422</v>
      </c>
      <c r="BA124" s="453">
        <v>-625</v>
      </c>
      <c r="BB124" s="613">
        <v>-726</v>
      </c>
      <c r="BC124" s="454">
        <v>-1601</v>
      </c>
      <c r="BD124" s="451">
        <f t="shared" si="533"/>
        <v>0</v>
      </c>
      <c r="BE124" s="451">
        <f t="shared" si="524"/>
        <v>0</v>
      </c>
      <c r="BF124" s="451">
        <f t="shared" si="525"/>
        <v>0</v>
      </c>
      <c r="BG124" s="452">
        <f t="shared" si="526"/>
        <v>0</v>
      </c>
      <c r="BH124" s="451">
        <f t="shared" si="527"/>
        <v>0</v>
      </c>
      <c r="BI124" s="451">
        <f t="shared" si="528"/>
        <v>0</v>
      </c>
      <c r="BJ124" s="451">
        <f t="shared" si="529"/>
        <v>0</v>
      </c>
      <c r="BK124" s="452">
        <f t="shared" si="530"/>
        <v>0</v>
      </c>
      <c r="BL124" s="377"/>
      <c r="BM124" s="451">
        <f t="shared" ref="BM124:BY124" si="546">BM37</f>
        <v>-193</v>
      </c>
      <c r="BN124" s="451">
        <f t="shared" si="546"/>
        <v>-1722</v>
      </c>
      <c r="BO124" s="451">
        <f t="shared" si="546"/>
        <v>-1459</v>
      </c>
      <c r="BP124" s="451">
        <f t="shared" si="546"/>
        <v>-1691</v>
      </c>
      <c r="BQ124" s="451">
        <f t="shared" si="546"/>
        <v>-250</v>
      </c>
      <c r="BR124" s="451">
        <f t="shared" si="546"/>
        <v>-393</v>
      </c>
      <c r="BS124" s="451">
        <f t="shared" si="546"/>
        <v>-693</v>
      </c>
      <c r="BT124" s="451">
        <f t="shared" si="546"/>
        <v>-475</v>
      </c>
      <c r="BU124" s="451">
        <f t="shared" si="546"/>
        <v>-440</v>
      </c>
      <c r="BV124" s="451">
        <f t="shared" si="546"/>
        <v>-1377</v>
      </c>
      <c r="BW124" s="451">
        <f t="shared" si="546"/>
        <v>-2011</v>
      </c>
      <c r="BX124" s="451">
        <f t="shared" si="546"/>
        <v>-963</v>
      </c>
      <c r="BY124" s="451">
        <f t="shared" si="546"/>
        <v>-1601</v>
      </c>
      <c r="BZ124" s="451">
        <f t="shared" ref="BZ124:CA124" si="547">BZ37</f>
        <v>0</v>
      </c>
      <c r="CA124" s="451">
        <f t="shared" si="547"/>
        <v>0</v>
      </c>
      <c r="CB124" s="1188">
        <f t="shared" si="532"/>
        <v>0</v>
      </c>
      <c r="CC124" s="37"/>
      <c r="CD124" s="26"/>
      <c r="CE124" s="26"/>
    </row>
    <row r="125" spans="1:83" ht="14.25" customHeight="1" outlineLevel="1">
      <c r="A125" s="18"/>
      <c r="B125" s="278" t="s">
        <v>270</v>
      </c>
      <c r="C125" s="103"/>
      <c r="D125" s="460">
        <v>0</v>
      </c>
      <c r="E125" s="453">
        <v>0</v>
      </c>
      <c r="F125" s="453">
        <v>0</v>
      </c>
      <c r="G125" s="454">
        <v>0</v>
      </c>
      <c r="H125" s="460">
        <v>0</v>
      </c>
      <c r="I125" s="453">
        <v>0</v>
      </c>
      <c r="J125" s="453">
        <v>0</v>
      </c>
      <c r="K125" s="454">
        <v>0</v>
      </c>
      <c r="L125" s="460">
        <v>0</v>
      </c>
      <c r="M125" s="453">
        <v>0</v>
      </c>
      <c r="N125" s="453">
        <v>0</v>
      </c>
      <c r="O125" s="454">
        <v>0</v>
      </c>
      <c r="P125" s="460">
        <v>0</v>
      </c>
      <c r="Q125" s="453">
        <v>91</v>
      </c>
      <c r="R125" s="453">
        <v>193</v>
      </c>
      <c r="S125" s="454">
        <v>316</v>
      </c>
      <c r="T125" s="460">
        <v>118</v>
      </c>
      <c r="U125" s="453">
        <v>239</v>
      </c>
      <c r="V125" s="453">
        <v>348</v>
      </c>
      <c r="W125" s="454">
        <v>449</v>
      </c>
      <c r="X125" s="460">
        <v>70</v>
      </c>
      <c r="Y125" s="453">
        <v>0</v>
      </c>
      <c r="Z125" s="453">
        <v>151</v>
      </c>
      <c r="AA125" s="454">
        <v>199</v>
      </c>
      <c r="AB125" s="453">
        <v>24</v>
      </c>
      <c r="AC125" s="453">
        <v>113</v>
      </c>
      <c r="AD125" s="453">
        <v>172</v>
      </c>
      <c r="AE125" s="454">
        <v>263</v>
      </c>
      <c r="AF125" s="453">
        <v>67</v>
      </c>
      <c r="AG125" s="453">
        <v>137</v>
      </c>
      <c r="AH125" s="453">
        <v>137</v>
      </c>
      <c r="AI125" s="454">
        <v>137</v>
      </c>
      <c r="AJ125" s="453">
        <v>13</v>
      </c>
      <c r="AK125" s="453">
        <v>31</v>
      </c>
      <c r="AL125" s="453">
        <v>35</v>
      </c>
      <c r="AM125" s="454">
        <v>45</v>
      </c>
      <c r="AN125" s="453">
        <v>0</v>
      </c>
      <c r="AO125" s="453">
        <v>0</v>
      </c>
      <c r="AP125" s="613">
        <v>0</v>
      </c>
      <c r="AQ125" s="454">
        <v>0</v>
      </c>
      <c r="AR125" s="453">
        <v>0</v>
      </c>
      <c r="AS125" s="453">
        <v>0</v>
      </c>
      <c r="AT125" s="613">
        <v>0</v>
      </c>
      <c r="AU125" s="454">
        <v>0</v>
      </c>
      <c r="AV125" s="453">
        <v>0</v>
      </c>
      <c r="AW125" s="453">
        <v>0</v>
      </c>
      <c r="AX125" s="613">
        <v>0</v>
      </c>
      <c r="AY125" s="454">
        <v>0</v>
      </c>
      <c r="AZ125" s="453">
        <v>0</v>
      </c>
      <c r="BA125" s="453">
        <v>0</v>
      </c>
      <c r="BB125" s="613">
        <v>0</v>
      </c>
      <c r="BC125" s="454">
        <v>0</v>
      </c>
      <c r="BD125" s="451">
        <f t="shared" si="533"/>
        <v>0</v>
      </c>
      <c r="BE125" s="451">
        <f t="shared" si="524"/>
        <v>0</v>
      </c>
      <c r="BF125" s="451">
        <f t="shared" si="525"/>
        <v>0</v>
      </c>
      <c r="BG125" s="452">
        <f t="shared" si="526"/>
        <v>0</v>
      </c>
      <c r="BH125" s="451">
        <f t="shared" si="527"/>
        <v>0</v>
      </c>
      <c r="BI125" s="451">
        <f t="shared" si="528"/>
        <v>0</v>
      </c>
      <c r="BJ125" s="451">
        <f t="shared" si="529"/>
        <v>0</v>
      </c>
      <c r="BK125" s="452">
        <f t="shared" si="530"/>
        <v>0</v>
      </c>
      <c r="BL125" s="377"/>
      <c r="BM125" s="451">
        <f t="shared" ref="BM125:BY125" si="548">BM38</f>
        <v>0</v>
      </c>
      <c r="BN125" s="451">
        <f t="shared" si="548"/>
        <v>0</v>
      </c>
      <c r="BO125" s="451">
        <f t="shared" si="548"/>
        <v>0</v>
      </c>
      <c r="BP125" s="451">
        <f t="shared" si="548"/>
        <v>316</v>
      </c>
      <c r="BQ125" s="451">
        <f t="shared" si="548"/>
        <v>449</v>
      </c>
      <c r="BR125" s="451">
        <f t="shared" si="548"/>
        <v>199</v>
      </c>
      <c r="BS125" s="451">
        <f t="shared" si="548"/>
        <v>263</v>
      </c>
      <c r="BT125" s="451">
        <f t="shared" si="548"/>
        <v>137</v>
      </c>
      <c r="BU125" s="451">
        <f t="shared" si="548"/>
        <v>45</v>
      </c>
      <c r="BV125" s="451">
        <f t="shared" si="548"/>
        <v>0</v>
      </c>
      <c r="BW125" s="451">
        <f t="shared" si="548"/>
        <v>0</v>
      </c>
      <c r="BX125" s="451">
        <f t="shared" si="548"/>
        <v>0</v>
      </c>
      <c r="BY125" s="451">
        <f t="shared" si="548"/>
        <v>0</v>
      </c>
      <c r="BZ125" s="451">
        <f t="shared" ref="BZ125:CA125" si="549">BZ38</f>
        <v>0</v>
      </c>
      <c r="CA125" s="451">
        <f t="shared" si="549"/>
        <v>0</v>
      </c>
      <c r="CB125" s="1188">
        <f t="shared" si="532"/>
        <v>0</v>
      </c>
      <c r="CC125" s="37"/>
      <c r="CD125" s="26"/>
      <c r="CE125" s="26"/>
    </row>
    <row r="126" spans="1:83" ht="14.25" customHeight="1" outlineLevel="1">
      <c r="A126" s="18"/>
      <c r="B126" s="278" t="s">
        <v>271</v>
      </c>
      <c r="C126" s="103"/>
      <c r="D126" s="460">
        <v>0</v>
      </c>
      <c r="E126" s="453">
        <v>0</v>
      </c>
      <c r="F126" s="453">
        <v>0</v>
      </c>
      <c r="G126" s="454">
        <v>0</v>
      </c>
      <c r="H126" s="460">
        <v>0</v>
      </c>
      <c r="I126" s="453">
        <v>0</v>
      </c>
      <c r="J126" s="453">
        <v>152</v>
      </c>
      <c r="K126" s="454">
        <v>752</v>
      </c>
      <c r="L126" s="460">
        <v>0</v>
      </c>
      <c r="M126" s="453">
        <v>0</v>
      </c>
      <c r="N126" s="453">
        <v>32</v>
      </c>
      <c r="O126" s="454">
        <v>32</v>
      </c>
      <c r="P126" s="460">
        <v>75</v>
      </c>
      <c r="Q126" s="453">
        <v>75</v>
      </c>
      <c r="R126" s="453">
        <v>75</v>
      </c>
      <c r="S126" s="454">
        <v>85</v>
      </c>
      <c r="T126" s="460">
        <v>0</v>
      </c>
      <c r="U126" s="453">
        <v>0</v>
      </c>
      <c r="V126" s="453">
        <v>0</v>
      </c>
      <c r="W126" s="454">
        <v>0</v>
      </c>
      <c r="X126" s="460">
        <v>0</v>
      </c>
      <c r="Y126" s="453">
        <v>0</v>
      </c>
      <c r="Z126" s="453">
        <v>0</v>
      </c>
      <c r="AA126" s="454">
        <v>0</v>
      </c>
      <c r="AB126" s="453">
        <v>50</v>
      </c>
      <c r="AC126" s="453">
        <v>50</v>
      </c>
      <c r="AD126" s="453">
        <v>50</v>
      </c>
      <c r="AE126" s="454">
        <v>50</v>
      </c>
      <c r="AF126" s="453">
        <v>0</v>
      </c>
      <c r="AG126" s="453">
        <v>0</v>
      </c>
      <c r="AH126" s="453">
        <v>0</v>
      </c>
      <c r="AI126" s="454">
        <v>0</v>
      </c>
      <c r="AJ126" s="453">
        <v>0</v>
      </c>
      <c r="AK126" s="453">
        <v>0</v>
      </c>
      <c r="AL126" s="453">
        <v>0</v>
      </c>
      <c r="AM126" s="454">
        <v>0</v>
      </c>
      <c r="AN126" s="453">
        <v>0</v>
      </c>
      <c r="AO126" s="453">
        <v>0</v>
      </c>
      <c r="AP126" s="613">
        <v>0</v>
      </c>
      <c r="AQ126" s="454">
        <v>0</v>
      </c>
      <c r="AR126" s="453">
        <v>0</v>
      </c>
      <c r="AS126" s="453">
        <v>0</v>
      </c>
      <c r="AT126" s="613">
        <v>0</v>
      </c>
      <c r="AU126" s="454">
        <v>0</v>
      </c>
      <c r="AV126" s="453">
        <v>0</v>
      </c>
      <c r="AW126" s="453">
        <v>0</v>
      </c>
      <c r="AX126" s="613">
        <v>0</v>
      </c>
      <c r="AY126" s="454">
        <v>0</v>
      </c>
      <c r="AZ126" s="453">
        <v>0</v>
      </c>
      <c r="BA126" s="453">
        <v>924</v>
      </c>
      <c r="BB126" s="613">
        <v>3124</v>
      </c>
      <c r="BC126" s="454">
        <v>3124</v>
      </c>
      <c r="BD126" s="451">
        <f t="shared" si="533"/>
        <v>0</v>
      </c>
      <c r="BE126" s="451">
        <f t="shared" si="524"/>
        <v>0</v>
      </c>
      <c r="BF126" s="451">
        <f t="shared" si="525"/>
        <v>0</v>
      </c>
      <c r="BG126" s="452">
        <f t="shared" si="526"/>
        <v>0</v>
      </c>
      <c r="BH126" s="451">
        <f t="shared" si="527"/>
        <v>0</v>
      </c>
      <c r="BI126" s="451">
        <f t="shared" si="528"/>
        <v>0</v>
      </c>
      <c r="BJ126" s="451">
        <f t="shared" si="529"/>
        <v>0</v>
      </c>
      <c r="BK126" s="452">
        <f t="shared" si="530"/>
        <v>0</v>
      </c>
      <c r="BL126" s="377"/>
      <c r="BM126" s="451">
        <f t="shared" ref="BM126:BY126" si="550">BM39</f>
        <v>0</v>
      </c>
      <c r="BN126" s="451">
        <f t="shared" si="550"/>
        <v>752</v>
      </c>
      <c r="BO126" s="451">
        <f t="shared" si="550"/>
        <v>32</v>
      </c>
      <c r="BP126" s="451">
        <f t="shared" si="550"/>
        <v>85</v>
      </c>
      <c r="BQ126" s="451">
        <f t="shared" si="550"/>
        <v>0</v>
      </c>
      <c r="BR126" s="451">
        <f t="shared" si="550"/>
        <v>0</v>
      </c>
      <c r="BS126" s="451">
        <f t="shared" si="550"/>
        <v>50</v>
      </c>
      <c r="BT126" s="451">
        <f t="shared" si="550"/>
        <v>0</v>
      </c>
      <c r="BU126" s="451">
        <f t="shared" si="550"/>
        <v>0</v>
      </c>
      <c r="BV126" s="451">
        <f t="shared" si="550"/>
        <v>0</v>
      </c>
      <c r="BW126" s="451">
        <f t="shared" si="550"/>
        <v>0</v>
      </c>
      <c r="BX126" s="451">
        <f t="shared" si="550"/>
        <v>0</v>
      </c>
      <c r="BY126" s="451">
        <f t="shared" si="550"/>
        <v>3124</v>
      </c>
      <c r="BZ126" s="451">
        <f t="shared" ref="BZ126:CA126" si="551">BZ39</f>
        <v>0</v>
      </c>
      <c r="CA126" s="451">
        <f t="shared" si="551"/>
        <v>0</v>
      </c>
      <c r="CB126" s="1188">
        <f t="shared" si="532"/>
        <v>0</v>
      </c>
      <c r="CC126" s="37"/>
      <c r="CD126" s="26"/>
      <c r="CE126" s="26"/>
    </row>
    <row r="127" spans="1:83" ht="14.25" customHeight="1" outlineLevel="1">
      <c r="A127" s="24"/>
      <c r="B127" s="278" t="s">
        <v>549</v>
      </c>
      <c r="C127" s="103"/>
      <c r="D127" s="460">
        <v>6</v>
      </c>
      <c r="E127" s="453">
        <v>-21</v>
      </c>
      <c r="F127" s="453">
        <v>-126</v>
      </c>
      <c r="G127" s="454">
        <v>-118</v>
      </c>
      <c r="H127" s="460">
        <v>-193</v>
      </c>
      <c r="I127" s="453">
        <v>-102</v>
      </c>
      <c r="J127" s="453">
        <v>-35</v>
      </c>
      <c r="K127" s="454">
        <v>-33</v>
      </c>
      <c r="L127" s="460">
        <v>25</v>
      </c>
      <c r="M127" s="453">
        <v>49</v>
      </c>
      <c r="N127" s="453">
        <v>126</v>
      </c>
      <c r="O127" s="454">
        <v>294</v>
      </c>
      <c r="P127" s="460">
        <v>-43</v>
      </c>
      <c r="Q127" s="453">
        <v>-40</v>
      </c>
      <c r="R127" s="453">
        <v>25</v>
      </c>
      <c r="S127" s="454">
        <v>34</v>
      </c>
      <c r="T127" s="460">
        <v>17</v>
      </c>
      <c r="U127" s="453">
        <f>-243+28</f>
        <v>-215</v>
      </c>
      <c r="V127" s="453">
        <f>68-243</f>
        <v>-175</v>
      </c>
      <c r="W127" s="454">
        <f>-343+89</f>
        <v>-254</v>
      </c>
      <c r="X127" s="460">
        <f>-249+4</f>
        <v>-245</v>
      </c>
      <c r="Y127" s="453">
        <f>-439+34</f>
        <v>-405</v>
      </c>
      <c r="Z127" s="453">
        <f>-421+207</f>
        <v>-214</v>
      </c>
      <c r="AA127" s="454">
        <f>-498+218</f>
        <v>-280</v>
      </c>
      <c r="AB127" s="453">
        <v>133</v>
      </c>
      <c r="AC127" s="453">
        <f>-30+167</f>
        <v>137</v>
      </c>
      <c r="AD127" s="453">
        <f>-206+252</f>
        <v>46</v>
      </c>
      <c r="AE127" s="454">
        <f>304-206+134</f>
        <v>232</v>
      </c>
      <c r="AF127" s="453">
        <f>60+133</f>
        <v>193</v>
      </c>
      <c r="AG127" s="453">
        <f>-166+126+133+605</f>
        <v>698</v>
      </c>
      <c r="AH127" s="453">
        <f>-216-565+359+141+605</f>
        <v>324</v>
      </c>
      <c r="AI127" s="454">
        <f>149-216+605-815+369</f>
        <v>92</v>
      </c>
      <c r="AJ127" s="453">
        <f>8-33+95</f>
        <v>70</v>
      </c>
      <c r="AK127" s="453">
        <f>116-100-34+185</f>
        <v>167</v>
      </c>
      <c r="AL127" s="453">
        <f>-100+124-36+529</f>
        <v>517</v>
      </c>
      <c r="AM127" s="454">
        <f>132-200-36+326</f>
        <v>222</v>
      </c>
      <c r="AN127" s="453">
        <f>8+150-12</f>
        <v>146</v>
      </c>
      <c r="AO127" s="453">
        <f>167+17</f>
        <v>184</v>
      </c>
      <c r="AP127" s="613">
        <f>168+17</f>
        <v>185</v>
      </c>
      <c r="AQ127" s="454">
        <f>-92+671</f>
        <v>579</v>
      </c>
      <c r="AR127" s="453">
        <v>5</v>
      </c>
      <c r="AS127" s="453">
        <f>166+103</f>
        <v>269</v>
      </c>
      <c r="AT127" s="613">
        <f>380+466</f>
        <v>846</v>
      </c>
      <c r="AU127" s="454">
        <f>2116-120+735-2550</f>
        <v>181</v>
      </c>
      <c r="AV127" s="453">
        <f>-223+650+223</f>
        <v>650</v>
      </c>
      <c r="AW127" s="453">
        <f>304-223+650</f>
        <v>731</v>
      </c>
      <c r="AX127" s="613">
        <f>-223+911+405</f>
        <v>1093</v>
      </c>
      <c r="AY127" s="454">
        <f>-223+911+646</f>
        <v>1334</v>
      </c>
      <c r="AZ127" s="453">
        <f>-115+160</f>
        <v>45</v>
      </c>
      <c r="BA127" s="453">
        <v>201</v>
      </c>
      <c r="BB127" s="613">
        <f>250+893</f>
        <v>1143</v>
      </c>
      <c r="BC127" s="454">
        <v>816</v>
      </c>
      <c r="BD127" s="451">
        <f t="shared" si="533"/>
        <v>500</v>
      </c>
      <c r="BE127" s="451">
        <f t="shared" si="524"/>
        <v>1000</v>
      </c>
      <c r="BF127" s="451">
        <f t="shared" si="525"/>
        <v>1500</v>
      </c>
      <c r="BG127" s="452">
        <f t="shared" si="526"/>
        <v>2000</v>
      </c>
      <c r="BH127" s="451">
        <f t="shared" si="527"/>
        <v>0</v>
      </c>
      <c r="BI127" s="451">
        <f t="shared" si="528"/>
        <v>0</v>
      </c>
      <c r="BJ127" s="451">
        <f t="shared" si="529"/>
        <v>0</v>
      </c>
      <c r="BK127" s="452">
        <f t="shared" si="530"/>
        <v>0</v>
      </c>
      <c r="BL127" s="377"/>
      <c r="BM127" s="451">
        <f t="shared" ref="BM127:BY127" si="552">BM40</f>
        <v>-118</v>
      </c>
      <c r="BN127" s="451">
        <f t="shared" si="552"/>
        <v>-33</v>
      </c>
      <c r="BO127" s="451">
        <f t="shared" si="552"/>
        <v>294</v>
      </c>
      <c r="BP127" s="451">
        <f t="shared" si="552"/>
        <v>34</v>
      </c>
      <c r="BQ127" s="451">
        <f t="shared" si="552"/>
        <v>-254</v>
      </c>
      <c r="BR127" s="451">
        <f t="shared" si="552"/>
        <v>-280</v>
      </c>
      <c r="BS127" s="451">
        <f t="shared" si="552"/>
        <v>232</v>
      </c>
      <c r="BT127" s="451">
        <f t="shared" si="552"/>
        <v>92</v>
      </c>
      <c r="BU127" s="451">
        <f t="shared" si="552"/>
        <v>222</v>
      </c>
      <c r="BV127" s="451">
        <f t="shared" si="552"/>
        <v>579</v>
      </c>
      <c r="BW127" s="451">
        <f t="shared" si="552"/>
        <v>181</v>
      </c>
      <c r="BX127" s="451">
        <f t="shared" si="552"/>
        <v>1334</v>
      </c>
      <c r="BY127" s="451">
        <f t="shared" si="552"/>
        <v>816</v>
      </c>
      <c r="BZ127" s="451">
        <f t="shared" ref="BZ127:CA127" si="553">BZ40</f>
        <v>2000</v>
      </c>
      <c r="CA127" s="451">
        <f t="shared" si="553"/>
        <v>0</v>
      </c>
      <c r="CB127" s="1188">
        <f t="shared" si="532"/>
        <v>0</v>
      </c>
      <c r="CC127" s="297"/>
      <c r="CD127" s="201"/>
      <c r="CE127" s="201"/>
    </row>
    <row r="128" spans="1:83" ht="14.25" customHeight="1" outlineLevel="1" thickBot="1">
      <c r="A128" s="18"/>
      <c r="B128" s="455" t="s">
        <v>272</v>
      </c>
      <c r="C128" s="456"/>
      <c r="D128" s="457">
        <f t="shared" ref="D128:AP128" si="554">SUM(D117:D127)</f>
        <v>-331</v>
      </c>
      <c r="E128" s="458">
        <f t="shared" si="554"/>
        <v>-1001</v>
      </c>
      <c r="F128" s="458">
        <f t="shared" si="554"/>
        <v>-2790</v>
      </c>
      <c r="G128" s="459">
        <f t="shared" si="554"/>
        <v>-6415</v>
      </c>
      <c r="H128" s="457">
        <f t="shared" si="554"/>
        <v>-2301</v>
      </c>
      <c r="I128" s="458">
        <f t="shared" si="554"/>
        <v>-2723</v>
      </c>
      <c r="J128" s="458">
        <f t="shared" si="554"/>
        <v>-3323</v>
      </c>
      <c r="K128" s="459">
        <f t="shared" si="554"/>
        <v>-4988</v>
      </c>
      <c r="L128" s="457">
        <f t="shared" si="554"/>
        <v>-3216</v>
      </c>
      <c r="M128" s="458">
        <f t="shared" si="554"/>
        <v>-5596</v>
      </c>
      <c r="N128" s="458">
        <f t="shared" si="554"/>
        <v>-7764</v>
      </c>
      <c r="O128" s="459">
        <f t="shared" si="554"/>
        <v>-9926</v>
      </c>
      <c r="P128" s="457">
        <f t="shared" si="554"/>
        <v>-921</v>
      </c>
      <c r="Q128" s="458">
        <f t="shared" si="554"/>
        <v>-2544</v>
      </c>
      <c r="R128" s="458">
        <f t="shared" si="554"/>
        <v>-3876</v>
      </c>
      <c r="S128" s="459">
        <f t="shared" si="554"/>
        <v>-5865</v>
      </c>
      <c r="T128" s="457">
        <f t="shared" si="554"/>
        <v>409</v>
      </c>
      <c r="U128" s="458">
        <f t="shared" si="554"/>
        <v>-1816</v>
      </c>
      <c r="V128" s="458">
        <f t="shared" si="554"/>
        <v>-5196</v>
      </c>
      <c r="W128" s="459">
        <f t="shared" si="554"/>
        <v>-7965</v>
      </c>
      <c r="X128" s="457">
        <f t="shared" si="554"/>
        <v>-2672</v>
      </c>
      <c r="Y128" s="458">
        <f t="shared" si="554"/>
        <v>-4642</v>
      </c>
      <c r="Z128" s="458">
        <f t="shared" si="554"/>
        <v>-7567</v>
      </c>
      <c r="AA128" s="459">
        <f t="shared" si="554"/>
        <v>-10539</v>
      </c>
      <c r="AB128" s="458">
        <f t="shared" si="554"/>
        <v>-644</v>
      </c>
      <c r="AC128" s="458">
        <f t="shared" si="554"/>
        <v>-1427</v>
      </c>
      <c r="AD128" s="458">
        <f t="shared" si="554"/>
        <v>-5534</v>
      </c>
      <c r="AE128" s="459">
        <f t="shared" si="554"/>
        <v>-10301</v>
      </c>
      <c r="AF128" s="458">
        <f t="shared" si="554"/>
        <v>-2111</v>
      </c>
      <c r="AG128" s="458">
        <f t="shared" si="554"/>
        <v>-3876</v>
      </c>
      <c r="AH128" s="458">
        <f t="shared" si="554"/>
        <v>-8728</v>
      </c>
      <c r="AI128" s="459">
        <f t="shared" si="554"/>
        <v>-14060</v>
      </c>
      <c r="AJ128" s="458">
        <f t="shared" si="554"/>
        <v>-5317</v>
      </c>
      <c r="AK128" s="458">
        <f t="shared" si="554"/>
        <v>-10829</v>
      </c>
      <c r="AL128" s="458">
        <f t="shared" si="554"/>
        <v>-14152</v>
      </c>
      <c r="AM128" s="459">
        <f t="shared" si="554"/>
        <v>-18073</v>
      </c>
      <c r="AN128" s="458">
        <f>SUM(AN117:AN127)</f>
        <v>-2749</v>
      </c>
      <c r="AO128" s="458">
        <f t="shared" si="554"/>
        <v>-7015</v>
      </c>
      <c r="AP128" s="458">
        <f t="shared" si="554"/>
        <v>-8001</v>
      </c>
      <c r="AQ128" s="459">
        <f>SUM(AQ117:AQ127)</f>
        <v>-9905</v>
      </c>
      <c r="AR128" s="458">
        <f>SUM(AR117:AR127)</f>
        <v>-449</v>
      </c>
      <c r="AS128" s="458">
        <f t="shared" ref="AS128:AT128" si="555">SUM(AS117:AS127)</f>
        <v>-1744</v>
      </c>
      <c r="AT128" s="458">
        <f t="shared" si="555"/>
        <v>-10911</v>
      </c>
      <c r="AU128" s="459">
        <f>SUM(AU117:AU127)</f>
        <v>-8183</v>
      </c>
      <c r="AV128" s="458">
        <f>SUM(AV117:AV127)</f>
        <v>-15520</v>
      </c>
      <c r="AW128" s="458">
        <f t="shared" ref="AW128:AX128" si="556">SUM(AW117:AW127)</f>
        <v>-19690</v>
      </c>
      <c r="AX128" s="458">
        <f t="shared" si="556"/>
        <v>-22373</v>
      </c>
      <c r="AY128" s="459">
        <f>SUM(AY117:AY127)</f>
        <v>-25817</v>
      </c>
      <c r="AZ128" s="458">
        <f>SUM(AZ117:AZ127)</f>
        <v>-2778</v>
      </c>
      <c r="BA128" s="458">
        <f t="shared" ref="BA128:BB128" si="557">SUM(BA117:BA127)</f>
        <v>-4216</v>
      </c>
      <c r="BB128" s="458">
        <f t="shared" si="557"/>
        <v>-10532</v>
      </c>
      <c r="BC128" s="459">
        <f>SUM(BC117:BC127)</f>
        <v>-15762</v>
      </c>
      <c r="BD128" s="458">
        <f>SUM(BD117:BD127)</f>
        <v>-7699</v>
      </c>
      <c r="BE128" s="458">
        <f t="shared" ref="BE128:BG128" si="558">SUM(BE117:BE127)</f>
        <v>-10699</v>
      </c>
      <c r="BF128" s="458">
        <f t="shared" si="558"/>
        <v>-13949</v>
      </c>
      <c r="BG128" s="459">
        <f t="shared" si="558"/>
        <v>-17199</v>
      </c>
      <c r="BH128" s="458">
        <f>SUM(BH117:BH127)</f>
        <v>-3500</v>
      </c>
      <c r="BI128" s="458">
        <f t="shared" ref="BI128:BK128" si="559">SUM(BI117:BI127)</f>
        <v>-7000</v>
      </c>
      <c r="BJ128" s="458">
        <f t="shared" si="559"/>
        <v>-10500</v>
      </c>
      <c r="BK128" s="459">
        <f t="shared" si="559"/>
        <v>-14000</v>
      </c>
      <c r="BL128" s="377"/>
      <c r="BM128" s="458">
        <f t="shared" ref="BM128:BY128" si="560">SUM(BM117:BM127)</f>
        <v>-6415</v>
      </c>
      <c r="BN128" s="458">
        <f t="shared" si="560"/>
        <v>-4988</v>
      </c>
      <c r="BO128" s="458">
        <f t="shared" si="560"/>
        <v>-9926</v>
      </c>
      <c r="BP128" s="458">
        <f t="shared" si="560"/>
        <v>-5865</v>
      </c>
      <c r="BQ128" s="458">
        <f t="shared" si="560"/>
        <v>-7965</v>
      </c>
      <c r="BR128" s="458">
        <f t="shared" si="560"/>
        <v>-10539</v>
      </c>
      <c r="BS128" s="458">
        <f t="shared" si="560"/>
        <v>-10301</v>
      </c>
      <c r="BT128" s="458">
        <f t="shared" si="560"/>
        <v>-14060</v>
      </c>
      <c r="BU128" s="458">
        <f t="shared" si="560"/>
        <v>-18073</v>
      </c>
      <c r="BV128" s="458">
        <f t="shared" si="560"/>
        <v>-9905</v>
      </c>
      <c r="BW128" s="458">
        <f>SUM(BW117:BW127)</f>
        <v>-8183</v>
      </c>
      <c r="BX128" s="458">
        <f t="shared" si="560"/>
        <v>-25817</v>
      </c>
      <c r="BY128" s="458">
        <f t="shared" si="560"/>
        <v>-15762</v>
      </c>
      <c r="BZ128" s="458">
        <f t="shared" ref="BZ128:CB128" si="561">SUM(BZ117:BZ127)</f>
        <v>-17199</v>
      </c>
      <c r="CA128" s="458">
        <f t="shared" si="561"/>
        <v>-14000</v>
      </c>
      <c r="CB128" s="459">
        <f t="shared" si="561"/>
        <v>-14000</v>
      </c>
      <c r="CC128" s="37"/>
      <c r="CD128" s="26"/>
      <c r="CE128" s="26"/>
    </row>
    <row r="129" spans="1:83" ht="14.25" customHeight="1" outlineLevel="1" thickTop="1">
      <c r="A129" s="18"/>
      <c r="B129" s="297"/>
      <c r="C129" s="68"/>
      <c r="D129" s="460"/>
      <c r="E129" s="453"/>
      <c r="F129" s="453"/>
      <c r="G129" s="454"/>
      <c r="H129" s="460"/>
      <c r="I129" s="453"/>
      <c r="J129" s="453"/>
      <c r="K129" s="454"/>
      <c r="L129" s="460"/>
      <c r="M129" s="453"/>
      <c r="N129" s="453"/>
      <c r="O129" s="454"/>
      <c r="P129" s="460"/>
      <c r="Q129" s="453"/>
      <c r="R129" s="453"/>
      <c r="S129" s="454"/>
      <c r="T129" s="460"/>
      <c r="U129" s="453"/>
      <c r="V129" s="453"/>
      <c r="W129" s="454"/>
      <c r="X129" s="460"/>
      <c r="Y129" s="453"/>
      <c r="Z129" s="453"/>
      <c r="AA129" s="454"/>
      <c r="AB129" s="453"/>
      <c r="AC129" s="453"/>
      <c r="AD129" s="453"/>
      <c r="AE129" s="454"/>
      <c r="AF129" s="453"/>
      <c r="AG129" s="453"/>
      <c r="AH129" s="453"/>
      <c r="AI129" s="454"/>
      <c r="AJ129" s="453"/>
      <c r="AK129" s="453"/>
      <c r="AL129" s="453"/>
      <c r="AM129" s="454"/>
      <c r="AN129" s="453"/>
      <c r="AO129" s="453"/>
      <c r="AP129" s="453"/>
      <c r="AQ129" s="454"/>
      <c r="AR129" s="453"/>
      <c r="AS129" s="453"/>
      <c r="AT129" s="453"/>
      <c r="AU129" s="454"/>
      <c r="AV129" s="453"/>
      <c r="AW129" s="453"/>
      <c r="AX129" s="453"/>
      <c r="AY129" s="454"/>
      <c r="AZ129" s="453"/>
      <c r="BA129" s="453"/>
      <c r="BB129" s="453"/>
      <c r="BC129" s="454"/>
      <c r="BD129" s="453"/>
      <c r="BE129" s="453"/>
      <c r="BF129" s="453"/>
      <c r="BG129" s="454"/>
      <c r="BH129" s="453"/>
      <c r="BI129" s="453"/>
      <c r="BJ129" s="453"/>
      <c r="BK129" s="454"/>
      <c r="BL129" s="377"/>
      <c r="BM129" s="453"/>
      <c r="BN129" s="453"/>
      <c r="BO129" s="453"/>
      <c r="BP129" s="453"/>
      <c r="BQ129" s="453"/>
      <c r="BR129" s="453"/>
      <c r="BS129" s="453"/>
      <c r="BT129" s="453"/>
      <c r="BU129" s="453"/>
      <c r="BV129" s="453"/>
      <c r="BW129" s="453"/>
      <c r="BX129" s="453"/>
      <c r="BY129" s="453"/>
      <c r="BZ129" s="453"/>
      <c r="CA129" s="453"/>
      <c r="CB129" s="1189"/>
      <c r="CC129" s="37"/>
      <c r="CD129" s="26"/>
      <c r="CE129" s="26"/>
    </row>
    <row r="130" spans="1:83" ht="14.25" customHeight="1" outlineLevel="1">
      <c r="A130" s="18"/>
      <c r="B130" s="462" t="s">
        <v>273</v>
      </c>
      <c r="C130" s="463"/>
      <c r="D130" s="460"/>
      <c r="E130" s="547"/>
      <c r="F130" s="547"/>
      <c r="G130" s="454"/>
      <c r="H130" s="460"/>
      <c r="I130" s="547"/>
      <c r="J130" s="547"/>
      <c r="K130" s="454"/>
      <c r="L130" s="460"/>
      <c r="M130" s="547"/>
      <c r="N130" s="547"/>
      <c r="O130" s="454"/>
      <c r="P130" s="460"/>
      <c r="Q130" s="547"/>
      <c r="R130" s="547"/>
      <c r="S130" s="454"/>
      <c r="T130" s="460"/>
      <c r="U130" s="547"/>
      <c r="V130" s="547"/>
      <c r="W130" s="454"/>
      <c r="X130" s="460"/>
      <c r="Y130" s="547"/>
      <c r="Z130" s="547"/>
      <c r="AA130" s="454"/>
      <c r="AB130" s="453"/>
      <c r="AC130" s="453"/>
      <c r="AD130" s="453"/>
      <c r="AE130" s="454"/>
      <c r="AF130" s="453"/>
      <c r="AG130" s="453"/>
      <c r="AH130" s="453"/>
      <c r="AI130" s="454"/>
      <c r="AJ130" s="453"/>
      <c r="AK130" s="453"/>
      <c r="AL130" s="453"/>
      <c r="AM130" s="454"/>
      <c r="AN130" s="453"/>
      <c r="AO130" s="453"/>
      <c r="AP130" s="453"/>
      <c r="AQ130" s="454"/>
      <c r="AR130" s="453"/>
      <c r="AS130" s="453"/>
      <c r="AT130" s="453"/>
      <c r="AU130" s="454"/>
      <c r="AV130" s="453"/>
      <c r="AW130" s="453"/>
      <c r="AX130" s="453"/>
      <c r="AY130" s="454"/>
      <c r="AZ130" s="453"/>
      <c r="BA130" s="453"/>
      <c r="BB130" s="453"/>
      <c r="BC130" s="454"/>
      <c r="BD130" s="453"/>
      <c r="BE130" s="453"/>
      <c r="BF130" s="453"/>
      <c r="BG130" s="454"/>
      <c r="BH130" s="453"/>
      <c r="BI130" s="453"/>
      <c r="BJ130" s="453"/>
      <c r="BK130" s="454"/>
      <c r="BL130" s="377"/>
      <c r="BM130" s="453"/>
      <c r="BN130" s="453"/>
      <c r="BO130" s="453"/>
      <c r="BP130" s="453"/>
      <c r="BQ130" s="453"/>
      <c r="BR130" s="453"/>
      <c r="BS130" s="453"/>
      <c r="BT130" s="453"/>
      <c r="BU130" s="453"/>
      <c r="BV130" s="453"/>
      <c r="BW130" s="453"/>
      <c r="BX130" s="453"/>
      <c r="BY130" s="453"/>
      <c r="BZ130" s="453"/>
      <c r="CA130" s="453"/>
      <c r="CB130" s="1189"/>
      <c r="CC130" s="37"/>
      <c r="CD130" s="26"/>
      <c r="CE130" s="26"/>
    </row>
    <row r="131" spans="1:83" ht="14.25" customHeight="1" outlineLevel="1">
      <c r="A131" s="18"/>
      <c r="B131" s="278" t="s">
        <v>274</v>
      </c>
      <c r="C131" s="103"/>
      <c r="D131" s="460">
        <v>34</v>
      </c>
      <c r="E131" s="453">
        <v>129</v>
      </c>
      <c r="F131" s="453">
        <v>64</v>
      </c>
      <c r="G131" s="454">
        <v>126</v>
      </c>
      <c r="H131" s="460">
        <v>-84</v>
      </c>
      <c r="I131" s="453">
        <v>-21</v>
      </c>
      <c r="J131" s="453">
        <v>-112</v>
      </c>
      <c r="K131" s="454">
        <v>-114</v>
      </c>
      <c r="L131" s="460">
        <v>-42</v>
      </c>
      <c r="M131" s="453">
        <v>40</v>
      </c>
      <c r="N131" s="453">
        <v>-44</v>
      </c>
      <c r="O131" s="454">
        <v>-39</v>
      </c>
      <c r="P131" s="460">
        <v>47</v>
      </c>
      <c r="Q131" s="453">
        <v>33</v>
      </c>
      <c r="R131" s="453">
        <v>325</v>
      </c>
      <c r="S131" s="454">
        <v>-40</v>
      </c>
      <c r="T131" s="460">
        <v>-69</v>
      </c>
      <c r="U131" s="453">
        <v>-76</v>
      </c>
      <c r="V131" s="453">
        <v>-77</v>
      </c>
      <c r="W131" s="454">
        <v>-87</v>
      </c>
      <c r="X131" s="460">
        <v>158</v>
      </c>
      <c r="Y131" s="453">
        <v>43</v>
      </c>
      <c r="Z131" s="453">
        <v>87</v>
      </c>
      <c r="AA131" s="454">
        <v>23</v>
      </c>
      <c r="AB131" s="453">
        <v>16</v>
      </c>
      <c r="AC131" s="453">
        <v>33</v>
      </c>
      <c r="AD131" s="453">
        <v>28</v>
      </c>
      <c r="AE131" s="454">
        <v>209</v>
      </c>
      <c r="AF131" s="453">
        <v>115</v>
      </c>
      <c r="AG131" s="453">
        <v>-155</v>
      </c>
      <c r="AH131" s="453">
        <v>-191</v>
      </c>
      <c r="AI131" s="454">
        <f>65-125</f>
        <v>-60</v>
      </c>
      <c r="AJ131" s="453">
        <v>-224</v>
      </c>
      <c r="AK131" s="453">
        <v>-49</v>
      </c>
      <c r="AL131" s="453">
        <v>38</v>
      </c>
      <c r="AM131" s="454">
        <v>-31</v>
      </c>
      <c r="AN131" s="453">
        <v>-245</v>
      </c>
      <c r="AO131" s="453">
        <v>-267</v>
      </c>
      <c r="AP131" s="613">
        <v>-202</v>
      </c>
      <c r="AQ131" s="454">
        <v>235</v>
      </c>
      <c r="AR131" s="453">
        <v>-486</v>
      </c>
      <c r="AS131" s="453">
        <v>-492</v>
      </c>
      <c r="AT131" s="613">
        <v>-473</v>
      </c>
      <c r="AU131" s="454">
        <v>-474</v>
      </c>
      <c r="AV131" s="453">
        <v>956</v>
      </c>
      <c r="AW131" s="453">
        <v>1416</v>
      </c>
      <c r="AX131" s="613">
        <v>426</v>
      </c>
      <c r="AY131" s="454">
        <v>-15</v>
      </c>
      <c r="AZ131" s="453">
        <v>435</v>
      </c>
      <c r="BA131" s="453">
        <v>-12</v>
      </c>
      <c r="BB131" s="613">
        <v>-5</v>
      </c>
      <c r="BC131" s="454">
        <v>0</v>
      </c>
      <c r="BD131" s="451">
        <f t="shared" ref="BD131:BD136" si="562">BD44</f>
        <v>0</v>
      </c>
      <c r="BE131" s="451">
        <f t="shared" ref="BE131:BE136" si="563">BD131+BE44</f>
        <v>0</v>
      </c>
      <c r="BF131" s="451">
        <f t="shared" ref="BF131:BF136" si="564">BE131+BF44</f>
        <v>0</v>
      </c>
      <c r="BG131" s="452">
        <f t="shared" ref="BG131:BG136" si="565">BF131+BG44</f>
        <v>0</v>
      </c>
      <c r="BH131" s="451">
        <f t="shared" ref="BH131:BH136" si="566">BH44</f>
        <v>0</v>
      </c>
      <c r="BI131" s="451">
        <f t="shared" ref="BI131:BI136" si="567">BH131+BI44</f>
        <v>0</v>
      </c>
      <c r="BJ131" s="451">
        <f t="shared" ref="BJ131:BJ136" si="568">BI131+BJ44</f>
        <v>0</v>
      </c>
      <c r="BK131" s="452">
        <f t="shared" ref="BK131:BK136" si="569">BJ131+BK44</f>
        <v>0</v>
      </c>
      <c r="BL131" s="377"/>
      <c r="BM131" s="451">
        <f t="shared" ref="BM131:BY131" si="570">BM44</f>
        <v>126</v>
      </c>
      <c r="BN131" s="451">
        <f t="shared" si="570"/>
        <v>-114</v>
      </c>
      <c r="BO131" s="451">
        <f t="shared" si="570"/>
        <v>-39</v>
      </c>
      <c r="BP131" s="451">
        <f t="shared" si="570"/>
        <v>-40</v>
      </c>
      <c r="BQ131" s="451">
        <f t="shared" si="570"/>
        <v>-87</v>
      </c>
      <c r="BR131" s="451">
        <f t="shared" si="570"/>
        <v>23</v>
      </c>
      <c r="BS131" s="451">
        <f t="shared" si="570"/>
        <v>209</v>
      </c>
      <c r="BT131" s="451">
        <f t="shared" si="570"/>
        <v>-60</v>
      </c>
      <c r="BU131" s="451">
        <f t="shared" si="570"/>
        <v>-31</v>
      </c>
      <c r="BV131" s="451">
        <f t="shared" si="570"/>
        <v>235</v>
      </c>
      <c r="BW131" s="451">
        <f t="shared" si="570"/>
        <v>-474</v>
      </c>
      <c r="BX131" s="451">
        <f t="shared" si="570"/>
        <v>-15</v>
      </c>
      <c r="BY131" s="451">
        <f t="shared" si="570"/>
        <v>0</v>
      </c>
      <c r="BZ131" s="451">
        <f t="shared" ref="BZ131:CB136" si="571">BZ44</f>
        <v>0</v>
      </c>
      <c r="CA131" s="451">
        <f t="shared" si="571"/>
        <v>0</v>
      </c>
      <c r="CB131" s="1188">
        <f t="shared" si="571"/>
        <v>0</v>
      </c>
      <c r="CC131" s="37"/>
      <c r="CD131" s="26"/>
      <c r="CE131" s="26"/>
    </row>
    <row r="132" spans="1:83" ht="14.25" customHeight="1" outlineLevel="1">
      <c r="A132" s="18"/>
      <c r="B132" s="278" t="s">
        <v>275</v>
      </c>
      <c r="C132" s="103"/>
      <c r="D132" s="460">
        <v>0</v>
      </c>
      <c r="E132" s="453">
        <v>0</v>
      </c>
      <c r="F132" s="453">
        <v>0</v>
      </c>
      <c r="G132" s="454">
        <f>1742-19</f>
        <v>1723</v>
      </c>
      <c r="H132" s="460">
        <v>0</v>
      </c>
      <c r="I132" s="453">
        <v>-290</v>
      </c>
      <c r="J132" s="453">
        <v>-581</v>
      </c>
      <c r="K132" s="454">
        <v>-581</v>
      </c>
      <c r="L132" s="460">
        <v>0</v>
      </c>
      <c r="M132" s="453">
        <v>0</v>
      </c>
      <c r="N132" s="453">
        <v>0</v>
      </c>
      <c r="O132" s="454">
        <v>125</v>
      </c>
      <c r="P132" s="460">
        <v>0</v>
      </c>
      <c r="Q132" s="453">
        <v>0</v>
      </c>
      <c r="R132" s="453">
        <v>0</v>
      </c>
      <c r="S132" s="454">
        <v>0</v>
      </c>
      <c r="T132" s="460">
        <v>0</v>
      </c>
      <c r="U132" s="453">
        <v>0</v>
      </c>
      <c r="V132" s="453">
        <v>1980</v>
      </c>
      <c r="W132" s="454">
        <v>1980</v>
      </c>
      <c r="X132" s="460">
        <v>0</v>
      </c>
      <c r="Y132" s="453">
        <v>0</v>
      </c>
      <c r="Z132" s="453">
        <v>0</v>
      </c>
      <c r="AA132" s="454">
        <v>-157</v>
      </c>
      <c r="AB132" s="453">
        <v>0</v>
      </c>
      <c r="AC132" s="453">
        <v>0</v>
      </c>
      <c r="AD132" s="453">
        <v>4962</v>
      </c>
      <c r="AE132" s="454">
        <v>4962</v>
      </c>
      <c r="AF132" s="453">
        <v>0</v>
      </c>
      <c r="AG132" s="453">
        <v>0</v>
      </c>
      <c r="AH132" s="453">
        <v>0</v>
      </c>
      <c r="AI132" s="454">
        <v>6124</v>
      </c>
      <c r="AJ132" s="453">
        <v>0</v>
      </c>
      <c r="AK132" s="453">
        <v>0</v>
      </c>
      <c r="AL132" s="453">
        <v>0</v>
      </c>
      <c r="AM132" s="454">
        <v>0</v>
      </c>
      <c r="AN132" s="453">
        <v>0</v>
      </c>
      <c r="AO132" s="453">
        <v>0</v>
      </c>
      <c r="AP132" s="613">
        <v>0</v>
      </c>
      <c r="AQ132" s="454">
        <v>0</v>
      </c>
      <c r="AR132" s="453">
        <v>0</v>
      </c>
      <c r="AS132" s="453">
        <v>0</v>
      </c>
      <c r="AT132" s="613">
        <v>7986</v>
      </c>
      <c r="AU132" s="454">
        <v>0</v>
      </c>
      <c r="AV132" s="453">
        <v>0</v>
      </c>
      <c r="AW132" s="453">
        <v>2734</v>
      </c>
      <c r="AX132" s="613">
        <v>2734</v>
      </c>
      <c r="AY132" s="454">
        <f>2734-1500</f>
        <v>1234</v>
      </c>
      <c r="AZ132" s="453">
        <v>0</v>
      </c>
      <c r="BA132" s="453">
        <v>7078</v>
      </c>
      <c r="BB132" s="613">
        <v>7716</v>
      </c>
      <c r="BC132" s="454">
        <f>7716-8080</f>
        <v>-364</v>
      </c>
      <c r="BD132" s="451">
        <f t="shared" si="562"/>
        <v>1799</v>
      </c>
      <c r="BE132" s="451">
        <f t="shared" si="563"/>
        <v>1799</v>
      </c>
      <c r="BF132" s="451">
        <f t="shared" si="564"/>
        <v>1799</v>
      </c>
      <c r="BG132" s="452">
        <f t="shared" si="565"/>
        <v>1799</v>
      </c>
      <c r="BH132" s="451">
        <f t="shared" si="566"/>
        <v>0</v>
      </c>
      <c r="BI132" s="451">
        <f t="shared" si="567"/>
        <v>0</v>
      </c>
      <c r="BJ132" s="451">
        <f t="shared" si="568"/>
        <v>0</v>
      </c>
      <c r="BK132" s="452">
        <f t="shared" si="569"/>
        <v>0</v>
      </c>
      <c r="BL132" s="377"/>
      <c r="BM132" s="451">
        <f t="shared" ref="BM132:BY132" si="572">BM45</f>
        <v>1723</v>
      </c>
      <c r="BN132" s="451">
        <f t="shared" si="572"/>
        <v>-581</v>
      </c>
      <c r="BO132" s="451">
        <f t="shared" si="572"/>
        <v>125</v>
      </c>
      <c r="BP132" s="451">
        <f t="shared" si="572"/>
        <v>0</v>
      </c>
      <c r="BQ132" s="451">
        <f t="shared" si="572"/>
        <v>1980</v>
      </c>
      <c r="BR132" s="451">
        <f t="shared" si="572"/>
        <v>-157</v>
      </c>
      <c r="BS132" s="451">
        <f t="shared" si="572"/>
        <v>4962</v>
      </c>
      <c r="BT132" s="451">
        <f t="shared" si="572"/>
        <v>6124</v>
      </c>
      <c r="BU132" s="451">
        <f t="shared" si="572"/>
        <v>0</v>
      </c>
      <c r="BV132" s="451">
        <f t="shared" si="572"/>
        <v>0</v>
      </c>
      <c r="BW132" s="451">
        <f t="shared" si="572"/>
        <v>0</v>
      </c>
      <c r="BX132" s="451">
        <f t="shared" si="572"/>
        <v>1234</v>
      </c>
      <c r="BY132" s="451">
        <f t="shared" si="572"/>
        <v>-364</v>
      </c>
      <c r="BZ132" s="451">
        <f t="shared" ref="BZ132:CA132" si="573">BZ45</f>
        <v>1799</v>
      </c>
      <c r="CA132" s="451">
        <f t="shared" si="573"/>
        <v>0</v>
      </c>
      <c r="CB132" s="1188">
        <f t="shared" si="571"/>
        <v>0</v>
      </c>
      <c r="CC132" s="37"/>
      <c r="CD132" s="26"/>
      <c r="CE132" s="26"/>
    </row>
    <row r="133" spans="1:83" ht="14.25" customHeight="1" outlineLevel="1">
      <c r="A133" s="18"/>
      <c r="B133" s="278" t="s">
        <v>276</v>
      </c>
      <c r="C133" s="103"/>
      <c r="D133" s="460">
        <v>410</v>
      </c>
      <c r="E133" s="453">
        <v>702</v>
      </c>
      <c r="F133" s="453">
        <v>1058</v>
      </c>
      <c r="G133" s="454">
        <v>1202</v>
      </c>
      <c r="H133" s="460">
        <v>376</v>
      </c>
      <c r="I133" s="453">
        <v>494</v>
      </c>
      <c r="J133" s="453">
        <v>767</v>
      </c>
      <c r="K133" s="454">
        <v>1046</v>
      </c>
      <c r="L133" s="460">
        <v>586</v>
      </c>
      <c r="M133" s="453">
        <v>1362</v>
      </c>
      <c r="N133" s="453">
        <v>2246</v>
      </c>
      <c r="O133" s="454">
        <v>3052</v>
      </c>
      <c r="P133" s="460">
        <v>468</v>
      </c>
      <c r="Q133" s="453">
        <v>828</v>
      </c>
      <c r="R133" s="453">
        <v>1103</v>
      </c>
      <c r="S133" s="454">
        <v>1105</v>
      </c>
      <c r="T133" s="460">
        <v>247</v>
      </c>
      <c r="U133" s="453">
        <v>248</v>
      </c>
      <c r="V133" s="453">
        <v>367</v>
      </c>
      <c r="W133" s="454">
        <v>400</v>
      </c>
      <c r="X133" s="460">
        <v>228</v>
      </c>
      <c r="Y133" s="453">
        <v>386</v>
      </c>
      <c r="Z133" s="453">
        <v>535</v>
      </c>
      <c r="AA133" s="454">
        <v>587</v>
      </c>
      <c r="AB133" s="453">
        <v>239</v>
      </c>
      <c r="AC133" s="453">
        <v>587</v>
      </c>
      <c r="AD133" s="453">
        <v>925</v>
      </c>
      <c r="AE133" s="454">
        <v>2045</v>
      </c>
      <c r="AF133" s="453">
        <v>1244</v>
      </c>
      <c r="AG133" s="453">
        <v>1681</v>
      </c>
      <c r="AH133" s="453">
        <v>1975</v>
      </c>
      <c r="AI133" s="454">
        <v>2111</v>
      </c>
      <c r="AJ133" s="453">
        <v>465</v>
      </c>
      <c r="AK133" s="453">
        <v>1040</v>
      </c>
      <c r="AL133" s="453">
        <v>1308</v>
      </c>
      <c r="AM133" s="454">
        <v>1588</v>
      </c>
      <c r="AN133" s="453">
        <v>479</v>
      </c>
      <c r="AO133" s="453">
        <v>1005</v>
      </c>
      <c r="AP133" s="613">
        <v>1566</v>
      </c>
      <c r="AQ133" s="454">
        <v>1660</v>
      </c>
      <c r="AR133" s="453">
        <v>341</v>
      </c>
      <c r="AS133" s="453">
        <v>474</v>
      </c>
      <c r="AT133" s="613">
        <v>696</v>
      </c>
      <c r="AU133" s="454">
        <v>866</v>
      </c>
      <c r="AV133" s="453">
        <v>343</v>
      </c>
      <c r="AW133" s="453">
        <v>527</v>
      </c>
      <c r="AX133" s="613">
        <v>1024</v>
      </c>
      <c r="AY133" s="454">
        <v>1108</v>
      </c>
      <c r="AZ133" s="453">
        <v>329</v>
      </c>
      <c r="BA133" s="453">
        <v>406</v>
      </c>
      <c r="BB133" s="613">
        <v>637</v>
      </c>
      <c r="BC133" s="454">
        <v>770</v>
      </c>
      <c r="BD133" s="451">
        <f t="shared" si="562"/>
        <v>0</v>
      </c>
      <c r="BE133" s="451">
        <f t="shared" si="563"/>
        <v>0</v>
      </c>
      <c r="BF133" s="451">
        <f t="shared" si="564"/>
        <v>0</v>
      </c>
      <c r="BG133" s="452">
        <f t="shared" si="565"/>
        <v>0</v>
      </c>
      <c r="BH133" s="451">
        <f t="shared" si="566"/>
        <v>0</v>
      </c>
      <c r="BI133" s="451">
        <f t="shared" si="567"/>
        <v>0</v>
      </c>
      <c r="BJ133" s="451">
        <f t="shared" si="568"/>
        <v>0</v>
      </c>
      <c r="BK133" s="452">
        <f t="shared" si="569"/>
        <v>0</v>
      </c>
      <c r="BL133" s="377"/>
      <c r="BM133" s="451">
        <f t="shared" ref="BM133:BY133" si="574">BM46</f>
        <v>1202</v>
      </c>
      <c r="BN133" s="451">
        <f t="shared" si="574"/>
        <v>1046</v>
      </c>
      <c r="BO133" s="451">
        <f t="shared" si="574"/>
        <v>3052</v>
      </c>
      <c r="BP133" s="451">
        <f t="shared" si="574"/>
        <v>1105</v>
      </c>
      <c r="BQ133" s="451">
        <f t="shared" si="574"/>
        <v>400</v>
      </c>
      <c r="BR133" s="451">
        <f t="shared" si="574"/>
        <v>587</v>
      </c>
      <c r="BS133" s="451">
        <f t="shared" si="574"/>
        <v>2045</v>
      </c>
      <c r="BT133" s="451">
        <f t="shared" si="574"/>
        <v>2111</v>
      </c>
      <c r="BU133" s="451">
        <f t="shared" si="574"/>
        <v>1588</v>
      </c>
      <c r="BV133" s="451">
        <f t="shared" si="574"/>
        <v>1660</v>
      </c>
      <c r="BW133" s="451">
        <f t="shared" si="574"/>
        <v>866</v>
      </c>
      <c r="BX133" s="451">
        <f t="shared" si="574"/>
        <v>1108</v>
      </c>
      <c r="BY133" s="451">
        <f t="shared" si="574"/>
        <v>770</v>
      </c>
      <c r="BZ133" s="451">
        <f t="shared" ref="BZ133:CA133" si="575">BZ46</f>
        <v>0</v>
      </c>
      <c r="CA133" s="451">
        <f t="shared" si="575"/>
        <v>0</v>
      </c>
      <c r="CB133" s="1188">
        <f t="shared" si="571"/>
        <v>0</v>
      </c>
      <c r="CC133" s="37"/>
      <c r="CD133" s="26"/>
      <c r="CE133" s="26"/>
    </row>
    <row r="134" spans="1:83" ht="14.25" customHeight="1" outlineLevel="1">
      <c r="A134" s="18"/>
      <c r="B134" s="278" t="s">
        <v>277</v>
      </c>
      <c r="C134" s="103"/>
      <c r="D134" s="460">
        <v>-2500</v>
      </c>
      <c r="E134" s="453">
        <v>-5000</v>
      </c>
      <c r="F134" s="453">
        <v>-7500</v>
      </c>
      <c r="G134" s="454">
        <v>-10637</v>
      </c>
      <c r="H134" s="460">
        <v>-2943</v>
      </c>
      <c r="I134" s="453">
        <v>-3943</v>
      </c>
      <c r="J134" s="453">
        <v>-4443</v>
      </c>
      <c r="K134" s="454">
        <v>-4593</v>
      </c>
      <c r="L134" s="460">
        <v>-400</v>
      </c>
      <c r="M134" s="453">
        <v>-500</v>
      </c>
      <c r="N134" s="453">
        <v>-1250</v>
      </c>
      <c r="O134" s="454">
        <v>-2788</v>
      </c>
      <c r="P134" s="460">
        <v>-2501</v>
      </c>
      <c r="Q134" s="453">
        <v>-5077</v>
      </c>
      <c r="R134" s="453">
        <v>-7195</v>
      </c>
      <c r="S134" s="454">
        <v>-7195</v>
      </c>
      <c r="T134" s="460">
        <v>0</v>
      </c>
      <c r="U134" s="453">
        <v>-79</v>
      </c>
      <c r="V134" s="453">
        <v>-1752</v>
      </c>
      <c r="W134" s="454">
        <v>-1762</v>
      </c>
      <c r="X134" s="460">
        <v>-3</v>
      </c>
      <c r="Y134" s="453">
        <v>-219</v>
      </c>
      <c r="Z134" s="453">
        <v>-222</v>
      </c>
      <c r="AA134" s="454">
        <v>-1736</v>
      </c>
      <c r="AB134" s="453">
        <v>-4006</v>
      </c>
      <c r="AC134" s="453">
        <v>-6180</v>
      </c>
      <c r="AD134" s="453">
        <v>-10187</v>
      </c>
      <c r="AE134" s="454">
        <v>-14340</v>
      </c>
      <c r="AF134" s="453">
        <v>-1519</v>
      </c>
      <c r="AG134" s="453">
        <v>-2915</v>
      </c>
      <c r="AH134" s="453">
        <v>-4090</v>
      </c>
      <c r="AI134" s="454">
        <v>-5110</v>
      </c>
      <c r="AJ134" s="453">
        <v>-559</v>
      </c>
      <c r="AK134" s="453">
        <v>-1355</v>
      </c>
      <c r="AL134" s="453">
        <v>-1899</v>
      </c>
      <c r="AM134" s="454">
        <v>-2440</v>
      </c>
      <c r="AN134" s="453">
        <v>-572</v>
      </c>
      <c r="AO134" s="453">
        <v>-2924</v>
      </c>
      <c r="AP134" s="613">
        <v>-7106</v>
      </c>
      <c r="AQ134" s="454">
        <v>-10792</v>
      </c>
      <c r="AR134" s="453">
        <v>-750</v>
      </c>
      <c r="AS134" s="453">
        <v>-1447</v>
      </c>
      <c r="AT134" s="613">
        <v>-2476</v>
      </c>
      <c r="AU134" s="454">
        <v>-3001</v>
      </c>
      <c r="AV134" s="453">
        <v>-793</v>
      </c>
      <c r="AW134" s="453">
        <v>-1597</v>
      </c>
      <c r="AX134" s="613">
        <v>-2054</v>
      </c>
      <c r="AY134" s="454">
        <v>-2587</v>
      </c>
      <c r="AZ134" s="453">
        <v>-1242</v>
      </c>
      <c r="BA134" s="453">
        <v>-2518</v>
      </c>
      <c r="BB134" s="613">
        <v>-3611</v>
      </c>
      <c r="BC134" s="454">
        <v>-3615</v>
      </c>
      <c r="BD134" s="1284">
        <v>-1914</v>
      </c>
      <c r="BE134" s="451">
        <f t="shared" si="563"/>
        <v>-2414</v>
      </c>
      <c r="BF134" s="451">
        <f t="shared" si="564"/>
        <v>-2914</v>
      </c>
      <c r="BG134" s="452">
        <f t="shared" si="565"/>
        <v>-3414</v>
      </c>
      <c r="BH134" s="451">
        <f t="shared" si="566"/>
        <v>-500</v>
      </c>
      <c r="BI134" s="451">
        <f t="shared" si="567"/>
        <v>-1000</v>
      </c>
      <c r="BJ134" s="451">
        <f t="shared" si="568"/>
        <v>-1500</v>
      </c>
      <c r="BK134" s="452">
        <f t="shared" si="569"/>
        <v>-2000</v>
      </c>
      <c r="BL134" s="377"/>
      <c r="BM134" s="451">
        <f t="shared" ref="BM134:BY134" si="576">BM47</f>
        <v>-10637</v>
      </c>
      <c r="BN134" s="451">
        <f t="shared" si="576"/>
        <v>-4593</v>
      </c>
      <c r="BO134" s="451">
        <f t="shared" si="576"/>
        <v>-2788</v>
      </c>
      <c r="BP134" s="451">
        <f t="shared" si="576"/>
        <v>-7195</v>
      </c>
      <c r="BQ134" s="451">
        <f t="shared" si="576"/>
        <v>-1762</v>
      </c>
      <c r="BR134" s="451">
        <f t="shared" si="576"/>
        <v>-1736</v>
      </c>
      <c r="BS134" s="451">
        <f t="shared" si="576"/>
        <v>-14340</v>
      </c>
      <c r="BT134" s="451">
        <f t="shared" si="576"/>
        <v>-5110</v>
      </c>
      <c r="BU134" s="451">
        <f t="shared" si="576"/>
        <v>-2440</v>
      </c>
      <c r="BV134" s="451">
        <f t="shared" si="576"/>
        <v>-10792</v>
      </c>
      <c r="BW134" s="451">
        <f t="shared" si="576"/>
        <v>-3001</v>
      </c>
      <c r="BX134" s="451">
        <f t="shared" si="576"/>
        <v>-2587</v>
      </c>
      <c r="BY134" s="451">
        <f t="shared" si="576"/>
        <v>-3615</v>
      </c>
      <c r="BZ134" s="451">
        <f t="shared" ref="BZ134:CA134" si="577">BZ47</f>
        <v>-3414</v>
      </c>
      <c r="CA134" s="451">
        <f t="shared" si="577"/>
        <v>-2000</v>
      </c>
      <c r="CB134" s="1188">
        <f t="shared" si="571"/>
        <v>-2000</v>
      </c>
      <c r="CC134" s="37"/>
      <c r="CD134" s="26"/>
      <c r="CE134" s="26"/>
    </row>
    <row r="135" spans="1:83" ht="14.25" customHeight="1" outlineLevel="1">
      <c r="A135" s="18"/>
      <c r="B135" s="278" t="s">
        <v>278</v>
      </c>
      <c r="C135" s="103"/>
      <c r="D135" s="460">
        <v>-497</v>
      </c>
      <c r="E135" s="453">
        <v>-990</v>
      </c>
      <c r="F135" s="453">
        <v>-1476</v>
      </c>
      <c r="G135" s="454">
        <v>-1958</v>
      </c>
      <c r="H135" s="460">
        <v>-585</v>
      </c>
      <c r="I135" s="453">
        <v>-1167</v>
      </c>
      <c r="J135" s="453">
        <v>-1744</v>
      </c>
      <c r="K135" s="454">
        <v>-2320</v>
      </c>
      <c r="L135" s="460">
        <v>-650</v>
      </c>
      <c r="M135" s="453">
        <v>-1302</v>
      </c>
      <c r="N135" s="453">
        <v>-1959</v>
      </c>
      <c r="O135" s="454">
        <v>-2618</v>
      </c>
      <c r="P135" s="460">
        <v>-739</v>
      </c>
      <c r="Q135" s="453">
        <v>-1539</v>
      </c>
      <c r="R135" s="453">
        <v>-2322</v>
      </c>
      <c r="S135" s="454">
        <v>-3100</v>
      </c>
      <c r="T135" s="460">
        <v>-779</v>
      </c>
      <c r="U135" s="453">
        <v>-1563</v>
      </c>
      <c r="V135" s="453">
        <v>-2334</v>
      </c>
      <c r="W135" s="454">
        <v>-3108</v>
      </c>
      <c r="X135" s="460">
        <v>-870</v>
      </c>
      <c r="Y135" s="453">
        <v>-1747</v>
      </c>
      <c r="Z135" s="453">
        <v>-2624</v>
      </c>
      <c r="AA135" s="454">
        <v>-3503</v>
      </c>
      <c r="AB135" s="453">
        <v>-994</v>
      </c>
      <c r="AC135" s="453">
        <v>-1955</v>
      </c>
      <c r="AD135" s="453">
        <v>-3057</v>
      </c>
      <c r="AE135" s="454">
        <v>-4127</v>
      </c>
      <c r="AF135" s="453">
        <v>-1049</v>
      </c>
      <c r="AG135" s="453">
        <v>-2106</v>
      </c>
      <c r="AH135" s="453">
        <v>-3231</v>
      </c>
      <c r="AI135" s="454">
        <v>-4350</v>
      </c>
      <c r="AJ135" s="453">
        <v>-1114</v>
      </c>
      <c r="AK135" s="453">
        <v>-2237</v>
      </c>
      <c r="AL135" s="453">
        <v>-3358</v>
      </c>
      <c r="AM135" s="454">
        <v>-4479</v>
      </c>
      <c r="AN135" s="453">
        <v>-1119</v>
      </c>
      <c r="AO135" s="453">
        <v>-2245</v>
      </c>
      <c r="AP135" s="613">
        <v>-3340</v>
      </c>
      <c r="AQ135" s="454">
        <f>-4409</f>
        <v>-4409</v>
      </c>
      <c r="AR135" s="453">
        <v>-1137</v>
      </c>
      <c r="AS135" s="453">
        <v>-2283</v>
      </c>
      <c r="AT135" s="613">
        <v>-3423</v>
      </c>
      <c r="AU135" s="454">
        <v>-4556</v>
      </c>
      <c r="AV135" s="453">
        <v>-1228</v>
      </c>
      <c r="AW135" s="453">
        <v>-2461</v>
      </c>
      <c r="AX135" s="613">
        <v>-3692</v>
      </c>
      <c r="AY135" s="454">
        <v>-4925</v>
      </c>
      <c r="AZ135" s="453">
        <v>-1229</v>
      </c>
      <c r="BA135" s="453">
        <v>-2516</v>
      </c>
      <c r="BB135" s="613">
        <v>-3794</v>
      </c>
      <c r="BC135" s="454">
        <v>-5072</v>
      </c>
      <c r="BD135" s="1284">
        <v>-1400</v>
      </c>
      <c r="BE135" s="451">
        <f t="shared" si="563"/>
        <v>-2676.0020000000004</v>
      </c>
      <c r="BF135" s="451">
        <f t="shared" si="564"/>
        <v>-3952.0040000000008</v>
      </c>
      <c r="BG135" s="452">
        <f t="shared" si="565"/>
        <v>-5228.0060000000012</v>
      </c>
      <c r="BH135" s="451">
        <f t="shared" si="566"/>
        <v>-1276.0020000000002</v>
      </c>
      <c r="BI135" s="451">
        <f t="shared" si="567"/>
        <v>-2552.0040000000004</v>
      </c>
      <c r="BJ135" s="451">
        <f t="shared" si="568"/>
        <v>-3828.0060000000003</v>
      </c>
      <c r="BK135" s="452">
        <f t="shared" si="569"/>
        <v>-5104.0080000000007</v>
      </c>
      <c r="BL135" s="377"/>
      <c r="BM135" s="451">
        <f t="shared" ref="BM135:BY135" si="578">BM48</f>
        <v>-1958</v>
      </c>
      <c r="BN135" s="451">
        <f t="shared" si="578"/>
        <v>-2320</v>
      </c>
      <c r="BO135" s="451">
        <f t="shared" si="578"/>
        <v>-2618</v>
      </c>
      <c r="BP135" s="451">
        <f t="shared" si="578"/>
        <v>-3100</v>
      </c>
      <c r="BQ135" s="451">
        <f t="shared" si="578"/>
        <v>-3108</v>
      </c>
      <c r="BR135" s="451">
        <f t="shared" si="578"/>
        <v>-3503</v>
      </c>
      <c r="BS135" s="451">
        <f t="shared" si="578"/>
        <v>-4127</v>
      </c>
      <c r="BT135" s="451">
        <f t="shared" si="578"/>
        <v>-4350</v>
      </c>
      <c r="BU135" s="451">
        <f t="shared" si="578"/>
        <v>-4479</v>
      </c>
      <c r="BV135" s="451">
        <f t="shared" si="578"/>
        <v>-4409</v>
      </c>
      <c r="BW135" s="451">
        <f t="shared" si="578"/>
        <v>-4556</v>
      </c>
      <c r="BX135" s="451">
        <f t="shared" si="578"/>
        <v>-4925</v>
      </c>
      <c r="BY135" s="451">
        <f t="shared" si="578"/>
        <v>-5072</v>
      </c>
      <c r="BZ135" s="451">
        <f t="shared" ref="BZ135:CA135" si="579">BZ48</f>
        <v>-5228.0060000000012</v>
      </c>
      <c r="CA135" s="451">
        <f t="shared" si="579"/>
        <v>-5104.0080000000007</v>
      </c>
      <c r="CB135" s="1188">
        <f t="shared" si="571"/>
        <v>-5230.68</v>
      </c>
      <c r="CC135" s="37"/>
      <c r="CD135" s="26"/>
      <c r="CE135" s="26"/>
    </row>
    <row r="136" spans="1:83" ht="14.25" customHeight="1" outlineLevel="1">
      <c r="A136" s="24"/>
      <c r="B136" s="278" t="s">
        <v>279</v>
      </c>
      <c r="C136" s="103"/>
      <c r="D136" s="460">
        <v>0</v>
      </c>
      <c r="E136" s="453">
        <v>0</v>
      </c>
      <c r="F136" s="453">
        <v>0</v>
      </c>
      <c r="G136" s="454">
        <v>25</v>
      </c>
      <c r="H136" s="460">
        <f>4+61</f>
        <v>65</v>
      </c>
      <c r="I136" s="453">
        <f>18+106</f>
        <v>124</v>
      </c>
      <c r="J136" s="453">
        <f>18+114</f>
        <v>132</v>
      </c>
      <c r="K136" s="454">
        <f>69+123</f>
        <v>192</v>
      </c>
      <c r="L136" s="460">
        <f>26+18</f>
        <v>44</v>
      </c>
      <c r="M136" s="453">
        <f>82+56</f>
        <v>138</v>
      </c>
      <c r="N136" s="453">
        <f>84+80</f>
        <v>164</v>
      </c>
      <c r="O136" s="454">
        <f>160+118</f>
        <v>278</v>
      </c>
      <c r="P136" s="460">
        <v>7</v>
      </c>
      <c r="Q136" s="453">
        <v>28</v>
      </c>
      <c r="R136" s="453">
        <f>2+30</f>
        <v>32</v>
      </c>
      <c r="S136" s="454">
        <f>182+30</f>
        <v>212</v>
      </c>
      <c r="T136" s="460">
        <v>0</v>
      </c>
      <c r="U136" s="453">
        <v>0</v>
      </c>
      <c r="V136" s="453">
        <v>6</v>
      </c>
      <c r="W136" s="454">
        <v>9</v>
      </c>
      <c r="X136" s="460">
        <f>79+2</f>
        <v>81</v>
      </c>
      <c r="Y136" s="453">
        <f>79+62</f>
        <v>141</v>
      </c>
      <c r="Z136" s="453">
        <f>37+79+63</f>
        <v>179</v>
      </c>
      <c r="AA136" s="454">
        <f>79+65</f>
        <v>144</v>
      </c>
      <c r="AB136" s="453">
        <f>56+1</f>
        <v>57</v>
      </c>
      <c r="AC136" s="453">
        <f>56+26</f>
        <v>82</v>
      </c>
      <c r="AD136" s="453">
        <f>-5+56+28</f>
        <v>79</v>
      </c>
      <c r="AE136" s="454">
        <f>-10+124+37</f>
        <v>151</v>
      </c>
      <c r="AF136" s="453">
        <f>-305+19</f>
        <v>-286</v>
      </c>
      <c r="AG136" s="453">
        <f>134-310</f>
        <v>-176</v>
      </c>
      <c r="AH136" s="453">
        <f>-315+139+38</f>
        <v>-138</v>
      </c>
      <c r="AI136" s="454">
        <f>63+142-328</f>
        <v>-123</v>
      </c>
      <c r="AJ136" s="453">
        <f>-307+1</f>
        <v>-306</v>
      </c>
      <c r="AK136" s="453">
        <f>38-307</f>
        <v>-269</v>
      </c>
      <c r="AL136" s="453">
        <f>42-307</f>
        <v>-265</v>
      </c>
      <c r="AM136" s="454">
        <f>129+49-314</f>
        <v>-136</v>
      </c>
      <c r="AN136" s="453">
        <f>-200+7</f>
        <v>-193</v>
      </c>
      <c r="AO136" s="453">
        <f>-199+65</f>
        <v>-134</v>
      </c>
      <c r="AP136" s="613">
        <f>-199+109</f>
        <v>-90</v>
      </c>
      <c r="AQ136" s="454">
        <f>-325+325-199+104+122-332</f>
        <v>-305</v>
      </c>
      <c r="AR136" s="453">
        <f>22-213-51</f>
        <v>-242</v>
      </c>
      <c r="AS136" s="453">
        <f>-399+325-325-205+133</f>
        <v>-471</v>
      </c>
      <c r="AT136" s="613">
        <f>139-416+325-325-209</f>
        <v>-486</v>
      </c>
      <c r="AU136" s="454">
        <f>105+159+9476-442+325-325-221</f>
        <v>9077</v>
      </c>
      <c r="AV136" s="453">
        <f>13-63-10</f>
        <v>-60</v>
      </c>
      <c r="AW136" s="453">
        <f>88-394+54</f>
        <v>-252</v>
      </c>
      <c r="AX136" s="613">
        <f>111-434+44</f>
        <v>-279</v>
      </c>
      <c r="AY136" s="454">
        <f>-211-464+121</f>
        <v>-554</v>
      </c>
      <c r="AZ136" s="453">
        <f>-70+31</f>
        <v>-39</v>
      </c>
      <c r="BA136" s="453">
        <f>-404+204-500</f>
        <v>-700</v>
      </c>
      <c r="BB136" s="613">
        <f>161-1502-424</f>
        <v>-1765</v>
      </c>
      <c r="BC136" s="454">
        <v>-194</v>
      </c>
      <c r="BD136" s="451">
        <f t="shared" si="562"/>
        <v>3475</v>
      </c>
      <c r="BE136" s="451">
        <f t="shared" si="563"/>
        <v>3475</v>
      </c>
      <c r="BF136" s="451">
        <f t="shared" si="564"/>
        <v>3475</v>
      </c>
      <c r="BG136" s="452">
        <f t="shared" si="565"/>
        <v>3475</v>
      </c>
      <c r="BH136" s="451">
        <f t="shared" si="566"/>
        <v>0</v>
      </c>
      <c r="BI136" s="451">
        <f t="shared" si="567"/>
        <v>0</v>
      </c>
      <c r="BJ136" s="451">
        <f t="shared" si="568"/>
        <v>0</v>
      </c>
      <c r="BK136" s="452">
        <f t="shared" si="569"/>
        <v>0</v>
      </c>
      <c r="BL136" s="377"/>
      <c r="BM136" s="451">
        <f t="shared" ref="BM136:BY136" si="580">BM49</f>
        <v>25</v>
      </c>
      <c r="BN136" s="451">
        <f t="shared" si="580"/>
        <v>192</v>
      </c>
      <c r="BO136" s="451">
        <f t="shared" si="580"/>
        <v>278</v>
      </c>
      <c r="BP136" s="451">
        <f t="shared" si="580"/>
        <v>212</v>
      </c>
      <c r="BQ136" s="451">
        <f t="shared" si="580"/>
        <v>9</v>
      </c>
      <c r="BR136" s="451">
        <f t="shared" si="580"/>
        <v>144</v>
      </c>
      <c r="BS136" s="451">
        <f t="shared" si="580"/>
        <v>151</v>
      </c>
      <c r="BT136" s="451">
        <f t="shared" si="580"/>
        <v>-123</v>
      </c>
      <c r="BU136" s="451">
        <f t="shared" si="580"/>
        <v>-136</v>
      </c>
      <c r="BV136" s="451">
        <f t="shared" si="580"/>
        <v>-305</v>
      </c>
      <c r="BW136" s="451">
        <f t="shared" si="580"/>
        <v>9077</v>
      </c>
      <c r="BX136" s="451">
        <f t="shared" si="580"/>
        <v>-554</v>
      </c>
      <c r="BY136" s="451">
        <f t="shared" si="580"/>
        <v>-194</v>
      </c>
      <c r="BZ136" s="451">
        <f t="shared" ref="BZ136:CA136" si="581">BZ49</f>
        <v>3475</v>
      </c>
      <c r="CA136" s="451">
        <f t="shared" si="581"/>
        <v>0</v>
      </c>
      <c r="CB136" s="1188">
        <f t="shared" si="571"/>
        <v>0</v>
      </c>
      <c r="CC136" s="297"/>
      <c r="CD136" s="201"/>
      <c r="CE136" s="201"/>
    </row>
    <row r="137" spans="1:83" ht="14.25" customHeight="1" outlineLevel="1" thickBot="1">
      <c r="A137" s="18"/>
      <c r="B137" s="455" t="s">
        <v>280</v>
      </c>
      <c r="C137" s="456"/>
      <c r="D137" s="457">
        <f t="shared" ref="D137:AP137" si="582">SUM(D131:D136)</f>
        <v>-2553</v>
      </c>
      <c r="E137" s="458">
        <f t="shared" si="582"/>
        <v>-5159</v>
      </c>
      <c r="F137" s="458">
        <f t="shared" si="582"/>
        <v>-7854</v>
      </c>
      <c r="G137" s="459">
        <f t="shared" si="582"/>
        <v>-9519</v>
      </c>
      <c r="H137" s="457">
        <f t="shared" si="582"/>
        <v>-3171</v>
      </c>
      <c r="I137" s="458">
        <f t="shared" si="582"/>
        <v>-4803</v>
      </c>
      <c r="J137" s="458">
        <f t="shared" si="582"/>
        <v>-5981</v>
      </c>
      <c r="K137" s="459">
        <f t="shared" si="582"/>
        <v>-6370</v>
      </c>
      <c r="L137" s="457">
        <f t="shared" si="582"/>
        <v>-462</v>
      </c>
      <c r="M137" s="458">
        <f t="shared" si="582"/>
        <v>-262</v>
      </c>
      <c r="N137" s="458">
        <f t="shared" si="582"/>
        <v>-843</v>
      </c>
      <c r="O137" s="459">
        <f t="shared" si="582"/>
        <v>-1990</v>
      </c>
      <c r="P137" s="457">
        <f t="shared" si="582"/>
        <v>-2718</v>
      </c>
      <c r="Q137" s="458">
        <f t="shared" si="582"/>
        <v>-5727</v>
      </c>
      <c r="R137" s="458">
        <f t="shared" si="582"/>
        <v>-8057</v>
      </c>
      <c r="S137" s="459">
        <f t="shared" si="582"/>
        <v>-9018</v>
      </c>
      <c r="T137" s="457">
        <f t="shared" si="582"/>
        <v>-601</v>
      </c>
      <c r="U137" s="458">
        <f t="shared" si="582"/>
        <v>-1470</v>
      </c>
      <c r="V137" s="458">
        <f t="shared" si="582"/>
        <v>-1810</v>
      </c>
      <c r="W137" s="459">
        <f t="shared" si="582"/>
        <v>-2568</v>
      </c>
      <c r="X137" s="457">
        <f t="shared" si="582"/>
        <v>-406</v>
      </c>
      <c r="Y137" s="458">
        <f t="shared" si="582"/>
        <v>-1396</v>
      </c>
      <c r="Z137" s="458">
        <f t="shared" si="582"/>
        <v>-2045</v>
      </c>
      <c r="AA137" s="459">
        <f t="shared" si="582"/>
        <v>-4642</v>
      </c>
      <c r="AB137" s="458">
        <f t="shared" si="582"/>
        <v>-4688</v>
      </c>
      <c r="AC137" s="458">
        <f t="shared" si="582"/>
        <v>-7433</v>
      </c>
      <c r="AD137" s="458">
        <f t="shared" si="582"/>
        <v>-7250</v>
      </c>
      <c r="AE137" s="459">
        <f t="shared" si="582"/>
        <v>-11100</v>
      </c>
      <c r="AF137" s="458">
        <f t="shared" si="582"/>
        <v>-1495</v>
      </c>
      <c r="AG137" s="458">
        <f t="shared" si="582"/>
        <v>-3671</v>
      </c>
      <c r="AH137" s="458">
        <f t="shared" si="582"/>
        <v>-5675</v>
      </c>
      <c r="AI137" s="459">
        <f t="shared" si="582"/>
        <v>-1408</v>
      </c>
      <c r="AJ137" s="458">
        <f t="shared" si="582"/>
        <v>-1738</v>
      </c>
      <c r="AK137" s="458">
        <f t="shared" si="582"/>
        <v>-2870</v>
      </c>
      <c r="AL137" s="458">
        <f t="shared" si="582"/>
        <v>-4176</v>
      </c>
      <c r="AM137" s="459">
        <f t="shared" si="582"/>
        <v>-5498</v>
      </c>
      <c r="AN137" s="458">
        <f>SUM(AN131:AN136)</f>
        <v>-1650</v>
      </c>
      <c r="AO137" s="458">
        <f t="shared" si="582"/>
        <v>-4565</v>
      </c>
      <c r="AP137" s="458">
        <f t="shared" si="582"/>
        <v>-9172</v>
      </c>
      <c r="AQ137" s="459">
        <f>SUM(AQ131:AQ136)</f>
        <v>-13611</v>
      </c>
      <c r="AR137" s="458">
        <f>SUM(AR131:AR136)</f>
        <v>-2274</v>
      </c>
      <c r="AS137" s="458">
        <f t="shared" ref="AS137:AT137" si="583">SUM(AS131:AS136)</f>
        <v>-4219</v>
      </c>
      <c r="AT137" s="458">
        <f t="shared" si="583"/>
        <v>1824</v>
      </c>
      <c r="AU137" s="459">
        <f>SUM(AU131:AU136)</f>
        <v>1912</v>
      </c>
      <c r="AV137" s="458">
        <f t="shared" ref="AV137:AZ137" si="584">SUM(AV131:AV136)</f>
        <v>-782</v>
      </c>
      <c r="AW137" s="458">
        <f t="shared" si="584"/>
        <v>367</v>
      </c>
      <c r="AX137" s="458">
        <f t="shared" si="584"/>
        <v>-1841</v>
      </c>
      <c r="AY137" s="459">
        <f>SUM(AY131:AY136)</f>
        <v>-5739</v>
      </c>
      <c r="AZ137" s="458">
        <f t="shared" si="584"/>
        <v>-1746</v>
      </c>
      <c r="BA137" s="458">
        <f t="shared" ref="BA137:BB137" si="585">SUM(BA131:BA136)</f>
        <v>1738</v>
      </c>
      <c r="BB137" s="458">
        <f t="shared" si="585"/>
        <v>-822</v>
      </c>
      <c r="BC137" s="459">
        <f>SUM(BC131:BC136)</f>
        <v>-8475</v>
      </c>
      <c r="BD137" s="458">
        <f t="shared" ref="BD137" si="586">SUM(BD131:BD136)</f>
        <v>1960</v>
      </c>
      <c r="BE137" s="458">
        <f t="shared" ref="BE137:BH137" si="587">SUM(BE131:BE136)</f>
        <v>183.99799999999959</v>
      </c>
      <c r="BF137" s="458">
        <f t="shared" si="587"/>
        <v>-1592.0040000000008</v>
      </c>
      <c r="BG137" s="459">
        <f t="shared" si="587"/>
        <v>-3368.0060000000012</v>
      </c>
      <c r="BH137" s="458">
        <f t="shared" si="587"/>
        <v>-1776.0020000000002</v>
      </c>
      <c r="BI137" s="458">
        <f t="shared" ref="BI137:BK137" si="588">SUM(BI131:BI136)</f>
        <v>-3552.0040000000004</v>
      </c>
      <c r="BJ137" s="458">
        <f t="shared" si="588"/>
        <v>-5328.0060000000003</v>
      </c>
      <c r="BK137" s="459">
        <f t="shared" si="588"/>
        <v>-7104.0080000000007</v>
      </c>
      <c r="BL137" s="377"/>
      <c r="BM137" s="458">
        <f t="shared" ref="BM137:BY137" si="589">SUM(BM131:BM136)</f>
        <v>-9519</v>
      </c>
      <c r="BN137" s="458">
        <f t="shared" si="589"/>
        <v>-6370</v>
      </c>
      <c r="BO137" s="458">
        <f t="shared" si="589"/>
        <v>-1990</v>
      </c>
      <c r="BP137" s="458">
        <f t="shared" si="589"/>
        <v>-9018</v>
      </c>
      <c r="BQ137" s="458">
        <f t="shared" si="589"/>
        <v>-2568</v>
      </c>
      <c r="BR137" s="458">
        <f t="shared" si="589"/>
        <v>-4642</v>
      </c>
      <c r="BS137" s="458">
        <f t="shared" si="589"/>
        <v>-11100</v>
      </c>
      <c r="BT137" s="458">
        <f t="shared" si="589"/>
        <v>-1408</v>
      </c>
      <c r="BU137" s="458">
        <f t="shared" si="589"/>
        <v>-5498</v>
      </c>
      <c r="BV137" s="458">
        <f t="shared" si="589"/>
        <v>-13611</v>
      </c>
      <c r="BW137" s="458">
        <f>SUM(BW131:BW136)</f>
        <v>1912</v>
      </c>
      <c r="BX137" s="458">
        <f t="shared" si="589"/>
        <v>-5739</v>
      </c>
      <c r="BY137" s="458">
        <f t="shared" si="589"/>
        <v>-8475</v>
      </c>
      <c r="BZ137" s="458">
        <f t="shared" ref="BZ137:CB137" si="590">SUM(BZ131:BZ136)</f>
        <v>-3368.0060000000012</v>
      </c>
      <c r="CA137" s="458">
        <f t="shared" si="590"/>
        <v>-7104.0080000000007</v>
      </c>
      <c r="CB137" s="459">
        <f t="shared" si="590"/>
        <v>-7230.68</v>
      </c>
      <c r="CC137" s="37"/>
      <c r="CD137" s="26"/>
      <c r="CE137" s="26"/>
    </row>
    <row r="138" spans="1:83" ht="14.25" customHeight="1" outlineLevel="1" thickTop="1">
      <c r="A138" s="18"/>
      <c r="B138" s="389"/>
      <c r="C138" s="128"/>
      <c r="D138" s="464"/>
      <c r="E138" s="465"/>
      <c r="F138" s="465"/>
      <c r="G138" s="467"/>
      <c r="H138" s="464"/>
      <c r="I138" s="465"/>
      <c r="J138" s="465"/>
      <c r="K138" s="467"/>
      <c r="L138" s="464"/>
      <c r="M138" s="465"/>
      <c r="N138" s="465"/>
      <c r="O138" s="467"/>
      <c r="P138" s="464"/>
      <c r="Q138" s="465"/>
      <c r="R138" s="465"/>
      <c r="S138" s="467"/>
      <c r="T138" s="464"/>
      <c r="U138" s="465"/>
      <c r="V138" s="465"/>
      <c r="W138" s="467"/>
      <c r="X138" s="464"/>
      <c r="Y138" s="465"/>
      <c r="Z138" s="465"/>
      <c r="AA138" s="467"/>
      <c r="AB138" s="465"/>
      <c r="AC138" s="465"/>
      <c r="AD138" s="465"/>
      <c r="AE138" s="467"/>
      <c r="AF138" s="465"/>
      <c r="AG138" s="465"/>
      <c r="AH138" s="465"/>
      <c r="AI138" s="467"/>
      <c r="AJ138" s="465"/>
      <c r="AK138" s="465"/>
      <c r="AL138" s="465"/>
      <c r="AM138" s="467"/>
      <c r="AN138" s="465"/>
      <c r="AO138" s="465"/>
      <c r="AP138" s="465"/>
      <c r="AQ138" s="467"/>
      <c r="AR138" s="465"/>
      <c r="AS138" s="465"/>
      <c r="AT138" s="465"/>
      <c r="AU138" s="467"/>
      <c r="AV138" s="465"/>
      <c r="AW138" s="465"/>
      <c r="AX138" s="465"/>
      <c r="AY138" s="467"/>
      <c r="AZ138" s="465"/>
      <c r="BA138" s="465"/>
      <c r="BB138" s="465"/>
      <c r="BC138" s="467"/>
      <c r="BD138" s="465"/>
      <c r="BE138" s="465"/>
      <c r="BF138" s="465"/>
      <c r="BG138" s="467"/>
      <c r="BH138" s="465"/>
      <c r="BI138" s="465"/>
      <c r="BJ138" s="465"/>
      <c r="BK138" s="467"/>
      <c r="BL138" s="377"/>
      <c r="BM138" s="465"/>
      <c r="BN138" s="465"/>
      <c r="BO138" s="465"/>
      <c r="BP138" s="465"/>
      <c r="BQ138" s="465"/>
      <c r="BR138" s="465"/>
      <c r="BS138" s="465"/>
      <c r="BT138" s="465"/>
      <c r="BU138" s="465"/>
      <c r="BV138" s="465"/>
      <c r="BW138" s="465"/>
      <c r="BX138" s="465"/>
      <c r="BY138" s="465"/>
      <c r="BZ138" s="465"/>
      <c r="CA138" s="465"/>
      <c r="CB138" s="1185"/>
      <c r="CC138" s="37"/>
      <c r="CD138" s="26"/>
      <c r="CE138" s="26"/>
    </row>
    <row r="139" spans="1:83" ht="14.25" customHeight="1" outlineLevel="1">
      <c r="A139" s="18"/>
      <c r="B139" s="389" t="s">
        <v>281</v>
      </c>
      <c r="C139" s="128"/>
      <c r="D139" s="460">
        <v>0</v>
      </c>
      <c r="E139" s="453">
        <v>0</v>
      </c>
      <c r="F139" s="453">
        <v>0</v>
      </c>
      <c r="G139" s="454">
        <v>0</v>
      </c>
      <c r="H139" s="460">
        <v>0</v>
      </c>
      <c r="I139" s="453">
        <v>0</v>
      </c>
      <c r="J139" s="453">
        <v>0</v>
      </c>
      <c r="K139" s="454">
        <v>0</v>
      </c>
      <c r="L139" s="460">
        <v>0</v>
      </c>
      <c r="M139" s="453">
        <v>0</v>
      </c>
      <c r="N139" s="453">
        <v>0</v>
      </c>
      <c r="O139" s="454">
        <v>0</v>
      </c>
      <c r="P139" s="460">
        <v>0</v>
      </c>
      <c r="Q139" s="453">
        <v>0</v>
      </c>
      <c r="R139" s="453">
        <v>0</v>
      </c>
      <c r="S139" s="454">
        <v>0</v>
      </c>
      <c r="T139" s="460">
        <v>0</v>
      </c>
      <c r="U139" s="453">
        <v>0</v>
      </c>
      <c r="V139" s="453">
        <v>0</v>
      </c>
      <c r="W139" s="454">
        <v>0</v>
      </c>
      <c r="X139" s="460">
        <v>0</v>
      </c>
      <c r="Y139" s="453">
        <v>0</v>
      </c>
      <c r="Z139" s="453">
        <v>0</v>
      </c>
      <c r="AA139" s="454">
        <v>0</v>
      </c>
      <c r="AB139" s="453">
        <v>9</v>
      </c>
      <c r="AC139" s="453">
        <v>13</v>
      </c>
      <c r="AD139" s="453">
        <v>10</v>
      </c>
      <c r="AE139" s="454">
        <v>5</v>
      </c>
      <c r="AF139" s="453">
        <v>-2</v>
      </c>
      <c r="AG139" s="453">
        <v>-6</v>
      </c>
      <c r="AH139" s="453">
        <v>0</v>
      </c>
      <c r="AI139" s="454">
        <v>-3</v>
      </c>
      <c r="AJ139" s="453">
        <v>-10</v>
      </c>
      <c r="AK139" s="453">
        <v>-8</v>
      </c>
      <c r="AL139" s="453">
        <v>-7</v>
      </c>
      <c r="AM139" s="454">
        <v>-9</v>
      </c>
      <c r="AN139" s="453">
        <v>1</v>
      </c>
      <c r="AO139" s="453">
        <v>1</v>
      </c>
      <c r="AP139" s="453">
        <v>-5</v>
      </c>
      <c r="AQ139" s="454">
        <v>-15</v>
      </c>
      <c r="AR139" s="453">
        <v>-9</v>
      </c>
      <c r="AS139" s="453">
        <v>1</v>
      </c>
      <c r="AT139" s="453">
        <v>1</v>
      </c>
      <c r="AU139" s="454">
        <v>1</v>
      </c>
      <c r="AV139" s="453">
        <v>0</v>
      </c>
      <c r="AW139" s="453">
        <v>0</v>
      </c>
      <c r="AX139" s="453">
        <v>0</v>
      </c>
      <c r="AY139" s="454">
        <v>0</v>
      </c>
      <c r="AZ139" s="453">
        <v>0</v>
      </c>
      <c r="BA139" s="453">
        <v>0</v>
      </c>
      <c r="BB139" s="453">
        <v>0</v>
      </c>
      <c r="BC139" s="454">
        <v>0</v>
      </c>
      <c r="BD139" s="453">
        <v>0</v>
      </c>
      <c r="BE139" s="451">
        <f>BD139+BE52</f>
        <v>0</v>
      </c>
      <c r="BF139" s="451">
        <f>BE139+BF52</f>
        <v>0</v>
      </c>
      <c r="BG139" s="452">
        <f>BF139+BG52</f>
        <v>0</v>
      </c>
      <c r="BH139" s="453">
        <v>0</v>
      </c>
      <c r="BI139" s="451">
        <f>BH139+BI52</f>
        <v>0</v>
      </c>
      <c r="BJ139" s="451">
        <f>BI139+BJ52</f>
        <v>0</v>
      </c>
      <c r="BK139" s="452">
        <f>BJ139+BK52</f>
        <v>0</v>
      </c>
      <c r="BL139" s="377"/>
      <c r="BM139" s="451">
        <f t="shared" ref="BM139:BY139" si="591">BM52</f>
        <v>0</v>
      </c>
      <c r="BN139" s="451">
        <f t="shared" si="591"/>
        <v>0</v>
      </c>
      <c r="BO139" s="451">
        <f t="shared" si="591"/>
        <v>0</v>
      </c>
      <c r="BP139" s="451">
        <f t="shared" si="591"/>
        <v>0</v>
      </c>
      <c r="BQ139" s="451">
        <f t="shared" si="591"/>
        <v>0</v>
      </c>
      <c r="BR139" s="451">
        <f t="shared" si="591"/>
        <v>0</v>
      </c>
      <c r="BS139" s="451">
        <f t="shared" si="591"/>
        <v>5</v>
      </c>
      <c r="BT139" s="451">
        <f t="shared" si="591"/>
        <v>-3</v>
      </c>
      <c r="BU139" s="451">
        <f t="shared" si="591"/>
        <v>-9</v>
      </c>
      <c r="BV139" s="451">
        <f t="shared" si="591"/>
        <v>-15</v>
      </c>
      <c r="BW139" s="451">
        <f t="shared" si="591"/>
        <v>1</v>
      </c>
      <c r="BX139" s="451">
        <f t="shared" si="591"/>
        <v>0</v>
      </c>
      <c r="BY139" s="451">
        <f t="shared" si="591"/>
        <v>0</v>
      </c>
      <c r="BZ139" s="451">
        <f t="shared" ref="BZ139:CB139" si="592">BZ52</f>
        <v>0</v>
      </c>
      <c r="CA139" s="451">
        <f t="shared" si="592"/>
        <v>0</v>
      </c>
      <c r="CB139" s="1188">
        <f t="shared" si="592"/>
        <v>0</v>
      </c>
      <c r="CC139" s="37"/>
      <c r="CD139" s="26"/>
      <c r="CE139" s="26"/>
    </row>
    <row r="140" spans="1:83" ht="14.25" customHeight="1" outlineLevel="1">
      <c r="A140" s="18"/>
      <c r="B140" s="389"/>
      <c r="C140" s="128"/>
      <c r="D140" s="470"/>
      <c r="E140" s="468"/>
      <c r="F140" s="468"/>
      <c r="G140" s="469"/>
      <c r="H140" s="470"/>
      <c r="I140" s="468"/>
      <c r="J140" s="468"/>
      <c r="K140" s="469"/>
      <c r="L140" s="470"/>
      <c r="M140" s="468"/>
      <c r="N140" s="468"/>
      <c r="O140" s="469"/>
      <c r="P140" s="470"/>
      <c r="Q140" s="468"/>
      <c r="R140" s="468"/>
      <c r="S140" s="469"/>
      <c r="T140" s="470"/>
      <c r="U140" s="468"/>
      <c r="V140" s="468"/>
      <c r="W140" s="469"/>
      <c r="X140" s="470"/>
      <c r="Y140" s="468"/>
      <c r="Z140" s="468"/>
      <c r="AA140" s="469"/>
      <c r="AB140" s="468"/>
      <c r="AC140" s="468"/>
      <c r="AD140" s="468"/>
      <c r="AE140" s="469"/>
      <c r="AF140" s="470"/>
      <c r="AG140" s="468"/>
      <c r="AH140" s="468"/>
      <c r="AI140" s="469"/>
      <c r="AJ140" s="470"/>
      <c r="AK140" s="468"/>
      <c r="AL140" s="468"/>
      <c r="AM140" s="469"/>
      <c r="AN140" s="470"/>
      <c r="AO140" s="468"/>
      <c r="AP140" s="468"/>
      <c r="AQ140" s="469"/>
      <c r="AR140" s="470"/>
      <c r="AS140" s="468"/>
      <c r="AT140" s="468"/>
      <c r="AU140" s="469"/>
      <c r="AV140" s="470"/>
      <c r="AW140" s="468"/>
      <c r="AX140" s="468"/>
      <c r="AY140" s="469"/>
      <c r="AZ140" s="470"/>
      <c r="BA140" s="468"/>
      <c r="BB140" s="468"/>
      <c r="BC140" s="469"/>
      <c r="BD140" s="470"/>
      <c r="BE140" s="468"/>
      <c r="BF140" s="468"/>
      <c r="BG140" s="469"/>
      <c r="BH140" s="470"/>
      <c r="BI140" s="468"/>
      <c r="BJ140" s="468"/>
      <c r="BK140" s="469"/>
      <c r="BL140" s="377"/>
      <c r="BM140" s="468"/>
      <c r="BN140" s="468"/>
      <c r="BO140" s="468"/>
      <c r="BP140" s="468"/>
      <c r="BQ140" s="468"/>
      <c r="BR140" s="468"/>
      <c r="BS140" s="468"/>
      <c r="BT140" s="468"/>
      <c r="BU140" s="468"/>
      <c r="BV140" s="468"/>
      <c r="BW140" s="468"/>
      <c r="BX140" s="468"/>
      <c r="BY140" s="468"/>
      <c r="BZ140" s="468"/>
      <c r="CA140" s="468"/>
      <c r="CB140" s="1190"/>
      <c r="CC140" s="37"/>
      <c r="CD140" s="26"/>
      <c r="CE140" s="26"/>
    </row>
    <row r="141" spans="1:83" ht="14.25" customHeight="1" outlineLevel="1">
      <c r="A141" s="18"/>
      <c r="B141" s="389" t="s">
        <v>282</v>
      </c>
      <c r="C141" s="128"/>
      <c r="D141" s="470">
        <v>8407</v>
      </c>
      <c r="E141" s="465">
        <f>D141</f>
        <v>8407</v>
      </c>
      <c r="F141" s="465">
        <f>D141</f>
        <v>8407</v>
      </c>
      <c r="G141" s="467">
        <f>D141</f>
        <v>8407</v>
      </c>
      <c r="H141" s="464">
        <f>G144</f>
        <v>7324</v>
      </c>
      <c r="I141" s="465">
        <f>H141</f>
        <v>7324</v>
      </c>
      <c r="J141" s="465">
        <f>H141</f>
        <v>7324</v>
      </c>
      <c r="K141" s="467">
        <f>H141</f>
        <v>7324</v>
      </c>
      <c r="L141" s="464">
        <f>K144</f>
        <v>6598</v>
      </c>
      <c r="M141" s="465">
        <f>L141</f>
        <v>6598</v>
      </c>
      <c r="N141" s="465">
        <f>L141</f>
        <v>6598</v>
      </c>
      <c r="O141" s="467">
        <f>L141</f>
        <v>6598</v>
      </c>
      <c r="P141" s="464">
        <f>O144</f>
        <v>7307</v>
      </c>
      <c r="Q141" s="465">
        <f>P141</f>
        <v>7307</v>
      </c>
      <c r="R141" s="465">
        <f>P141</f>
        <v>7307</v>
      </c>
      <c r="S141" s="467">
        <f>P141</f>
        <v>7307</v>
      </c>
      <c r="T141" s="464">
        <f>S144</f>
        <v>3350</v>
      </c>
      <c r="U141" s="465">
        <f>T141</f>
        <v>3350</v>
      </c>
      <c r="V141" s="465">
        <f>T141</f>
        <v>3350</v>
      </c>
      <c r="W141" s="467">
        <f>T141</f>
        <v>3350</v>
      </c>
      <c r="X141" s="464">
        <f>W144</f>
        <v>3987</v>
      </c>
      <c r="Y141" s="465">
        <f>X141</f>
        <v>3987</v>
      </c>
      <c r="Z141" s="465">
        <f>X141</f>
        <v>3987</v>
      </c>
      <c r="AA141" s="467">
        <f>X141</f>
        <v>3987</v>
      </c>
      <c r="AB141" s="465">
        <f>AA144</f>
        <v>5498</v>
      </c>
      <c r="AC141" s="465">
        <f>AB141</f>
        <v>5498</v>
      </c>
      <c r="AD141" s="465">
        <f>AC141</f>
        <v>5498</v>
      </c>
      <c r="AE141" s="467">
        <f>AB141</f>
        <v>5498</v>
      </c>
      <c r="AF141" s="464">
        <f>AE144</f>
        <v>5065</v>
      </c>
      <c r="AG141" s="465">
        <f>AF141</f>
        <v>5065</v>
      </c>
      <c r="AH141" s="465">
        <f>AG141</f>
        <v>5065</v>
      </c>
      <c r="AI141" s="467">
        <f>AF141</f>
        <v>5065</v>
      </c>
      <c r="AJ141" s="464">
        <f>AI144</f>
        <v>8478</v>
      </c>
      <c r="AK141" s="465">
        <f>AJ141</f>
        <v>8478</v>
      </c>
      <c r="AL141" s="465">
        <f>AK141</f>
        <v>8478</v>
      </c>
      <c r="AM141" s="467">
        <f>AJ141</f>
        <v>8478</v>
      </c>
      <c r="AN141" s="464">
        <f>AM144</f>
        <v>5674</v>
      </c>
      <c r="AO141" s="465">
        <f>AN141</f>
        <v>5674</v>
      </c>
      <c r="AP141" s="465">
        <f>AN141</f>
        <v>5674</v>
      </c>
      <c r="AQ141" s="467">
        <f>AN141</f>
        <v>5674</v>
      </c>
      <c r="AR141" s="464">
        <f>AQ144</f>
        <v>2561</v>
      </c>
      <c r="AS141" s="465">
        <f>AR141</f>
        <v>2561</v>
      </c>
      <c r="AT141" s="465">
        <f>AR141</f>
        <v>2561</v>
      </c>
      <c r="AU141" s="467">
        <f>AR141</f>
        <v>2561</v>
      </c>
      <c r="AV141" s="464">
        <f>AU144</f>
        <v>15308</v>
      </c>
      <c r="AW141" s="465">
        <f>AV141</f>
        <v>15308</v>
      </c>
      <c r="AX141" s="465">
        <f>AV141</f>
        <v>15308</v>
      </c>
      <c r="AY141" s="467">
        <f>AV141</f>
        <v>15308</v>
      </c>
      <c r="AZ141" s="464">
        <f>AY144</f>
        <v>5560</v>
      </c>
      <c r="BA141" s="465">
        <f>AZ141</f>
        <v>5560</v>
      </c>
      <c r="BB141" s="465">
        <f>AZ141</f>
        <v>5560</v>
      </c>
      <c r="BC141" s="467">
        <f>AZ141</f>
        <v>5560</v>
      </c>
      <c r="BD141" s="464">
        <f>BC144</f>
        <v>3433</v>
      </c>
      <c r="BE141" s="465">
        <f>BD141</f>
        <v>3433</v>
      </c>
      <c r="BF141" s="465">
        <f>BD141</f>
        <v>3433</v>
      </c>
      <c r="BG141" s="467">
        <f>BD141</f>
        <v>3433</v>
      </c>
      <c r="BH141" s="464">
        <f>BG144</f>
        <v>9235.1130779386513</v>
      </c>
      <c r="BI141" s="465">
        <f>BH141</f>
        <v>9235.1130779386513</v>
      </c>
      <c r="BJ141" s="465">
        <f>BH141</f>
        <v>9235.1130779386513</v>
      </c>
      <c r="BK141" s="467">
        <f>BH141</f>
        <v>9235.1130779386513</v>
      </c>
      <c r="BL141" s="377"/>
      <c r="BM141" s="465">
        <f>BM54</f>
        <v>8407</v>
      </c>
      <c r="BN141" s="465">
        <f t="shared" ref="BN141:CB141" si="593">BM144</f>
        <v>7324</v>
      </c>
      <c r="BO141" s="465">
        <f t="shared" si="593"/>
        <v>6598</v>
      </c>
      <c r="BP141" s="465">
        <f t="shared" si="593"/>
        <v>7307</v>
      </c>
      <c r="BQ141" s="465">
        <f t="shared" si="593"/>
        <v>3350</v>
      </c>
      <c r="BR141" s="465">
        <f t="shared" si="593"/>
        <v>3987</v>
      </c>
      <c r="BS141" s="465">
        <f t="shared" si="593"/>
        <v>5498</v>
      </c>
      <c r="BT141" s="465">
        <f t="shared" si="593"/>
        <v>5065</v>
      </c>
      <c r="BU141" s="465">
        <f t="shared" si="593"/>
        <v>8478</v>
      </c>
      <c r="BV141" s="465">
        <f t="shared" si="593"/>
        <v>5674</v>
      </c>
      <c r="BW141" s="465">
        <f t="shared" si="593"/>
        <v>2561</v>
      </c>
      <c r="BX141" s="465">
        <f t="shared" si="593"/>
        <v>15308</v>
      </c>
      <c r="BY141" s="465">
        <f t="shared" si="593"/>
        <v>5560</v>
      </c>
      <c r="BZ141" s="465">
        <f t="shared" si="593"/>
        <v>3433</v>
      </c>
      <c r="CA141" s="465">
        <f t="shared" si="593"/>
        <v>9235.1130779386585</v>
      </c>
      <c r="CB141" s="1185">
        <f t="shared" si="593"/>
        <v>16215.374073973693</v>
      </c>
      <c r="CC141" s="37"/>
      <c r="CD141" s="26"/>
      <c r="CE141" s="26"/>
    </row>
    <row r="142" spans="1:83" ht="14.25" customHeight="1" outlineLevel="1">
      <c r="A142" s="18"/>
      <c r="B142" s="389" t="s">
        <v>283</v>
      </c>
      <c r="C142" s="128"/>
      <c r="D142" s="470"/>
      <c r="E142" s="468"/>
      <c r="F142" s="468"/>
      <c r="G142" s="469"/>
      <c r="H142" s="470"/>
      <c r="I142" s="468"/>
      <c r="J142" s="468"/>
      <c r="K142" s="469"/>
      <c r="L142" s="470"/>
      <c r="M142" s="468"/>
      <c r="N142" s="468"/>
      <c r="O142" s="469"/>
      <c r="P142" s="470"/>
      <c r="Q142" s="468"/>
      <c r="R142" s="468"/>
      <c r="S142" s="469"/>
      <c r="T142" s="470"/>
      <c r="U142" s="468"/>
      <c r="V142" s="468"/>
      <c r="W142" s="469"/>
      <c r="X142" s="470"/>
      <c r="Y142" s="468"/>
      <c r="Z142" s="468"/>
      <c r="AA142" s="469"/>
      <c r="AB142" s="468"/>
      <c r="AC142" s="468"/>
      <c r="AD142" s="468"/>
      <c r="AE142" s="469"/>
      <c r="AF142" s="468"/>
      <c r="AG142" s="468"/>
      <c r="AH142" s="468"/>
      <c r="AI142" s="469"/>
      <c r="AJ142" s="468"/>
      <c r="AK142" s="468"/>
      <c r="AL142" s="468"/>
      <c r="AM142" s="469"/>
      <c r="AN142" s="468"/>
      <c r="AO142" s="451"/>
      <c r="AP142" s="451"/>
      <c r="AQ142" s="469"/>
      <c r="AR142" s="468"/>
      <c r="AS142" s="451">
        <v>0</v>
      </c>
      <c r="AT142" s="451"/>
      <c r="AU142" s="469"/>
      <c r="AV142" s="468"/>
      <c r="AW142" s="451">
        <v>0</v>
      </c>
      <c r="AX142" s="451"/>
      <c r="AY142" s="469"/>
      <c r="AZ142" s="451">
        <v>0</v>
      </c>
      <c r="BA142" s="451">
        <v>0</v>
      </c>
      <c r="BB142" s="451"/>
      <c r="BC142" s="469"/>
      <c r="BD142" s="1285">
        <v>-424</v>
      </c>
      <c r="BE142" s="451">
        <f>BD142+BE55</f>
        <v>-424</v>
      </c>
      <c r="BF142" s="451">
        <f>BE142+BF55</f>
        <v>-424</v>
      </c>
      <c r="BG142" s="452">
        <f>BF142+BG55</f>
        <v>-424</v>
      </c>
      <c r="BH142" s="468"/>
      <c r="BI142" s="451">
        <f>BH142+BI55</f>
        <v>0</v>
      </c>
      <c r="BJ142" s="451">
        <f>BI142+BJ55</f>
        <v>0</v>
      </c>
      <c r="BK142" s="452">
        <f>BJ142+BK55</f>
        <v>0</v>
      </c>
      <c r="BL142" s="377"/>
      <c r="BM142" s="468"/>
      <c r="BN142" s="468"/>
      <c r="BO142" s="468"/>
      <c r="BP142" s="468"/>
      <c r="BQ142" s="468"/>
      <c r="BR142" s="468"/>
      <c r="BS142" s="468"/>
      <c r="BT142" s="468"/>
      <c r="BU142" s="451">
        <f t="shared" ref="BU142:BY142" si="594">BU55</f>
        <v>0</v>
      </c>
      <c r="BV142" s="451">
        <f t="shared" si="594"/>
        <v>0</v>
      </c>
      <c r="BW142" s="451">
        <f t="shared" si="594"/>
        <v>0</v>
      </c>
      <c r="BX142" s="451">
        <f t="shared" si="594"/>
        <v>0</v>
      </c>
      <c r="BY142" s="451">
        <f t="shared" si="594"/>
        <v>0</v>
      </c>
      <c r="BZ142" s="451">
        <f t="shared" ref="BZ142:CB142" si="595">BZ55</f>
        <v>-424</v>
      </c>
      <c r="CA142" s="451">
        <f t="shared" si="595"/>
        <v>0</v>
      </c>
      <c r="CB142" s="1188">
        <f t="shared" si="595"/>
        <v>0</v>
      </c>
      <c r="CC142" s="37"/>
      <c r="CD142" s="26"/>
      <c r="CE142" s="26"/>
    </row>
    <row r="143" spans="1:83" ht="14.25" customHeight="1" outlineLevel="1">
      <c r="A143" s="18"/>
      <c r="B143" s="462" t="s">
        <v>284</v>
      </c>
      <c r="C143" s="463"/>
      <c r="D143" s="464">
        <f t="shared" ref="D143:AP143" si="596">D137+D128+D114+D139</f>
        <v>872</v>
      </c>
      <c r="E143" s="465">
        <f t="shared" si="596"/>
        <v>568</v>
      </c>
      <c r="F143" s="465">
        <f t="shared" si="596"/>
        <v>450</v>
      </c>
      <c r="G143" s="467">
        <f t="shared" si="596"/>
        <v>-1083</v>
      </c>
      <c r="H143" s="464">
        <f t="shared" si="596"/>
        <v>-3376</v>
      </c>
      <c r="I143" s="465">
        <f t="shared" si="596"/>
        <v>-3888</v>
      </c>
      <c r="J143" s="465">
        <f t="shared" si="596"/>
        <v>-2855</v>
      </c>
      <c r="K143" s="467">
        <f t="shared" si="596"/>
        <v>-726</v>
      </c>
      <c r="L143" s="464">
        <f t="shared" si="596"/>
        <v>-2126</v>
      </c>
      <c r="M143" s="465">
        <f t="shared" si="596"/>
        <v>-1889</v>
      </c>
      <c r="N143" s="465">
        <f t="shared" si="596"/>
        <v>-754</v>
      </c>
      <c r="O143" s="467">
        <f t="shared" si="596"/>
        <v>709</v>
      </c>
      <c r="P143" s="464">
        <f t="shared" si="596"/>
        <v>-1424</v>
      </c>
      <c r="Q143" s="465">
        <f t="shared" si="596"/>
        <v>-3228</v>
      </c>
      <c r="R143" s="465">
        <f t="shared" si="596"/>
        <v>-3603</v>
      </c>
      <c r="S143" s="467">
        <f t="shared" si="596"/>
        <v>-3957</v>
      </c>
      <c r="T143" s="464">
        <f t="shared" si="596"/>
        <v>186</v>
      </c>
      <c r="U143" s="465">
        <f t="shared" si="596"/>
        <v>476</v>
      </c>
      <c r="V143" s="465">
        <f t="shared" si="596"/>
        <v>759</v>
      </c>
      <c r="W143" s="467">
        <f t="shared" si="596"/>
        <v>637</v>
      </c>
      <c r="X143" s="464">
        <f t="shared" si="596"/>
        <v>1001</v>
      </c>
      <c r="Y143" s="465">
        <f t="shared" si="596"/>
        <v>1527</v>
      </c>
      <c r="Z143" s="465">
        <f t="shared" si="596"/>
        <v>1530</v>
      </c>
      <c r="AA143" s="467">
        <f t="shared" si="596"/>
        <v>1511</v>
      </c>
      <c r="AB143" s="465">
        <f t="shared" si="596"/>
        <v>-1310</v>
      </c>
      <c r="AC143" s="465">
        <f t="shared" si="596"/>
        <v>-863</v>
      </c>
      <c r="AD143" s="465">
        <f t="shared" si="596"/>
        <v>1559</v>
      </c>
      <c r="AE143" s="467">
        <f t="shared" si="596"/>
        <v>-433</v>
      </c>
      <c r="AF143" s="465">
        <f t="shared" si="596"/>
        <v>-636</v>
      </c>
      <c r="AG143" s="465">
        <f>AG137+AG128+AG114+AG139</f>
        <v>158</v>
      </c>
      <c r="AH143" s="465">
        <f>AH137+AH128+AH114+AH139</f>
        <v>-1545</v>
      </c>
      <c r="AI143" s="467">
        <f t="shared" si="596"/>
        <v>3413</v>
      </c>
      <c r="AJ143" s="465">
        <f t="shared" si="596"/>
        <v>-2780</v>
      </c>
      <c r="AK143" s="465">
        <f t="shared" si="596"/>
        <v>-4700</v>
      </c>
      <c r="AL143" s="465">
        <f t="shared" si="596"/>
        <v>-3597</v>
      </c>
      <c r="AM143" s="467">
        <f t="shared" si="596"/>
        <v>-2804</v>
      </c>
      <c r="AN143" s="465">
        <f t="shared" si="596"/>
        <v>-897</v>
      </c>
      <c r="AO143" s="465">
        <f t="shared" si="596"/>
        <v>-2625</v>
      </c>
      <c r="AP143" s="465">
        <f t="shared" si="596"/>
        <v>-2531</v>
      </c>
      <c r="AQ143" s="467">
        <f>AQ137+AQ128+AQ114+AQ139</f>
        <v>-3113</v>
      </c>
      <c r="AR143" s="465">
        <f>AR137+AR128+AR114+AR139</f>
        <v>1683</v>
      </c>
      <c r="AS143" s="465">
        <f t="shared" ref="AS143" si="597">AS137+AS128+AS114+AS139</f>
        <v>1893</v>
      </c>
      <c r="AT143" s="465">
        <f t="shared" ref="AT143:AW143" si="598">AT137+AT128+AT114+AT139</f>
        <v>4504</v>
      </c>
      <c r="AU143" s="467">
        <f>AU137+AU128+AU114+AU139</f>
        <v>12747</v>
      </c>
      <c r="AV143" s="465">
        <f t="shared" si="598"/>
        <v>-12247</v>
      </c>
      <c r="AW143" s="465">
        <f t="shared" si="598"/>
        <v>-11423</v>
      </c>
      <c r="AX143" s="465">
        <f t="shared" ref="AX143" si="599">AX137+AX128+AX114+AX139</f>
        <v>-10556</v>
      </c>
      <c r="AY143" s="467">
        <f>AY137+AY128+AY114+AY139</f>
        <v>-9748</v>
      </c>
      <c r="AZ143" s="465">
        <f t="shared" ref="AZ143:BB143" si="600">AZ137+AZ128+AZ114+AZ139</f>
        <v>-626</v>
      </c>
      <c r="BA143" s="465">
        <f t="shared" si="600"/>
        <v>6127</v>
      </c>
      <c r="BB143" s="465">
        <f t="shared" si="600"/>
        <v>3515</v>
      </c>
      <c r="BC143" s="467">
        <f>BC137+BC128+BC114+BC139</f>
        <v>-2127</v>
      </c>
      <c r="BD143" s="465">
        <f t="shared" ref="BD143" si="601">BD137+BD128+BD114+BD139</f>
        <v>545</v>
      </c>
      <c r="BE143" s="465">
        <f t="shared" ref="BE143:BH143" si="602">BE137+BE128+BE114+BE139</f>
        <v>2319.8935123566007</v>
      </c>
      <c r="BF143" s="465">
        <f t="shared" si="602"/>
        <v>3921.1194258736577</v>
      </c>
      <c r="BG143" s="467">
        <f t="shared" si="602"/>
        <v>6226.1130779386513</v>
      </c>
      <c r="BH143" s="465">
        <f t="shared" si="602"/>
        <v>2537.9893844437884</v>
      </c>
      <c r="BI143" s="465">
        <f t="shared" ref="BI143:BK143" si="603">BI137+BI128+BI114+BI139</f>
        <v>3632.5181504328884</v>
      </c>
      <c r="BJ143" s="465">
        <f t="shared" si="603"/>
        <v>4808.1998195693704</v>
      </c>
      <c r="BK143" s="467">
        <f t="shared" si="603"/>
        <v>6980.2609960350419</v>
      </c>
      <c r="BL143" s="377"/>
      <c r="BM143" s="465">
        <f t="shared" ref="BM143:BY143" si="604">BM137+BM128+BM114+BM139</f>
        <v>-1083</v>
      </c>
      <c r="BN143" s="465">
        <f t="shared" si="604"/>
        <v>-726</v>
      </c>
      <c r="BO143" s="465">
        <f t="shared" si="604"/>
        <v>709</v>
      </c>
      <c r="BP143" s="465">
        <f t="shared" si="604"/>
        <v>-3957</v>
      </c>
      <c r="BQ143" s="465">
        <f t="shared" si="604"/>
        <v>637</v>
      </c>
      <c r="BR143" s="465">
        <f t="shared" si="604"/>
        <v>1511</v>
      </c>
      <c r="BS143" s="465">
        <f t="shared" si="604"/>
        <v>-433</v>
      </c>
      <c r="BT143" s="465">
        <f t="shared" si="604"/>
        <v>3413</v>
      </c>
      <c r="BU143" s="465">
        <f t="shared" si="604"/>
        <v>-2804</v>
      </c>
      <c r="BV143" s="465">
        <f t="shared" si="604"/>
        <v>-3113</v>
      </c>
      <c r="BW143" s="465">
        <f>BW137+BW128+BW114+BW139</f>
        <v>12747</v>
      </c>
      <c r="BX143" s="465">
        <f>BX137+BX128+BX114+BX139</f>
        <v>-9748</v>
      </c>
      <c r="BY143" s="465">
        <f t="shared" si="604"/>
        <v>-2127</v>
      </c>
      <c r="BZ143" s="465">
        <f t="shared" ref="BZ143:CB143" si="605">BZ137+BZ128+BZ114+BZ139</f>
        <v>6226.1130779386585</v>
      </c>
      <c r="CA143" s="465">
        <f t="shared" si="605"/>
        <v>6980.2609960350346</v>
      </c>
      <c r="CB143" s="1185">
        <f t="shared" si="605"/>
        <v>7976.3839341920248</v>
      </c>
      <c r="CC143" s="37"/>
      <c r="CD143" s="26"/>
      <c r="CE143" s="26"/>
    </row>
    <row r="144" spans="1:83" ht="14.25" customHeight="1" outlineLevel="1">
      <c r="A144" s="18"/>
      <c r="B144" s="471" t="s">
        <v>285</v>
      </c>
      <c r="C144" s="472"/>
      <c r="D144" s="473">
        <f t="shared" ref="D144:V144" si="606">D143+D141+D142</f>
        <v>9279</v>
      </c>
      <c r="E144" s="474">
        <f t="shared" si="606"/>
        <v>8975</v>
      </c>
      <c r="F144" s="474">
        <f t="shared" si="606"/>
        <v>8857</v>
      </c>
      <c r="G144" s="475">
        <f t="shared" si="606"/>
        <v>7324</v>
      </c>
      <c r="H144" s="473">
        <f t="shared" si="606"/>
        <v>3948</v>
      </c>
      <c r="I144" s="474">
        <f t="shared" si="606"/>
        <v>3436</v>
      </c>
      <c r="J144" s="474">
        <f t="shared" si="606"/>
        <v>4469</v>
      </c>
      <c r="K144" s="475">
        <f t="shared" si="606"/>
        <v>6598</v>
      </c>
      <c r="L144" s="473">
        <f t="shared" si="606"/>
        <v>4472</v>
      </c>
      <c r="M144" s="474">
        <f t="shared" si="606"/>
        <v>4709</v>
      </c>
      <c r="N144" s="474">
        <f t="shared" si="606"/>
        <v>5844</v>
      </c>
      <c r="O144" s="475">
        <f t="shared" si="606"/>
        <v>7307</v>
      </c>
      <c r="P144" s="473">
        <f t="shared" si="606"/>
        <v>5883</v>
      </c>
      <c r="Q144" s="474">
        <f t="shared" si="606"/>
        <v>4079</v>
      </c>
      <c r="R144" s="474">
        <f t="shared" si="606"/>
        <v>3704</v>
      </c>
      <c r="S144" s="475">
        <f t="shared" si="606"/>
        <v>3350</v>
      </c>
      <c r="T144" s="473">
        <f t="shared" si="606"/>
        <v>3536</v>
      </c>
      <c r="U144" s="474">
        <f t="shared" si="606"/>
        <v>3826</v>
      </c>
      <c r="V144" s="474">
        <f t="shared" si="606"/>
        <v>4109</v>
      </c>
      <c r="W144" s="475">
        <f t="shared" ref="W144:AS144" si="607">W143+W141+W142</f>
        <v>3987</v>
      </c>
      <c r="X144" s="473">
        <f t="shared" si="607"/>
        <v>4988</v>
      </c>
      <c r="Y144" s="474">
        <f t="shared" si="607"/>
        <v>5514</v>
      </c>
      <c r="Z144" s="474">
        <f t="shared" si="607"/>
        <v>5517</v>
      </c>
      <c r="AA144" s="475">
        <f t="shared" si="607"/>
        <v>5498</v>
      </c>
      <c r="AB144" s="474">
        <f t="shared" si="607"/>
        <v>4188</v>
      </c>
      <c r="AC144" s="474">
        <f t="shared" si="607"/>
        <v>4635</v>
      </c>
      <c r="AD144" s="474">
        <f t="shared" si="607"/>
        <v>7057</v>
      </c>
      <c r="AE144" s="475">
        <f t="shared" si="607"/>
        <v>5065</v>
      </c>
      <c r="AF144" s="474">
        <f t="shared" si="607"/>
        <v>4429</v>
      </c>
      <c r="AG144" s="474">
        <f t="shared" si="607"/>
        <v>5223</v>
      </c>
      <c r="AH144" s="474">
        <f t="shared" si="607"/>
        <v>3520</v>
      </c>
      <c r="AI144" s="475">
        <f t="shared" si="607"/>
        <v>8478</v>
      </c>
      <c r="AJ144" s="474">
        <f t="shared" si="607"/>
        <v>5698</v>
      </c>
      <c r="AK144" s="474">
        <f t="shared" si="607"/>
        <v>3778</v>
      </c>
      <c r="AL144" s="474">
        <f t="shared" si="607"/>
        <v>4881</v>
      </c>
      <c r="AM144" s="475">
        <f t="shared" si="607"/>
        <v>5674</v>
      </c>
      <c r="AN144" s="474">
        <f t="shared" si="607"/>
        <v>4777</v>
      </c>
      <c r="AO144" s="474">
        <f t="shared" si="607"/>
        <v>3049</v>
      </c>
      <c r="AP144" s="474">
        <f t="shared" si="607"/>
        <v>3143</v>
      </c>
      <c r="AQ144" s="475">
        <f t="shared" si="607"/>
        <v>2561</v>
      </c>
      <c r="AR144" s="474">
        <f t="shared" si="607"/>
        <v>4244</v>
      </c>
      <c r="AS144" s="474">
        <f t="shared" si="607"/>
        <v>4454</v>
      </c>
      <c r="AT144" s="474">
        <f t="shared" ref="AT144:AW144" si="608">AT143+AT141+AT142</f>
        <v>7065</v>
      </c>
      <c r="AU144" s="475">
        <f t="shared" si="608"/>
        <v>15308</v>
      </c>
      <c r="AV144" s="474">
        <f t="shared" si="608"/>
        <v>3061</v>
      </c>
      <c r="AW144" s="474">
        <f t="shared" si="608"/>
        <v>3885</v>
      </c>
      <c r="AX144" s="474">
        <f t="shared" ref="AX144:AY144" si="609">AX143+AX141+AX142</f>
        <v>4752</v>
      </c>
      <c r="AY144" s="475">
        <f t="shared" si="609"/>
        <v>5560</v>
      </c>
      <c r="AZ144" s="474">
        <f t="shared" ref="AZ144:BC144" si="610">AZ143+AZ141+AZ142</f>
        <v>4934</v>
      </c>
      <c r="BA144" s="474">
        <f t="shared" si="610"/>
        <v>11687</v>
      </c>
      <c r="BB144" s="474">
        <f t="shared" si="610"/>
        <v>9075</v>
      </c>
      <c r="BC144" s="475">
        <f t="shared" si="610"/>
        <v>3433</v>
      </c>
      <c r="BD144" s="474">
        <f t="shared" ref="BD144" si="611">BD143+BD141+BD142</f>
        <v>3554</v>
      </c>
      <c r="BE144" s="474">
        <f t="shared" ref="BE144:BH144" si="612">BE143+BE141+BE142</f>
        <v>5328.8935123566007</v>
      </c>
      <c r="BF144" s="474">
        <f t="shared" si="612"/>
        <v>6930.1194258736577</v>
      </c>
      <c r="BG144" s="475">
        <f t="shared" si="612"/>
        <v>9235.1130779386513</v>
      </c>
      <c r="BH144" s="474">
        <f t="shared" si="612"/>
        <v>11773.10246238244</v>
      </c>
      <c r="BI144" s="474">
        <f t="shared" ref="BI144:BK144" si="613">BI143+BI141+BI142</f>
        <v>12867.63122837154</v>
      </c>
      <c r="BJ144" s="474">
        <f t="shared" si="613"/>
        <v>14043.312897508022</v>
      </c>
      <c r="BK144" s="475">
        <f t="shared" si="613"/>
        <v>16215.374073973693</v>
      </c>
      <c r="BL144" s="377"/>
      <c r="BM144" s="474">
        <f t="shared" ref="BM144:BS144" si="614">BM143+BM141+BM142</f>
        <v>7324</v>
      </c>
      <c r="BN144" s="474">
        <f t="shared" si="614"/>
        <v>6598</v>
      </c>
      <c r="BO144" s="474">
        <f t="shared" si="614"/>
        <v>7307</v>
      </c>
      <c r="BP144" s="474">
        <f t="shared" si="614"/>
        <v>3350</v>
      </c>
      <c r="BQ144" s="474">
        <f t="shared" si="614"/>
        <v>3987</v>
      </c>
      <c r="BR144" s="474">
        <f t="shared" si="614"/>
        <v>5498</v>
      </c>
      <c r="BS144" s="474">
        <f t="shared" si="614"/>
        <v>5065</v>
      </c>
      <c r="BT144" s="474">
        <f t="shared" ref="BT144:BY144" si="615">BT143+BT141+BT142</f>
        <v>8478</v>
      </c>
      <c r="BU144" s="474">
        <f t="shared" si="615"/>
        <v>5674</v>
      </c>
      <c r="BV144" s="474">
        <f t="shared" si="615"/>
        <v>2561</v>
      </c>
      <c r="BW144" s="474">
        <f t="shared" si="615"/>
        <v>15308</v>
      </c>
      <c r="BX144" s="474">
        <f t="shared" si="615"/>
        <v>5560</v>
      </c>
      <c r="BY144" s="474">
        <f t="shared" si="615"/>
        <v>3433</v>
      </c>
      <c r="BZ144" s="474">
        <f t="shared" ref="BZ144:CB144" si="616">BZ143+BZ141+BZ142</f>
        <v>9235.1130779386585</v>
      </c>
      <c r="CA144" s="474">
        <f t="shared" si="616"/>
        <v>16215.374073973693</v>
      </c>
      <c r="CB144" s="475">
        <f t="shared" si="616"/>
        <v>24191.758008165718</v>
      </c>
      <c r="CC144" s="37"/>
      <c r="CD144" s="26"/>
      <c r="CE144" s="26"/>
    </row>
    <row r="145" spans="1:93" ht="14.25" customHeight="1" outlineLevel="1">
      <c r="A145" s="18"/>
      <c r="B145" s="476"/>
      <c r="C145" s="548"/>
      <c r="D145" s="465"/>
      <c r="E145" s="465"/>
      <c r="F145" s="465"/>
      <c r="G145" s="465"/>
      <c r="H145" s="465"/>
      <c r="I145" s="465"/>
      <c r="J145" s="465"/>
      <c r="K145" s="465"/>
      <c r="L145" s="465"/>
      <c r="M145" s="465"/>
      <c r="N145" s="465"/>
      <c r="O145" s="465"/>
      <c r="P145" s="465"/>
      <c r="Q145" s="465"/>
      <c r="R145" s="465"/>
      <c r="S145" s="465"/>
      <c r="T145" s="465"/>
      <c r="U145" s="465"/>
      <c r="V145" s="465"/>
      <c r="W145" s="465"/>
      <c r="X145" s="465"/>
      <c r="Y145" s="465"/>
      <c r="Z145" s="465"/>
      <c r="AA145" s="465"/>
      <c r="AB145" s="465"/>
      <c r="AC145" s="465"/>
      <c r="AD145" s="465"/>
      <c r="AE145" s="465"/>
      <c r="AF145" s="465"/>
      <c r="AG145" s="465"/>
      <c r="AH145" s="465"/>
      <c r="AI145" s="465"/>
      <c r="AJ145" s="465"/>
      <c r="AK145" s="465"/>
      <c r="AL145" s="465"/>
      <c r="AM145" s="465"/>
      <c r="AN145" s="465"/>
      <c r="AO145" s="465"/>
      <c r="AP145" s="465"/>
      <c r="AQ145" s="465"/>
      <c r="AR145" s="465"/>
      <c r="AS145" s="465"/>
      <c r="AT145" s="465"/>
      <c r="AU145" s="465"/>
      <c r="AV145" s="465"/>
      <c r="AW145" s="465"/>
      <c r="AX145" s="465"/>
      <c r="AY145" s="465"/>
      <c r="AZ145" s="465"/>
      <c r="BA145" s="465"/>
      <c r="BB145" s="465"/>
      <c r="BC145" s="465"/>
      <c r="BD145" s="465"/>
      <c r="BE145" s="465"/>
      <c r="BF145" s="465"/>
      <c r="BG145" s="465"/>
      <c r="BH145" s="465"/>
      <c r="BI145" s="465"/>
      <c r="BJ145" s="465"/>
      <c r="BK145" s="465"/>
      <c r="BL145" s="201"/>
      <c r="BM145" s="465"/>
      <c r="BN145" s="465"/>
      <c r="BO145" s="465"/>
      <c r="BP145" s="465"/>
      <c r="BQ145" s="465"/>
      <c r="BR145" s="465"/>
      <c r="BS145" s="465"/>
      <c r="BT145" s="465"/>
      <c r="BU145" s="465"/>
      <c r="BV145" s="465"/>
      <c r="BW145" s="465"/>
      <c r="BX145" s="465"/>
      <c r="BY145" s="465"/>
      <c r="BZ145" s="465"/>
      <c r="CA145" s="465"/>
      <c r="CB145" s="465"/>
      <c r="CC145" s="26"/>
      <c r="CD145" s="26"/>
      <c r="CE145" s="26"/>
    </row>
    <row r="146" spans="1:93" ht="14.25" customHeight="1" outlineLevel="1">
      <c r="A146" s="18"/>
      <c r="B146" s="307" t="s">
        <v>210</v>
      </c>
      <c r="C146" s="308"/>
      <c r="D146" s="375">
        <f>BS!D9</f>
        <v>9279</v>
      </c>
      <c r="E146" s="373">
        <f>BS!E9</f>
        <v>8975</v>
      </c>
      <c r="F146" s="373">
        <f>BS!F9</f>
        <v>8857</v>
      </c>
      <c r="G146" s="376">
        <f>BS!G9</f>
        <v>7324</v>
      </c>
      <c r="H146" s="375">
        <f>BS!H9</f>
        <v>3948</v>
      </c>
      <c r="I146" s="373">
        <f>BS!I9</f>
        <v>3436</v>
      </c>
      <c r="J146" s="373">
        <f>BS!J9</f>
        <v>4469</v>
      </c>
      <c r="K146" s="376">
        <f>BS!K9</f>
        <v>6598</v>
      </c>
      <c r="L146" s="375">
        <f>BS!L9</f>
        <v>4472</v>
      </c>
      <c r="M146" s="373">
        <f>BS!M9</f>
        <v>4709</v>
      </c>
      <c r="N146" s="373">
        <f>BS!N9</f>
        <v>5844</v>
      </c>
      <c r="O146" s="376">
        <f>BS!O9</f>
        <v>7307</v>
      </c>
      <c r="P146" s="375">
        <f>BS!P9</f>
        <v>5883</v>
      </c>
      <c r="Q146" s="373">
        <f>BS!Q9</f>
        <v>4079</v>
      </c>
      <c r="R146" s="373">
        <f>BS!R9</f>
        <v>3704</v>
      </c>
      <c r="S146" s="376">
        <f>BS!S9</f>
        <v>3350</v>
      </c>
      <c r="T146" s="375">
        <f>BS!T9</f>
        <v>3536</v>
      </c>
      <c r="U146" s="373">
        <f>BS!U9</f>
        <v>3826</v>
      </c>
      <c r="V146" s="373">
        <f>BS!V9</f>
        <v>4109</v>
      </c>
      <c r="W146" s="376">
        <f>BS!W9</f>
        <v>3987</v>
      </c>
      <c r="X146" s="375">
        <f>BS!X9</f>
        <v>4988</v>
      </c>
      <c r="Y146" s="373">
        <f>BS!Y9</f>
        <v>5514</v>
      </c>
      <c r="Z146" s="373">
        <f>BS!Z9</f>
        <v>5517</v>
      </c>
      <c r="AA146" s="376">
        <f>BS!AA9</f>
        <v>5498</v>
      </c>
      <c r="AB146" s="373">
        <f>BS!AB9</f>
        <v>4188</v>
      </c>
      <c r="AC146" s="373">
        <f>BS!AC9</f>
        <v>4635</v>
      </c>
      <c r="AD146" s="373">
        <f>BS!AD9</f>
        <v>7057</v>
      </c>
      <c r="AE146" s="374">
        <f>BS!AE9</f>
        <v>5065</v>
      </c>
      <c r="AF146" s="373">
        <f>BS!AF9</f>
        <v>4429</v>
      </c>
      <c r="AG146" s="373">
        <f>BS!AG9</f>
        <v>5223</v>
      </c>
      <c r="AH146" s="373">
        <f>BS!AH9</f>
        <v>3520</v>
      </c>
      <c r="AI146" s="374">
        <f>BS!AI9</f>
        <v>8478</v>
      </c>
      <c r="AJ146" s="373">
        <f>BS!AJ9</f>
        <v>5698</v>
      </c>
      <c r="AK146" s="373">
        <f>BS!AK9</f>
        <v>3778</v>
      </c>
      <c r="AL146" s="373">
        <f>BS!AL9</f>
        <v>4881</v>
      </c>
      <c r="AM146" s="374">
        <f>BS!AM9</f>
        <v>5674</v>
      </c>
      <c r="AN146" s="373">
        <f>BS!AN9</f>
        <v>4777</v>
      </c>
      <c r="AO146" s="373">
        <f>BS!AO9</f>
        <v>3049</v>
      </c>
      <c r="AP146" s="373">
        <f>BS!AP9</f>
        <v>3143</v>
      </c>
      <c r="AQ146" s="374">
        <f>BS!AQ9</f>
        <v>2561</v>
      </c>
      <c r="AR146" s="373">
        <f>BS!AR9</f>
        <v>4244</v>
      </c>
      <c r="AS146" s="373">
        <f>BS!AS9</f>
        <v>4454</v>
      </c>
      <c r="AT146" s="373">
        <f>BS!AT9</f>
        <v>7065</v>
      </c>
      <c r="AU146" s="374">
        <f>BS!AU9</f>
        <v>15308</v>
      </c>
      <c r="AV146" s="373">
        <f>BS!AV9</f>
        <v>3061</v>
      </c>
      <c r="AW146" s="373">
        <f>BS!AW9</f>
        <v>3885</v>
      </c>
      <c r="AX146" s="373">
        <f>BS!AX9</f>
        <v>4752</v>
      </c>
      <c r="AY146" s="374">
        <f>BS!AY9</f>
        <v>5560</v>
      </c>
      <c r="AZ146" s="373">
        <f>BS!AZ9</f>
        <v>4934</v>
      </c>
      <c r="BA146" s="373">
        <f>BS!BA9</f>
        <v>11687</v>
      </c>
      <c r="BB146" s="373">
        <f>BS!BB9</f>
        <v>9075</v>
      </c>
      <c r="BC146" s="374">
        <f>BS!BC9</f>
        <v>3433</v>
      </c>
      <c r="BD146" s="373">
        <f>BS!BD9</f>
        <v>3554</v>
      </c>
      <c r="BE146" s="373">
        <f>BS!BE9</f>
        <v>5328.8935123566007</v>
      </c>
      <c r="BF146" s="373">
        <f>BS!BF9</f>
        <v>6930.1194258736577</v>
      </c>
      <c r="BG146" s="374">
        <f>BS!BG9</f>
        <v>9235.1130779386531</v>
      </c>
      <c r="BH146" s="373">
        <f>BS!BH9</f>
        <v>11773.102462382441</v>
      </c>
      <c r="BI146" s="373">
        <f>BS!BI9</f>
        <v>12867.631228371542</v>
      </c>
      <c r="BJ146" s="373">
        <f>BS!BJ9</f>
        <v>14043.312897508022</v>
      </c>
      <c r="BK146" s="374">
        <f>BS!BK9</f>
        <v>16215.374073973693</v>
      </c>
      <c r="BL146" s="377"/>
      <c r="BM146" s="373">
        <f>BS!BM9</f>
        <v>7324</v>
      </c>
      <c r="BN146" s="373">
        <f>BS!BN9</f>
        <v>6598</v>
      </c>
      <c r="BO146" s="373">
        <f>BS!BO9</f>
        <v>7307</v>
      </c>
      <c r="BP146" s="373">
        <f>BS!BP9</f>
        <v>3350</v>
      </c>
      <c r="BQ146" s="373">
        <f>BS!BQ9</f>
        <v>3987</v>
      </c>
      <c r="BR146" s="373">
        <f>BS!BR9</f>
        <v>5498</v>
      </c>
      <c r="BS146" s="373">
        <f>BS!BS9</f>
        <v>5065</v>
      </c>
      <c r="BT146" s="373">
        <f>BS!BT9</f>
        <v>8478</v>
      </c>
      <c r="BU146" s="373">
        <f>BS!BU9</f>
        <v>5674</v>
      </c>
      <c r="BV146" s="373">
        <f>BS!BV9</f>
        <v>2561</v>
      </c>
      <c r="BW146" s="373">
        <f>BS!BW9</f>
        <v>15308</v>
      </c>
      <c r="BX146" s="373">
        <f>BS!BX9</f>
        <v>5560</v>
      </c>
      <c r="BY146" s="373">
        <f>BS!BY9</f>
        <v>3433</v>
      </c>
      <c r="BZ146" s="373">
        <f>BS!BZ9</f>
        <v>9235.1130779386531</v>
      </c>
      <c r="CA146" s="373">
        <f>BS!CA9</f>
        <v>16215.374073973693</v>
      </c>
      <c r="CB146" s="1206">
        <f>BS!CB9</f>
        <v>24191.758008165718</v>
      </c>
      <c r="CC146" s="37"/>
      <c r="CD146" s="26"/>
      <c r="CE146" s="26"/>
    </row>
    <row r="147" spans="1:93" ht="14.25" customHeight="1" outlineLevel="1">
      <c r="A147" s="18"/>
      <c r="B147" s="330" t="s">
        <v>193</v>
      </c>
      <c r="C147" s="331"/>
      <c r="D147" s="332">
        <f t="shared" ref="D147:BV147" si="617">IF(ROUND(D146,4)=ROUND(D144,4),0,(D146-D144))</f>
        <v>0</v>
      </c>
      <c r="E147" s="333">
        <f t="shared" si="617"/>
        <v>0</v>
      </c>
      <c r="F147" s="378">
        <f t="shared" si="617"/>
        <v>0</v>
      </c>
      <c r="G147" s="334">
        <f t="shared" si="617"/>
        <v>0</v>
      </c>
      <c r="H147" s="332">
        <f t="shared" si="617"/>
        <v>0</v>
      </c>
      <c r="I147" s="333">
        <f t="shared" si="617"/>
        <v>0</v>
      </c>
      <c r="J147" s="378">
        <f t="shared" si="617"/>
        <v>0</v>
      </c>
      <c r="K147" s="334">
        <f t="shared" si="617"/>
        <v>0</v>
      </c>
      <c r="L147" s="332">
        <f t="shared" si="617"/>
        <v>0</v>
      </c>
      <c r="M147" s="333">
        <f t="shared" si="617"/>
        <v>0</v>
      </c>
      <c r="N147" s="378">
        <f t="shared" si="617"/>
        <v>0</v>
      </c>
      <c r="O147" s="334">
        <f t="shared" si="617"/>
        <v>0</v>
      </c>
      <c r="P147" s="332">
        <f t="shared" si="617"/>
        <v>0</v>
      </c>
      <c r="Q147" s="333">
        <f t="shared" si="617"/>
        <v>0</v>
      </c>
      <c r="R147" s="378">
        <f t="shared" si="617"/>
        <v>0</v>
      </c>
      <c r="S147" s="334">
        <f t="shared" si="617"/>
        <v>0</v>
      </c>
      <c r="T147" s="332">
        <f t="shared" si="617"/>
        <v>0</v>
      </c>
      <c r="U147" s="333">
        <f t="shared" si="617"/>
        <v>0</v>
      </c>
      <c r="V147" s="378">
        <f t="shared" si="617"/>
        <v>0</v>
      </c>
      <c r="W147" s="334">
        <f t="shared" si="617"/>
        <v>0</v>
      </c>
      <c r="X147" s="332">
        <f t="shared" si="617"/>
        <v>0</v>
      </c>
      <c r="Y147" s="333">
        <f t="shared" si="617"/>
        <v>0</v>
      </c>
      <c r="Z147" s="378">
        <f t="shared" si="617"/>
        <v>0</v>
      </c>
      <c r="AA147" s="334">
        <f t="shared" si="617"/>
        <v>0</v>
      </c>
      <c r="AB147" s="332">
        <f t="shared" si="617"/>
        <v>0</v>
      </c>
      <c r="AC147" s="333">
        <f t="shared" si="617"/>
        <v>0</v>
      </c>
      <c r="AD147" s="333">
        <f t="shared" si="617"/>
        <v>0</v>
      </c>
      <c r="AE147" s="334">
        <f t="shared" si="617"/>
        <v>0</v>
      </c>
      <c r="AF147" s="332">
        <f t="shared" si="617"/>
        <v>0</v>
      </c>
      <c r="AG147" s="333">
        <f t="shared" si="617"/>
        <v>0</v>
      </c>
      <c r="AH147" s="333">
        <f t="shared" si="617"/>
        <v>0</v>
      </c>
      <c r="AI147" s="334">
        <f t="shared" si="617"/>
        <v>0</v>
      </c>
      <c r="AJ147" s="332">
        <f t="shared" si="617"/>
        <v>0</v>
      </c>
      <c r="AK147" s="333">
        <f t="shared" si="617"/>
        <v>0</v>
      </c>
      <c r="AL147" s="333">
        <f t="shared" si="617"/>
        <v>0</v>
      </c>
      <c r="AM147" s="334">
        <f t="shared" si="617"/>
        <v>0</v>
      </c>
      <c r="AN147" s="332">
        <f>IF(ROUND(AN146,4)=ROUND(AN144,4),0,(AN146-AN144))</f>
        <v>0</v>
      </c>
      <c r="AO147" s="333">
        <f t="shared" si="617"/>
        <v>0</v>
      </c>
      <c r="AP147" s="333">
        <f t="shared" si="617"/>
        <v>0</v>
      </c>
      <c r="AQ147" s="334">
        <f>IF(ROUND(AQ146,4)=ROUND(AQ144,4),0,(AQ146-AQ144))</f>
        <v>0</v>
      </c>
      <c r="AR147" s="332">
        <f>IF(ROUND(AR146,4)=ROUND(AR144,4),0,(AR146-AR144))</f>
        <v>0</v>
      </c>
      <c r="AS147" s="333">
        <f t="shared" ref="AS147:AW147" si="618">IF(ROUND(AS146,4)=ROUND(AS144,4),0,(AS146-AS144))</f>
        <v>0</v>
      </c>
      <c r="AT147" s="333">
        <f t="shared" si="618"/>
        <v>0</v>
      </c>
      <c r="AU147" s="334">
        <f>IF(ROUND(AU146,4)=ROUND(AU144,4),0,(AU146-AU144))</f>
        <v>0</v>
      </c>
      <c r="AV147" s="332">
        <f t="shared" si="618"/>
        <v>0</v>
      </c>
      <c r="AW147" s="333">
        <f t="shared" si="618"/>
        <v>0</v>
      </c>
      <c r="AX147" s="333">
        <f t="shared" ref="AX147" si="619">IF(ROUND(AX146,4)=ROUND(AX144,4),0,(AX146-AX144))</f>
        <v>0</v>
      </c>
      <c r="AY147" s="334">
        <f>IF(ROUND(AY146,4)=ROUND(AY144,4),0,(AY146-AY144))</f>
        <v>0</v>
      </c>
      <c r="AZ147" s="332">
        <f t="shared" ref="AZ147:BB147" si="620">IF(ROUND(AZ146,4)=ROUND(AZ144,4),0,(AZ146-AZ144))</f>
        <v>0</v>
      </c>
      <c r="BA147" s="333">
        <f t="shared" si="620"/>
        <v>0</v>
      </c>
      <c r="BB147" s="333">
        <f t="shared" si="620"/>
        <v>0</v>
      </c>
      <c r="BC147" s="334">
        <f>IF(ROUND(BC146,4)=ROUND(BC144,4),0,(BC146-BC144))</f>
        <v>0</v>
      </c>
      <c r="BD147" s="332">
        <f t="shared" ref="BD147" si="621">IF(ROUND(BD146,4)=ROUND(BD144,4),0,(BD146-BD144))</f>
        <v>0</v>
      </c>
      <c r="BE147" s="333">
        <f t="shared" ref="BE147:BH147" si="622">IF(ROUND(BE146,4)=ROUND(BE144,4),0,(BE146-BE144))</f>
        <v>0</v>
      </c>
      <c r="BF147" s="333">
        <f t="shared" si="622"/>
        <v>0</v>
      </c>
      <c r="BG147" s="334">
        <f t="shared" si="622"/>
        <v>0</v>
      </c>
      <c r="BH147" s="332">
        <f t="shared" si="622"/>
        <v>0</v>
      </c>
      <c r="BI147" s="333">
        <f t="shared" ref="BI147:BK147" si="623">IF(ROUND(BI146,4)=ROUND(BI144,4),0,(BI146-BI144))</f>
        <v>0</v>
      </c>
      <c r="BJ147" s="333">
        <f t="shared" si="623"/>
        <v>0</v>
      </c>
      <c r="BK147" s="334">
        <f t="shared" si="623"/>
        <v>0</v>
      </c>
      <c r="BL147" s="377"/>
      <c r="BM147" s="333">
        <f t="shared" ref="BM147:BS147" si="624">IF(ROUND(BM146,4)=ROUND(BM144,4),0,(BM146-BM144))</f>
        <v>0</v>
      </c>
      <c r="BN147" s="333">
        <f t="shared" si="624"/>
        <v>0</v>
      </c>
      <c r="BO147" s="333">
        <f t="shared" si="624"/>
        <v>0</v>
      </c>
      <c r="BP147" s="333">
        <f t="shared" si="624"/>
        <v>0</v>
      </c>
      <c r="BQ147" s="333">
        <f t="shared" si="624"/>
        <v>0</v>
      </c>
      <c r="BR147" s="333">
        <f t="shared" si="624"/>
        <v>0</v>
      </c>
      <c r="BS147" s="333">
        <f t="shared" si="624"/>
        <v>0</v>
      </c>
      <c r="BT147" s="333">
        <f t="shared" si="617"/>
        <v>0</v>
      </c>
      <c r="BU147" s="333">
        <f t="shared" si="617"/>
        <v>0</v>
      </c>
      <c r="BV147" s="333">
        <f t="shared" si="617"/>
        <v>0</v>
      </c>
      <c r="BW147" s="333">
        <f t="shared" ref="BW147:CB147" si="625">IF(ROUND(BW146,4)=ROUND(BW144,4),0,(BW146-BW144))</f>
        <v>0</v>
      </c>
      <c r="BX147" s="333">
        <f t="shared" si="625"/>
        <v>0</v>
      </c>
      <c r="BY147" s="333">
        <f t="shared" si="625"/>
        <v>0</v>
      </c>
      <c r="BZ147" s="333">
        <f t="shared" si="625"/>
        <v>0</v>
      </c>
      <c r="CA147" s="333">
        <f t="shared" si="625"/>
        <v>0</v>
      </c>
      <c r="CB147" s="1207">
        <f t="shared" si="625"/>
        <v>0</v>
      </c>
      <c r="CC147" s="37"/>
      <c r="CD147" s="26"/>
      <c r="CE147" s="26"/>
    </row>
    <row r="148" spans="1:93" ht="14.25" customHeight="1">
      <c r="A148" s="18"/>
      <c r="B148" s="481"/>
      <c r="C148" s="481"/>
      <c r="D148" s="482"/>
      <c r="E148" s="482"/>
      <c r="F148" s="482"/>
      <c r="G148" s="482"/>
      <c r="H148" s="482"/>
      <c r="I148" s="482"/>
      <c r="J148" s="482"/>
      <c r="K148" s="482"/>
      <c r="L148" s="482"/>
      <c r="M148" s="482"/>
      <c r="N148" s="482"/>
      <c r="O148" s="482"/>
      <c r="P148" s="482"/>
      <c r="Q148" s="482"/>
      <c r="R148" s="482"/>
      <c r="S148" s="482"/>
      <c r="T148" s="482"/>
      <c r="U148" s="482"/>
      <c r="V148" s="482"/>
      <c r="W148" s="482"/>
      <c r="X148" s="482"/>
      <c r="Y148" s="482"/>
      <c r="Z148" s="482"/>
      <c r="AA148" s="482"/>
      <c r="AB148" s="482"/>
      <c r="AC148" s="482"/>
      <c r="AD148" s="482"/>
      <c r="AE148" s="482"/>
      <c r="AF148" s="482"/>
      <c r="AG148" s="482"/>
      <c r="AH148" s="482"/>
      <c r="AI148" s="482"/>
      <c r="AJ148" s="482"/>
      <c r="AK148" s="482"/>
      <c r="AL148" s="482"/>
      <c r="AM148" s="482"/>
      <c r="AN148" s="482"/>
      <c r="AO148" s="482"/>
      <c r="AP148" s="482"/>
      <c r="AQ148" s="482"/>
      <c r="AR148" s="482"/>
      <c r="AS148" s="482"/>
      <c r="AT148" s="482"/>
      <c r="AU148" s="482"/>
      <c r="AV148" s="482"/>
      <c r="AW148" s="482"/>
      <c r="AX148" s="482"/>
      <c r="AY148" s="482"/>
      <c r="AZ148" s="482"/>
      <c r="BA148" s="482"/>
      <c r="BB148" s="482"/>
      <c r="BC148" s="482"/>
      <c r="BD148" s="482"/>
      <c r="BE148" s="482"/>
      <c r="BF148" s="482"/>
      <c r="BG148" s="482"/>
      <c r="BH148" s="482"/>
      <c r="BI148" s="482"/>
      <c r="BJ148" s="482"/>
      <c r="BK148" s="482"/>
      <c r="BL148" s="201"/>
      <c r="BM148" s="482"/>
      <c r="BN148" s="482"/>
      <c r="BO148" s="482"/>
      <c r="BP148" s="482"/>
      <c r="BQ148" s="482"/>
      <c r="BR148" s="482"/>
      <c r="BS148" s="482"/>
      <c r="BT148" s="482"/>
      <c r="BU148" s="482"/>
      <c r="BV148" s="482"/>
      <c r="BW148" s="482"/>
      <c r="BX148" s="482"/>
      <c r="BY148" s="482"/>
      <c r="BZ148" s="482"/>
      <c r="CA148" s="482"/>
      <c r="CB148" s="18"/>
      <c r="CC148" s="26"/>
      <c r="CD148" s="26"/>
      <c r="CE148" s="26"/>
    </row>
    <row r="149" spans="1:93" ht="14.25" customHeight="1">
      <c r="A149" s="18"/>
      <c r="B149" s="201"/>
      <c r="C149" s="26"/>
      <c r="D149" s="483"/>
      <c r="E149" s="483"/>
      <c r="F149" s="483"/>
      <c r="G149" s="483"/>
      <c r="H149" s="483"/>
      <c r="I149" s="483"/>
      <c r="J149" s="483"/>
      <c r="K149" s="483"/>
      <c r="L149" s="483"/>
      <c r="M149" s="483"/>
      <c r="N149" s="483"/>
      <c r="O149" s="483"/>
      <c r="P149" s="483"/>
      <c r="Q149" s="483"/>
      <c r="R149" s="483"/>
      <c r="S149" s="483"/>
      <c r="T149" s="483"/>
      <c r="U149" s="483"/>
      <c r="V149" s="483"/>
      <c r="W149" s="483"/>
      <c r="X149" s="483"/>
      <c r="Y149" s="483"/>
      <c r="Z149" s="483"/>
      <c r="AA149" s="483"/>
      <c r="AB149" s="483"/>
      <c r="AC149" s="483"/>
      <c r="AD149" s="483"/>
      <c r="AE149" s="483"/>
      <c r="AF149" s="483"/>
      <c r="AG149" s="483"/>
      <c r="AH149" s="483"/>
      <c r="AI149" s="483"/>
      <c r="AJ149" s="483"/>
      <c r="AK149" s="483"/>
      <c r="AL149" s="483"/>
      <c r="AM149" s="483"/>
      <c r="AN149" s="483"/>
      <c r="AO149" s="483"/>
      <c r="AP149" s="483"/>
      <c r="AQ149" s="483"/>
      <c r="AR149" s="483"/>
      <c r="AS149" s="483"/>
      <c r="AT149" s="483"/>
      <c r="AU149" s="483"/>
      <c r="AV149" s="483"/>
      <c r="AW149" s="483"/>
      <c r="AX149" s="483"/>
      <c r="AY149" s="483"/>
      <c r="AZ149" s="483"/>
      <c r="BA149" s="483"/>
      <c r="BB149" s="483"/>
      <c r="BC149" s="483"/>
      <c r="BD149" s="483"/>
      <c r="BE149" s="483"/>
      <c r="BF149" s="483"/>
      <c r="BG149" s="483"/>
      <c r="BH149" s="483"/>
      <c r="BI149" s="483"/>
      <c r="BJ149" s="483"/>
      <c r="BK149" s="483"/>
      <c r="BL149" s="18"/>
      <c r="BM149" s="483"/>
      <c r="BN149" s="483"/>
      <c r="BO149" s="483"/>
      <c r="BP149" s="483"/>
      <c r="BQ149" s="483"/>
      <c r="BR149" s="483"/>
      <c r="BS149" s="483"/>
      <c r="BT149" s="483"/>
      <c r="BU149" s="483"/>
      <c r="BW149" s="483"/>
      <c r="BX149" s="483"/>
      <c r="BY149" s="483"/>
      <c r="BZ149" s="483"/>
      <c r="CA149" s="483"/>
      <c r="CB149" s="18"/>
      <c r="CC149" s="26"/>
      <c r="CD149" s="26"/>
      <c r="CE149" s="26"/>
    </row>
    <row r="150" spans="1:93" ht="14.25" customHeight="1">
      <c r="A150" s="18"/>
      <c r="B150" s="201"/>
      <c r="C150" s="26"/>
      <c r="D150" s="483"/>
      <c r="E150" s="483"/>
      <c r="F150" s="483"/>
      <c r="G150" s="483"/>
      <c r="H150" s="483"/>
      <c r="I150" s="483"/>
      <c r="J150" s="483"/>
      <c r="K150" s="483"/>
      <c r="L150" s="483"/>
      <c r="M150" s="483"/>
      <c r="N150" s="483"/>
      <c r="O150" s="483"/>
      <c r="P150" s="483"/>
      <c r="Q150" s="483"/>
      <c r="R150" s="483"/>
      <c r="S150" s="483"/>
      <c r="T150" s="483"/>
      <c r="U150" s="483"/>
      <c r="V150" s="483"/>
      <c r="W150" s="483"/>
      <c r="X150" s="483"/>
      <c r="Y150" s="483"/>
      <c r="Z150" s="483"/>
      <c r="AA150" s="483"/>
      <c r="AB150" s="483"/>
      <c r="AC150" s="483"/>
      <c r="AD150" s="483"/>
      <c r="AE150" s="483"/>
      <c r="AF150" s="483"/>
      <c r="AG150" s="483"/>
      <c r="AH150" s="483"/>
      <c r="AI150" s="483"/>
      <c r="AJ150" s="483"/>
      <c r="AK150" s="483"/>
      <c r="AL150" s="483"/>
      <c r="AM150" s="483"/>
      <c r="AN150" s="483"/>
      <c r="AO150" s="483"/>
      <c r="AP150" s="483"/>
      <c r="AQ150" s="483"/>
      <c r="AR150" s="483"/>
      <c r="AS150" s="483"/>
      <c r="AT150" s="483"/>
      <c r="AU150" s="483"/>
      <c r="AV150" s="483"/>
      <c r="AW150" s="483"/>
      <c r="AX150" s="483"/>
      <c r="AY150" s="483"/>
      <c r="AZ150" s="483"/>
      <c r="BA150" s="483"/>
      <c r="BB150" s="483"/>
      <c r="BC150" s="483"/>
      <c r="BD150" s="483"/>
      <c r="BE150" s="483"/>
      <c r="BF150" s="483"/>
      <c r="BG150" s="483"/>
      <c r="BH150" s="483"/>
      <c r="BI150" s="483"/>
      <c r="BJ150" s="483"/>
      <c r="BK150" s="483"/>
      <c r="BL150" s="18"/>
      <c r="BM150" s="483"/>
      <c r="BN150" s="483"/>
      <c r="BO150" s="483"/>
      <c r="BP150" s="483"/>
      <c r="BQ150" s="483"/>
      <c r="BR150" s="483"/>
      <c r="BS150" s="483"/>
      <c r="BT150" s="483"/>
      <c r="BU150" s="483"/>
      <c r="BW150" s="483"/>
      <c r="BX150" s="483"/>
      <c r="BY150" s="483"/>
      <c r="BZ150" s="483"/>
      <c r="CA150" s="483"/>
      <c r="CB150" s="18"/>
      <c r="CC150" s="26"/>
      <c r="CD150" s="26"/>
      <c r="CE150" s="26"/>
    </row>
    <row r="151" spans="1:93" ht="14.25" customHeight="1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4"/>
      <c r="BN151" s="14"/>
      <c r="BO151" s="14"/>
      <c r="BP151" s="14"/>
      <c r="BQ151" s="14"/>
      <c r="BR151" s="14"/>
      <c r="BS151" s="14"/>
      <c r="BT151" s="14"/>
      <c r="BU151" s="14"/>
      <c r="BV151" s="543"/>
      <c r="BW151" s="14"/>
      <c r="BX151" s="14"/>
      <c r="BY151" s="14"/>
      <c r="BZ151" s="14"/>
      <c r="CA151" s="14"/>
      <c r="CB151" s="7"/>
      <c r="CC151" s="549"/>
      <c r="CD151" s="549"/>
      <c r="CE151" s="549"/>
    </row>
    <row r="152" spans="1:93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9"/>
      <c r="BW152" s="1"/>
      <c r="BX152" s="1"/>
      <c r="BY152" s="1"/>
      <c r="BZ152" s="1"/>
      <c r="CA152" s="1"/>
      <c r="CB152" s="1"/>
      <c r="CC152" s="9"/>
      <c r="CD152" s="9"/>
      <c r="CE152" s="9"/>
    </row>
    <row r="153" spans="1:93" ht="14.25" customHeight="1">
      <c r="AS153"/>
      <c r="AT153"/>
      <c r="AV153"/>
      <c r="AW153"/>
      <c r="AZ153"/>
      <c r="BA153"/>
      <c r="BB153"/>
      <c r="BC153"/>
      <c r="BD153"/>
      <c r="BE153"/>
      <c r="BF153"/>
      <c r="BG153"/>
      <c r="BH153"/>
      <c r="BI153"/>
      <c r="BJ153"/>
      <c r="BK153"/>
      <c r="BZ153"/>
      <c r="CA153"/>
      <c r="CC153"/>
      <c r="CD153"/>
      <c r="CE153"/>
      <c r="CM153"/>
      <c r="CN153"/>
      <c r="CO153"/>
    </row>
    <row r="154" spans="1:93" ht="14.25" customHeight="1">
      <c r="A154" s="1"/>
      <c r="B154" s="550" t="s">
        <v>155</v>
      </c>
      <c r="C154" s="550"/>
      <c r="D154" s="551" t="str">
        <f>IS!D116</f>
        <v>A</v>
      </c>
      <c r="E154" s="551" t="str">
        <f>IS!E116</f>
        <v>A</v>
      </c>
      <c r="F154" s="551" t="str">
        <f>IS!F116</f>
        <v>A</v>
      </c>
      <c r="G154" s="551" t="str">
        <f>IS!G116</f>
        <v>A</v>
      </c>
      <c r="H154" s="551" t="str">
        <f>IS!H116</f>
        <v>A</v>
      </c>
      <c r="I154" s="551" t="str">
        <f>IS!I116</f>
        <v>A</v>
      </c>
      <c r="J154" s="551" t="str">
        <f>IS!J116</f>
        <v>A</v>
      </c>
      <c r="K154" s="551" t="str">
        <f>IS!K116</f>
        <v>A</v>
      </c>
      <c r="L154" s="551" t="str">
        <f>IS!L116</f>
        <v>A</v>
      </c>
      <c r="M154" s="551" t="str">
        <f>IS!M116</f>
        <v>A</v>
      </c>
      <c r="N154" s="551" t="str">
        <f>IS!N116</f>
        <v>A</v>
      </c>
      <c r="O154" s="551" t="str">
        <f>IS!O116</f>
        <v>A</v>
      </c>
      <c r="P154" s="551" t="str">
        <f>IS!P116</f>
        <v>A</v>
      </c>
      <c r="Q154" s="551" t="str">
        <f>IS!Q116</f>
        <v>A</v>
      </c>
      <c r="R154" s="551" t="str">
        <f>IS!R116</f>
        <v>A</v>
      </c>
      <c r="S154" s="551" t="str">
        <f>IS!S116</f>
        <v>A</v>
      </c>
      <c r="T154" s="551" t="str">
        <f>IS!T116</f>
        <v>A</v>
      </c>
      <c r="U154" s="551" t="str">
        <f>IS!U116</f>
        <v>A</v>
      </c>
      <c r="V154" s="551" t="str">
        <f>IS!V116</f>
        <v>A</v>
      </c>
      <c r="W154" s="551" t="str">
        <f>IS!W116</f>
        <v>A</v>
      </c>
      <c r="X154" s="551" t="str">
        <f>IS!X116</f>
        <v>A</v>
      </c>
      <c r="Y154" s="551" t="str">
        <f>IS!Y116</f>
        <v>A</v>
      </c>
      <c r="Z154" s="551" t="str">
        <f>IS!Z116</f>
        <v>A</v>
      </c>
      <c r="AA154" s="551" t="str">
        <f>IS!AA116</f>
        <v>A</v>
      </c>
      <c r="AB154" s="551" t="str">
        <f>IS!AB116</f>
        <v>A</v>
      </c>
      <c r="AC154" s="551" t="e">
        <f>IS!AC116</f>
        <v>#NAME?</v>
      </c>
      <c r="AD154" s="551" t="e">
        <f>IS!AD116</f>
        <v>#NAME?</v>
      </c>
      <c r="AE154" s="551" t="e">
        <f>IS!AE116</f>
        <v>#NAME?</v>
      </c>
      <c r="AF154" s="551" t="e">
        <f>IS!AF116</f>
        <v>#NAME?</v>
      </c>
      <c r="AG154" s="551" t="e">
        <f>IS!AG116</f>
        <v>#NAME?</v>
      </c>
      <c r="AH154" s="551" t="e">
        <f>IS!AH116</f>
        <v>#NAME?</v>
      </c>
      <c r="AI154" s="551" t="e">
        <f>IS!AI116</f>
        <v>#NAME?</v>
      </c>
      <c r="AJ154" s="551" t="e">
        <f>IS!AJ116</f>
        <v>#NAME?</v>
      </c>
      <c r="AK154" s="551" t="e">
        <f>IS!AK116</f>
        <v>#NAME?</v>
      </c>
      <c r="AL154" s="551" t="e">
        <f>IS!AL116</f>
        <v>#NAME?</v>
      </c>
      <c r="AM154" s="551" t="e">
        <f>IS!AM116</f>
        <v>#NAME?</v>
      </c>
      <c r="AN154" s="551" t="e">
        <f>IS!AN116</f>
        <v>#NAME?</v>
      </c>
      <c r="AO154" s="551" t="e">
        <f>IS!AO116</f>
        <v>#NAME?</v>
      </c>
      <c r="AP154" s="551" t="e">
        <f>IS!AP116</f>
        <v>#NAME?</v>
      </c>
      <c r="AQ154" s="551" t="e">
        <f>IS!AQ116</f>
        <v>#NAME?</v>
      </c>
      <c r="AR154" s="551" t="e">
        <f>IS!AR116</f>
        <v>#NAME?</v>
      </c>
      <c r="AS154" s="551" t="e">
        <f>IS!AS116</f>
        <v>#NAME?</v>
      </c>
      <c r="AT154" s="551" t="e">
        <f>IS!AT116</f>
        <v>#NAME?</v>
      </c>
      <c r="AU154" s="551" t="e">
        <f>IS!AU116</f>
        <v>#NAME?</v>
      </c>
      <c r="AV154" s="551" t="e">
        <f>IS!AV116</f>
        <v>#NAME?</v>
      </c>
      <c r="AW154" s="551" t="e">
        <f>IS!AW116</f>
        <v>#NAME?</v>
      </c>
      <c r="AX154" s="551" t="e">
        <f>IS!AX116</f>
        <v>#NAME?</v>
      </c>
      <c r="AY154" s="551" t="e">
        <f>IS!AY116</f>
        <v>#NAME?</v>
      </c>
      <c r="AZ154" s="551" t="e">
        <f>IS!AZ116</f>
        <v>#NAME?</v>
      </c>
      <c r="BA154" s="551" t="e">
        <f>IS!BA116</f>
        <v>#NAME?</v>
      </c>
      <c r="BB154" s="551" t="e">
        <f>IS!BB116</f>
        <v>#NAME?</v>
      </c>
      <c r="BC154" s="551" t="e">
        <f>IS!BC116</f>
        <v>#NAME?</v>
      </c>
      <c r="BD154" s="551" t="e">
        <f>IS!BD116</f>
        <v>#NAME?</v>
      </c>
      <c r="BE154" s="551" t="e">
        <f>IS!BE116</f>
        <v>#NAME?</v>
      </c>
      <c r="BF154" s="551" t="e">
        <f>IS!BF116</f>
        <v>#NAME?</v>
      </c>
      <c r="BG154" s="551" t="e">
        <f>IS!BG116</f>
        <v>#NAME?</v>
      </c>
      <c r="BH154" s="551" t="e">
        <f>IS!BH116</f>
        <v>#NAME?</v>
      </c>
      <c r="BI154" s="551" t="e">
        <f>IS!BI116</f>
        <v>#NAME?</v>
      </c>
      <c r="BJ154" s="551" t="e">
        <f>IS!BJ116</f>
        <v>#NAME?</v>
      </c>
      <c r="BK154" s="551" t="e">
        <f>IS!BK116</f>
        <v>#NAME?</v>
      </c>
      <c r="BL154" s="1"/>
      <c r="BM154" s="1" t="e">
        <f>IS!BM116</f>
        <v>#NAME?</v>
      </c>
      <c r="BN154" s="1" t="e">
        <f>IS!BN116</f>
        <v>#NAME?</v>
      </c>
      <c r="BO154" s="1" t="e">
        <f>IS!BO116</f>
        <v>#NAME?</v>
      </c>
      <c r="BP154" s="1" t="e">
        <f>IS!BP116</f>
        <v>#NAME?</v>
      </c>
      <c r="BQ154" s="1" t="e">
        <f>IS!BQ116</f>
        <v>#NAME?</v>
      </c>
      <c r="BR154" s="1" t="e">
        <f>IS!BR116</f>
        <v>#NAME?</v>
      </c>
      <c r="BS154" s="1" t="e">
        <f>IS!BS116</f>
        <v>#NAME?</v>
      </c>
      <c r="BT154" s="1" t="e">
        <f>IS!BT116</f>
        <v>#NAME?</v>
      </c>
      <c r="BU154" s="1" t="e">
        <f>IS!BU116</f>
        <v>#NAME?</v>
      </c>
      <c r="BV154" s="9" t="e">
        <f>IS!BV116</f>
        <v>#NAME?</v>
      </c>
      <c r="BW154" s="1" t="e">
        <f>IS!BW116</f>
        <v>#NAME?</v>
      </c>
      <c r="BX154" s="1" t="e">
        <f>IS!BX116</f>
        <v>#NAME?</v>
      </c>
      <c r="BY154" s="1" t="e">
        <f>IS!BY116</f>
        <v>#NAME?</v>
      </c>
      <c r="BZ154" s="1" t="e">
        <f>IS!BZ116</f>
        <v>#NAME?</v>
      </c>
      <c r="CA154" s="1" t="e">
        <f>IS!CA116</f>
        <v>#NAME?</v>
      </c>
      <c r="CB154" s="1" t="e">
        <f>IS!CB116</f>
        <v>#NAME?</v>
      </c>
      <c r="CC154" s="9"/>
      <c r="CD154" s="9"/>
      <c r="CE154" s="9"/>
    </row>
    <row r="155" spans="1:93" ht="14.25" customHeight="1">
      <c r="BV155" s="552"/>
    </row>
    <row r="156" spans="1:93" ht="14.25" customHeight="1">
      <c r="BV156" s="552"/>
    </row>
    <row r="157" spans="1:93" ht="14.25" customHeight="1">
      <c r="BV157" s="552"/>
    </row>
    <row r="158" spans="1:93" ht="14.25" customHeight="1">
      <c r="BV158" s="552"/>
    </row>
    <row r="159" spans="1:93" ht="14.25" customHeight="1">
      <c r="BV159" s="552"/>
    </row>
    <row r="160" spans="1:93" ht="14.25" customHeight="1">
      <c r="BV160" s="552"/>
    </row>
    <row r="161" spans="74:74" ht="14.25" customHeight="1">
      <c r="BV161" s="552"/>
    </row>
    <row r="162" spans="74:74" ht="14.25" customHeight="1">
      <c r="BV162" s="552"/>
    </row>
    <row r="163" spans="74:74" ht="14.25" customHeight="1">
      <c r="BV163" s="552"/>
    </row>
    <row r="164" spans="74:74" ht="14.25" customHeight="1">
      <c r="BV164" s="552"/>
    </row>
    <row r="165" spans="74:74" ht="14.25" customHeight="1">
      <c r="BV165" s="552"/>
    </row>
    <row r="166" spans="74:74" ht="14.25" customHeight="1">
      <c r="BV166" s="552"/>
    </row>
    <row r="167" spans="74:74" ht="14.25" customHeight="1">
      <c r="BV167" s="552"/>
    </row>
    <row r="168" spans="74:74" ht="14.25" customHeight="1">
      <c r="BV168" s="552"/>
    </row>
    <row r="169" spans="74:74" ht="14.25" customHeight="1">
      <c r="BV169" s="552"/>
    </row>
    <row r="170" spans="74:74" ht="14.25" customHeight="1">
      <c r="BV170" s="552"/>
    </row>
    <row r="171" spans="74:74" ht="14.25" customHeight="1">
      <c r="BV171" s="552"/>
    </row>
    <row r="172" spans="74:74" ht="14.25" customHeight="1">
      <c r="BV172" s="552"/>
    </row>
    <row r="173" spans="74:74" ht="14.25" customHeight="1">
      <c r="BV173" s="552"/>
    </row>
    <row r="174" spans="74:74" ht="14.25" customHeight="1">
      <c r="BV174" s="552"/>
    </row>
    <row r="175" spans="74:74" ht="14.25" customHeight="1">
      <c r="BV175" s="552"/>
    </row>
    <row r="176" spans="74:74" ht="14.25" customHeight="1">
      <c r="BV176" s="552"/>
    </row>
    <row r="177" spans="74:74" ht="14.25" customHeight="1">
      <c r="BV177" s="552"/>
    </row>
    <row r="178" spans="74:74" ht="14.25" customHeight="1">
      <c r="BV178" s="552"/>
    </row>
    <row r="179" spans="74:74" ht="14.25" customHeight="1">
      <c r="BV179" s="552"/>
    </row>
    <row r="180" spans="74:74" ht="14.25" customHeight="1">
      <c r="BV180" s="552"/>
    </row>
    <row r="181" spans="74:74" ht="14.25" customHeight="1">
      <c r="BV181" s="552"/>
    </row>
    <row r="182" spans="74:74" ht="14.25" customHeight="1">
      <c r="BV182" s="552"/>
    </row>
    <row r="183" spans="74:74" ht="14.25" customHeight="1">
      <c r="BV183" s="552"/>
    </row>
    <row r="184" spans="74:74" ht="14.25" customHeight="1">
      <c r="BV184" s="552"/>
    </row>
    <row r="185" spans="74:74" ht="14.25" customHeight="1">
      <c r="BV185" s="552"/>
    </row>
    <row r="186" spans="74:74" ht="14.25" customHeight="1">
      <c r="BV186" s="552"/>
    </row>
    <row r="187" spans="74:74" ht="14.25" customHeight="1">
      <c r="BV187" s="552"/>
    </row>
    <row r="188" spans="74:74" ht="14.25" customHeight="1">
      <c r="BV188" s="552"/>
    </row>
    <row r="189" spans="74:74" ht="14.25" customHeight="1">
      <c r="BV189" s="552"/>
    </row>
  </sheetData>
  <sheetProtection selectLockedCells="1" selectUnlockedCells="1"/>
  <conditionalFormatting sqref="B4">
    <cfRule type="cellIs" dxfId="2" priority="1" stopIfTrue="1" operator="equal">
      <formula>"Bear Case"</formula>
    </cfRule>
    <cfRule type="cellIs" dxfId="1" priority="2" stopIfTrue="1" operator="equal">
      <formula>"Bull Case"</formula>
    </cfRule>
    <cfRule type="cellIs" dxfId="0" priority="3" stopIfTrue="1" operator="equal">
      <formula>"Base Case"</formula>
    </cfRule>
  </conditionalFormatting>
  <pageMargins left="0" right="0" top="0" bottom="0" header="0" footer="0"/>
  <pageSetup paperSize="5" scale="63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FFC000"/>
  </sheetPr>
  <dimension ref="A2:CI84"/>
  <sheetViews>
    <sheetView zoomScale="80" zoomScaleNormal="80" workbookViewId="0">
      <pane xSplit="2" ySplit="4" topLeftCell="AZ5" activePane="bottomRight" state="frozen"/>
      <selection pane="topRight" activeCell="C1" sqref="C1"/>
      <selection pane="bottomLeft" activeCell="A5" sqref="A5"/>
      <selection pane="bottomRight" activeCell="B1" sqref="B1"/>
    </sheetView>
  </sheetViews>
  <sheetFormatPr defaultRowHeight="12.75" outlineLevelCol="1"/>
  <cols>
    <col min="1" max="1" width="3.28515625" customWidth="1"/>
    <col min="2" max="2" width="44.28515625" bestFit="1" customWidth="1"/>
    <col min="3" max="3" width="2.7109375" hidden="1" customWidth="1" outlineLevel="1"/>
    <col min="4" max="35" width="9.140625" hidden="1" customWidth="1" outlineLevel="1"/>
    <col min="36" max="36" width="9.140625" hidden="1" customWidth="1" outlineLevel="1" collapsed="1"/>
    <col min="37" max="39" width="9.140625" hidden="1" customWidth="1" outlineLevel="1"/>
    <col min="40" max="40" width="9.140625" hidden="1" customWidth="1" outlineLevel="1" collapsed="1"/>
    <col min="41" max="43" width="9.140625" hidden="1" customWidth="1" outlineLevel="1"/>
    <col min="44" max="44" width="9.140625" hidden="1" customWidth="1" outlineLevel="1" collapsed="1"/>
    <col min="45" max="45" width="9.140625" style="688" hidden="1" customWidth="1" outlineLevel="1"/>
    <col min="46" max="46" width="9.140625" style="693" hidden="1" customWidth="1" outlineLevel="1"/>
    <col min="47" max="47" width="9.140625" style="706" hidden="1" customWidth="1" outlineLevel="1"/>
    <col min="48" max="48" width="10.7109375" style="706" hidden="1" customWidth="1" outlineLevel="1"/>
    <col min="49" max="49" width="10.7109375" style="988" hidden="1" customWidth="1" outlineLevel="1"/>
    <col min="50" max="50" width="10" style="1061" hidden="1" customWidth="1" outlineLevel="1"/>
    <col min="51" max="51" width="11.42578125" hidden="1" customWidth="1" outlineLevel="1"/>
    <col min="52" max="52" width="9.85546875" style="974" customWidth="1" collapsed="1"/>
    <col min="53" max="55" width="9.85546875" style="974" customWidth="1"/>
    <col min="56" max="59" width="9.85546875" style="1060" customWidth="1"/>
    <col min="60" max="63" width="9.85546875" style="1167" customWidth="1"/>
    <col min="64" max="64" width="2.7109375" style="552" customWidth="1"/>
    <col min="65" max="70" width="9.140625" hidden="1" customWidth="1" outlineLevel="1"/>
    <col min="71" max="71" width="9.140625" hidden="1" customWidth="1" outlineLevel="1" collapsed="1"/>
    <col min="72" max="72" width="9.140625" hidden="1" customWidth="1" outlineLevel="1"/>
    <col min="73" max="73" width="9.140625" hidden="1" customWidth="1" outlineLevel="1" collapsed="1"/>
    <col min="74" max="74" width="8.7109375" hidden="1" customWidth="1" outlineLevel="1"/>
    <col min="75" max="75" width="9" hidden="1" customWidth="1" outlineLevel="1"/>
    <col min="76" max="76" width="9" style="974" hidden="1" customWidth="1" outlineLevel="1"/>
    <col min="77" max="77" width="10.5703125" style="974" customWidth="1" collapsed="1"/>
    <col min="78" max="78" width="11.28515625" style="1170" customWidth="1"/>
    <col min="79" max="79" width="11.28515625" customWidth="1"/>
  </cols>
  <sheetData>
    <row r="2" spans="1:87" ht="14.25" customHeight="1">
      <c r="A2" s="18"/>
      <c r="B2" s="19" t="s">
        <v>3</v>
      </c>
      <c r="C2" s="20"/>
      <c r="D2" s="21" t="s">
        <v>4</v>
      </c>
      <c r="E2" s="22" t="s">
        <v>5</v>
      </c>
      <c r="F2" s="22" t="s">
        <v>6</v>
      </c>
      <c r="G2" s="23" t="s">
        <v>7</v>
      </c>
      <c r="H2" s="21" t="s">
        <v>8</v>
      </c>
      <c r="I2" s="22" t="s">
        <v>9</v>
      </c>
      <c r="J2" s="22" t="s">
        <v>10</v>
      </c>
      <c r="K2" s="23" t="s">
        <v>11</v>
      </c>
      <c r="L2" s="21" t="s">
        <v>12</v>
      </c>
      <c r="M2" s="22" t="s">
        <v>13</v>
      </c>
      <c r="N2" s="22" t="s">
        <v>14</v>
      </c>
      <c r="O2" s="23" t="s">
        <v>15</v>
      </c>
      <c r="P2" s="21" t="s">
        <v>16</v>
      </c>
      <c r="Q2" s="22" t="s">
        <v>17</v>
      </c>
      <c r="R2" s="22" t="s">
        <v>18</v>
      </c>
      <c r="S2" s="23" t="s">
        <v>19</v>
      </c>
      <c r="T2" s="21" t="s">
        <v>20</v>
      </c>
      <c r="U2" s="22" t="s">
        <v>21</v>
      </c>
      <c r="V2" s="22" t="s">
        <v>22</v>
      </c>
      <c r="W2" s="23" t="s">
        <v>23</v>
      </c>
      <c r="X2" s="21" t="s">
        <v>24</v>
      </c>
      <c r="Y2" s="22" t="s">
        <v>25</v>
      </c>
      <c r="Z2" s="22" t="s">
        <v>26</v>
      </c>
      <c r="AA2" s="23" t="s">
        <v>27</v>
      </c>
      <c r="AB2" s="21" t="s">
        <v>28</v>
      </c>
      <c r="AC2" s="22" t="s">
        <v>29</v>
      </c>
      <c r="AD2" s="22" t="s">
        <v>30</v>
      </c>
      <c r="AE2" s="23" t="s">
        <v>31</v>
      </c>
      <c r="AF2" s="21" t="s">
        <v>32</v>
      </c>
      <c r="AG2" s="22" t="s">
        <v>33</v>
      </c>
      <c r="AH2" s="22" t="s">
        <v>34</v>
      </c>
      <c r="AI2" s="23" t="s">
        <v>35</v>
      </c>
      <c r="AJ2" s="21" t="s">
        <v>36</v>
      </c>
      <c r="AK2" s="22" t="s">
        <v>37</v>
      </c>
      <c r="AL2" s="22" t="s">
        <v>38</v>
      </c>
      <c r="AM2" s="22" t="s">
        <v>39</v>
      </c>
      <c r="AN2" s="21" t="s">
        <v>40</v>
      </c>
      <c r="AO2" s="22" t="s">
        <v>41</v>
      </c>
      <c r="AP2" s="22" t="s">
        <v>42</v>
      </c>
      <c r="AQ2" s="23" t="s">
        <v>363</v>
      </c>
      <c r="AR2" s="22" t="s">
        <v>364</v>
      </c>
      <c r="AS2" s="22" t="s">
        <v>365</v>
      </c>
      <c r="AT2" s="22" t="s">
        <v>366</v>
      </c>
      <c r="AU2" s="23" t="s">
        <v>374</v>
      </c>
      <c r="AV2" s="21" t="s">
        <v>382</v>
      </c>
      <c r="AW2" s="22" t="s">
        <v>505</v>
      </c>
      <c r="AX2" s="22" t="s">
        <v>341</v>
      </c>
      <c r="AY2" s="23" t="s">
        <v>342</v>
      </c>
      <c r="AZ2" s="22" t="s">
        <v>522</v>
      </c>
      <c r="BA2" s="22" t="s">
        <v>525</v>
      </c>
      <c r="BB2" s="22" t="s">
        <v>540</v>
      </c>
      <c r="BC2" s="23" t="s">
        <v>544</v>
      </c>
      <c r="BD2" s="22" t="s">
        <v>551</v>
      </c>
      <c r="BE2" s="22" t="s">
        <v>514</v>
      </c>
      <c r="BF2" s="22" t="s">
        <v>515</v>
      </c>
      <c r="BG2" s="23" t="s">
        <v>516</v>
      </c>
      <c r="BH2" s="22" t="s">
        <v>528</v>
      </c>
      <c r="BI2" s="22" t="s">
        <v>529</v>
      </c>
      <c r="BJ2" s="22" t="s">
        <v>530</v>
      </c>
      <c r="BK2" s="23" t="s">
        <v>531</v>
      </c>
      <c r="BL2" s="26"/>
      <c r="BM2" s="18"/>
      <c r="BN2" s="18"/>
      <c r="BO2" s="18"/>
      <c r="BP2" s="18"/>
      <c r="BQ2" s="18"/>
      <c r="BR2" s="24"/>
      <c r="BS2" s="25"/>
      <c r="BT2" s="25"/>
      <c r="BU2" s="25"/>
      <c r="BV2" t="s">
        <v>2</v>
      </c>
      <c r="BX2" s="1163" t="s">
        <v>2</v>
      </c>
      <c r="BY2" s="1163" t="s">
        <v>2</v>
      </c>
      <c r="BZ2" s="1163"/>
      <c r="CA2" s="18"/>
      <c r="CB2" s="18"/>
      <c r="CC2" s="26"/>
      <c r="CD2" s="18"/>
      <c r="CE2" s="18"/>
      <c r="CF2" s="18"/>
      <c r="CG2" s="18"/>
      <c r="CH2" s="18"/>
      <c r="CI2" s="18"/>
    </row>
    <row r="3" spans="1:87" ht="14.25" customHeight="1">
      <c r="A3" s="18"/>
      <c r="B3" s="27" t="s">
        <v>43</v>
      </c>
      <c r="C3" s="28"/>
      <c r="D3" s="29">
        <v>38442</v>
      </c>
      <c r="E3" s="30">
        <v>38533</v>
      </c>
      <c r="F3" s="30">
        <v>38625</v>
      </c>
      <c r="G3" s="31">
        <v>38717</v>
      </c>
      <c r="H3" s="30">
        <v>38807</v>
      </c>
      <c r="I3" s="30">
        <v>38898</v>
      </c>
      <c r="J3" s="30">
        <v>38990</v>
      </c>
      <c r="K3" s="31">
        <v>39082</v>
      </c>
      <c r="L3" s="30">
        <v>39172</v>
      </c>
      <c r="M3" s="30">
        <v>39263</v>
      </c>
      <c r="N3" s="30">
        <v>39355</v>
      </c>
      <c r="O3" s="31">
        <v>39447</v>
      </c>
      <c r="P3" s="30">
        <v>39538</v>
      </c>
      <c r="Q3" s="30">
        <v>39629</v>
      </c>
      <c r="R3" s="30">
        <v>39721</v>
      </c>
      <c r="S3" s="31">
        <v>39813</v>
      </c>
      <c r="T3" s="30">
        <v>39903</v>
      </c>
      <c r="U3" s="30">
        <v>39994</v>
      </c>
      <c r="V3" s="30">
        <v>40086</v>
      </c>
      <c r="W3" s="31">
        <v>40178</v>
      </c>
      <c r="X3" s="30">
        <v>40268</v>
      </c>
      <c r="Y3" s="30">
        <v>40359</v>
      </c>
      <c r="Z3" s="30">
        <v>40451</v>
      </c>
      <c r="AA3" s="31">
        <v>40543</v>
      </c>
      <c r="AB3" s="30">
        <v>40633</v>
      </c>
      <c r="AC3" s="30">
        <v>40724</v>
      </c>
      <c r="AD3" s="30">
        <v>40816</v>
      </c>
      <c r="AE3" s="31">
        <v>40908</v>
      </c>
      <c r="AF3" s="32">
        <v>40999</v>
      </c>
      <c r="AG3" s="30">
        <v>41090</v>
      </c>
      <c r="AH3" s="30">
        <v>41182</v>
      </c>
      <c r="AI3" s="31">
        <v>41274</v>
      </c>
      <c r="AJ3" s="32">
        <v>41364</v>
      </c>
      <c r="AK3" s="30">
        <v>41455</v>
      </c>
      <c r="AL3" s="30">
        <v>41547</v>
      </c>
      <c r="AM3" s="30">
        <v>41639</v>
      </c>
      <c r="AN3" s="32">
        <v>41729</v>
      </c>
      <c r="AO3" s="30">
        <v>41820</v>
      </c>
      <c r="AP3" s="30">
        <v>41912</v>
      </c>
      <c r="AQ3" s="31">
        <v>42004</v>
      </c>
      <c r="AR3" s="30">
        <v>42094</v>
      </c>
      <c r="AS3" s="30">
        <v>42185</v>
      </c>
      <c r="AT3" s="30">
        <v>42277</v>
      </c>
      <c r="AU3" s="31">
        <v>42369</v>
      </c>
      <c r="AV3" s="32">
        <v>42460</v>
      </c>
      <c r="AW3" s="30">
        <v>42551</v>
      </c>
      <c r="AX3" s="30">
        <v>42643</v>
      </c>
      <c r="AY3" s="1095">
        <v>42735</v>
      </c>
      <c r="AZ3" s="30">
        <v>42825</v>
      </c>
      <c r="BA3" s="30">
        <v>42916</v>
      </c>
      <c r="BB3" s="30">
        <v>43008</v>
      </c>
      <c r="BC3" s="31">
        <v>43100</v>
      </c>
      <c r="BD3" s="30">
        <v>43190</v>
      </c>
      <c r="BE3" s="30">
        <v>43281</v>
      </c>
      <c r="BF3" s="30">
        <v>43373</v>
      </c>
      <c r="BG3" s="31">
        <v>43465</v>
      </c>
      <c r="BH3" s="30">
        <v>43555</v>
      </c>
      <c r="BI3" s="30">
        <v>43646</v>
      </c>
      <c r="BJ3" s="30">
        <v>43738</v>
      </c>
      <c r="BK3" s="31">
        <v>43830</v>
      </c>
      <c r="BL3" s="26"/>
      <c r="BM3" s="18"/>
      <c r="BY3" s="17" t="s">
        <v>2</v>
      </c>
      <c r="BZ3" s="17"/>
      <c r="CB3" s="18"/>
      <c r="CC3" s="26"/>
      <c r="CD3" s="18"/>
      <c r="CE3" s="18"/>
      <c r="CF3" s="18"/>
      <c r="CG3" s="18"/>
      <c r="CH3" s="18"/>
      <c r="CI3" s="18"/>
    </row>
    <row r="4" spans="1:87" ht="14.25" customHeight="1">
      <c r="A4" s="18"/>
      <c r="B4" s="553"/>
      <c r="C4" s="385"/>
      <c r="D4" s="630" t="s">
        <v>44</v>
      </c>
      <c r="E4" s="630" t="s">
        <v>45</v>
      </c>
      <c r="F4" s="630" t="s">
        <v>46</v>
      </c>
      <c r="G4" s="36" t="s">
        <v>47</v>
      </c>
      <c r="H4" s="630" t="s">
        <v>48</v>
      </c>
      <c r="I4" s="630" t="s">
        <v>49</v>
      </c>
      <c r="J4" s="630" t="s">
        <v>50</v>
      </c>
      <c r="K4" s="36" t="s">
        <v>51</v>
      </c>
      <c r="L4" s="630" t="s">
        <v>52</v>
      </c>
      <c r="M4" s="630" t="s">
        <v>53</v>
      </c>
      <c r="N4" s="630" t="s">
        <v>54</v>
      </c>
      <c r="O4" s="36" t="s">
        <v>55</v>
      </c>
      <c r="P4" s="630" t="s">
        <v>56</v>
      </c>
      <c r="Q4" s="630" t="s">
        <v>57</v>
      </c>
      <c r="R4" s="630" t="s">
        <v>58</v>
      </c>
      <c r="S4" s="36" t="s">
        <v>59</v>
      </c>
      <c r="T4" s="630" t="s">
        <v>60</v>
      </c>
      <c r="U4" s="630" t="s">
        <v>61</v>
      </c>
      <c r="V4" s="630" t="s">
        <v>62</v>
      </c>
      <c r="W4" s="36" t="s">
        <v>63</v>
      </c>
      <c r="X4" s="630" t="s">
        <v>64</v>
      </c>
      <c r="Y4" s="630" t="s">
        <v>65</v>
      </c>
      <c r="Z4" s="630" t="s">
        <v>66</v>
      </c>
      <c r="AA4" s="36" t="s">
        <v>67</v>
      </c>
      <c r="AB4" s="630" t="s">
        <v>68</v>
      </c>
      <c r="AC4" s="630" t="s">
        <v>69</v>
      </c>
      <c r="AD4" s="630" t="s">
        <v>70</v>
      </c>
      <c r="AE4" s="36" t="s">
        <v>71</v>
      </c>
      <c r="AF4" s="343" t="s">
        <v>72</v>
      </c>
      <c r="AG4" s="630" t="s">
        <v>73</v>
      </c>
      <c r="AH4" s="630" t="s">
        <v>74</v>
      </c>
      <c r="AI4" s="36" t="s">
        <v>75</v>
      </c>
      <c r="AJ4" s="343" t="s">
        <v>76</v>
      </c>
      <c r="AK4" s="630" t="s">
        <v>77</v>
      </c>
      <c r="AL4" s="630" t="s">
        <v>78</v>
      </c>
      <c r="AM4" s="630" t="s">
        <v>79</v>
      </c>
      <c r="AN4" s="343" t="s">
        <v>80</v>
      </c>
      <c r="AO4" s="630" t="s">
        <v>81</v>
      </c>
      <c r="AP4" s="630" t="s">
        <v>82</v>
      </c>
      <c r="AQ4" s="36" t="s">
        <v>307</v>
      </c>
      <c r="AR4" s="630" t="s">
        <v>358</v>
      </c>
      <c r="AS4" s="630" t="s">
        <v>359</v>
      </c>
      <c r="AT4" s="630" t="s">
        <v>367</v>
      </c>
      <c r="AU4" s="36" t="s">
        <v>375</v>
      </c>
      <c r="AV4" s="343" t="s">
        <v>381</v>
      </c>
      <c r="AW4" s="630" t="s">
        <v>506</v>
      </c>
      <c r="AX4" s="630" t="s">
        <v>511</v>
      </c>
      <c r="AY4" s="36" t="s">
        <v>520</v>
      </c>
      <c r="AZ4" s="630" t="s">
        <v>523</v>
      </c>
      <c r="BA4" s="630" t="s">
        <v>526</v>
      </c>
      <c r="BB4" s="630" t="s">
        <v>541</v>
      </c>
      <c r="BC4" s="36" t="s">
        <v>545</v>
      </c>
      <c r="BD4" s="630" t="s">
        <v>552</v>
      </c>
      <c r="BE4" s="630" t="s">
        <v>286</v>
      </c>
      <c r="BF4" s="630" t="s">
        <v>287</v>
      </c>
      <c r="BG4" s="36" t="s">
        <v>288</v>
      </c>
      <c r="BH4" s="630" t="s">
        <v>532</v>
      </c>
      <c r="BI4" s="630" t="s">
        <v>533</v>
      </c>
      <c r="BJ4" s="630" t="s">
        <v>534</v>
      </c>
      <c r="BK4" s="36" t="s">
        <v>535</v>
      </c>
      <c r="BL4" s="35"/>
      <c r="BM4" s="343" t="s">
        <v>83</v>
      </c>
      <c r="BN4" s="630" t="s">
        <v>84</v>
      </c>
      <c r="BO4" s="630" t="s">
        <v>85</v>
      </c>
      <c r="BP4" s="630" t="s">
        <v>86</v>
      </c>
      <c r="BQ4" s="630" t="s">
        <v>87</v>
      </c>
      <c r="BR4" s="630" t="s">
        <v>88</v>
      </c>
      <c r="BS4" s="343" t="s">
        <v>89</v>
      </c>
      <c r="BT4" s="630" t="s">
        <v>90</v>
      </c>
      <c r="BU4" s="674" t="s">
        <v>91</v>
      </c>
      <c r="BV4" s="343" t="s">
        <v>343</v>
      </c>
      <c r="BW4" s="630" t="s">
        <v>376</v>
      </c>
      <c r="BX4" s="630" t="s">
        <v>521</v>
      </c>
      <c r="BY4" s="630" t="s">
        <v>92</v>
      </c>
      <c r="BZ4" s="630" t="s">
        <v>93</v>
      </c>
      <c r="CA4" s="36" t="s">
        <v>94</v>
      </c>
      <c r="CB4" s="26"/>
      <c r="CC4" s="26"/>
      <c r="CD4" s="18"/>
      <c r="CE4" s="18"/>
      <c r="CF4" s="18"/>
      <c r="CG4" s="18"/>
      <c r="CH4" s="18"/>
      <c r="CI4" s="18"/>
    </row>
    <row r="5" spans="1:87" ht="14.25" customHeight="1">
      <c r="A5" s="559"/>
      <c r="B5" s="631" t="s">
        <v>349</v>
      </c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632"/>
      <c r="X5" s="632"/>
      <c r="Y5" s="632"/>
      <c r="Z5" s="632"/>
      <c r="AA5" s="632"/>
      <c r="AB5" s="632"/>
      <c r="AC5" s="632"/>
      <c r="AD5" s="632"/>
      <c r="AE5" s="632"/>
      <c r="AF5" s="632"/>
      <c r="AG5" s="632"/>
      <c r="AH5" s="632"/>
      <c r="AI5" s="632"/>
      <c r="AJ5" s="632"/>
      <c r="AK5" s="632"/>
      <c r="AL5" s="632"/>
      <c r="AM5" s="632"/>
      <c r="AN5" s="653"/>
      <c r="AO5" s="633"/>
      <c r="AP5" s="633"/>
      <c r="AQ5" s="654"/>
      <c r="AR5" s="633">
        <v>7420</v>
      </c>
      <c r="AS5" s="633">
        <v>7537</v>
      </c>
      <c r="AT5" s="633">
        <v>8506</v>
      </c>
      <c r="AU5" s="654">
        <v>8756</v>
      </c>
      <c r="AV5" s="653">
        <v>7549</v>
      </c>
      <c r="AW5" s="633">
        <v>7338</v>
      </c>
      <c r="AX5" s="633">
        <v>8892</v>
      </c>
      <c r="AY5" s="654">
        <v>9129</v>
      </c>
      <c r="AZ5" s="653">
        <v>7976</v>
      </c>
      <c r="BA5" s="633">
        <v>8213</v>
      </c>
      <c r="BB5" s="633">
        <v>8860</v>
      </c>
      <c r="BC5" s="654">
        <v>8954</v>
      </c>
      <c r="BD5" s="653">
        <v>8220</v>
      </c>
      <c r="BE5" s="663">
        <f>'Segment Detail'!AJ4</f>
        <v>8339.2498324156986</v>
      </c>
      <c r="BF5" s="663">
        <f>'Segment Detail'!AK4</f>
        <v>8840.3323240364844</v>
      </c>
      <c r="BG5" s="664">
        <f>'Segment Detail'!AL4</f>
        <v>8829.6969038612733</v>
      </c>
      <c r="BH5" s="663">
        <f>'Segment Detail'!AM4</f>
        <v>7707.7811694229013</v>
      </c>
      <c r="BI5" s="663">
        <f>'Segment Detail'!AN4</f>
        <v>7848.7867928113601</v>
      </c>
      <c r="BJ5" s="663">
        <f>'Segment Detail'!AO4</f>
        <v>8580.636241618613</v>
      </c>
      <c r="BK5" s="664">
        <f>'Segment Detail'!AP4</f>
        <v>8594.2353055439671</v>
      </c>
      <c r="BL5" s="571"/>
      <c r="BM5" s="642"/>
      <c r="BN5" s="567"/>
      <c r="BO5" s="567"/>
      <c r="BP5" s="567"/>
      <c r="BQ5" s="567"/>
      <c r="BR5" s="567"/>
      <c r="BS5" s="641"/>
      <c r="BT5" s="634"/>
      <c r="BU5" s="675"/>
      <c r="BV5" s="707">
        <v>34872</v>
      </c>
      <c r="BW5" s="634">
        <f>SUM(AR5:AU5)</f>
        <v>32219</v>
      </c>
      <c r="BX5" s="634">
        <f>SUM(AV5:AY5)</f>
        <v>32908</v>
      </c>
      <c r="BY5" s="634">
        <f>SUM(AZ5:BC5)</f>
        <v>34003</v>
      </c>
      <c r="BZ5" s="634">
        <f>SUM(BD5:BG5)</f>
        <v>34229.279060313456</v>
      </c>
      <c r="CA5" s="635">
        <f>SUM(BH5:BK5)</f>
        <v>32731.439509396841</v>
      </c>
      <c r="CC5" s="1002"/>
      <c r="CD5" s="1003"/>
    </row>
    <row r="6" spans="1:87" ht="14.25" customHeight="1">
      <c r="A6" s="559"/>
      <c r="B6" s="502" t="s">
        <v>290</v>
      </c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2"/>
      <c r="T6" s="552"/>
      <c r="U6" s="552"/>
      <c r="V6" s="552"/>
      <c r="W6" s="552"/>
      <c r="X6" s="552"/>
      <c r="Y6" s="552"/>
      <c r="Z6" s="552"/>
      <c r="AA6" s="552"/>
      <c r="AB6" s="552"/>
      <c r="AC6" s="552"/>
      <c r="AD6" s="552"/>
      <c r="AE6" s="552"/>
      <c r="AF6" s="552"/>
      <c r="AG6" s="552"/>
      <c r="AH6" s="552"/>
      <c r="AI6" s="552"/>
      <c r="AJ6" s="552"/>
      <c r="AK6" s="552"/>
      <c r="AL6" s="552"/>
      <c r="AM6" s="552"/>
      <c r="AN6" s="73"/>
      <c r="AO6" s="636"/>
      <c r="AP6" s="636"/>
      <c r="AQ6" s="652"/>
      <c r="AR6" s="636"/>
      <c r="AS6" s="636">
        <f>AS5/AR5-1</f>
        <v>1.5768194070080899E-2</v>
      </c>
      <c r="AT6" s="636">
        <f t="shared" ref="AT6:BD6" si="0">AT5/AS5-1</f>
        <v>0.12856574233780016</v>
      </c>
      <c r="AU6" s="652">
        <f t="shared" si="0"/>
        <v>2.9391018104867106E-2</v>
      </c>
      <c r="AV6" s="655">
        <f t="shared" si="0"/>
        <v>-0.13784833257195062</v>
      </c>
      <c r="AW6" s="636">
        <f t="shared" si="0"/>
        <v>-2.7950721949927093E-2</v>
      </c>
      <c r="AX6" s="636">
        <f t="shared" si="0"/>
        <v>0.21177432542927233</v>
      </c>
      <c r="AY6" s="1140">
        <f t="shared" si="0"/>
        <v>2.6653171390013553E-2</v>
      </c>
      <c r="AZ6" s="655">
        <f t="shared" si="0"/>
        <v>-0.12630079964946872</v>
      </c>
      <c r="BA6" s="636">
        <f t="shared" si="0"/>
        <v>2.9714142427281764E-2</v>
      </c>
      <c r="BB6" s="636">
        <f t="shared" si="0"/>
        <v>7.8777547790088942E-2</v>
      </c>
      <c r="BC6" s="1140">
        <f t="shared" si="0"/>
        <v>1.0609480812641126E-2</v>
      </c>
      <c r="BD6" s="655">
        <f t="shared" si="0"/>
        <v>-8.1974536519991092E-2</v>
      </c>
      <c r="BE6" s="636">
        <f t="shared" ref="BE6" si="1">BE5/BD5-1</f>
        <v>1.4507278882688324E-2</v>
      </c>
      <c r="BF6" s="636">
        <f t="shared" ref="BF6" si="2">BF5/BE5-1</f>
        <v>6.0087238263688336E-2</v>
      </c>
      <c r="BG6" s="652">
        <f t="shared" ref="BG6" si="3">BG5/BF5-1</f>
        <v>-1.2030566030073464E-3</v>
      </c>
      <c r="BH6" s="636">
        <f t="shared" ref="BH6" si="4">BH5/BG5-1</f>
        <v>-0.1270616360509218</v>
      </c>
      <c r="BI6" s="636">
        <f t="shared" ref="BI6" si="5">BI5/BH5-1</f>
        <v>1.8293931844852285E-2</v>
      </c>
      <c r="BJ6" s="636">
        <f t="shared" ref="BJ6" si="6">BJ5/BI5-1</f>
        <v>9.3243639829476255E-2</v>
      </c>
      <c r="BK6" s="652">
        <f t="shared" ref="BK6" si="7">BK5/BJ5-1</f>
        <v>1.5848549620824937E-3</v>
      </c>
      <c r="BL6" s="1178"/>
      <c r="BM6" s="73"/>
      <c r="BN6" s="552"/>
      <c r="BO6" s="552"/>
      <c r="BP6" s="552"/>
      <c r="BQ6" s="552"/>
      <c r="BR6" s="552"/>
      <c r="BS6" s="73"/>
      <c r="BT6" s="552"/>
      <c r="BU6" s="676"/>
      <c r="BV6" s="655"/>
      <c r="BW6" s="260"/>
      <c r="BX6" s="260"/>
      <c r="BY6" s="552"/>
      <c r="BZ6" s="552"/>
      <c r="CA6" s="566"/>
      <c r="CC6" s="1002"/>
      <c r="CD6" s="1003"/>
    </row>
    <row r="7" spans="1:87" ht="14.25" customHeight="1">
      <c r="A7" s="559"/>
      <c r="B7" s="563" t="s">
        <v>291</v>
      </c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  <c r="O7" s="552"/>
      <c r="P7" s="552"/>
      <c r="Q7" s="552"/>
      <c r="R7" s="552"/>
      <c r="S7" s="552"/>
      <c r="T7" s="552"/>
      <c r="U7" s="552"/>
      <c r="V7" s="552"/>
      <c r="W7" s="552"/>
      <c r="X7" s="552"/>
      <c r="Y7" s="552"/>
      <c r="Z7" s="552"/>
      <c r="AA7" s="552"/>
      <c r="AB7" s="552"/>
      <c r="AC7" s="552"/>
      <c r="AD7" s="552"/>
      <c r="AE7" s="552"/>
      <c r="AF7" s="552"/>
      <c r="AG7" s="552"/>
      <c r="AH7" s="552"/>
      <c r="AI7" s="552"/>
      <c r="AJ7" s="552"/>
      <c r="AK7" s="552"/>
      <c r="AL7" s="552"/>
      <c r="AM7" s="552"/>
      <c r="AN7" s="73"/>
      <c r="AO7" s="552"/>
      <c r="AP7" s="552"/>
      <c r="AQ7" s="566"/>
      <c r="AR7" s="636"/>
      <c r="AS7" s="636"/>
      <c r="AT7" s="636"/>
      <c r="AU7" s="652"/>
      <c r="AV7" s="655">
        <f t="shared" ref="AV7:BD7" si="8">AV5/AR5-1</f>
        <v>1.7385444743935219E-2</v>
      </c>
      <c r="AW7" s="636">
        <f t="shared" si="8"/>
        <v>-2.6403078147804182E-2</v>
      </c>
      <c r="AX7" s="636">
        <f t="shared" si="8"/>
        <v>4.537973195391487E-2</v>
      </c>
      <c r="AY7" s="1140">
        <f t="shared" si="8"/>
        <v>4.2599360438556388E-2</v>
      </c>
      <c r="AZ7" s="655">
        <f t="shared" si="8"/>
        <v>5.656378328255407E-2</v>
      </c>
      <c r="BA7" s="636">
        <f t="shared" si="8"/>
        <v>0.11924230035431993</v>
      </c>
      <c r="BB7" s="636">
        <f t="shared" si="8"/>
        <v>-3.598740440845738E-3</v>
      </c>
      <c r="BC7" s="1140">
        <f t="shared" si="8"/>
        <v>-1.9169679044802268E-2</v>
      </c>
      <c r="BD7" s="655">
        <f t="shared" si="8"/>
        <v>3.0591775325977899E-2</v>
      </c>
      <c r="BE7" s="636">
        <f t="shared" ref="BE7" si="9">BE5/BA5-1</f>
        <v>1.5371950860306738E-2</v>
      </c>
      <c r="BF7" s="636">
        <f t="shared" ref="BF7" si="10">BF5/BB5-1</f>
        <v>-2.2198279868528292E-3</v>
      </c>
      <c r="BG7" s="652">
        <f t="shared" ref="BG7" si="11">BG5/BC5-1</f>
        <v>-1.3882409664812023E-2</v>
      </c>
      <c r="BH7" s="636">
        <f t="shared" ref="BH7" si="12">BH5/BD5-1</f>
        <v>-6.2313726347578924E-2</v>
      </c>
      <c r="BI7" s="636">
        <f t="shared" ref="BI7" si="13">BI5/BE5-1</f>
        <v>-5.8813808131499723E-2</v>
      </c>
      <c r="BJ7" s="636">
        <f t="shared" ref="BJ7" si="14">BJ5/BF5-1</f>
        <v>-2.9376280540016397E-2</v>
      </c>
      <c r="BK7" s="652">
        <f t="shared" ref="BK7" si="15">BK5/BG5-1</f>
        <v>-2.6667008039011786E-2</v>
      </c>
      <c r="BL7" s="1178"/>
      <c r="BM7" s="73"/>
      <c r="BN7" s="552"/>
      <c r="BO7" s="552"/>
      <c r="BP7" s="552"/>
      <c r="BQ7" s="552"/>
      <c r="BR7" s="552"/>
      <c r="BS7" s="73"/>
      <c r="BT7" s="552"/>
      <c r="BU7" s="676"/>
      <c r="BV7" s="708"/>
      <c r="BW7" s="629">
        <f>BW5/BV5-1</f>
        <v>-7.607822895159444E-2</v>
      </c>
      <c r="BX7" s="629">
        <f>BX5/BW5-1</f>
        <v>2.1384897110400702E-2</v>
      </c>
      <c r="BY7" s="629">
        <f>BY5/BX5-1</f>
        <v>3.3274583687856962E-2</v>
      </c>
      <c r="BZ7" s="629">
        <f>BZ5/BY5-1</f>
        <v>6.6546793022219664E-3</v>
      </c>
      <c r="CA7" s="665">
        <f>CA5/BZ5-1</f>
        <v>-4.375901544047589E-2</v>
      </c>
      <c r="CC7" s="1002"/>
      <c r="CD7" s="1003"/>
    </row>
    <row r="8" spans="1:87" ht="14.25" customHeight="1">
      <c r="A8" s="559"/>
      <c r="B8" s="502" t="s">
        <v>292</v>
      </c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  <c r="O8" s="552"/>
      <c r="P8" s="552"/>
      <c r="Q8" s="552"/>
      <c r="R8" s="552"/>
      <c r="S8" s="552"/>
      <c r="T8" s="552"/>
      <c r="U8" s="552"/>
      <c r="V8" s="552"/>
      <c r="W8" s="552"/>
      <c r="X8" s="552"/>
      <c r="Y8" s="552"/>
      <c r="Z8" s="552"/>
      <c r="AA8" s="552"/>
      <c r="AB8" s="552"/>
      <c r="AC8" s="552"/>
      <c r="AD8" s="552"/>
      <c r="AE8" s="552"/>
      <c r="AF8" s="552"/>
      <c r="AG8" s="552"/>
      <c r="AH8" s="552"/>
      <c r="AI8" s="552"/>
      <c r="AJ8" s="552"/>
      <c r="AK8" s="552"/>
      <c r="AL8" s="552"/>
      <c r="AM8" s="552"/>
      <c r="AN8" s="655"/>
      <c r="AO8" s="636"/>
      <c r="AP8" s="636"/>
      <c r="AQ8" s="652"/>
      <c r="AR8" s="636">
        <f t="shared" ref="AR8:AW8" si="16">AR5/AR$78</f>
        <v>0.58054925279712077</v>
      </c>
      <c r="AS8" s="636">
        <f t="shared" si="16"/>
        <v>0.57120121258052292</v>
      </c>
      <c r="AT8" s="636">
        <f t="shared" si="16"/>
        <v>0.58804009678534397</v>
      </c>
      <c r="AU8" s="652">
        <f t="shared" si="16"/>
        <v>0.58709936971972643</v>
      </c>
      <c r="AV8" s="655">
        <f t="shared" si="16"/>
        <v>0.55094146839877389</v>
      </c>
      <c r="AW8" s="636">
        <f t="shared" si="16"/>
        <v>0.54223010418975837</v>
      </c>
      <c r="AX8" s="636">
        <f t="shared" ref="AX8:AZ8" si="17">AX5/AX$78</f>
        <v>0.56356952718975795</v>
      </c>
      <c r="AY8" s="1140">
        <f t="shared" si="17"/>
        <v>0.55753023085379261</v>
      </c>
      <c r="AZ8" s="655">
        <f t="shared" si="17"/>
        <v>0.53906461205731282</v>
      </c>
      <c r="BA8" s="636">
        <f t="shared" ref="BA8:BD8" si="18">BA5/BA$78</f>
        <v>0.55632324053376681</v>
      </c>
      <c r="BB8" s="636">
        <f t="shared" si="18"/>
        <v>0.5486407827110038</v>
      </c>
      <c r="BC8" s="1140">
        <f t="shared" si="18"/>
        <v>0.5250689028323462</v>
      </c>
      <c r="BD8" s="655">
        <f t="shared" si="18"/>
        <v>0.511639487115648</v>
      </c>
      <c r="BE8" s="636">
        <f t="shared" ref="BE8:BG8" si="19">BE5/BE$78</f>
        <v>0.511283872686777</v>
      </c>
      <c r="BF8" s="636">
        <f t="shared" si="19"/>
        <v>0.50367304885571629</v>
      </c>
      <c r="BG8" s="652">
        <f t="shared" si="19"/>
        <v>0.4970622437177416</v>
      </c>
      <c r="BH8" s="636">
        <f t="shared" ref="BH8:BK8" si="20">BH5/BH$78</f>
        <v>0.47781457869042004</v>
      </c>
      <c r="BI8" s="636">
        <f t="shared" si="20"/>
        <v>0.47608163385517321</v>
      </c>
      <c r="BJ8" s="636">
        <f t="shared" si="20"/>
        <v>0.47741488218055733</v>
      </c>
      <c r="BK8" s="652">
        <f t="shared" si="20"/>
        <v>0.46904290564868212</v>
      </c>
      <c r="BL8" s="1178"/>
      <c r="BM8" s="73"/>
      <c r="BN8" s="552"/>
      <c r="BO8" s="552"/>
      <c r="BP8" s="552"/>
      <c r="BQ8" s="552"/>
      <c r="BR8" s="552"/>
      <c r="BS8" s="73"/>
      <c r="BT8" s="552"/>
      <c r="BU8" s="676"/>
      <c r="BV8" s="655"/>
      <c r="BW8" s="636">
        <f>BW5/BW$78</f>
        <v>0.5820431758648722</v>
      </c>
      <c r="BX8" s="636">
        <f>BX5/BX$78</f>
        <v>0.55412800781315774</v>
      </c>
      <c r="BY8" s="636">
        <f>BY5/BY$78</f>
        <v>0.54178550373639678</v>
      </c>
      <c r="BZ8" s="636">
        <f>BZ5/BZ$78</f>
        <v>0.50566282402546681</v>
      </c>
      <c r="CA8" s="652">
        <f>CA5/CA$78</f>
        <v>0.47496352745342829</v>
      </c>
      <c r="CC8" s="1002"/>
      <c r="CD8" s="1003"/>
    </row>
    <row r="9" spans="1:87" ht="14.25" customHeight="1">
      <c r="A9" s="559"/>
      <c r="B9" s="73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73"/>
      <c r="AO9" s="552"/>
      <c r="AP9" s="552"/>
      <c r="AQ9" s="566"/>
      <c r="AR9" s="552"/>
      <c r="AS9" s="552"/>
      <c r="AT9" s="552"/>
      <c r="AU9" s="566"/>
      <c r="AV9" s="73"/>
      <c r="AW9" s="552"/>
      <c r="AX9" s="552"/>
      <c r="AY9" s="1141"/>
      <c r="AZ9" s="73"/>
      <c r="BA9" s="552"/>
      <c r="BB9" s="552"/>
      <c r="BC9" s="1141"/>
      <c r="BD9" s="73"/>
      <c r="BE9" s="552"/>
      <c r="BF9" s="552"/>
      <c r="BG9" s="566"/>
      <c r="BH9" s="552"/>
      <c r="BI9" s="552"/>
      <c r="BJ9" s="552"/>
      <c r="BK9" s="566"/>
      <c r="BL9" s="1178"/>
      <c r="BM9" s="73"/>
      <c r="BN9" s="552"/>
      <c r="BO9" s="552"/>
      <c r="BP9" s="552"/>
      <c r="BQ9" s="552"/>
      <c r="BR9" s="552"/>
      <c r="BS9" s="73"/>
      <c r="BT9" s="552"/>
      <c r="BU9" s="676"/>
      <c r="BV9" s="561"/>
      <c r="BW9" s="260"/>
      <c r="BX9" s="260"/>
      <c r="BY9" s="552"/>
      <c r="BZ9" s="552"/>
      <c r="CA9" s="566"/>
      <c r="CC9" s="1002"/>
      <c r="CD9" s="1003"/>
    </row>
    <row r="10" spans="1:87" ht="14.25" customHeight="1">
      <c r="A10" s="559"/>
      <c r="B10" s="637" t="s">
        <v>350</v>
      </c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656"/>
      <c r="AO10" s="592"/>
      <c r="AP10" s="592"/>
      <c r="AQ10" s="657"/>
      <c r="AR10" s="592">
        <v>1410</v>
      </c>
      <c r="AS10" s="592">
        <v>1602</v>
      </c>
      <c r="AT10" s="592">
        <v>2433</v>
      </c>
      <c r="AU10" s="657">
        <v>2720</v>
      </c>
      <c r="AV10" s="656">
        <v>1885</v>
      </c>
      <c r="AW10" s="592">
        <v>1911</v>
      </c>
      <c r="AX10" s="592">
        <v>3327</v>
      </c>
      <c r="AY10" s="1142">
        <v>3523</v>
      </c>
      <c r="AZ10" s="1145">
        <v>3031</v>
      </c>
      <c r="BA10" s="592">
        <v>3025</v>
      </c>
      <c r="BB10" s="592">
        <v>3600</v>
      </c>
      <c r="BC10" s="1142">
        <v>3263</v>
      </c>
      <c r="BD10" s="1145">
        <v>2791</v>
      </c>
      <c r="BE10" s="592"/>
      <c r="BF10" s="592"/>
      <c r="BG10" s="657"/>
      <c r="BH10" s="592"/>
      <c r="BI10" s="592"/>
      <c r="BJ10" s="592"/>
      <c r="BK10" s="657"/>
      <c r="BL10" s="571"/>
      <c r="BM10" s="642"/>
      <c r="BN10" s="567"/>
      <c r="BO10" s="567"/>
      <c r="BP10" s="567"/>
      <c r="BQ10" s="567"/>
      <c r="BR10" s="567"/>
      <c r="BS10" s="642"/>
      <c r="BT10" s="567"/>
      <c r="BU10" s="677"/>
      <c r="BV10" s="709">
        <v>10327</v>
      </c>
      <c r="BW10" s="567">
        <f>SUM(AR10:AU10)</f>
        <v>8165</v>
      </c>
      <c r="BX10" s="567"/>
      <c r="BY10" s="567"/>
      <c r="BZ10" s="567"/>
      <c r="CA10" s="638"/>
      <c r="CC10" s="1002"/>
      <c r="CD10" s="1003"/>
    </row>
    <row r="11" spans="1:87" ht="14.25" customHeight="1">
      <c r="A11" s="559"/>
      <c r="B11" s="502" t="s">
        <v>290</v>
      </c>
      <c r="C11" s="552"/>
      <c r="D11" s="552"/>
      <c r="E11" s="552"/>
      <c r="F11" s="552"/>
      <c r="G11" s="552"/>
      <c r="H11" s="552"/>
      <c r="I11" s="552"/>
      <c r="J11" s="552"/>
      <c r="K11" s="552"/>
      <c r="L11" s="552"/>
      <c r="M11" s="552"/>
      <c r="N11" s="552"/>
      <c r="O11" s="552"/>
      <c r="P11" s="552"/>
      <c r="Q11" s="552"/>
      <c r="R11" s="552"/>
      <c r="S11" s="552"/>
      <c r="T11" s="552"/>
      <c r="U11" s="552"/>
      <c r="V11" s="552"/>
      <c r="W11" s="552"/>
      <c r="X11" s="552"/>
      <c r="Y11" s="552"/>
      <c r="Z11" s="552"/>
      <c r="AA11" s="552"/>
      <c r="AB11" s="552"/>
      <c r="AC11" s="552"/>
      <c r="AD11" s="552"/>
      <c r="AE11" s="552"/>
      <c r="AF11" s="552"/>
      <c r="AG11" s="552"/>
      <c r="AH11" s="552"/>
      <c r="AI11" s="552"/>
      <c r="AJ11" s="552"/>
      <c r="AK11" s="552"/>
      <c r="AL11" s="552"/>
      <c r="AM11" s="552"/>
      <c r="AN11" s="73"/>
      <c r="AO11" s="636"/>
      <c r="AP11" s="636"/>
      <c r="AQ11" s="652"/>
      <c r="AR11" s="636"/>
      <c r="AS11" s="636">
        <f t="shared" ref="AS11:BD11" si="21">AS10/AR10-1</f>
        <v>0.13617021276595742</v>
      </c>
      <c r="AT11" s="636">
        <f t="shared" si="21"/>
        <v>0.51872659176029967</v>
      </c>
      <c r="AU11" s="652">
        <f t="shared" si="21"/>
        <v>0.11796136457048911</v>
      </c>
      <c r="AV11" s="655">
        <f t="shared" si="21"/>
        <v>-0.30698529411764708</v>
      </c>
      <c r="AW11" s="636">
        <f t="shared" si="21"/>
        <v>1.379310344827589E-2</v>
      </c>
      <c r="AX11" s="636">
        <f t="shared" si="21"/>
        <v>0.7409733124018838</v>
      </c>
      <c r="AY11" s="1140">
        <f t="shared" si="21"/>
        <v>5.8911932672076839E-2</v>
      </c>
      <c r="AZ11" s="655">
        <f t="shared" si="21"/>
        <v>-0.13965370422934997</v>
      </c>
      <c r="BA11" s="636">
        <f t="shared" si="21"/>
        <v>-1.9795447047179504E-3</v>
      </c>
      <c r="BB11" s="636">
        <f t="shared" si="21"/>
        <v>0.19008264462809921</v>
      </c>
      <c r="BC11" s="1140">
        <f t="shared" si="21"/>
        <v>-9.3611111111111089E-2</v>
      </c>
      <c r="BD11" s="655">
        <f t="shared" si="21"/>
        <v>-0.14465216058841557</v>
      </c>
      <c r="BE11" s="636"/>
      <c r="BF11" s="636"/>
      <c r="BG11" s="652"/>
      <c r="BH11" s="636"/>
      <c r="BI11" s="636"/>
      <c r="BJ11" s="636"/>
      <c r="BK11" s="652"/>
      <c r="BL11" s="1178"/>
      <c r="BM11" s="73"/>
      <c r="BN11" s="552"/>
      <c r="BO11" s="552"/>
      <c r="BP11" s="552"/>
      <c r="BQ11" s="552"/>
      <c r="BR11" s="552"/>
      <c r="BS11" s="73"/>
      <c r="BT11" s="552"/>
      <c r="BU11" s="676"/>
      <c r="BV11" s="561"/>
      <c r="BW11" s="260"/>
      <c r="BX11" s="260"/>
      <c r="BY11" s="552"/>
      <c r="BZ11" s="552"/>
      <c r="CA11" s="566"/>
      <c r="CC11" s="1002"/>
      <c r="CD11" s="1003"/>
    </row>
    <row r="12" spans="1:87" ht="14.25" customHeight="1">
      <c r="A12" s="559"/>
      <c r="B12" s="563" t="s">
        <v>291</v>
      </c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  <c r="O12" s="552"/>
      <c r="P12" s="552"/>
      <c r="Q12" s="552"/>
      <c r="R12" s="552"/>
      <c r="S12" s="552"/>
      <c r="T12" s="552"/>
      <c r="U12" s="552"/>
      <c r="V12" s="552"/>
      <c r="W12" s="552"/>
      <c r="X12" s="552"/>
      <c r="Y12" s="552"/>
      <c r="Z12" s="552"/>
      <c r="AA12" s="552"/>
      <c r="AB12" s="552"/>
      <c r="AC12" s="552"/>
      <c r="AD12" s="552"/>
      <c r="AE12" s="552"/>
      <c r="AF12" s="552"/>
      <c r="AG12" s="552"/>
      <c r="AH12" s="552"/>
      <c r="AI12" s="552"/>
      <c r="AJ12" s="552"/>
      <c r="AK12" s="552"/>
      <c r="AL12" s="552"/>
      <c r="AM12" s="552"/>
      <c r="AN12" s="73"/>
      <c r="AO12" s="552"/>
      <c r="AP12" s="552"/>
      <c r="AQ12" s="566"/>
      <c r="AR12" s="636"/>
      <c r="AS12" s="636"/>
      <c r="AT12" s="636"/>
      <c r="AU12" s="652"/>
      <c r="AV12" s="655">
        <f t="shared" ref="AV12:BD12" si="22">AV10/AR10-1</f>
        <v>0.33687943262411357</v>
      </c>
      <c r="AW12" s="636">
        <f t="shared" si="22"/>
        <v>0.19288389513108606</v>
      </c>
      <c r="AX12" s="636">
        <f t="shared" si="22"/>
        <v>0.36744759556103568</v>
      </c>
      <c r="AY12" s="1140">
        <f t="shared" si="22"/>
        <v>0.29522058823529407</v>
      </c>
      <c r="AZ12" s="655">
        <f t="shared" si="22"/>
        <v>0.60795755968169751</v>
      </c>
      <c r="BA12" s="636">
        <f t="shared" si="22"/>
        <v>0.58294086865515427</v>
      </c>
      <c r="BB12" s="636">
        <f t="shared" si="22"/>
        <v>8.2055906221821351E-2</v>
      </c>
      <c r="BC12" s="1140">
        <f t="shared" si="22"/>
        <v>-7.3800738007380073E-2</v>
      </c>
      <c r="BD12" s="655">
        <f t="shared" si="22"/>
        <v>-7.9181788188716573E-2</v>
      </c>
      <c r="BE12" s="552"/>
      <c r="BF12" s="552"/>
      <c r="BG12" s="566"/>
      <c r="BH12" s="552"/>
      <c r="BI12" s="552"/>
      <c r="BJ12" s="552"/>
      <c r="BK12" s="566"/>
      <c r="BL12" s="1178"/>
      <c r="BM12" s="73"/>
      <c r="BN12" s="552"/>
      <c r="BO12" s="552"/>
      <c r="BP12" s="552"/>
      <c r="BQ12" s="552"/>
      <c r="BR12" s="552"/>
      <c r="BS12" s="73"/>
      <c r="BT12" s="552"/>
      <c r="BU12" s="676"/>
      <c r="BV12" s="708"/>
      <c r="BW12" s="260"/>
      <c r="BX12" s="260"/>
      <c r="BY12" s="552"/>
      <c r="BZ12" s="552"/>
      <c r="CA12" s="566"/>
      <c r="CC12" s="1002"/>
      <c r="CD12" s="1003"/>
    </row>
    <row r="13" spans="1:87" ht="14.25" customHeight="1">
      <c r="A13" s="559"/>
      <c r="B13" s="527" t="s">
        <v>313</v>
      </c>
      <c r="C13" s="639"/>
      <c r="D13" s="639"/>
      <c r="E13" s="639"/>
      <c r="F13" s="639"/>
      <c r="G13" s="639"/>
      <c r="H13" s="639"/>
      <c r="I13" s="639"/>
      <c r="J13" s="639"/>
      <c r="K13" s="639"/>
      <c r="L13" s="639"/>
      <c r="M13" s="639"/>
      <c r="N13" s="639"/>
      <c r="O13" s="639"/>
      <c r="P13" s="639"/>
      <c r="Q13" s="639"/>
      <c r="R13" s="639"/>
      <c r="S13" s="639"/>
      <c r="T13" s="639"/>
      <c r="U13" s="639"/>
      <c r="V13" s="639"/>
      <c r="W13" s="639"/>
      <c r="X13" s="639"/>
      <c r="Y13" s="639"/>
      <c r="Z13" s="639"/>
      <c r="AA13" s="639"/>
      <c r="AB13" s="639"/>
      <c r="AC13" s="639"/>
      <c r="AD13" s="639"/>
      <c r="AE13" s="639"/>
      <c r="AF13" s="639"/>
      <c r="AG13" s="639"/>
      <c r="AH13" s="639"/>
      <c r="AI13" s="639"/>
      <c r="AJ13" s="639"/>
      <c r="AK13" s="639"/>
      <c r="AL13" s="639"/>
      <c r="AM13" s="639"/>
      <c r="AN13" s="658"/>
      <c r="AO13" s="640"/>
      <c r="AP13" s="640"/>
      <c r="AQ13" s="659"/>
      <c r="AR13" s="640">
        <f t="shared" ref="AR13:AU13" si="23">AR10/AR5</f>
        <v>0.19002695417789758</v>
      </c>
      <c r="AS13" s="640">
        <f t="shared" si="23"/>
        <v>0.21255141302905664</v>
      </c>
      <c r="AT13" s="640">
        <f t="shared" ref="AT13" si="24">AT10/AT5</f>
        <v>0.28603338819656715</v>
      </c>
      <c r="AU13" s="659">
        <f t="shared" si="23"/>
        <v>0.31064412973960714</v>
      </c>
      <c r="AV13" s="658">
        <f t="shared" ref="AV13:AY13" si="25">AV10/AV5</f>
        <v>0.24970194727778514</v>
      </c>
      <c r="AW13" s="640">
        <f t="shared" si="25"/>
        <v>0.26042518397383485</v>
      </c>
      <c r="AX13" s="640">
        <f t="shared" si="25"/>
        <v>0.37415654520917679</v>
      </c>
      <c r="AY13" s="659">
        <f t="shared" si="25"/>
        <v>0.38591302442764813</v>
      </c>
      <c r="AZ13" s="658">
        <f t="shared" ref="AZ13:BA13" si="26">AZ10/AZ5</f>
        <v>0.38001504513540624</v>
      </c>
      <c r="BA13" s="640">
        <f t="shared" si="26"/>
        <v>0.36831851942043103</v>
      </c>
      <c r="BB13" s="640">
        <f t="shared" ref="BB13:BD13" si="27">BB10/BB5</f>
        <v>0.40632054176072235</v>
      </c>
      <c r="BC13" s="659">
        <f t="shared" si="27"/>
        <v>0.36441813714540988</v>
      </c>
      <c r="BD13" s="658">
        <f t="shared" si="27"/>
        <v>0.33953771289537715</v>
      </c>
      <c r="BE13" s="640"/>
      <c r="BF13" s="640"/>
      <c r="BG13" s="659"/>
      <c r="BH13" s="640"/>
      <c r="BI13" s="640"/>
      <c r="BJ13" s="640"/>
      <c r="BK13" s="659"/>
      <c r="BL13" s="1178"/>
      <c r="BM13" s="644"/>
      <c r="BN13" s="645"/>
      <c r="BO13" s="645"/>
      <c r="BP13" s="645"/>
      <c r="BQ13" s="645"/>
      <c r="BR13" s="645"/>
      <c r="BS13" s="648"/>
      <c r="BT13" s="649"/>
      <c r="BU13" s="678"/>
      <c r="BV13" s="710"/>
      <c r="BW13" s="650"/>
      <c r="BX13" s="650"/>
      <c r="BY13" s="649"/>
      <c r="BZ13" s="649"/>
      <c r="CA13" s="651"/>
      <c r="CC13" s="1002"/>
      <c r="CD13" s="1003"/>
    </row>
    <row r="14" spans="1:87" ht="14.25" customHeight="1">
      <c r="A14" s="559"/>
      <c r="B14" s="73"/>
      <c r="C14" s="552"/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  <c r="O14" s="552"/>
      <c r="P14" s="552"/>
      <c r="Q14" s="552"/>
      <c r="R14" s="552"/>
      <c r="S14" s="552"/>
      <c r="T14" s="552"/>
      <c r="U14" s="552"/>
      <c r="V14" s="552"/>
      <c r="W14" s="552"/>
      <c r="X14" s="552"/>
      <c r="Y14" s="552"/>
      <c r="Z14" s="552"/>
      <c r="AA14" s="552"/>
      <c r="AB14" s="552"/>
      <c r="AC14" s="552"/>
      <c r="AD14" s="552"/>
      <c r="AE14" s="552"/>
      <c r="AF14" s="552"/>
      <c r="AG14" s="552"/>
      <c r="AH14" s="552"/>
      <c r="AI14" s="552"/>
      <c r="AJ14" s="552"/>
      <c r="AK14" s="552"/>
      <c r="AL14" s="552"/>
      <c r="AM14" s="552"/>
      <c r="AN14" s="552"/>
      <c r="AO14" s="552"/>
      <c r="AP14" s="552"/>
      <c r="AQ14" s="552"/>
      <c r="AR14" s="552"/>
      <c r="AS14" s="552"/>
      <c r="AT14" s="552"/>
      <c r="AU14" s="552"/>
      <c r="AV14" s="552"/>
      <c r="AW14" s="552"/>
      <c r="AX14" s="552"/>
      <c r="AY14" s="552"/>
      <c r="AZ14" s="552"/>
      <c r="BA14" s="552"/>
      <c r="BB14" s="552"/>
      <c r="BC14" s="552"/>
      <c r="BD14" s="552"/>
      <c r="BE14" s="552"/>
      <c r="BF14" s="552"/>
      <c r="BG14" s="552"/>
      <c r="BH14" s="552"/>
      <c r="BI14" s="552"/>
      <c r="BJ14" s="552"/>
      <c r="BK14" s="552"/>
      <c r="BM14" s="73"/>
      <c r="BN14" s="552"/>
      <c r="BO14" s="552"/>
      <c r="BP14" s="552"/>
      <c r="BQ14" s="552"/>
      <c r="BR14" s="552"/>
      <c r="BS14" s="612"/>
      <c r="BT14" s="552"/>
      <c r="BU14" s="628"/>
      <c r="BV14" s="260"/>
      <c r="BW14" s="260"/>
      <c r="BX14" s="260"/>
      <c r="BY14" s="612"/>
      <c r="BZ14" s="612"/>
      <c r="CA14" s="612"/>
      <c r="CC14" s="1002"/>
      <c r="CD14" s="1003"/>
    </row>
    <row r="15" spans="1:87" ht="14.25" customHeight="1">
      <c r="A15" s="559"/>
      <c r="B15" s="631" t="s">
        <v>293</v>
      </c>
      <c r="C15" s="632"/>
      <c r="D15" s="632"/>
      <c r="E15" s="632"/>
      <c r="F15" s="632"/>
      <c r="G15" s="632"/>
      <c r="H15" s="632"/>
      <c r="I15" s="632"/>
      <c r="J15" s="632"/>
      <c r="K15" s="632"/>
      <c r="L15" s="632"/>
      <c r="M15" s="632"/>
      <c r="N15" s="632"/>
      <c r="O15" s="632"/>
      <c r="P15" s="632"/>
      <c r="Q15" s="632"/>
      <c r="R15" s="632"/>
      <c r="S15" s="632"/>
      <c r="T15" s="632"/>
      <c r="U15" s="632"/>
      <c r="V15" s="632"/>
      <c r="W15" s="632"/>
      <c r="X15" s="632"/>
      <c r="Y15" s="632"/>
      <c r="Z15" s="632"/>
      <c r="AA15" s="632"/>
      <c r="AB15" s="632"/>
      <c r="AC15" s="632"/>
      <c r="AD15" s="632"/>
      <c r="AE15" s="632"/>
      <c r="AF15" s="632"/>
      <c r="AG15" s="632"/>
      <c r="AH15" s="632"/>
      <c r="AI15" s="632"/>
      <c r="AJ15" s="632"/>
      <c r="AK15" s="632"/>
      <c r="AL15" s="632"/>
      <c r="AM15" s="632"/>
      <c r="AN15" s="653"/>
      <c r="AO15" s="633"/>
      <c r="AP15" s="633"/>
      <c r="AQ15" s="654"/>
      <c r="AR15" s="633">
        <v>3681</v>
      </c>
      <c r="AS15" s="633">
        <v>3852</v>
      </c>
      <c r="AT15" s="633">
        <v>4140</v>
      </c>
      <c r="AU15" s="654">
        <v>4308</v>
      </c>
      <c r="AV15" s="653">
        <v>3999</v>
      </c>
      <c r="AW15" s="633">
        <v>4027</v>
      </c>
      <c r="AX15" s="633">
        <v>4542</v>
      </c>
      <c r="AY15" s="654">
        <v>4668</v>
      </c>
      <c r="AZ15" s="653">
        <v>4232</v>
      </c>
      <c r="BA15" s="633">
        <v>4372</v>
      </c>
      <c r="BB15" s="633">
        <v>4878</v>
      </c>
      <c r="BC15" s="654">
        <v>5582</v>
      </c>
      <c r="BD15" s="653">
        <v>5234</v>
      </c>
      <c r="BE15" s="663">
        <f>'Segment Detail'!AJ7</f>
        <v>5310.8114240526938</v>
      </c>
      <c r="BF15" s="663">
        <f>'Segment Detail'!AK7</f>
        <v>5860.814103000107</v>
      </c>
      <c r="BG15" s="664">
        <f>'Segment Detail'!AL7</f>
        <v>5894.7256641871181</v>
      </c>
      <c r="BH15" s="663">
        <f>'Segment Detail'!AM7</f>
        <v>5521.9098842713538</v>
      </c>
      <c r="BI15" s="663">
        <f>'Segment Detail'!AN7</f>
        <v>5651.2747806509187</v>
      </c>
      <c r="BJ15" s="663">
        <f>'Segment Detail'!AO7</f>
        <v>6228.2945046880523</v>
      </c>
      <c r="BK15" s="664">
        <f>'Segment Detail'!AP7</f>
        <v>6481.4873916677534</v>
      </c>
      <c r="BL15" s="571"/>
      <c r="BM15" s="646"/>
      <c r="BN15" s="647"/>
      <c r="BO15" s="647"/>
      <c r="BP15" s="647"/>
      <c r="BQ15" s="647"/>
      <c r="BR15" s="647"/>
      <c r="BS15" s="646"/>
      <c r="BT15" s="647"/>
      <c r="BU15" s="675"/>
      <c r="BV15" s="707">
        <v>14396</v>
      </c>
      <c r="BW15" s="634">
        <f>SUM(AR15:AU15)</f>
        <v>15981</v>
      </c>
      <c r="BX15" s="634">
        <f>SUM(AV15:AY15)</f>
        <v>17236</v>
      </c>
      <c r="BY15" s="634">
        <f>SUM(AZ15:BC15)</f>
        <v>19064</v>
      </c>
      <c r="BZ15" s="634">
        <f>SUM(BD15:BG15)</f>
        <v>22300.351191239919</v>
      </c>
      <c r="CA15" s="635">
        <f>SUM(BH15:BK15)</f>
        <v>23882.966561278077</v>
      </c>
      <c r="CC15" s="1002"/>
      <c r="CD15" s="1003"/>
    </row>
    <row r="16" spans="1:87" ht="14.25" customHeight="1">
      <c r="A16" s="559"/>
      <c r="B16" s="502" t="s">
        <v>290</v>
      </c>
      <c r="C16" s="552"/>
      <c r="D16" s="552"/>
      <c r="E16" s="552"/>
      <c r="F16" s="552"/>
      <c r="G16" s="552"/>
      <c r="H16" s="552"/>
      <c r="I16" s="552"/>
      <c r="J16" s="552"/>
      <c r="K16" s="552"/>
      <c r="L16" s="552"/>
      <c r="M16" s="552"/>
      <c r="N16" s="552"/>
      <c r="O16" s="552"/>
      <c r="P16" s="552"/>
      <c r="Q16" s="552"/>
      <c r="R16" s="552"/>
      <c r="S16" s="552"/>
      <c r="T16" s="552"/>
      <c r="U16" s="552"/>
      <c r="V16" s="552"/>
      <c r="W16" s="552"/>
      <c r="X16" s="552"/>
      <c r="Y16" s="552"/>
      <c r="Z16" s="552"/>
      <c r="AA16" s="552"/>
      <c r="AB16" s="552"/>
      <c r="AC16" s="552"/>
      <c r="AD16" s="552"/>
      <c r="AE16" s="552"/>
      <c r="AF16" s="552"/>
      <c r="AG16" s="552"/>
      <c r="AH16" s="552"/>
      <c r="AI16" s="552"/>
      <c r="AJ16" s="552"/>
      <c r="AK16" s="552"/>
      <c r="AL16" s="552"/>
      <c r="AM16" s="552"/>
      <c r="AN16" s="73"/>
      <c r="AO16" s="636"/>
      <c r="AP16" s="636"/>
      <c r="AQ16" s="652"/>
      <c r="AR16" s="636"/>
      <c r="AS16" s="636">
        <f>AS15/AR15-1</f>
        <v>4.6454767726161306E-2</v>
      </c>
      <c r="AT16" s="636">
        <f t="shared" ref="AT16:BD16" si="28">AT15/AS15-1</f>
        <v>7.4766355140186924E-2</v>
      </c>
      <c r="AU16" s="652">
        <f t="shared" si="28"/>
        <v>4.057971014492745E-2</v>
      </c>
      <c r="AV16" s="655">
        <f t="shared" si="28"/>
        <v>-7.172701949860727E-2</v>
      </c>
      <c r="AW16" s="636">
        <f t="shared" si="28"/>
        <v>7.001750437609422E-3</v>
      </c>
      <c r="AX16" s="636">
        <f t="shared" si="28"/>
        <v>0.12788676434070023</v>
      </c>
      <c r="AY16" s="1140">
        <f t="shared" si="28"/>
        <v>2.7741083223249641E-2</v>
      </c>
      <c r="AZ16" s="655">
        <f t="shared" si="28"/>
        <v>-9.3401885175664057E-2</v>
      </c>
      <c r="BA16" s="636">
        <f t="shared" si="28"/>
        <v>3.3081285444234387E-2</v>
      </c>
      <c r="BB16" s="636">
        <f t="shared" si="28"/>
        <v>0.11573650503202204</v>
      </c>
      <c r="BC16" s="1140">
        <f t="shared" si="28"/>
        <v>0.14432144321443219</v>
      </c>
      <c r="BD16" s="655">
        <f t="shared" si="28"/>
        <v>-6.2343246148333975E-2</v>
      </c>
      <c r="BE16" s="636">
        <f t="shared" ref="BE16" si="29">BE15/BD15-1</f>
        <v>1.4675472688707281E-2</v>
      </c>
      <c r="BF16" s="636">
        <f t="shared" ref="BF16" si="30">BF15/BE15-1</f>
        <v>0.103562833441317</v>
      </c>
      <c r="BG16" s="652">
        <f t="shared" ref="BG16" si="31">BG15/BF15-1</f>
        <v>5.7861519903270597E-3</v>
      </c>
      <c r="BH16" s="636">
        <f>BH15/BG15-1</f>
        <v>-6.3245654022675457E-2</v>
      </c>
      <c r="BI16" s="636">
        <f t="shared" ref="BI16" si="32">BI15/BH15-1</f>
        <v>2.3427563848524402E-2</v>
      </c>
      <c r="BJ16" s="636">
        <f t="shared" ref="BJ16" si="33">BJ15/BI15-1</f>
        <v>0.10210434750275432</v>
      </c>
      <c r="BK16" s="652">
        <f t="shared" ref="BK16" si="34">BK15/BJ15-1</f>
        <v>4.0652041548311812E-2</v>
      </c>
      <c r="BL16" s="1178"/>
      <c r="BM16" s="73"/>
      <c r="BN16" s="552"/>
      <c r="BO16" s="552"/>
      <c r="BP16" s="552"/>
      <c r="BQ16" s="552"/>
      <c r="BR16" s="552"/>
      <c r="BS16" s="73"/>
      <c r="BT16" s="552"/>
      <c r="BU16" s="676"/>
      <c r="BV16" s="655"/>
      <c r="BW16" s="260"/>
      <c r="BX16" s="260"/>
      <c r="BY16" s="552"/>
      <c r="BZ16" s="552"/>
      <c r="CA16" s="566"/>
      <c r="CC16" s="1002"/>
      <c r="CD16" s="1003"/>
    </row>
    <row r="17" spans="1:82" ht="14.25" customHeight="1">
      <c r="A17" s="559"/>
      <c r="B17" s="563" t="s">
        <v>291</v>
      </c>
      <c r="C17" s="552"/>
      <c r="D17" s="552"/>
      <c r="E17" s="552"/>
      <c r="F17" s="552"/>
      <c r="G17" s="552"/>
      <c r="H17" s="552"/>
      <c r="I17" s="552"/>
      <c r="J17" s="552"/>
      <c r="K17" s="552"/>
      <c r="L17" s="552"/>
      <c r="M17" s="552"/>
      <c r="N17" s="552"/>
      <c r="O17" s="552"/>
      <c r="P17" s="552"/>
      <c r="Q17" s="552"/>
      <c r="R17" s="552"/>
      <c r="S17" s="552"/>
      <c r="T17" s="552"/>
      <c r="U17" s="552"/>
      <c r="V17" s="552"/>
      <c r="W17" s="552"/>
      <c r="X17" s="552"/>
      <c r="Y17" s="552"/>
      <c r="Z17" s="552"/>
      <c r="AA17" s="552"/>
      <c r="AB17" s="552"/>
      <c r="AC17" s="552"/>
      <c r="AD17" s="552"/>
      <c r="AE17" s="552"/>
      <c r="AF17" s="552"/>
      <c r="AG17" s="552"/>
      <c r="AH17" s="552"/>
      <c r="AI17" s="552"/>
      <c r="AJ17" s="552"/>
      <c r="AK17" s="552"/>
      <c r="AL17" s="552"/>
      <c r="AM17" s="552"/>
      <c r="AN17" s="73"/>
      <c r="AO17" s="552"/>
      <c r="AP17" s="552"/>
      <c r="AQ17" s="566"/>
      <c r="AR17" s="636"/>
      <c r="AS17" s="636"/>
      <c r="AT17" s="636"/>
      <c r="AU17" s="652"/>
      <c r="AV17" s="655">
        <f t="shared" ref="AV17" si="35">AV15/AR15-1</f>
        <v>8.6389568052159804E-2</v>
      </c>
      <c r="AW17" s="636">
        <f>AW15/AS15-1</f>
        <v>4.5430944963655184E-2</v>
      </c>
      <c r="AX17" s="636">
        <f>AX15/AT15-1</f>
        <v>9.710144927536235E-2</v>
      </c>
      <c r="AY17" s="1140">
        <f>AY15/AU15-1</f>
        <v>8.3565459610027926E-2</v>
      </c>
      <c r="AZ17" s="655">
        <f t="shared" ref="AZ17:BD17" si="36">AZ15/AV15-1</f>
        <v>5.8264566141535301E-2</v>
      </c>
      <c r="BA17" s="636">
        <f t="shared" si="36"/>
        <v>8.5671715917556401E-2</v>
      </c>
      <c r="BB17" s="636">
        <f t="shared" si="36"/>
        <v>7.3976221928665709E-2</v>
      </c>
      <c r="BC17" s="1140">
        <f>BC15/AY15-1</f>
        <v>0.19580119965724085</v>
      </c>
      <c r="BD17" s="655">
        <f t="shared" si="36"/>
        <v>0.23676748582230633</v>
      </c>
      <c r="BE17" s="636">
        <f t="shared" ref="BE17" si="37">BE15/BA15-1</f>
        <v>0.21473271364425761</v>
      </c>
      <c r="BF17" s="636">
        <f t="shared" ref="BF17" si="38">BF15/BB15-1</f>
        <v>0.20147890590408091</v>
      </c>
      <c r="BG17" s="652">
        <f t="shared" ref="BG17" si="39">BG15/BC15-1</f>
        <v>5.6023945572754918E-2</v>
      </c>
      <c r="BH17" s="636">
        <f t="shared" ref="BH17" si="40">BH15/BD15-1</f>
        <v>5.5007620227618181E-2</v>
      </c>
      <c r="BI17" s="636">
        <f t="shared" ref="BI17" si="41">BI15/BE15-1</f>
        <v>6.4107596638860898E-2</v>
      </c>
      <c r="BJ17" s="636">
        <f t="shared" ref="BJ17" si="42">BJ15/BF15-1</f>
        <v>6.2701255359700836E-2</v>
      </c>
      <c r="BK17" s="652">
        <f t="shared" ref="BK17" si="43">BK15/BG15-1</f>
        <v>9.9540124665250085E-2</v>
      </c>
      <c r="BL17" s="1178"/>
      <c r="BM17" s="73"/>
      <c r="BN17" s="552"/>
      <c r="BO17" s="552"/>
      <c r="BP17" s="552"/>
      <c r="BQ17" s="552"/>
      <c r="BR17" s="552"/>
      <c r="BS17" s="73"/>
      <c r="BT17" s="552"/>
      <c r="BU17" s="676"/>
      <c r="BV17" s="708"/>
      <c r="BW17" s="629">
        <f>BW15/BV15-1</f>
        <v>0.11010002778549599</v>
      </c>
      <c r="BX17" s="629">
        <f>BX15/BW15-1</f>
        <v>7.8530755271885466E-2</v>
      </c>
      <c r="BY17" s="629">
        <f>BY15/BX15-1</f>
        <v>0.10605708981202144</v>
      </c>
      <c r="BZ17" s="629">
        <f>BZ15/BY15-1</f>
        <v>0.16976244184011335</v>
      </c>
      <c r="CA17" s="665">
        <f>CA15/BZ15-1</f>
        <v>7.096818146343109E-2</v>
      </c>
      <c r="CC17" s="1002"/>
      <c r="CD17" s="1003"/>
    </row>
    <row r="18" spans="1:82" ht="14.25" customHeight="1">
      <c r="A18" s="559"/>
      <c r="B18" s="502" t="s">
        <v>292</v>
      </c>
      <c r="C18" s="552"/>
      <c r="D18" s="552"/>
      <c r="E18" s="552"/>
      <c r="F18" s="552"/>
      <c r="G18" s="552"/>
      <c r="H18" s="552"/>
      <c r="I18" s="552"/>
      <c r="J18" s="552"/>
      <c r="K18" s="552"/>
      <c r="L18" s="552"/>
      <c r="M18" s="552"/>
      <c r="N18" s="552"/>
      <c r="O18" s="552"/>
      <c r="P18" s="552"/>
      <c r="Q18" s="552"/>
      <c r="R18" s="552"/>
      <c r="S18" s="552"/>
      <c r="T18" s="552"/>
      <c r="U18" s="552"/>
      <c r="V18" s="552"/>
      <c r="W18" s="552"/>
      <c r="X18" s="552"/>
      <c r="Y18" s="552"/>
      <c r="Z18" s="552"/>
      <c r="AA18" s="552"/>
      <c r="AB18" s="552"/>
      <c r="AC18" s="552"/>
      <c r="AD18" s="552"/>
      <c r="AE18" s="552"/>
      <c r="AF18" s="552"/>
      <c r="AG18" s="552"/>
      <c r="AH18" s="552"/>
      <c r="AI18" s="552"/>
      <c r="AJ18" s="552"/>
      <c r="AK18" s="552"/>
      <c r="AL18" s="552"/>
      <c r="AM18" s="552"/>
      <c r="AN18" s="655"/>
      <c r="AO18" s="636"/>
      <c r="AP18" s="636"/>
      <c r="AQ18" s="652"/>
      <c r="AR18" s="636">
        <f t="shared" ref="AR18:AW18" si="44">AR15/AR$78</f>
        <v>0.28800563336202173</v>
      </c>
      <c r="AS18" s="636">
        <f t="shared" si="44"/>
        <v>0.29192876089427816</v>
      </c>
      <c r="AT18" s="636">
        <f t="shared" si="44"/>
        <v>0.28620808848945734</v>
      </c>
      <c r="AU18" s="652">
        <f t="shared" si="44"/>
        <v>0.28885610835456615</v>
      </c>
      <c r="AV18" s="655">
        <f t="shared" si="44"/>
        <v>0.29185520361990952</v>
      </c>
      <c r="AW18" s="636">
        <f t="shared" si="44"/>
        <v>0.29756890563806992</v>
      </c>
      <c r="AX18" s="636">
        <f t="shared" ref="AX18:AZ18" si="45">AX15/AX$78</f>
        <v>0.28786918494105718</v>
      </c>
      <c r="AY18" s="1140">
        <f t="shared" si="45"/>
        <v>0.28508611212898499</v>
      </c>
      <c r="AZ18" s="655">
        <f t="shared" si="45"/>
        <v>0.28602324952689917</v>
      </c>
      <c r="BA18" s="636">
        <f t="shared" ref="BA18:BD18" si="46">BA15/BA$78</f>
        <v>0.29614576982998037</v>
      </c>
      <c r="BB18" s="636">
        <f t="shared" si="46"/>
        <v>0.30206204718558427</v>
      </c>
      <c r="BC18" s="1140">
        <f t="shared" si="46"/>
        <v>0.32733243417580482</v>
      </c>
      <c r="BD18" s="655">
        <f t="shared" si="46"/>
        <v>0.32578115274492719</v>
      </c>
      <c r="BE18" s="636">
        <f t="shared" ref="BE18:BG18" si="47">BE15/BE$78</f>
        <v>0.32560869221641559</v>
      </c>
      <c r="BF18" s="636">
        <f t="shared" si="47"/>
        <v>0.33391664474065774</v>
      </c>
      <c r="BG18" s="652">
        <f t="shared" si="47"/>
        <v>0.33183988042217838</v>
      </c>
      <c r="BH18" s="636">
        <f t="shared" ref="BH18:BK18" si="48">BH15/BH$78</f>
        <v>0.34230980186443583</v>
      </c>
      <c r="BI18" s="636">
        <f t="shared" si="48"/>
        <v>0.34278777114967668</v>
      </c>
      <c r="BJ18" s="636">
        <f t="shared" si="48"/>
        <v>0.34653380045633481</v>
      </c>
      <c r="BK18" s="652">
        <f t="shared" si="48"/>
        <v>0.35373661193009653</v>
      </c>
      <c r="BL18" s="1178"/>
      <c r="BM18" s="73"/>
      <c r="BN18" s="552"/>
      <c r="BO18" s="552"/>
      <c r="BP18" s="552"/>
      <c r="BQ18" s="552"/>
      <c r="BR18" s="552"/>
      <c r="BS18" s="73"/>
      <c r="BT18" s="552"/>
      <c r="BU18" s="676"/>
      <c r="BV18" s="655"/>
      <c r="BW18" s="636">
        <f>BW15/BW$78</f>
        <v>0.2887002077499774</v>
      </c>
      <c r="BX18" s="636">
        <f>BX15/BX$78</f>
        <v>0.29023186892754305</v>
      </c>
      <c r="BY18" s="636">
        <f>BY15/BY$78</f>
        <v>0.30375551696117015</v>
      </c>
      <c r="BZ18" s="636">
        <f>BZ15/BZ$78</f>
        <v>0.32943897358318469</v>
      </c>
      <c r="CA18" s="652">
        <f>CA15/CA$78</f>
        <v>0.34656398294796364</v>
      </c>
      <c r="CC18" s="1002"/>
      <c r="CD18" s="1003"/>
    </row>
    <row r="19" spans="1:82" ht="14.25" customHeight="1">
      <c r="A19" s="559"/>
      <c r="B19" s="73"/>
      <c r="C19" s="552"/>
      <c r="D19" s="552"/>
      <c r="E19" s="552"/>
      <c r="F19" s="552"/>
      <c r="G19" s="552"/>
      <c r="H19" s="552"/>
      <c r="I19" s="552"/>
      <c r="J19" s="552"/>
      <c r="K19" s="552"/>
      <c r="L19" s="552"/>
      <c r="M19" s="552"/>
      <c r="N19" s="552"/>
      <c r="O19" s="552"/>
      <c r="P19" s="552"/>
      <c r="Q19" s="552"/>
      <c r="R19" s="552"/>
      <c r="S19" s="552"/>
      <c r="T19" s="552"/>
      <c r="U19" s="552"/>
      <c r="V19" s="552"/>
      <c r="W19" s="552"/>
      <c r="X19" s="552"/>
      <c r="Y19" s="552"/>
      <c r="Z19" s="552"/>
      <c r="AA19" s="552"/>
      <c r="AB19" s="552"/>
      <c r="AC19" s="552"/>
      <c r="AD19" s="552"/>
      <c r="AE19" s="552"/>
      <c r="AF19" s="552"/>
      <c r="AG19" s="552"/>
      <c r="AH19" s="552"/>
      <c r="AI19" s="552"/>
      <c r="AJ19" s="552"/>
      <c r="AK19" s="552"/>
      <c r="AL19" s="552"/>
      <c r="AM19" s="552"/>
      <c r="AN19" s="73"/>
      <c r="AO19" s="552"/>
      <c r="AP19" s="552"/>
      <c r="AQ19" s="566"/>
      <c r="AR19" s="552"/>
      <c r="AS19" s="552"/>
      <c r="AT19" s="552"/>
      <c r="AU19" s="566"/>
      <c r="AV19" s="73"/>
      <c r="AW19" s="552"/>
      <c r="AX19" s="552"/>
      <c r="AY19" s="1141"/>
      <c r="AZ19" s="73"/>
      <c r="BA19" s="552"/>
      <c r="BB19" s="552"/>
      <c r="BC19" s="1141"/>
      <c r="BD19" s="73"/>
      <c r="BE19" s="552"/>
      <c r="BF19" s="552"/>
      <c r="BG19" s="566"/>
      <c r="BH19" s="552"/>
      <c r="BI19" s="552"/>
      <c r="BJ19" s="552"/>
      <c r="BK19" s="566"/>
      <c r="BL19" s="1178"/>
      <c r="BM19" s="73"/>
      <c r="BN19" s="552"/>
      <c r="BO19" s="552"/>
      <c r="BP19" s="552"/>
      <c r="BQ19" s="552"/>
      <c r="BR19" s="552"/>
      <c r="BS19" s="73"/>
      <c r="BT19" s="552"/>
      <c r="BU19" s="676"/>
      <c r="BV19" s="561"/>
      <c r="BW19" s="260"/>
      <c r="BX19" s="260"/>
      <c r="BY19" s="552"/>
      <c r="BZ19" s="552"/>
      <c r="CA19" s="566"/>
      <c r="CC19" s="1002"/>
      <c r="CD19" s="1003"/>
    </row>
    <row r="20" spans="1:82" ht="14.25" customHeight="1">
      <c r="A20" s="559"/>
      <c r="B20" s="637" t="s">
        <v>351</v>
      </c>
      <c r="C20" s="552"/>
      <c r="D20" s="552"/>
      <c r="E20" s="552"/>
      <c r="F20" s="552"/>
      <c r="G20" s="552"/>
      <c r="H20" s="552"/>
      <c r="I20" s="552"/>
      <c r="J20" s="552"/>
      <c r="K20" s="552"/>
      <c r="L20" s="552"/>
      <c r="M20" s="552"/>
      <c r="N20" s="552"/>
      <c r="O20" s="552"/>
      <c r="P20" s="552"/>
      <c r="Q20" s="552"/>
      <c r="R20" s="552"/>
      <c r="S20" s="552"/>
      <c r="T20" s="552"/>
      <c r="U20" s="552"/>
      <c r="V20" s="552"/>
      <c r="W20" s="552"/>
      <c r="X20" s="552"/>
      <c r="Y20" s="552"/>
      <c r="Z20" s="552"/>
      <c r="AA20" s="552"/>
      <c r="AB20" s="552"/>
      <c r="AC20" s="552"/>
      <c r="AD20" s="552"/>
      <c r="AE20" s="552"/>
      <c r="AF20" s="552"/>
      <c r="AG20" s="552"/>
      <c r="AH20" s="552"/>
      <c r="AI20" s="552"/>
      <c r="AJ20" s="552"/>
      <c r="AK20" s="552"/>
      <c r="AL20" s="552"/>
      <c r="AM20" s="552"/>
      <c r="AN20" s="656"/>
      <c r="AO20" s="592"/>
      <c r="AP20" s="592"/>
      <c r="AQ20" s="657"/>
      <c r="AR20" s="592">
        <v>1701</v>
      </c>
      <c r="AS20" s="592">
        <v>1843</v>
      </c>
      <c r="AT20" s="592">
        <v>2127</v>
      </c>
      <c r="AU20" s="657">
        <v>2173</v>
      </c>
      <c r="AV20" s="656">
        <v>1764</v>
      </c>
      <c r="AW20" s="592">
        <v>1765</v>
      </c>
      <c r="AX20" s="592">
        <v>2110</v>
      </c>
      <c r="AY20" s="1142">
        <v>1881</v>
      </c>
      <c r="AZ20" s="1145">
        <v>1487</v>
      </c>
      <c r="BA20" s="592">
        <v>1661</v>
      </c>
      <c r="BB20" s="592">
        <v>2255</v>
      </c>
      <c r="BC20" s="1142">
        <v>2992</v>
      </c>
      <c r="BD20" s="1145">
        <v>2602</v>
      </c>
      <c r="BE20" s="592"/>
      <c r="BF20" s="592"/>
      <c r="BG20" s="657"/>
      <c r="BH20" s="592"/>
      <c r="BI20" s="592"/>
      <c r="BJ20" s="592"/>
      <c r="BK20" s="657"/>
      <c r="BL20" s="571"/>
      <c r="BM20" s="642"/>
      <c r="BN20" s="567"/>
      <c r="BO20" s="567"/>
      <c r="BP20" s="567"/>
      <c r="BQ20" s="567"/>
      <c r="BR20" s="567"/>
      <c r="BS20" s="642"/>
      <c r="BT20" s="567"/>
      <c r="BU20" s="677"/>
      <c r="BV20" s="709">
        <v>7380</v>
      </c>
      <c r="BW20" s="567">
        <f>SUM(AR20:AU20)</f>
        <v>7844</v>
      </c>
      <c r="BX20" s="567"/>
      <c r="BY20" s="567"/>
      <c r="BZ20" s="567"/>
      <c r="CA20" s="638"/>
      <c r="CC20" s="1002"/>
      <c r="CD20" s="1003"/>
    </row>
    <row r="21" spans="1:82" ht="14.25" customHeight="1">
      <c r="A21" s="559"/>
      <c r="B21" s="502" t="s">
        <v>290</v>
      </c>
      <c r="C21" s="552"/>
      <c r="D21" s="552"/>
      <c r="E21" s="552"/>
      <c r="F21" s="552"/>
      <c r="G21" s="552"/>
      <c r="H21" s="552"/>
      <c r="I21" s="552"/>
      <c r="J21" s="552"/>
      <c r="K21" s="552"/>
      <c r="L21" s="552"/>
      <c r="M21" s="552"/>
      <c r="N21" s="552"/>
      <c r="O21" s="552"/>
      <c r="P21" s="552"/>
      <c r="Q21" s="552"/>
      <c r="R21" s="552"/>
      <c r="S21" s="552"/>
      <c r="T21" s="552"/>
      <c r="U21" s="552"/>
      <c r="V21" s="552"/>
      <c r="W21" s="552"/>
      <c r="X21" s="552"/>
      <c r="Y21" s="552"/>
      <c r="Z21" s="552"/>
      <c r="AA21" s="552"/>
      <c r="AB21" s="552"/>
      <c r="AC21" s="552"/>
      <c r="AD21" s="552"/>
      <c r="AE21" s="552"/>
      <c r="AF21" s="552"/>
      <c r="AG21" s="552"/>
      <c r="AH21" s="552"/>
      <c r="AI21" s="552"/>
      <c r="AJ21" s="552"/>
      <c r="AK21" s="552"/>
      <c r="AL21" s="552"/>
      <c r="AM21" s="552"/>
      <c r="AN21" s="73"/>
      <c r="AO21" s="636"/>
      <c r="AP21" s="636"/>
      <c r="AQ21" s="652"/>
      <c r="AR21" s="636"/>
      <c r="AS21" s="636">
        <f t="shared" ref="AS21:BD21" si="49">AS20/AR20-1</f>
        <v>8.3480305702527957E-2</v>
      </c>
      <c r="AT21" s="636">
        <f t="shared" si="49"/>
        <v>0.15409658166033635</v>
      </c>
      <c r="AU21" s="652">
        <f t="shared" si="49"/>
        <v>2.1626704278326248E-2</v>
      </c>
      <c r="AV21" s="655">
        <f t="shared" si="49"/>
        <v>-0.18821905200184075</v>
      </c>
      <c r="AW21" s="636">
        <f t="shared" si="49"/>
        <v>5.6689342403637433E-4</v>
      </c>
      <c r="AX21" s="636">
        <f t="shared" si="49"/>
        <v>0.19546742209631729</v>
      </c>
      <c r="AY21" s="1140">
        <f t="shared" si="49"/>
        <v>-0.10853080568720375</v>
      </c>
      <c r="AZ21" s="655">
        <f t="shared" si="49"/>
        <v>-0.20946305156831468</v>
      </c>
      <c r="BA21" s="636">
        <f t="shared" si="49"/>
        <v>0.11701412239408215</v>
      </c>
      <c r="BB21" s="636">
        <f t="shared" si="49"/>
        <v>0.35761589403973515</v>
      </c>
      <c r="BC21" s="1140">
        <f t="shared" si="49"/>
        <v>0.326829268292683</v>
      </c>
      <c r="BD21" s="655">
        <f t="shared" si="49"/>
        <v>-0.13034759358288772</v>
      </c>
      <c r="BE21" s="636"/>
      <c r="BF21" s="636"/>
      <c r="BG21" s="652"/>
      <c r="BH21" s="636"/>
      <c r="BI21" s="636"/>
      <c r="BJ21" s="636"/>
      <c r="BK21" s="652"/>
      <c r="BL21" s="1178"/>
      <c r="BM21" s="73"/>
      <c r="BN21" s="552"/>
      <c r="BO21" s="552"/>
      <c r="BP21" s="552"/>
      <c r="BQ21" s="552"/>
      <c r="BR21" s="552"/>
      <c r="BS21" s="73"/>
      <c r="BT21" s="552"/>
      <c r="BU21" s="676"/>
      <c r="BV21" s="561"/>
      <c r="BW21" s="260"/>
      <c r="BX21" s="260"/>
      <c r="BY21" s="552"/>
      <c r="BZ21" s="552"/>
      <c r="CA21" s="566"/>
      <c r="CC21" s="1002"/>
      <c r="CD21" s="1003"/>
    </row>
    <row r="22" spans="1:82" ht="14.25" customHeight="1">
      <c r="A22" s="559"/>
      <c r="B22" s="563" t="s">
        <v>291</v>
      </c>
      <c r="C22" s="552"/>
      <c r="D22" s="552"/>
      <c r="E22" s="552"/>
      <c r="F22" s="552"/>
      <c r="G22" s="552"/>
      <c r="H22" s="552"/>
      <c r="I22" s="552"/>
      <c r="J22" s="552"/>
      <c r="K22" s="552"/>
      <c r="L22" s="552"/>
      <c r="M22" s="552"/>
      <c r="N22" s="552"/>
      <c r="O22" s="552"/>
      <c r="P22" s="552"/>
      <c r="Q22" s="552"/>
      <c r="R22" s="552"/>
      <c r="S22" s="552"/>
      <c r="T22" s="552"/>
      <c r="U22" s="552"/>
      <c r="V22" s="552"/>
      <c r="W22" s="552"/>
      <c r="X22" s="552"/>
      <c r="Y22" s="552"/>
      <c r="Z22" s="552"/>
      <c r="AA22" s="552"/>
      <c r="AB22" s="552"/>
      <c r="AC22" s="552"/>
      <c r="AD22" s="552"/>
      <c r="AE22" s="552"/>
      <c r="AF22" s="552"/>
      <c r="AG22" s="552"/>
      <c r="AH22" s="552"/>
      <c r="AI22" s="552"/>
      <c r="AJ22" s="552"/>
      <c r="AK22" s="552"/>
      <c r="AL22" s="552"/>
      <c r="AM22" s="552"/>
      <c r="AN22" s="73"/>
      <c r="AO22" s="552"/>
      <c r="AP22" s="552"/>
      <c r="AQ22" s="566"/>
      <c r="AR22" s="636"/>
      <c r="AS22" s="636"/>
      <c r="AT22" s="636"/>
      <c r="AU22" s="652"/>
      <c r="AV22" s="655">
        <f t="shared" ref="AV22:BD22" si="50">AV20/AR20-1</f>
        <v>3.7037037037036979E-2</v>
      </c>
      <c r="AW22" s="636">
        <f t="shared" si="50"/>
        <v>-4.2322300596852935E-2</v>
      </c>
      <c r="AX22" s="636">
        <f t="shared" si="50"/>
        <v>-7.9924776680770915E-3</v>
      </c>
      <c r="AY22" s="1140">
        <f t="shared" si="50"/>
        <v>-0.13437643810400368</v>
      </c>
      <c r="AZ22" s="655">
        <f t="shared" si="50"/>
        <v>-0.15702947845804993</v>
      </c>
      <c r="BA22" s="636">
        <f t="shared" si="50"/>
        <v>-5.8923512747875328E-2</v>
      </c>
      <c r="BB22" s="636">
        <f t="shared" si="50"/>
        <v>6.872037914691953E-2</v>
      </c>
      <c r="BC22" s="1140">
        <f t="shared" si="50"/>
        <v>0.59064327485380108</v>
      </c>
      <c r="BD22" s="655">
        <f t="shared" si="50"/>
        <v>0.74983187626092795</v>
      </c>
      <c r="BE22" s="552"/>
      <c r="BF22" s="552"/>
      <c r="BG22" s="566"/>
      <c r="BH22" s="552"/>
      <c r="BI22" s="552"/>
      <c r="BJ22" s="552"/>
      <c r="BK22" s="566"/>
      <c r="BL22" s="1178"/>
      <c r="BM22" s="73"/>
      <c r="BN22" s="552"/>
      <c r="BO22" s="552"/>
      <c r="BP22" s="552"/>
      <c r="BQ22" s="552"/>
      <c r="BR22" s="552"/>
      <c r="BS22" s="73"/>
      <c r="BT22" s="552"/>
      <c r="BU22" s="676"/>
      <c r="BV22" s="708"/>
      <c r="BW22" s="260"/>
      <c r="BX22" s="260"/>
      <c r="BY22" s="552"/>
      <c r="BZ22" s="552"/>
      <c r="CA22" s="566"/>
      <c r="CC22" s="1002"/>
      <c r="CD22" s="1003"/>
    </row>
    <row r="23" spans="1:82" ht="14.25" customHeight="1">
      <c r="A23" s="559"/>
      <c r="B23" s="527" t="s">
        <v>313</v>
      </c>
      <c r="C23" s="639"/>
      <c r="D23" s="639"/>
      <c r="E23" s="639"/>
      <c r="F23" s="639"/>
      <c r="G23" s="639"/>
      <c r="H23" s="639"/>
      <c r="I23" s="639"/>
      <c r="J23" s="639"/>
      <c r="K23" s="639"/>
      <c r="L23" s="639"/>
      <c r="M23" s="639"/>
      <c r="N23" s="639"/>
      <c r="O23" s="639"/>
      <c r="P23" s="639"/>
      <c r="Q23" s="639"/>
      <c r="R23" s="639"/>
      <c r="S23" s="639"/>
      <c r="T23" s="639"/>
      <c r="U23" s="639"/>
      <c r="V23" s="639"/>
      <c r="W23" s="639"/>
      <c r="X23" s="639"/>
      <c r="Y23" s="639"/>
      <c r="Z23" s="639"/>
      <c r="AA23" s="639"/>
      <c r="AB23" s="639"/>
      <c r="AC23" s="639"/>
      <c r="AD23" s="639"/>
      <c r="AE23" s="639"/>
      <c r="AF23" s="639"/>
      <c r="AG23" s="639"/>
      <c r="AH23" s="639"/>
      <c r="AI23" s="639"/>
      <c r="AJ23" s="639"/>
      <c r="AK23" s="639"/>
      <c r="AL23" s="639"/>
      <c r="AM23" s="639"/>
      <c r="AN23" s="658"/>
      <c r="AO23" s="640"/>
      <c r="AP23" s="640"/>
      <c r="AQ23" s="659"/>
      <c r="AR23" s="640">
        <f t="shared" ref="AR23:AS23" si="51">AR20/AR15</f>
        <v>0.46210268948655259</v>
      </c>
      <c r="AS23" s="640">
        <f t="shared" si="51"/>
        <v>0.47845275181723779</v>
      </c>
      <c r="AT23" s="640">
        <f t="shared" ref="AT23:AV23" si="52">AT20/AT15</f>
        <v>0.51376811594202898</v>
      </c>
      <c r="AU23" s="659">
        <f t="shared" si="52"/>
        <v>0.50441039925719588</v>
      </c>
      <c r="AV23" s="658">
        <f t="shared" si="52"/>
        <v>0.44111027756939236</v>
      </c>
      <c r="AW23" s="640">
        <f t="shared" ref="AW23:AZ23" si="53">AW20/AW15</f>
        <v>0.43829153215793393</v>
      </c>
      <c r="AX23" s="640">
        <f t="shared" si="53"/>
        <v>0.46455306032584764</v>
      </c>
      <c r="AY23" s="659">
        <f t="shared" si="53"/>
        <v>0.40295629820051415</v>
      </c>
      <c r="AZ23" s="658">
        <f t="shared" si="53"/>
        <v>0.35137051039697542</v>
      </c>
      <c r="BA23" s="640">
        <f t="shared" ref="BA23:BD23" si="54">BA20/BA15</f>
        <v>0.37991765782250686</v>
      </c>
      <c r="BB23" s="640">
        <f t="shared" si="54"/>
        <v>0.46227962279622797</v>
      </c>
      <c r="BC23" s="659">
        <f t="shared" si="54"/>
        <v>0.53600859906843423</v>
      </c>
      <c r="BD23" s="658">
        <f t="shared" si="54"/>
        <v>0.49713412304165072</v>
      </c>
      <c r="BE23" s="640"/>
      <c r="BF23" s="640"/>
      <c r="BG23" s="659"/>
      <c r="BH23" s="640"/>
      <c r="BI23" s="640"/>
      <c r="BJ23" s="640"/>
      <c r="BK23" s="659"/>
      <c r="BL23" s="1178"/>
      <c r="BM23" s="648"/>
      <c r="BN23" s="649"/>
      <c r="BO23" s="649"/>
      <c r="BP23" s="649"/>
      <c r="BQ23" s="649"/>
      <c r="BR23" s="649"/>
      <c r="BS23" s="648"/>
      <c r="BT23" s="649"/>
      <c r="BU23" s="678"/>
      <c r="BV23" s="710"/>
      <c r="BW23" s="650"/>
      <c r="BX23" s="650"/>
      <c r="BY23" s="649"/>
      <c r="BZ23" s="649"/>
      <c r="CA23" s="651"/>
      <c r="CC23" s="1002"/>
      <c r="CD23" s="1003"/>
    </row>
    <row r="24" spans="1:82" ht="14.25" customHeight="1">
      <c r="A24" s="559"/>
      <c r="B24" s="502"/>
      <c r="C24" s="552"/>
      <c r="D24" s="552"/>
      <c r="E24" s="552"/>
      <c r="F24" s="552"/>
      <c r="G24" s="552"/>
      <c r="H24" s="552"/>
      <c r="I24" s="552"/>
      <c r="J24" s="552"/>
      <c r="K24" s="552"/>
      <c r="L24" s="552"/>
      <c r="M24" s="552"/>
      <c r="N24" s="552"/>
      <c r="O24" s="552"/>
      <c r="P24" s="552"/>
      <c r="Q24" s="552"/>
      <c r="R24" s="552"/>
      <c r="S24" s="552"/>
      <c r="T24" s="552"/>
      <c r="U24" s="552"/>
      <c r="V24" s="552"/>
      <c r="W24" s="552"/>
      <c r="X24" s="552"/>
      <c r="Y24" s="552"/>
      <c r="Z24" s="552"/>
      <c r="AA24" s="552"/>
      <c r="AB24" s="552"/>
      <c r="AC24" s="552"/>
      <c r="AD24" s="552"/>
      <c r="AE24" s="552"/>
      <c r="AF24" s="552"/>
      <c r="AG24" s="552"/>
      <c r="AH24" s="552"/>
      <c r="AI24" s="552"/>
      <c r="AJ24" s="552"/>
      <c r="AK24" s="552"/>
      <c r="AL24" s="552"/>
      <c r="AM24" s="552"/>
      <c r="AN24" s="552"/>
      <c r="AO24" s="552"/>
      <c r="AP24" s="552"/>
      <c r="AQ24" s="552"/>
      <c r="AR24" s="552"/>
      <c r="AS24" s="552"/>
      <c r="AT24" s="552"/>
      <c r="AU24" s="552"/>
      <c r="AV24" s="552"/>
      <c r="AW24" s="552"/>
      <c r="AX24" s="552"/>
      <c r="AY24" s="552"/>
      <c r="AZ24" s="552"/>
      <c r="BA24" s="552"/>
      <c r="BB24" s="552"/>
      <c r="BC24" s="552"/>
      <c r="BD24" s="552"/>
      <c r="BE24" s="552"/>
      <c r="BF24" s="552"/>
      <c r="BG24" s="552"/>
      <c r="BH24" s="552"/>
      <c r="BI24" s="552"/>
      <c r="BJ24" s="552"/>
      <c r="BK24" s="552"/>
      <c r="BM24" s="73"/>
      <c r="BN24" s="552"/>
      <c r="BO24" s="552"/>
      <c r="BP24" s="552"/>
      <c r="BQ24" s="552"/>
      <c r="BR24" s="552"/>
      <c r="BS24" s="612"/>
      <c r="BT24" s="552"/>
      <c r="BU24" s="628"/>
      <c r="BV24" s="260"/>
      <c r="BW24" s="260"/>
      <c r="BX24" s="260"/>
      <c r="BY24" s="612"/>
      <c r="BZ24" s="612"/>
      <c r="CA24" s="612"/>
      <c r="CC24" s="1002"/>
      <c r="CD24" s="1003"/>
    </row>
    <row r="25" spans="1:82" ht="14.25" customHeight="1">
      <c r="A25" s="559"/>
      <c r="B25" s="631" t="s">
        <v>294</v>
      </c>
      <c r="C25" s="632"/>
      <c r="D25" s="632"/>
      <c r="E25" s="632"/>
      <c r="F25" s="632"/>
      <c r="G25" s="632"/>
      <c r="H25" s="632"/>
      <c r="I25" s="632"/>
      <c r="J25" s="632"/>
      <c r="K25" s="632"/>
      <c r="L25" s="632"/>
      <c r="M25" s="632"/>
      <c r="N25" s="632"/>
      <c r="O25" s="632"/>
      <c r="P25" s="632"/>
      <c r="Q25" s="632"/>
      <c r="R25" s="632"/>
      <c r="S25" s="632"/>
      <c r="T25" s="632"/>
      <c r="U25" s="632"/>
      <c r="V25" s="632"/>
      <c r="W25" s="632"/>
      <c r="X25" s="632"/>
      <c r="Y25" s="632"/>
      <c r="Z25" s="632"/>
      <c r="AA25" s="632"/>
      <c r="AB25" s="632"/>
      <c r="AC25" s="632"/>
      <c r="AD25" s="632"/>
      <c r="AE25" s="632"/>
      <c r="AF25" s="632"/>
      <c r="AG25" s="632"/>
      <c r="AH25" s="632"/>
      <c r="AI25" s="632"/>
      <c r="AJ25" s="632"/>
      <c r="AK25" s="632"/>
      <c r="AL25" s="632"/>
      <c r="AM25" s="632"/>
      <c r="AN25" s="653"/>
      <c r="AO25" s="633"/>
      <c r="AP25" s="633"/>
      <c r="AQ25" s="654"/>
      <c r="AR25" s="633">
        <v>533</v>
      </c>
      <c r="AS25" s="633">
        <v>559</v>
      </c>
      <c r="AT25" s="633">
        <v>581</v>
      </c>
      <c r="AU25" s="654">
        <v>625</v>
      </c>
      <c r="AV25" s="653">
        <v>651</v>
      </c>
      <c r="AW25" s="633">
        <v>572</v>
      </c>
      <c r="AX25" s="633">
        <v>689</v>
      </c>
      <c r="AY25" s="654">
        <v>726</v>
      </c>
      <c r="AZ25" s="653">
        <v>721</v>
      </c>
      <c r="BA25" s="633">
        <v>720</v>
      </c>
      <c r="BB25" s="633">
        <v>849</v>
      </c>
      <c r="BC25" s="654">
        <v>879</v>
      </c>
      <c r="BD25" s="653">
        <v>840</v>
      </c>
      <c r="BE25" s="663">
        <f>'Segment Detail'!AJ8</f>
        <v>848.40000000000009</v>
      </c>
      <c r="BF25" s="663">
        <f>'Segment Detail'!AK8</f>
        <v>958.69200000000001</v>
      </c>
      <c r="BG25" s="664">
        <f>'Segment Detail'!AL8</f>
        <v>1010.7295735</v>
      </c>
      <c r="BH25" s="663">
        <f>'Segment Detail'!AM8</f>
        <v>1012.136739335</v>
      </c>
      <c r="BI25" s="663">
        <f>'Segment Detail'!AN8</f>
        <v>990.51648398079999</v>
      </c>
      <c r="BJ25" s="663">
        <f>'Segment Detail'!AO8</f>
        <v>1040.0423081798399</v>
      </c>
      <c r="BK25" s="664">
        <f>'Segment Detail'!AP8</f>
        <v>1060.8431543434369</v>
      </c>
      <c r="BL25" s="571"/>
      <c r="BM25" s="646"/>
      <c r="BN25" s="647"/>
      <c r="BO25" s="647"/>
      <c r="BP25" s="647"/>
      <c r="BQ25" s="647"/>
      <c r="BR25" s="647"/>
      <c r="BS25" s="646"/>
      <c r="BT25" s="647"/>
      <c r="BU25" s="675"/>
      <c r="BV25" s="707">
        <v>2142</v>
      </c>
      <c r="BW25" s="634">
        <f>SUM(AR25:AU25)</f>
        <v>2298</v>
      </c>
      <c r="BX25" s="634">
        <f>SUM(AV25:AY25)</f>
        <v>2638</v>
      </c>
      <c r="BY25" s="634">
        <f>SUM(AZ25:BC25)</f>
        <v>3169</v>
      </c>
      <c r="BZ25" s="634">
        <f>SUM(BD25:BG25)</f>
        <v>3657.8215735000003</v>
      </c>
      <c r="CA25" s="635">
        <f>SUM(BH25:BK25)</f>
        <v>4103.5386858390766</v>
      </c>
      <c r="CC25" s="1002"/>
      <c r="CD25" s="1003"/>
    </row>
    <row r="26" spans="1:82" ht="14.25" customHeight="1">
      <c r="A26" s="559"/>
      <c r="B26" s="502" t="s">
        <v>290</v>
      </c>
      <c r="C26" s="552"/>
      <c r="D26" s="552"/>
      <c r="E26" s="552"/>
      <c r="F26" s="552"/>
      <c r="G26" s="552"/>
      <c r="H26" s="552"/>
      <c r="I26" s="552"/>
      <c r="J26" s="552"/>
      <c r="K26" s="552"/>
      <c r="L26" s="552"/>
      <c r="M26" s="552"/>
      <c r="N26" s="552"/>
      <c r="O26" s="552"/>
      <c r="P26" s="552"/>
      <c r="Q26" s="552"/>
      <c r="R26" s="552"/>
      <c r="S26" s="552"/>
      <c r="T26" s="552"/>
      <c r="U26" s="552"/>
      <c r="V26" s="552"/>
      <c r="W26" s="552"/>
      <c r="X26" s="552"/>
      <c r="Y26" s="552"/>
      <c r="Z26" s="552"/>
      <c r="AA26" s="552"/>
      <c r="AB26" s="552"/>
      <c r="AC26" s="552"/>
      <c r="AD26" s="552"/>
      <c r="AE26" s="552"/>
      <c r="AF26" s="552"/>
      <c r="AG26" s="552"/>
      <c r="AH26" s="552"/>
      <c r="AI26" s="552"/>
      <c r="AJ26" s="552"/>
      <c r="AK26" s="552"/>
      <c r="AL26" s="552"/>
      <c r="AM26" s="552"/>
      <c r="AN26" s="73"/>
      <c r="AO26" s="636"/>
      <c r="AP26" s="636"/>
      <c r="AQ26" s="652"/>
      <c r="AR26" s="636"/>
      <c r="AS26" s="636">
        <f>AS25/AR25-1</f>
        <v>4.8780487804878092E-2</v>
      </c>
      <c r="AT26" s="636">
        <f t="shared" ref="AT26:BD26" si="55">AT25/AS25-1</f>
        <v>3.9355992844364973E-2</v>
      </c>
      <c r="AU26" s="652">
        <f t="shared" si="55"/>
        <v>7.5731497418244365E-2</v>
      </c>
      <c r="AV26" s="655">
        <f t="shared" si="55"/>
        <v>4.1600000000000081E-2</v>
      </c>
      <c r="AW26" s="636">
        <f t="shared" si="55"/>
        <v>-0.12135176651305679</v>
      </c>
      <c r="AX26" s="636">
        <f t="shared" si="55"/>
        <v>0.20454545454545459</v>
      </c>
      <c r="AY26" s="1140">
        <f t="shared" si="55"/>
        <v>5.3701015965166965E-2</v>
      </c>
      <c r="AZ26" s="655">
        <f t="shared" si="55"/>
        <v>-6.8870523415978102E-3</v>
      </c>
      <c r="BA26" s="636">
        <f t="shared" si="55"/>
        <v>-1.3869625520110951E-3</v>
      </c>
      <c r="BB26" s="636">
        <f t="shared" si="55"/>
        <v>0.1791666666666667</v>
      </c>
      <c r="BC26" s="1140">
        <f t="shared" si="55"/>
        <v>3.5335689045936425E-2</v>
      </c>
      <c r="BD26" s="655">
        <f t="shared" si="55"/>
        <v>-4.4368600682593851E-2</v>
      </c>
      <c r="BE26" s="636">
        <f t="shared" ref="BE26" si="56">BE25/BD25-1</f>
        <v>1.0000000000000009E-2</v>
      </c>
      <c r="BF26" s="636">
        <f t="shared" ref="BF26" si="57">BF25/BE25-1</f>
        <v>0.12999999999999989</v>
      </c>
      <c r="BG26" s="652">
        <f t="shared" ref="BG26" si="58">BG25/BF25-1</f>
        <v>5.4279761904761914E-2</v>
      </c>
      <c r="BH26" s="636">
        <f t="shared" ref="BH26" si="59">BH25/BG25-1</f>
        <v>1.3922278242310959E-3</v>
      </c>
      <c r="BI26" s="636">
        <f t="shared" ref="BI26" si="60">BI25/BH25-1</f>
        <v>-2.1361002435703602E-2</v>
      </c>
      <c r="BJ26" s="636">
        <f t="shared" ref="BJ26" si="61">BJ25/BI25-1</f>
        <v>4.9999999999999822E-2</v>
      </c>
      <c r="BK26" s="652">
        <f t="shared" ref="BK26" si="62">BK25/BJ25-1</f>
        <v>2.000000000000024E-2</v>
      </c>
      <c r="BL26" s="1178"/>
      <c r="BM26" s="73"/>
      <c r="BN26" s="552"/>
      <c r="BO26" s="552"/>
      <c r="BP26" s="552"/>
      <c r="BQ26" s="552"/>
      <c r="BR26" s="552"/>
      <c r="BS26" s="73"/>
      <c r="BT26" s="552"/>
      <c r="BU26" s="676"/>
      <c r="BV26" s="655"/>
      <c r="BW26" s="260"/>
      <c r="BX26" s="260"/>
      <c r="BY26" s="552"/>
      <c r="BZ26" s="552"/>
      <c r="CA26" s="566"/>
      <c r="CC26" s="1002"/>
      <c r="CD26" s="1003"/>
    </row>
    <row r="27" spans="1:82" ht="14.25" customHeight="1">
      <c r="A27" s="559"/>
      <c r="B27" s="563" t="s">
        <v>291</v>
      </c>
      <c r="C27" s="552"/>
      <c r="D27" s="552"/>
      <c r="E27" s="552"/>
      <c r="F27" s="552"/>
      <c r="G27" s="552"/>
      <c r="H27" s="552"/>
      <c r="I27" s="552"/>
      <c r="J27" s="552"/>
      <c r="K27" s="552"/>
      <c r="L27" s="552"/>
      <c r="M27" s="552"/>
      <c r="N27" s="552"/>
      <c r="O27" s="552"/>
      <c r="P27" s="552"/>
      <c r="Q27" s="552"/>
      <c r="R27" s="552"/>
      <c r="S27" s="552"/>
      <c r="T27" s="552"/>
      <c r="U27" s="552"/>
      <c r="V27" s="552"/>
      <c r="W27" s="552"/>
      <c r="X27" s="552"/>
      <c r="Y27" s="552"/>
      <c r="Z27" s="552"/>
      <c r="AA27" s="552"/>
      <c r="AB27" s="552"/>
      <c r="AC27" s="552"/>
      <c r="AD27" s="552"/>
      <c r="AE27" s="552"/>
      <c r="AF27" s="552"/>
      <c r="AG27" s="552"/>
      <c r="AH27" s="552"/>
      <c r="AI27" s="552"/>
      <c r="AJ27" s="552"/>
      <c r="AK27" s="552"/>
      <c r="AL27" s="552"/>
      <c r="AM27" s="552"/>
      <c r="AN27" s="73"/>
      <c r="AO27" s="552"/>
      <c r="AP27" s="552"/>
      <c r="AQ27" s="566"/>
      <c r="AR27" s="636"/>
      <c r="AS27" s="636"/>
      <c r="AT27" s="636"/>
      <c r="AU27" s="652"/>
      <c r="AV27" s="655">
        <f t="shared" ref="AV27:BD27" si="63">AV25/AR25-1</f>
        <v>0.22138836772983117</v>
      </c>
      <c r="AW27" s="636">
        <f t="shared" si="63"/>
        <v>2.3255813953488413E-2</v>
      </c>
      <c r="AX27" s="636">
        <f t="shared" si="63"/>
        <v>0.18588640275387269</v>
      </c>
      <c r="AY27" s="1140">
        <f t="shared" si="63"/>
        <v>0.16159999999999997</v>
      </c>
      <c r="AZ27" s="655">
        <f t="shared" si="63"/>
        <v>0.10752688172043001</v>
      </c>
      <c r="BA27" s="636">
        <f t="shared" si="63"/>
        <v>0.25874125874125875</v>
      </c>
      <c r="BB27" s="636">
        <f t="shared" si="63"/>
        <v>0.23222060957910018</v>
      </c>
      <c r="BC27" s="1140">
        <f t="shared" si="63"/>
        <v>0.21074380165289264</v>
      </c>
      <c r="BD27" s="655">
        <f t="shared" si="63"/>
        <v>0.16504854368932032</v>
      </c>
      <c r="BE27" s="636">
        <f t="shared" ref="BE27" si="64">BE25/BA25-1</f>
        <v>0.17833333333333345</v>
      </c>
      <c r="BF27" s="636">
        <f t="shared" ref="BF27" si="65">BF25/BB25-1</f>
        <v>0.12920141342756186</v>
      </c>
      <c r="BG27" s="652">
        <f t="shared" ref="BG27" si="66">BG25/BC25-1</f>
        <v>0.14986299601820252</v>
      </c>
      <c r="BH27" s="636">
        <f t="shared" ref="BH27" si="67">BH25/BD25-1</f>
        <v>0.20492468968452382</v>
      </c>
      <c r="BI27" s="636">
        <f t="shared" ref="BI27" si="68">BI25/BE25-1</f>
        <v>0.16751117866666654</v>
      </c>
      <c r="BJ27" s="636">
        <f t="shared" ref="BJ27" si="69">BJ25/BF25-1</f>
        <v>8.4855519999999851E-2</v>
      </c>
      <c r="BK27" s="652">
        <f t="shared" ref="BK27" si="70">BK25/BG25-1</f>
        <v>4.9581591513050638E-2</v>
      </c>
      <c r="BL27" s="1178"/>
      <c r="BM27" s="73"/>
      <c r="BN27" s="552"/>
      <c r="BO27" s="552"/>
      <c r="BP27" s="552"/>
      <c r="BQ27" s="552"/>
      <c r="BR27" s="552"/>
      <c r="BS27" s="73"/>
      <c r="BT27" s="552"/>
      <c r="BU27" s="676"/>
      <c r="BV27" s="708"/>
      <c r="BW27" s="629">
        <f>BW25/BV25-1</f>
        <v>7.2829131652661028E-2</v>
      </c>
      <c r="BX27" s="629">
        <f>BX25/BW25-1</f>
        <v>0.14795474325500435</v>
      </c>
      <c r="BY27" s="629">
        <f>BY25/BX25-1</f>
        <v>0.20128885519332829</v>
      </c>
      <c r="BZ27" s="629">
        <f>BZ25/BY25-1</f>
        <v>0.15425104875355022</v>
      </c>
      <c r="CA27" s="665">
        <f>CA25/BZ25-1</f>
        <v>0.12185315860352097</v>
      </c>
      <c r="CC27" s="1002"/>
      <c r="CD27" s="1003"/>
    </row>
    <row r="28" spans="1:82" ht="14.25" customHeight="1">
      <c r="A28" s="559"/>
      <c r="B28" s="502" t="s">
        <v>292</v>
      </c>
      <c r="C28" s="552"/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52"/>
      <c r="S28" s="552"/>
      <c r="T28" s="552"/>
      <c r="U28" s="552"/>
      <c r="V28" s="552"/>
      <c r="W28" s="552"/>
      <c r="X28" s="552"/>
      <c r="Y28" s="552"/>
      <c r="Z28" s="552"/>
      <c r="AA28" s="552"/>
      <c r="AB28" s="552"/>
      <c r="AC28" s="552"/>
      <c r="AD28" s="552"/>
      <c r="AE28" s="552"/>
      <c r="AF28" s="552"/>
      <c r="AG28" s="552"/>
      <c r="AH28" s="552"/>
      <c r="AI28" s="552"/>
      <c r="AJ28" s="552"/>
      <c r="AK28" s="552"/>
      <c r="AL28" s="552"/>
      <c r="AM28" s="552"/>
      <c r="AN28" s="655"/>
      <c r="AO28" s="636"/>
      <c r="AP28" s="636"/>
      <c r="AQ28" s="652"/>
      <c r="AR28" s="636">
        <f t="shared" ref="AR28:AW28" si="71">AR25/AR$78</f>
        <v>4.1702527188795871E-2</v>
      </c>
      <c r="AS28" s="636">
        <f t="shared" si="71"/>
        <v>4.2364532019704436E-2</v>
      </c>
      <c r="AT28" s="636">
        <f t="shared" si="71"/>
        <v>4.0165917732457659E-2</v>
      </c>
      <c r="AU28" s="652">
        <f t="shared" si="71"/>
        <v>4.1906933083009253E-2</v>
      </c>
      <c r="AV28" s="655">
        <f t="shared" si="71"/>
        <v>4.7511312217194568E-2</v>
      </c>
      <c r="AW28" s="636">
        <f t="shared" si="71"/>
        <v>4.226705091258405E-2</v>
      </c>
      <c r="AX28" s="636">
        <f t="shared" ref="AX28:AZ28" si="72">AX25/AX$78</f>
        <v>4.366839903663329E-2</v>
      </c>
      <c r="AY28" s="1140">
        <f t="shared" si="72"/>
        <v>4.4338585562477099E-2</v>
      </c>
      <c r="AZ28" s="655">
        <f t="shared" si="72"/>
        <v>4.8729386320627198E-2</v>
      </c>
      <c r="BA28" s="636">
        <f t="shared" ref="BA28:BD28" si="73">BA25/BA$78</f>
        <v>4.8770575086364558E-2</v>
      </c>
      <c r="BB28" s="636">
        <f t="shared" si="73"/>
        <v>5.2572914731562323E-2</v>
      </c>
      <c r="BC28" s="1140">
        <f t="shared" si="73"/>
        <v>5.1545182665806606E-2</v>
      </c>
      <c r="BD28" s="655">
        <f t="shared" si="73"/>
        <v>5.228432715050417E-2</v>
      </c>
      <c r="BE28" s="636">
        <f t="shared" ref="BE28:BG28" si="74">BE25/BE$78</f>
        <v>5.201585829714938E-2</v>
      </c>
      <c r="BF28" s="636">
        <f t="shared" si="74"/>
        <v>5.4620946911768109E-2</v>
      </c>
      <c r="BG28" s="652">
        <f t="shared" si="74"/>
        <v>5.68983867811007E-2</v>
      </c>
      <c r="BH28" s="636">
        <f t="shared" ref="BH28:BK28" si="75">BH25/BH$78</f>
        <v>6.2743567708040904E-2</v>
      </c>
      <c r="BI28" s="636">
        <f t="shared" si="75"/>
        <v>6.0081477367427652E-2</v>
      </c>
      <c r="BJ28" s="636">
        <f t="shared" si="75"/>
        <v>5.7866533674291919E-2</v>
      </c>
      <c r="BK28" s="652">
        <f t="shared" si="75"/>
        <v>5.7897059815173971E-2</v>
      </c>
      <c r="BL28" s="1178"/>
      <c r="BM28" s="73"/>
      <c r="BN28" s="552"/>
      <c r="BO28" s="552"/>
      <c r="BP28" s="552"/>
      <c r="BQ28" s="552"/>
      <c r="BR28" s="552"/>
      <c r="BS28" s="73"/>
      <c r="BT28" s="552"/>
      <c r="BU28" s="676"/>
      <c r="BV28" s="655"/>
      <c r="BW28" s="636">
        <f>BW25/BW$78</f>
        <v>4.1513865052840757E-2</v>
      </c>
      <c r="BX28" s="636">
        <f>BX25/BX$78</f>
        <v>4.4420496068163069E-2</v>
      </c>
      <c r="BY28" s="636">
        <f>BY25/BY$78</f>
        <v>5.0493140644667867E-2</v>
      </c>
      <c r="BZ28" s="636">
        <f>BZ25/BZ$78</f>
        <v>5.4036323212597305E-2</v>
      </c>
      <c r="CA28" s="652">
        <f>CA25/CA$78</f>
        <v>5.9546150077150979E-2</v>
      </c>
      <c r="CC28" s="1002"/>
      <c r="CD28" s="1003"/>
    </row>
    <row r="29" spans="1:82" ht="14.25" customHeight="1">
      <c r="A29" s="559"/>
      <c r="B29" s="73"/>
      <c r="C29" s="552"/>
      <c r="D29" s="552"/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73"/>
      <c r="AO29" s="552"/>
      <c r="AP29" s="552"/>
      <c r="AQ29" s="566"/>
      <c r="AR29" s="552"/>
      <c r="AS29" s="552"/>
      <c r="AT29" s="552"/>
      <c r="AU29" s="566"/>
      <c r="AV29" s="73"/>
      <c r="AW29" s="552"/>
      <c r="AX29" s="552"/>
      <c r="AY29" s="1141"/>
      <c r="AZ29" s="73"/>
      <c r="BA29" s="552"/>
      <c r="BB29" s="552"/>
      <c r="BC29" s="1141"/>
      <c r="BD29" s="73"/>
      <c r="BE29" s="552"/>
      <c r="BF29" s="552"/>
      <c r="BG29" s="566"/>
      <c r="BH29" s="552"/>
      <c r="BI29" s="552"/>
      <c r="BJ29" s="552"/>
      <c r="BK29" s="566"/>
      <c r="BL29" s="1178"/>
      <c r="BM29" s="73"/>
      <c r="BN29" s="552"/>
      <c r="BO29" s="552"/>
      <c r="BP29" s="552"/>
      <c r="BQ29" s="552"/>
      <c r="BR29" s="552"/>
      <c r="BS29" s="73"/>
      <c r="BT29" s="552"/>
      <c r="BU29" s="676"/>
      <c r="BV29" s="561"/>
      <c r="BW29" s="260"/>
      <c r="BX29" s="260"/>
      <c r="BY29" s="552"/>
      <c r="BZ29" s="552"/>
      <c r="CA29" s="566"/>
      <c r="CC29" s="1002"/>
      <c r="CD29" s="1003"/>
    </row>
    <row r="30" spans="1:82" ht="14.25" customHeight="1">
      <c r="A30" s="559"/>
      <c r="B30" s="637" t="s">
        <v>352</v>
      </c>
      <c r="C30" s="552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656"/>
      <c r="AO30" s="592"/>
      <c r="AP30" s="592"/>
      <c r="AQ30" s="657"/>
      <c r="AR30" s="592">
        <v>87</v>
      </c>
      <c r="AS30" s="592">
        <v>145</v>
      </c>
      <c r="AT30" s="592">
        <v>151</v>
      </c>
      <c r="AU30" s="657">
        <v>132</v>
      </c>
      <c r="AV30" s="656">
        <v>123</v>
      </c>
      <c r="AW30" s="592">
        <v>89</v>
      </c>
      <c r="AX30" s="592">
        <v>191</v>
      </c>
      <c r="AY30" s="1142">
        <v>182</v>
      </c>
      <c r="AZ30" s="1145">
        <v>105</v>
      </c>
      <c r="BA30" s="592">
        <v>139</v>
      </c>
      <c r="BB30" s="592">
        <v>146</v>
      </c>
      <c r="BC30" s="1142">
        <v>260</v>
      </c>
      <c r="BD30" s="1145">
        <v>227</v>
      </c>
      <c r="BE30" s="592"/>
      <c r="BF30" s="592"/>
      <c r="BG30" s="657"/>
      <c r="BH30" s="592"/>
      <c r="BI30" s="592"/>
      <c r="BJ30" s="592"/>
      <c r="BK30" s="657"/>
      <c r="BL30" s="571"/>
      <c r="BM30" s="642"/>
      <c r="BN30" s="567"/>
      <c r="BO30" s="567"/>
      <c r="BP30" s="567"/>
      <c r="BQ30" s="567"/>
      <c r="BR30" s="567"/>
      <c r="BS30" s="642"/>
      <c r="BT30" s="567"/>
      <c r="BU30" s="677"/>
      <c r="BV30" s="709">
        <v>583</v>
      </c>
      <c r="BW30" s="567">
        <f>SUM(AR30:AU30)</f>
        <v>515</v>
      </c>
      <c r="BX30" s="567"/>
      <c r="BY30" s="567"/>
      <c r="BZ30" s="567"/>
      <c r="CA30" s="638"/>
      <c r="CC30" s="1002"/>
      <c r="CD30" s="1003"/>
    </row>
    <row r="31" spans="1:82" ht="14.25" customHeight="1">
      <c r="A31" s="559"/>
      <c r="B31" s="502" t="s">
        <v>290</v>
      </c>
      <c r="C31" s="552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73"/>
      <c r="AO31" s="636"/>
      <c r="AP31" s="636"/>
      <c r="AQ31" s="652"/>
      <c r="AR31" s="636"/>
      <c r="AS31" s="636">
        <f t="shared" ref="AS31:BD31" si="76">AS30/AR30-1</f>
        <v>0.66666666666666674</v>
      </c>
      <c r="AT31" s="636">
        <f t="shared" si="76"/>
        <v>4.1379310344827669E-2</v>
      </c>
      <c r="AU31" s="652">
        <f t="shared" si="76"/>
        <v>-0.1258278145695364</v>
      </c>
      <c r="AV31" s="655">
        <f t="shared" si="76"/>
        <v>-6.8181818181818232E-2</v>
      </c>
      <c r="AW31" s="636">
        <f t="shared" si="76"/>
        <v>-0.27642276422764223</v>
      </c>
      <c r="AX31" s="636">
        <f t="shared" si="76"/>
        <v>1.1460674157303372</v>
      </c>
      <c r="AY31" s="1140">
        <f t="shared" si="76"/>
        <v>-4.7120418848167533E-2</v>
      </c>
      <c r="AZ31" s="655">
        <f t="shared" si="76"/>
        <v>-0.42307692307692313</v>
      </c>
      <c r="BA31" s="636">
        <f t="shared" si="76"/>
        <v>0.32380952380952377</v>
      </c>
      <c r="BB31" s="636">
        <f t="shared" si="76"/>
        <v>5.0359712230215736E-2</v>
      </c>
      <c r="BC31" s="1140">
        <f t="shared" si="76"/>
        <v>0.78082191780821919</v>
      </c>
      <c r="BD31" s="655">
        <f t="shared" si="76"/>
        <v>-0.12692307692307692</v>
      </c>
      <c r="BE31" s="636"/>
      <c r="BF31" s="636"/>
      <c r="BG31" s="652"/>
      <c r="BH31" s="636"/>
      <c r="BI31" s="636"/>
      <c r="BJ31" s="636"/>
      <c r="BK31" s="652"/>
      <c r="BL31" s="1178"/>
      <c r="BM31" s="73"/>
      <c r="BN31" s="552"/>
      <c r="BO31" s="552"/>
      <c r="BP31" s="552"/>
      <c r="BQ31" s="552"/>
      <c r="BR31" s="552"/>
      <c r="BS31" s="73"/>
      <c r="BT31" s="552"/>
      <c r="BU31" s="676"/>
      <c r="BV31" s="561"/>
      <c r="BW31" s="260"/>
      <c r="BX31" s="260"/>
      <c r="BY31" s="552"/>
      <c r="BZ31" s="552"/>
      <c r="CA31" s="566"/>
      <c r="CC31" s="1002"/>
      <c r="CD31" s="1003"/>
    </row>
    <row r="32" spans="1:82" ht="14.25" customHeight="1">
      <c r="A32" s="559"/>
      <c r="B32" s="563" t="s">
        <v>291</v>
      </c>
      <c r="C32" s="552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73"/>
      <c r="AO32" s="552"/>
      <c r="AP32" s="552"/>
      <c r="AQ32" s="566"/>
      <c r="AR32" s="636"/>
      <c r="AS32" s="636"/>
      <c r="AT32" s="636"/>
      <c r="AU32" s="652"/>
      <c r="AV32" s="655">
        <f t="shared" ref="AV32:BD32" si="77">AV30/AR30-1</f>
        <v>0.4137931034482758</v>
      </c>
      <c r="AW32" s="636">
        <f t="shared" si="77"/>
        <v>-0.38620689655172413</v>
      </c>
      <c r="AX32" s="636">
        <f t="shared" si="77"/>
        <v>0.26490066225165565</v>
      </c>
      <c r="AY32" s="1140">
        <f t="shared" si="77"/>
        <v>0.3787878787878789</v>
      </c>
      <c r="AZ32" s="655">
        <f t="shared" si="77"/>
        <v>-0.14634146341463417</v>
      </c>
      <c r="BA32" s="636">
        <f t="shared" si="77"/>
        <v>0.5617977528089888</v>
      </c>
      <c r="BB32" s="636">
        <f t="shared" si="77"/>
        <v>-0.23560209424083767</v>
      </c>
      <c r="BC32" s="1140">
        <f t="shared" si="77"/>
        <v>0.4285714285714286</v>
      </c>
      <c r="BD32" s="655">
        <f t="shared" si="77"/>
        <v>1.1619047619047618</v>
      </c>
      <c r="BE32" s="552"/>
      <c r="BF32" s="552"/>
      <c r="BG32" s="566"/>
      <c r="BH32" s="552"/>
      <c r="BI32" s="552"/>
      <c r="BJ32" s="552"/>
      <c r="BK32" s="566"/>
      <c r="BL32" s="1178"/>
      <c r="BM32" s="73"/>
      <c r="BN32" s="552"/>
      <c r="BO32" s="552"/>
      <c r="BP32" s="552"/>
      <c r="BQ32" s="552"/>
      <c r="BR32" s="552"/>
      <c r="BS32" s="73"/>
      <c r="BT32" s="552"/>
      <c r="BU32" s="676"/>
      <c r="BV32" s="655"/>
      <c r="BW32" s="260"/>
      <c r="BX32" s="260"/>
      <c r="BY32" s="552"/>
      <c r="BZ32" s="552"/>
      <c r="CA32" s="566"/>
      <c r="CC32" s="1002"/>
      <c r="CD32" s="1003"/>
    </row>
    <row r="33" spans="1:82" ht="14.25" customHeight="1">
      <c r="A33" s="559"/>
      <c r="B33" s="527" t="s">
        <v>313</v>
      </c>
      <c r="C33" s="639"/>
      <c r="D33" s="639"/>
      <c r="E33" s="639"/>
      <c r="F33" s="639"/>
      <c r="G33" s="639"/>
      <c r="H33" s="639"/>
      <c r="I33" s="639"/>
      <c r="J33" s="639"/>
      <c r="K33" s="639"/>
      <c r="L33" s="639"/>
      <c r="M33" s="639"/>
      <c r="N33" s="639"/>
      <c r="O33" s="639"/>
      <c r="P33" s="639"/>
      <c r="Q33" s="639"/>
      <c r="R33" s="639"/>
      <c r="S33" s="639"/>
      <c r="T33" s="639"/>
      <c r="U33" s="639"/>
      <c r="V33" s="639"/>
      <c r="W33" s="639"/>
      <c r="X33" s="639"/>
      <c r="Y33" s="639"/>
      <c r="Z33" s="639"/>
      <c r="AA33" s="639"/>
      <c r="AB33" s="639"/>
      <c r="AC33" s="639"/>
      <c r="AD33" s="639"/>
      <c r="AE33" s="639"/>
      <c r="AF33" s="639"/>
      <c r="AG33" s="639"/>
      <c r="AH33" s="639"/>
      <c r="AI33" s="639"/>
      <c r="AJ33" s="639"/>
      <c r="AK33" s="639"/>
      <c r="AL33" s="639"/>
      <c r="AM33" s="639"/>
      <c r="AN33" s="658"/>
      <c r="AO33" s="640"/>
      <c r="AP33" s="640"/>
      <c r="AQ33" s="659"/>
      <c r="AR33" s="640">
        <f t="shared" ref="AR33:AS33" si="78">AR30/AR25</f>
        <v>0.16322701688555347</v>
      </c>
      <c r="AS33" s="640">
        <f t="shared" si="78"/>
        <v>0.25939177101967797</v>
      </c>
      <c r="AT33" s="640">
        <f t="shared" ref="AT33:AV33" si="79">AT30/AT25</f>
        <v>0.25989672977624784</v>
      </c>
      <c r="AU33" s="659">
        <f t="shared" si="79"/>
        <v>0.2112</v>
      </c>
      <c r="AV33" s="658">
        <f t="shared" si="79"/>
        <v>0.1889400921658986</v>
      </c>
      <c r="AW33" s="640">
        <f t="shared" ref="AW33:AZ33" si="80">AW30/AW25</f>
        <v>0.1555944055944056</v>
      </c>
      <c r="AX33" s="640">
        <f t="shared" si="80"/>
        <v>0.27721335268505082</v>
      </c>
      <c r="AY33" s="659">
        <f t="shared" si="80"/>
        <v>0.25068870523415976</v>
      </c>
      <c r="AZ33" s="658">
        <f t="shared" si="80"/>
        <v>0.14563106796116504</v>
      </c>
      <c r="BA33" s="640">
        <f t="shared" ref="BA33:BD33" si="81">BA30/BA25</f>
        <v>0.19305555555555556</v>
      </c>
      <c r="BB33" s="640">
        <f t="shared" si="81"/>
        <v>0.17196702002355713</v>
      </c>
      <c r="BC33" s="659">
        <f t="shared" si="81"/>
        <v>0.29579067121729236</v>
      </c>
      <c r="BD33" s="658">
        <f t="shared" si="81"/>
        <v>0.27023809523809522</v>
      </c>
      <c r="BE33" s="640"/>
      <c r="BF33" s="640"/>
      <c r="BG33" s="659"/>
      <c r="BH33" s="640"/>
      <c r="BI33" s="640"/>
      <c r="BJ33" s="640"/>
      <c r="BK33" s="659"/>
      <c r="BL33" s="1178"/>
      <c r="BM33" s="648"/>
      <c r="BN33" s="649"/>
      <c r="BO33" s="649"/>
      <c r="BP33" s="649"/>
      <c r="BQ33" s="649"/>
      <c r="BR33" s="649"/>
      <c r="BS33" s="648"/>
      <c r="BT33" s="649"/>
      <c r="BU33" s="678"/>
      <c r="BV33" s="658"/>
      <c r="BW33" s="650"/>
      <c r="BX33" s="650"/>
      <c r="BY33" s="649"/>
      <c r="BZ33" s="649"/>
      <c r="CA33" s="651"/>
      <c r="CC33" s="1002"/>
      <c r="CD33" s="1003"/>
    </row>
    <row r="34" spans="1:82" ht="14.25" customHeight="1">
      <c r="A34" s="559"/>
      <c r="B34" s="502"/>
      <c r="C34" s="552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552"/>
      <c r="BA34" s="552"/>
      <c r="BB34" s="552"/>
      <c r="BC34" s="552"/>
      <c r="BD34" s="552"/>
      <c r="BE34" s="552"/>
      <c r="BF34" s="552"/>
      <c r="BG34" s="552"/>
      <c r="BH34" s="552"/>
      <c r="BI34" s="552"/>
      <c r="BJ34" s="552"/>
      <c r="BK34" s="552"/>
      <c r="BM34" s="73"/>
      <c r="BN34" s="552"/>
      <c r="BO34" s="552"/>
      <c r="BP34" s="552"/>
      <c r="BQ34" s="552"/>
      <c r="BR34" s="552"/>
      <c r="BS34" s="612"/>
      <c r="BT34" s="552"/>
      <c r="BU34" s="628"/>
      <c r="BV34" s="260"/>
      <c r="BW34" s="260"/>
      <c r="BX34" s="260"/>
      <c r="BY34" s="612"/>
      <c r="BZ34" s="612"/>
      <c r="CA34" s="612"/>
      <c r="CC34" s="1002"/>
      <c r="CD34" s="1003"/>
    </row>
    <row r="35" spans="1:82" s="703" customFormat="1" ht="14.25" customHeight="1">
      <c r="A35" s="559"/>
      <c r="B35" s="631" t="s">
        <v>377</v>
      </c>
      <c r="C35" s="632"/>
      <c r="D35" s="632"/>
      <c r="E35" s="632"/>
      <c r="F35" s="632"/>
      <c r="G35" s="632"/>
      <c r="H35" s="632"/>
      <c r="I35" s="632"/>
      <c r="J35" s="632"/>
      <c r="K35" s="632"/>
      <c r="L35" s="632"/>
      <c r="M35" s="632"/>
      <c r="N35" s="632"/>
      <c r="O35" s="632"/>
      <c r="P35" s="632"/>
      <c r="Q35" s="632"/>
      <c r="R35" s="632"/>
      <c r="S35" s="632"/>
      <c r="T35" s="632"/>
      <c r="U35" s="632"/>
      <c r="V35" s="632"/>
      <c r="W35" s="632"/>
      <c r="X35" s="632"/>
      <c r="Y35" s="632"/>
      <c r="Z35" s="632"/>
      <c r="AA35" s="632"/>
      <c r="AB35" s="632"/>
      <c r="AC35" s="632"/>
      <c r="AD35" s="632"/>
      <c r="AE35" s="632"/>
      <c r="AF35" s="632"/>
      <c r="AG35" s="632"/>
      <c r="AH35" s="632"/>
      <c r="AI35" s="632"/>
      <c r="AJ35" s="632"/>
      <c r="AK35" s="632"/>
      <c r="AL35" s="632"/>
      <c r="AM35" s="632"/>
      <c r="AN35" s="653"/>
      <c r="AO35" s="633"/>
      <c r="AP35" s="633"/>
      <c r="AQ35" s="654"/>
      <c r="AR35" s="633">
        <v>592</v>
      </c>
      <c r="AS35" s="633">
        <v>696</v>
      </c>
      <c r="AT35" s="633">
        <v>655</v>
      </c>
      <c r="AU35" s="654">
        <v>654</v>
      </c>
      <c r="AV35" s="653">
        <v>557</v>
      </c>
      <c r="AW35" s="633">
        <v>554</v>
      </c>
      <c r="AX35" s="633">
        <v>649</v>
      </c>
      <c r="AY35" s="654">
        <v>816</v>
      </c>
      <c r="AZ35" s="653">
        <v>866</v>
      </c>
      <c r="BA35" s="633">
        <v>874</v>
      </c>
      <c r="BB35" s="633">
        <v>891</v>
      </c>
      <c r="BC35" s="654">
        <v>889</v>
      </c>
      <c r="BD35" s="653">
        <v>1040</v>
      </c>
      <c r="BE35" s="663">
        <f>'Segment Detail'!AJ9</f>
        <v>1123.2</v>
      </c>
      <c r="BF35" s="663">
        <f>'Segment Detail'!AK9</f>
        <v>1213.056</v>
      </c>
      <c r="BG35" s="664">
        <f>'Segment Detail'!AL9</f>
        <v>1310.1004800000001</v>
      </c>
      <c r="BH35" s="663">
        <f>'Segment Detail'!AM9</f>
        <v>1179.0904320000002</v>
      </c>
      <c r="BI35" s="663">
        <f>'Segment Detail'!AN9</f>
        <v>1261.6267622400003</v>
      </c>
      <c r="BJ35" s="663">
        <f>'Segment Detail'!AO9</f>
        <v>1349.9406355968003</v>
      </c>
      <c r="BK35" s="664">
        <f>'Segment Detail'!AP9</f>
        <v>1417.4376673766403</v>
      </c>
      <c r="BL35" s="571"/>
      <c r="BM35" s="646"/>
      <c r="BN35" s="647"/>
      <c r="BO35" s="647"/>
      <c r="BP35" s="647"/>
      <c r="BQ35" s="647"/>
      <c r="BR35" s="647"/>
      <c r="BS35" s="646"/>
      <c r="BT35" s="647"/>
      <c r="BU35" s="675"/>
      <c r="BV35" s="707">
        <v>2146</v>
      </c>
      <c r="BW35" s="634">
        <f>SUM(AR35:AU35)</f>
        <v>2597</v>
      </c>
      <c r="BX35" s="634">
        <f>SUM(AV35:AY35)</f>
        <v>2576</v>
      </c>
      <c r="BY35" s="634">
        <f>SUM(AZ35:BC35)</f>
        <v>3520</v>
      </c>
      <c r="BZ35" s="634">
        <f>SUM(BD35:BG35)</f>
        <v>4686.3564800000004</v>
      </c>
      <c r="CA35" s="635">
        <f>SUM(BH35:BK35)</f>
        <v>5208.0954972134414</v>
      </c>
      <c r="CC35" s="1002"/>
      <c r="CD35" s="1003"/>
    </row>
    <row r="36" spans="1:82" s="703" customFormat="1" ht="14.25" customHeight="1">
      <c r="A36" s="559"/>
      <c r="B36" s="502" t="s">
        <v>290</v>
      </c>
      <c r="C36" s="552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73"/>
      <c r="AO36" s="636"/>
      <c r="AP36" s="636"/>
      <c r="AQ36" s="652"/>
      <c r="AR36" s="636"/>
      <c r="AS36" s="636">
        <f>AS35/AR35-1</f>
        <v>0.17567567567567566</v>
      </c>
      <c r="AT36" s="636">
        <f t="shared" ref="AT36" si="82">AT35/AS35-1</f>
        <v>-5.8908045977011492E-2</v>
      </c>
      <c r="AU36" s="652">
        <f t="shared" ref="AU36" si="83">AU35/AT35-1</f>
        <v>-1.5267175572518665E-3</v>
      </c>
      <c r="AV36" s="655">
        <f t="shared" ref="AV36" si="84">AV35/AU35-1</f>
        <v>-0.14831804281345562</v>
      </c>
      <c r="AW36" s="636">
        <f t="shared" ref="AW36:BD36" si="85">AW35/AV35-1</f>
        <v>-5.3859964093356805E-3</v>
      </c>
      <c r="AX36" s="636">
        <f t="shared" si="85"/>
        <v>0.17148014440433212</v>
      </c>
      <c r="AY36" s="1140">
        <f t="shared" si="85"/>
        <v>0.25731895223420653</v>
      </c>
      <c r="AZ36" s="655">
        <f t="shared" si="85"/>
        <v>6.1274509803921573E-2</v>
      </c>
      <c r="BA36" s="636">
        <f t="shared" si="85"/>
        <v>9.2378752886836946E-3</v>
      </c>
      <c r="BB36" s="636">
        <f t="shared" si="85"/>
        <v>1.9450800915331801E-2</v>
      </c>
      <c r="BC36" s="1140">
        <f t="shared" si="85"/>
        <v>-2.2446689113355678E-3</v>
      </c>
      <c r="BD36" s="655">
        <f t="shared" si="85"/>
        <v>0.16985376827896514</v>
      </c>
      <c r="BE36" s="636">
        <f t="shared" ref="BE36" si="86">BE35/BD35-1</f>
        <v>8.0000000000000071E-2</v>
      </c>
      <c r="BF36" s="636">
        <f t="shared" ref="BF36" si="87">BF35/BE35-1</f>
        <v>8.0000000000000071E-2</v>
      </c>
      <c r="BG36" s="652">
        <f t="shared" ref="BG36" si="88">BG35/BF35-1</f>
        <v>8.0000000000000071E-2</v>
      </c>
      <c r="BH36" s="636">
        <f t="shared" ref="BH36" si="89">BH35/BG35-1</f>
        <v>-9.9999999999999867E-2</v>
      </c>
      <c r="BI36" s="636">
        <f t="shared" ref="BI36" si="90">BI35/BH35-1</f>
        <v>7.0000000000000062E-2</v>
      </c>
      <c r="BJ36" s="636">
        <f t="shared" ref="BJ36" si="91">BJ35/BI35-1</f>
        <v>7.0000000000000062E-2</v>
      </c>
      <c r="BK36" s="652">
        <f t="shared" ref="BK36" si="92">BK35/BJ35-1</f>
        <v>5.0000000000000044E-2</v>
      </c>
      <c r="BL36" s="1178"/>
      <c r="BM36" s="73"/>
      <c r="BN36" s="552"/>
      <c r="BO36" s="552"/>
      <c r="BP36" s="552"/>
      <c r="BQ36" s="552"/>
      <c r="BR36" s="552"/>
      <c r="BS36" s="73"/>
      <c r="BT36" s="552"/>
      <c r="BU36" s="676"/>
      <c r="BV36" s="655"/>
      <c r="BW36" s="260"/>
      <c r="BX36" s="260"/>
      <c r="BY36" s="552"/>
      <c r="BZ36" s="552"/>
      <c r="CA36" s="566"/>
      <c r="CC36" s="1002"/>
      <c r="CD36" s="1003"/>
    </row>
    <row r="37" spans="1:82" s="703" customFormat="1" ht="14.25" customHeight="1">
      <c r="A37" s="559"/>
      <c r="B37" s="563" t="s">
        <v>291</v>
      </c>
      <c r="C37" s="552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73"/>
      <c r="AO37" s="552"/>
      <c r="AP37" s="552"/>
      <c r="AQ37" s="566"/>
      <c r="AR37" s="636"/>
      <c r="AS37" s="636"/>
      <c r="AT37" s="636"/>
      <c r="AU37" s="652"/>
      <c r="AV37" s="655">
        <f t="shared" ref="AV37" si="93">AV35/AR35-1</f>
        <v>-5.9121621621621601E-2</v>
      </c>
      <c r="AW37" s="636">
        <f t="shared" ref="AW37:BD37" si="94">AW35/AS35-1</f>
        <v>-0.20402298850574707</v>
      </c>
      <c r="AX37" s="636">
        <f t="shared" si="94"/>
        <v>-9.1603053435114212E-3</v>
      </c>
      <c r="AY37" s="1140">
        <f t="shared" si="94"/>
        <v>0.24770642201834869</v>
      </c>
      <c r="AZ37" s="655">
        <f t="shared" si="94"/>
        <v>0.55475763016157997</v>
      </c>
      <c r="BA37" s="636">
        <f t="shared" si="94"/>
        <v>0.57761732851985559</v>
      </c>
      <c r="BB37" s="636">
        <f t="shared" si="94"/>
        <v>0.37288135593220328</v>
      </c>
      <c r="BC37" s="1140">
        <f t="shared" si="94"/>
        <v>8.9460784313725394E-2</v>
      </c>
      <c r="BD37" s="655">
        <f t="shared" si="94"/>
        <v>0.2009237875288683</v>
      </c>
      <c r="BE37" s="636">
        <f t="shared" ref="BE37" si="95">BE35/BA35-1</f>
        <v>0.28512585812356983</v>
      </c>
      <c r="BF37" s="636">
        <f t="shared" ref="BF37" si="96">BF35/BB35-1</f>
        <v>0.36145454545454547</v>
      </c>
      <c r="BG37" s="652">
        <f t="shared" ref="BG37" si="97">BG35/BC35-1</f>
        <v>0.4736788301462318</v>
      </c>
      <c r="BH37" s="636">
        <f t="shared" ref="BH37" si="98">BH35/BD35-1</f>
        <v>0.13374080000000022</v>
      </c>
      <c r="BI37" s="636">
        <f t="shared" ref="BI37" si="99">BI35/BE35-1</f>
        <v>0.12324320000000011</v>
      </c>
      <c r="BJ37" s="636">
        <f t="shared" ref="BJ37" si="100">BJ35/BF35-1</f>
        <v>0.11284280000000035</v>
      </c>
      <c r="BK37" s="652">
        <f t="shared" ref="BK37" si="101">BK35/BG35-1</f>
        <v>8.1930500000000128E-2</v>
      </c>
      <c r="BL37" s="1178"/>
      <c r="BM37" s="73"/>
      <c r="BN37" s="552"/>
      <c r="BO37" s="552"/>
      <c r="BP37" s="552"/>
      <c r="BQ37" s="552"/>
      <c r="BR37" s="552"/>
      <c r="BS37" s="73"/>
      <c r="BT37" s="552"/>
      <c r="BU37" s="676"/>
      <c r="BV37" s="708"/>
      <c r="BW37" s="629">
        <f>BW35/BV35-1</f>
        <v>0.21015843429636538</v>
      </c>
      <c r="BX37" s="629">
        <f>BX35/BW35-1</f>
        <v>-8.0862533692722671E-3</v>
      </c>
      <c r="BY37" s="629">
        <f>BY35/BX35-1</f>
        <v>0.36645962732919246</v>
      </c>
      <c r="BZ37" s="629">
        <f>BZ35/BY35-1</f>
        <v>0.33135127272727294</v>
      </c>
      <c r="CA37" s="665">
        <f>CA35/BZ35-1</f>
        <v>0.11133148309141028</v>
      </c>
      <c r="CC37" s="1002"/>
      <c r="CD37" s="1003"/>
    </row>
    <row r="38" spans="1:82" s="703" customFormat="1" ht="14.25" customHeight="1">
      <c r="A38" s="559"/>
      <c r="B38" s="502" t="s">
        <v>292</v>
      </c>
      <c r="C38" s="552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655"/>
      <c r="AO38" s="636"/>
      <c r="AP38" s="636"/>
      <c r="AQ38" s="652"/>
      <c r="AR38" s="636"/>
      <c r="AS38" s="636">
        <f t="shared" ref="AS38:AW38" si="102">AS35/AS$78</f>
        <v>5.2747252747252747E-2</v>
      </c>
      <c r="AT38" s="636">
        <f t="shared" si="102"/>
        <v>4.5281714483235397E-2</v>
      </c>
      <c r="AU38" s="652">
        <f t="shared" si="102"/>
        <v>4.3851414778060885E-2</v>
      </c>
      <c r="AV38" s="655">
        <f t="shared" si="102"/>
        <v>4.0650999854035905E-2</v>
      </c>
      <c r="AW38" s="636">
        <f t="shared" si="102"/>
        <v>4.0936968890859383E-2</v>
      </c>
      <c r="AX38" s="636">
        <f t="shared" ref="AX38:AZ38" si="103">AX35/AX$78</f>
        <v>4.1133223475725691E-2</v>
      </c>
      <c r="AY38" s="1140">
        <f t="shared" si="103"/>
        <v>4.9835104433858558E-2</v>
      </c>
      <c r="AZ38" s="655">
        <f t="shared" si="103"/>
        <v>5.8529332251959991E-2</v>
      </c>
      <c r="BA38" s="636">
        <f t="shared" ref="BA38:BD38" si="104">BA35/BA$78</f>
        <v>5.9202059202059204E-2</v>
      </c>
      <c r="BB38" s="636">
        <f t="shared" si="104"/>
        <v>5.5173694965632548E-2</v>
      </c>
      <c r="BC38" s="1140">
        <f t="shared" si="104"/>
        <v>5.2131589749604176E-2</v>
      </c>
      <c r="BD38" s="655">
        <f t="shared" si="104"/>
        <v>6.4732976472052783E-2</v>
      </c>
      <c r="BE38" s="636">
        <f t="shared" ref="BE38:BG38" si="105">BE35/BE$78</f>
        <v>6.8863993445731006E-2</v>
      </c>
      <c r="BF38" s="636">
        <f t="shared" si="105"/>
        <v>6.9113195246233175E-2</v>
      </c>
      <c r="BG38" s="652">
        <f t="shared" si="105"/>
        <v>7.3751284010634216E-2</v>
      </c>
      <c r="BH38" s="636">
        <f t="shared" ref="BH38:BK38" si="106">BH35/BH$78</f>
        <v>7.3093226911911335E-2</v>
      </c>
      <c r="BI38" s="636">
        <f t="shared" si="106"/>
        <v>7.6526136604035455E-2</v>
      </c>
      <c r="BJ38" s="636">
        <f t="shared" si="106"/>
        <v>7.5108853393442643E-2</v>
      </c>
      <c r="BK38" s="652">
        <f t="shared" si="106"/>
        <v>7.7358724592210701E-2</v>
      </c>
      <c r="BL38" s="1178"/>
      <c r="BM38" s="73"/>
      <c r="BN38" s="552"/>
      <c r="BO38" s="552"/>
      <c r="BP38" s="552"/>
      <c r="BQ38" s="552"/>
      <c r="BR38" s="552"/>
      <c r="BS38" s="73"/>
      <c r="BT38" s="552"/>
      <c r="BU38" s="676"/>
      <c r="BV38" s="655"/>
      <c r="BW38" s="636">
        <f>BW35/BW$78</f>
        <v>4.6915364465721254E-2</v>
      </c>
      <c r="BX38" s="636">
        <f>BX35/BX$78</f>
        <v>4.3376496539646724E-2</v>
      </c>
      <c r="BY38" s="636">
        <f>BY35/BY$78</f>
        <v>5.6085785758671784E-2</v>
      </c>
      <c r="BZ38" s="636">
        <f>BZ35/BZ$78</f>
        <v>6.923067961470368E-2</v>
      </c>
      <c r="CA38" s="652">
        <f>CA35/CA$78</f>
        <v>7.5574293271172904E-2</v>
      </c>
      <c r="CC38" s="1002"/>
      <c r="CD38" s="1003"/>
    </row>
    <row r="39" spans="1:82" s="703" customFormat="1" ht="14.25" customHeight="1">
      <c r="A39" s="559"/>
      <c r="B39" s="73"/>
      <c r="C39" s="552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73"/>
      <c r="AO39" s="552"/>
      <c r="AP39" s="552"/>
      <c r="AQ39" s="566"/>
      <c r="AR39" s="552"/>
      <c r="AS39" s="552"/>
      <c r="AT39" s="552"/>
      <c r="AU39" s="566"/>
      <c r="AV39" s="73"/>
      <c r="AW39" s="552"/>
      <c r="AX39" s="552"/>
      <c r="AY39" s="1141"/>
      <c r="AZ39" s="73"/>
      <c r="BA39" s="552"/>
      <c r="BB39" s="552"/>
      <c r="BC39" s="1141"/>
      <c r="BD39" s="73"/>
      <c r="BE39" s="552"/>
      <c r="BF39" s="552"/>
      <c r="BG39" s="566"/>
      <c r="BH39" s="552"/>
      <c r="BI39" s="552"/>
      <c r="BJ39" s="552"/>
      <c r="BK39" s="566"/>
      <c r="BL39" s="1178"/>
      <c r="BM39" s="73"/>
      <c r="BN39" s="552"/>
      <c r="BO39" s="552"/>
      <c r="BP39" s="552"/>
      <c r="BQ39" s="552"/>
      <c r="BR39" s="552"/>
      <c r="BS39" s="73"/>
      <c r="BT39" s="552"/>
      <c r="BU39" s="676"/>
      <c r="BV39" s="561"/>
      <c r="BW39" s="260"/>
      <c r="BX39" s="260"/>
      <c r="BY39" s="552"/>
      <c r="BZ39" s="552"/>
      <c r="CA39" s="566"/>
      <c r="CC39" s="1002"/>
      <c r="CD39" s="1003"/>
    </row>
    <row r="40" spans="1:82" s="703" customFormat="1" ht="14.25" customHeight="1">
      <c r="A40" s="559"/>
      <c r="B40" s="637" t="s">
        <v>378</v>
      </c>
      <c r="C40" s="552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656"/>
      <c r="AO40" s="592"/>
      <c r="AP40" s="592"/>
      <c r="AQ40" s="657"/>
      <c r="AR40" s="592">
        <v>72</v>
      </c>
      <c r="AS40" s="592">
        <v>92</v>
      </c>
      <c r="AT40" s="592">
        <v>51</v>
      </c>
      <c r="AU40" s="657">
        <v>24</v>
      </c>
      <c r="AV40" s="656">
        <v>-95</v>
      </c>
      <c r="AW40" s="592">
        <v>-224</v>
      </c>
      <c r="AX40" s="592">
        <v>-134</v>
      </c>
      <c r="AY40" s="1142">
        <v>-91</v>
      </c>
      <c r="AZ40" s="1145">
        <v>-129</v>
      </c>
      <c r="BA40" s="592">
        <v>-110</v>
      </c>
      <c r="BB40" s="592">
        <v>-52</v>
      </c>
      <c r="BC40" s="1142">
        <v>31</v>
      </c>
      <c r="BD40" s="1145">
        <v>-81</v>
      </c>
      <c r="BE40" s="592"/>
      <c r="BF40" s="592"/>
      <c r="BG40" s="657"/>
      <c r="BH40" s="592"/>
      <c r="BI40" s="592"/>
      <c r="BJ40" s="592"/>
      <c r="BK40" s="657"/>
      <c r="BL40" s="571"/>
      <c r="BM40" s="642"/>
      <c r="BN40" s="567"/>
      <c r="BO40" s="567"/>
      <c r="BP40" s="567"/>
      <c r="BQ40" s="567"/>
      <c r="BR40" s="567"/>
      <c r="BS40" s="642"/>
      <c r="BT40" s="567"/>
      <c r="BU40" s="677"/>
      <c r="BV40" s="709">
        <v>255</v>
      </c>
      <c r="BW40" s="567">
        <f>SUM(AR40:AU40)</f>
        <v>239</v>
      </c>
      <c r="BX40" s="567"/>
      <c r="BY40" s="567"/>
      <c r="BZ40" s="567"/>
      <c r="CA40" s="638"/>
      <c r="CC40" s="1002"/>
      <c r="CD40" s="1003"/>
    </row>
    <row r="41" spans="1:82" s="703" customFormat="1" ht="14.25" customHeight="1">
      <c r="A41" s="559"/>
      <c r="B41" s="502" t="s">
        <v>290</v>
      </c>
      <c r="C41" s="552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73"/>
      <c r="AO41" s="636"/>
      <c r="AP41" s="636"/>
      <c r="AQ41" s="652"/>
      <c r="AR41" s="636"/>
      <c r="AS41" s="636">
        <f t="shared" ref="AS41" si="107">AS40/AR40-1</f>
        <v>0.27777777777777768</v>
      </c>
      <c r="AT41" s="636">
        <f t="shared" ref="AT41" si="108">AT40/AS40-1</f>
        <v>-0.44565217391304346</v>
      </c>
      <c r="AU41" s="652">
        <f t="shared" ref="AU41" si="109">AU40/AT40-1</f>
        <v>-0.52941176470588236</v>
      </c>
      <c r="AV41" s="655">
        <f>AV40/AU40-1</f>
        <v>-4.9583333333333339</v>
      </c>
      <c r="AW41" s="636">
        <f>AW40/AV40-1</f>
        <v>1.357894736842105</v>
      </c>
      <c r="AX41" s="636">
        <f t="shared" ref="AX41:AY41" si="110">AX40/AW40-1</f>
        <v>-0.4017857142857143</v>
      </c>
      <c r="AY41" s="1140">
        <f t="shared" si="110"/>
        <v>-0.32089552238805974</v>
      </c>
      <c r="AZ41" s="655">
        <f>AZ40/AY40-1</f>
        <v>0.41758241758241765</v>
      </c>
      <c r="BA41" s="636">
        <f>BA40/AZ40-1</f>
        <v>-0.1472868217054264</v>
      </c>
      <c r="BB41" s="636">
        <f>BB40/BA40-1</f>
        <v>-0.52727272727272734</v>
      </c>
      <c r="BC41" s="1140">
        <f t="shared" ref="BC41" si="111">BC40/BB40-1</f>
        <v>-1.5961538461538463</v>
      </c>
      <c r="BD41" s="655">
        <f>BD40/BC40-1</f>
        <v>-3.6129032258064515</v>
      </c>
      <c r="BE41" s="636"/>
      <c r="BF41" s="636"/>
      <c r="BG41" s="652"/>
      <c r="BH41" s="636"/>
      <c r="BI41" s="636"/>
      <c r="BJ41" s="636"/>
      <c r="BK41" s="652"/>
      <c r="BL41" s="1178"/>
      <c r="BM41" s="73"/>
      <c r="BN41" s="552"/>
      <c r="BO41" s="552"/>
      <c r="BP41" s="552"/>
      <c r="BQ41" s="552"/>
      <c r="BR41" s="552"/>
      <c r="BS41" s="73"/>
      <c r="BT41" s="552"/>
      <c r="BU41" s="676"/>
      <c r="BV41" s="561"/>
      <c r="BW41" s="567"/>
      <c r="BX41" s="260"/>
      <c r="BY41" s="552"/>
      <c r="BZ41" s="552"/>
      <c r="CA41" s="566"/>
      <c r="CC41" s="1002"/>
      <c r="CD41" s="1003"/>
    </row>
    <row r="42" spans="1:82" s="703" customFormat="1" ht="14.25" customHeight="1">
      <c r="A42" s="559"/>
      <c r="B42" s="563" t="s">
        <v>291</v>
      </c>
      <c r="C42" s="552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73"/>
      <c r="AO42" s="552"/>
      <c r="AP42" s="552"/>
      <c r="AQ42" s="566"/>
      <c r="AR42" s="636"/>
      <c r="AS42" s="636"/>
      <c r="AT42" s="636"/>
      <c r="AU42" s="652"/>
      <c r="AV42" s="655">
        <f t="shared" ref="AV42:BD42" si="112">AV40/AR40-1</f>
        <v>-2.3194444444444446</v>
      </c>
      <c r="AW42" s="636">
        <f t="shared" si="112"/>
        <v>-3.4347826086956523</v>
      </c>
      <c r="AX42" s="636">
        <f t="shared" si="112"/>
        <v>-3.6274509803921569</v>
      </c>
      <c r="AY42" s="1140">
        <f t="shared" si="112"/>
        <v>-4.7916666666666661</v>
      </c>
      <c r="AZ42" s="655">
        <f t="shared" si="112"/>
        <v>0.35789473684210527</v>
      </c>
      <c r="BA42" s="636">
        <f t="shared" si="112"/>
        <v>-0.5089285714285714</v>
      </c>
      <c r="BB42" s="636">
        <f t="shared" si="112"/>
        <v>-0.61194029850746268</v>
      </c>
      <c r="BC42" s="1140">
        <f t="shared" si="112"/>
        <v>-1.3406593406593408</v>
      </c>
      <c r="BD42" s="655">
        <f t="shared" si="112"/>
        <v>-0.37209302325581395</v>
      </c>
      <c r="BE42" s="552"/>
      <c r="BF42" s="552"/>
      <c r="BG42" s="566"/>
      <c r="BH42" s="552"/>
      <c r="BI42" s="552"/>
      <c r="BJ42" s="552"/>
      <c r="BK42" s="566"/>
      <c r="BL42" s="1178"/>
      <c r="BM42" s="73"/>
      <c r="BN42" s="552"/>
      <c r="BO42" s="552"/>
      <c r="BP42" s="552"/>
      <c r="BQ42" s="552"/>
      <c r="BR42" s="552"/>
      <c r="BS42" s="73"/>
      <c r="BT42" s="552"/>
      <c r="BU42" s="676"/>
      <c r="BV42" s="655"/>
      <c r="BW42" s="260"/>
      <c r="BX42" s="260"/>
      <c r="BY42" s="552"/>
      <c r="BZ42" s="552"/>
      <c r="CA42" s="566"/>
      <c r="CC42" s="1002"/>
      <c r="CD42" s="1003"/>
    </row>
    <row r="43" spans="1:82" s="703" customFormat="1" ht="14.25" customHeight="1">
      <c r="A43" s="559"/>
      <c r="B43" s="527" t="s">
        <v>313</v>
      </c>
      <c r="C43" s="639"/>
      <c r="D43" s="639"/>
      <c r="E43" s="639"/>
      <c r="F43" s="639"/>
      <c r="G43" s="639"/>
      <c r="H43" s="639"/>
      <c r="I43" s="639"/>
      <c r="J43" s="639"/>
      <c r="K43" s="639"/>
      <c r="L43" s="639"/>
      <c r="M43" s="639"/>
      <c r="N43" s="639"/>
      <c r="O43" s="639"/>
      <c r="P43" s="639"/>
      <c r="Q43" s="639"/>
      <c r="R43" s="639"/>
      <c r="S43" s="639"/>
      <c r="T43" s="639"/>
      <c r="U43" s="639"/>
      <c r="V43" s="639"/>
      <c r="W43" s="639"/>
      <c r="X43" s="639"/>
      <c r="Y43" s="639"/>
      <c r="Z43" s="639"/>
      <c r="AA43" s="639"/>
      <c r="AB43" s="639"/>
      <c r="AC43" s="639"/>
      <c r="AD43" s="639"/>
      <c r="AE43" s="639"/>
      <c r="AF43" s="639"/>
      <c r="AG43" s="639"/>
      <c r="AH43" s="639"/>
      <c r="AI43" s="639"/>
      <c r="AJ43" s="639"/>
      <c r="AK43" s="639"/>
      <c r="AL43" s="639"/>
      <c r="AM43" s="639"/>
      <c r="AN43" s="658"/>
      <c r="AO43" s="640"/>
      <c r="AP43" s="640"/>
      <c r="AQ43" s="659"/>
      <c r="AR43" s="640"/>
      <c r="AS43" s="640">
        <f t="shared" ref="AS43:AV43" si="113">AS40/AS35</f>
        <v>0.13218390804597702</v>
      </c>
      <c r="AT43" s="640">
        <f t="shared" si="113"/>
        <v>7.786259541984733E-2</v>
      </c>
      <c r="AU43" s="659">
        <f t="shared" si="113"/>
        <v>3.669724770642202E-2</v>
      </c>
      <c r="AV43" s="658">
        <f t="shared" si="113"/>
        <v>-0.17055655296229802</v>
      </c>
      <c r="AW43" s="640">
        <f t="shared" ref="AW43:AZ43" si="114">AW40/AW35</f>
        <v>-0.40433212996389889</v>
      </c>
      <c r="AX43" s="640">
        <f t="shared" si="114"/>
        <v>-0.20647149460708783</v>
      </c>
      <c r="AY43" s="659">
        <f t="shared" si="114"/>
        <v>-0.11151960784313726</v>
      </c>
      <c r="AZ43" s="658">
        <f t="shared" si="114"/>
        <v>-0.1489607390300231</v>
      </c>
      <c r="BA43" s="640">
        <f t="shared" ref="BA43:BD43" si="115">BA40/BA35</f>
        <v>-0.12585812356979406</v>
      </c>
      <c r="BB43" s="640">
        <f t="shared" si="115"/>
        <v>-5.8361391694725026E-2</v>
      </c>
      <c r="BC43" s="659">
        <f t="shared" si="115"/>
        <v>3.4870641169853771E-2</v>
      </c>
      <c r="BD43" s="658">
        <f t="shared" si="115"/>
        <v>-7.7884615384615385E-2</v>
      </c>
      <c r="BE43" s="640"/>
      <c r="BF43" s="640"/>
      <c r="BG43" s="659"/>
      <c r="BH43" s="640"/>
      <c r="BI43" s="640"/>
      <c r="BJ43" s="640"/>
      <c r="BK43" s="659"/>
      <c r="BL43" s="1178"/>
      <c r="BM43" s="648"/>
      <c r="BN43" s="649"/>
      <c r="BO43" s="649"/>
      <c r="BP43" s="649"/>
      <c r="BQ43" s="649"/>
      <c r="BR43" s="649"/>
      <c r="BS43" s="648"/>
      <c r="BT43" s="649"/>
      <c r="BU43" s="678"/>
      <c r="BV43" s="658"/>
      <c r="BW43" s="650"/>
      <c r="BX43" s="650"/>
      <c r="BY43" s="649"/>
      <c r="BZ43" s="649"/>
      <c r="CA43" s="651"/>
      <c r="CC43" s="1002"/>
      <c r="CD43" s="1003"/>
    </row>
    <row r="44" spans="1:82" s="703" customFormat="1" ht="14.25" customHeight="1">
      <c r="A44" s="559"/>
      <c r="B44" s="502"/>
      <c r="C44" s="552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636"/>
      <c r="AO44" s="636"/>
      <c r="AP44" s="636"/>
      <c r="AQ44" s="636"/>
      <c r="AR44" s="636"/>
      <c r="AS44" s="636"/>
      <c r="AT44" s="636"/>
      <c r="AU44" s="636"/>
      <c r="AV44" s="636"/>
      <c r="AW44" s="636"/>
      <c r="AX44" s="636"/>
      <c r="AY44" s="636"/>
      <c r="AZ44" s="636"/>
      <c r="BA44" s="636"/>
      <c r="BB44" s="636"/>
      <c r="BC44" s="636"/>
      <c r="BD44" s="636"/>
      <c r="BE44" s="636"/>
      <c r="BF44" s="636"/>
      <c r="BG44" s="636"/>
      <c r="BH44" s="636"/>
      <c r="BI44" s="636"/>
      <c r="BJ44" s="636"/>
      <c r="BK44" s="636"/>
      <c r="BL44" s="552"/>
      <c r="BM44" s="704"/>
      <c r="BN44" s="612"/>
      <c r="BO44" s="612"/>
      <c r="BP44" s="612"/>
      <c r="BQ44" s="612"/>
      <c r="BR44" s="612"/>
      <c r="BS44" s="612"/>
      <c r="BT44" s="612"/>
      <c r="BU44" s="705"/>
      <c r="BV44" s="636"/>
      <c r="BW44" s="564"/>
      <c r="BX44" s="564"/>
      <c r="BY44" s="612"/>
      <c r="BZ44" s="612"/>
      <c r="CA44" s="612"/>
      <c r="CC44" s="1002"/>
      <c r="CD44" s="1003"/>
    </row>
    <row r="45" spans="1:82" s="703" customFormat="1" ht="14.25" customHeight="1">
      <c r="A45" s="559"/>
      <c r="B45" s="631" t="s">
        <v>379</v>
      </c>
      <c r="C45" s="632"/>
      <c r="D45" s="632"/>
      <c r="E45" s="632"/>
      <c r="F45" s="632"/>
      <c r="G45" s="632"/>
      <c r="H45" s="632"/>
      <c r="I45" s="632"/>
      <c r="J45" s="632"/>
      <c r="K45" s="632"/>
      <c r="L45" s="632"/>
      <c r="M45" s="632"/>
      <c r="N45" s="632"/>
      <c r="O45" s="632"/>
      <c r="P45" s="632"/>
      <c r="Q45" s="632"/>
      <c r="R45" s="632"/>
      <c r="S45" s="632"/>
      <c r="T45" s="632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53"/>
      <c r="AO45" s="633"/>
      <c r="AP45" s="633"/>
      <c r="AQ45" s="654"/>
      <c r="AR45" s="633">
        <v>479</v>
      </c>
      <c r="AS45" s="633">
        <v>488</v>
      </c>
      <c r="AT45" s="633">
        <v>506</v>
      </c>
      <c r="AU45" s="654">
        <v>512</v>
      </c>
      <c r="AV45" s="653">
        <v>537</v>
      </c>
      <c r="AW45" s="633">
        <v>537</v>
      </c>
      <c r="AX45" s="633">
        <v>537</v>
      </c>
      <c r="AY45" s="654">
        <v>550</v>
      </c>
      <c r="AZ45" s="653">
        <v>534</v>
      </c>
      <c r="BA45" s="663"/>
      <c r="BB45" s="663"/>
      <c r="BC45" s="664"/>
      <c r="BD45" s="653"/>
      <c r="BE45" s="663"/>
      <c r="BF45" s="663"/>
      <c r="BG45" s="664"/>
      <c r="BH45" s="663"/>
      <c r="BI45" s="663"/>
      <c r="BJ45" s="663"/>
      <c r="BK45" s="664"/>
      <c r="BL45" s="571"/>
      <c r="BM45" s="646"/>
      <c r="BN45" s="647"/>
      <c r="BO45" s="647"/>
      <c r="BP45" s="647"/>
      <c r="BQ45" s="647"/>
      <c r="BR45" s="647"/>
      <c r="BS45" s="646"/>
      <c r="BT45" s="647"/>
      <c r="BU45" s="675"/>
      <c r="BV45" s="707">
        <v>2010</v>
      </c>
      <c r="BW45" s="634">
        <f>SUM(AR45:AU45)</f>
        <v>1985</v>
      </c>
      <c r="BX45" s="634">
        <f>SUM(AV45:AY45)</f>
        <v>2161</v>
      </c>
      <c r="BY45" s="634">
        <f>SUM(AZ45:BC45)</f>
        <v>534</v>
      </c>
      <c r="BZ45" s="634"/>
      <c r="CA45" s="635"/>
      <c r="CC45" s="1002"/>
      <c r="CD45" s="1003"/>
    </row>
    <row r="46" spans="1:82" s="703" customFormat="1" ht="14.25" customHeight="1">
      <c r="A46" s="559"/>
      <c r="B46" s="502" t="s">
        <v>290</v>
      </c>
      <c r="C46" s="552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73"/>
      <c r="AO46" s="636"/>
      <c r="AP46" s="636"/>
      <c r="AQ46" s="652"/>
      <c r="AR46" s="636"/>
      <c r="AS46" s="636">
        <f>AS45/AR45-1</f>
        <v>1.8789144050104456E-2</v>
      </c>
      <c r="AT46" s="636">
        <f t="shared" ref="AT46" si="116">AT45/AS45-1</f>
        <v>3.688524590163933E-2</v>
      </c>
      <c r="AU46" s="652">
        <f t="shared" ref="AU46" si="117">AU45/AT45-1</f>
        <v>1.1857707509881354E-2</v>
      </c>
      <c r="AV46" s="655">
        <f t="shared" ref="AV46" si="118">AV45/AU45-1</f>
        <v>4.8828125E-2</v>
      </c>
      <c r="AW46" s="636">
        <f t="shared" ref="AW46:AZ46" si="119">AW45/AV45-1</f>
        <v>0</v>
      </c>
      <c r="AX46" s="636">
        <f t="shared" si="119"/>
        <v>0</v>
      </c>
      <c r="AY46" s="1140">
        <f t="shared" si="119"/>
        <v>2.4208566108007368E-2</v>
      </c>
      <c r="AZ46" s="655">
        <f t="shared" si="119"/>
        <v>-2.9090909090909056E-2</v>
      </c>
      <c r="BA46" s="636"/>
      <c r="BB46" s="636"/>
      <c r="BC46" s="652"/>
      <c r="BD46" s="655"/>
      <c r="BE46" s="636"/>
      <c r="BF46" s="636"/>
      <c r="BG46" s="652"/>
      <c r="BH46" s="636"/>
      <c r="BI46" s="636"/>
      <c r="BJ46" s="636"/>
      <c r="BK46" s="652"/>
      <c r="BL46" s="1178"/>
      <c r="BM46" s="73"/>
      <c r="BN46" s="552"/>
      <c r="BO46" s="552"/>
      <c r="BP46" s="552"/>
      <c r="BQ46" s="552"/>
      <c r="BR46" s="552"/>
      <c r="BS46" s="73"/>
      <c r="BT46" s="552"/>
      <c r="BU46" s="676"/>
      <c r="BV46" s="655"/>
      <c r="BW46" s="260"/>
      <c r="BX46" s="260"/>
      <c r="BY46" s="552"/>
      <c r="BZ46" s="552"/>
      <c r="CA46" s="566"/>
      <c r="CC46" s="1002"/>
      <c r="CD46" s="1003"/>
    </row>
    <row r="47" spans="1:82" s="703" customFormat="1" ht="14.25" customHeight="1">
      <c r="A47" s="559"/>
      <c r="B47" s="563" t="s">
        <v>291</v>
      </c>
      <c r="C47" s="552"/>
      <c r="D47" s="552"/>
      <c r="E47" s="552"/>
      <c r="F47" s="552"/>
      <c r="G47" s="552"/>
      <c r="H47" s="552"/>
      <c r="I47" s="552"/>
      <c r="J47" s="552"/>
      <c r="K47" s="552"/>
      <c r="L47" s="552"/>
      <c r="M47" s="552"/>
      <c r="N47" s="552"/>
      <c r="O47" s="552"/>
      <c r="P47" s="552"/>
      <c r="Q47" s="552"/>
      <c r="R47" s="552"/>
      <c r="S47" s="552"/>
      <c r="T47" s="552"/>
      <c r="U47" s="552"/>
      <c r="V47" s="552"/>
      <c r="W47" s="552"/>
      <c r="X47" s="552"/>
      <c r="Y47" s="552"/>
      <c r="Z47" s="552"/>
      <c r="AA47" s="552"/>
      <c r="AB47" s="552"/>
      <c r="AC47" s="552"/>
      <c r="AD47" s="552"/>
      <c r="AE47" s="552"/>
      <c r="AF47" s="552"/>
      <c r="AG47" s="552"/>
      <c r="AH47" s="552"/>
      <c r="AI47" s="552"/>
      <c r="AJ47" s="552"/>
      <c r="AK47" s="552"/>
      <c r="AL47" s="552"/>
      <c r="AM47" s="552"/>
      <c r="AN47" s="73"/>
      <c r="AO47" s="552"/>
      <c r="AP47" s="552"/>
      <c r="AQ47" s="566"/>
      <c r="AR47" s="636"/>
      <c r="AS47" s="636"/>
      <c r="AT47" s="636"/>
      <c r="AU47" s="652"/>
      <c r="AV47" s="655">
        <f t="shared" ref="AV47" si="120">AV45/AR45-1</f>
        <v>0.12108559498956151</v>
      </c>
      <c r="AW47" s="636">
        <f t="shared" ref="AW47:AZ47" si="121">AW45/AS45-1</f>
        <v>0.10040983606557385</v>
      </c>
      <c r="AX47" s="636">
        <f t="shared" si="121"/>
        <v>6.1264822134387442E-2</v>
      </c>
      <c r="AY47" s="1140">
        <f t="shared" si="121"/>
        <v>7.421875E-2</v>
      </c>
      <c r="AZ47" s="655">
        <f t="shared" si="121"/>
        <v>-5.5865921787709993E-3</v>
      </c>
      <c r="BA47" s="636"/>
      <c r="BB47" s="636"/>
      <c r="BC47" s="652"/>
      <c r="BD47" s="655"/>
      <c r="BE47" s="636"/>
      <c r="BF47" s="636"/>
      <c r="BG47" s="652"/>
      <c r="BH47" s="636"/>
      <c r="BI47" s="636"/>
      <c r="BJ47" s="636"/>
      <c r="BK47" s="652"/>
      <c r="BL47" s="1178"/>
      <c r="BM47" s="73"/>
      <c r="BN47" s="552"/>
      <c r="BO47" s="552"/>
      <c r="BP47" s="552"/>
      <c r="BQ47" s="552"/>
      <c r="BR47" s="552"/>
      <c r="BS47" s="73"/>
      <c r="BT47" s="552"/>
      <c r="BU47" s="676"/>
      <c r="BV47" s="708"/>
      <c r="BW47" s="629">
        <f>BW45/BV45-1</f>
        <v>-1.2437810945273631E-2</v>
      </c>
      <c r="BX47" s="629">
        <f>BX45/BW45-1</f>
        <v>8.8664987405541629E-2</v>
      </c>
      <c r="BY47" s="629">
        <f>BY45/BX45-1</f>
        <v>-0.75289217954650622</v>
      </c>
      <c r="BZ47" s="629"/>
      <c r="CA47" s="665"/>
      <c r="CC47" s="1002"/>
      <c r="CD47" s="1003"/>
    </row>
    <row r="48" spans="1:82" s="703" customFormat="1" ht="14.25" customHeight="1">
      <c r="A48" s="559"/>
      <c r="B48" s="502" t="s">
        <v>292</v>
      </c>
      <c r="C48" s="552"/>
      <c r="D48" s="552"/>
      <c r="E48" s="552"/>
      <c r="F48" s="552"/>
      <c r="G48" s="552"/>
      <c r="H48" s="552"/>
      <c r="I48" s="552"/>
      <c r="J48" s="552"/>
      <c r="K48" s="552"/>
      <c r="L48" s="552"/>
      <c r="M48" s="552"/>
      <c r="N48" s="552"/>
      <c r="O48" s="552"/>
      <c r="P48" s="552"/>
      <c r="Q48" s="552"/>
      <c r="R48" s="552"/>
      <c r="S48" s="552"/>
      <c r="T48" s="552"/>
      <c r="U48" s="552"/>
      <c r="V48" s="552"/>
      <c r="W48" s="552"/>
      <c r="X48" s="552"/>
      <c r="Y48" s="552"/>
      <c r="Z48" s="552"/>
      <c r="AA48" s="552"/>
      <c r="AB48" s="552"/>
      <c r="AC48" s="552"/>
      <c r="AD48" s="552"/>
      <c r="AE48" s="552"/>
      <c r="AF48" s="552"/>
      <c r="AG48" s="552"/>
      <c r="AH48" s="552"/>
      <c r="AI48" s="552"/>
      <c r="AJ48" s="552"/>
      <c r="AK48" s="552"/>
      <c r="AL48" s="552"/>
      <c r="AM48" s="552"/>
      <c r="AN48" s="655"/>
      <c r="AO48" s="636"/>
      <c r="AP48" s="636"/>
      <c r="AQ48" s="652"/>
      <c r="AR48" s="636">
        <f t="shared" ref="AR48:AW48" si="122">AR45/AR$78</f>
        <v>3.7477505672482592E-2</v>
      </c>
      <c r="AS48" s="636">
        <f t="shared" si="122"/>
        <v>3.6983705949223192E-2</v>
      </c>
      <c r="AT48" s="636">
        <f t="shared" si="122"/>
        <v>3.4980988593155897E-2</v>
      </c>
      <c r="AU48" s="652">
        <f t="shared" si="122"/>
        <v>3.4330159581601183E-2</v>
      </c>
      <c r="AV48" s="655">
        <f t="shared" si="122"/>
        <v>3.919135892570428E-2</v>
      </c>
      <c r="AW48" s="636">
        <f t="shared" si="122"/>
        <v>3.9680780314786078E-2</v>
      </c>
      <c r="AX48" s="636">
        <f t="shared" ref="AX48:AZ48" si="123">AX45/AX$78</f>
        <v>3.4034731905184433E-2</v>
      </c>
      <c r="AY48" s="1140">
        <f t="shared" si="123"/>
        <v>3.3589837547331136E-2</v>
      </c>
      <c r="AZ48" s="655">
        <f t="shared" si="123"/>
        <v>3.6090835360908353E-2</v>
      </c>
      <c r="BA48" s="636"/>
      <c r="BB48" s="636"/>
      <c r="BC48" s="652"/>
      <c r="BD48" s="655"/>
      <c r="BE48" s="636"/>
      <c r="BF48" s="636"/>
      <c r="BG48" s="652"/>
      <c r="BH48" s="636"/>
      <c r="BI48" s="636"/>
      <c r="BJ48" s="636"/>
      <c r="BK48" s="652"/>
      <c r="BL48" s="1178"/>
      <c r="BM48" s="73"/>
      <c r="BN48" s="552"/>
      <c r="BO48" s="552"/>
      <c r="BP48" s="552"/>
      <c r="BQ48" s="552"/>
      <c r="BR48" s="552"/>
      <c r="BS48" s="73"/>
      <c r="BT48" s="552"/>
      <c r="BU48" s="676"/>
      <c r="BV48" s="655"/>
      <c r="BW48" s="636">
        <f>BW45/BW$78</f>
        <v>3.585945262397254E-2</v>
      </c>
      <c r="BX48" s="636">
        <f>BX45/BX$78</f>
        <v>3.6388435179416367E-2</v>
      </c>
      <c r="BY48" s="636">
        <f>BY45/BY$78</f>
        <v>8.5084686349803217E-3</v>
      </c>
      <c r="BZ48" s="636"/>
      <c r="CA48" s="652"/>
      <c r="CC48" s="1002"/>
      <c r="CD48" s="1003"/>
    </row>
    <row r="49" spans="1:82" s="703" customFormat="1" ht="14.25" customHeight="1">
      <c r="A49" s="559"/>
      <c r="B49" s="73"/>
      <c r="C49" s="552"/>
      <c r="D49" s="552"/>
      <c r="E49" s="552"/>
      <c r="F49" s="552"/>
      <c r="G49" s="552"/>
      <c r="H49" s="552"/>
      <c r="I49" s="552"/>
      <c r="J49" s="552"/>
      <c r="K49" s="552"/>
      <c r="L49" s="552"/>
      <c r="M49" s="552"/>
      <c r="N49" s="552"/>
      <c r="O49" s="552"/>
      <c r="P49" s="552"/>
      <c r="Q49" s="552"/>
      <c r="R49" s="552"/>
      <c r="S49" s="552"/>
      <c r="T49" s="552"/>
      <c r="U49" s="552"/>
      <c r="V49" s="552"/>
      <c r="W49" s="552"/>
      <c r="X49" s="552"/>
      <c r="Y49" s="552"/>
      <c r="Z49" s="552"/>
      <c r="AA49" s="552"/>
      <c r="AB49" s="552"/>
      <c r="AC49" s="552"/>
      <c r="AD49" s="552"/>
      <c r="AE49" s="552"/>
      <c r="AF49" s="552"/>
      <c r="AG49" s="552"/>
      <c r="AH49" s="552"/>
      <c r="AI49" s="552"/>
      <c r="AJ49" s="552"/>
      <c r="AK49" s="552"/>
      <c r="AL49" s="552"/>
      <c r="AM49" s="552"/>
      <c r="AN49" s="73"/>
      <c r="AO49" s="552"/>
      <c r="AP49" s="552"/>
      <c r="AQ49" s="566"/>
      <c r="AR49" s="552"/>
      <c r="AS49" s="552"/>
      <c r="AT49" s="552"/>
      <c r="AU49" s="566"/>
      <c r="AV49" s="73"/>
      <c r="AW49" s="552"/>
      <c r="AX49" s="552"/>
      <c r="AY49" s="1141"/>
      <c r="AZ49" s="73"/>
      <c r="BA49" s="552"/>
      <c r="BB49" s="552"/>
      <c r="BC49" s="566"/>
      <c r="BD49" s="73"/>
      <c r="BE49" s="552"/>
      <c r="BF49" s="552"/>
      <c r="BG49" s="566"/>
      <c r="BH49" s="552"/>
      <c r="BI49" s="552"/>
      <c r="BJ49" s="552"/>
      <c r="BK49" s="566"/>
      <c r="BL49" s="1178"/>
      <c r="BM49" s="73"/>
      <c r="BN49" s="552"/>
      <c r="BO49" s="552"/>
      <c r="BP49" s="552"/>
      <c r="BQ49" s="552"/>
      <c r="BR49" s="552"/>
      <c r="BS49" s="73"/>
      <c r="BT49" s="552"/>
      <c r="BU49" s="676"/>
      <c r="BV49" s="561"/>
      <c r="BW49" s="260"/>
      <c r="BX49" s="260"/>
      <c r="BY49" s="552"/>
      <c r="BZ49" s="552"/>
      <c r="CA49" s="566"/>
      <c r="CC49" s="1002"/>
      <c r="CD49" s="1003"/>
    </row>
    <row r="50" spans="1:82" s="703" customFormat="1" ht="14.25" customHeight="1">
      <c r="A50" s="559"/>
      <c r="B50" s="637" t="s">
        <v>380</v>
      </c>
      <c r="C50" s="552"/>
      <c r="D50" s="552"/>
      <c r="E50" s="552"/>
      <c r="F50" s="552"/>
      <c r="G50" s="552"/>
      <c r="H50" s="552"/>
      <c r="I50" s="552"/>
      <c r="J50" s="552"/>
      <c r="K50" s="552"/>
      <c r="L50" s="552"/>
      <c r="M50" s="552"/>
      <c r="N50" s="552"/>
      <c r="O50" s="552"/>
      <c r="P50" s="552"/>
      <c r="Q50" s="552"/>
      <c r="R50" s="552"/>
      <c r="S50" s="552"/>
      <c r="T50" s="552"/>
      <c r="U50" s="552"/>
      <c r="V50" s="552"/>
      <c r="W50" s="552"/>
      <c r="X50" s="552"/>
      <c r="Y50" s="552"/>
      <c r="Z50" s="552"/>
      <c r="AA50" s="552"/>
      <c r="AB50" s="552"/>
      <c r="AC50" s="552"/>
      <c r="AD50" s="552"/>
      <c r="AE50" s="552"/>
      <c r="AF50" s="552"/>
      <c r="AG50" s="552"/>
      <c r="AH50" s="552"/>
      <c r="AI50" s="552"/>
      <c r="AJ50" s="552"/>
      <c r="AK50" s="552"/>
      <c r="AL50" s="552"/>
      <c r="AM50" s="552"/>
      <c r="AN50" s="656"/>
      <c r="AO50" s="592"/>
      <c r="AP50" s="592"/>
      <c r="AQ50" s="657"/>
      <c r="AR50" s="592">
        <v>15</v>
      </c>
      <c r="AS50" s="592">
        <v>22</v>
      </c>
      <c r="AT50" s="592">
        <v>97</v>
      </c>
      <c r="AU50" s="657">
        <v>79</v>
      </c>
      <c r="AV50" s="656">
        <v>85</v>
      </c>
      <c r="AW50" s="592">
        <v>97</v>
      </c>
      <c r="AX50" s="592">
        <v>115</v>
      </c>
      <c r="AY50" s="1142">
        <v>103</v>
      </c>
      <c r="AZ50" s="1145">
        <v>95</v>
      </c>
      <c r="BA50" s="592"/>
      <c r="BB50" s="592"/>
      <c r="BC50" s="657"/>
      <c r="BD50" s="1145"/>
      <c r="BE50" s="592"/>
      <c r="BF50" s="592"/>
      <c r="BG50" s="657"/>
      <c r="BH50" s="592"/>
      <c r="BI50" s="592"/>
      <c r="BJ50" s="592"/>
      <c r="BK50" s="657"/>
      <c r="BL50" s="571"/>
      <c r="BM50" s="642"/>
      <c r="BN50" s="567"/>
      <c r="BO50" s="567"/>
      <c r="BP50" s="567"/>
      <c r="BQ50" s="567"/>
      <c r="BR50" s="567"/>
      <c r="BS50" s="642"/>
      <c r="BT50" s="567"/>
      <c r="BU50" s="677"/>
      <c r="BV50" s="709">
        <v>164</v>
      </c>
      <c r="BW50" s="567">
        <f>SUM(AR50:AU50)</f>
        <v>213</v>
      </c>
      <c r="BX50" s="567"/>
      <c r="BY50" s="567"/>
      <c r="BZ50" s="567"/>
      <c r="CA50" s="638"/>
      <c r="CC50" s="1002"/>
      <c r="CD50" s="1003"/>
    </row>
    <row r="51" spans="1:82" s="703" customFormat="1" ht="14.25" customHeight="1">
      <c r="A51" s="559"/>
      <c r="B51" s="502" t="s">
        <v>290</v>
      </c>
      <c r="C51" s="552"/>
      <c r="D51" s="552"/>
      <c r="E51" s="552"/>
      <c r="F51" s="552"/>
      <c r="G51" s="552"/>
      <c r="H51" s="552"/>
      <c r="I51" s="552"/>
      <c r="J51" s="552"/>
      <c r="K51" s="552"/>
      <c r="L51" s="552"/>
      <c r="M51" s="552"/>
      <c r="N51" s="552"/>
      <c r="O51" s="552"/>
      <c r="P51" s="552"/>
      <c r="Q51" s="552"/>
      <c r="R51" s="552"/>
      <c r="S51" s="552"/>
      <c r="T51" s="552"/>
      <c r="U51" s="552"/>
      <c r="V51" s="552"/>
      <c r="W51" s="552"/>
      <c r="X51" s="552"/>
      <c r="Y51" s="552"/>
      <c r="Z51" s="552"/>
      <c r="AA51" s="552"/>
      <c r="AB51" s="552"/>
      <c r="AC51" s="552"/>
      <c r="AD51" s="552"/>
      <c r="AE51" s="552"/>
      <c r="AF51" s="552"/>
      <c r="AG51" s="552"/>
      <c r="AH51" s="552"/>
      <c r="AI51" s="552"/>
      <c r="AJ51" s="552"/>
      <c r="AK51" s="552"/>
      <c r="AL51" s="552"/>
      <c r="AM51" s="552"/>
      <c r="AN51" s="73"/>
      <c r="AO51" s="636"/>
      <c r="AP51" s="636"/>
      <c r="AQ51" s="652"/>
      <c r="AR51" s="636"/>
      <c r="AS51" s="636">
        <f t="shared" ref="AS51" si="124">AS50/AR50-1</f>
        <v>0.46666666666666656</v>
      </c>
      <c r="AT51" s="636">
        <f t="shared" ref="AT51" si="125">AT50/AS50-1</f>
        <v>3.4090909090909092</v>
      </c>
      <c r="AU51" s="652">
        <f t="shared" ref="AU51" si="126">AU50/AT50-1</f>
        <v>-0.18556701030927836</v>
      </c>
      <c r="AV51" s="655">
        <f>AV50/AU50-1</f>
        <v>7.5949367088607556E-2</v>
      </c>
      <c r="AW51" s="636">
        <f>AW50/AV50-1</f>
        <v>0.14117647058823524</v>
      </c>
      <c r="AX51" s="636">
        <f t="shared" ref="AX51:AY51" si="127">AX50/AW50-1</f>
        <v>0.18556701030927836</v>
      </c>
      <c r="AY51" s="1140">
        <f t="shared" si="127"/>
        <v>-0.10434782608695647</v>
      </c>
      <c r="AZ51" s="655">
        <f>AZ50/AY50-1</f>
        <v>-7.7669902912621325E-2</v>
      </c>
      <c r="BA51" s="636"/>
      <c r="BB51" s="636"/>
      <c r="BC51" s="652"/>
      <c r="BD51" s="655"/>
      <c r="BE51" s="636"/>
      <c r="BF51" s="636"/>
      <c r="BG51" s="652"/>
      <c r="BH51" s="636"/>
      <c r="BI51" s="636"/>
      <c r="BJ51" s="636"/>
      <c r="BK51" s="652"/>
      <c r="BL51" s="1178"/>
      <c r="BM51" s="73"/>
      <c r="BN51" s="552"/>
      <c r="BO51" s="552"/>
      <c r="BP51" s="552"/>
      <c r="BQ51" s="552"/>
      <c r="BR51" s="552"/>
      <c r="BS51" s="73"/>
      <c r="BT51" s="552"/>
      <c r="BU51" s="676"/>
      <c r="BV51" s="561"/>
      <c r="BW51" s="260"/>
      <c r="BX51" s="260"/>
      <c r="BY51" s="552"/>
      <c r="BZ51" s="552"/>
      <c r="CA51" s="566"/>
      <c r="CC51" s="1002"/>
      <c r="CD51" s="1003"/>
    </row>
    <row r="52" spans="1:82" s="703" customFormat="1" ht="14.25" customHeight="1">
      <c r="A52" s="559"/>
      <c r="B52" s="563" t="s">
        <v>291</v>
      </c>
      <c r="C52" s="552"/>
      <c r="D52" s="552"/>
      <c r="E52" s="552"/>
      <c r="F52" s="552"/>
      <c r="G52" s="552"/>
      <c r="H52" s="552"/>
      <c r="I52" s="552"/>
      <c r="J52" s="552"/>
      <c r="K52" s="552"/>
      <c r="L52" s="552"/>
      <c r="M52" s="552"/>
      <c r="N52" s="552"/>
      <c r="O52" s="552"/>
      <c r="P52" s="552"/>
      <c r="Q52" s="552"/>
      <c r="R52" s="552"/>
      <c r="S52" s="552"/>
      <c r="T52" s="552"/>
      <c r="U52" s="552"/>
      <c r="V52" s="552"/>
      <c r="W52" s="552"/>
      <c r="X52" s="552"/>
      <c r="Y52" s="552"/>
      <c r="Z52" s="552"/>
      <c r="AA52" s="552"/>
      <c r="AB52" s="552"/>
      <c r="AC52" s="552"/>
      <c r="AD52" s="552"/>
      <c r="AE52" s="552"/>
      <c r="AF52" s="552"/>
      <c r="AG52" s="552"/>
      <c r="AH52" s="552"/>
      <c r="AI52" s="552"/>
      <c r="AJ52" s="552"/>
      <c r="AK52" s="552"/>
      <c r="AL52" s="552"/>
      <c r="AM52" s="552"/>
      <c r="AN52" s="73"/>
      <c r="AO52" s="552"/>
      <c r="AP52" s="552"/>
      <c r="AQ52" s="566"/>
      <c r="AR52" s="636"/>
      <c r="AS52" s="636"/>
      <c r="AT52" s="636"/>
      <c r="AU52" s="652"/>
      <c r="AV52" s="655">
        <f>AV50/AR50-1</f>
        <v>4.666666666666667</v>
      </c>
      <c r="AW52" s="636">
        <f>AW50/AS50-1</f>
        <v>3.4090909090909092</v>
      </c>
      <c r="AX52" s="636">
        <f>AX50/AT50-1</f>
        <v>0.18556701030927836</v>
      </c>
      <c r="AY52" s="1140">
        <f>AY50/AU50-1</f>
        <v>0.30379746835443044</v>
      </c>
      <c r="AZ52" s="655">
        <f>AZ50/AV50-1</f>
        <v>0.11764705882352944</v>
      </c>
      <c r="BA52" s="552"/>
      <c r="BB52" s="552"/>
      <c r="BC52" s="566"/>
      <c r="BD52" s="655"/>
      <c r="BE52" s="552"/>
      <c r="BF52" s="552"/>
      <c r="BG52" s="566"/>
      <c r="BH52" s="552"/>
      <c r="BI52" s="552"/>
      <c r="BJ52" s="552"/>
      <c r="BK52" s="566"/>
      <c r="BL52" s="1178"/>
      <c r="BM52" s="73"/>
      <c r="BN52" s="552"/>
      <c r="BO52" s="552"/>
      <c r="BP52" s="552"/>
      <c r="BQ52" s="552"/>
      <c r="BR52" s="552"/>
      <c r="BS52" s="73"/>
      <c r="BT52" s="552"/>
      <c r="BU52" s="676"/>
      <c r="BV52" s="655"/>
      <c r="BW52" s="260"/>
      <c r="BX52" s="260"/>
      <c r="BY52" s="552"/>
      <c r="BZ52" s="552"/>
      <c r="CA52" s="566"/>
      <c r="CC52" s="1002"/>
      <c r="CD52" s="1003"/>
    </row>
    <row r="53" spans="1:82" s="703" customFormat="1" ht="14.25" customHeight="1">
      <c r="A53" s="559"/>
      <c r="B53" s="527" t="s">
        <v>313</v>
      </c>
      <c r="C53" s="639"/>
      <c r="D53" s="639"/>
      <c r="E53" s="639"/>
      <c r="F53" s="639"/>
      <c r="G53" s="639"/>
      <c r="H53" s="639"/>
      <c r="I53" s="639"/>
      <c r="J53" s="639"/>
      <c r="K53" s="639"/>
      <c r="L53" s="639"/>
      <c r="M53" s="639"/>
      <c r="N53" s="639"/>
      <c r="O53" s="639"/>
      <c r="P53" s="639"/>
      <c r="Q53" s="639"/>
      <c r="R53" s="639"/>
      <c r="S53" s="639"/>
      <c r="T53" s="639"/>
      <c r="U53" s="639"/>
      <c r="V53" s="639"/>
      <c r="W53" s="639"/>
      <c r="X53" s="639"/>
      <c r="Y53" s="639"/>
      <c r="Z53" s="639"/>
      <c r="AA53" s="639"/>
      <c r="AB53" s="639"/>
      <c r="AC53" s="639"/>
      <c r="AD53" s="639"/>
      <c r="AE53" s="639"/>
      <c r="AF53" s="639"/>
      <c r="AG53" s="639"/>
      <c r="AH53" s="639"/>
      <c r="AI53" s="639"/>
      <c r="AJ53" s="639"/>
      <c r="AK53" s="639"/>
      <c r="AL53" s="639"/>
      <c r="AM53" s="639"/>
      <c r="AN53" s="658"/>
      <c r="AO53" s="640"/>
      <c r="AP53" s="640"/>
      <c r="AQ53" s="659"/>
      <c r="AR53" s="640"/>
      <c r="AS53" s="640">
        <f t="shared" ref="AS53:AV53" si="128">AS50/AS45</f>
        <v>4.5081967213114756E-2</v>
      </c>
      <c r="AT53" s="640">
        <f t="shared" si="128"/>
        <v>0.19169960474308301</v>
      </c>
      <c r="AU53" s="659">
        <f t="shared" si="128"/>
        <v>0.154296875</v>
      </c>
      <c r="AV53" s="658">
        <f t="shared" si="128"/>
        <v>0.15828677839851024</v>
      </c>
      <c r="AW53" s="640">
        <f t="shared" ref="AW53:AZ53" si="129">AW50/AW45</f>
        <v>0.18063314711359404</v>
      </c>
      <c r="AX53" s="640">
        <f t="shared" si="129"/>
        <v>0.21415270018621974</v>
      </c>
      <c r="AY53" s="659">
        <f t="shared" si="129"/>
        <v>0.18727272727272729</v>
      </c>
      <c r="AZ53" s="658">
        <f t="shared" si="129"/>
        <v>0.17790262172284643</v>
      </c>
      <c r="BA53" s="640"/>
      <c r="BB53" s="640"/>
      <c r="BC53" s="659"/>
      <c r="BD53" s="658"/>
      <c r="BE53" s="640"/>
      <c r="BF53" s="640"/>
      <c r="BG53" s="659"/>
      <c r="BH53" s="640"/>
      <c r="BI53" s="640"/>
      <c r="BJ53" s="640"/>
      <c r="BK53" s="659"/>
      <c r="BL53" s="1178"/>
      <c r="BM53" s="648"/>
      <c r="BN53" s="649"/>
      <c r="BO53" s="649"/>
      <c r="BP53" s="649"/>
      <c r="BQ53" s="649"/>
      <c r="BR53" s="649"/>
      <c r="BS53" s="648"/>
      <c r="BT53" s="649"/>
      <c r="BU53" s="678"/>
      <c r="BV53" s="658"/>
      <c r="BW53" s="650"/>
      <c r="BX53" s="650"/>
      <c r="BY53" s="649"/>
      <c r="BZ53" s="649"/>
      <c r="CA53" s="651"/>
      <c r="CC53" s="1002"/>
      <c r="CD53" s="1003"/>
    </row>
    <row r="54" spans="1:82" s="703" customFormat="1" ht="14.25" customHeight="1">
      <c r="A54" s="559"/>
      <c r="B54" s="502"/>
      <c r="C54" s="552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552"/>
      <c r="AZ54" s="552"/>
      <c r="BA54" s="552"/>
      <c r="BB54" s="552"/>
      <c r="BC54" s="552"/>
      <c r="BD54" s="552"/>
      <c r="BE54" s="552"/>
      <c r="BF54" s="552"/>
      <c r="BG54" s="552"/>
      <c r="BH54" s="552"/>
      <c r="BI54" s="552"/>
      <c r="BJ54" s="552"/>
      <c r="BK54" s="552"/>
      <c r="BL54" s="552"/>
      <c r="BM54" s="73"/>
      <c r="BN54" s="552"/>
      <c r="BO54" s="552"/>
      <c r="BP54" s="552"/>
      <c r="BQ54" s="552"/>
      <c r="BR54" s="552"/>
      <c r="BS54" s="612"/>
      <c r="BT54" s="552"/>
      <c r="BU54" s="628"/>
      <c r="BV54" s="260"/>
      <c r="BW54" s="260"/>
      <c r="BX54" s="260"/>
      <c r="BY54" s="612"/>
      <c r="BZ54" s="612"/>
      <c r="CA54" s="612"/>
      <c r="CC54" s="1002"/>
      <c r="CD54" s="1003"/>
    </row>
    <row r="55" spans="1:82" s="700" customFormat="1" ht="14.25" customHeight="1">
      <c r="A55" s="559"/>
      <c r="B55" s="631" t="s">
        <v>372</v>
      </c>
      <c r="C55" s="632"/>
      <c r="D55" s="632"/>
      <c r="E55" s="632"/>
      <c r="F55" s="632"/>
      <c r="G55" s="632"/>
      <c r="H55" s="632"/>
      <c r="I55" s="632"/>
      <c r="J55" s="632"/>
      <c r="K55" s="632"/>
      <c r="L55" s="632"/>
      <c r="M55" s="632"/>
      <c r="N55" s="632"/>
      <c r="O55" s="632"/>
      <c r="P55" s="632"/>
      <c r="Q55" s="632"/>
      <c r="R55" s="632"/>
      <c r="S55" s="632"/>
      <c r="T55" s="632"/>
      <c r="U55" s="632"/>
      <c r="V55" s="632"/>
      <c r="W55" s="632"/>
      <c r="X55" s="632"/>
      <c r="Y55" s="632"/>
      <c r="Z55" s="632"/>
      <c r="AA55" s="632"/>
      <c r="AB55" s="632"/>
      <c r="AC55" s="632"/>
      <c r="AD55" s="632"/>
      <c r="AE55" s="632"/>
      <c r="AF55" s="632"/>
      <c r="AG55" s="632"/>
      <c r="AH55" s="632"/>
      <c r="AI55" s="632"/>
      <c r="AJ55" s="632"/>
      <c r="AK55" s="632"/>
      <c r="AL55" s="632"/>
      <c r="AM55" s="632"/>
      <c r="AN55" s="653"/>
      <c r="AO55" s="633"/>
      <c r="AP55" s="633"/>
      <c r="AQ55" s="654"/>
      <c r="AR55" s="633"/>
      <c r="AS55" s="633"/>
      <c r="AT55" s="633"/>
      <c r="AU55" s="654"/>
      <c r="AV55" s="653">
        <v>359</v>
      </c>
      <c r="AW55" s="633">
        <v>465</v>
      </c>
      <c r="AX55" s="633">
        <v>425</v>
      </c>
      <c r="AY55" s="654">
        <v>420</v>
      </c>
      <c r="AZ55" s="653">
        <v>425</v>
      </c>
      <c r="BA55" s="633">
        <v>440</v>
      </c>
      <c r="BB55" s="633">
        <v>469</v>
      </c>
      <c r="BC55" s="654">
        <v>568</v>
      </c>
      <c r="BD55" s="653">
        <v>498</v>
      </c>
      <c r="BE55" s="663">
        <f>'Segment Detail'!AJ11</f>
        <v>487.93344452808606</v>
      </c>
      <c r="BF55" s="663">
        <f>'Segment Detail'!AK11</f>
        <v>478.17477563752436</v>
      </c>
      <c r="BG55" s="664">
        <f>'Segment Detail'!AL11</f>
        <v>517.98048072789027</v>
      </c>
      <c r="BH55" s="663">
        <f>'Segment Detail'!AM11</f>
        <v>484.97496194218695</v>
      </c>
      <c r="BI55" s="663">
        <f>'Segment Detail'!AN11</f>
        <v>508.66883423651097</v>
      </c>
      <c r="BJ55" s="663">
        <f>'Segment Detail'!AO11</f>
        <v>523.92889926360635</v>
      </c>
      <c r="BK55" s="664">
        <f>'Segment Detail'!AP11</f>
        <v>518.68961027097032</v>
      </c>
      <c r="BL55" s="571"/>
      <c r="BM55" s="641"/>
      <c r="BN55" s="634"/>
      <c r="BO55" s="634"/>
      <c r="BP55" s="634"/>
      <c r="BQ55" s="634"/>
      <c r="BR55" s="634"/>
      <c r="BS55" s="641"/>
      <c r="BT55" s="633"/>
      <c r="BU55" s="679"/>
      <c r="BV55" s="641">
        <v>0</v>
      </c>
      <c r="BW55" s="634">
        <f>SUM(AR55:AU55)</f>
        <v>0</v>
      </c>
      <c r="BX55" s="634">
        <f>SUM(AV55:AY55)</f>
        <v>1669</v>
      </c>
      <c r="BY55" s="634">
        <f>SUM(AZ55:BC55)</f>
        <v>1902</v>
      </c>
      <c r="BZ55" s="634">
        <f>SUM(BD55:BG55)</f>
        <v>1982.0887008935006</v>
      </c>
      <c r="CA55" s="635">
        <f>SUM(BH55:BK55)</f>
        <v>2036.2623057132746</v>
      </c>
      <c r="CC55" s="1002"/>
      <c r="CD55" s="1003"/>
    </row>
    <row r="56" spans="1:82" s="700" customFormat="1" ht="14.25" customHeight="1">
      <c r="A56" s="559"/>
      <c r="B56" s="502" t="s">
        <v>290</v>
      </c>
      <c r="C56" s="552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73"/>
      <c r="AO56" s="636"/>
      <c r="AP56" s="636"/>
      <c r="AQ56" s="652"/>
      <c r="AR56" s="636"/>
      <c r="AS56" s="636"/>
      <c r="AT56" s="636"/>
      <c r="AU56" s="652"/>
      <c r="AV56" s="655"/>
      <c r="AW56" s="636">
        <f t="shared" ref="AW56:AY56" si="130">AW55/AV55-1</f>
        <v>0.29526462395543174</v>
      </c>
      <c r="AX56" s="636">
        <f t="shared" si="130"/>
        <v>-8.6021505376344121E-2</v>
      </c>
      <c r="AY56" s="1140">
        <f t="shared" si="130"/>
        <v>-1.1764705882352899E-2</v>
      </c>
      <c r="AZ56" s="636">
        <f t="shared" ref="AZ56:BD56" si="131">AZ55/AY55-1</f>
        <v>1.1904761904761862E-2</v>
      </c>
      <c r="BA56" s="636">
        <f t="shared" si="131"/>
        <v>3.529411764705892E-2</v>
      </c>
      <c r="BB56" s="636">
        <f t="shared" si="131"/>
        <v>6.5909090909090917E-2</v>
      </c>
      <c r="BC56" s="1140">
        <f t="shared" si="131"/>
        <v>0.21108742004264403</v>
      </c>
      <c r="BD56" s="636">
        <f t="shared" si="131"/>
        <v>-0.12323943661971826</v>
      </c>
      <c r="BE56" s="636">
        <f t="shared" ref="BE56" si="132">BE55/BD55-1</f>
        <v>-2.0213966811072126E-2</v>
      </c>
      <c r="BF56" s="636">
        <f t="shared" ref="BF56" si="133">BF55/BE55-1</f>
        <v>-1.9999999999999907E-2</v>
      </c>
      <c r="BG56" s="652">
        <f t="shared" ref="BG56" si="134">BG55/BF55-1</f>
        <v>8.3245095974155303E-2</v>
      </c>
      <c r="BH56" s="636">
        <f t="shared" ref="BH56" si="135">BH55/BG55-1</f>
        <v>-6.3719618815215595E-2</v>
      </c>
      <c r="BI56" s="636">
        <f t="shared" ref="BI56" si="136">BI55/BH55-1</f>
        <v>4.8855867114122375E-2</v>
      </c>
      <c r="BJ56" s="636">
        <f t="shared" ref="BJ56" si="137">BJ55/BI55-1</f>
        <v>3.0000000000000027E-2</v>
      </c>
      <c r="BK56" s="652">
        <f t="shared" ref="BK56" si="138">BK55/BJ55-1</f>
        <v>-9.9999999999998979E-3</v>
      </c>
      <c r="BL56" s="1178"/>
      <c r="BM56" s="73"/>
      <c r="BN56" s="552"/>
      <c r="BO56" s="552"/>
      <c r="BP56" s="552"/>
      <c r="BQ56" s="552"/>
      <c r="BR56" s="552"/>
      <c r="BS56" s="73"/>
      <c r="BT56" s="628"/>
      <c r="BU56" s="680"/>
      <c r="BV56" s="561"/>
      <c r="BW56" s="260"/>
      <c r="BX56" s="260"/>
      <c r="BY56" s="552"/>
      <c r="BZ56" s="552"/>
      <c r="CA56" s="566"/>
      <c r="CC56" s="1002"/>
      <c r="CD56" s="1003"/>
    </row>
    <row r="57" spans="1:82" s="700" customFormat="1" ht="14.25" customHeight="1">
      <c r="A57" s="559"/>
      <c r="B57" s="563" t="s">
        <v>291</v>
      </c>
      <c r="C57" s="552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73"/>
      <c r="AO57" s="552"/>
      <c r="AP57" s="552"/>
      <c r="AQ57" s="566"/>
      <c r="AR57" s="636"/>
      <c r="AS57" s="636"/>
      <c r="AT57" s="636"/>
      <c r="AU57" s="566"/>
      <c r="AV57" s="655"/>
      <c r="AW57" s="636"/>
      <c r="AX57" s="636"/>
      <c r="AY57" s="1141"/>
      <c r="AZ57" s="636">
        <f t="shared" ref="AZ57:BD57" si="139">AZ55/AV55-1</f>
        <v>0.18384401114206139</v>
      </c>
      <c r="BA57" s="636">
        <f t="shared" si="139"/>
        <v>-5.3763440860215006E-2</v>
      </c>
      <c r="BB57" s="636">
        <f t="shared" si="139"/>
        <v>0.10352941176470587</v>
      </c>
      <c r="BC57" s="1232">
        <f t="shared" si="139"/>
        <v>0.35238095238095246</v>
      </c>
      <c r="BD57" s="636">
        <f t="shared" si="139"/>
        <v>0.17176470588235304</v>
      </c>
      <c r="BE57" s="636">
        <f t="shared" ref="BE57" si="140">BE55/BA55-1</f>
        <v>0.10893964665474098</v>
      </c>
      <c r="BF57" s="636">
        <f t="shared" ref="BF57" si="141">BF55/BB55-1</f>
        <v>1.9562421401970953E-2</v>
      </c>
      <c r="BG57" s="652">
        <f t="shared" ref="BG57" si="142">BG55/BC55-1</f>
        <v>-8.8062533929770703E-2</v>
      </c>
      <c r="BH57" s="636">
        <f t="shared" ref="BH57" si="143">BH55/BD55-1</f>
        <v>-2.6154694895206942E-2</v>
      </c>
      <c r="BI57" s="636">
        <f t="shared" ref="BI57" si="144">BI55/BE55-1</f>
        <v>4.2496348510152826E-2</v>
      </c>
      <c r="BJ57" s="636">
        <f t="shared" ref="BJ57" si="145">BJ55/BF55-1</f>
        <v>9.5684937719854757E-2</v>
      </c>
      <c r="BK57" s="652">
        <f t="shared" ref="BK57" si="146">BK55/BG55-1</f>
        <v>1.3690275395774609E-3</v>
      </c>
      <c r="BL57" s="1178"/>
      <c r="BM57" s="73"/>
      <c r="BN57" s="552"/>
      <c r="BO57" s="552"/>
      <c r="BP57" s="552"/>
      <c r="BQ57" s="552"/>
      <c r="BR57" s="552"/>
      <c r="BS57" s="73"/>
      <c r="BT57" s="628"/>
      <c r="BU57" s="681"/>
      <c r="BV57" s="655"/>
      <c r="BW57" s="629"/>
      <c r="BX57" s="629"/>
      <c r="BY57" s="629">
        <f>BY55/BX55-1</f>
        <v>0.13960455362492508</v>
      </c>
      <c r="BZ57" s="629">
        <f>BZ55/BY55-1</f>
        <v>4.210762402392243E-2</v>
      </c>
      <c r="CA57" s="665">
        <f>CA55/BZ55-1</f>
        <v>2.7331574412059911E-2</v>
      </c>
      <c r="CC57" s="1002"/>
      <c r="CD57" s="1003"/>
    </row>
    <row r="58" spans="1:82" s="700" customFormat="1" ht="14.25" customHeight="1">
      <c r="A58" s="559"/>
      <c r="B58" s="502" t="s">
        <v>292</v>
      </c>
      <c r="C58" s="552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655"/>
      <c r="AO58" s="636"/>
      <c r="AP58" s="636"/>
      <c r="AQ58" s="652"/>
      <c r="AR58" s="636"/>
      <c r="AS58" s="636"/>
      <c r="AT58" s="636"/>
      <c r="AU58" s="652"/>
      <c r="AV58" s="655">
        <f t="shared" ref="AV58:BA58" si="147">AV55/AV76</f>
        <v>2.6200554663552766E-2</v>
      </c>
      <c r="AW58" s="636">
        <f t="shared" si="147"/>
        <v>3.4360452227887389E-2</v>
      </c>
      <c r="AX58" s="636">
        <f t="shared" si="147"/>
        <v>2.6936240334643174E-2</v>
      </c>
      <c r="AY58" s="1140">
        <f t="shared" si="147"/>
        <v>2.5650421399780139E-2</v>
      </c>
      <c r="AZ58" s="655">
        <f t="shared" si="147"/>
        <v>2.8723979453906461E-2</v>
      </c>
      <c r="BA58" s="636">
        <f t="shared" si="147"/>
        <v>2.980424033055612E-2</v>
      </c>
      <c r="BB58" s="636">
        <f t="shared" ref="BB58:BD58" si="148">BB55/BB76</f>
        <v>2.904204594711747E-2</v>
      </c>
      <c r="BC58" s="1140">
        <f t="shared" si="148"/>
        <v>3.3307922359702105E-2</v>
      </c>
      <c r="BD58" s="655">
        <f t="shared" si="148"/>
        <v>3.0997136810656044E-2</v>
      </c>
      <c r="BE58" s="636">
        <f t="shared" ref="BE58:BG58" si="149">BE55/BE76</f>
        <v>2.9915460760269824E-2</v>
      </c>
      <c r="BF58" s="636">
        <f t="shared" si="149"/>
        <v>2.7243743595068953E-2</v>
      </c>
      <c r="BG58" s="652">
        <f t="shared" si="149"/>
        <v>2.915938596261523E-2</v>
      </c>
      <c r="BH58" s="636">
        <f t="shared" ref="BH58:BK58" si="150">BH55/BH76</f>
        <v>3.0064178266384092E-2</v>
      </c>
      <c r="BI58" s="636">
        <f t="shared" si="150"/>
        <v>3.0854181173111242E-2</v>
      </c>
      <c r="BJ58" s="636">
        <f t="shared" si="150"/>
        <v>2.9150688441926077E-2</v>
      </c>
      <c r="BK58" s="652">
        <f t="shared" si="150"/>
        <v>2.8308240731358434E-2</v>
      </c>
      <c r="BL58" s="1178"/>
      <c r="BM58" s="73"/>
      <c r="BN58" s="552"/>
      <c r="BO58" s="552"/>
      <c r="BP58" s="552"/>
      <c r="BQ58" s="552"/>
      <c r="BR58" s="552"/>
      <c r="BS58" s="73"/>
      <c r="BT58" s="552"/>
      <c r="BU58" s="676"/>
      <c r="BV58" s="711"/>
      <c r="BW58" s="636"/>
      <c r="BX58" s="636">
        <f>BX55/BX$78</f>
        <v>2.8103793759577011E-2</v>
      </c>
      <c r="BY58" s="636">
        <f>BY55/BY$78</f>
        <v>3.0305444463918675E-2</v>
      </c>
      <c r="BZ58" s="636">
        <f>BZ55/BZ$78</f>
        <v>2.9281030669583669E-2</v>
      </c>
      <c r="CA58" s="652">
        <f>CA55/CA$78</f>
        <v>2.9548053554576167E-2</v>
      </c>
      <c r="CC58" s="1002"/>
      <c r="CD58" s="1003"/>
    </row>
    <row r="59" spans="1:82" s="700" customFormat="1" ht="14.25" customHeight="1">
      <c r="A59" s="559"/>
      <c r="B59" s="73"/>
      <c r="C59" s="552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52"/>
      <c r="P59" s="552"/>
      <c r="Q59" s="552"/>
      <c r="R59" s="552"/>
      <c r="S59" s="552"/>
      <c r="T59" s="552"/>
      <c r="U59" s="552"/>
      <c r="V59" s="552"/>
      <c r="W59" s="552"/>
      <c r="X59" s="552"/>
      <c r="Y59" s="552"/>
      <c r="Z59" s="552"/>
      <c r="AA59" s="552"/>
      <c r="AB59" s="552"/>
      <c r="AC59" s="552"/>
      <c r="AD59" s="552"/>
      <c r="AE59" s="552"/>
      <c r="AF59" s="552"/>
      <c r="AG59" s="552"/>
      <c r="AH59" s="552"/>
      <c r="AI59" s="552"/>
      <c r="AJ59" s="552"/>
      <c r="AK59" s="552"/>
      <c r="AL59" s="552"/>
      <c r="AM59" s="552"/>
      <c r="AN59" s="73"/>
      <c r="AO59" s="552"/>
      <c r="AP59" s="552"/>
      <c r="AQ59" s="566"/>
      <c r="AR59" s="552"/>
      <c r="AS59" s="552"/>
      <c r="AT59" s="552"/>
      <c r="AU59" s="566"/>
      <c r="AV59" s="73"/>
      <c r="AW59" s="552"/>
      <c r="AX59" s="552"/>
      <c r="AY59" s="1141"/>
      <c r="AZ59" s="73"/>
      <c r="BA59" s="552"/>
      <c r="BB59" s="552"/>
      <c r="BC59" s="1141"/>
      <c r="BD59" s="73"/>
      <c r="BE59" s="552"/>
      <c r="BF59" s="552"/>
      <c r="BG59" s="566"/>
      <c r="BH59" s="552"/>
      <c r="BI59" s="552"/>
      <c r="BJ59" s="552"/>
      <c r="BK59" s="566"/>
      <c r="BL59" s="1178"/>
      <c r="BM59" s="73"/>
      <c r="BN59" s="552"/>
      <c r="BO59" s="552"/>
      <c r="BP59" s="552"/>
      <c r="BQ59" s="552"/>
      <c r="BR59" s="552"/>
      <c r="BS59" s="73"/>
      <c r="BT59" s="628"/>
      <c r="BU59" s="682"/>
      <c r="BV59" s="561"/>
      <c r="BW59" s="552"/>
      <c r="BX59" s="552"/>
      <c r="BY59" s="552"/>
      <c r="BZ59" s="552"/>
      <c r="CA59" s="566"/>
      <c r="CC59" s="1002"/>
      <c r="CD59" s="1003"/>
    </row>
    <row r="60" spans="1:82" s="700" customFormat="1" ht="14.25" customHeight="1">
      <c r="A60" s="559"/>
      <c r="B60" s="637" t="s">
        <v>373</v>
      </c>
      <c r="C60" s="552"/>
      <c r="D60" s="552"/>
      <c r="E60" s="552"/>
      <c r="F60" s="552"/>
      <c r="G60" s="552"/>
      <c r="H60" s="552"/>
      <c r="I60" s="552"/>
      <c r="J60" s="552"/>
      <c r="K60" s="552"/>
      <c r="L60" s="552"/>
      <c r="M60" s="552"/>
      <c r="N60" s="552"/>
      <c r="O60" s="552"/>
      <c r="P60" s="552"/>
      <c r="Q60" s="552"/>
      <c r="R60" s="552"/>
      <c r="S60" s="552"/>
      <c r="T60" s="552"/>
      <c r="U60" s="552"/>
      <c r="V60" s="552"/>
      <c r="W60" s="552"/>
      <c r="X60" s="552"/>
      <c r="Y60" s="552"/>
      <c r="Z60" s="552"/>
      <c r="AA60" s="552"/>
      <c r="AB60" s="552"/>
      <c r="AC60" s="552"/>
      <c r="AD60" s="552"/>
      <c r="AE60" s="552"/>
      <c r="AF60" s="552"/>
      <c r="AG60" s="552"/>
      <c r="AH60" s="552"/>
      <c r="AI60" s="552"/>
      <c r="AJ60" s="552"/>
      <c r="AK60" s="552"/>
      <c r="AL60" s="552"/>
      <c r="AM60" s="552"/>
      <c r="AN60" s="656"/>
      <c r="AO60" s="592"/>
      <c r="AP60" s="592"/>
      <c r="AQ60" s="657"/>
      <c r="AR60" s="592"/>
      <c r="AS60" s="592"/>
      <c r="AT60" s="592"/>
      <c r="AU60" s="657"/>
      <c r="AV60" s="656">
        <v>-200</v>
      </c>
      <c r="AW60" s="592">
        <v>-62</v>
      </c>
      <c r="AX60" s="592">
        <v>78</v>
      </c>
      <c r="AY60" s="1142">
        <v>80</v>
      </c>
      <c r="AZ60" s="1145">
        <v>92</v>
      </c>
      <c r="BA60" s="592">
        <v>97</v>
      </c>
      <c r="BB60" s="592">
        <v>113</v>
      </c>
      <c r="BC60" s="1142">
        <v>156</v>
      </c>
      <c r="BD60" s="1145">
        <v>97</v>
      </c>
      <c r="BE60" s="592"/>
      <c r="BF60" s="592"/>
      <c r="BG60" s="657"/>
      <c r="BH60" s="592"/>
      <c r="BI60" s="592"/>
      <c r="BJ60" s="592"/>
      <c r="BK60" s="657"/>
      <c r="BL60" s="571"/>
      <c r="BM60" s="642"/>
      <c r="BN60" s="567"/>
      <c r="BO60" s="567"/>
      <c r="BP60" s="567"/>
      <c r="BQ60" s="567"/>
      <c r="BR60" s="567"/>
      <c r="BS60" s="642"/>
      <c r="BT60" s="592"/>
      <c r="BU60" s="683"/>
      <c r="BV60" s="642"/>
      <c r="BW60" s="567"/>
      <c r="BX60" s="567"/>
      <c r="BY60" s="552"/>
      <c r="BZ60" s="552"/>
      <c r="CA60" s="566"/>
      <c r="CC60" s="1002"/>
      <c r="CD60" s="1003"/>
    </row>
    <row r="61" spans="1:82" s="700" customFormat="1" ht="14.25" customHeight="1">
      <c r="A61" s="559"/>
      <c r="B61" s="502" t="s">
        <v>290</v>
      </c>
      <c r="C61" s="552"/>
      <c r="D61" s="552"/>
      <c r="E61" s="552"/>
      <c r="F61" s="552"/>
      <c r="G61" s="552"/>
      <c r="H61" s="552"/>
      <c r="I61" s="552"/>
      <c r="J61" s="552"/>
      <c r="K61" s="552"/>
      <c r="L61" s="552"/>
      <c r="M61" s="552"/>
      <c r="N61" s="552"/>
      <c r="O61" s="552"/>
      <c r="P61" s="552"/>
      <c r="Q61" s="552"/>
      <c r="R61" s="552"/>
      <c r="S61" s="552"/>
      <c r="T61" s="552"/>
      <c r="U61" s="552"/>
      <c r="V61" s="552"/>
      <c r="W61" s="552"/>
      <c r="X61" s="552"/>
      <c r="Y61" s="552"/>
      <c r="Z61" s="552"/>
      <c r="AA61" s="552"/>
      <c r="AB61" s="552"/>
      <c r="AC61" s="552"/>
      <c r="AD61" s="552"/>
      <c r="AE61" s="552"/>
      <c r="AF61" s="552"/>
      <c r="AG61" s="552"/>
      <c r="AH61" s="552"/>
      <c r="AI61" s="552"/>
      <c r="AJ61" s="552"/>
      <c r="AK61" s="552"/>
      <c r="AL61" s="552"/>
      <c r="AM61" s="552"/>
      <c r="AN61" s="73"/>
      <c r="AO61" s="636"/>
      <c r="AP61" s="636"/>
      <c r="AQ61" s="652"/>
      <c r="AR61" s="636"/>
      <c r="AS61" s="636"/>
      <c r="AT61" s="636"/>
      <c r="AU61" s="652"/>
      <c r="AV61" s="655"/>
      <c r="AW61" s="636">
        <f t="shared" ref="AW61:BD61" si="151">AW60/AV60-1</f>
        <v>-0.69</v>
      </c>
      <c r="AX61" s="636">
        <f t="shared" si="151"/>
        <v>-2.258064516129032</v>
      </c>
      <c r="AY61" s="1140">
        <f t="shared" si="151"/>
        <v>2.564102564102555E-2</v>
      </c>
      <c r="AZ61" s="655">
        <f t="shared" si="151"/>
        <v>0.14999999999999991</v>
      </c>
      <c r="BA61" s="636">
        <f t="shared" si="151"/>
        <v>5.4347826086956541E-2</v>
      </c>
      <c r="BB61" s="636">
        <f t="shared" si="151"/>
        <v>0.1649484536082475</v>
      </c>
      <c r="BC61" s="1140">
        <f t="shared" si="151"/>
        <v>0.38053097345132736</v>
      </c>
      <c r="BD61" s="655">
        <f t="shared" si="151"/>
        <v>-0.37820512820512819</v>
      </c>
      <c r="BE61" s="636"/>
      <c r="BF61" s="636"/>
      <c r="BG61" s="652"/>
      <c r="BH61" s="636"/>
      <c r="BI61" s="636"/>
      <c r="BJ61" s="636"/>
      <c r="BK61" s="652"/>
      <c r="BL61" s="1178"/>
      <c r="BM61" s="73"/>
      <c r="BN61" s="552"/>
      <c r="BO61" s="552"/>
      <c r="BP61" s="552"/>
      <c r="BQ61" s="552"/>
      <c r="BR61" s="552"/>
      <c r="BS61" s="73"/>
      <c r="BT61" s="628"/>
      <c r="BU61" s="682"/>
      <c r="BV61" s="561"/>
      <c r="BW61" s="552"/>
      <c r="BX61" s="552"/>
      <c r="BY61" s="552"/>
      <c r="BZ61" s="552"/>
      <c r="CA61" s="566"/>
      <c r="CC61" s="1002"/>
      <c r="CD61" s="1003"/>
    </row>
    <row r="62" spans="1:82" s="700" customFormat="1" ht="14.25" customHeight="1">
      <c r="A62" s="559"/>
      <c r="B62" s="563" t="s">
        <v>291</v>
      </c>
      <c r="C62" s="552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2"/>
      <c r="X62" s="552"/>
      <c r="Y62" s="552"/>
      <c r="Z62" s="552"/>
      <c r="AA62" s="552"/>
      <c r="AB62" s="552"/>
      <c r="AC62" s="552"/>
      <c r="AD62" s="552"/>
      <c r="AE62" s="552"/>
      <c r="AF62" s="552"/>
      <c r="AG62" s="552"/>
      <c r="AH62" s="552"/>
      <c r="AI62" s="552"/>
      <c r="AJ62" s="552"/>
      <c r="AK62" s="552"/>
      <c r="AL62" s="552"/>
      <c r="AM62" s="552"/>
      <c r="AN62" s="73"/>
      <c r="AO62" s="552"/>
      <c r="AP62" s="552"/>
      <c r="AQ62" s="566"/>
      <c r="AR62" s="636"/>
      <c r="AS62" s="636"/>
      <c r="AT62" s="636"/>
      <c r="AU62" s="566"/>
      <c r="AV62" s="655"/>
      <c r="AW62" s="636"/>
      <c r="AX62" s="636"/>
      <c r="AY62" s="1141"/>
      <c r="AZ62" s="636">
        <f t="shared" ref="AZ62" si="152">AZ60/AV60-1</f>
        <v>-1.46</v>
      </c>
      <c r="BA62" s="636">
        <f t="shared" ref="BA62" si="153">BA60/AW60-1</f>
        <v>-2.564516129032258</v>
      </c>
      <c r="BB62" s="636">
        <f t="shared" ref="BB62" si="154">BB60/AX60-1</f>
        <v>0.44871794871794868</v>
      </c>
      <c r="BC62" s="1232">
        <f t="shared" ref="BC62:BD62" si="155">BC60/AY60-1</f>
        <v>0.95</v>
      </c>
      <c r="BD62" s="636">
        <f t="shared" si="155"/>
        <v>5.4347826086956541E-2</v>
      </c>
      <c r="BE62" s="552"/>
      <c r="BF62" s="552"/>
      <c r="BG62" s="566"/>
      <c r="BH62" s="552"/>
      <c r="BI62" s="552"/>
      <c r="BJ62" s="552"/>
      <c r="BK62" s="566"/>
      <c r="BL62" s="1178"/>
      <c r="BM62" s="73"/>
      <c r="BN62" s="552"/>
      <c r="BO62" s="552"/>
      <c r="BP62" s="552"/>
      <c r="BQ62" s="552"/>
      <c r="BR62" s="552"/>
      <c r="BS62" s="73"/>
      <c r="BT62" s="628"/>
      <c r="BU62" s="681"/>
      <c r="BV62" s="655"/>
      <c r="BW62" s="552"/>
      <c r="BX62" s="552"/>
      <c r="BY62" s="552"/>
      <c r="BZ62" s="552"/>
      <c r="CA62" s="566"/>
      <c r="CC62" s="1002"/>
      <c r="CD62" s="1003"/>
    </row>
    <row r="63" spans="1:82" s="700" customFormat="1" ht="14.25" customHeight="1">
      <c r="A63" s="559"/>
      <c r="B63" s="527" t="s">
        <v>313</v>
      </c>
      <c r="C63" s="639"/>
      <c r="D63" s="639"/>
      <c r="E63" s="639"/>
      <c r="F63" s="639"/>
      <c r="G63" s="639"/>
      <c r="H63" s="639"/>
      <c r="I63" s="639"/>
      <c r="J63" s="639"/>
      <c r="K63" s="639"/>
      <c r="L63" s="639"/>
      <c r="M63" s="639"/>
      <c r="N63" s="639"/>
      <c r="O63" s="639"/>
      <c r="P63" s="639"/>
      <c r="Q63" s="639"/>
      <c r="R63" s="639"/>
      <c r="S63" s="639"/>
      <c r="T63" s="639"/>
      <c r="U63" s="639"/>
      <c r="V63" s="639"/>
      <c r="W63" s="639"/>
      <c r="X63" s="639"/>
      <c r="Y63" s="639"/>
      <c r="Z63" s="639"/>
      <c r="AA63" s="639"/>
      <c r="AB63" s="639"/>
      <c r="AC63" s="639"/>
      <c r="AD63" s="639"/>
      <c r="AE63" s="639"/>
      <c r="AF63" s="639"/>
      <c r="AG63" s="639"/>
      <c r="AH63" s="639"/>
      <c r="AI63" s="639"/>
      <c r="AJ63" s="639"/>
      <c r="AK63" s="639"/>
      <c r="AL63" s="639"/>
      <c r="AM63" s="639"/>
      <c r="AN63" s="658"/>
      <c r="AO63" s="640"/>
      <c r="AP63" s="640"/>
      <c r="AQ63" s="659"/>
      <c r="AR63" s="640"/>
      <c r="AS63" s="640"/>
      <c r="AT63" s="640"/>
      <c r="AU63" s="659"/>
      <c r="AV63" s="658">
        <f t="shared" ref="AV63:AY63" si="156">AV60/AV55</f>
        <v>-0.55710306406685239</v>
      </c>
      <c r="AW63" s="640">
        <f t="shared" si="156"/>
        <v>-0.13333333333333333</v>
      </c>
      <c r="AX63" s="640">
        <f t="shared" si="156"/>
        <v>0.18352941176470589</v>
      </c>
      <c r="AY63" s="659">
        <f t="shared" si="156"/>
        <v>0.19047619047619047</v>
      </c>
      <c r="AZ63" s="658">
        <f t="shared" ref="AZ63" si="157">AZ60/AZ55</f>
        <v>0.21647058823529411</v>
      </c>
      <c r="BA63" s="640">
        <f t="shared" ref="BA63:BD63" si="158">BA60/BA55</f>
        <v>0.22045454545454546</v>
      </c>
      <c r="BB63" s="640">
        <f t="shared" si="158"/>
        <v>0.24093816631130063</v>
      </c>
      <c r="BC63" s="659">
        <f t="shared" si="158"/>
        <v>0.27464788732394368</v>
      </c>
      <c r="BD63" s="658">
        <f t="shared" si="158"/>
        <v>0.19477911646586346</v>
      </c>
      <c r="BE63" s="640"/>
      <c r="BF63" s="640"/>
      <c r="BG63" s="659"/>
      <c r="BH63" s="640"/>
      <c r="BI63" s="640"/>
      <c r="BJ63" s="640"/>
      <c r="BK63" s="659"/>
      <c r="BL63" s="1178"/>
      <c r="BM63" s="568"/>
      <c r="BN63" s="639"/>
      <c r="BO63" s="639"/>
      <c r="BP63" s="639"/>
      <c r="BQ63" s="639"/>
      <c r="BR63" s="639"/>
      <c r="BS63" s="568"/>
      <c r="BT63" s="643"/>
      <c r="BU63" s="684"/>
      <c r="BV63" s="658"/>
      <c r="BW63" s="639"/>
      <c r="BX63" s="639"/>
      <c r="BY63" s="639"/>
      <c r="BZ63" s="639"/>
      <c r="CA63" s="590"/>
      <c r="CC63" s="1002"/>
      <c r="CD63" s="1003"/>
    </row>
    <row r="64" spans="1:82" s="703" customFormat="1" ht="14.25" customHeight="1">
      <c r="A64" s="559"/>
      <c r="B64" s="502"/>
      <c r="C64" s="552"/>
      <c r="D64" s="552"/>
      <c r="E64" s="552"/>
      <c r="F64" s="552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  <c r="R64" s="552"/>
      <c r="S64" s="552"/>
      <c r="T64" s="552"/>
      <c r="U64" s="552"/>
      <c r="V64" s="552"/>
      <c r="W64" s="552"/>
      <c r="X64" s="552"/>
      <c r="Y64" s="552"/>
      <c r="Z64" s="552"/>
      <c r="AA64" s="552"/>
      <c r="AB64" s="552"/>
      <c r="AC64" s="552"/>
      <c r="AD64" s="552"/>
      <c r="AE64" s="552"/>
      <c r="AF64" s="552"/>
      <c r="AG64" s="552"/>
      <c r="AH64" s="552"/>
      <c r="AI64" s="552"/>
      <c r="AJ64" s="552"/>
      <c r="AK64" s="552"/>
      <c r="AL64" s="552"/>
      <c r="AM64" s="552"/>
      <c r="AN64" s="552"/>
      <c r="AO64" s="552"/>
      <c r="AP64" s="552"/>
      <c r="AQ64" s="552"/>
      <c r="AR64" s="552"/>
      <c r="AS64" s="552"/>
      <c r="AT64" s="552"/>
      <c r="AU64" s="552"/>
      <c r="AV64" s="552"/>
      <c r="AW64" s="552"/>
      <c r="AX64" s="552"/>
      <c r="AY64" s="552"/>
      <c r="AZ64" s="552"/>
      <c r="BA64" s="552"/>
      <c r="BB64" s="552"/>
      <c r="BC64" s="552"/>
      <c r="BD64" s="552"/>
      <c r="BE64" s="552"/>
      <c r="BF64" s="552"/>
      <c r="BG64" s="552"/>
      <c r="BH64" s="552"/>
      <c r="BI64" s="552"/>
      <c r="BJ64" s="552"/>
      <c r="BK64" s="552"/>
      <c r="BL64" s="552"/>
      <c r="BM64" s="73"/>
      <c r="BN64" s="552"/>
      <c r="BO64" s="552"/>
      <c r="BP64" s="552"/>
      <c r="BQ64" s="552"/>
      <c r="BR64" s="552"/>
      <c r="BS64" s="612"/>
      <c r="BT64" s="552"/>
      <c r="BU64" s="628"/>
      <c r="BV64" s="260"/>
      <c r="BW64" s="260"/>
      <c r="BX64" s="260"/>
      <c r="BY64" s="612"/>
      <c r="BZ64" s="612"/>
      <c r="CA64" s="612"/>
      <c r="CC64" s="1002"/>
      <c r="CD64" s="1003"/>
    </row>
    <row r="65" spans="1:82" ht="14.25" customHeight="1">
      <c r="A65" s="559"/>
      <c r="B65" s="631" t="s">
        <v>353</v>
      </c>
      <c r="C65" s="632"/>
      <c r="D65" s="632"/>
      <c r="E65" s="632"/>
      <c r="F65" s="632"/>
      <c r="G65" s="632"/>
      <c r="H65" s="632"/>
      <c r="I65" s="632"/>
      <c r="J65" s="632"/>
      <c r="K65" s="632"/>
      <c r="L65" s="632"/>
      <c r="M65" s="632"/>
      <c r="N65" s="632"/>
      <c r="O65" s="632"/>
      <c r="P65" s="632"/>
      <c r="Q65" s="632"/>
      <c r="R65" s="632"/>
      <c r="S65" s="632"/>
      <c r="T65" s="632"/>
      <c r="U65" s="632"/>
      <c r="V65" s="632"/>
      <c r="W65" s="632"/>
      <c r="X65" s="632"/>
      <c r="Y65" s="632"/>
      <c r="Z65" s="632"/>
      <c r="AA65" s="632"/>
      <c r="AB65" s="632"/>
      <c r="AC65" s="632"/>
      <c r="AD65" s="632"/>
      <c r="AE65" s="632"/>
      <c r="AF65" s="632"/>
      <c r="AG65" s="632"/>
      <c r="AH65" s="632"/>
      <c r="AI65" s="632"/>
      <c r="AJ65" s="632"/>
      <c r="AK65" s="632"/>
      <c r="AL65" s="632"/>
      <c r="AM65" s="632"/>
      <c r="AN65" s="653"/>
      <c r="AO65" s="633"/>
      <c r="AP65" s="633"/>
      <c r="AQ65" s="654"/>
      <c r="AR65" s="633">
        <v>76</v>
      </c>
      <c r="AS65" s="633">
        <v>63</v>
      </c>
      <c r="AT65" s="633">
        <v>77</v>
      </c>
      <c r="AU65" s="654">
        <v>59</v>
      </c>
      <c r="AV65" s="653">
        <v>50</v>
      </c>
      <c r="AW65" s="633">
        <v>40</v>
      </c>
      <c r="AX65" s="633">
        <v>44</v>
      </c>
      <c r="AY65" s="654">
        <v>65</v>
      </c>
      <c r="AZ65" s="653">
        <v>42</v>
      </c>
      <c r="BA65" s="633">
        <v>144</v>
      </c>
      <c r="BB65" s="633">
        <v>202</v>
      </c>
      <c r="BC65" s="654">
        <v>181</v>
      </c>
      <c r="BD65" s="653">
        <v>234</v>
      </c>
      <c r="BE65" s="663">
        <f>'Segment Detail'!AJ12</f>
        <v>200.81577331256318</v>
      </c>
      <c r="BF65" s="663">
        <f>'Segment Detail'!AK12</f>
        <v>200.65873694989477</v>
      </c>
      <c r="BG65" s="664">
        <f>'Segment Detail'!AL12</f>
        <v>200.53193008704002</v>
      </c>
      <c r="BH65" s="663">
        <f>'Segment Detail'!AM12</f>
        <v>225.42953354528481</v>
      </c>
      <c r="BI65" s="663">
        <f>'Segment Detail'!AN12</f>
        <v>225.34684833781751</v>
      </c>
      <c r="BJ65" s="663">
        <f>'Segment Detail'!AO12</f>
        <v>250.28008003278762</v>
      </c>
      <c r="BK65" s="664">
        <f>'Segment Detail'!AP12</f>
        <v>250.22616462647602</v>
      </c>
      <c r="BL65" s="571"/>
      <c r="BM65" s="641"/>
      <c r="BN65" s="634"/>
      <c r="BO65" s="634"/>
      <c r="BP65" s="634"/>
      <c r="BQ65" s="634"/>
      <c r="BR65" s="634"/>
      <c r="BS65" s="641"/>
      <c r="BT65" s="633"/>
      <c r="BU65" s="679"/>
      <c r="BV65" s="707">
        <v>304</v>
      </c>
      <c r="BW65" s="634">
        <f>SUM(AR65:AU65)</f>
        <v>275</v>
      </c>
      <c r="BX65" s="634">
        <f>SUM(AV65:AY65)</f>
        <v>199</v>
      </c>
      <c r="BY65" s="634">
        <f>SUM(AZ65:BC65)</f>
        <v>569</v>
      </c>
      <c r="BZ65" s="634">
        <f>SUM(BD65:BG65)</f>
        <v>836.00644034949789</v>
      </c>
      <c r="CA65" s="635">
        <f>SUM(BH65:BK65)</f>
        <v>951.28262654236596</v>
      </c>
      <c r="CC65" s="1002"/>
      <c r="CD65" s="1003"/>
    </row>
    <row r="66" spans="1:82" ht="14.25" customHeight="1">
      <c r="A66" s="559"/>
      <c r="B66" s="502" t="s">
        <v>290</v>
      </c>
      <c r="C66" s="552"/>
      <c r="D66" s="552"/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2"/>
      <c r="X66" s="552"/>
      <c r="Y66" s="552"/>
      <c r="Z66" s="552"/>
      <c r="AA66" s="552"/>
      <c r="AB66" s="552"/>
      <c r="AC66" s="552"/>
      <c r="AD66" s="552"/>
      <c r="AE66" s="552"/>
      <c r="AF66" s="552"/>
      <c r="AG66" s="552"/>
      <c r="AH66" s="552"/>
      <c r="AI66" s="552"/>
      <c r="AJ66" s="552"/>
      <c r="AK66" s="552"/>
      <c r="AL66" s="552"/>
      <c r="AM66" s="552"/>
      <c r="AN66" s="73"/>
      <c r="AO66" s="636"/>
      <c r="AP66" s="636"/>
      <c r="AQ66" s="652"/>
      <c r="AR66" s="636"/>
      <c r="AS66" s="636">
        <f>AS65/AR65-1</f>
        <v>-0.17105263157894735</v>
      </c>
      <c r="AT66" s="636">
        <f t="shared" ref="AT66:BD66" si="159">AT65/AS65-1</f>
        <v>0.22222222222222232</v>
      </c>
      <c r="AU66" s="652">
        <f t="shared" si="159"/>
        <v>-0.23376623376623373</v>
      </c>
      <c r="AV66" s="655">
        <f t="shared" si="159"/>
        <v>-0.15254237288135597</v>
      </c>
      <c r="AW66" s="636">
        <f t="shared" ref="AW66" si="160">AW65/AV65-1</f>
        <v>-0.19999999999999996</v>
      </c>
      <c r="AX66" s="636">
        <f t="shared" si="159"/>
        <v>0.10000000000000009</v>
      </c>
      <c r="AY66" s="1140">
        <f t="shared" si="159"/>
        <v>0.47727272727272729</v>
      </c>
      <c r="AZ66" s="655">
        <f t="shared" si="159"/>
        <v>-0.35384615384615381</v>
      </c>
      <c r="BA66" s="636">
        <f t="shared" si="159"/>
        <v>2.4285714285714284</v>
      </c>
      <c r="BB66" s="636">
        <f t="shared" si="159"/>
        <v>0.40277777777777768</v>
      </c>
      <c r="BC66" s="1140">
        <f t="shared" si="159"/>
        <v>-0.10396039603960394</v>
      </c>
      <c r="BD66" s="655">
        <f t="shared" si="159"/>
        <v>0.29281767955801108</v>
      </c>
      <c r="BE66" s="636">
        <f t="shared" ref="BE66" si="161">BE65/BD65-1</f>
        <v>-0.14181293456169586</v>
      </c>
      <c r="BF66" s="636">
        <f t="shared" ref="BF66" si="162">BF65/BE65-1</f>
        <v>-7.8199217162078227E-4</v>
      </c>
      <c r="BG66" s="652">
        <f t="shared" ref="BG66" si="163">BG65/BF65-1</f>
        <v>-6.3195286077377677E-4</v>
      </c>
      <c r="BH66" s="636">
        <f t="shared" ref="BH66" si="164">BH65/BG65-1</f>
        <v>0.12415780094191531</v>
      </c>
      <c r="BI66" s="636">
        <f t="shared" ref="BI66" si="165">BI65/BH65-1</f>
        <v>-3.6678959569735881E-4</v>
      </c>
      <c r="BJ66" s="636">
        <f t="shared" ref="BJ66" si="166">BJ65/BI65-1</f>
        <v>0.11064380034103127</v>
      </c>
      <c r="BK66" s="652">
        <f t="shared" ref="BK66" si="167">BK65/BJ65-1</f>
        <v>-2.1542028556387205E-4</v>
      </c>
      <c r="BL66" s="1178"/>
      <c r="BM66" s="73"/>
      <c r="BN66" s="552"/>
      <c r="BO66" s="552"/>
      <c r="BP66" s="552"/>
      <c r="BQ66" s="552"/>
      <c r="BR66" s="552"/>
      <c r="BS66" s="73"/>
      <c r="BT66" s="628"/>
      <c r="BU66" s="680"/>
      <c r="BV66" s="561"/>
      <c r="BW66" s="260"/>
      <c r="BX66" s="260"/>
      <c r="BY66" s="552"/>
      <c r="BZ66" s="552"/>
      <c r="CA66" s="566"/>
      <c r="CC66" s="1002"/>
      <c r="CD66" s="1003"/>
    </row>
    <row r="67" spans="1:82" ht="14.25" customHeight="1">
      <c r="A67" s="559"/>
      <c r="B67" s="563" t="s">
        <v>291</v>
      </c>
      <c r="C67" s="552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  <c r="R67" s="552"/>
      <c r="S67" s="552"/>
      <c r="T67" s="552"/>
      <c r="U67" s="552"/>
      <c r="V67" s="552"/>
      <c r="W67" s="552"/>
      <c r="X67" s="552"/>
      <c r="Y67" s="552"/>
      <c r="Z67" s="552"/>
      <c r="AA67" s="552"/>
      <c r="AB67" s="552"/>
      <c r="AC67" s="552"/>
      <c r="AD67" s="552"/>
      <c r="AE67" s="552"/>
      <c r="AF67" s="552"/>
      <c r="AG67" s="552"/>
      <c r="AH67" s="552"/>
      <c r="AI67" s="552"/>
      <c r="AJ67" s="552"/>
      <c r="AK67" s="552"/>
      <c r="AL67" s="552"/>
      <c r="AM67" s="552"/>
      <c r="AN67" s="73"/>
      <c r="AO67" s="552"/>
      <c r="AP67" s="552"/>
      <c r="AQ67" s="566"/>
      <c r="AR67" s="636"/>
      <c r="AS67" s="636"/>
      <c r="AT67" s="636"/>
      <c r="AU67" s="566"/>
      <c r="AV67" s="655">
        <f t="shared" ref="AV67" si="168">AV65/AR65-1</f>
        <v>-0.34210526315789469</v>
      </c>
      <c r="AW67" s="636">
        <f t="shared" ref="AW67:BD67" si="169">AW65/AS65-1</f>
        <v>-0.36507936507936511</v>
      </c>
      <c r="AX67" s="636">
        <f t="shared" si="169"/>
        <v>-0.4285714285714286</v>
      </c>
      <c r="AY67" s="1140">
        <f t="shared" si="169"/>
        <v>0.10169491525423724</v>
      </c>
      <c r="AZ67" s="655">
        <f t="shared" si="169"/>
        <v>-0.16000000000000003</v>
      </c>
      <c r="BA67" s="636">
        <f t="shared" si="169"/>
        <v>2.6</v>
      </c>
      <c r="BB67" s="636">
        <f t="shared" si="169"/>
        <v>3.5909090909090908</v>
      </c>
      <c r="BC67" s="1140">
        <f t="shared" si="169"/>
        <v>1.7846153846153845</v>
      </c>
      <c r="BD67" s="655">
        <f t="shared" si="169"/>
        <v>4.5714285714285712</v>
      </c>
      <c r="BE67" s="636">
        <f t="shared" ref="BE67" si="170">BE65/BA65-1</f>
        <v>0.39455398133724429</v>
      </c>
      <c r="BF67" s="636">
        <f t="shared" ref="BF67" si="171">BF65/BB65-1</f>
        <v>-6.6399160896298826E-3</v>
      </c>
      <c r="BG67" s="652">
        <f t="shared" ref="BG67" si="172">BG65/BC65-1</f>
        <v>0.10791121595049735</v>
      </c>
      <c r="BH67" s="636">
        <f t="shared" ref="BH67" si="173">BH65/BD65-1</f>
        <v>-3.6625925020150385E-2</v>
      </c>
      <c r="BI67" s="636">
        <f t="shared" ref="BI67" si="174">BI65/BE65-1</f>
        <v>0.12215711256442252</v>
      </c>
      <c r="BJ67" s="636">
        <f t="shared" ref="BJ67" si="175">BJ65/BF65-1</f>
        <v>0.24729221282442082</v>
      </c>
      <c r="BK67" s="652">
        <f t="shared" ref="BK67" si="176">BK65/BG65-1</f>
        <v>0.24781207919290682</v>
      </c>
      <c r="BL67" s="1178"/>
      <c r="BM67" s="73"/>
      <c r="BN67" s="552"/>
      <c r="BO67" s="552"/>
      <c r="BP67" s="552"/>
      <c r="BQ67" s="552"/>
      <c r="BR67" s="552"/>
      <c r="BS67" s="73"/>
      <c r="BT67" s="628"/>
      <c r="BU67" s="681"/>
      <c r="BV67" s="655"/>
      <c r="BW67" s="629">
        <f>BW65/BV65-1</f>
        <v>-9.539473684210531E-2</v>
      </c>
      <c r="BX67" s="629">
        <f>BX65/BW65-1</f>
        <v>-0.27636363636363637</v>
      </c>
      <c r="BY67" s="629">
        <f>BY65/BX65-1</f>
        <v>1.8592964824120601</v>
      </c>
      <c r="BZ67" s="629">
        <f>BZ65/BY65-1</f>
        <v>0.46925560694112112</v>
      </c>
      <c r="CA67" s="665">
        <f>CA65/BZ65-1</f>
        <v>0.13788911260620917</v>
      </c>
      <c r="CC67" s="1002"/>
      <c r="CD67" s="1003"/>
    </row>
    <row r="68" spans="1:82" ht="14.25" customHeight="1">
      <c r="A68" s="559"/>
      <c r="B68" s="502" t="s">
        <v>292</v>
      </c>
      <c r="C68" s="552"/>
      <c r="D68" s="552"/>
      <c r="E68" s="552"/>
      <c r="F68" s="552"/>
      <c r="G68" s="552"/>
      <c r="H68" s="552"/>
      <c r="I68" s="552"/>
      <c r="J68" s="552"/>
      <c r="K68" s="552"/>
      <c r="L68" s="552"/>
      <c r="M68" s="552"/>
      <c r="N68" s="552"/>
      <c r="O68" s="552"/>
      <c r="P68" s="552"/>
      <c r="Q68" s="552"/>
      <c r="R68" s="552"/>
      <c r="S68" s="552"/>
      <c r="T68" s="552"/>
      <c r="U68" s="552"/>
      <c r="V68" s="552"/>
      <c r="W68" s="552"/>
      <c r="X68" s="552"/>
      <c r="Y68" s="552"/>
      <c r="Z68" s="552"/>
      <c r="AA68" s="552"/>
      <c r="AB68" s="552"/>
      <c r="AC68" s="552"/>
      <c r="AD68" s="552"/>
      <c r="AE68" s="552"/>
      <c r="AF68" s="552"/>
      <c r="AG68" s="552"/>
      <c r="AH68" s="552"/>
      <c r="AI68" s="552"/>
      <c r="AJ68" s="552"/>
      <c r="AK68" s="552"/>
      <c r="AL68" s="552"/>
      <c r="AM68" s="552"/>
      <c r="AN68" s="655"/>
      <c r="AO68" s="636"/>
      <c r="AP68" s="636"/>
      <c r="AQ68" s="652"/>
      <c r="AR68" s="636">
        <f t="shared" ref="AR68:AW68" si="177">AR65/AR$78</f>
        <v>5.9463265785149834E-3</v>
      </c>
      <c r="AS68" s="636">
        <f t="shared" si="177"/>
        <v>4.7745358090185673E-3</v>
      </c>
      <c r="AT68" s="636">
        <f t="shared" si="177"/>
        <v>5.3231939163498098E-3</v>
      </c>
      <c r="AU68" s="652">
        <f t="shared" si="177"/>
        <v>3.9560144830360737E-3</v>
      </c>
      <c r="AV68" s="655">
        <f t="shared" si="177"/>
        <v>3.649102320829076E-3</v>
      </c>
      <c r="AW68" s="636">
        <f t="shared" si="177"/>
        <v>2.9557378260548291E-3</v>
      </c>
      <c r="AX68" s="636">
        <f t="shared" ref="AX68:BA68" si="178">AX65/AX$78</f>
        <v>2.7886931169983521E-3</v>
      </c>
      <c r="AY68" s="1140">
        <f t="shared" si="178"/>
        <v>3.9697080737754976E-3</v>
      </c>
      <c r="AZ68" s="655">
        <f t="shared" si="178"/>
        <v>2.8386050283860501E-3</v>
      </c>
      <c r="BA68" s="636">
        <f t="shared" si="178"/>
        <v>9.7541150172729112E-3</v>
      </c>
      <c r="BB68" s="636">
        <f t="shared" ref="BB68:BD68" si="179">BB65/BB$78</f>
        <v>1.2508514459099635E-2</v>
      </c>
      <c r="BC68" s="1140">
        <f t="shared" si="179"/>
        <v>1.0613968216736058E-2</v>
      </c>
      <c r="BD68" s="655">
        <f t="shared" si="179"/>
        <v>1.4564919706211876E-2</v>
      </c>
      <c r="BE68" s="636">
        <f t="shared" ref="BE68:BG68" si="180">BE65/BE$78</f>
        <v>1.2312122593657188E-2</v>
      </c>
      <c r="BF68" s="636">
        <f t="shared" si="180"/>
        <v>1.1432420650555804E-2</v>
      </c>
      <c r="BG68" s="652">
        <f t="shared" si="180"/>
        <v>1.1288819105729915E-2</v>
      </c>
      <c r="BH68" s="636">
        <f t="shared" ref="BH68:BK68" si="181">BH65/BH$78</f>
        <v>1.3974646558807653E-2</v>
      </c>
      <c r="BI68" s="636">
        <f t="shared" si="181"/>
        <v>1.3668799850575909E-2</v>
      </c>
      <c r="BJ68" s="636">
        <f t="shared" si="181"/>
        <v>1.3925241853447243E-2</v>
      </c>
      <c r="BK68" s="652">
        <f t="shared" si="181"/>
        <v>1.3656457282478272E-2</v>
      </c>
      <c r="BL68" s="1178"/>
      <c r="BM68" s="73"/>
      <c r="BN68" s="552"/>
      <c r="BO68" s="552"/>
      <c r="BP68" s="552"/>
      <c r="BQ68" s="552"/>
      <c r="BR68" s="552"/>
      <c r="BS68" s="73"/>
      <c r="BT68" s="552"/>
      <c r="BU68" s="676"/>
      <c r="BV68" s="711"/>
      <c r="BW68" s="636">
        <f>BW65/BW$78</f>
        <v>4.9679342426158435E-3</v>
      </c>
      <c r="BX68" s="636">
        <f>BX65/BX$78</f>
        <v>3.3509017124960009E-3</v>
      </c>
      <c r="BY68" s="636">
        <f>BY65/BY$78</f>
        <v>9.066139800194389E-3</v>
      </c>
      <c r="BZ68" s="636">
        <f>BZ65/BZ$78</f>
        <v>1.2350168894463822E-2</v>
      </c>
      <c r="CA68" s="652">
        <f>CA65/CA$78</f>
        <v>1.3803992695708067E-2</v>
      </c>
      <c r="CC68" s="1002"/>
      <c r="CD68" s="1003"/>
    </row>
    <row r="69" spans="1:82" ht="14.25" customHeight="1">
      <c r="A69" s="559"/>
      <c r="B69" s="73"/>
      <c r="C69" s="552"/>
      <c r="D69" s="552"/>
      <c r="E69" s="552"/>
      <c r="F69" s="552"/>
      <c r="G69" s="552"/>
      <c r="H69" s="552"/>
      <c r="I69" s="552"/>
      <c r="J69" s="552"/>
      <c r="K69" s="552"/>
      <c r="L69" s="552"/>
      <c r="M69" s="552"/>
      <c r="N69" s="552"/>
      <c r="O69" s="552"/>
      <c r="P69" s="552"/>
      <c r="Q69" s="552"/>
      <c r="R69" s="552"/>
      <c r="S69" s="552"/>
      <c r="T69" s="552"/>
      <c r="U69" s="552"/>
      <c r="V69" s="552"/>
      <c r="W69" s="552"/>
      <c r="X69" s="552"/>
      <c r="Y69" s="552"/>
      <c r="Z69" s="552"/>
      <c r="AA69" s="552"/>
      <c r="AB69" s="552"/>
      <c r="AC69" s="552"/>
      <c r="AD69" s="552"/>
      <c r="AE69" s="552"/>
      <c r="AF69" s="552"/>
      <c r="AG69" s="552"/>
      <c r="AH69" s="552"/>
      <c r="AI69" s="552"/>
      <c r="AJ69" s="552"/>
      <c r="AK69" s="552"/>
      <c r="AL69" s="552"/>
      <c r="AM69" s="552"/>
      <c r="AN69" s="73"/>
      <c r="AO69" s="552"/>
      <c r="AP69" s="552"/>
      <c r="AQ69" s="566"/>
      <c r="AR69" s="552"/>
      <c r="AS69" s="552"/>
      <c r="AT69" s="552"/>
      <c r="AU69" s="566"/>
      <c r="AV69" s="73"/>
      <c r="AW69" s="552"/>
      <c r="AX69" s="552"/>
      <c r="AY69" s="1141"/>
      <c r="AZ69" s="73"/>
      <c r="BA69" s="552"/>
      <c r="BB69" s="552"/>
      <c r="BC69" s="1141"/>
      <c r="BD69" s="73"/>
      <c r="BE69" s="552"/>
      <c r="BF69" s="552"/>
      <c r="BG69" s="566"/>
      <c r="BH69" s="552"/>
      <c r="BI69" s="552"/>
      <c r="BJ69" s="552"/>
      <c r="BK69" s="566"/>
      <c r="BL69" s="1178"/>
      <c r="BM69" s="73"/>
      <c r="BN69" s="552"/>
      <c r="BO69" s="552"/>
      <c r="BP69" s="552"/>
      <c r="BQ69" s="552"/>
      <c r="BR69" s="552"/>
      <c r="BS69" s="73"/>
      <c r="BT69" s="628"/>
      <c r="BU69" s="682"/>
      <c r="BV69" s="561"/>
      <c r="BW69" s="552"/>
      <c r="BX69" s="552"/>
      <c r="BY69" s="552"/>
      <c r="BZ69" s="552"/>
      <c r="CA69" s="566"/>
      <c r="CC69" s="1002"/>
      <c r="CD69" s="1003"/>
    </row>
    <row r="70" spans="1:82" ht="14.25" customHeight="1">
      <c r="A70" s="559"/>
      <c r="B70" s="637" t="s">
        <v>354</v>
      </c>
      <c r="C70" s="552"/>
      <c r="D70" s="552"/>
      <c r="E70" s="552"/>
      <c r="F70" s="552"/>
      <c r="G70" s="552"/>
      <c r="H70" s="552"/>
      <c r="I70" s="552"/>
      <c r="J70" s="552"/>
      <c r="K70" s="552"/>
      <c r="L70" s="552"/>
      <c r="M70" s="552"/>
      <c r="N70" s="552"/>
      <c r="O70" s="552"/>
      <c r="P70" s="552"/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656"/>
      <c r="AO70" s="592"/>
      <c r="AP70" s="592"/>
      <c r="AQ70" s="657"/>
      <c r="AR70" s="592">
        <v>-669</v>
      </c>
      <c r="AS70" s="592">
        <v>-809</v>
      </c>
      <c r="AT70" s="592">
        <v>-669</v>
      </c>
      <c r="AU70" s="657">
        <v>-831</v>
      </c>
      <c r="AV70" s="656">
        <v>-994</v>
      </c>
      <c r="AW70" s="592">
        <v>-2258</v>
      </c>
      <c r="AX70" s="592">
        <v>-1225</v>
      </c>
      <c r="AY70" s="1142">
        <v>-1152</v>
      </c>
      <c r="AZ70" s="1145">
        <v>-1082</v>
      </c>
      <c r="BA70" s="592">
        <v>-985</v>
      </c>
      <c r="BB70" s="592">
        <v>-947</v>
      </c>
      <c r="BC70" s="1142">
        <v>-1307</v>
      </c>
      <c r="BD70" s="1145">
        <v>-1166</v>
      </c>
      <c r="BE70" s="592"/>
      <c r="BF70" s="592"/>
      <c r="BG70" s="657"/>
      <c r="BH70" s="592"/>
      <c r="BI70" s="592"/>
      <c r="BJ70" s="592"/>
      <c r="BK70" s="657"/>
      <c r="BL70" s="571"/>
      <c r="BM70" s="642"/>
      <c r="BN70" s="567"/>
      <c r="BO70" s="567"/>
      <c r="BP70" s="567"/>
      <c r="BQ70" s="567"/>
      <c r="BR70" s="567"/>
      <c r="BS70" s="642"/>
      <c r="BT70" s="592"/>
      <c r="BU70" s="683"/>
      <c r="BV70" s="709">
        <v>-3362</v>
      </c>
      <c r="BW70" s="567">
        <f>SUM(AR70:AU70)</f>
        <v>-2978</v>
      </c>
      <c r="BX70" s="567"/>
      <c r="BY70" s="552"/>
      <c r="BZ70" s="552"/>
      <c r="CA70" s="566"/>
      <c r="CC70" s="1002"/>
      <c r="CD70" s="1003"/>
    </row>
    <row r="71" spans="1:82" ht="14.25" customHeight="1">
      <c r="A71" s="559"/>
      <c r="B71" s="502" t="s">
        <v>290</v>
      </c>
      <c r="C71" s="552"/>
      <c r="D71" s="552"/>
      <c r="E71" s="552"/>
      <c r="F71" s="552"/>
      <c r="G71" s="552"/>
      <c r="H71" s="552"/>
      <c r="I71" s="552"/>
      <c r="J71" s="552"/>
      <c r="K71" s="552"/>
      <c r="L71" s="552"/>
      <c r="M71" s="552"/>
      <c r="N71" s="552"/>
      <c r="O71" s="552"/>
      <c r="P71" s="552"/>
      <c r="Q71" s="552"/>
      <c r="R71" s="552"/>
      <c r="S71" s="552"/>
      <c r="T71" s="552"/>
      <c r="U71" s="552"/>
      <c r="V71" s="552"/>
      <c r="W71" s="552"/>
      <c r="X71" s="552"/>
      <c r="Y71" s="552"/>
      <c r="Z71" s="552"/>
      <c r="AA71" s="552"/>
      <c r="AB71" s="552"/>
      <c r="AC71" s="552"/>
      <c r="AD71" s="552"/>
      <c r="AE71" s="552"/>
      <c r="AF71" s="552"/>
      <c r="AG71" s="552"/>
      <c r="AH71" s="552"/>
      <c r="AI71" s="552"/>
      <c r="AJ71" s="552"/>
      <c r="AK71" s="552"/>
      <c r="AL71" s="552"/>
      <c r="AM71" s="552"/>
      <c r="AN71" s="73"/>
      <c r="AO71" s="636"/>
      <c r="AP71" s="636"/>
      <c r="AQ71" s="652"/>
      <c r="AR71" s="636"/>
      <c r="AS71" s="636">
        <f t="shared" ref="AS71:BD71" si="182">AS70/AR70-1</f>
        <v>0.2092675635276533</v>
      </c>
      <c r="AT71" s="636">
        <f t="shared" si="182"/>
        <v>-0.17305315203955496</v>
      </c>
      <c r="AU71" s="652">
        <f t="shared" si="182"/>
        <v>0.24215246636771304</v>
      </c>
      <c r="AV71" s="655">
        <f t="shared" si="182"/>
        <v>0.1961492178098676</v>
      </c>
      <c r="AW71" s="636">
        <f t="shared" si="182"/>
        <v>1.2716297786720321</v>
      </c>
      <c r="AX71" s="636">
        <f t="shared" si="182"/>
        <v>-0.45748449955713022</v>
      </c>
      <c r="AY71" s="1140">
        <f t="shared" si="182"/>
        <v>-5.9591836734693926E-2</v>
      </c>
      <c r="AZ71" s="655">
        <f t="shared" si="182"/>
        <v>-6.076388888888884E-2</v>
      </c>
      <c r="BA71" s="636">
        <f t="shared" si="182"/>
        <v>-8.9648798521256956E-2</v>
      </c>
      <c r="BB71" s="636">
        <f t="shared" si="182"/>
        <v>-3.8578680203045668E-2</v>
      </c>
      <c r="BC71" s="1140">
        <f t="shared" si="182"/>
        <v>0.38014783526927132</v>
      </c>
      <c r="BD71" s="655">
        <f t="shared" si="182"/>
        <v>-0.10788064269319053</v>
      </c>
      <c r="BE71" s="636"/>
      <c r="BF71" s="636"/>
      <c r="BG71" s="652"/>
      <c r="BH71" s="636"/>
      <c r="BI71" s="636"/>
      <c r="BJ71" s="636"/>
      <c r="BK71" s="652"/>
      <c r="BL71" s="1178"/>
      <c r="BM71" s="73"/>
      <c r="BN71" s="552"/>
      <c r="BO71" s="552"/>
      <c r="BP71" s="552"/>
      <c r="BQ71" s="552"/>
      <c r="BR71" s="552"/>
      <c r="BS71" s="73"/>
      <c r="BT71" s="628"/>
      <c r="BU71" s="682"/>
      <c r="BV71" s="561"/>
      <c r="BW71" s="552"/>
      <c r="BX71" s="552"/>
      <c r="BY71" s="552"/>
      <c r="BZ71" s="552"/>
      <c r="CA71" s="566"/>
      <c r="CC71" s="1002"/>
      <c r="CD71" s="1003"/>
    </row>
    <row r="72" spans="1:82" ht="14.25" customHeight="1">
      <c r="A72" s="559"/>
      <c r="B72" s="563" t="s">
        <v>291</v>
      </c>
      <c r="C72" s="552"/>
      <c r="D72" s="552"/>
      <c r="E72" s="552"/>
      <c r="F72" s="552"/>
      <c r="G72" s="552"/>
      <c r="H72" s="552"/>
      <c r="I72" s="552"/>
      <c r="J72" s="552"/>
      <c r="K72" s="552"/>
      <c r="L72" s="552"/>
      <c r="M72" s="552"/>
      <c r="N72" s="552"/>
      <c r="O72" s="552"/>
      <c r="P72" s="552"/>
      <c r="Q72" s="552"/>
      <c r="R72" s="552"/>
      <c r="S72" s="552"/>
      <c r="T72" s="552"/>
      <c r="U72" s="552"/>
      <c r="V72" s="552"/>
      <c r="W72" s="552"/>
      <c r="X72" s="552"/>
      <c r="Y72" s="552"/>
      <c r="Z72" s="552"/>
      <c r="AA72" s="552"/>
      <c r="AB72" s="552"/>
      <c r="AC72" s="552"/>
      <c r="AD72" s="552"/>
      <c r="AE72" s="552"/>
      <c r="AF72" s="552"/>
      <c r="AG72" s="552"/>
      <c r="AH72" s="552"/>
      <c r="AI72" s="552"/>
      <c r="AJ72" s="552"/>
      <c r="AK72" s="552"/>
      <c r="AL72" s="552"/>
      <c r="AM72" s="552"/>
      <c r="AN72" s="73"/>
      <c r="AO72" s="552"/>
      <c r="AP72" s="552"/>
      <c r="AQ72" s="566"/>
      <c r="AR72" s="636"/>
      <c r="AS72" s="636"/>
      <c r="AT72" s="636"/>
      <c r="AU72" s="652"/>
      <c r="AV72" s="655">
        <f t="shared" ref="AV72:BD72" si="183">AV70/AR70-1</f>
        <v>0.48579970104633774</v>
      </c>
      <c r="AW72" s="636">
        <f t="shared" si="183"/>
        <v>1.7911001236093944</v>
      </c>
      <c r="AX72" s="636">
        <f t="shared" si="183"/>
        <v>0.83109118086696565</v>
      </c>
      <c r="AY72" s="1140">
        <f t="shared" si="183"/>
        <v>0.38628158844765337</v>
      </c>
      <c r="AZ72" s="655">
        <f t="shared" si="183"/>
        <v>8.8531187122736332E-2</v>
      </c>
      <c r="BA72" s="636">
        <f t="shared" si="183"/>
        <v>-0.56377325066430473</v>
      </c>
      <c r="BB72" s="636">
        <f t="shared" si="183"/>
        <v>-0.22693877551020403</v>
      </c>
      <c r="BC72" s="1140">
        <f t="shared" si="183"/>
        <v>0.13454861111111116</v>
      </c>
      <c r="BD72" s="655">
        <f t="shared" si="183"/>
        <v>7.7634011090573107E-2</v>
      </c>
      <c r="BE72" s="552"/>
      <c r="BF72" s="552"/>
      <c r="BG72" s="566"/>
      <c r="BH72" s="552"/>
      <c r="BI72" s="552"/>
      <c r="BJ72" s="552"/>
      <c r="BK72" s="566"/>
      <c r="BL72" s="1178"/>
      <c r="BM72" s="73"/>
      <c r="BN72" s="552"/>
      <c r="BO72" s="552"/>
      <c r="BP72" s="552"/>
      <c r="BQ72" s="552"/>
      <c r="BR72" s="552"/>
      <c r="BS72" s="73"/>
      <c r="BT72" s="628"/>
      <c r="BU72" s="681"/>
      <c r="BV72" s="655"/>
      <c r="BW72" s="552"/>
      <c r="BX72" s="552"/>
      <c r="BY72" s="552"/>
      <c r="BZ72" s="552"/>
      <c r="CA72" s="566"/>
      <c r="CC72" s="1002"/>
      <c r="CD72" s="1003"/>
    </row>
    <row r="73" spans="1:82" ht="14.25" customHeight="1">
      <c r="A73" s="559"/>
      <c r="B73" s="527" t="s">
        <v>313</v>
      </c>
      <c r="C73" s="639"/>
      <c r="D73" s="639"/>
      <c r="E73" s="639"/>
      <c r="F73" s="639"/>
      <c r="G73" s="639"/>
      <c r="H73" s="639"/>
      <c r="I73" s="639"/>
      <c r="J73" s="639"/>
      <c r="K73" s="639"/>
      <c r="L73" s="639"/>
      <c r="M73" s="639"/>
      <c r="N73" s="639"/>
      <c r="O73" s="639"/>
      <c r="P73" s="639"/>
      <c r="Q73" s="639"/>
      <c r="R73" s="639"/>
      <c r="S73" s="639"/>
      <c r="T73" s="639"/>
      <c r="U73" s="639"/>
      <c r="V73" s="639"/>
      <c r="W73" s="639"/>
      <c r="X73" s="639"/>
      <c r="Y73" s="639"/>
      <c r="Z73" s="639"/>
      <c r="AA73" s="639"/>
      <c r="AB73" s="639"/>
      <c r="AC73" s="639"/>
      <c r="AD73" s="639"/>
      <c r="AE73" s="639"/>
      <c r="AF73" s="639"/>
      <c r="AG73" s="639"/>
      <c r="AH73" s="639"/>
      <c r="AI73" s="639"/>
      <c r="AJ73" s="639"/>
      <c r="AK73" s="639"/>
      <c r="AL73" s="639"/>
      <c r="AM73" s="639"/>
      <c r="AN73" s="658"/>
      <c r="AO73" s="640"/>
      <c r="AP73" s="640"/>
      <c r="AQ73" s="659"/>
      <c r="AR73" s="640"/>
      <c r="AS73" s="640"/>
      <c r="AT73" s="640"/>
      <c r="AU73" s="659"/>
      <c r="AV73" s="658"/>
      <c r="AW73" s="640"/>
      <c r="AX73" s="640"/>
      <c r="AY73" s="659"/>
      <c r="AZ73" s="658"/>
      <c r="BA73" s="640"/>
      <c r="BB73" s="640"/>
      <c r="BC73" s="659"/>
      <c r="BD73" s="658"/>
      <c r="BE73" s="640"/>
      <c r="BF73" s="640"/>
      <c r="BG73" s="659"/>
      <c r="BH73" s="640"/>
      <c r="BI73" s="640"/>
      <c r="BJ73" s="640"/>
      <c r="BK73" s="659"/>
      <c r="BL73" s="1178"/>
      <c r="BM73" s="568"/>
      <c r="BN73" s="639"/>
      <c r="BO73" s="639"/>
      <c r="BP73" s="639"/>
      <c r="BQ73" s="639"/>
      <c r="BR73" s="639"/>
      <c r="BS73" s="568"/>
      <c r="BT73" s="643"/>
      <c r="BU73" s="684"/>
      <c r="BV73" s="658"/>
      <c r="BW73" s="639"/>
      <c r="BX73" s="639"/>
      <c r="BY73" s="639"/>
      <c r="BZ73" s="639"/>
      <c r="CA73" s="590"/>
      <c r="CC73" s="1002"/>
      <c r="CD73" s="1003"/>
    </row>
    <row r="74" spans="1:82" ht="14.25" customHeight="1">
      <c r="A74" s="559"/>
      <c r="B74" s="502"/>
      <c r="C74" s="552"/>
      <c r="D74" s="552"/>
      <c r="E74" s="552"/>
      <c r="F74" s="552"/>
      <c r="G74" s="552"/>
      <c r="H74" s="552"/>
      <c r="I74" s="552"/>
      <c r="J74" s="552"/>
      <c r="K74" s="552"/>
      <c r="L74" s="552"/>
      <c r="M74" s="552"/>
      <c r="N74" s="552"/>
      <c r="O74" s="552"/>
      <c r="P74" s="552"/>
      <c r="Q74" s="552"/>
      <c r="R74" s="552"/>
      <c r="S74" s="552"/>
      <c r="T74" s="552"/>
      <c r="U74" s="552"/>
      <c r="V74" s="552"/>
      <c r="W74" s="552"/>
      <c r="X74" s="552"/>
      <c r="Y74" s="552"/>
      <c r="Z74" s="552"/>
      <c r="AA74" s="552"/>
      <c r="AB74" s="552"/>
      <c r="AC74" s="552"/>
      <c r="AD74" s="552"/>
      <c r="AE74" s="552"/>
      <c r="AF74" s="552"/>
      <c r="AG74" s="552"/>
      <c r="AH74" s="552"/>
      <c r="AI74" s="552"/>
      <c r="AJ74" s="552"/>
      <c r="AK74" s="552"/>
      <c r="AL74" s="552"/>
      <c r="AM74" s="552"/>
      <c r="AN74" s="552"/>
      <c r="AO74" s="552"/>
      <c r="AP74" s="552"/>
      <c r="AQ74" s="552"/>
      <c r="AR74" s="552"/>
      <c r="AS74" s="552"/>
      <c r="AT74" s="552"/>
      <c r="AU74" s="552"/>
      <c r="AV74" s="552"/>
      <c r="AW74" s="552"/>
      <c r="AX74" s="552"/>
      <c r="AY74" s="552"/>
      <c r="AZ74" s="552"/>
      <c r="BA74" s="552"/>
      <c r="BB74" s="552"/>
      <c r="BC74" s="552"/>
      <c r="BD74" s="552"/>
      <c r="BE74" s="552"/>
      <c r="BF74" s="552"/>
      <c r="BG74" s="552"/>
      <c r="BH74" s="552"/>
      <c r="BI74" s="552"/>
      <c r="BJ74" s="552"/>
      <c r="BK74" s="552"/>
      <c r="BM74" s="73"/>
      <c r="BN74" s="552"/>
      <c r="BO74" s="552"/>
      <c r="BP74" s="552"/>
      <c r="BQ74" s="552"/>
      <c r="BR74" s="552"/>
      <c r="BS74" s="612"/>
      <c r="BT74" s="552"/>
      <c r="BU74" s="628"/>
      <c r="BV74" s="260"/>
      <c r="BW74" s="260"/>
      <c r="BX74" s="260"/>
      <c r="BY74" s="612"/>
      <c r="BZ74" s="612"/>
      <c r="CA74" s="612"/>
      <c r="CC74" s="1002"/>
      <c r="CD74" s="1003"/>
    </row>
    <row r="75" spans="1:82" ht="14.25" customHeight="1">
      <c r="A75" s="559"/>
      <c r="B75" s="562"/>
      <c r="C75" s="552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552"/>
      <c r="AG75" s="552"/>
      <c r="AH75" s="552"/>
      <c r="AI75" s="552"/>
      <c r="AJ75" s="552"/>
      <c r="AK75" s="552"/>
      <c r="AL75" s="552"/>
      <c r="AM75" s="552"/>
      <c r="AN75" s="636"/>
      <c r="AO75" s="636"/>
      <c r="AP75" s="636"/>
      <c r="AQ75" s="636"/>
      <c r="AR75" s="636"/>
      <c r="AS75" s="636"/>
      <c r="AT75" s="636"/>
      <c r="AU75" s="636"/>
      <c r="AV75" s="636"/>
      <c r="AW75" s="636"/>
      <c r="AX75" s="636"/>
      <c r="AY75" s="636"/>
      <c r="AZ75" s="636"/>
      <c r="BA75" s="636"/>
      <c r="BB75" s="636"/>
      <c r="BC75" s="636"/>
      <c r="BD75" s="636"/>
      <c r="BE75" s="636"/>
      <c r="BF75" s="636"/>
      <c r="BG75" s="636"/>
      <c r="BH75" s="636"/>
      <c r="BI75" s="636"/>
      <c r="BJ75" s="636"/>
      <c r="BK75" s="636"/>
      <c r="BM75" s="552"/>
      <c r="BN75" s="552"/>
      <c r="BO75" s="552"/>
      <c r="BP75" s="552"/>
      <c r="BQ75" s="552"/>
      <c r="BR75" s="552"/>
      <c r="BS75" s="552"/>
      <c r="BT75" s="628"/>
      <c r="BU75" s="629"/>
      <c r="BV75" s="636"/>
      <c r="BW75" s="552"/>
      <c r="BX75" s="552"/>
      <c r="BY75" s="636"/>
      <c r="BZ75" s="636"/>
      <c r="CA75" s="636"/>
      <c r="CC75" s="1002"/>
      <c r="CD75" s="1003"/>
    </row>
    <row r="76" spans="1:82" ht="14.25" customHeight="1">
      <c r="A76" s="559"/>
      <c r="B76" s="666" t="s">
        <v>355</v>
      </c>
      <c r="C76" s="667"/>
      <c r="D76" s="667"/>
      <c r="E76" s="667"/>
      <c r="F76" s="667"/>
      <c r="G76" s="667"/>
      <c r="H76" s="667"/>
      <c r="I76" s="667"/>
      <c r="J76" s="667"/>
      <c r="K76" s="667"/>
      <c r="L76" s="667"/>
      <c r="M76" s="667"/>
      <c r="N76" s="667"/>
      <c r="O76" s="667"/>
      <c r="P76" s="667"/>
      <c r="Q76" s="667"/>
      <c r="R76" s="667"/>
      <c r="S76" s="667"/>
      <c r="T76" s="667"/>
      <c r="U76" s="667"/>
      <c r="V76" s="667"/>
      <c r="W76" s="667"/>
      <c r="X76" s="667"/>
      <c r="Y76" s="667"/>
      <c r="Z76" s="667"/>
      <c r="AA76" s="667"/>
      <c r="AB76" s="667"/>
      <c r="AC76" s="667"/>
      <c r="AD76" s="667"/>
      <c r="AE76" s="667"/>
      <c r="AF76" s="667"/>
      <c r="AG76" s="667"/>
      <c r="AH76" s="667"/>
      <c r="AI76" s="667"/>
      <c r="AJ76" s="667"/>
      <c r="AK76" s="667"/>
      <c r="AL76" s="667"/>
      <c r="AM76" s="668"/>
      <c r="AN76" s="669"/>
      <c r="AO76" s="670"/>
      <c r="AP76" s="670"/>
      <c r="AQ76" s="671"/>
      <c r="AR76" s="669">
        <f t="shared" ref="AR76:AX76" si="184">AR65+AR25+AR15+AR5+AR55+AR35+AR45</f>
        <v>12781</v>
      </c>
      <c r="AS76" s="670">
        <f t="shared" si="184"/>
        <v>13195</v>
      </c>
      <c r="AT76" s="670">
        <f t="shared" si="184"/>
        <v>14465</v>
      </c>
      <c r="AU76" s="671">
        <f t="shared" si="184"/>
        <v>14914</v>
      </c>
      <c r="AV76" s="669">
        <f t="shared" si="184"/>
        <v>13702</v>
      </c>
      <c r="AW76" s="670">
        <f t="shared" si="184"/>
        <v>13533</v>
      </c>
      <c r="AX76" s="670">
        <f t="shared" si="184"/>
        <v>15778</v>
      </c>
      <c r="AY76" s="671">
        <f>AY65+AY25+AY15+AY5+AY55+AY35+AY45</f>
        <v>16374</v>
      </c>
      <c r="AZ76" s="669">
        <f t="shared" ref="AZ76" si="185">AZ65+AZ25+AZ15+AZ5+AZ55+AZ35+AZ45</f>
        <v>14796</v>
      </c>
      <c r="BA76" s="670">
        <f t="shared" ref="BA76:BD76" si="186">BA65+BA25+BA15+BA5+BA55+BA35+BA45</f>
        <v>14763</v>
      </c>
      <c r="BB76" s="670">
        <f t="shared" si="186"/>
        <v>16149</v>
      </c>
      <c r="BC76" s="671">
        <f t="shared" si="186"/>
        <v>17053</v>
      </c>
      <c r="BD76" s="669">
        <f t="shared" si="186"/>
        <v>16066</v>
      </c>
      <c r="BE76" s="670">
        <f t="shared" ref="BE76:BG76" si="187">BE65+BE25+BE15+BE5+BE55+BE35+BE45</f>
        <v>16310.410474309041</v>
      </c>
      <c r="BF76" s="670">
        <f t="shared" si="187"/>
        <v>17551.727939624008</v>
      </c>
      <c r="BG76" s="671">
        <f t="shared" si="187"/>
        <v>17763.765032363321</v>
      </c>
      <c r="BH76" s="670">
        <f t="shared" ref="BH76:BK76" si="188">BH65+BH25+BH15+BH5+BH55+BH35+BH45</f>
        <v>16131.32272051673</v>
      </c>
      <c r="BI76" s="670">
        <f t="shared" si="188"/>
        <v>16486.220502257405</v>
      </c>
      <c r="BJ76" s="670">
        <f t="shared" si="188"/>
        <v>17973.1226693797</v>
      </c>
      <c r="BK76" s="671">
        <f t="shared" si="188"/>
        <v>18322.919293829244</v>
      </c>
      <c r="BL76" s="571"/>
      <c r="BM76" s="180"/>
      <c r="BN76" s="180"/>
      <c r="BO76" s="180"/>
      <c r="BP76" s="180"/>
      <c r="BQ76" s="180"/>
      <c r="BR76" s="180"/>
      <c r="BS76" s="669"/>
      <c r="BT76" s="670"/>
      <c r="BU76" s="685">
        <f t="shared" ref="BU76:BX76" si="189">BU65+BU25+BU15+BU5+BU55+BU35+BU45</f>
        <v>0</v>
      </c>
      <c r="BV76" s="669">
        <f t="shared" si="189"/>
        <v>55870</v>
      </c>
      <c r="BW76" s="670">
        <f t="shared" si="189"/>
        <v>55355</v>
      </c>
      <c r="BX76" s="670">
        <f t="shared" si="189"/>
        <v>59387</v>
      </c>
      <c r="BY76" s="670">
        <f t="shared" ref="BY76:BZ76" si="190">BY65+BY25+BY15+BY5+BY55+BY35+BY45</f>
        <v>62761</v>
      </c>
      <c r="BZ76" s="670">
        <f t="shared" si="190"/>
        <v>67691.903446296375</v>
      </c>
      <c r="CA76" s="671">
        <f t="shared" ref="CA76" si="191">CA65+CA25+CA15+CA5+CA55+CA35+CA45</f>
        <v>68913.585185983073</v>
      </c>
      <c r="CC76" s="1002"/>
      <c r="CD76" s="1003"/>
    </row>
    <row r="77" spans="1:82" ht="14.25" customHeight="1">
      <c r="A77" s="559"/>
      <c r="B77" s="562"/>
      <c r="C77" s="552"/>
      <c r="D77" s="552"/>
      <c r="E77" s="552"/>
      <c r="F77" s="552"/>
      <c r="G77" s="552"/>
      <c r="H77" s="552"/>
      <c r="I77" s="552"/>
      <c r="J77" s="552"/>
      <c r="K77" s="552"/>
      <c r="L77" s="552"/>
      <c r="M77" s="552"/>
      <c r="N77" s="552"/>
      <c r="O77" s="552"/>
      <c r="P77" s="552"/>
      <c r="Q77" s="552"/>
      <c r="R77" s="552"/>
      <c r="S77" s="552"/>
      <c r="T77" s="552"/>
      <c r="U77" s="552"/>
      <c r="V77" s="552"/>
      <c r="W77" s="552"/>
      <c r="X77" s="552"/>
      <c r="Y77" s="552"/>
      <c r="Z77" s="552"/>
      <c r="AA77" s="552"/>
      <c r="AB77" s="552"/>
      <c r="AC77" s="552"/>
      <c r="AD77" s="552"/>
      <c r="AE77" s="552"/>
      <c r="AF77" s="552"/>
      <c r="AG77" s="552"/>
      <c r="AH77" s="552"/>
      <c r="AI77" s="552"/>
      <c r="AJ77" s="552"/>
      <c r="AK77" s="552"/>
      <c r="AL77" s="552"/>
      <c r="AM77" s="552"/>
      <c r="AN77" s="552"/>
      <c r="AO77" s="552"/>
      <c r="AP77" s="552"/>
      <c r="AQ77" s="552"/>
      <c r="AR77" s="552"/>
      <c r="AS77" s="552"/>
      <c r="AT77" s="552"/>
      <c r="AU77" s="552"/>
      <c r="AV77" s="552"/>
      <c r="AW77" s="552"/>
      <c r="AX77" s="552"/>
      <c r="AY77" s="552"/>
      <c r="AZ77" s="552"/>
      <c r="BA77" s="552"/>
      <c r="BB77" s="552"/>
      <c r="BC77" s="552"/>
      <c r="BD77" s="552"/>
      <c r="BE77" s="552"/>
      <c r="BF77" s="552"/>
      <c r="BG77" s="552"/>
      <c r="BH77" s="552"/>
      <c r="BI77" s="552"/>
      <c r="BJ77" s="552"/>
      <c r="BK77" s="552"/>
      <c r="BS77" s="612"/>
      <c r="BT77" s="552"/>
      <c r="BU77" s="628"/>
      <c r="BV77" s="260"/>
      <c r="BW77" s="260"/>
      <c r="BX77" s="260"/>
      <c r="BY77" s="612"/>
      <c r="BZ77" s="612"/>
      <c r="CA77" s="612"/>
      <c r="CC77" s="1002"/>
      <c r="CD77" s="1003"/>
    </row>
    <row r="78" spans="1:82" ht="14.25" customHeight="1">
      <c r="A78" s="559"/>
      <c r="B78" s="265" t="s">
        <v>295</v>
      </c>
      <c r="C78" s="632"/>
      <c r="D78" s="632"/>
      <c r="E78" s="632"/>
      <c r="F78" s="632"/>
      <c r="G78" s="632"/>
      <c r="H78" s="632"/>
      <c r="I78" s="632"/>
      <c r="J78" s="632"/>
      <c r="K78" s="632"/>
      <c r="L78" s="632"/>
      <c r="M78" s="632"/>
      <c r="N78" s="632"/>
      <c r="O78" s="632"/>
      <c r="P78" s="632"/>
      <c r="Q78" s="632"/>
      <c r="R78" s="632"/>
      <c r="S78" s="632"/>
      <c r="T78" s="632"/>
      <c r="U78" s="632"/>
      <c r="V78" s="632"/>
      <c r="W78" s="632"/>
      <c r="X78" s="632"/>
      <c r="Y78" s="632"/>
      <c r="Z78" s="632"/>
      <c r="AA78" s="632"/>
      <c r="AB78" s="632"/>
      <c r="AC78" s="632"/>
      <c r="AD78" s="632"/>
      <c r="AE78" s="632"/>
      <c r="AF78" s="632"/>
      <c r="AG78" s="632"/>
      <c r="AH78" s="632"/>
      <c r="AI78" s="632"/>
      <c r="AJ78" s="632"/>
      <c r="AK78" s="632"/>
      <c r="AL78" s="632"/>
      <c r="AM78" s="591"/>
      <c r="AN78" s="641"/>
      <c r="AO78" s="634"/>
      <c r="AP78" s="634"/>
      <c r="AQ78" s="635"/>
      <c r="AR78" s="641">
        <f>IS!AR8</f>
        <v>12781</v>
      </c>
      <c r="AS78" s="634">
        <f>IS!AS8</f>
        <v>13195</v>
      </c>
      <c r="AT78" s="634">
        <f>IS!AT8</f>
        <v>14465</v>
      </c>
      <c r="AU78" s="635">
        <f>IS!AU8</f>
        <v>14914</v>
      </c>
      <c r="AV78" s="641">
        <f>IS!AV8</f>
        <v>13702</v>
      </c>
      <c r="AW78" s="634">
        <f>IS!AW8</f>
        <v>13533</v>
      </c>
      <c r="AX78" s="634">
        <f>IS!AX8</f>
        <v>15778</v>
      </c>
      <c r="AY78" s="635">
        <f>IS!AY8</f>
        <v>16374</v>
      </c>
      <c r="AZ78" s="641">
        <f>IS!AZ8</f>
        <v>14796</v>
      </c>
      <c r="BA78" s="634">
        <f>IS!BA8</f>
        <v>14763</v>
      </c>
      <c r="BB78" s="634">
        <f>IS!BB8</f>
        <v>16149</v>
      </c>
      <c r="BC78" s="635">
        <f>IS!BC8</f>
        <v>17053</v>
      </c>
      <c r="BD78" s="641">
        <f>IS!BD8</f>
        <v>16066</v>
      </c>
      <c r="BE78" s="634">
        <f>IS!BE8</f>
        <v>16310.410474309041</v>
      </c>
      <c r="BF78" s="634">
        <f>IS!BF8</f>
        <v>17551.727939624008</v>
      </c>
      <c r="BG78" s="635">
        <f>IS!BG8</f>
        <v>17763.765032363321</v>
      </c>
      <c r="BH78" s="634">
        <f>IS!BH8</f>
        <v>16131.32272051673</v>
      </c>
      <c r="BI78" s="634">
        <f>IS!BI8</f>
        <v>16486.220502257405</v>
      </c>
      <c r="BJ78" s="634">
        <f>IS!BJ8</f>
        <v>17973.1226693797</v>
      </c>
      <c r="BK78" s="635">
        <f>IS!BK8</f>
        <v>18322.919293829244</v>
      </c>
      <c r="BL78" s="571"/>
      <c r="BM78" s="180"/>
      <c r="BN78" s="180"/>
      <c r="BO78" s="180"/>
      <c r="BP78" s="180"/>
      <c r="BQ78" s="180"/>
      <c r="BR78" s="180"/>
      <c r="BS78" s="641"/>
      <c r="BT78" s="634"/>
      <c r="BU78" s="679">
        <f>IS!BU8</f>
        <v>52708</v>
      </c>
      <c r="BV78" s="641">
        <f>IS!BV8</f>
        <v>55870</v>
      </c>
      <c r="BW78" s="634">
        <f>IS!BW8</f>
        <v>55355</v>
      </c>
      <c r="BX78" s="634">
        <f>IS!BX8</f>
        <v>59387</v>
      </c>
      <c r="BY78" s="634">
        <f>IS!BY8</f>
        <v>62761</v>
      </c>
      <c r="BZ78" s="634">
        <f>IS!BZ8</f>
        <v>67691.903446296375</v>
      </c>
      <c r="CA78" s="635">
        <f>IS!CA8</f>
        <v>68913.585185983073</v>
      </c>
      <c r="CC78" s="1002"/>
      <c r="CD78" s="1003"/>
    </row>
    <row r="79" spans="1:82" ht="14.25" customHeight="1">
      <c r="A79" s="559"/>
      <c r="B79" s="515" t="s">
        <v>296</v>
      </c>
      <c r="C79" s="639"/>
      <c r="D79" s="639"/>
      <c r="E79" s="639"/>
      <c r="F79" s="639"/>
      <c r="G79" s="639"/>
      <c r="H79" s="639"/>
      <c r="I79" s="639"/>
      <c r="J79" s="639"/>
      <c r="K79" s="639"/>
      <c r="L79" s="639"/>
      <c r="M79" s="639"/>
      <c r="N79" s="639"/>
      <c r="O79" s="639"/>
      <c r="P79" s="639"/>
      <c r="Q79" s="639"/>
      <c r="R79" s="639"/>
      <c r="S79" s="639"/>
      <c r="T79" s="639"/>
      <c r="U79" s="639"/>
      <c r="V79" s="639"/>
      <c r="W79" s="639"/>
      <c r="X79" s="639"/>
      <c r="Y79" s="639"/>
      <c r="Z79" s="639"/>
      <c r="AA79" s="639"/>
      <c r="AB79" s="639"/>
      <c r="AC79" s="639"/>
      <c r="AD79" s="639"/>
      <c r="AE79" s="639"/>
      <c r="AF79" s="639"/>
      <c r="AG79" s="639"/>
      <c r="AH79" s="639"/>
      <c r="AI79" s="639"/>
      <c r="AJ79" s="639"/>
      <c r="AK79" s="639"/>
      <c r="AL79" s="639"/>
      <c r="AM79" s="590"/>
      <c r="AN79" s="660"/>
      <c r="AO79" s="661"/>
      <c r="AP79" s="661"/>
      <c r="AQ79" s="662"/>
      <c r="AR79" s="660">
        <f>IS!AR55</f>
        <v>2615</v>
      </c>
      <c r="AS79" s="661">
        <f>IS!AS55</f>
        <v>2896</v>
      </c>
      <c r="AT79" s="661">
        <f>IS!AT55</f>
        <v>4192</v>
      </c>
      <c r="AU79" s="662">
        <f>IS!AU55</f>
        <v>4299</v>
      </c>
      <c r="AV79" s="660">
        <f>IS!AV55</f>
        <v>2568</v>
      </c>
      <c r="AW79" s="661">
        <f>IS!AW55</f>
        <v>1318</v>
      </c>
      <c r="AX79" s="661">
        <f>IS!AX55</f>
        <v>4462</v>
      </c>
      <c r="AY79" s="662">
        <f>IS!AY55</f>
        <v>4526</v>
      </c>
      <c r="AZ79" s="660">
        <f>IS!AZ55</f>
        <v>3599</v>
      </c>
      <c r="BA79" s="661">
        <f>IS!BA55</f>
        <v>3827</v>
      </c>
      <c r="BB79" s="661">
        <f>IS!BB55</f>
        <v>5115</v>
      </c>
      <c r="BC79" s="662">
        <f>IS!BC55</f>
        <v>5395</v>
      </c>
      <c r="BD79" s="660">
        <f>IS!BD55</f>
        <v>4470</v>
      </c>
      <c r="BE79" s="661">
        <f>IS!BE55</f>
        <v>4790.9024417000601</v>
      </c>
      <c r="BF79" s="661">
        <f>IS!BF55</f>
        <v>5742.0713225668842</v>
      </c>
      <c r="BG79" s="662">
        <f>IS!BG55</f>
        <v>5873.5343200652587</v>
      </c>
      <c r="BH79" s="661">
        <f>IS!BH55</f>
        <v>4811.4200867203726</v>
      </c>
      <c r="BI79" s="661">
        <f>IS!BI55</f>
        <v>4899.0256088883034</v>
      </c>
      <c r="BJ79" s="661">
        <f>IS!BJ55</f>
        <v>5813.4704416685145</v>
      </c>
      <c r="BK79" s="662">
        <f>IS!BK55</f>
        <v>6070.2099621741309</v>
      </c>
      <c r="BL79" s="571"/>
      <c r="BM79" s="180"/>
      <c r="BN79" s="180"/>
      <c r="BO79" s="180"/>
      <c r="BP79" s="180"/>
      <c r="BQ79" s="180"/>
      <c r="BR79" s="180"/>
      <c r="BS79" s="660"/>
      <c r="BT79" s="661"/>
      <c r="BU79" s="686">
        <f>IS!BU55</f>
        <v>12291</v>
      </c>
      <c r="BV79" s="660">
        <f>IS!BV55</f>
        <v>15347</v>
      </c>
      <c r="BW79" s="661">
        <f>IS!BW55</f>
        <v>14002</v>
      </c>
      <c r="BX79" s="661">
        <f>IS!BX55</f>
        <v>12874</v>
      </c>
      <c r="BY79" s="661">
        <f>IS!BY55</f>
        <v>17936</v>
      </c>
      <c r="BZ79" s="661">
        <f>IS!BZ55</f>
        <v>20876.508084332207</v>
      </c>
      <c r="CA79" s="662">
        <f>IS!CA55</f>
        <v>21594.126099451314</v>
      </c>
      <c r="CC79" s="1002"/>
      <c r="CD79" s="1003"/>
    </row>
    <row r="80" spans="1:82">
      <c r="AY80" s="1061"/>
      <c r="CA80" s="1167"/>
    </row>
    <row r="81" spans="2:79" ht="15">
      <c r="B81" s="672" t="s">
        <v>356</v>
      </c>
      <c r="AN81" s="673"/>
      <c r="AO81" s="673"/>
      <c r="AP81" s="673"/>
      <c r="AQ81" s="673"/>
      <c r="AR81" s="673">
        <f t="shared" ref="AR81:AX81" si="192">AR78-AR76</f>
        <v>0</v>
      </c>
      <c r="AS81" s="673">
        <f t="shared" si="192"/>
        <v>0</v>
      </c>
      <c r="AT81" s="673">
        <f t="shared" si="192"/>
        <v>0</v>
      </c>
      <c r="AU81" s="673">
        <f t="shared" si="192"/>
        <v>0</v>
      </c>
      <c r="AV81" s="673">
        <f t="shared" si="192"/>
        <v>0</v>
      </c>
      <c r="AW81" s="673">
        <f t="shared" si="192"/>
        <v>0</v>
      </c>
      <c r="AX81" s="673">
        <f t="shared" si="192"/>
        <v>0</v>
      </c>
      <c r="AY81" s="673">
        <f t="shared" ref="AY81" si="193">AY78-AY76</f>
        <v>0</v>
      </c>
      <c r="AZ81" s="673">
        <f t="shared" ref="AZ81:BC81" si="194">AZ78-AZ76</f>
        <v>0</v>
      </c>
      <c r="BA81" s="673">
        <f t="shared" si="194"/>
        <v>0</v>
      </c>
      <c r="BB81" s="673">
        <f t="shared" si="194"/>
        <v>0</v>
      </c>
      <c r="BC81" s="673">
        <f t="shared" si="194"/>
        <v>0</v>
      </c>
      <c r="BD81" s="673">
        <f t="shared" ref="BD81:BG81" si="195">BD78-BD76</f>
        <v>0</v>
      </c>
      <c r="BE81" s="673">
        <f t="shared" si="195"/>
        <v>0</v>
      </c>
      <c r="BF81" s="673">
        <f t="shared" si="195"/>
        <v>0</v>
      </c>
      <c r="BG81" s="673">
        <f t="shared" si="195"/>
        <v>0</v>
      </c>
      <c r="BH81" s="673">
        <f t="shared" ref="BH81:BK81" si="196">BH78-BH76</f>
        <v>0</v>
      </c>
      <c r="BI81" s="673">
        <f t="shared" si="196"/>
        <v>0</v>
      </c>
      <c r="BJ81" s="673">
        <f t="shared" si="196"/>
        <v>0</v>
      </c>
      <c r="BK81" s="673">
        <f t="shared" si="196"/>
        <v>0</v>
      </c>
      <c r="BV81" s="673">
        <f t="shared" ref="BV81:BX81" si="197">BV78-BV76</f>
        <v>0</v>
      </c>
      <c r="BW81" s="673">
        <f t="shared" si="197"/>
        <v>0</v>
      </c>
      <c r="BX81" s="673">
        <f t="shared" si="197"/>
        <v>0</v>
      </c>
      <c r="BY81" s="673">
        <f t="shared" ref="BY81:BZ81" si="198">BY78-BY76</f>
        <v>0</v>
      </c>
      <c r="BZ81" s="673">
        <f t="shared" si="198"/>
        <v>0</v>
      </c>
      <c r="CA81" s="673">
        <f t="shared" ref="CA81" si="199">CA78-CA76</f>
        <v>0</v>
      </c>
    </row>
    <row r="83" spans="2:79">
      <c r="BV83" s="673">
        <f t="shared" ref="BV83:CA83" si="200">BV76-BV45</f>
        <v>53860</v>
      </c>
      <c r="BW83" s="673">
        <f t="shared" si="200"/>
        <v>53370</v>
      </c>
      <c r="BX83" s="673">
        <f t="shared" si="200"/>
        <v>57226</v>
      </c>
      <c r="BY83" s="673">
        <f t="shared" si="200"/>
        <v>62227</v>
      </c>
      <c r="BZ83" s="673">
        <f t="shared" si="200"/>
        <v>67691.903446296375</v>
      </c>
      <c r="CA83" s="673">
        <f t="shared" si="200"/>
        <v>68913.585185983073</v>
      </c>
    </row>
    <row r="84" spans="2:79">
      <c r="BW84" s="556">
        <f>BW83/BV83-1</f>
        <v>-9.0976606015595873E-3</v>
      </c>
      <c r="BX84" s="556">
        <f>BX83/BW83-1</f>
        <v>7.2250327899568978E-2</v>
      </c>
      <c r="BY84" s="556">
        <f>BY83/BX83-1</f>
        <v>8.7390347045049444E-2</v>
      </c>
      <c r="BZ84" s="556">
        <f>BZ83/BY83-1</f>
        <v>8.782206190715236E-2</v>
      </c>
      <c r="CA84" s="556">
        <f>CA83/BZ83-1</f>
        <v>1.804767893188175E-2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rgb="FFFF0000"/>
  </sheetPr>
  <dimension ref="B1:BH545"/>
  <sheetViews>
    <sheetView zoomScale="85" zoomScaleNormal="85" workbookViewId="0">
      <pane xSplit="2" ySplit="16" topLeftCell="AA17" activePane="bottomRight" state="frozen"/>
      <selection activeCell="B7" sqref="B7"/>
      <selection pane="topRight" activeCell="B7" sqref="B7"/>
      <selection pane="bottomLeft" activeCell="B7" sqref="B7"/>
      <selection pane="bottomRight" activeCell="B3" sqref="B3"/>
    </sheetView>
  </sheetViews>
  <sheetFormatPr defaultRowHeight="12.75" outlineLevelRow="1" outlineLevelCol="1"/>
  <cols>
    <col min="1" max="1" width="2.5703125" style="763" customWidth="1"/>
    <col min="2" max="2" width="47.85546875" style="873" customWidth="1"/>
    <col min="3" max="3" width="10.28515625" style="874" hidden="1" customWidth="1" outlineLevel="1"/>
    <col min="4" max="5" width="10.28515625" style="875" hidden="1" customWidth="1" outlineLevel="1"/>
    <col min="6" max="6" width="10.28515625" style="873" hidden="1" customWidth="1" outlineLevel="1"/>
    <col min="7" max="7" width="10.28515625" style="874" hidden="1" customWidth="1" outlineLevel="1"/>
    <col min="8" max="8" width="10.28515625" style="875" hidden="1" customWidth="1" outlineLevel="1"/>
    <col min="9" max="9" width="8" style="875" hidden="1" customWidth="1" outlineLevel="1"/>
    <col min="10" max="10" width="10.28515625" style="873" hidden="1" customWidth="1" outlineLevel="1"/>
    <col min="11" max="11" width="10.28515625" style="874" hidden="1" customWidth="1" outlineLevel="1"/>
    <col min="12" max="12" width="10.42578125" style="875" hidden="1" customWidth="1" outlineLevel="1"/>
    <col min="13" max="13" width="8.42578125" style="875" hidden="1" customWidth="1" outlineLevel="1"/>
    <col min="14" max="14" width="10.42578125" style="873" hidden="1" customWidth="1" outlineLevel="1"/>
    <col min="15" max="15" width="10.42578125" style="874" hidden="1" customWidth="1" outlineLevel="1" collapsed="1"/>
    <col min="16" max="17" width="10.42578125" style="875" hidden="1" customWidth="1" outlineLevel="1"/>
    <col min="18" max="18" width="10.42578125" style="873" hidden="1" customWidth="1" outlineLevel="1"/>
    <col min="19" max="19" width="10.42578125" style="874" hidden="1" customWidth="1" outlineLevel="1"/>
    <col min="20" max="21" width="10.42578125" style="875" hidden="1" customWidth="1" outlineLevel="1"/>
    <col min="22" max="22" width="10.42578125" style="873" hidden="1" customWidth="1" outlineLevel="1"/>
    <col min="23" max="23" width="10.42578125" style="874" hidden="1" customWidth="1" outlineLevel="1" collapsed="1"/>
    <col min="24" max="25" width="10.28515625" style="875" hidden="1" customWidth="1" outlineLevel="1"/>
    <col min="26" max="26" width="10.28515625" style="873" hidden="1" customWidth="1" outlineLevel="1"/>
    <col min="27" max="27" width="10.28515625" style="874" bestFit="1" customWidth="1" collapsed="1"/>
    <col min="28" max="29" width="10.28515625" style="875" bestFit="1" customWidth="1"/>
    <col min="30" max="30" width="10.28515625" style="873" bestFit="1" customWidth="1"/>
    <col min="31" max="33" width="10.28515625" style="875" bestFit="1" customWidth="1"/>
    <col min="34" max="34" width="10.28515625" style="1262" bestFit="1" customWidth="1"/>
    <col min="35" max="38" width="10.28515625" style="875" customWidth="1"/>
    <col min="39" max="42" width="10.28515625" style="875" customWidth="1" outlineLevel="1"/>
    <col min="43" max="43" width="2.85546875" style="877" customWidth="1"/>
    <col min="44" max="44" width="1.5703125" style="763" customWidth="1"/>
    <col min="45" max="45" width="9.140625" style="762" hidden="1" customWidth="1" outlineLevel="1"/>
    <col min="46" max="46" width="12.7109375" style="762" hidden="1" customWidth="1" outlineLevel="1"/>
    <col min="47" max="48" width="11.7109375" style="762" hidden="1" customWidth="1" outlineLevel="1"/>
    <col min="49" max="49" width="9.140625" style="762" hidden="1" customWidth="1" outlineLevel="1"/>
    <col min="50" max="50" width="10.5703125" style="762" hidden="1" customWidth="1" outlineLevel="1"/>
    <col min="51" max="51" width="11" style="723" bestFit="1" customWidth="1" collapsed="1"/>
    <col min="52" max="54" width="11.85546875" style="723" bestFit="1" customWidth="1"/>
    <col min="55" max="56" width="9.140625" style="763"/>
    <col min="57" max="57" width="11.5703125" style="763" bestFit="1" customWidth="1"/>
    <col min="58" max="59" width="10.5703125" style="763" bestFit="1" customWidth="1"/>
    <col min="60" max="16384" width="9.140625" style="763"/>
  </cols>
  <sheetData>
    <row r="1" spans="2:54" s="717" customFormat="1" ht="15.75">
      <c r="B1" s="713" t="s">
        <v>0</v>
      </c>
      <c r="C1" s="714">
        <v>40238</v>
      </c>
      <c r="D1" s="715">
        <v>40330</v>
      </c>
      <c r="E1" s="715">
        <v>40422</v>
      </c>
      <c r="F1" s="716">
        <v>40513</v>
      </c>
      <c r="G1" s="714">
        <v>40603</v>
      </c>
      <c r="H1" s="715">
        <v>40695</v>
      </c>
      <c r="I1" s="715">
        <v>40787</v>
      </c>
      <c r="J1" s="716">
        <v>40878</v>
      </c>
      <c r="K1" s="714">
        <v>40969</v>
      </c>
      <c r="L1" s="715">
        <v>41061</v>
      </c>
      <c r="M1" s="715">
        <v>41153</v>
      </c>
      <c r="N1" s="716">
        <v>41244</v>
      </c>
      <c r="O1" s="714">
        <v>41334</v>
      </c>
      <c r="P1" s="715">
        <v>41426</v>
      </c>
      <c r="Q1" s="715">
        <v>41518</v>
      </c>
      <c r="R1" s="716">
        <v>41609</v>
      </c>
      <c r="S1" s="714">
        <v>41699</v>
      </c>
      <c r="T1" s="715">
        <v>41791</v>
      </c>
      <c r="U1" s="715">
        <v>41883</v>
      </c>
      <c r="V1" s="716">
        <v>41974</v>
      </c>
      <c r="W1" s="714">
        <v>42064</v>
      </c>
      <c r="X1" s="715">
        <v>42156</v>
      </c>
      <c r="Y1" s="715">
        <v>42248</v>
      </c>
      <c r="Z1" s="716">
        <v>42339</v>
      </c>
      <c r="AA1" s="714">
        <v>42430</v>
      </c>
      <c r="AB1" s="715">
        <v>42522</v>
      </c>
      <c r="AC1" s="715">
        <v>42614</v>
      </c>
      <c r="AD1" s="716">
        <v>42705</v>
      </c>
      <c r="AE1" s="714">
        <v>42795</v>
      </c>
      <c r="AF1" s="715">
        <v>42887</v>
      </c>
      <c r="AG1" s="715">
        <v>42979</v>
      </c>
      <c r="AH1" s="1236">
        <v>43070</v>
      </c>
      <c r="AI1" s="715">
        <v>43160</v>
      </c>
      <c r="AJ1" s="715">
        <v>43252</v>
      </c>
      <c r="AK1" s="715">
        <v>43344</v>
      </c>
      <c r="AL1" s="716">
        <v>43435</v>
      </c>
      <c r="AM1" s="715">
        <v>43525</v>
      </c>
      <c r="AN1" s="715">
        <v>43617</v>
      </c>
      <c r="AO1" s="715">
        <v>43709</v>
      </c>
      <c r="AP1" s="716">
        <v>43800</v>
      </c>
      <c r="AQ1" s="718"/>
      <c r="AS1" s="717">
        <v>2010</v>
      </c>
      <c r="AT1" s="717">
        <v>2011</v>
      </c>
      <c r="AU1" s="717">
        <v>2012</v>
      </c>
      <c r="AV1" s="717">
        <v>2013</v>
      </c>
      <c r="AW1" s="717">
        <v>2014</v>
      </c>
      <c r="AX1" s="717">
        <v>2015</v>
      </c>
      <c r="AY1" s="717" t="s">
        <v>497</v>
      </c>
      <c r="AZ1" s="717" t="s">
        <v>502</v>
      </c>
      <c r="BA1" s="717" t="s">
        <v>503</v>
      </c>
      <c r="BB1" s="717" t="s">
        <v>504</v>
      </c>
    </row>
    <row r="2" spans="2:54" s="717" customFormat="1">
      <c r="B2" s="719"/>
      <c r="C2" s="720" t="s">
        <v>326</v>
      </c>
      <c r="D2" s="721" t="s">
        <v>327</v>
      </c>
      <c r="E2" s="721" t="s">
        <v>328</v>
      </c>
      <c r="F2" s="722" t="s">
        <v>329</v>
      </c>
      <c r="G2" s="720" t="s">
        <v>330</v>
      </c>
      <c r="H2" s="721" t="s">
        <v>319</v>
      </c>
      <c r="I2" s="721" t="s">
        <v>331</v>
      </c>
      <c r="J2" s="722" t="s">
        <v>315</v>
      </c>
      <c r="K2" s="720" t="s">
        <v>316</v>
      </c>
      <c r="L2" s="721" t="s">
        <v>317</v>
      </c>
      <c r="M2" s="721" t="s">
        <v>318</v>
      </c>
      <c r="N2" s="722" t="s">
        <v>320</v>
      </c>
      <c r="O2" s="720" t="s">
        <v>308</v>
      </c>
      <c r="P2" s="721" t="s">
        <v>309</v>
      </c>
      <c r="Q2" s="721" t="s">
        <v>310</v>
      </c>
      <c r="R2" s="722" t="s">
        <v>311</v>
      </c>
      <c r="S2" s="720" t="s">
        <v>321</v>
      </c>
      <c r="T2" s="721" t="s">
        <v>322</v>
      </c>
      <c r="U2" s="721" t="s">
        <v>323</v>
      </c>
      <c r="V2" s="722" t="s">
        <v>324</v>
      </c>
      <c r="W2" s="720" t="s">
        <v>357</v>
      </c>
      <c r="X2" s="721" t="s">
        <v>384</v>
      </c>
      <c r="Y2" s="721" t="s">
        <v>385</v>
      </c>
      <c r="Z2" s="722" t="s">
        <v>386</v>
      </c>
      <c r="AA2" s="720" t="s">
        <v>387</v>
      </c>
      <c r="AB2" s="721" t="s">
        <v>507</v>
      </c>
      <c r="AC2" s="721" t="s">
        <v>389</v>
      </c>
      <c r="AD2" s="722" t="s">
        <v>390</v>
      </c>
      <c r="AE2" s="720" t="s">
        <v>524</v>
      </c>
      <c r="AF2" s="721" t="s">
        <v>527</v>
      </c>
      <c r="AG2" s="721" t="s">
        <v>542</v>
      </c>
      <c r="AH2" s="1237" t="s">
        <v>548</v>
      </c>
      <c r="AI2" s="721" t="s">
        <v>517</v>
      </c>
      <c r="AJ2" s="721" t="s">
        <v>388</v>
      </c>
      <c r="AK2" s="721" t="s">
        <v>518</v>
      </c>
      <c r="AL2" s="722" t="s">
        <v>519</v>
      </c>
      <c r="AM2" s="721" t="s">
        <v>536</v>
      </c>
      <c r="AN2" s="721" t="s">
        <v>537</v>
      </c>
      <c r="AO2" s="721" t="s">
        <v>538</v>
      </c>
      <c r="AP2" s="722" t="s">
        <v>539</v>
      </c>
      <c r="AQ2" s="718"/>
      <c r="AS2" s="723"/>
      <c r="AT2" s="723"/>
      <c r="AU2" s="723"/>
      <c r="AV2" s="723"/>
      <c r="AW2" s="723"/>
      <c r="AX2" s="723"/>
      <c r="AY2" s="723"/>
      <c r="AZ2" s="723"/>
      <c r="BA2" s="723"/>
      <c r="BB2" s="723"/>
    </row>
    <row r="3" spans="2:54" s="717" customFormat="1">
      <c r="B3" s="724" t="s">
        <v>306</v>
      </c>
      <c r="C3" s="720"/>
      <c r="D3" s="721"/>
      <c r="E3" s="721"/>
      <c r="F3" s="722"/>
      <c r="G3" s="720"/>
      <c r="H3" s="721"/>
      <c r="I3" s="721"/>
      <c r="J3" s="722"/>
      <c r="K3" s="720"/>
      <c r="L3" s="721"/>
      <c r="M3" s="721"/>
      <c r="N3" s="722"/>
      <c r="O3" s="720"/>
      <c r="P3" s="721"/>
      <c r="Q3" s="721"/>
      <c r="R3" s="722"/>
      <c r="S3" s="720"/>
      <c r="T3" s="721"/>
      <c r="U3" s="721"/>
      <c r="V3" s="722"/>
      <c r="W3" s="720"/>
      <c r="X3" s="721"/>
      <c r="Y3" s="721"/>
      <c r="Z3" s="722"/>
      <c r="AA3" s="720"/>
      <c r="AB3" s="803"/>
      <c r="AC3" s="721"/>
      <c r="AD3" s="722"/>
      <c r="AE3" s="720"/>
      <c r="AF3" s="721"/>
      <c r="AG3" s="721"/>
      <c r="AH3" s="1237"/>
      <c r="AI3" s="721"/>
      <c r="AJ3" s="721"/>
      <c r="AK3" s="721"/>
      <c r="AL3" s="722"/>
      <c r="AM3" s="721"/>
      <c r="AN3" s="721"/>
      <c r="AO3" s="721"/>
      <c r="AP3" s="722"/>
      <c r="AQ3" s="718"/>
      <c r="AS3" s="723"/>
      <c r="AT3" s="723"/>
      <c r="AU3" s="723"/>
      <c r="AV3" s="723"/>
      <c r="AW3" s="723">
        <f>AW5/AV5-1</f>
        <v>4.2049894800120224E-2</v>
      </c>
      <c r="AX3" s="1059">
        <f t="shared" ref="AX3" si="0">AX5/AW5-1</f>
        <v>-8.0063126600812606E-2</v>
      </c>
      <c r="AY3" s="1059"/>
      <c r="AZ3" s="723"/>
      <c r="BA3" s="723"/>
      <c r="BB3" s="723"/>
    </row>
    <row r="4" spans="2:54" s="717" customFormat="1">
      <c r="B4" s="725" t="s">
        <v>360</v>
      </c>
      <c r="C4" s="726"/>
      <c r="D4" s="727"/>
      <c r="E4" s="727"/>
      <c r="F4" s="728"/>
      <c r="G4" s="726"/>
      <c r="H4" s="727"/>
      <c r="I4" s="727"/>
      <c r="J4" s="728"/>
      <c r="K4" s="726"/>
      <c r="L4" s="727"/>
      <c r="M4" s="727"/>
      <c r="N4" s="728"/>
      <c r="O4" s="726">
        <f t="shared" ref="O4:AD4" si="1">O5+O6</f>
        <v>8458</v>
      </c>
      <c r="P4" s="727">
        <f t="shared" si="1"/>
        <v>8452</v>
      </c>
      <c r="Q4" s="727">
        <f t="shared" si="1"/>
        <v>8793</v>
      </c>
      <c r="R4" s="728">
        <f t="shared" si="1"/>
        <v>8942</v>
      </c>
      <c r="S4" s="726">
        <f t="shared" si="1"/>
        <v>8097</v>
      </c>
      <c r="T4" s="727">
        <f t="shared" si="1"/>
        <v>8718</v>
      </c>
      <c r="U4" s="727">
        <f t="shared" si="1"/>
        <v>9191</v>
      </c>
      <c r="V4" s="728">
        <f>V5+V6</f>
        <v>8865</v>
      </c>
      <c r="W4" s="726">
        <f t="shared" si="1"/>
        <v>7420</v>
      </c>
      <c r="X4" s="727">
        <f t="shared" si="1"/>
        <v>7537</v>
      </c>
      <c r="Y4" s="727">
        <f t="shared" si="1"/>
        <v>8506.0000000000018</v>
      </c>
      <c r="Z4" s="728">
        <f t="shared" si="1"/>
        <v>8756</v>
      </c>
      <c r="AA4" s="726">
        <f t="shared" si="1"/>
        <v>7548.9999999999991</v>
      </c>
      <c r="AB4" s="727">
        <f t="shared" si="1"/>
        <v>7338</v>
      </c>
      <c r="AC4" s="727">
        <f>AC5+AC6</f>
        <v>8892.2722552830182</v>
      </c>
      <c r="AD4" s="728">
        <f t="shared" si="1"/>
        <v>9129.2115994318447</v>
      </c>
      <c r="AE4" s="726">
        <f t="shared" ref="AE4" si="2">AE5+AE6</f>
        <v>7975.9999167780015</v>
      </c>
      <c r="AF4" s="727">
        <f t="shared" ref="AF4" si="3">AF5+AF6</f>
        <v>8213.3338344470994</v>
      </c>
      <c r="AG4" s="727">
        <f t="shared" ref="AG4:AI4" si="4">AG5+AG6</f>
        <v>8860.2596331512468</v>
      </c>
      <c r="AH4" s="1238">
        <f t="shared" si="4"/>
        <v>8953.958424775692</v>
      </c>
      <c r="AI4" s="726">
        <f t="shared" si="4"/>
        <v>8219.6934183157427</v>
      </c>
      <c r="AJ4" s="727">
        <f t="shared" ref="AJ4:AL4" si="5">AJ5+AJ6</f>
        <v>8339.2498324156986</v>
      </c>
      <c r="AK4" s="727">
        <f t="shared" si="5"/>
        <v>8840.3323240364844</v>
      </c>
      <c r="AL4" s="728">
        <f t="shared" si="5"/>
        <v>8829.6969038612733</v>
      </c>
      <c r="AM4" s="727">
        <f t="shared" ref="AM4:AP4" si="6">AM5+AM6</f>
        <v>7707.7811694229013</v>
      </c>
      <c r="AN4" s="727">
        <f t="shared" si="6"/>
        <v>7848.7867928113601</v>
      </c>
      <c r="AO4" s="727">
        <f t="shared" si="6"/>
        <v>8580.636241618613</v>
      </c>
      <c r="AP4" s="728">
        <f t="shared" si="6"/>
        <v>8594.2353055439671</v>
      </c>
      <c r="AQ4" s="718"/>
      <c r="AS4" s="729">
        <f t="shared" ref="AS4:AS12" si="7">SUM(C4:F4)</f>
        <v>0</v>
      </c>
      <c r="AT4" s="729">
        <f t="shared" ref="AT4:AT12" si="8">SUM(G4:J4)</f>
        <v>0</v>
      </c>
      <c r="AU4" s="729">
        <f t="shared" ref="AU4:AU12" si="9">SUM(K4:N4)</f>
        <v>0</v>
      </c>
      <c r="AV4" s="729">
        <f t="shared" ref="AV4:AV12" si="10">SUM(O4:R4)</f>
        <v>34645</v>
      </c>
      <c r="AW4" s="729">
        <f t="shared" ref="AW4:AW12" si="11">SUM(S4:V4)</f>
        <v>34871</v>
      </c>
      <c r="AX4" s="729">
        <f t="shared" ref="AX4:AX12" si="12">SUM(W4:Z4)</f>
        <v>32219</v>
      </c>
      <c r="AY4" s="729">
        <f t="shared" ref="AY4:AY12" si="13">SUM(AA4:AD4)</f>
        <v>32908.483854714861</v>
      </c>
      <c r="AZ4" s="729">
        <f t="shared" ref="AZ4:AZ12" si="14">SUM(AE4:AH4)</f>
        <v>34003.551809152043</v>
      </c>
      <c r="BA4" s="729">
        <f t="shared" ref="BA4:BA12" si="15">SUM(AI4:AL4)</f>
        <v>34228.972478629199</v>
      </c>
      <c r="BB4" s="729">
        <f t="shared" ref="BB4:BB12" si="16">SUM(AM4:AP4)</f>
        <v>32731.439509396841</v>
      </c>
    </row>
    <row r="5" spans="2:54" s="717" customFormat="1">
      <c r="B5" s="730" t="s">
        <v>391</v>
      </c>
      <c r="C5" s="726"/>
      <c r="D5" s="727"/>
      <c r="E5" s="727"/>
      <c r="F5" s="728"/>
      <c r="G5" s="726"/>
      <c r="H5" s="727"/>
      <c r="I5" s="727"/>
      <c r="J5" s="728"/>
      <c r="K5" s="726"/>
      <c r="L5" s="727"/>
      <c r="M5" s="727"/>
      <c r="N5" s="728"/>
      <c r="O5" s="726">
        <f t="shared" ref="O5:Z5" si="17">O66</f>
        <v>8054</v>
      </c>
      <c r="P5" s="727">
        <f t="shared" si="17"/>
        <v>8160</v>
      </c>
      <c r="Q5" s="727">
        <f t="shared" si="17"/>
        <v>8440</v>
      </c>
      <c r="R5" s="728">
        <f>R66</f>
        <v>8616</v>
      </c>
      <c r="S5" s="726">
        <f t="shared" si="17"/>
        <v>7941</v>
      </c>
      <c r="T5" s="727">
        <f t="shared" si="17"/>
        <v>8667</v>
      </c>
      <c r="U5" s="727">
        <f t="shared" si="17"/>
        <v>9190</v>
      </c>
      <c r="V5" s="728">
        <f t="shared" si="17"/>
        <v>8871</v>
      </c>
      <c r="W5" s="726">
        <f t="shared" si="17"/>
        <v>7340.9773816578509</v>
      </c>
      <c r="X5" s="727">
        <f t="shared" si="17"/>
        <v>7420.6867754817449</v>
      </c>
      <c r="Y5" s="727">
        <f t="shared" si="17"/>
        <v>8446.3793867858421</v>
      </c>
      <c r="Z5" s="728">
        <f t="shared" si="17"/>
        <v>8685.2479199509889</v>
      </c>
      <c r="AA5" s="731">
        <f>AA66</f>
        <v>7433.7199999999993</v>
      </c>
      <c r="AB5" s="732">
        <f>AB66</f>
        <v>7197.1</v>
      </c>
      <c r="AC5" s="732">
        <f>AC66</f>
        <v>8532.2722552830182</v>
      </c>
      <c r="AD5" s="733">
        <f t="shared" ref="AD5" si="18">AD66</f>
        <v>8769.2115994318447</v>
      </c>
      <c r="AE5" s="731">
        <f>AE66</f>
        <v>7740.7199167780018</v>
      </c>
      <c r="AF5" s="732">
        <f>AF66</f>
        <v>7976.6138344471001</v>
      </c>
      <c r="AG5" s="732">
        <f t="shared" ref="AG5:AH5" si="19">AG66</f>
        <v>8420.2596331512468</v>
      </c>
      <c r="AH5" s="1239">
        <f t="shared" si="19"/>
        <v>8588.958424775692</v>
      </c>
      <c r="AI5" s="731">
        <f>AI66</f>
        <v>7954.6934183157427</v>
      </c>
      <c r="AJ5" s="732">
        <f t="shared" ref="AJ5:AL5" si="20">AJ66</f>
        <v>8083.6498324156992</v>
      </c>
      <c r="AK5" s="732">
        <f t="shared" si="20"/>
        <v>8485.3323240364844</v>
      </c>
      <c r="AL5" s="733">
        <f t="shared" si="20"/>
        <v>8474.6969038612733</v>
      </c>
      <c r="AM5" s="732">
        <f t="shared" ref="AM5:AP5" si="21">AM66</f>
        <v>7452.7811694229013</v>
      </c>
      <c r="AN5" s="732">
        <f t="shared" si="21"/>
        <v>7600.8367928113603</v>
      </c>
      <c r="AO5" s="732">
        <f t="shared" si="21"/>
        <v>8233.136241618613</v>
      </c>
      <c r="AP5" s="733">
        <f t="shared" si="21"/>
        <v>8246.7353055439671</v>
      </c>
      <c r="AQ5" s="718"/>
      <c r="AS5" s="729">
        <f t="shared" si="7"/>
        <v>0</v>
      </c>
      <c r="AT5" s="729">
        <f t="shared" si="8"/>
        <v>0</v>
      </c>
      <c r="AU5" s="729">
        <f t="shared" si="9"/>
        <v>0</v>
      </c>
      <c r="AV5" s="729">
        <f t="shared" si="10"/>
        <v>33270</v>
      </c>
      <c r="AW5" s="729">
        <f t="shared" si="11"/>
        <v>34669</v>
      </c>
      <c r="AX5" s="729">
        <f t="shared" si="12"/>
        <v>31893.291463876427</v>
      </c>
      <c r="AY5" s="729">
        <f t="shared" si="13"/>
        <v>31932.303854714861</v>
      </c>
      <c r="AZ5" s="729">
        <f t="shared" si="14"/>
        <v>32726.551809152043</v>
      </c>
      <c r="BA5" s="729">
        <f t="shared" si="15"/>
        <v>32998.3724786292</v>
      </c>
      <c r="BB5" s="729">
        <f t="shared" si="16"/>
        <v>31533.489509396841</v>
      </c>
    </row>
    <row r="6" spans="2:54" s="717" customFormat="1">
      <c r="B6" s="730" t="s">
        <v>392</v>
      </c>
      <c r="C6" s="726"/>
      <c r="D6" s="727"/>
      <c r="E6" s="727"/>
      <c r="F6" s="728"/>
      <c r="G6" s="726"/>
      <c r="H6" s="727"/>
      <c r="I6" s="727"/>
      <c r="J6" s="728"/>
      <c r="K6" s="726"/>
      <c r="L6" s="727"/>
      <c r="M6" s="727"/>
      <c r="N6" s="728"/>
      <c r="O6" s="726">
        <f t="shared" ref="O6:AB6" si="22">O88</f>
        <v>404</v>
      </c>
      <c r="P6" s="727">
        <f t="shared" si="22"/>
        <v>292</v>
      </c>
      <c r="Q6" s="727">
        <f t="shared" si="22"/>
        <v>353</v>
      </c>
      <c r="R6" s="728">
        <f t="shared" si="22"/>
        <v>326</v>
      </c>
      <c r="S6" s="726">
        <f t="shared" si="22"/>
        <v>156</v>
      </c>
      <c r="T6" s="727">
        <f t="shared" si="22"/>
        <v>51</v>
      </c>
      <c r="U6" s="727">
        <f t="shared" si="22"/>
        <v>1</v>
      </c>
      <c r="V6" s="728">
        <f t="shared" si="22"/>
        <v>-6</v>
      </c>
      <c r="W6" s="726">
        <f t="shared" si="22"/>
        <v>79.022618342149144</v>
      </c>
      <c r="X6" s="727">
        <f t="shared" si="22"/>
        <v>116.31322451825508</v>
      </c>
      <c r="Y6" s="727">
        <f t="shared" si="22"/>
        <v>59.620613214159675</v>
      </c>
      <c r="Z6" s="728">
        <f t="shared" si="22"/>
        <v>70.752080049011056</v>
      </c>
      <c r="AA6" s="731">
        <f t="shared" si="22"/>
        <v>115.28</v>
      </c>
      <c r="AB6" s="732">
        <f t="shared" si="22"/>
        <v>140.9</v>
      </c>
      <c r="AC6" s="732">
        <f>AC88</f>
        <v>360</v>
      </c>
      <c r="AD6" s="733">
        <f>AD88</f>
        <v>360</v>
      </c>
      <c r="AE6" s="731">
        <f t="shared" ref="AE6" si="23">AE88</f>
        <v>235.28</v>
      </c>
      <c r="AF6" s="732">
        <f t="shared" ref="AF6" si="24">AF88</f>
        <v>236.72</v>
      </c>
      <c r="AG6" s="732">
        <f t="shared" ref="AG6" si="25">AG88</f>
        <v>440</v>
      </c>
      <c r="AH6" s="1239">
        <f>AH88</f>
        <v>365</v>
      </c>
      <c r="AI6" s="731">
        <f t="shared" ref="AI6" si="26">AI88</f>
        <v>265</v>
      </c>
      <c r="AJ6" s="732">
        <f t="shared" ref="AJ6:AL6" si="27">AJ88</f>
        <v>255.6</v>
      </c>
      <c r="AK6" s="732">
        <f t="shared" si="27"/>
        <v>355</v>
      </c>
      <c r="AL6" s="733">
        <f t="shared" si="27"/>
        <v>355</v>
      </c>
      <c r="AM6" s="732">
        <f t="shared" ref="AM6:AP6" si="28">AM88</f>
        <v>255</v>
      </c>
      <c r="AN6" s="732">
        <f t="shared" si="28"/>
        <v>247.95</v>
      </c>
      <c r="AO6" s="732">
        <f t="shared" si="28"/>
        <v>347.5</v>
      </c>
      <c r="AP6" s="733">
        <f t="shared" si="28"/>
        <v>347.5</v>
      </c>
      <c r="AQ6" s="718"/>
      <c r="AS6" s="729">
        <f t="shared" si="7"/>
        <v>0</v>
      </c>
      <c r="AT6" s="729">
        <f t="shared" si="8"/>
        <v>0</v>
      </c>
      <c r="AU6" s="729">
        <f t="shared" si="9"/>
        <v>0</v>
      </c>
      <c r="AV6" s="729">
        <f t="shared" si="10"/>
        <v>1375</v>
      </c>
      <c r="AW6" s="729">
        <f t="shared" si="11"/>
        <v>202</v>
      </c>
      <c r="AX6" s="729">
        <f t="shared" si="12"/>
        <v>325.70853612357496</v>
      </c>
      <c r="AY6" s="729">
        <f t="shared" si="13"/>
        <v>976.18000000000006</v>
      </c>
      <c r="AZ6" s="729">
        <f t="shared" si="14"/>
        <v>1277</v>
      </c>
      <c r="BA6" s="729">
        <f t="shared" si="15"/>
        <v>1230.5999999999999</v>
      </c>
      <c r="BB6" s="729">
        <f t="shared" si="16"/>
        <v>1197.95</v>
      </c>
    </row>
    <row r="7" spans="2:54" s="717" customFormat="1">
      <c r="B7" s="725" t="s">
        <v>361</v>
      </c>
      <c r="C7" s="726"/>
      <c r="D7" s="727"/>
      <c r="E7" s="727"/>
      <c r="F7" s="728"/>
      <c r="G7" s="726"/>
      <c r="H7" s="727"/>
      <c r="I7" s="727"/>
      <c r="J7" s="728"/>
      <c r="K7" s="726"/>
      <c r="L7" s="727"/>
      <c r="M7" s="727"/>
      <c r="N7" s="728"/>
      <c r="O7" s="726">
        <f t="shared" ref="O7:R7" si="29">O153</f>
        <v>2777</v>
      </c>
      <c r="P7" s="727">
        <f t="shared" si="29"/>
        <v>2944</v>
      </c>
      <c r="Q7" s="727">
        <f t="shared" si="29"/>
        <v>3178</v>
      </c>
      <c r="R7" s="728">
        <f t="shared" si="29"/>
        <v>3262</v>
      </c>
      <c r="S7" s="726">
        <f>S153</f>
        <v>3087</v>
      </c>
      <c r="T7" s="727">
        <f t="shared" ref="T7:AD7" si="30">T153</f>
        <v>3509</v>
      </c>
      <c r="U7" s="727">
        <f t="shared" si="30"/>
        <v>3700</v>
      </c>
      <c r="V7" s="728">
        <f t="shared" si="30"/>
        <v>4091</v>
      </c>
      <c r="W7" s="726">
        <f t="shared" si="30"/>
        <v>3681</v>
      </c>
      <c r="X7" s="727">
        <f t="shared" si="30"/>
        <v>3852</v>
      </c>
      <c r="Y7" s="727">
        <f t="shared" si="30"/>
        <v>4140</v>
      </c>
      <c r="Z7" s="728">
        <f t="shared" si="30"/>
        <v>4308</v>
      </c>
      <c r="AA7" s="726">
        <f t="shared" si="30"/>
        <v>3999</v>
      </c>
      <c r="AB7" s="727">
        <f>AB153</f>
        <v>4027</v>
      </c>
      <c r="AC7" s="727">
        <f t="shared" si="30"/>
        <v>4542</v>
      </c>
      <c r="AD7" s="728">
        <f t="shared" si="30"/>
        <v>4668</v>
      </c>
      <c r="AE7" s="726">
        <f t="shared" ref="AE7:AF7" si="31">AE153</f>
        <v>4232</v>
      </c>
      <c r="AF7" s="727">
        <f t="shared" si="31"/>
        <v>4372</v>
      </c>
      <c r="AG7" s="727">
        <f t="shared" ref="AG7:AI7" si="32">AG153</f>
        <v>4878</v>
      </c>
      <c r="AH7" s="1238">
        <f t="shared" si="32"/>
        <v>5582</v>
      </c>
      <c r="AI7" s="726">
        <f t="shared" si="32"/>
        <v>5234</v>
      </c>
      <c r="AJ7" s="727">
        <f t="shared" ref="AJ7:AL7" si="33">AJ153</f>
        <v>5310.8114240526938</v>
      </c>
      <c r="AK7" s="727">
        <f t="shared" si="33"/>
        <v>5860.814103000107</v>
      </c>
      <c r="AL7" s="728">
        <f t="shared" si="33"/>
        <v>5894.7256641871181</v>
      </c>
      <c r="AM7" s="727">
        <f t="shared" ref="AM7:AP7" si="34">AM153</f>
        <v>5521.9098842713538</v>
      </c>
      <c r="AN7" s="727">
        <f t="shared" si="34"/>
        <v>5651.2747806509187</v>
      </c>
      <c r="AO7" s="727">
        <f t="shared" si="34"/>
        <v>6228.2945046880523</v>
      </c>
      <c r="AP7" s="728">
        <f t="shared" si="34"/>
        <v>6481.4873916677534</v>
      </c>
      <c r="AQ7" s="718"/>
      <c r="AS7" s="729">
        <f t="shared" si="7"/>
        <v>0</v>
      </c>
      <c r="AT7" s="729">
        <f t="shared" si="8"/>
        <v>0</v>
      </c>
      <c r="AU7" s="729">
        <f t="shared" si="9"/>
        <v>0</v>
      </c>
      <c r="AV7" s="729">
        <f t="shared" si="10"/>
        <v>12161</v>
      </c>
      <c r="AW7" s="729">
        <f t="shared" si="11"/>
        <v>14387</v>
      </c>
      <c r="AX7" s="729">
        <f t="shared" si="12"/>
        <v>15981</v>
      </c>
      <c r="AY7" s="729">
        <f t="shared" si="13"/>
        <v>17236</v>
      </c>
      <c r="AZ7" s="729">
        <f t="shared" si="14"/>
        <v>19064</v>
      </c>
      <c r="BA7" s="729">
        <f t="shared" si="15"/>
        <v>22300.351191239919</v>
      </c>
      <c r="BB7" s="729">
        <f t="shared" si="16"/>
        <v>23882.966561278077</v>
      </c>
    </row>
    <row r="8" spans="2:54" s="717" customFormat="1">
      <c r="B8" s="725" t="s">
        <v>362</v>
      </c>
      <c r="C8" s="726"/>
      <c r="D8" s="727"/>
      <c r="E8" s="727"/>
      <c r="F8" s="728"/>
      <c r="G8" s="726"/>
      <c r="H8" s="727"/>
      <c r="I8" s="727"/>
      <c r="J8" s="728"/>
      <c r="K8" s="726"/>
      <c r="L8" s="727"/>
      <c r="M8" s="727"/>
      <c r="N8" s="728"/>
      <c r="O8" s="726">
        <f t="shared" ref="O8:AC8" si="35">O182</f>
        <v>365</v>
      </c>
      <c r="P8" s="727">
        <f t="shared" si="35"/>
        <v>434</v>
      </c>
      <c r="Q8" s="727">
        <f t="shared" si="35"/>
        <v>464</v>
      </c>
      <c r="R8" s="728">
        <f t="shared" si="35"/>
        <v>538</v>
      </c>
      <c r="S8" s="726">
        <f t="shared" si="35"/>
        <v>482</v>
      </c>
      <c r="T8" s="727">
        <f t="shared" si="35"/>
        <v>539</v>
      </c>
      <c r="U8" s="727">
        <f t="shared" si="35"/>
        <v>530</v>
      </c>
      <c r="V8" s="728">
        <f t="shared" si="35"/>
        <v>591</v>
      </c>
      <c r="W8" s="726">
        <f t="shared" si="35"/>
        <v>533</v>
      </c>
      <c r="X8" s="727">
        <f t="shared" si="35"/>
        <v>559</v>
      </c>
      <c r="Y8" s="727">
        <f t="shared" si="35"/>
        <v>581</v>
      </c>
      <c r="Z8" s="728">
        <f t="shared" si="35"/>
        <v>625</v>
      </c>
      <c r="AA8" s="731">
        <f t="shared" si="35"/>
        <v>651</v>
      </c>
      <c r="AB8" s="732">
        <f t="shared" si="35"/>
        <v>572</v>
      </c>
      <c r="AC8" s="732">
        <f t="shared" si="35"/>
        <v>689</v>
      </c>
      <c r="AD8" s="733">
        <f>AD182</f>
        <v>726</v>
      </c>
      <c r="AE8" s="731">
        <f t="shared" ref="AE8" si="36">AE182</f>
        <v>721</v>
      </c>
      <c r="AF8" s="732">
        <f t="shared" ref="AF8" si="37">AF182</f>
        <v>720</v>
      </c>
      <c r="AG8" s="732">
        <f t="shared" ref="AG8" si="38">AG182</f>
        <v>849</v>
      </c>
      <c r="AH8" s="1239">
        <f>AH182</f>
        <v>879</v>
      </c>
      <c r="AI8" s="731">
        <f t="shared" ref="AI8" si="39">AI182</f>
        <v>840</v>
      </c>
      <c r="AJ8" s="732">
        <f t="shared" ref="AJ8:AL8" si="40">AJ182</f>
        <v>848.40000000000009</v>
      </c>
      <c r="AK8" s="732">
        <f t="shared" si="40"/>
        <v>958.69200000000001</v>
      </c>
      <c r="AL8" s="733">
        <f t="shared" si="40"/>
        <v>1010.7295735</v>
      </c>
      <c r="AM8" s="732">
        <f t="shared" ref="AM8:AP8" si="41">AM182</f>
        <v>1012.136739335</v>
      </c>
      <c r="AN8" s="732">
        <f t="shared" si="41"/>
        <v>990.51648398079999</v>
      </c>
      <c r="AO8" s="732">
        <f t="shared" si="41"/>
        <v>1040.0423081798399</v>
      </c>
      <c r="AP8" s="733">
        <f t="shared" si="41"/>
        <v>1060.8431543434369</v>
      </c>
      <c r="AQ8" s="718"/>
      <c r="AS8" s="729">
        <f t="shared" si="7"/>
        <v>0</v>
      </c>
      <c r="AT8" s="729">
        <f t="shared" si="8"/>
        <v>0</v>
      </c>
      <c r="AU8" s="729">
        <f t="shared" si="9"/>
        <v>0</v>
      </c>
      <c r="AV8" s="729">
        <f t="shared" si="10"/>
        <v>1801</v>
      </c>
      <c r="AW8" s="729">
        <f t="shared" si="11"/>
        <v>2142</v>
      </c>
      <c r="AX8" s="729">
        <f t="shared" si="12"/>
        <v>2298</v>
      </c>
      <c r="AY8" s="729">
        <f t="shared" si="13"/>
        <v>2638</v>
      </c>
      <c r="AZ8" s="729">
        <f t="shared" si="14"/>
        <v>3169</v>
      </c>
      <c r="BA8" s="729">
        <f t="shared" si="15"/>
        <v>3657.8215735000003</v>
      </c>
      <c r="BB8" s="729">
        <f t="shared" si="16"/>
        <v>4103.5386858390766</v>
      </c>
    </row>
    <row r="9" spans="2:54" s="717" customFormat="1">
      <c r="B9" s="725" t="s">
        <v>393</v>
      </c>
      <c r="C9" s="726"/>
      <c r="D9" s="727"/>
      <c r="E9" s="727"/>
      <c r="F9" s="728"/>
      <c r="G9" s="726"/>
      <c r="H9" s="727"/>
      <c r="I9" s="727"/>
      <c r="J9" s="728"/>
      <c r="K9" s="726"/>
      <c r="L9" s="727"/>
      <c r="M9" s="727"/>
      <c r="N9" s="728"/>
      <c r="O9" s="726"/>
      <c r="P9" s="727"/>
      <c r="Q9" s="727"/>
      <c r="R9" s="728"/>
      <c r="S9" s="726"/>
      <c r="T9" s="727"/>
      <c r="U9" s="727"/>
      <c r="V9" s="728"/>
      <c r="W9" s="726">
        <f t="shared" ref="W9:AD9" si="42">W210</f>
        <v>592</v>
      </c>
      <c r="X9" s="727">
        <f t="shared" si="42"/>
        <v>696</v>
      </c>
      <c r="Y9" s="727">
        <f t="shared" si="42"/>
        <v>655</v>
      </c>
      <c r="Z9" s="728">
        <f t="shared" si="42"/>
        <v>654</v>
      </c>
      <c r="AA9" s="731">
        <f t="shared" si="42"/>
        <v>557</v>
      </c>
      <c r="AB9" s="732">
        <f t="shared" si="42"/>
        <v>554</v>
      </c>
      <c r="AC9" s="732">
        <f t="shared" si="42"/>
        <v>649</v>
      </c>
      <c r="AD9" s="733">
        <f t="shared" si="42"/>
        <v>816</v>
      </c>
      <c r="AE9" s="731">
        <f t="shared" ref="AE9" si="43">AE210</f>
        <v>866</v>
      </c>
      <c r="AF9" s="732">
        <f t="shared" ref="AF9" si="44">AF210</f>
        <v>874</v>
      </c>
      <c r="AG9" s="732">
        <f t="shared" ref="AG9:AI9" si="45">AG210</f>
        <v>891</v>
      </c>
      <c r="AH9" s="1239">
        <f t="shared" si="45"/>
        <v>889</v>
      </c>
      <c r="AI9" s="731">
        <f t="shared" si="45"/>
        <v>1040</v>
      </c>
      <c r="AJ9" s="732">
        <f t="shared" ref="AJ9:AL9" si="46">AJ210</f>
        <v>1123.2</v>
      </c>
      <c r="AK9" s="732">
        <f t="shared" si="46"/>
        <v>1213.056</v>
      </c>
      <c r="AL9" s="733">
        <f t="shared" si="46"/>
        <v>1310.1004800000001</v>
      </c>
      <c r="AM9" s="732">
        <f t="shared" ref="AM9:AP9" si="47">AM210</f>
        <v>1179.0904320000002</v>
      </c>
      <c r="AN9" s="732">
        <f t="shared" si="47"/>
        <v>1261.6267622400003</v>
      </c>
      <c r="AO9" s="732">
        <f t="shared" si="47"/>
        <v>1349.9406355968003</v>
      </c>
      <c r="AP9" s="733">
        <f t="shared" si="47"/>
        <v>1417.4376673766403</v>
      </c>
      <c r="AQ9" s="718"/>
      <c r="AS9" s="729">
        <f t="shared" si="7"/>
        <v>0</v>
      </c>
      <c r="AT9" s="729">
        <f t="shared" si="8"/>
        <v>0</v>
      </c>
      <c r="AU9" s="729">
        <f t="shared" si="9"/>
        <v>0</v>
      </c>
      <c r="AV9" s="729">
        <f t="shared" si="10"/>
        <v>0</v>
      </c>
      <c r="AW9" s="729">
        <f t="shared" si="11"/>
        <v>0</v>
      </c>
      <c r="AX9" s="729">
        <f t="shared" si="12"/>
        <v>2597</v>
      </c>
      <c r="AY9" s="729">
        <f t="shared" si="13"/>
        <v>2576</v>
      </c>
      <c r="AZ9" s="729">
        <f t="shared" si="14"/>
        <v>3520</v>
      </c>
      <c r="BA9" s="729">
        <f t="shared" si="15"/>
        <v>4686.3564800000004</v>
      </c>
      <c r="BB9" s="729">
        <f t="shared" si="16"/>
        <v>5208.0954972134414</v>
      </c>
    </row>
    <row r="10" spans="2:54" s="717" customFormat="1">
      <c r="B10" s="725" t="s">
        <v>383</v>
      </c>
      <c r="C10" s="726"/>
      <c r="D10" s="727"/>
      <c r="E10" s="727"/>
      <c r="F10" s="728"/>
      <c r="G10" s="726"/>
      <c r="H10" s="727"/>
      <c r="I10" s="727"/>
      <c r="J10" s="728"/>
      <c r="K10" s="726"/>
      <c r="L10" s="727"/>
      <c r="M10" s="727"/>
      <c r="N10" s="728"/>
      <c r="O10" s="726"/>
      <c r="P10" s="727"/>
      <c r="Q10" s="727"/>
      <c r="R10" s="728"/>
      <c r="S10" s="726"/>
      <c r="T10" s="727"/>
      <c r="U10" s="727"/>
      <c r="V10" s="728"/>
      <c r="W10" s="726">
        <f t="shared" ref="W10:AC10" si="48">W192</f>
        <v>479</v>
      </c>
      <c r="X10" s="727">
        <f t="shared" si="48"/>
        <v>488</v>
      </c>
      <c r="Y10" s="727">
        <f t="shared" si="48"/>
        <v>506</v>
      </c>
      <c r="Z10" s="728">
        <f t="shared" si="48"/>
        <v>512</v>
      </c>
      <c r="AA10" s="731">
        <f t="shared" si="48"/>
        <v>537</v>
      </c>
      <c r="AB10" s="732">
        <f t="shared" si="48"/>
        <v>537</v>
      </c>
      <c r="AC10" s="732">
        <f t="shared" si="48"/>
        <v>537</v>
      </c>
      <c r="AD10" s="733">
        <f>AD192</f>
        <v>550</v>
      </c>
      <c r="AE10" s="731">
        <f t="shared" ref="AE10" si="49">AE192</f>
        <v>534</v>
      </c>
      <c r="AF10" s="732">
        <f t="shared" ref="AF10" si="50">AF192</f>
        <v>0</v>
      </c>
      <c r="AG10" s="732">
        <f t="shared" ref="AG10" si="51">AG192</f>
        <v>0</v>
      </c>
      <c r="AH10" s="1239">
        <f>AH192</f>
        <v>0</v>
      </c>
      <c r="AI10" s="731">
        <f t="shared" ref="AI10" si="52">AI192</f>
        <v>0</v>
      </c>
      <c r="AJ10" s="732">
        <f t="shared" ref="AJ10:AL10" si="53">AJ192</f>
        <v>0</v>
      </c>
      <c r="AK10" s="732">
        <f t="shared" si="53"/>
        <v>0</v>
      </c>
      <c r="AL10" s="733">
        <f t="shared" si="53"/>
        <v>0</v>
      </c>
      <c r="AM10" s="732">
        <f t="shared" ref="AM10:AP10" si="54">AM192</f>
        <v>0</v>
      </c>
      <c r="AN10" s="732">
        <f t="shared" si="54"/>
        <v>0</v>
      </c>
      <c r="AO10" s="732">
        <f t="shared" si="54"/>
        <v>0</v>
      </c>
      <c r="AP10" s="733">
        <f t="shared" si="54"/>
        <v>0</v>
      </c>
      <c r="AQ10" s="718"/>
      <c r="AS10" s="729">
        <f t="shared" si="7"/>
        <v>0</v>
      </c>
      <c r="AT10" s="729">
        <f t="shared" si="8"/>
        <v>0</v>
      </c>
      <c r="AU10" s="729">
        <f t="shared" si="9"/>
        <v>0</v>
      </c>
      <c r="AV10" s="729">
        <f t="shared" si="10"/>
        <v>0</v>
      </c>
      <c r="AW10" s="729">
        <f t="shared" si="11"/>
        <v>0</v>
      </c>
      <c r="AX10" s="729">
        <f t="shared" si="12"/>
        <v>1985</v>
      </c>
      <c r="AY10" s="729">
        <f t="shared" si="13"/>
        <v>2161</v>
      </c>
      <c r="AZ10" s="729">
        <f t="shared" si="14"/>
        <v>534</v>
      </c>
      <c r="BA10" s="729">
        <f t="shared" si="15"/>
        <v>0</v>
      </c>
      <c r="BB10" s="729">
        <f t="shared" si="16"/>
        <v>0</v>
      </c>
    </row>
    <row r="11" spans="2:54" s="717" customFormat="1">
      <c r="B11" s="725" t="s">
        <v>371</v>
      </c>
      <c r="C11" s="726"/>
      <c r="D11" s="727"/>
      <c r="E11" s="727"/>
      <c r="F11" s="728"/>
      <c r="G11" s="726"/>
      <c r="H11" s="727"/>
      <c r="I11" s="727"/>
      <c r="J11" s="728"/>
      <c r="K11" s="726"/>
      <c r="L11" s="727"/>
      <c r="M11" s="727"/>
      <c r="N11" s="728"/>
      <c r="O11" s="726"/>
      <c r="P11" s="727"/>
      <c r="Q11" s="727"/>
      <c r="R11" s="728"/>
      <c r="S11" s="726"/>
      <c r="T11" s="727"/>
      <c r="U11" s="727"/>
      <c r="V11" s="728"/>
      <c r="W11" s="726"/>
      <c r="X11" s="727"/>
      <c r="Y11" s="727"/>
      <c r="Z11" s="728"/>
      <c r="AA11" s="731">
        <f t="shared" ref="AA11:AC11" si="55">AA236</f>
        <v>359</v>
      </c>
      <c r="AB11" s="732">
        <f t="shared" si="55"/>
        <v>465.00000000000028</v>
      </c>
      <c r="AC11" s="732">
        <f t="shared" si="55"/>
        <v>425.23000000000025</v>
      </c>
      <c r="AD11" s="733">
        <f>AD236</f>
        <v>420.1650700000003</v>
      </c>
      <c r="AE11" s="731">
        <f t="shared" ref="AE11" si="56">AE236</f>
        <v>425.00008322200028</v>
      </c>
      <c r="AF11" s="732">
        <f t="shared" ref="AF11" si="57">AF236</f>
        <v>439.66616555290028</v>
      </c>
      <c r="AG11" s="732">
        <f t="shared" ref="AG11" si="58">AG236</f>
        <v>468.74036684875432</v>
      </c>
      <c r="AH11" s="1239">
        <f>AH236</f>
        <v>568.37476977927679</v>
      </c>
      <c r="AI11" s="731">
        <f t="shared" ref="AI11" si="59">AI236</f>
        <v>497.89126992661841</v>
      </c>
      <c r="AJ11" s="732">
        <f t="shared" ref="AJ11:AL11" si="60">AJ236</f>
        <v>487.93344452808606</v>
      </c>
      <c r="AK11" s="732">
        <f t="shared" si="60"/>
        <v>478.17477563752436</v>
      </c>
      <c r="AL11" s="733">
        <f t="shared" si="60"/>
        <v>517.98048072789027</v>
      </c>
      <c r="AM11" s="732">
        <f t="shared" ref="AM11:AP11" si="61">AM236</f>
        <v>484.97496194218695</v>
      </c>
      <c r="AN11" s="732">
        <f t="shared" si="61"/>
        <v>508.66883423651097</v>
      </c>
      <c r="AO11" s="732">
        <f t="shared" si="61"/>
        <v>523.92889926360635</v>
      </c>
      <c r="AP11" s="733">
        <f t="shared" si="61"/>
        <v>518.68961027097032</v>
      </c>
      <c r="AQ11" s="718"/>
      <c r="AS11" s="729">
        <f t="shared" si="7"/>
        <v>0</v>
      </c>
      <c r="AT11" s="729">
        <f t="shared" si="8"/>
        <v>0</v>
      </c>
      <c r="AU11" s="729">
        <f t="shared" si="9"/>
        <v>0</v>
      </c>
      <c r="AV11" s="729">
        <f t="shared" si="10"/>
        <v>0</v>
      </c>
      <c r="AW11" s="729">
        <f t="shared" si="11"/>
        <v>0</v>
      </c>
      <c r="AX11" s="729">
        <f t="shared" si="12"/>
        <v>0</v>
      </c>
      <c r="AY11" s="729">
        <f t="shared" si="13"/>
        <v>1669.3950700000007</v>
      </c>
      <c r="AZ11" s="729">
        <f t="shared" si="14"/>
        <v>1901.7813854029318</v>
      </c>
      <c r="BA11" s="729">
        <f t="shared" si="15"/>
        <v>1981.979970820119</v>
      </c>
      <c r="BB11" s="729">
        <f t="shared" si="16"/>
        <v>2036.2623057132746</v>
      </c>
    </row>
    <row r="12" spans="2:54" s="717" customFormat="1">
      <c r="B12" s="734" t="s">
        <v>394</v>
      </c>
      <c r="C12" s="735"/>
      <c r="D12" s="736"/>
      <c r="E12" s="736"/>
      <c r="F12" s="737"/>
      <c r="G12" s="735"/>
      <c r="H12" s="736"/>
      <c r="I12" s="736"/>
      <c r="J12" s="737"/>
      <c r="K12" s="735"/>
      <c r="L12" s="736"/>
      <c r="M12" s="736"/>
      <c r="N12" s="737"/>
      <c r="O12" s="735">
        <f t="shared" ref="O12:V12" si="62">O222</f>
        <v>460</v>
      </c>
      <c r="P12" s="736">
        <f t="shared" si="62"/>
        <v>447</v>
      </c>
      <c r="Q12" s="736">
        <f t="shared" si="62"/>
        <v>503</v>
      </c>
      <c r="R12" s="737">
        <f t="shared" si="62"/>
        <v>501</v>
      </c>
      <c r="S12" s="735">
        <f t="shared" si="62"/>
        <v>545</v>
      </c>
      <c r="T12" s="736">
        <f t="shared" si="62"/>
        <v>517</v>
      </c>
      <c r="U12" s="736">
        <f t="shared" si="62"/>
        <v>575</v>
      </c>
      <c r="V12" s="737">
        <f t="shared" si="62"/>
        <v>617</v>
      </c>
      <c r="W12" s="726">
        <f t="shared" ref="W12:AC12" si="63">W218</f>
        <v>76</v>
      </c>
      <c r="X12" s="727">
        <f t="shared" si="63"/>
        <v>63</v>
      </c>
      <c r="Y12" s="727">
        <f t="shared" si="63"/>
        <v>77</v>
      </c>
      <c r="Z12" s="728">
        <f t="shared" si="63"/>
        <v>59</v>
      </c>
      <c r="AA12" s="731">
        <f t="shared" si="63"/>
        <v>50</v>
      </c>
      <c r="AB12" s="732">
        <f>AB218</f>
        <v>40</v>
      </c>
      <c r="AC12" s="732">
        <f t="shared" si="63"/>
        <v>43.497744716982908</v>
      </c>
      <c r="AD12" s="733">
        <f>AD218</f>
        <v>64.623330568154586</v>
      </c>
      <c r="AE12" s="731">
        <f t="shared" ref="AE12:AF12" si="64">AE218</f>
        <v>42</v>
      </c>
      <c r="AF12" s="732">
        <f t="shared" si="64"/>
        <v>144</v>
      </c>
      <c r="AG12" s="732">
        <f t="shared" ref="AG12" si="65">AG218</f>
        <v>202</v>
      </c>
      <c r="AH12" s="1239">
        <f>AH218</f>
        <v>181</v>
      </c>
      <c r="AI12" s="731">
        <f t="shared" ref="AI12" si="66">AI218</f>
        <v>234</v>
      </c>
      <c r="AJ12" s="732">
        <f t="shared" ref="AJ12:AL12" si="67">AJ218</f>
        <v>200.81577331256318</v>
      </c>
      <c r="AK12" s="732">
        <f t="shared" si="67"/>
        <v>200.65873694989477</v>
      </c>
      <c r="AL12" s="733">
        <f t="shared" si="67"/>
        <v>200.53193008704002</v>
      </c>
      <c r="AM12" s="732">
        <f t="shared" ref="AM12:AP12" si="68">AM218</f>
        <v>225.42953354528481</v>
      </c>
      <c r="AN12" s="732">
        <f t="shared" si="68"/>
        <v>225.34684833781751</v>
      </c>
      <c r="AO12" s="732">
        <f t="shared" si="68"/>
        <v>250.28008003278762</v>
      </c>
      <c r="AP12" s="733">
        <f t="shared" si="68"/>
        <v>250.22616462647602</v>
      </c>
      <c r="AQ12" s="718"/>
      <c r="AS12" s="729">
        <f t="shared" si="7"/>
        <v>0</v>
      </c>
      <c r="AT12" s="729">
        <f t="shared" si="8"/>
        <v>0</v>
      </c>
      <c r="AU12" s="729">
        <f t="shared" si="9"/>
        <v>0</v>
      </c>
      <c r="AV12" s="729">
        <f t="shared" si="10"/>
        <v>1911</v>
      </c>
      <c r="AW12" s="729">
        <f t="shared" si="11"/>
        <v>2254</v>
      </c>
      <c r="AX12" s="729">
        <f t="shared" si="12"/>
        <v>275</v>
      </c>
      <c r="AY12" s="729">
        <f t="shared" si="13"/>
        <v>198.12107528513749</v>
      </c>
      <c r="AZ12" s="729">
        <f t="shared" si="14"/>
        <v>569</v>
      </c>
      <c r="BA12" s="729">
        <f t="shared" si="15"/>
        <v>836.00644034949789</v>
      </c>
      <c r="BB12" s="729">
        <f t="shared" si="16"/>
        <v>951.28262654236596</v>
      </c>
    </row>
    <row r="13" spans="2:54" s="717" customFormat="1">
      <c r="B13" s="734" t="s">
        <v>395</v>
      </c>
      <c r="C13" s="735"/>
      <c r="D13" s="736"/>
      <c r="E13" s="736"/>
      <c r="F13" s="737"/>
      <c r="G13" s="735"/>
      <c r="H13" s="736"/>
      <c r="I13" s="736"/>
      <c r="J13" s="737"/>
      <c r="K13" s="735"/>
      <c r="L13" s="736"/>
      <c r="M13" s="736"/>
      <c r="N13" s="737"/>
      <c r="O13" s="735">
        <f t="shared" ref="O13:V13" si="69">O200</f>
        <v>520</v>
      </c>
      <c r="P13" s="736">
        <f t="shared" si="69"/>
        <v>534</v>
      </c>
      <c r="Q13" s="736">
        <f t="shared" si="69"/>
        <v>545</v>
      </c>
      <c r="R13" s="737">
        <f t="shared" si="69"/>
        <v>591</v>
      </c>
      <c r="S13" s="735">
        <f t="shared" si="69"/>
        <v>553</v>
      </c>
      <c r="T13" s="736">
        <f t="shared" si="69"/>
        <v>548</v>
      </c>
      <c r="U13" s="736">
        <f t="shared" si="69"/>
        <v>558</v>
      </c>
      <c r="V13" s="737">
        <f t="shared" si="69"/>
        <v>557</v>
      </c>
      <c r="W13" s="735"/>
      <c r="X13" s="736"/>
      <c r="Y13" s="736"/>
      <c r="Z13" s="737"/>
      <c r="AA13" s="738"/>
      <c r="AB13" s="739"/>
      <c r="AC13" s="739"/>
      <c r="AD13" s="740"/>
      <c r="AE13" s="738"/>
      <c r="AF13" s="739"/>
      <c r="AG13" s="739"/>
      <c r="AH13" s="1240"/>
      <c r="AI13" s="738"/>
      <c r="AJ13" s="739"/>
      <c r="AK13" s="739"/>
      <c r="AL13" s="740"/>
      <c r="AM13" s="739"/>
      <c r="AN13" s="739"/>
      <c r="AO13" s="739"/>
      <c r="AP13" s="740"/>
      <c r="AQ13" s="718"/>
      <c r="AS13" s="723"/>
      <c r="AT13" s="723"/>
      <c r="AU13" s="723"/>
      <c r="AV13" s="723"/>
      <c r="AW13" s="723"/>
      <c r="AX13" s="723"/>
      <c r="AY13" s="723"/>
      <c r="AZ13" s="723"/>
      <c r="BA13" s="723"/>
      <c r="BB13" s="723"/>
    </row>
    <row r="14" spans="2:54" s="745" customFormat="1">
      <c r="B14" s="741" t="s">
        <v>297</v>
      </c>
      <c r="C14" s="742"/>
      <c r="D14" s="743"/>
      <c r="E14" s="743"/>
      <c r="F14" s="744"/>
      <c r="G14" s="742"/>
      <c r="H14" s="743"/>
      <c r="I14" s="743"/>
      <c r="J14" s="744"/>
      <c r="K14" s="742"/>
      <c r="L14" s="743"/>
      <c r="M14" s="743"/>
      <c r="N14" s="744"/>
      <c r="O14" s="742">
        <f t="shared" ref="O14:AD14" si="70">SUM(O5:O13)</f>
        <v>12580</v>
      </c>
      <c r="P14" s="743">
        <f t="shared" si="70"/>
        <v>12811</v>
      </c>
      <c r="Q14" s="743">
        <f t="shared" si="70"/>
        <v>13483</v>
      </c>
      <c r="R14" s="744">
        <f t="shared" si="70"/>
        <v>13834</v>
      </c>
      <c r="S14" s="742">
        <f t="shared" si="70"/>
        <v>12764</v>
      </c>
      <c r="T14" s="743">
        <f t="shared" si="70"/>
        <v>13831</v>
      </c>
      <c r="U14" s="743">
        <f t="shared" si="70"/>
        <v>14554</v>
      </c>
      <c r="V14" s="744">
        <f t="shared" si="70"/>
        <v>14721</v>
      </c>
      <c r="W14" s="742">
        <f t="shared" si="70"/>
        <v>12781</v>
      </c>
      <c r="X14" s="743">
        <f t="shared" si="70"/>
        <v>13195</v>
      </c>
      <c r="Y14" s="743">
        <f t="shared" si="70"/>
        <v>14465.000000000002</v>
      </c>
      <c r="Z14" s="744">
        <f t="shared" si="70"/>
        <v>14914</v>
      </c>
      <c r="AA14" s="742">
        <f t="shared" si="70"/>
        <v>13702</v>
      </c>
      <c r="AB14" s="743">
        <f t="shared" si="70"/>
        <v>13533</v>
      </c>
      <c r="AC14" s="743">
        <f t="shared" si="70"/>
        <v>15778</v>
      </c>
      <c r="AD14" s="744">
        <f t="shared" si="70"/>
        <v>16374</v>
      </c>
      <c r="AE14" s="742">
        <f t="shared" ref="AE14:AF14" si="71">SUM(AE5:AE13)</f>
        <v>14796</v>
      </c>
      <c r="AF14" s="743">
        <f t="shared" si="71"/>
        <v>14763</v>
      </c>
      <c r="AG14" s="743">
        <f t="shared" ref="AG14:AI14" si="72">SUM(AG5:AG13)</f>
        <v>16149.000000000002</v>
      </c>
      <c r="AH14" s="744">
        <f t="shared" si="72"/>
        <v>17053.333194554969</v>
      </c>
      <c r="AI14" s="742">
        <f t="shared" si="72"/>
        <v>16065.584688242361</v>
      </c>
      <c r="AJ14" s="743">
        <f t="shared" ref="AJ14:AL14" si="73">SUM(AJ5:AJ13)</f>
        <v>16310.410474309041</v>
      </c>
      <c r="AK14" s="743">
        <f t="shared" si="73"/>
        <v>17551.727939624012</v>
      </c>
      <c r="AL14" s="744">
        <f t="shared" si="73"/>
        <v>17763.765032363321</v>
      </c>
      <c r="AM14" s="743">
        <f t="shared" ref="AM14:AP14" si="74">SUM(AM5:AM13)</f>
        <v>16131.322720516728</v>
      </c>
      <c r="AN14" s="743">
        <f t="shared" si="74"/>
        <v>16486.220502257409</v>
      </c>
      <c r="AO14" s="743">
        <f t="shared" si="74"/>
        <v>17973.122669379696</v>
      </c>
      <c r="AP14" s="744">
        <f t="shared" si="74"/>
        <v>18322.91929382924</v>
      </c>
      <c r="AQ14" s="746"/>
      <c r="AS14" s="747">
        <f>SUM(C14:F14)</f>
        <v>0</v>
      </c>
      <c r="AT14" s="747">
        <f>SUM(G14:J14)</f>
        <v>0</v>
      </c>
      <c r="AU14" s="747">
        <f>SUM(K14:N14)</f>
        <v>0</v>
      </c>
      <c r="AV14" s="747">
        <f>SUM(O14:R14)</f>
        <v>52708</v>
      </c>
      <c r="AW14" s="747">
        <f>SUM(S14:V14)</f>
        <v>55870</v>
      </c>
      <c r="AX14" s="747">
        <f>SUM(W14:Z14)</f>
        <v>55355</v>
      </c>
      <c r="AY14" s="747">
        <f>SUM(AA14:AD14)</f>
        <v>59387</v>
      </c>
      <c r="AZ14" s="747">
        <f>SUM(AE14:AH14)</f>
        <v>62761.333194554973</v>
      </c>
      <c r="BA14" s="747">
        <f>SUM(AI14:AL14)</f>
        <v>67691.488134538726</v>
      </c>
      <c r="BB14" s="747">
        <f>SUM(AM14:AP14)</f>
        <v>68913.585185983073</v>
      </c>
    </row>
    <row r="15" spans="2:54" s="717" customFormat="1">
      <c r="B15" s="749" t="s">
        <v>396</v>
      </c>
      <c r="C15" s="726"/>
      <c r="D15" s="727"/>
      <c r="E15" s="727"/>
      <c r="F15" s="728"/>
      <c r="G15" s="726"/>
      <c r="H15" s="727"/>
      <c r="I15" s="727"/>
      <c r="J15" s="728"/>
      <c r="K15" s="726"/>
      <c r="L15" s="727"/>
      <c r="M15" s="727"/>
      <c r="N15" s="728"/>
      <c r="O15" s="726">
        <f>O14-IS!AJ8</f>
        <v>0</v>
      </c>
      <c r="P15" s="727">
        <f>P14-IS!AK8</f>
        <v>0</v>
      </c>
      <c r="Q15" s="727">
        <f>Q14-IS!AL8</f>
        <v>0</v>
      </c>
      <c r="R15" s="728">
        <f>R14-IS!AM8</f>
        <v>0</v>
      </c>
      <c r="S15" s="726">
        <f>S14-IS!AN8</f>
        <v>0</v>
      </c>
      <c r="T15" s="727">
        <f>T14-IS!AO8</f>
        <v>0</v>
      </c>
      <c r="U15" s="727">
        <f>U14-IS!AP8</f>
        <v>0</v>
      </c>
      <c r="V15" s="728">
        <f>V14-IS!AQ8</f>
        <v>0</v>
      </c>
      <c r="W15" s="731">
        <f>W14-IS!AR8</f>
        <v>0</v>
      </c>
      <c r="X15" s="732">
        <f>X14-IS!AS8</f>
        <v>0</v>
      </c>
      <c r="Y15" s="732">
        <f>Y14-IS!AT8</f>
        <v>0</v>
      </c>
      <c r="Z15" s="733">
        <f>Z14-IS!AU8</f>
        <v>0</v>
      </c>
      <c r="AA15" s="731">
        <f>AA14-IS!AV8</f>
        <v>0</v>
      </c>
      <c r="AB15" s="732">
        <f>AB14-IS!AW8</f>
        <v>0</v>
      </c>
      <c r="AC15" s="732">
        <f>AC14-IS!AX8</f>
        <v>0</v>
      </c>
      <c r="AD15" s="732">
        <f>AD14-IS!AY8</f>
        <v>0</v>
      </c>
      <c r="AE15" s="731">
        <f>AE14-IS!AZ8</f>
        <v>0</v>
      </c>
      <c r="AF15" s="1040">
        <f>AF14-IS!BA8</f>
        <v>0</v>
      </c>
      <c r="AG15" s="1040">
        <f>AG14-IS!BB8</f>
        <v>0</v>
      </c>
      <c r="AH15" s="1040">
        <f>AH14-IS!BC8</f>
        <v>0.33319455496894079</v>
      </c>
      <c r="AI15" s="732">
        <f>AI14-IS!BD8</f>
        <v>-0.41531175763884676</v>
      </c>
      <c r="AJ15" s="1040">
        <f>AJ14-IS!BE8</f>
        <v>0</v>
      </c>
      <c r="AK15" s="1040">
        <f>AK14-IS!BF8</f>
        <v>0</v>
      </c>
      <c r="AL15" s="1041">
        <f>AL14-IS!BG8</f>
        <v>0</v>
      </c>
      <c r="AM15" s="1039">
        <f>AM14-IS!BH8</f>
        <v>0</v>
      </c>
      <c r="AN15" s="1040">
        <f>AN14-IS!BI8</f>
        <v>0</v>
      </c>
      <c r="AO15" s="1040">
        <f>AO14-IS!BJ8</f>
        <v>0</v>
      </c>
      <c r="AP15" s="1041">
        <f>AP14-IS!BK8</f>
        <v>0</v>
      </c>
      <c r="AQ15" s="718"/>
      <c r="AS15" s="723"/>
      <c r="AT15" s="723"/>
      <c r="AU15" s="723"/>
      <c r="AV15" s="723"/>
      <c r="AW15" s="723"/>
      <c r="AX15" s="723"/>
      <c r="AY15" s="723"/>
      <c r="AZ15" s="976"/>
      <c r="BA15" s="976"/>
      <c r="BB15" s="976"/>
    </row>
    <row r="16" spans="2:54" s="717" customFormat="1">
      <c r="B16" s="749" t="s">
        <v>397</v>
      </c>
      <c r="C16" s="726"/>
      <c r="D16" s="727"/>
      <c r="E16" s="727"/>
      <c r="F16" s="728"/>
      <c r="G16" s="726"/>
      <c r="H16" s="727"/>
      <c r="I16" s="727"/>
      <c r="J16" s="728"/>
      <c r="K16" s="726"/>
      <c r="L16" s="727"/>
      <c r="M16" s="727"/>
      <c r="N16" s="728"/>
      <c r="O16" s="726">
        <f t="shared" ref="O16:V16" si="75">(O43+O63+O88+O153+O182+O189+O207+O217+O198)-O14</f>
        <v>0</v>
      </c>
      <c r="P16" s="727">
        <f t="shared" si="75"/>
        <v>0</v>
      </c>
      <c r="Q16" s="727">
        <f t="shared" si="75"/>
        <v>0</v>
      </c>
      <c r="R16" s="728">
        <f t="shared" si="75"/>
        <v>0</v>
      </c>
      <c r="S16" s="726">
        <f t="shared" si="75"/>
        <v>0</v>
      </c>
      <c r="T16" s="727">
        <f t="shared" si="75"/>
        <v>0</v>
      </c>
      <c r="U16" s="727">
        <f t="shared" si="75"/>
        <v>0</v>
      </c>
      <c r="V16" s="728">
        <f t="shared" si="75"/>
        <v>0</v>
      </c>
      <c r="W16" s="731">
        <f>(W43+W63+W88+W153+W182+W189+W207+W217)-W14</f>
        <v>0</v>
      </c>
      <c r="X16" s="732">
        <f>(X43+X63+X88+X153+X182+X189+X207+X217)-X14</f>
        <v>0</v>
      </c>
      <c r="Y16" s="732">
        <f>(Y43+Y63+Y88+Y153+Y182+Y189+Y207+Y217)-Y14</f>
        <v>0</v>
      </c>
      <c r="Z16" s="733">
        <f>(Z43+Z63+Z88+Z153+Z182+Z189+Z207+Z217)-Z14</f>
        <v>0</v>
      </c>
      <c r="AA16" s="731">
        <f>(AA43+AA63+AA88+AA153+AA182+AA189+AA207+AA217+AA236)-AA14</f>
        <v>0</v>
      </c>
      <c r="AB16" s="732">
        <f>(AB43+AB63+AB88+AB153+AB182+AB189+AB207+AB217+AB236)-AB14</f>
        <v>0</v>
      </c>
      <c r="AC16" s="732"/>
      <c r="AD16" s="732"/>
      <c r="AE16" s="731">
        <f>(AE43+AE63+AE88+AE153+AE182+AE189+AE207+AE217+AE236)-AE14</f>
        <v>0</v>
      </c>
      <c r="AF16" s="732"/>
      <c r="AG16" s="732"/>
      <c r="AH16" s="1290"/>
      <c r="AI16" s="731">
        <f>(AI43+AI63+AI88+AI153+AI182+AI189+AI207+AI217+AI236)-AI14</f>
        <v>0</v>
      </c>
      <c r="AJ16" s="1043"/>
      <c r="AK16" s="1043"/>
      <c r="AL16" s="1044"/>
      <c r="AM16" s="1042"/>
      <c r="AN16" s="1043"/>
      <c r="AO16" s="1043"/>
      <c r="AP16" s="1044"/>
      <c r="AQ16" s="718"/>
      <c r="AS16" s="723"/>
      <c r="AT16" s="723"/>
      <c r="AU16" s="723"/>
      <c r="AV16" s="723"/>
      <c r="AW16" s="723"/>
      <c r="AX16" s="723"/>
      <c r="AY16" s="723"/>
      <c r="AZ16" s="723"/>
      <c r="BA16" s="723"/>
      <c r="BB16" s="723"/>
    </row>
    <row r="17" spans="2:60" s="717" customFormat="1">
      <c r="B17" s="719"/>
      <c r="C17" s="720"/>
      <c r="D17" s="721"/>
      <c r="E17" s="721"/>
      <c r="F17" s="722"/>
      <c r="G17" s="720"/>
      <c r="H17" s="721"/>
      <c r="I17" s="721"/>
      <c r="J17" s="722"/>
      <c r="K17" s="720"/>
      <c r="L17" s="721"/>
      <c r="M17" s="721"/>
      <c r="N17" s="722"/>
      <c r="O17" s="720"/>
      <c r="P17" s="721"/>
      <c r="Q17" s="721"/>
      <c r="R17" s="722"/>
      <c r="S17" s="720"/>
      <c r="T17" s="721"/>
      <c r="U17" s="721"/>
      <c r="V17" s="722"/>
      <c r="W17" s="720"/>
      <c r="X17" s="721"/>
      <c r="Y17" s="721"/>
      <c r="Z17" s="722"/>
      <c r="AA17" s="720"/>
      <c r="AB17" s="721"/>
      <c r="AC17" s="721"/>
      <c r="AD17" s="721"/>
      <c r="AE17" s="1291"/>
      <c r="AF17" s="1292"/>
      <c r="AG17" s="1292"/>
      <c r="AH17" s="1241"/>
      <c r="AI17" s="1291"/>
      <c r="AJ17" s="721"/>
      <c r="AK17" s="721"/>
      <c r="AL17" s="722"/>
      <c r="AM17" s="1007"/>
      <c r="AN17" s="721"/>
      <c r="AO17" s="721"/>
      <c r="AP17" s="722"/>
      <c r="AQ17" s="718"/>
      <c r="AS17" s="723"/>
      <c r="AT17" s="723"/>
      <c r="AU17" s="723"/>
      <c r="AV17" s="723"/>
      <c r="AW17" s="723"/>
      <c r="AX17" s="723"/>
      <c r="AY17" s="723"/>
      <c r="AZ17" s="723"/>
      <c r="BA17" s="723"/>
      <c r="BB17" s="723"/>
    </row>
    <row r="18" spans="2:60" s="717" customFormat="1">
      <c r="B18" s="750" t="s">
        <v>298</v>
      </c>
      <c r="C18" s="751"/>
      <c r="D18" s="752"/>
      <c r="E18" s="752"/>
      <c r="F18" s="753"/>
      <c r="G18" s="751"/>
      <c r="H18" s="752"/>
      <c r="I18" s="752"/>
      <c r="J18" s="753"/>
      <c r="K18" s="751"/>
      <c r="L18" s="752"/>
      <c r="M18" s="752"/>
      <c r="N18" s="753"/>
      <c r="O18" s="751"/>
      <c r="P18" s="752"/>
      <c r="Q18" s="752"/>
      <c r="R18" s="753"/>
      <c r="S18" s="751"/>
      <c r="T18" s="752"/>
      <c r="U18" s="752"/>
      <c r="V18" s="753"/>
      <c r="W18" s="751"/>
      <c r="X18" s="752"/>
      <c r="Y18" s="752"/>
      <c r="Z18" s="753"/>
      <c r="AA18" s="751"/>
      <c r="AB18" s="752"/>
      <c r="AC18" s="752"/>
      <c r="AD18" s="752"/>
      <c r="AE18" s="751"/>
      <c r="AF18" s="752"/>
      <c r="AG18" s="752"/>
      <c r="AH18" s="1293"/>
      <c r="AI18" s="751"/>
      <c r="AJ18" s="752"/>
      <c r="AK18" s="752"/>
      <c r="AL18" s="753"/>
      <c r="AM18" s="752"/>
      <c r="AN18" s="752"/>
      <c r="AO18" s="752"/>
      <c r="AP18" s="753"/>
      <c r="AQ18" s="718"/>
      <c r="AS18" s="723"/>
      <c r="AT18" s="723"/>
      <c r="AU18" s="723"/>
      <c r="AV18" s="723"/>
      <c r="AW18" s="723"/>
      <c r="AX18" s="723"/>
      <c r="AY18" s="723"/>
      <c r="AZ18" s="723"/>
      <c r="BA18" s="723"/>
      <c r="BB18" s="723"/>
    </row>
    <row r="19" spans="2:60" s="717" customFormat="1">
      <c r="B19" s="749" t="s">
        <v>301</v>
      </c>
      <c r="C19" s="726">
        <f>C23*C27/1000</f>
        <v>2953.4420837332773</v>
      </c>
      <c r="D19" s="727">
        <f t="shared" ref="D19:AD19" si="76">D23*D27/1000</f>
        <v>2984.5432206610644</v>
      </c>
      <c r="E19" s="727">
        <f t="shared" si="76"/>
        <v>3089.7222669752741</v>
      </c>
      <c r="F19" s="728">
        <f t="shared" si="76"/>
        <v>2985.6166567615051</v>
      </c>
      <c r="G19" s="726">
        <f t="shared" si="76"/>
        <v>3374.0918661215997</v>
      </c>
      <c r="H19" s="727">
        <f t="shared" si="76"/>
        <v>3169.548394591488</v>
      </c>
      <c r="I19" s="727">
        <f t="shared" si="76"/>
        <v>3605.241713491821</v>
      </c>
      <c r="J19" s="728">
        <f t="shared" si="76"/>
        <v>3502.8914742497891</v>
      </c>
      <c r="K19" s="726">
        <f t="shared" si="76"/>
        <v>3430.8706964775697</v>
      </c>
      <c r="L19" s="727">
        <f t="shared" si="76"/>
        <v>3258.3836722121591</v>
      </c>
      <c r="M19" s="727">
        <f t="shared" si="76"/>
        <v>3388.1664219404661</v>
      </c>
      <c r="N19" s="728">
        <f t="shared" si="76"/>
        <v>3460.8567765587918</v>
      </c>
      <c r="O19" s="726">
        <f t="shared" si="76"/>
        <v>3350.2452351103466</v>
      </c>
      <c r="P19" s="727">
        <f t="shared" si="76"/>
        <v>3350.2700917685424</v>
      </c>
      <c r="Q19" s="727">
        <f t="shared" si="76"/>
        <v>3411.8835868940491</v>
      </c>
      <c r="R19" s="728">
        <f t="shared" si="76"/>
        <v>3888.272588463803</v>
      </c>
      <c r="S19" s="726">
        <f t="shared" si="76"/>
        <v>3484.2550445147608</v>
      </c>
      <c r="T19" s="727">
        <f t="shared" si="76"/>
        <v>3690.6575330922265</v>
      </c>
      <c r="U19" s="727">
        <f t="shared" si="76"/>
        <v>3688.9285341498462</v>
      </c>
      <c r="V19" s="728">
        <f t="shared" si="76"/>
        <v>3849.3898625791639</v>
      </c>
      <c r="W19" s="726">
        <f t="shared" si="76"/>
        <v>2985.3097221402468</v>
      </c>
      <c r="X19" s="727">
        <f t="shared" si="76"/>
        <v>3051.435648360653</v>
      </c>
      <c r="Y19" s="727">
        <f t="shared" si="76"/>
        <v>3386.4363943495582</v>
      </c>
      <c r="Z19" s="728">
        <f t="shared" si="76"/>
        <v>3818.2098046922733</v>
      </c>
      <c r="AA19" s="726">
        <f t="shared" si="76"/>
        <v>3037.8511732499151</v>
      </c>
      <c r="AB19" s="727">
        <f t="shared" si="76"/>
        <v>2866.2135045051614</v>
      </c>
      <c r="AC19" s="727">
        <f t="shared" si="76"/>
        <v>3183.2502106885845</v>
      </c>
      <c r="AD19" s="727">
        <f t="shared" si="76"/>
        <v>3544.062340715368</v>
      </c>
      <c r="AE19" s="726">
        <f t="shared" ref="AE19:AF19" si="77">AE23*AE27/1000</f>
        <v>2881.7056229448694</v>
      </c>
      <c r="AF19" s="727">
        <f t="shared" si="77"/>
        <v>2809.1758557655089</v>
      </c>
      <c r="AG19" s="727">
        <f t="shared" ref="AG19:AI19" si="78">AG23*AG27/1000</f>
        <v>2992.255198047269</v>
      </c>
      <c r="AH19" s="1294">
        <f t="shared" si="78"/>
        <v>3299.5220392060069</v>
      </c>
      <c r="AI19" s="726">
        <f t="shared" si="78"/>
        <v>2898.41951555795</v>
      </c>
      <c r="AJ19" s="727">
        <f t="shared" ref="AJ19:AL19" si="79">AJ23*AJ27/1000</f>
        <v>3015.5156639864908</v>
      </c>
      <c r="AK19" s="727">
        <f t="shared" si="79"/>
        <v>3166.2914471858153</v>
      </c>
      <c r="AL19" s="728">
        <f t="shared" si="79"/>
        <v>3102.965618242099</v>
      </c>
      <c r="AM19" s="726">
        <f t="shared" ref="AM19:AP19" si="80">AM23*AM27/1000</f>
        <v>2726.5758887493321</v>
      </c>
      <c r="AN19" s="727">
        <f t="shared" si="80"/>
        <v>2781.1074065243188</v>
      </c>
      <c r="AO19" s="727">
        <f t="shared" si="80"/>
        <v>2977.4535894249357</v>
      </c>
      <c r="AP19" s="728">
        <f t="shared" si="80"/>
        <v>2886.9390003064173</v>
      </c>
      <c r="AQ19" s="718"/>
      <c r="AS19" s="729">
        <f>SUM(C19:F19)</f>
        <v>12013.324228131121</v>
      </c>
      <c r="AT19" s="729">
        <f>SUM(G19:J19)</f>
        <v>13651.773448454698</v>
      </c>
      <c r="AU19" s="729">
        <f>SUM(K19:N19)</f>
        <v>13538.277567188987</v>
      </c>
      <c r="AV19" s="729">
        <f>SUM(O19:R19)</f>
        <v>14000.671502236743</v>
      </c>
      <c r="AW19" s="729">
        <f>SUM(S19:V19)</f>
        <v>14713.230974335997</v>
      </c>
      <c r="AX19" s="729">
        <f>SUM(W19:Z19)</f>
        <v>13241.391569542731</v>
      </c>
      <c r="AY19" s="729">
        <f>SUM(AA19:AD19)</f>
        <v>12631.377229159029</v>
      </c>
      <c r="AZ19" s="729">
        <f>SUM(AE19:AH19)</f>
        <v>11982.658715963655</v>
      </c>
      <c r="BA19" s="729">
        <f>SUM(AI19:AL19)</f>
        <v>12183.192244972355</v>
      </c>
      <c r="BB19" s="729">
        <f>SUM(AM19:AP19)</f>
        <v>11372.075885005004</v>
      </c>
    </row>
    <row r="20" spans="2:60">
      <c r="B20" s="754" t="s">
        <v>97</v>
      </c>
      <c r="C20" s="755"/>
      <c r="D20" s="756">
        <f>D19/C19-1</f>
        <v>1.0530471242041095E-2</v>
      </c>
      <c r="E20" s="756">
        <f t="shared" ref="E20:AI20" si="81">E19/D19-1</f>
        <v>3.5241254201342498E-2</v>
      </c>
      <c r="F20" s="757">
        <f t="shared" si="81"/>
        <v>-3.3694164464718956E-2</v>
      </c>
      <c r="G20" s="755">
        <f t="shared" si="81"/>
        <v>0.13011556874869301</v>
      </c>
      <c r="H20" s="756">
        <f t="shared" si="81"/>
        <v>-6.062178495608872E-2</v>
      </c>
      <c r="I20" s="756">
        <f t="shared" si="81"/>
        <v>0.13746227053790983</v>
      </c>
      <c r="J20" s="757">
        <f t="shared" si="81"/>
        <v>-2.8389286315813056E-2</v>
      </c>
      <c r="K20" s="755">
        <f t="shared" si="81"/>
        <v>-2.0560379418447128E-2</v>
      </c>
      <c r="L20" s="756">
        <f t="shared" si="81"/>
        <v>-5.0275000000000181E-2</v>
      </c>
      <c r="M20" s="756">
        <f t="shared" si="81"/>
        <v>3.9830407583707261E-2</v>
      </c>
      <c r="N20" s="757">
        <f t="shared" si="81"/>
        <v>2.1454186591193025E-2</v>
      </c>
      <c r="O20" s="758">
        <f t="shared" si="81"/>
        <v>-3.1960739374609082E-2</v>
      </c>
      <c r="P20" s="756">
        <f t="shared" si="81"/>
        <v>7.4193548387224695E-6</v>
      </c>
      <c r="Q20" s="756">
        <f t="shared" si="81"/>
        <v>1.8390605365486312E-2</v>
      </c>
      <c r="R20" s="757">
        <f t="shared" si="81"/>
        <v>0.13962639387805909</v>
      </c>
      <c r="S20" s="758">
        <f t="shared" si="81"/>
        <v>-0.10390669243399508</v>
      </c>
      <c r="T20" s="756">
        <f t="shared" si="81"/>
        <v>5.9238628039702146E-2</v>
      </c>
      <c r="U20" s="756">
        <f t="shared" si="81"/>
        <v>-4.6847991905973885E-4</v>
      </c>
      <c r="V20" s="757">
        <f t="shared" si="81"/>
        <v>4.3498085404437781E-2</v>
      </c>
      <c r="W20" s="758">
        <f t="shared" si="81"/>
        <v>-0.22447197381560291</v>
      </c>
      <c r="X20" s="756">
        <f t="shared" si="81"/>
        <v>2.2150440783410108E-2</v>
      </c>
      <c r="Y20" s="756">
        <f t="shared" si="81"/>
        <v>0.10978463405213224</v>
      </c>
      <c r="Z20" s="757">
        <f t="shared" si="81"/>
        <v>0.12750081798764956</v>
      </c>
      <c r="AA20" s="758">
        <f t="shared" si="81"/>
        <v>-0.20437814351724737</v>
      </c>
      <c r="AB20" s="756">
        <f t="shared" si="81"/>
        <v>-5.6499696316964276E-2</v>
      </c>
      <c r="AC20" s="756">
        <f t="shared" si="81"/>
        <v>0.11061168530714816</v>
      </c>
      <c r="AD20" s="756">
        <f t="shared" si="81"/>
        <v>0.11334708431503859</v>
      </c>
      <c r="AE20" s="758">
        <f t="shared" si="81"/>
        <v>-0.18689194886927474</v>
      </c>
      <c r="AF20" s="756">
        <f t="shared" si="81"/>
        <v>-2.5169041071322562E-2</v>
      </c>
      <c r="AG20" s="756">
        <f t="shared" si="81"/>
        <v>6.5171905100213312E-2</v>
      </c>
      <c r="AH20" s="1295">
        <f t="shared" si="81"/>
        <v>0.10268737818861795</v>
      </c>
      <c r="AI20" s="758">
        <f t="shared" si="81"/>
        <v>-0.12156382617907224</v>
      </c>
      <c r="AJ20" s="756">
        <f t="shared" ref="AJ20" si="82">AJ19/AI19-1</f>
        <v>4.0399999999999769E-2</v>
      </c>
      <c r="AK20" s="756">
        <f t="shared" ref="AK20" si="83">AK19/AJ19-1</f>
        <v>5.0000000000000044E-2</v>
      </c>
      <c r="AL20" s="757">
        <f t="shared" ref="AL20" si="84">AL19/AK19-1</f>
        <v>-2.0000000000000018E-2</v>
      </c>
      <c r="AM20" s="758">
        <f t="shared" ref="AM20" si="85">AM19/AL19-1</f>
        <v>-0.12130000000000007</v>
      </c>
      <c r="AN20" s="756">
        <f t="shared" ref="AN20" si="86">AN19/AM19-1</f>
        <v>2.0000000000000018E-2</v>
      </c>
      <c r="AO20" s="756">
        <f t="shared" ref="AO20" si="87">AO19/AN19-1</f>
        <v>7.0599999999999996E-2</v>
      </c>
      <c r="AP20" s="757">
        <f t="shared" ref="AP20" si="88">AP19/AO19-1</f>
        <v>-3.0400000000000094E-2</v>
      </c>
      <c r="AQ20" s="760"/>
      <c r="AR20" s="761"/>
      <c r="AS20" s="759"/>
      <c r="BC20" s="759"/>
      <c r="BD20" s="759"/>
      <c r="BE20" s="759"/>
      <c r="BF20" s="759"/>
      <c r="BG20" s="759"/>
      <c r="BH20" s="759"/>
    </row>
    <row r="21" spans="2:60">
      <c r="B21" s="754" t="s">
        <v>98</v>
      </c>
      <c r="C21" s="755"/>
      <c r="D21" s="756"/>
      <c r="E21" s="756"/>
      <c r="F21" s="757"/>
      <c r="G21" s="755">
        <f>G19/C19-1</f>
        <v>0.14242696164761193</v>
      </c>
      <c r="H21" s="756">
        <f t="shared" ref="H21:AI21" si="89">H19/D19-1</f>
        <v>6.1987768396078335E-2</v>
      </c>
      <c r="I21" s="756">
        <f t="shared" si="89"/>
        <v>0.16684976899921233</v>
      </c>
      <c r="J21" s="757">
        <f t="shared" si="89"/>
        <v>0.17325560410336527</v>
      </c>
      <c r="K21" s="755">
        <f t="shared" si="89"/>
        <v>1.682788513438882E-2</v>
      </c>
      <c r="L21" s="756">
        <f t="shared" si="89"/>
        <v>2.8027739779035832E-2</v>
      </c>
      <c r="M21" s="756">
        <f t="shared" si="89"/>
        <v>-6.021102295000047E-2</v>
      </c>
      <c r="N21" s="757">
        <f t="shared" si="89"/>
        <v>-1.19999999999999E-2</v>
      </c>
      <c r="O21" s="758">
        <f t="shared" si="89"/>
        <v>-2.3500000000000076E-2</v>
      </c>
      <c r="P21" s="756">
        <f t="shared" si="89"/>
        <v>2.8200000000000225E-2</v>
      </c>
      <c r="Q21" s="756">
        <f t="shared" si="89"/>
        <v>6.9999999999998952E-3</v>
      </c>
      <c r="R21" s="757">
        <f t="shared" si="89"/>
        <v>0.12350000000000017</v>
      </c>
      <c r="S21" s="758">
        <f t="shared" si="89"/>
        <v>4.0000000000000036E-2</v>
      </c>
      <c r="T21" s="756">
        <f t="shared" si="89"/>
        <v>0.10160000000000013</v>
      </c>
      <c r="U21" s="756">
        <f t="shared" si="89"/>
        <v>8.1200000000000161E-2</v>
      </c>
      <c r="V21" s="757">
        <f t="shared" si="89"/>
        <v>-1.0000000000000231E-2</v>
      </c>
      <c r="W21" s="758">
        <f t="shared" si="89"/>
        <v>-0.1432000000000001</v>
      </c>
      <c r="X21" s="756">
        <f t="shared" si="89"/>
        <v>-0.17319999999999991</v>
      </c>
      <c r="Y21" s="756">
        <f t="shared" si="89"/>
        <v>-8.2000000000000184E-2</v>
      </c>
      <c r="Z21" s="757">
        <f t="shared" si="89"/>
        <v>-8.0999999999998851E-3</v>
      </c>
      <c r="AA21" s="758">
        <f t="shared" si="89"/>
        <v>1.760000000000006E-2</v>
      </c>
      <c r="AB21" s="756">
        <f t="shared" si="89"/>
        <v>-6.0699999999999976E-2</v>
      </c>
      <c r="AC21" s="756">
        <f t="shared" si="89"/>
        <v>-6.0000000000000053E-2</v>
      </c>
      <c r="AD21" s="756">
        <f t="shared" si="89"/>
        <v>-7.1799999999999975E-2</v>
      </c>
      <c r="AE21" s="758">
        <f t="shared" si="89"/>
        <v>-5.1400000000000001E-2</v>
      </c>
      <c r="AF21" s="756">
        <f t="shared" si="89"/>
        <v>-1.9899999999999918E-2</v>
      </c>
      <c r="AG21" s="756">
        <f t="shared" si="89"/>
        <v>-6.0000000000000164E-2</v>
      </c>
      <c r="AH21" s="1295">
        <f t="shared" si="89"/>
        <v>-6.9000000000000172E-2</v>
      </c>
      <c r="AI21" s="758">
        <f t="shared" si="89"/>
        <v>5.8000000000000274E-3</v>
      </c>
      <c r="AJ21" s="756">
        <f t="shared" ref="AJ21" si="90">AJ19/AF19-1</f>
        <v>7.3452079476439058E-2</v>
      </c>
      <c r="AK21" s="756">
        <f t="shared" ref="AK21" si="91">AK19/AG19-1</f>
        <v>5.8162234709165705E-2</v>
      </c>
      <c r="AL21" s="757">
        <f t="shared" ref="AL21" si="92">AL19/AH19-1</f>
        <v>-5.9571179894651327E-2</v>
      </c>
      <c r="AM21" s="758">
        <f t="shared" ref="AM21" si="93">AM19/AI19-1</f>
        <v>-5.928873508000021E-2</v>
      </c>
      <c r="AN21" s="756">
        <f t="shared" ref="AN21" si="94">AN19/AJ19-1</f>
        <v>-7.7734054000000108E-2</v>
      </c>
      <c r="AO21" s="756">
        <f t="shared" ref="AO21" si="95">AO19/AK19-1</f>
        <v>-5.9640074488000128E-2</v>
      </c>
      <c r="AP21" s="757">
        <f t="shared" ref="AP21" si="96">AP19/AL19-1</f>
        <v>-6.9619404309760213E-2</v>
      </c>
      <c r="AQ21" s="760"/>
      <c r="AR21" s="761"/>
      <c r="AS21" s="759"/>
      <c r="AT21" s="756">
        <f t="shared" ref="AT21:BB21" si="97">AT19/AS19-1</f>
        <v>0.13638599851379074</v>
      </c>
      <c r="AU21" s="756">
        <f t="shared" si="97"/>
        <v>-8.3136364439565513E-3</v>
      </c>
      <c r="AV21" s="756">
        <f t="shared" si="97"/>
        <v>3.415456159418695E-2</v>
      </c>
      <c r="AW21" s="756">
        <f t="shared" si="97"/>
        <v>5.0894664015609159E-2</v>
      </c>
      <c r="AX21" s="756">
        <f t="shared" si="97"/>
        <v>-0.1000350913650826</v>
      </c>
      <c r="AY21" s="756">
        <f t="shared" si="97"/>
        <v>-4.6068748679468974E-2</v>
      </c>
      <c r="AZ21" s="756">
        <f t="shared" si="97"/>
        <v>-5.1357702444182696E-2</v>
      </c>
      <c r="BA21" s="756">
        <f t="shared" si="97"/>
        <v>1.6735311733575786E-2</v>
      </c>
      <c r="BB21" s="756">
        <f t="shared" si="97"/>
        <v>-6.6576669206059202E-2</v>
      </c>
      <c r="BC21" s="759"/>
      <c r="BD21" s="759"/>
      <c r="BE21" s="759"/>
      <c r="BF21" s="759"/>
      <c r="BG21" s="759"/>
      <c r="BH21" s="759"/>
    </row>
    <row r="22" spans="2:60" s="717" customFormat="1">
      <c r="B22" s="754"/>
      <c r="C22" s="720"/>
      <c r="D22" s="721"/>
      <c r="E22" s="721"/>
      <c r="F22" s="722"/>
      <c r="G22" s="720"/>
      <c r="H22" s="721"/>
      <c r="I22" s="721"/>
      <c r="J22" s="722"/>
      <c r="K22" s="758"/>
      <c r="L22" s="756"/>
      <c r="M22" s="756"/>
      <c r="N22" s="757"/>
      <c r="O22" s="758"/>
      <c r="P22" s="756"/>
      <c r="Q22" s="756"/>
      <c r="R22" s="757"/>
      <c r="S22" s="758"/>
      <c r="T22" s="756"/>
      <c r="U22" s="756"/>
      <c r="V22" s="757"/>
      <c r="W22" s="758"/>
      <c r="X22" s="756"/>
      <c r="Y22" s="756"/>
      <c r="Z22" s="757"/>
      <c r="AA22" s="720"/>
      <c r="AB22" s="721"/>
      <c r="AC22" s="721"/>
      <c r="AD22" s="721"/>
      <c r="AE22" s="720"/>
      <c r="AF22" s="721"/>
      <c r="AG22" s="721"/>
      <c r="AH22" s="1296"/>
      <c r="AI22" s="720"/>
      <c r="AJ22" s="721"/>
      <c r="AK22" s="721"/>
      <c r="AL22" s="722"/>
      <c r="AM22" s="721"/>
      <c r="AN22" s="721"/>
      <c r="AO22" s="721"/>
      <c r="AP22" s="722"/>
      <c r="AQ22" s="718"/>
      <c r="AS22" s="723"/>
      <c r="AT22" s="723"/>
      <c r="AU22" s="723"/>
      <c r="AV22" s="723"/>
      <c r="AW22" s="723"/>
      <c r="AX22" s="723"/>
      <c r="AY22" s="723"/>
      <c r="AZ22" s="723"/>
      <c r="BA22" s="723"/>
      <c r="BB22" s="723"/>
    </row>
    <row r="23" spans="2:60" s="717" customFormat="1">
      <c r="B23" s="749" t="s">
        <v>398</v>
      </c>
      <c r="C23" s="764">
        <v>30308.28</v>
      </c>
      <c r="D23" s="765">
        <v>31565.940000000002</v>
      </c>
      <c r="E23" s="765">
        <v>31933.14</v>
      </c>
      <c r="F23" s="766">
        <v>31829.100000000002</v>
      </c>
      <c r="G23" s="764">
        <v>32443.191020399994</v>
      </c>
      <c r="H23" s="765">
        <v>31098.394766399997</v>
      </c>
      <c r="I23" s="765">
        <v>34679.657569679999</v>
      </c>
      <c r="J23" s="766">
        <v>33695.126841599995</v>
      </c>
      <c r="K23" s="764">
        <v>32843.053440000003</v>
      </c>
      <c r="L23" s="765">
        <v>31036.685500800002</v>
      </c>
      <c r="M23" s="727">
        <f>I23*(1+M25)</f>
        <v>32598.878115499196</v>
      </c>
      <c r="N23" s="728">
        <f t="shared" ref="N23:AH23" si="98">J23*(1+N25)</f>
        <v>32010.370499519995</v>
      </c>
      <c r="O23" s="726">
        <f t="shared" si="98"/>
        <v>30544.039699200002</v>
      </c>
      <c r="P23" s="727">
        <f t="shared" si="98"/>
        <v>30105.584935776002</v>
      </c>
      <c r="Q23" s="727">
        <f t="shared" si="98"/>
        <v>30968.934209724233</v>
      </c>
      <c r="R23" s="728">
        <f t="shared" si="98"/>
        <v>34251.096434486397</v>
      </c>
      <c r="S23" s="726">
        <f t="shared" si="98"/>
        <v>30544.039699200002</v>
      </c>
      <c r="T23" s="727">
        <f t="shared" si="98"/>
        <v>32514.031730638086</v>
      </c>
      <c r="U23" s="727">
        <f t="shared" si="98"/>
        <v>32827.070262307687</v>
      </c>
      <c r="V23" s="728">
        <f t="shared" si="98"/>
        <v>33908.58547014153</v>
      </c>
      <c r="W23" s="726">
        <f t="shared" si="98"/>
        <v>25656.993347328</v>
      </c>
      <c r="X23" s="727">
        <f t="shared" si="98"/>
        <v>25360.944749897706</v>
      </c>
      <c r="Y23" s="727">
        <f t="shared" si="98"/>
        <v>27903.009722961531</v>
      </c>
      <c r="Z23" s="728">
        <f t="shared" si="98"/>
        <v>30856.812777828793</v>
      </c>
      <c r="AA23" s="726">
        <f>W23*(1+AA25)</f>
        <v>24630.71361343488</v>
      </c>
      <c r="AB23" s="727">
        <f t="shared" si="98"/>
        <v>23585.678617404865</v>
      </c>
      <c r="AC23" s="727">
        <f t="shared" si="98"/>
        <v>26228.829139583839</v>
      </c>
      <c r="AD23" s="727">
        <f t="shared" si="98"/>
        <v>28079.6996278242</v>
      </c>
      <c r="AE23" s="726">
        <f>AA23*(1+AE25)</f>
        <v>22906.563660494437</v>
      </c>
      <c r="AF23" s="727">
        <f t="shared" si="98"/>
        <v>23349.821831230816</v>
      </c>
      <c r="AG23" s="727">
        <f t="shared" si="98"/>
        <v>24655.099391208805</v>
      </c>
      <c r="AH23" s="1294">
        <f t="shared" si="98"/>
        <v>26675.714646432989</v>
      </c>
      <c r="AI23" s="726">
        <f>AE23*(1+AI25)</f>
        <v>21532.169840864772</v>
      </c>
      <c r="AJ23" s="732">
        <f>AI23*(1+AJ24)</f>
        <v>21962.813237682069</v>
      </c>
      <c r="AK23" s="732">
        <f t="shared" ref="AK23" si="99">AJ23*(1+AK24)</f>
        <v>23060.953899566171</v>
      </c>
      <c r="AL23" s="733">
        <f t="shared" ref="AL23" si="100">AK23*(1+AL24)</f>
        <v>22599.734821574846</v>
      </c>
      <c r="AM23" s="726">
        <f>AL23*(1+AM24)</f>
        <v>19661.769294770114</v>
      </c>
      <c r="AN23" s="732">
        <f>AM23*(1+AN24)</f>
        <v>20055.004680665515</v>
      </c>
      <c r="AO23" s="732">
        <f t="shared" ref="AO23" si="101">AN23*(1+AO24)</f>
        <v>21258.304961505448</v>
      </c>
      <c r="AP23" s="733">
        <f t="shared" ref="AP23" si="102">AO23*(1+AP24)</f>
        <v>20407.972763045229</v>
      </c>
      <c r="AQ23" s="718"/>
      <c r="AS23" s="729">
        <f>SUM(C23:F23)</f>
        <v>125636.46</v>
      </c>
      <c r="AT23" s="729">
        <f>SUM(G23:J23)</f>
        <v>131916.37019807997</v>
      </c>
      <c r="AU23" s="729">
        <f>SUM(K23:N23)</f>
        <v>128488.9875558192</v>
      </c>
      <c r="AV23" s="729">
        <f>SUM(O23:R23)</f>
        <v>125869.65527918664</v>
      </c>
      <c r="AW23" s="729">
        <f>SUM(S23:V23)</f>
        <v>129793.72716228731</v>
      </c>
      <c r="AX23" s="729">
        <f>SUM(W23:Z23)</f>
        <v>109777.76059801603</v>
      </c>
      <c r="AY23" s="729">
        <f>SUM(AA23:AD23)</f>
        <v>102524.92099824779</v>
      </c>
      <c r="AZ23" s="729">
        <f>SUM(AE23:AH23)</f>
        <v>97587.199529367048</v>
      </c>
      <c r="BA23" s="729">
        <f>SUM(AI23:AL23)</f>
        <v>89155.671799687858</v>
      </c>
      <c r="BB23" s="729">
        <f>SUM(AM23:AP23)</f>
        <v>81383.051699986303</v>
      </c>
    </row>
    <row r="24" spans="2:60" s="777" customFormat="1">
      <c r="B24" s="767" t="s">
        <v>97</v>
      </c>
      <c r="C24" s="768"/>
      <c r="D24" s="769">
        <f t="shared" ref="D24:K24" si="103">D23/C23-1</f>
        <v>4.149559130376268E-2</v>
      </c>
      <c r="E24" s="769">
        <f t="shared" si="103"/>
        <v>1.1632791546837939E-2</v>
      </c>
      <c r="F24" s="770">
        <f t="shared" si="103"/>
        <v>-3.25805730347839E-3</v>
      </c>
      <c r="G24" s="768">
        <f t="shared" si="103"/>
        <v>1.9293383111680606E-2</v>
      </c>
      <c r="H24" s="769">
        <f t="shared" si="103"/>
        <v>-4.1450800975600721E-2</v>
      </c>
      <c r="I24" s="769">
        <f t="shared" si="103"/>
        <v>0.11515908876265679</v>
      </c>
      <c r="J24" s="770">
        <f t="shared" si="103"/>
        <v>-2.8389286315813167E-2</v>
      </c>
      <c r="K24" s="768">
        <f t="shared" si="103"/>
        <v>-2.5287733908988308E-2</v>
      </c>
      <c r="L24" s="769">
        <f t="shared" ref="L24:AI24" si="104">L23/K23-1</f>
        <v>-5.5000000000000049E-2</v>
      </c>
      <c r="M24" s="769">
        <f t="shared" si="104"/>
        <v>5.033374503404775E-2</v>
      </c>
      <c r="N24" s="770">
        <f t="shared" si="104"/>
        <v>-1.805300212768346E-2</v>
      </c>
      <c r="O24" s="771">
        <f t="shared" si="104"/>
        <v>-4.5807992142483323E-2</v>
      </c>
      <c r="P24" s="769">
        <f t="shared" si="104"/>
        <v>-1.4354838709677464E-2</v>
      </c>
      <c r="Q24" s="769">
        <f t="shared" si="104"/>
        <v>2.8677379157056926E-2</v>
      </c>
      <c r="R24" s="770">
        <f t="shared" si="104"/>
        <v>0.10598240812987259</v>
      </c>
      <c r="S24" s="771">
        <f t="shared" si="104"/>
        <v>-0.10823176835746118</v>
      </c>
      <c r="T24" s="769">
        <f t="shared" si="104"/>
        <v>6.449677419354849E-2</v>
      </c>
      <c r="U24" s="769">
        <f t="shared" si="104"/>
        <v>9.6277980615557812E-3</v>
      </c>
      <c r="V24" s="770">
        <f t="shared" si="104"/>
        <v>3.294583400808837E-2</v>
      </c>
      <c r="W24" s="771">
        <f t="shared" si="104"/>
        <v>-0.24334816709117912</v>
      </c>
      <c r="X24" s="769">
        <f t="shared" si="104"/>
        <v>-1.1538709677419212E-2</v>
      </c>
      <c r="Y24" s="769">
        <f t="shared" si="104"/>
        <v>0.10023542096451576</v>
      </c>
      <c r="Z24" s="770">
        <f t="shared" si="104"/>
        <v>0.10585965758513005</v>
      </c>
      <c r="AA24" s="771">
        <f t="shared" si="104"/>
        <v>-0.20177389055772743</v>
      </c>
      <c r="AB24" s="769">
        <f t="shared" si="104"/>
        <v>-4.2428124999999928E-2</v>
      </c>
      <c r="AC24" s="769">
        <f t="shared" si="104"/>
        <v>0.1120659093619838</v>
      </c>
      <c r="AD24" s="769">
        <f t="shared" si="104"/>
        <v>7.0566264257944988E-2</v>
      </c>
      <c r="AE24" s="771">
        <f t="shared" si="104"/>
        <v>-0.18423045958097417</v>
      </c>
      <c r="AF24" s="769">
        <f t="shared" si="104"/>
        <v>1.9350705645161392E-2</v>
      </c>
      <c r="AG24" s="769">
        <f t="shared" si="104"/>
        <v>5.5900964444711709E-2</v>
      </c>
      <c r="AH24" s="1297">
        <f t="shared" si="104"/>
        <v>8.1955267069199866E-2</v>
      </c>
      <c r="AI24" s="771">
        <f t="shared" si="104"/>
        <v>-0.19281750737485859</v>
      </c>
      <c r="AJ24" s="772">
        <v>0.02</v>
      </c>
      <c r="AK24" s="772">
        <v>0.05</v>
      </c>
      <c r="AL24" s="773">
        <v>-0.02</v>
      </c>
      <c r="AM24" s="772">
        <v>-0.13</v>
      </c>
      <c r="AN24" s="772">
        <v>0.02</v>
      </c>
      <c r="AO24" s="772">
        <v>0.06</v>
      </c>
      <c r="AP24" s="773">
        <v>-0.04</v>
      </c>
      <c r="AQ24" s="775"/>
      <c r="AR24" s="776"/>
      <c r="AS24" s="774"/>
      <c r="AT24" s="774"/>
      <c r="AU24" s="774"/>
      <c r="AV24" s="774"/>
      <c r="AW24" s="774"/>
      <c r="AX24" s="774"/>
      <c r="AY24" s="774"/>
      <c r="AZ24" s="774"/>
      <c r="BA24" s="774"/>
      <c r="BB24" s="774"/>
      <c r="BC24" s="774"/>
      <c r="BD24" s="774"/>
      <c r="BE24" s="774"/>
      <c r="BF24" s="774"/>
      <c r="BG24" s="774"/>
      <c r="BH24" s="774"/>
    </row>
    <row r="25" spans="2:60" s="777" customFormat="1">
      <c r="B25" s="767" t="s">
        <v>98</v>
      </c>
      <c r="C25" s="768"/>
      <c r="D25" s="769"/>
      <c r="E25" s="769"/>
      <c r="F25" s="770"/>
      <c r="G25" s="768">
        <f>G23/C23-1</f>
        <v>7.0439860671737131E-2</v>
      </c>
      <c r="H25" s="769">
        <f>H23/D23-1</f>
        <v>-1.4811700003231509E-2</v>
      </c>
      <c r="I25" s="769">
        <f>I23/E23-1</f>
        <v>8.600837780688031E-2</v>
      </c>
      <c r="J25" s="770">
        <f>J23/F23-1</f>
        <v>5.8626440634513388E-2</v>
      </c>
      <c r="K25" s="768">
        <f>K23/G23-1</f>
        <v>1.2325002782512362E-2</v>
      </c>
      <c r="L25" s="769">
        <f t="shared" ref="L25" si="105">L23/H23-1</f>
        <v>-1.9843231801361938E-3</v>
      </c>
      <c r="M25" s="778">
        <f>M322</f>
        <v>-0.06</v>
      </c>
      <c r="N25" s="779">
        <f t="shared" ref="N25:AA25" si="106">N322</f>
        <v>-0.05</v>
      </c>
      <c r="O25" s="780">
        <f t="shared" si="106"/>
        <v>-7.0000000000000007E-2</v>
      </c>
      <c r="P25" s="778">
        <f t="shared" si="106"/>
        <v>-0.03</v>
      </c>
      <c r="Q25" s="778">
        <f t="shared" si="106"/>
        <v>-0.05</v>
      </c>
      <c r="R25" s="779">
        <f t="shared" si="106"/>
        <v>7.0000000000000007E-2</v>
      </c>
      <c r="S25" s="780">
        <f t="shared" si="106"/>
        <v>0</v>
      </c>
      <c r="T25" s="778">
        <f t="shared" si="106"/>
        <v>0.08</v>
      </c>
      <c r="U25" s="778">
        <f t="shared" si="106"/>
        <v>0.06</v>
      </c>
      <c r="V25" s="779">
        <f t="shared" si="106"/>
        <v>-0.01</v>
      </c>
      <c r="W25" s="780">
        <f t="shared" si="106"/>
        <v>-0.16</v>
      </c>
      <c r="X25" s="778">
        <f t="shared" si="106"/>
        <v>-0.22</v>
      </c>
      <c r="Y25" s="778">
        <f t="shared" si="106"/>
        <v>-0.15</v>
      </c>
      <c r="Z25" s="779">
        <f t="shared" si="106"/>
        <v>-0.09</v>
      </c>
      <c r="AA25" s="780">
        <f t="shared" si="106"/>
        <v>-0.04</v>
      </c>
      <c r="AB25" s="778">
        <f t="shared" ref="AB25" si="107">AB322</f>
        <v>-7.0000000000000007E-2</v>
      </c>
      <c r="AC25" s="778">
        <v>-0.06</v>
      </c>
      <c r="AD25" s="778">
        <v>-0.09</v>
      </c>
      <c r="AE25" s="780">
        <v>-7.0000000000000007E-2</v>
      </c>
      <c r="AF25" s="778">
        <v>-0.01</v>
      </c>
      <c r="AG25" s="778">
        <v>-0.06</v>
      </c>
      <c r="AH25" s="1298">
        <v>-0.05</v>
      </c>
      <c r="AI25" s="780">
        <v>-0.06</v>
      </c>
      <c r="AJ25" s="769">
        <f t="shared" ref="AJ25" si="108">AJ23/AF23-1</f>
        <v>-5.940124955016135E-2</v>
      </c>
      <c r="AK25" s="769">
        <f t="shared" ref="AK25" si="109">AK23/AG23-1</f>
        <v>-6.4657840812073708E-2</v>
      </c>
      <c r="AL25" s="770">
        <f t="shared" ref="AL25" si="110">AL23/AH23-1</f>
        <v>-0.15279739939050418</v>
      </c>
      <c r="AM25" s="769">
        <f t="shared" ref="AM25" si="111">AM23/AI23-1</f>
        <v>-8.6865400000000093E-2</v>
      </c>
      <c r="AN25" s="769">
        <f t="shared" ref="AN25" si="112">AN23/AJ23-1</f>
        <v>-8.6865400000000204E-2</v>
      </c>
      <c r="AO25" s="769">
        <f t="shared" ref="AO25" si="113">AO23/AK23-1</f>
        <v>-7.8168880000000107E-2</v>
      </c>
      <c r="AP25" s="770">
        <f t="shared" ref="AP25" si="114">AP23/AL23-1</f>
        <v>-9.6981760000000139E-2</v>
      </c>
      <c r="AQ25" s="775"/>
      <c r="AR25" s="776"/>
      <c r="AS25" s="774"/>
      <c r="AT25" s="756">
        <f t="shared" ref="AT25:BB25" si="115">AT23/AS23-1</f>
        <v>4.9984775104933377E-2</v>
      </c>
      <c r="AU25" s="756">
        <f t="shared" si="115"/>
        <v>-2.5981480820874259E-2</v>
      </c>
      <c r="AV25" s="756">
        <f t="shared" si="115"/>
        <v>-2.0385655817348969E-2</v>
      </c>
      <c r="AW25" s="756">
        <f t="shared" si="115"/>
        <v>3.1175678318946964E-2</v>
      </c>
      <c r="AX25" s="756">
        <f t="shared" si="115"/>
        <v>-0.15421366657607694</v>
      </c>
      <c r="AY25" s="756">
        <f t="shared" si="115"/>
        <v>-6.6068387260391215E-2</v>
      </c>
      <c r="AZ25" s="756">
        <f t="shared" si="115"/>
        <v>-4.8161182869530195E-2</v>
      </c>
      <c r="BA25" s="756">
        <f t="shared" si="115"/>
        <v>-8.6399935343383638E-2</v>
      </c>
      <c r="BB25" s="756">
        <f t="shared" si="115"/>
        <v>-8.7180321148438322E-2</v>
      </c>
      <c r="BC25" s="774"/>
      <c r="BD25" s="774"/>
      <c r="BE25" s="774"/>
      <c r="BF25" s="774"/>
      <c r="BG25" s="774"/>
      <c r="BH25" s="774"/>
    </row>
    <row r="26" spans="2:60" s="717" customFormat="1">
      <c r="B26" s="749"/>
      <c r="C26" s="720"/>
      <c r="D26" s="721"/>
      <c r="E26" s="721"/>
      <c r="F26" s="722"/>
      <c r="G26" s="720"/>
      <c r="H26" s="721"/>
      <c r="I26" s="721"/>
      <c r="J26" s="722"/>
      <c r="K26" s="758"/>
      <c r="L26" s="721"/>
      <c r="M26" s="721"/>
      <c r="N26" s="722"/>
      <c r="O26" s="720"/>
      <c r="P26" s="721"/>
      <c r="Q26" s="721"/>
      <c r="R26" s="722"/>
      <c r="S26" s="720"/>
      <c r="T26" s="721"/>
      <c r="U26" s="721"/>
      <c r="V26" s="722"/>
      <c r="W26" s="720"/>
      <c r="X26" s="721"/>
      <c r="Y26" s="721"/>
      <c r="Z26" s="722"/>
      <c r="AA26" s="720"/>
      <c r="AB26" s="721"/>
      <c r="AC26" s="721"/>
      <c r="AD26" s="721"/>
      <c r="AE26" s="720"/>
      <c r="AF26" s="721"/>
      <c r="AG26" s="721"/>
      <c r="AH26" s="1296"/>
      <c r="AI26" s="720"/>
      <c r="AJ26" s="721"/>
      <c r="AK26" s="721"/>
      <c r="AL26" s="722"/>
      <c r="AM26" s="721"/>
      <c r="AN26" s="721"/>
      <c r="AO26" s="721"/>
      <c r="AP26" s="722"/>
      <c r="AQ26" s="718"/>
      <c r="AS26" s="723"/>
      <c r="AT26" s="723"/>
      <c r="AU26" s="723"/>
      <c r="AV26" s="723"/>
      <c r="AW26" s="723"/>
      <c r="AX26" s="723"/>
      <c r="AY26" s="723"/>
      <c r="AZ26" s="723"/>
      <c r="BA26" s="723"/>
      <c r="BB26" s="723"/>
    </row>
    <row r="27" spans="2:60" s="717" customFormat="1">
      <c r="B27" s="749" t="s">
        <v>299</v>
      </c>
      <c r="C27" s="764">
        <v>97.446707095660898</v>
      </c>
      <c r="D27" s="765">
        <v>94.549480251849445</v>
      </c>
      <c r="E27" s="765">
        <v>96.755980369461767</v>
      </c>
      <c r="F27" s="766">
        <v>93.801479047836878</v>
      </c>
      <c r="G27" s="764">
        <v>104</v>
      </c>
      <c r="H27" s="765">
        <v>101.92</v>
      </c>
      <c r="I27" s="765">
        <v>103.9584</v>
      </c>
      <c r="J27" s="766">
        <v>103.9584</v>
      </c>
      <c r="K27" s="764">
        <v>104.46259823999998</v>
      </c>
      <c r="L27" s="765">
        <v>104.98491123119996</v>
      </c>
      <c r="M27" s="765">
        <v>103.93506211888796</v>
      </c>
      <c r="N27" s="728">
        <f>J27*(1+N29)</f>
        <v>108.116736</v>
      </c>
      <c r="O27" s="781">
        <f t="shared" ref="O27:AI27" si="116">K27*(1+O29)</f>
        <v>109.68572815199998</v>
      </c>
      <c r="P27" s="782">
        <f t="shared" si="116"/>
        <v>111.28400590507196</v>
      </c>
      <c r="Q27" s="782">
        <f t="shared" si="116"/>
        <v>110.17116584602124</v>
      </c>
      <c r="R27" s="783">
        <f>N27*(1+R29)</f>
        <v>113.52257280000001</v>
      </c>
      <c r="S27" s="781">
        <f t="shared" si="116"/>
        <v>114.07315727807999</v>
      </c>
      <c r="T27" s="782">
        <f t="shared" si="116"/>
        <v>113.5096860231734</v>
      </c>
      <c r="U27" s="782">
        <f t="shared" si="116"/>
        <v>112.37458916294166</v>
      </c>
      <c r="V27" s="783">
        <f t="shared" si="116"/>
        <v>113.52257280000001</v>
      </c>
      <c r="W27" s="781">
        <f t="shared" si="116"/>
        <v>116.35462042364159</v>
      </c>
      <c r="X27" s="782">
        <f t="shared" si="116"/>
        <v>120.32026718456382</v>
      </c>
      <c r="Y27" s="782">
        <f t="shared" si="116"/>
        <v>121.364556295977</v>
      </c>
      <c r="Z27" s="783">
        <f t="shared" si="116"/>
        <v>123.73960435200001</v>
      </c>
      <c r="AA27" s="781">
        <f t="shared" si="116"/>
        <v>123.33589764906009</v>
      </c>
      <c r="AB27" s="782">
        <f t="shared" si="116"/>
        <v>121.52346985640946</v>
      </c>
      <c r="AC27" s="782">
        <f t="shared" si="116"/>
        <v>121.364556295977</v>
      </c>
      <c r="AD27" s="782">
        <f t="shared" si="116"/>
        <v>126.21439643904002</v>
      </c>
      <c r="AE27" s="781">
        <f t="shared" si="116"/>
        <v>125.80261560204129</v>
      </c>
      <c r="AF27" s="782">
        <f t="shared" si="116"/>
        <v>120.30823515784537</v>
      </c>
      <c r="AG27" s="782">
        <f t="shared" si="116"/>
        <v>121.364556295977</v>
      </c>
      <c r="AH27" s="1299">
        <f t="shared" si="116"/>
        <v>123.69010851025921</v>
      </c>
      <c r="AI27" s="781">
        <f t="shared" si="116"/>
        <v>134.60879869418417</v>
      </c>
      <c r="AJ27" s="732">
        <f t="shared" ref="AJ27" si="117">AI27*(1+AJ28)</f>
        <v>137.30097466806785</v>
      </c>
      <c r="AK27" s="732">
        <f t="shared" ref="AK27" si="118">AJ27*(1+AK28)</f>
        <v>137.30097466806785</v>
      </c>
      <c r="AL27" s="733">
        <f t="shared" ref="AL27" si="119">AK27*(1+AL28)</f>
        <v>137.30097466806785</v>
      </c>
      <c r="AM27" s="732">
        <f t="shared" ref="AM27" si="120">AL27*(1+AM28)</f>
        <v>138.67398441474853</v>
      </c>
      <c r="AN27" s="732">
        <f t="shared" ref="AN27" si="121">AM27*(1+AN28)</f>
        <v>138.67398441474853</v>
      </c>
      <c r="AO27" s="732">
        <f t="shared" ref="AO27" si="122">AN27*(1+AO28)</f>
        <v>140.06072425889602</v>
      </c>
      <c r="AP27" s="733">
        <f t="shared" ref="AP27" si="123">AO27*(1+AP28)</f>
        <v>141.46133150148498</v>
      </c>
      <c r="AQ27" s="718"/>
      <c r="AS27" s="729">
        <f>AVERAGE(C27:F27)</f>
        <v>95.638411691202251</v>
      </c>
      <c r="AT27" s="729">
        <f>AVERAGE(G27:J27)</f>
        <v>103.4592</v>
      </c>
      <c r="AU27" s="729">
        <f>AVERAGE(K27:N27)</f>
        <v>105.37482689752197</v>
      </c>
      <c r="AV27" s="729">
        <f>AVERAGE(O27:R27)</f>
        <v>111.16586817577331</v>
      </c>
      <c r="AW27" s="729">
        <f>AVERAGE(S27:V27)</f>
        <v>113.37000131604876</v>
      </c>
      <c r="AX27" s="729">
        <f>AVERAGE(W27:Z27)</f>
        <v>120.44476206404561</v>
      </c>
      <c r="AY27" s="729">
        <f>AVERAGE(AA27:AD27)</f>
        <v>123.10958006012163</v>
      </c>
      <c r="AZ27" s="729">
        <f>AVERAGE(AE27:AH27)</f>
        <v>122.79137889153073</v>
      </c>
      <c r="BA27" s="729">
        <f>AVERAGE(AI27:AL27)</f>
        <v>136.62793067459694</v>
      </c>
      <c r="BB27" s="729">
        <f>AVERAGE(AM27:AP27)</f>
        <v>139.71750614746952</v>
      </c>
    </row>
    <row r="28" spans="2:60">
      <c r="B28" s="754" t="s">
        <v>97</v>
      </c>
      <c r="C28" s="755"/>
      <c r="D28" s="769">
        <f t="shared" ref="D28:K28" si="124">D27/C27-1</f>
        <v>-2.9731398116586094E-2</v>
      </c>
      <c r="E28" s="769">
        <f t="shared" si="124"/>
        <v>2.33369883338852E-2</v>
      </c>
      <c r="F28" s="770">
        <f t="shared" si="124"/>
        <v>-3.0535593875884004E-2</v>
      </c>
      <c r="G28" s="768">
        <f t="shared" si="124"/>
        <v>0.10872452178458802</v>
      </c>
      <c r="H28" s="769">
        <f t="shared" si="124"/>
        <v>-2.0000000000000018E-2</v>
      </c>
      <c r="I28" s="769">
        <f t="shared" si="124"/>
        <v>2.0000000000000018E-2</v>
      </c>
      <c r="J28" s="770">
        <f t="shared" si="124"/>
        <v>0</v>
      </c>
      <c r="K28" s="768">
        <f t="shared" si="124"/>
        <v>4.8499999999997989E-3</v>
      </c>
      <c r="L28" s="769">
        <f t="shared" ref="L28:AI28" si="125">L27/K27-1</f>
        <v>4.9999999999998934E-3</v>
      </c>
      <c r="M28" s="769">
        <f t="shared" si="125"/>
        <v>-1.0000000000000009E-2</v>
      </c>
      <c r="N28" s="770">
        <f t="shared" si="125"/>
        <v>4.0233524624527339E-2</v>
      </c>
      <c r="O28" s="771">
        <f t="shared" si="125"/>
        <v>1.4512019230769058E-2</v>
      </c>
      <c r="P28" s="769">
        <f t="shared" si="125"/>
        <v>1.4571428571428457E-2</v>
      </c>
      <c r="Q28" s="769">
        <f t="shared" si="125"/>
        <v>-1.0000000000000009E-2</v>
      </c>
      <c r="R28" s="770">
        <f t="shared" si="125"/>
        <v>3.0420000807314773E-2</v>
      </c>
      <c r="S28" s="771">
        <f t="shared" si="125"/>
        <v>4.8499999999997989E-3</v>
      </c>
      <c r="T28" s="769">
        <f t="shared" si="125"/>
        <v>-4.9395604395606751E-3</v>
      </c>
      <c r="U28" s="769">
        <f t="shared" si="125"/>
        <v>-1.0000000000000009E-2</v>
      </c>
      <c r="V28" s="770">
        <f t="shared" si="125"/>
        <v>1.021568706599485E-2</v>
      </c>
      <c r="W28" s="771">
        <f t="shared" si="125"/>
        <v>2.494699999999983E-2</v>
      </c>
      <c r="X28" s="769">
        <f t="shared" si="125"/>
        <v>3.4082417582417479E-2</v>
      </c>
      <c r="Y28" s="769">
        <f t="shared" si="125"/>
        <v>8.6792452830186662E-3</v>
      </c>
      <c r="Z28" s="770">
        <f t="shared" si="125"/>
        <v>1.9569536020309641E-2</v>
      </c>
      <c r="AA28" s="771">
        <f t="shared" si="125"/>
        <v>-3.2625504587158183E-3</v>
      </c>
      <c r="AB28" s="769">
        <f t="shared" si="125"/>
        <v>-1.4695054945055075E-2</v>
      </c>
      <c r="AC28" s="769">
        <f t="shared" si="125"/>
        <v>-1.3076779376053338E-3</v>
      </c>
      <c r="AD28" s="769">
        <f t="shared" si="125"/>
        <v>3.9960926740715941E-2</v>
      </c>
      <c r="AE28" s="771">
        <f t="shared" si="125"/>
        <v>-3.2625504587158183E-3</v>
      </c>
      <c r="AF28" s="769">
        <f t="shared" si="125"/>
        <v>-4.3674612152553416E-2</v>
      </c>
      <c r="AG28" s="769">
        <f t="shared" si="125"/>
        <v>8.7801232953481634E-3</v>
      </c>
      <c r="AH28" s="1297">
        <f t="shared" si="125"/>
        <v>1.9161708205901462E-2</v>
      </c>
      <c r="AI28" s="771">
        <f t="shared" si="125"/>
        <v>8.8274562254259337E-2</v>
      </c>
      <c r="AJ28" s="772">
        <v>0.02</v>
      </c>
      <c r="AK28" s="772">
        <v>0</v>
      </c>
      <c r="AL28" s="773">
        <v>0</v>
      </c>
      <c r="AM28" s="772">
        <v>0.01</v>
      </c>
      <c r="AN28" s="772">
        <v>0</v>
      </c>
      <c r="AO28" s="772">
        <v>0.01</v>
      </c>
      <c r="AP28" s="773">
        <v>0.01</v>
      </c>
      <c r="AQ28" s="760"/>
      <c r="AR28" s="761"/>
      <c r="AS28" s="759"/>
      <c r="AT28" s="759"/>
      <c r="AU28" s="759"/>
      <c r="AV28" s="759"/>
      <c r="AW28" s="759"/>
      <c r="AX28" s="759"/>
      <c r="AY28" s="759"/>
      <c r="AZ28" s="759"/>
      <c r="BA28" s="759"/>
      <c r="BB28" s="759"/>
      <c r="BC28" s="759"/>
      <c r="BD28" s="759"/>
      <c r="BE28" s="759"/>
      <c r="BF28" s="759"/>
      <c r="BG28" s="759"/>
      <c r="BH28" s="759"/>
    </row>
    <row r="29" spans="2:60">
      <c r="B29" s="754" t="s">
        <v>98</v>
      </c>
      <c r="C29" s="755"/>
      <c r="D29" s="769"/>
      <c r="E29" s="769"/>
      <c r="F29" s="770"/>
      <c r="G29" s="768">
        <f>G27/C27-1</f>
        <v>6.7250019006859896E-2</v>
      </c>
      <c r="H29" s="769">
        <f>H27/D27-1</f>
        <v>7.7954101159708689E-2</v>
      </c>
      <c r="I29" s="769">
        <f>I27/E27-1</f>
        <v>7.4439012483113354E-2</v>
      </c>
      <c r="J29" s="770">
        <f>J27/F27-1</f>
        <v>0.10828103197587424</v>
      </c>
      <c r="K29" s="768">
        <f>K27/G27-1</f>
        <v>4.4480599999998649E-3</v>
      </c>
      <c r="L29" s="769">
        <f t="shared" ref="L29:M29" si="126">L27/H27-1</f>
        <v>3.0071734999999489E-2</v>
      </c>
      <c r="M29" s="769">
        <f t="shared" si="126"/>
        <v>-2.2449250000045051E-4</v>
      </c>
      <c r="N29" s="779">
        <f t="shared" ref="N29:AA29" si="127">N325</f>
        <v>0.04</v>
      </c>
      <c r="O29" s="780">
        <f t="shared" si="127"/>
        <v>0.05</v>
      </c>
      <c r="P29" s="778">
        <f t="shared" si="127"/>
        <v>0.06</v>
      </c>
      <c r="Q29" s="778">
        <f t="shared" si="127"/>
        <v>0.06</v>
      </c>
      <c r="R29" s="779">
        <f t="shared" si="127"/>
        <v>0.05</v>
      </c>
      <c r="S29" s="780">
        <f t="shared" si="127"/>
        <v>0.04</v>
      </c>
      <c r="T29" s="778">
        <f t="shared" si="127"/>
        <v>0.02</v>
      </c>
      <c r="U29" s="778">
        <f t="shared" si="127"/>
        <v>0.02</v>
      </c>
      <c r="V29" s="779">
        <f t="shared" si="127"/>
        <v>0</v>
      </c>
      <c r="W29" s="780">
        <f t="shared" si="127"/>
        <v>0.02</v>
      </c>
      <c r="X29" s="778">
        <f t="shared" si="127"/>
        <v>0.06</v>
      </c>
      <c r="Y29" s="778">
        <f t="shared" si="127"/>
        <v>0.08</v>
      </c>
      <c r="Z29" s="779">
        <f t="shared" si="127"/>
        <v>0.09</v>
      </c>
      <c r="AA29" s="780">
        <f t="shared" si="127"/>
        <v>0.06</v>
      </c>
      <c r="AB29" s="778">
        <f t="shared" ref="AB29:AC29" si="128">AB325</f>
        <v>0.01</v>
      </c>
      <c r="AC29" s="778">
        <f t="shared" si="128"/>
        <v>0</v>
      </c>
      <c r="AD29" s="778">
        <v>0.02</v>
      </c>
      <c r="AE29" s="780">
        <v>0.02</v>
      </c>
      <c r="AF29" s="778">
        <v>-0.01</v>
      </c>
      <c r="AG29" s="778">
        <v>0</v>
      </c>
      <c r="AH29" s="1298">
        <v>-0.02</v>
      </c>
      <c r="AI29" s="780">
        <v>7.0000000000000007E-2</v>
      </c>
      <c r="AJ29" s="769">
        <f t="shared" ref="AJ29" si="129">AJ27/AF27-1</f>
        <v>0.14124336117081149</v>
      </c>
      <c r="AK29" s="769">
        <f t="shared" ref="AK29" si="130">AK27/AG27-1</f>
        <v>0.1313103171013621</v>
      </c>
      <c r="AL29" s="770">
        <f t="shared" ref="AL29" si="131">AL27/AH27-1</f>
        <v>0.11004005349934443</v>
      </c>
      <c r="AM29" s="769">
        <f t="shared" ref="AM29" si="132">AM27/AI27-1</f>
        <v>3.0200000000000005E-2</v>
      </c>
      <c r="AN29" s="769">
        <f t="shared" ref="AN29" si="133">AN27/AJ27-1</f>
        <v>1.0000000000000009E-2</v>
      </c>
      <c r="AO29" s="769">
        <f t="shared" ref="AO29" si="134">AO27/AK27-1</f>
        <v>2.0100000000000007E-2</v>
      </c>
      <c r="AP29" s="770">
        <f t="shared" ref="AP29" si="135">AP27/AL27-1</f>
        <v>3.0300999999999911E-2</v>
      </c>
      <c r="AQ29" s="760"/>
      <c r="AR29" s="761"/>
      <c r="AS29" s="759"/>
      <c r="AT29" s="756">
        <f t="shared" ref="AT29:BB29" si="136">AT27/AS27-1</f>
        <v>8.1774552405256884E-2</v>
      </c>
      <c r="AU29" s="756">
        <f t="shared" si="136"/>
        <v>1.8515771410584803E-2</v>
      </c>
      <c r="AV29" s="756">
        <f t="shared" si="136"/>
        <v>5.4956591139961652E-2</v>
      </c>
      <c r="AW29" s="756">
        <f t="shared" si="136"/>
        <v>1.9827427037139689E-2</v>
      </c>
      <c r="AX29" s="756">
        <f t="shared" si="136"/>
        <v>6.2404169232335827E-2</v>
      </c>
      <c r="AY29" s="756">
        <f t="shared" si="136"/>
        <v>2.212481431661617E-2</v>
      </c>
      <c r="AZ29" s="756">
        <f t="shared" si="136"/>
        <v>-2.5846986760534874E-3</v>
      </c>
      <c r="BA29" s="756">
        <f t="shared" si="136"/>
        <v>0.11268341399837922</v>
      </c>
      <c r="BB29" s="756">
        <f t="shared" si="136"/>
        <v>2.2613059113300471E-2</v>
      </c>
      <c r="BC29" s="759"/>
      <c r="BD29" s="759"/>
      <c r="BE29" s="759"/>
      <c r="BF29" s="759"/>
      <c r="BG29" s="759"/>
      <c r="BH29" s="759"/>
    </row>
    <row r="30" spans="2:60" s="717" customFormat="1">
      <c r="B30" s="749"/>
      <c r="C30" s="720"/>
      <c r="D30" s="721"/>
      <c r="E30" s="721"/>
      <c r="F30" s="722"/>
      <c r="G30" s="720"/>
      <c r="H30" s="721"/>
      <c r="I30" s="721"/>
      <c r="J30" s="722"/>
      <c r="K30" s="720"/>
      <c r="L30" s="721"/>
      <c r="M30" s="721"/>
      <c r="N30" s="722"/>
      <c r="O30" s="720"/>
      <c r="P30" s="721"/>
      <c r="Q30" s="721"/>
      <c r="R30" s="722"/>
      <c r="S30" s="720"/>
      <c r="T30" s="721"/>
      <c r="U30" s="721"/>
      <c r="V30" s="722"/>
      <c r="W30" s="720"/>
      <c r="X30" s="721"/>
      <c r="Y30" s="721"/>
      <c r="Z30" s="722"/>
      <c r="AA30" s="720"/>
      <c r="AB30" s="721"/>
      <c r="AC30" s="721"/>
      <c r="AD30" s="721"/>
      <c r="AE30" s="720"/>
      <c r="AF30" s="721"/>
      <c r="AG30" s="721"/>
      <c r="AH30" s="1296"/>
      <c r="AI30" s="720"/>
      <c r="AJ30" s="721"/>
      <c r="AK30" s="721"/>
      <c r="AL30" s="722"/>
      <c r="AM30" s="721"/>
      <c r="AN30" s="721"/>
      <c r="AO30" s="721"/>
      <c r="AP30" s="722"/>
      <c r="AQ30" s="718"/>
      <c r="AS30" s="723"/>
      <c r="AT30" s="723"/>
      <c r="AU30" s="723"/>
      <c r="AV30" s="723"/>
      <c r="AW30" s="723"/>
      <c r="AX30" s="723"/>
      <c r="AY30" s="723"/>
      <c r="AZ30" s="723"/>
      <c r="BA30" s="723"/>
      <c r="BB30" s="723"/>
    </row>
    <row r="31" spans="2:60" s="717" customFormat="1">
      <c r="B31" s="749" t="s">
        <v>302</v>
      </c>
      <c r="C31" s="726">
        <f>C35*C39/1000</f>
        <v>4434.3600387915776</v>
      </c>
      <c r="D31" s="727">
        <f t="shared" ref="D31:AD31" si="137">D35*D39/1000</f>
        <v>4578.311328735912</v>
      </c>
      <c r="E31" s="727">
        <f t="shared" si="137"/>
        <v>4705.645613048423</v>
      </c>
      <c r="F31" s="728">
        <f t="shared" si="137"/>
        <v>4659.1828542841349</v>
      </c>
      <c r="G31" s="726">
        <f t="shared" si="137"/>
        <v>5269.493653403214</v>
      </c>
      <c r="H31" s="727">
        <f t="shared" si="137"/>
        <v>5166.6829162178383</v>
      </c>
      <c r="I31" s="727">
        <f t="shared" si="137"/>
        <v>5811.5447509115056</v>
      </c>
      <c r="J31" s="728">
        <f t="shared" si="137"/>
        <v>5390.2935668249738</v>
      </c>
      <c r="K31" s="726">
        <f t="shared" si="137"/>
        <v>5020.0159567359824</v>
      </c>
      <c r="L31" s="727">
        <f t="shared" si="137"/>
        <v>5408.4396913884293</v>
      </c>
      <c r="M31" s="727">
        <f t="shared" si="137"/>
        <v>5156.4442815465964</v>
      </c>
      <c r="N31" s="728">
        <f t="shared" si="137"/>
        <v>5168.2134718717843</v>
      </c>
      <c r="O31" s="726">
        <f t="shared" si="137"/>
        <v>4624.4386993451863</v>
      </c>
      <c r="P31" s="727">
        <f t="shared" si="137"/>
        <v>4828.6549564715897</v>
      </c>
      <c r="Q31" s="727">
        <f t="shared" si="137"/>
        <v>4851.6984245071926</v>
      </c>
      <c r="R31" s="728">
        <f t="shared" si="137"/>
        <v>4806.4385288407584</v>
      </c>
      <c r="S31" s="726">
        <f t="shared" si="137"/>
        <v>4339.5732754655228</v>
      </c>
      <c r="T31" s="727">
        <f t="shared" si="137"/>
        <v>4894.8075293752509</v>
      </c>
      <c r="U31" s="727">
        <f t="shared" si="137"/>
        <v>5283.4995842883327</v>
      </c>
      <c r="V31" s="728">
        <f t="shared" si="137"/>
        <v>5175.092364002845</v>
      </c>
      <c r="W31" s="726">
        <f t="shared" si="137"/>
        <v>4335.6676595176041</v>
      </c>
      <c r="X31" s="727">
        <f t="shared" si="137"/>
        <v>4269.2511271210924</v>
      </c>
      <c r="Y31" s="727">
        <f t="shared" si="137"/>
        <v>4725.5620281874853</v>
      </c>
      <c r="Z31" s="728">
        <f t="shared" si="137"/>
        <v>4937.0381152587152</v>
      </c>
      <c r="AA31" s="726">
        <f t="shared" si="137"/>
        <v>4248.9543063272513</v>
      </c>
      <c r="AB31" s="727">
        <f t="shared" si="137"/>
        <v>4136.904342180339</v>
      </c>
      <c r="AC31" s="727">
        <f t="shared" si="137"/>
        <v>5062.0220445944342</v>
      </c>
      <c r="AD31" s="727">
        <f t="shared" si="137"/>
        <v>5085.1492587164757</v>
      </c>
      <c r="AE31" s="726">
        <f t="shared" ref="AE31:AF31" si="138">AE35*AE39/1000</f>
        <v>4591.8449188478608</v>
      </c>
      <c r="AF31" s="727">
        <f t="shared" si="138"/>
        <v>4999.0352070907229</v>
      </c>
      <c r="AG31" s="727">
        <f t="shared" ref="AG31:AI31" si="139">AG35*AG39/1000</f>
        <v>5112.6422650403792</v>
      </c>
      <c r="AH31" s="1294">
        <f t="shared" si="139"/>
        <v>5072.4363855696847</v>
      </c>
      <c r="AI31" s="726">
        <f t="shared" si="139"/>
        <v>4823.2739027577927</v>
      </c>
      <c r="AJ31" s="727">
        <f t="shared" ref="AJ31:AL31" si="140">AJ35*AJ39/1000</f>
        <v>5018.1341684292083</v>
      </c>
      <c r="AK31" s="727">
        <f t="shared" si="140"/>
        <v>5269.0408768506695</v>
      </c>
      <c r="AL31" s="728">
        <f t="shared" si="140"/>
        <v>5321.7312856191747</v>
      </c>
      <c r="AM31" s="726">
        <f t="shared" ref="AM31:AP31" si="141">AM35*AM39/1000</f>
        <v>4676.2052806735692</v>
      </c>
      <c r="AN31" s="727">
        <f t="shared" si="141"/>
        <v>4769.7293862870411</v>
      </c>
      <c r="AO31" s="727">
        <f t="shared" si="141"/>
        <v>5205.6826521936764</v>
      </c>
      <c r="AP31" s="728">
        <f t="shared" si="141"/>
        <v>5309.7963052375499</v>
      </c>
      <c r="AQ31" s="718"/>
      <c r="AS31" s="729">
        <f>SUM(C31:F31)</f>
        <v>18377.499834860049</v>
      </c>
      <c r="AT31" s="729">
        <f>SUM(G31:J31)</f>
        <v>21638.014887357531</v>
      </c>
      <c r="AU31" s="729">
        <f>SUM(K31:N31)</f>
        <v>20753.113401542789</v>
      </c>
      <c r="AV31" s="729">
        <f>SUM(O31:R31)</f>
        <v>19111.230609164726</v>
      </c>
      <c r="AW31" s="729">
        <f>SUM(S31:V31)</f>
        <v>19692.972753131951</v>
      </c>
      <c r="AX31" s="729">
        <f>SUM(W31:Z31)</f>
        <v>18267.518930084898</v>
      </c>
      <c r="AY31" s="729">
        <f>SUM(AA31:AD31)</f>
        <v>18533.029951818498</v>
      </c>
      <c r="AZ31" s="729">
        <f>SUM(AE31:AH31)</f>
        <v>19775.95877654865</v>
      </c>
      <c r="BA31" s="729">
        <f>SUM(AI31:AL31)</f>
        <v>20432.180233656843</v>
      </c>
      <c r="BB31" s="729">
        <f>SUM(AM31:AP31)</f>
        <v>19961.413624391836</v>
      </c>
    </row>
    <row r="32" spans="2:60">
      <c r="B32" s="754" t="s">
        <v>97</v>
      </c>
      <c r="C32" s="755"/>
      <c r="D32" s="756">
        <f>D31/C31-1</f>
        <v>3.2462697815480723E-2</v>
      </c>
      <c r="E32" s="756">
        <f t="shared" ref="E32:AI32" si="142">E31/D31-1</f>
        <v>2.7812500105288462E-2</v>
      </c>
      <c r="F32" s="757">
        <f t="shared" si="142"/>
        <v>-9.8738329625694954E-3</v>
      </c>
      <c r="G32" s="755">
        <f t="shared" si="142"/>
        <v>0.13099095232072644</v>
      </c>
      <c r="H32" s="756">
        <f t="shared" si="142"/>
        <v>-1.9510553375271078E-2</v>
      </c>
      <c r="I32" s="756">
        <f t="shared" si="142"/>
        <v>0.12481157546353261</v>
      </c>
      <c r="J32" s="757">
        <f t="shared" si="142"/>
        <v>-7.2485234501629026E-2</v>
      </c>
      <c r="K32" s="755">
        <f t="shared" si="142"/>
        <v>-6.8693403336674841E-2</v>
      </c>
      <c r="L32" s="756">
        <f t="shared" si="142"/>
        <v>7.7374999999999972E-2</v>
      </c>
      <c r="M32" s="756">
        <f t="shared" si="142"/>
        <v>-4.6592996172828194E-2</v>
      </c>
      <c r="N32" s="757">
        <f t="shared" si="142"/>
        <v>2.2824236397369635E-3</v>
      </c>
      <c r="O32" s="758">
        <f t="shared" si="142"/>
        <v>-0.10521523065680527</v>
      </c>
      <c r="P32" s="756">
        <f t="shared" si="142"/>
        <v>4.416022579244494E-2</v>
      </c>
      <c r="Q32" s="756">
        <f t="shared" si="142"/>
        <v>4.7722333120363558E-3</v>
      </c>
      <c r="R32" s="757">
        <f t="shared" si="142"/>
        <v>-9.3286704379264007E-3</v>
      </c>
      <c r="S32" s="758">
        <f t="shared" si="142"/>
        <v>-9.7133303707898744E-2</v>
      </c>
      <c r="T32" s="756">
        <f t="shared" si="142"/>
        <v>0.12794674007438345</v>
      </c>
      <c r="U32" s="756">
        <f t="shared" si="142"/>
        <v>7.9409057982447795E-2</v>
      </c>
      <c r="V32" s="757">
        <f t="shared" si="142"/>
        <v>-2.0518071129949744E-2</v>
      </c>
      <c r="W32" s="758">
        <f t="shared" si="142"/>
        <v>-0.16220477731453675</v>
      </c>
      <c r="X32" s="756">
        <f t="shared" si="142"/>
        <v>-1.5318640083198054E-2</v>
      </c>
      <c r="Y32" s="756">
        <f t="shared" si="142"/>
        <v>0.10688312481025197</v>
      </c>
      <c r="Z32" s="757">
        <f t="shared" si="142"/>
        <v>4.4751520731247885E-2</v>
      </c>
      <c r="AA32" s="758">
        <f t="shared" si="142"/>
        <v>-0.1393717838241576</v>
      </c>
      <c r="AB32" s="756">
        <f t="shared" si="142"/>
        <v>-2.6371185959814913E-2</v>
      </c>
      <c r="AC32" s="756">
        <f t="shared" si="142"/>
        <v>0.22362559679746319</v>
      </c>
      <c r="AD32" s="756">
        <f t="shared" si="142"/>
        <v>4.5687699338921028E-3</v>
      </c>
      <c r="AE32" s="758">
        <f t="shared" si="142"/>
        <v>-9.7008822115307591E-2</v>
      </c>
      <c r="AF32" s="756">
        <f t="shared" si="142"/>
        <v>8.8676838055112395E-2</v>
      </c>
      <c r="AG32" s="756">
        <f t="shared" si="142"/>
        <v>2.272579672743924E-2</v>
      </c>
      <c r="AH32" s="1295">
        <f t="shared" si="142"/>
        <v>-7.8640118722206331E-3</v>
      </c>
      <c r="AI32" s="758">
        <f t="shared" si="142"/>
        <v>-4.9120868922224781E-2</v>
      </c>
      <c r="AJ32" s="756">
        <f t="shared" ref="AJ32" si="143">AJ31/AI31-1</f>
        <v>4.0400000000000214E-2</v>
      </c>
      <c r="AK32" s="756">
        <f t="shared" ref="AK32" si="144">AK31/AJ31-1</f>
        <v>5.0000000000000044E-2</v>
      </c>
      <c r="AL32" s="757">
        <f t="shared" ref="AL32" si="145">AL31/AK31-1</f>
        <v>9.9999999999997868E-3</v>
      </c>
      <c r="AM32" s="758">
        <f t="shared" ref="AM32" si="146">AM31/AL31-1</f>
        <v>-0.12129999999999996</v>
      </c>
      <c r="AN32" s="756">
        <f t="shared" ref="AN32" si="147">AN31/AM31-1</f>
        <v>2.0000000000000018E-2</v>
      </c>
      <c r="AO32" s="756">
        <f t="shared" ref="AO32" si="148">AO31/AN31-1</f>
        <v>9.1399999999999926E-2</v>
      </c>
      <c r="AP32" s="757">
        <f t="shared" ref="AP32" si="149">AP31/AO31-1</f>
        <v>2.0000000000000018E-2</v>
      </c>
      <c r="AQ32" s="760"/>
      <c r="AR32" s="761"/>
      <c r="AS32" s="759"/>
      <c r="BC32" s="759"/>
      <c r="BD32" s="759"/>
      <c r="BE32" s="759"/>
      <c r="BF32" s="759"/>
      <c r="BG32" s="759"/>
      <c r="BH32" s="759"/>
    </row>
    <row r="33" spans="2:60">
      <c r="B33" s="754" t="s">
        <v>98</v>
      </c>
      <c r="C33" s="755"/>
      <c r="D33" s="756"/>
      <c r="E33" s="756"/>
      <c r="F33" s="757"/>
      <c r="G33" s="755">
        <f>G31/C31-1</f>
        <v>0.18833238783182371</v>
      </c>
      <c r="H33" s="756">
        <f t="shared" ref="H33:AI33" si="150">H31/D31-1</f>
        <v>0.12851279549055428</v>
      </c>
      <c r="I33" s="756">
        <f t="shared" si="150"/>
        <v>0.2350153897685161</v>
      </c>
      <c r="J33" s="757">
        <f t="shared" si="150"/>
        <v>0.15691822695230351</v>
      </c>
      <c r="K33" s="755">
        <f t="shared" si="150"/>
        <v>-4.7343770213312708E-2</v>
      </c>
      <c r="L33" s="756">
        <f t="shared" si="150"/>
        <v>4.6791486741277311E-2</v>
      </c>
      <c r="M33" s="756">
        <f t="shared" si="150"/>
        <v>-0.11272398259725358</v>
      </c>
      <c r="N33" s="757">
        <f t="shared" si="150"/>
        <v>-4.1200000000000125E-2</v>
      </c>
      <c r="O33" s="758">
        <f t="shared" si="150"/>
        <v>-7.8800000000000092E-2</v>
      </c>
      <c r="P33" s="756">
        <f t="shared" si="150"/>
        <v>-0.10719999999999996</v>
      </c>
      <c r="Q33" s="756">
        <f t="shared" si="150"/>
        <v>-5.909999999999993E-2</v>
      </c>
      <c r="R33" s="757">
        <f t="shared" si="150"/>
        <v>-7.0000000000000173E-2</v>
      </c>
      <c r="S33" s="758">
        <f t="shared" si="150"/>
        <v>-6.1599999999999988E-2</v>
      </c>
      <c r="T33" s="756">
        <f t="shared" si="150"/>
        <v>1.3700000000000045E-2</v>
      </c>
      <c r="U33" s="756">
        <f t="shared" si="150"/>
        <v>8.8999999999999968E-2</v>
      </c>
      <c r="V33" s="757">
        <f t="shared" si="150"/>
        <v>7.669999999999999E-2</v>
      </c>
      <c r="W33" s="758">
        <f t="shared" si="150"/>
        <v>-8.9999999999990088E-4</v>
      </c>
      <c r="X33" s="756">
        <f t="shared" si="150"/>
        <v>-0.12780000000000025</v>
      </c>
      <c r="Y33" s="756">
        <f t="shared" si="150"/>
        <v>-0.10559999999999992</v>
      </c>
      <c r="Z33" s="757">
        <f t="shared" si="150"/>
        <v>-4.5999999999999819E-2</v>
      </c>
      <c r="AA33" s="758">
        <f t="shared" si="150"/>
        <v>-2.0000000000000129E-2</v>
      </c>
      <c r="AB33" s="756">
        <f t="shared" si="150"/>
        <v>-3.0999999999999917E-2</v>
      </c>
      <c r="AC33" s="756">
        <f t="shared" si="150"/>
        <v>7.119999999999993E-2</v>
      </c>
      <c r="AD33" s="756">
        <f t="shared" si="150"/>
        <v>2.9999999999999805E-2</v>
      </c>
      <c r="AE33" s="758">
        <f t="shared" si="150"/>
        <v>8.0699999999999994E-2</v>
      </c>
      <c r="AF33" s="756">
        <f t="shared" si="150"/>
        <v>0.20840000000000036</v>
      </c>
      <c r="AG33" s="756">
        <f t="shared" si="150"/>
        <v>1.0000000000000231E-2</v>
      </c>
      <c r="AH33" s="1295">
        <f t="shared" si="150"/>
        <v>-2.4999999999999467E-3</v>
      </c>
      <c r="AI33" s="758">
        <f t="shared" si="150"/>
        <v>5.04E-2</v>
      </c>
      <c r="AJ33" s="756">
        <f t="shared" ref="AJ33" si="151">AJ31/AF31-1</f>
        <v>3.8205294716457949E-3</v>
      </c>
      <c r="AK33" s="756">
        <f t="shared" ref="AK33" si="152">AK31/AG31-1</f>
        <v>3.0590564272357623E-2</v>
      </c>
      <c r="AL33" s="757">
        <f t="shared" ref="AL33" si="153">AL31/AH31-1</f>
        <v>4.9146974175703129E-2</v>
      </c>
      <c r="AM33" s="758">
        <f t="shared" ref="AM33" si="154">AM31/AI31-1</f>
        <v>-3.0491451459999874E-2</v>
      </c>
      <c r="AN33" s="756">
        <f t="shared" ref="AN33" si="155">AN31/AJ31-1</f>
        <v>-4.9501422999999933E-2</v>
      </c>
      <c r="AO33" s="756">
        <f t="shared" ref="AO33" si="156">AO31/AK31-1</f>
        <v>-1.2024621964000115E-2</v>
      </c>
      <c r="AP33" s="757">
        <f t="shared" ref="AP33" si="157">AP31/AL31-1</f>
        <v>-2.2426875279998315E-3</v>
      </c>
      <c r="AQ33" s="760"/>
      <c r="AR33" s="761"/>
      <c r="AS33" s="759"/>
      <c r="AT33" s="756">
        <f t="shared" ref="AT33:BB33" si="158">AT31/AS31-1</f>
        <v>0.17741885902850885</v>
      </c>
      <c r="AU33" s="756">
        <f t="shared" si="158"/>
        <v>-4.0895687077642462E-2</v>
      </c>
      <c r="AV33" s="756">
        <f t="shared" si="158"/>
        <v>-7.9115010871381064E-2</v>
      </c>
      <c r="AW33" s="756">
        <f t="shared" si="158"/>
        <v>3.0439805571089273E-2</v>
      </c>
      <c r="AX33" s="756">
        <f t="shared" si="158"/>
        <v>-7.2383882358256435E-2</v>
      </c>
      <c r="AY33" s="756">
        <f t="shared" si="158"/>
        <v>1.4534596775281239E-2</v>
      </c>
      <c r="AZ33" s="756">
        <f t="shared" si="158"/>
        <v>6.7065602762282905E-2</v>
      </c>
      <c r="BA33" s="756">
        <f t="shared" si="158"/>
        <v>3.3182788481859848E-2</v>
      </c>
      <c r="BB33" s="756">
        <f t="shared" si="158"/>
        <v>-2.3040449128847174E-2</v>
      </c>
      <c r="BC33" s="759"/>
      <c r="BD33" s="759"/>
      <c r="BE33" s="759"/>
      <c r="BF33" s="759"/>
      <c r="BG33" s="759"/>
      <c r="BH33" s="759"/>
    </row>
    <row r="34" spans="2:60" s="717" customFormat="1">
      <c r="B34" s="749"/>
      <c r="C34" s="720"/>
      <c r="D34" s="721"/>
      <c r="E34" s="721"/>
      <c r="F34" s="722"/>
      <c r="G34" s="720"/>
      <c r="H34" s="721"/>
      <c r="I34" s="721"/>
      <c r="J34" s="722"/>
      <c r="K34" s="720"/>
      <c r="L34" s="721"/>
      <c r="M34" s="784"/>
      <c r="N34" s="722"/>
      <c r="O34" s="720"/>
      <c r="P34" s="721"/>
      <c r="Q34" s="721"/>
      <c r="R34" s="722"/>
      <c r="S34" s="720"/>
      <c r="T34" s="721"/>
      <c r="U34" s="721"/>
      <c r="V34" s="722"/>
      <c r="W34" s="720"/>
      <c r="X34" s="721"/>
      <c r="Y34" s="721"/>
      <c r="Z34" s="722"/>
      <c r="AA34" s="720"/>
      <c r="AB34" s="721"/>
      <c r="AC34" s="721"/>
      <c r="AD34" s="721"/>
      <c r="AE34" s="720"/>
      <c r="AF34" s="721"/>
      <c r="AG34" s="721"/>
      <c r="AH34" s="1296"/>
      <c r="AI34" s="720"/>
      <c r="AJ34" s="721"/>
      <c r="AK34" s="721"/>
      <c r="AL34" s="722"/>
      <c r="AM34" s="721"/>
      <c r="AN34" s="721"/>
      <c r="AO34" s="721"/>
      <c r="AP34" s="722"/>
      <c r="AQ34" s="718"/>
      <c r="AS34" s="723"/>
      <c r="AT34" s="723"/>
      <c r="AU34" s="723"/>
      <c r="AV34" s="723"/>
      <c r="AW34" s="723"/>
      <c r="AX34" s="723"/>
      <c r="AY34" s="723"/>
      <c r="AZ34" s="723"/>
      <c r="BA34" s="723"/>
      <c r="BB34" s="723"/>
    </row>
    <row r="35" spans="2:60" s="717" customFormat="1">
      <c r="B35" s="749" t="s">
        <v>399</v>
      </c>
      <c r="C35" s="764">
        <v>44479.14</v>
      </c>
      <c r="D35" s="765">
        <v>46289.64</v>
      </c>
      <c r="E35" s="765">
        <v>46882.26</v>
      </c>
      <c r="F35" s="766">
        <v>46639.5</v>
      </c>
      <c r="G35" s="764">
        <v>47047.386494400009</v>
      </c>
      <c r="H35" s="765">
        <v>45672.738563400002</v>
      </c>
      <c r="I35" s="765">
        <v>50365.9068816</v>
      </c>
      <c r="J35" s="766">
        <v>46715.122310400002</v>
      </c>
      <c r="K35" s="764">
        <v>43523.510976000005</v>
      </c>
      <c r="L35" s="765">
        <v>48093.479628480003</v>
      </c>
      <c r="M35" s="765">
        <v>48574.4144247648</v>
      </c>
      <c r="N35" s="728">
        <f>J35*(1+N37)</f>
        <v>47649.424756608001</v>
      </c>
      <c r="O35" s="726">
        <f t="shared" ref="O35:AI35" si="159">K35*(1+O37)</f>
        <v>40912.100317440003</v>
      </c>
      <c r="P35" s="727">
        <f t="shared" si="159"/>
        <v>44726.936054486403</v>
      </c>
      <c r="Q35" s="727">
        <f t="shared" si="159"/>
        <v>47117.181992021855</v>
      </c>
      <c r="R35" s="728">
        <f t="shared" si="159"/>
        <v>47649.424756608001</v>
      </c>
      <c r="S35" s="726">
        <f t="shared" si="159"/>
        <v>41730.342323788806</v>
      </c>
      <c r="T35" s="727">
        <f t="shared" si="159"/>
        <v>48752.36029939018</v>
      </c>
      <c r="U35" s="727">
        <f t="shared" si="159"/>
        <v>57011.790210346444</v>
      </c>
      <c r="V35" s="728">
        <f t="shared" si="159"/>
        <v>52890.861479834886</v>
      </c>
      <c r="W35" s="726">
        <f t="shared" si="159"/>
        <v>42982.252593502468</v>
      </c>
      <c r="X35" s="727">
        <f t="shared" si="159"/>
        <v>43389.600666457263</v>
      </c>
      <c r="Y35" s="727">
        <f t="shared" si="159"/>
        <v>49030.139580897943</v>
      </c>
      <c r="Z35" s="728">
        <f t="shared" si="159"/>
        <v>47601.775331851401</v>
      </c>
      <c r="AA35" s="726">
        <f t="shared" si="159"/>
        <v>42122.607541632417</v>
      </c>
      <c r="AB35" s="727">
        <f t="shared" si="159"/>
        <v>41220.1206331344</v>
      </c>
      <c r="AC35" s="727">
        <f t="shared" si="159"/>
        <v>50991.345164133862</v>
      </c>
      <c r="AD35" s="727">
        <f t="shared" si="159"/>
        <v>47601.775331851401</v>
      </c>
      <c r="AE35" s="726">
        <f t="shared" si="159"/>
        <v>42543.833617048738</v>
      </c>
      <c r="AF35" s="727">
        <f t="shared" si="159"/>
        <v>46990.937521773223</v>
      </c>
      <c r="AG35" s="727">
        <f t="shared" si="159"/>
        <v>51501.258615775201</v>
      </c>
      <c r="AH35" s="1294">
        <f t="shared" si="159"/>
        <v>49981.86409844397</v>
      </c>
      <c r="AI35" s="726">
        <f t="shared" si="159"/>
        <v>44245.586961730689</v>
      </c>
      <c r="AJ35" s="732">
        <f t="shared" ref="AJ35" si="160">AI35*(1+AJ36)</f>
        <v>45130.498700965305</v>
      </c>
      <c r="AK35" s="732">
        <f t="shared" ref="AK35" si="161">AJ35*(1+AK36)</f>
        <v>47387.023636013575</v>
      </c>
      <c r="AL35" s="733">
        <f t="shared" ref="AL35" si="162">AK35*(1+AL36)</f>
        <v>47860.893872373708</v>
      </c>
      <c r="AM35" s="732">
        <f t="shared" ref="AM35" si="163">AL35*(1+AM36)</f>
        <v>41638.977668965126</v>
      </c>
      <c r="AN35" s="732">
        <f t="shared" ref="AN35" si="164">AM35*(1+AN36)</f>
        <v>42471.757222344429</v>
      </c>
      <c r="AO35" s="732">
        <f t="shared" ref="AO35" si="165">AN35*(1+AO36)</f>
        <v>45444.780227908544</v>
      </c>
      <c r="AP35" s="733">
        <f t="shared" ref="AP35" si="166">AO35*(1+AP36)</f>
        <v>45444.780227908544</v>
      </c>
      <c r="AQ35" s="718"/>
      <c r="AS35" s="729">
        <f>SUM(C35:F35)</f>
        <v>184290.54</v>
      </c>
      <c r="AT35" s="729">
        <f>SUM(G35:J35)</f>
        <v>189801.15424980002</v>
      </c>
      <c r="AU35" s="729">
        <f>SUM(K35:N35)</f>
        <v>187840.82978585281</v>
      </c>
      <c r="AV35" s="729">
        <f>SUM(O35:R35)</f>
        <v>180405.64312055625</v>
      </c>
      <c r="AW35" s="729">
        <f>SUM(S35:V35)</f>
        <v>200385.35431336029</v>
      </c>
      <c r="AX35" s="729">
        <f>SUM(W35:Z35)</f>
        <v>183003.76817270904</v>
      </c>
      <c r="AY35" s="729">
        <f>SUM(AA35:AD35)</f>
        <v>181935.84867075208</v>
      </c>
      <c r="AZ35" s="729">
        <f>SUM(AE35:AH35)</f>
        <v>191017.89385304114</v>
      </c>
      <c r="BA35" s="729">
        <f>SUM(AI35:AL35)</f>
        <v>184624.00317108326</v>
      </c>
      <c r="BB35" s="729">
        <f>SUM(AM35:AP35)</f>
        <v>175000.29534712664</v>
      </c>
    </row>
    <row r="36" spans="2:60">
      <c r="B36" s="754" t="s">
        <v>97</v>
      </c>
      <c r="C36" s="755"/>
      <c r="D36" s="769">
        <f t="shared" ref="D36:K36" si="167">D35/C35-1</f>
        <v>4.0704474052331019E-2</v>
      </c>
      <c r="E36" s="769">
        <f t="shared" si="167"/>
        <v>1.2802432682561316E-2</v>
      </c>
      <c r="F36" s="770">
        <f t="shared" si="167"/>
        <v>-5.1780780192763887E-3</v>
      </c>
      <c r="G36" s="768">
        <f t="shared" si="167"/>
        <v>8.7455160196829862E-3</v>
      </c>
      <c r="H36" s="769">
        <f t="shared" si="167"/>
        <v>-2.9218369678486344E-2</v>
      </c>
      <c r="I36" s="769">
        <f t="shared" si="167"/>
        <v>0.10275644653287519</v>
      </c>
      <c r="J36" s="770">
        <f t="shared" si="167"/>
        <v>-7.2485234501629248E-2</v>
      </c>
      <c r="K36" s="768">
        <f t="shared" si="167"/>
        <v>-6.8320731629326392E-2</v>
      </c>
      <c r="L36" s="769">
        <f t="shared" ref="L36:N36" si="168">L35/K35-1</f>
        <v>0.10499999999999998</v>
      </c>
      <c r="M36" s="769">
        <f t="shared" si="168"/>
        <v>1.0000000000000009E-2</v>
      </c>
      <c r="N36" s="770">
        <f t="shared" si="168"/>
        <v>-1.9042734310044662E-2</v>
      </c>
      <c r="O36" s="771">
        <f>O35/N35-1</f>
        <v>-0.1413936154231048</v>
      </c>
      <c r="P36" s="769">
        <f t="shared" ref="P36:R36" si="169">P35/O35-1</f>
        <v>9.3244680851063855E-2</v>
      </c>
      <c r="Q36" s="769">
        <f t="shared" si="169"/>
        <v>5.3440860215053565E-2</v>
      </c>
      <c r="R36" s="770">
        <f t="shared" si="169"/>
        <v>1.129615019583019E-2</v>
      </c>
      <c r="S36" s="771">
        <f>S35/R35-1</f>
        <v>-0.12422148773156683</v>
      </c>
      <c r="T36" s="769">
        <f t="shared" ref="T36:V36" si="170">T35/S35-1</f>
        <v>0.16827127659574459</v>
      </c>
      <c r="U36" s="769">
        <f t="shared" si="170"/>
        <v>0.16941600078918806</v>
      </c>
      <c r="V36" s="770">
        <f t="shared" si="170"/>
        <v>-7.2282044035229975E-2</v>
      </c>
      <c r="W36" s="771">
        <f>W35/V35-1</f>
        <v>-0.18734065978694947</v>
      </c>
      <c r="X36" s="769">
        <f t="shared" ref="X36:AH36" si="171">X35/W35-1</f>
        <v>9.4771224953522637E-3</v>
      </c>
      <c r="Y36" s="769">
        <f t="shared" si="171"/>
        <v>0.12999748390865351</v>
      </c>
      <c r="Z36" s="770">
        <f t="shared" si="171"/>
        <v>-2.9132371664775558E-2</v>
      </c>
      <c r="AA36" s="771">
        <f>AA35/Z35-1</f>
        <v>-0.11510427399023393</v>
      </c>
      <c r="AB36" s="769">
        <f t="shared" si="171"/>
        <v>-2.1425238397362545E-2</v>
      </c>
      <c r="AC36" s="769">
        <f t="shared" si="171"/>
        <v>0.2370498771210523</v>
      </c>
      <c r="AD36" s="769">
        <f t="shared" si="171"/>
        <v>-6.6473434293053413E-2</v>
      </c>
      <c r="AE36" s="771">
        <f>AE35/AD35-1</f>
        <v>-0.10625531673013633</v>
      </c>
      <c r="AF36" s="769">
        <f t="shared" si="171"/>
        <v>0.10452992893763069</v>
      </c>
      <c r="AG36" s="769">
        <f t="shared" si="171"/>
        <v>9.5982785870405873E-2</v>
      </c>
      <c r="AH36" s="1297">
        <f t="shared" si="171"/>
        <v>-2.9502085156144719E-2</v>
      </c>
      <c r="AI36" s="771">
        <f>AI35/AH35-1</f>
        <v>-0.114767170856516</v>
      </c>
      <c r="AJ36" s="772">
        <v>0.02</v>
      </c>
      <c r="AK36" s="772">
        <v>0.05</v>
      </c>
      <c r="AL36" s="773">
        <v>0.01</v>
      </c>
      <c r="AM36" s="772">
        <v>-0.13</v>
      </c>
      <c r="AN36" s="772">
        <v>0.02</v>
      </c>
      <c r="AO36" s="772">
        <v>7.0000000000000007E-2</v>
      </c>
      <c r="AP36" s="773">
        <v>0</v>
      </c>
      <c r="AQ36" s="760"/>
      <c r="AR36" s="761"/>
      <c r="AS36" s="774"/>
      <c r="AT36" s="774"/>
      <c r="AU36" s="774"/>
      <c r="AV36" s="774"/>
      <c r="AW36" s="774"/>
      <c r="AX36" s="774"/>
      <c r="AY36" s="774"/>
      <c r="AZ36" s="774"/>
      <c r="BA36" s="774"/>
      <c r="BB36" s="774"/>
      <c r="BC36" s="759"/>
      <c r="BD36" s="759"/>
      <c r="BE36" s="759"/>
      <c r="BF36" s="759"/>
      <c r="BG36" s="759"/>
      <c r="BH36" s="759"/>
    </row>
    <row r="37" spans="2:60">
      <c r="B37" s="754" t="s">
        <v>98</v>
      </c>
      <c r="C37" s="755"/>
      <c r="D37" s="769"/>
      <c r="E37" s="769"/>
      <c r="F37" s="770"/>
      <c r="G37" s="768">
        <f>G35/C35-1</f>
        <v>5.7740471025294227E-2</v>
      </c>
      <c r="H37" s="769">
        <f>H35/D35-1</f>
        <v>-1.3326987131461743E-2</v>
      </c>
      <c r="I37" s="769">
        <f>I35/E35-1</f>
        <v>7.4306291582359574E-2</v>
      </c>
      <c r="J37" s="770">
        <f>J35/F35-1</f>
        <v>1.6214219792236584E-3</v>
      </c>
      <c r="K37" s="768">
        <f t="shared" ref="K37:M37" si="172">K35/G35-1</f>
        <v>-7.4900558372555825E-2</v>
      </c>
      <c r="L37" s="769">
        <f t="shared" si="172"/>
        <v>5.3001881236433457E-2</v>
      </c>
      <c r="M37" s="769">
        <f t="shared" si="172"/>
        <v>-3.5569546301362776E-2</v>
      </c>
      <c r="N37" s="779">
        <f>N329</f>
        <v>0.02</v>
      </c>
      <c r="O37" s="780">
        <f t="shared" ref="O37:AA37" si="173">O329</f>
        <v>-0.06</v>
      </c>
      <c r="P37" s="778">
        <f t="shared" si="173"/>
        <v>-7.0000000000000007E-2</v>
      </c>
      <c r="Q37" s="778">
        <f t="shared" si="173"/>
        <v>-0.03</v>
      </c>
      <c r="R37" s="779">
        <f t="shared" si="173"/>
        <v>0</v>
      </c>
      <c r="S37" s="780">
        <f t="shared" si="173"/>
        <v>0.02</v>
      </c>
      <c r="T37" s="778">
        <f t="shared" si="173"/>
        <v>0.09</v>
      </c>
      <c r="U37" s="778">
        <f t="shared" si="173"/>
        <v>0.21</v>
      </c>
      <c r="V37" s="779">
        <f t="shared" si="173"/>
        <v>0.11</v>
      </c>
      <c r="W37" s="780">
        <f t="shared" si="173"/>
        <v>0.03</v>
      </c>
      <c r="X37" s="778">
        <f t="shared" si="173"/>
        <v>-0.11</v>
      </c>
      <c r="Y37" s="778">
        <f t="shared" si="173"/>
        <v>-0.14000000000000001</v>
      </c>
      <c r="Z37" s="779">
        <f t="shared" si="173"/>
        <v>-0.1</v>
      </c>
      <c r="AA37" s="780">
        <f t="shared" si="173"/>
        <v>-0.02</v>
      </c>
      <c r="AB37" s="778">
        <f t="shared" ref="AB37" si="174">AB329</f>
        <v>-0.05</v>
      </c>
      <c r="AC37" s="778">
        <v>0.04</v>
      </c>
      <c r="AD37" s="778">
        <v>0</v>
      </c>
      <c r="AE37" s="780">
        <v>0.01</v>
      </c>
      <c r="AF37" s="778">
        <v>0.14000000000000001</v>
      </c>
      <c r="AG37" s="778">
        <v>0.01</v>
      </c>
      <c r="AH37" s="1298">
        <v>0.05</v>
      </c>
      <c r="AI37" s="780">
        <v>0.04</v>
      </c>
      <c r="AJ37" s="769">
        <f t="shared" ref="AJ37" si="175">AJ35/AF35-1</f>
        <v>-3.95914386672086E-2</v>
      </c>
      <c r="AK37" s="769">
        <f t="shared" ref="AK37" si="176">AK35/AG35-1</f>
        <v>-7.9886105511631222E-2</v>
      </c>
      <c r="AL37" s="770">
        <f t="shared" ref="AL37" si="177">AL35/AH35-1</f>
        <v>-4.2434796387201823E-2</v>
      </c>
      <c r="AM37" s="769">
        <f t="shared" ref="AM37" si="178">AM35/AI35-1</f>
        <v>-5.8912299999999918E-2</v>
      </c>
      <c r="AN37" s="769">
        <f t="shared" ref="AN37" si="179">AN35/AJ35-1</f>
        <v>-5.8912299999999918E-2</v>
      </c>
      <c r="AO37" s="769">
        <f t="shared" ref="AO37" si="180">AO35/AK35-1</f>
        <v>-4.0986819999999979E-2</v>
      </c>
      <c r="AP37" s="770">
        <f t="shared" ref="AP37" si="181">AP35/AL35-1</f>
        <v>-5.0481999999999916E-2</v>
      </c>
      <c r="AQ37" s="760"/>
      <c r="AR37" s="761"/>
      <c r="AS37" s="774"/>
      <c r="AT37" s="756">
        <f t="shared" ref="AT37:BB37" si="182">AT35/AS35-1</f>
        <v>2.9901774935382042E-2</v>
      </c>
      <c r="AU37" s="756">
        <f t="shared" si="182"/>
        <v>-1.0328306335625315E-2</v>
      </c>
      <c r="AV37" s="756">
        <f t="shared" si="182"/>
        <v>-3.9582377663966883E-2</v>
      </c>
      <c r="AW37" s="756">
        <f t="shared" si="182"/>
        <v>0.11074881498830158</v>
      </c>
      <c r="AX37" s="756">
        <f t="shared" si="182"/>
        <v>-8.6740800994218992E-2</v>
      </c>
      <c r="AY37" s="756">
        <f t="shared" si="182"/>
        <v>-5.8355055342309559E-3</v>
      </c>
      <c r="AZ37" s="756">
        <f t="shared" si="182"/>
        <v>4.9918942575878811E-2</v>
      </c>
      <c r="BA37" s="756">
        <f t="shared" si="182"/>
        <v>-3.3472731548788826E-2</v>
      </c>
      <c r="BB37" s="756">
        <f t="shared" si="182"/>
        <v>-5.2125983938495435E-2</v>
      </c>
      <c r="BC37" s="759"/>
      <c r="BD37" s="759"/>
      <c r="BE37" s="759"/>
      <c r="BF37" s="759"/>
      <c r="BG37" s="759"/>
      <c r="BH37" s="759"/>
    </row>
    <row r="38" spans="2:60" s="717" customFormat="1">
      <c r="B38" s="749"/>
      <c r="C38" s="720"/>
      <c r="D38" s="721"/>
      <c r="E38" s="721"/>
      <c r="F38" s="722"/>
      <c r="G38" s="720"/>
      <c r="H38" s="721"/>
      <c r="I38" s="721"/>
      <c r="J38" s="722"/>
      <c r="K38" s="758"/>
      <c r="L38" s="785"/>
      <c r="M38" s="784"/>
      <c r="N38" s="786"/>
      <c r="O38" s="720"/>
      <c r="P38" s="721"/>
      <c r="Q38" s="721"/>
      <c r="R38" s="722"/>
      <c r="S38" s="720"/>
      <c r="T38" s="721"/>
      <c r="U38" s="721"/>
      <c r="V38" s="722"/>
      <c r="W38" s="720"/>
      <c r="X38" s="721"/>
      <c r="Y38" s="721"/>
      <c r="Z38" s="722"/>
      <c r="AA38" s="720"/>
      <c r="AB38" s="721"/>
      <c r="AC38" s="721"/>
      <c r="AD38" s="721"/>
      <c r="AE38" s="720"/>
      <c r="AF38" s="721"/>
      <c r="AG38" s="721"/>
      <c r="AH38" s="1296"/>
      <c r="AI38" s="720"/>
      <c r="AJ38" s="769"/>
      <c r="AK38" s="769"/>
      <c r="AL38" s="770"/>
      <c r="AM38" s="769"/>
      <c r="AN38" s="769"/>
      <c r="AO38" s="769"/>
      <c r="AP38" s="770"/>
      <c r="AQ38" s="718"/>
      <c r="AS38" s="723"/>
      <c r="AT38" s="723"/>
      <c r="AU38" s="723"/>
      <c r="AV38" s="723"/>
      <c r="AW38" s="723"/>
      <c r="AX38" s="723"/>
      <c r="AY38" s="723"/>
      <c r="AZ38" s="723"/>
      <c r="BA38" s="723"/>
      <c r="BB38" s="723"/>
    </row>
    <row r="39" spans="2:60" s="717" customFormat="1">
      <c r="B39" s="749" t="s">
        <v>300</v>
      </c>
      <c r="C39" s="764">
        <v>99.695273757351814</v>
      </c>
      <c r="D39" s="765">
        <v>98.90574497308495</v>
      </c>
      <c r="E39" s="765">
        <v>100.37156086435301</v>
      </c>
      <c r="F39" s="766">
        <v>99.897787375167709</v>
      </c>
      <c r="G39" s="764">
        <v>112.00396124087436</v>
      </c>
      <c r="H39" s="765">
        <v>113.12400085328311</v>
      </c>
      <c r="I39" s="765">
        <v>115.38648087034878</v>
      </c>
      <c r="J39" s="766">
        <v>115.38648087034878</v>
      </c>
      <c r="K39" s="764">
        <v>115.34032627800063</v>
      </c>
      <c r="L39" s="765">
        <v>112.45681812105062</v>
      </c>
      <c r="M39" s="782">
        <f>I39*(1+M41)</f>
        <v>106.15556240072088</v>
      </c>
      <c r="N39" s="783">
        <f>J39*(1+N41)</f>
        <v>108.46329201812785</v>
      </c>
      <c r="O39" s="781">
        <f t="shared" ref="O39:AI39" si="183">K39*(1+O41)</f>
        <v>113.03351975244061</v>
      </c>
      <c r="P39" s="782">
        <f t="shared" si="183"/>
        <v>107.95854539620859</v>
      </c>
      <c r="Q39" s="782">
        <f t="shared" si="183"/>
        <v>102.97089552869926</v>
      </c>
      <c r="R39" s="783">
        <f>N39*(1+R41)</f>
        <v>100.87086157685889</v>
      </c>
      <c r="S39" s="781">
        <f t="shared" si="183"/>
        <v>103.99083817224536</v>
      </c>
      <c r="T39" s="782">
        <f t="shared" si="183"/>
        <v>100.40144721847399</v>
      </c>
      <c r="U39" s="782">
        <f t="shared" si="183"/>
        <v>92.673805975829339</v>
      </c>
      <c r="V39" s="783">
        <f t="shared" si="183"/>
        <v>97.844735729553122</v>
      </c>
      <c r="W39" s="781">
        <f t="shared" si="183"/>
        <v>100.871113027078</v>
      </c>
      <c r="X39" s="782">
        <f t="shared" si="183"/>
        <v>98.393418274104505</v>
      </c>
      <c r="Y39" s="782">
        <f t="shared" si="183"/>
        <v>96.38075821486251</v>
      </c>
      <c r="Z39" s="783">
        <f t="shared" si="183"/>
        <v>103.71541987332631</v>
      </c>
      <c r="AA39" s="781">
        <f t="shared" si="183"/>
        <v>100.871113027078</v>
      </c>
      <c r="AB39" s="782">
        <f t="shared" si="183"/>
        <v>100.3612866395866</v>
      </c>
      <c r="AC39" s="782">
        <f t="shared" si="183"/>
        <v>99.272180961308393</v>
      </c>
      <c r="AD39" s="782">
        <f t="shared" si="183"/>
        <v>106.8268824695261</v>
      </c>
      <c r="AE39" s="781">
        <f t="shared" si="183"/>
        <v>107.93209093897346</v>
      </c>
      <c r="AF39" s="782">
        <f t="shared" si="183"/>
        <v>106.3829638379618</v>
      </c>
      <c r="AG39" s="782">
        <f t="shared" si="183"/>
        <v>99.272180961308393</v>
      </c>
      <c r="AH39" s="1299">
        <f t="shared" si="183"/>
        <v>101.48553834604979</v>
      </c>
      <c r="AI39" s="781">
        <f t="shared" si="183"/>
        <v>109.0114118483632</v>
      </c>
      <c r="AJ39" s="732">
        <f t="shared" ref="AJ39" si="184">AI39*(1+AJ40)</f>
        <v>111.19164008533046</v>
      </c>
      <c r="AK39" s="732">
        <f t="shared" ref="AK39" si="185">AJ39*(1+AK40)</f>
        <v>111.19164008533046</v>
      </c>
      <c r="AL39" s="733">
        <f t="shared" ref="AL39" si="186">AK39*(1+AL40)</f>
        <v>111.19164008533046</v>
      </c>
      <c r="AM39" s="732">
        <f t="shared" ref="AM39" si="187">AL39*(1+AM40)</f>
        <v>112.30355648618377</v>
      </c>
      <c r="AN39" s="732">
        <f t="shared" ref="AN39" si="188">AM39*(1+AN40)</f>
        <v>112.30355648618377</v>
      </c>
      <c r="AO39" s="732">
        <f t="shared" ref="AO39" si="189">AN39*(1+AO40)</f>
        <v>114.54962761590744</v>
      </c>
      <c r="AP39" s="733">
        <f t="shared" ref="AP39" si="190">AO39*(1+AP40)</f>
        <v>116.84062016822558</v>
      </c>
      <c r="AQ39" s="718"/>
      <c r="AS39" s="729">
        <f>AVERAGE(C39:F39)</f>
        <v>99.717591742489361</v>
      </c>
      <c r="AT39" s="729">
        <f>AVERAGE(G39:J39)</f>
        <v>113.97523095871375</v>
      </c>
      <c r="AU39" s="729">
        <f>AVERAGE(K39:N39)</f>
        <v>110.603999704475</v>
      </c>
      <c r="AV39" s="729">
        <f>AVERAGE(O39:R39)</f>
        <v>106.20845556355184</v>
      </c>
      <c r="AW39" s="729">
        <f>AVERAGE(S39:V39)</f>
        <v>98.727706774025449</v>
      </c>
      <c r="AX39" s="729">
        <f>AVERAGE(W39:Z39)</f>
        <v>99.840177347342831</v>
      </c>
      <c r="AY39" s="729">
        <f>AVERAGE(AA39:AD39)</f>
        <v>101.83286577437477</v>
      </c>
      <c r="AZ39" s="729">
        <f>AVERAGE(AE39:AH39)</f>
        <v>103.76819352107336</v>
      </c>
      <c r="BA39" s="729">
        <f>AVERAGE(AI39:AL39)</f>
        <v>110.64658302608863</v>
      </c>
      <c r="BB39" s="729">
        <f>AVERAGE(AM39:AP39)</f>
        <v>113.99934018912514</v>
      </c>
    </row>
    <row r="40" spans="2:60">
      <c r="B40" s="754" t="s">
        <v>97</v>
      </c>
      <c r="C40" s="755"/>
      <c r="D40" s="769">
        <f t="shared" ref="D40:K40" si="191">D39/C39-1</f>
        <v>-7.9194203948774744E-3</v>
      </c>
      <c r="E40" s="769">
        <f t="shared" si="191"/>
        <v>1.4820331131087938E-2</v>
      </c>
      <c r="F40" s="770">
        <f t="shared" si="191"/>
        <v>-4.7201964889794779E-3</v>
      </c>
      <c r="G40" s="768">
        <f t="shared" si="191"/>
        <v>0.12118560564551561</v>
      </c>
      <c r="H40" s="769">
        <f t="shared" si="191"/>
        <v>1.0000000000000009E-2</v>
      </c>
      <c r="I40" s="769">
        <f t="shared" si="191"/>
        <v>2.0000000000000018E-2</v>
      </c>
      <c r="J40" s="770">
        <f t="shared" si="191"/>
        <v>0</v>
      </c>
      <c r="K40" s="768">
        <f t="shared" si="191"/>
        <v>-4.0000000000006697E-4</v>
      </c>
      <c r="L40" s="769">
        <f t="shared" ref="L40:AI40" si="192">L39/K39-1</f>
        <v>-2.5000000000000022E-2</v>
      </c>
      <c r="M40" s="769">
        <f t="shared" si="192"/>
        <v>-5.6032669478047525E-2</v>
      </c>
      <c r="N40" s="770">
        <f t="shared" si="192"/>
        <v>2.1739130434782483E-2</v>
      </c>
      <c r="O40" s="771">
        <f t="shared" si="192"/>
        <v>4.2136170212765833E-2</v>
      </c>
      <c r="P40" s="769">
        <f t="shared" si="192"/>
        <v>-4.4897959183673342E-2</v>
      </c>
      <c r="Q40" s="769">
        <f t="shared" si="192"/>
        <v>-4.6199676451777139E-2</v>
      </c>
      <c r="R40" s="770">
        <f t="shared" si="192"/>
        <v>-2.0394441954280862E-2</v>
      </c>
      <c r="S40" s="771">
        <f t="shared" si="192"/>
        <v>3.0930404941660994E-2</v>
      </c>
      <c r="T40" s="769">
        <f t="shared" si="192"/>
        <v>-3.451641526175675E-2</v>
      </c>
      <c r="U40" s="769">
        <f t="shared" si="192"/>
        <v>-7.696742882430041E-2</v>
      </c>
      <c r="V40" s="770">
        <f t="shared" si="192"/>
        <v>5.5797101449275077E-2</v>
      </c>
      <c r="W40" s="771">
        <f t="shared" si="192"/>
        <v>3.0930404941660994E-2</v>
      </c>
      <c r="X40" s="769">
        <f t="shared" si="192"/>
        <v>-2.4562976243836743E-2</v>
      </c>
      <c r="Y40" s="769">
        <f t="shared" si="192"/>
        <v>-2.0455230589053519E-2</v>
      </c>
      <c r="Z40" s="770">
        <f t="shared" si="192"/>
        <v>7.6100891861761166E-2</v>
      </c>
      <c r="AA40" s="771">
        <f t="shared" si="192"/>
        <v>-2.7424146281451955E-2</v>
      </c>
      <c r="AB40" s="769">
        <f t="shared" si="192"/>
        <v>-5.0542357687135553E-3</v>
      </c>
      <c r="AC40" s="769">
        <f t="shared" si="192"/>
        <v>-1.0851850496789162E-2</v>
      </c>
      <c r="AD40" s="769">
        <f t="shared" si="192"/>
        <v>7.6100891861760944E-2</v>
      </c>
      <c r="AE40" s="771">
        <f t="shared" si="192"/>
        <v>1.0345789785287884E-2</v>
      </c>
      <c r="AF40" s="769">
        <f t="shared" si="192"/>
        <v>-1.4352794312931128E-2</v>
      </c>
      <c r="AG40" s="769">
        <f t="shared" si="192"/>
        <v>-6.6841368393197431E-2</v>
      </c>
      <c r="AH40" s="1297">
        <f t="shared" si="192"/>
        <v>2.2295847268672953E-2</v>
      </c>
      <c r="AI40" s="771">
        <f t="shared" si="192"/>
        <v>7.4157102824358612E-2</v>
      </c>
      <c r="AJ40" s="772">
        <v>0.02</v>
      </c>
      <c r="AK40" s="772">
        <v>0</v>
      </c>
      <c r="AL40" s="773">
        <v>0</v>
      </c>
      <c r="AM40" s="772">
        <v>0.01</v>
      </c>
      <c r="AN40" s="772">
        <v>0</v>
      </c>
      <c r="AO40" s="772">
        <v>0.02</v>
      </c>
      <c r="AP40" s="773">
        <v>0.02</v>
      </c>
      <c r="AQ40" s="760"/>
      <c r="AR40" s="761"/>
      <c r="AS40" s="759"/>
      <c r="AT40" s="759"/>
      <c r="AU40" s="759"/>
      <c r="AV40" s="759"/>
      <c r="AW40" s="759"/>
      <c r="AX40" s="759"/>
      <c r="AY40" s="759"/>
      <c r="AZ40" s="759"/>
      <c r="BA40" s="759"/>
      <c r="BB40" s="759"/>
      <c r="BC40" s="759"/>
      <c r="BD40" s="759"/>
      <c r="BE40" s="759"/>
      <c r="BF40" s="759"/>
      <c r="BG40" s="759"/>
      <c r="BH40" s="759"/>
    </row>
    <row r="41" spans="2:60">
      <c r="B41" s="754" t="s">
        <v>98</v>
      </c>
      <c r="C41" s="755"/>
      <c r="D41" s="769"/>
      <c r="E41" s="769"/>
      <c r="F41" s="770"/>
      <c r="G41" s="768">
        <f>G39/C39-1</f>
        <v>0.12346309929877552</v>
      </c>
      <c r="H41" s="769">
        <f>H39/D39-1</f>
        <v>0.14375561181069263</v>
      </c>
      <c r="I41" s="769">
        <f>I39/E39-1</f>
        <v>0.14959336964269832</v>
      </c>
      <c r="J41" s="770">
        <f>J39/F39-1</f>
        <v>0.15504541093601043</v>
      </c>
      <c r="K41" s="768">
        <f>K39/G39-1</f>
        <v>2.9787919999999968E-2</v>
      </c>
      <c r="L41" s="769">
        <f t="shared" ref="L41" si="193">L39/H39-1</f>
        <v>-5.8977999999999531E-3</v>
      </c>
      <c r="M41" s="778">
        <f t="shared" ref="M41:AA41" si="194">M332</f>
        <v>-0.08</v>
      </c>
      <c r="N41" s="779">
        <f t="shared" si="194"/>
        <v>-0.06</v>
      </c>
      <c r="O41" s="780">
        <f t="shared" si="194"/>
        <v>-0.02</v>
      </c>
      <c r="P41" s="778">
        <f t="shared" si="194"/>
        <v>-0.04</v>
      </c>
      <c r="Q41" s="778">
        <f t="shared" si="194"/>
        <v>-0.03</v>
      </c>
      <c r="R41" s="779">
        <f t="shared" si="194"/>
        <v>-7.0000000000000007E-2</v>
      </c>
      <c r="S41" s="780">
        <f t="shared" si="194"/>
        <v>-0.08</v>
      </c>
      <c r="T41" s="778">
        <f t="shared" si="194"/>
        <v>-7.0000000000000007E-2</v>
      </c>
      <c r="U41" s="778">
        <f t="shared" si="194"/>
        <v>-0.1</v>
      </c>
      <c r="V41" s="779">
        <f t="shared" si="194"/>
        <v>-0.03</v>
      </c>
      <c r="W41" s="780">
        <f t="shared" si="194"/>
        <v>-0.03</v>
      </c>
      <c r="X41" s="778">
        <f t="shared" si="194"/>
        <v>-0.02</v>
      </c>
      <c r="Y41" s="778">
        <f t="shared" si="194"/>
        <v>0.04</v>
      </c>
      <c r="Z41" s="779">
        <f t="shared" si="194"/>
        <v>0.06</v>
      </c>
      <c r="AA41" s="780">
        <f t="shared" si="194"/>
        <v>0</v>
      </c>
      <c r="AB41" s="778">
        <f t="shared" ref="AB41" si="195">AB332</f>
        <v>0.02</v>
      </c>
      <c r="AC41" s="778">
        <v>0.03</v>
      </c>
      <c r="AD41" s="778">
        <v>0.03</v>
      </c>
      <c r="AE41" s="780">
        <v>7.0000000000000007E-2</v>
      </c>
      <c r="AF41" s="778">
        <v>0.06</v>
      </c>
      <c r="AG41" s="778">
        <v>0</v>
      </c>
      <c r="AH41" s="1298">
        <v>-0.05</v>
      </c>
      <c r="AI41" s="780">
        <v>0.01</v>
      </c>
      <c r="AJ41" s="769">
        <f t="shared" ref="AJ41" si="196">AJ39/AF39-1</f>
        <v>4.5201563050010884E-2</v>
      </c>
      <c r="AK41" s="769">
        <f t="shared" ref="AK41" si="197">AK39/AG39-1</f>
        <v>0.1200684724421206</v>
      </c>
      <c r="AL41" s="770">
        <f t="shared" ref="AL41" si="198">AL39/AH39-1</f>
        <v>9.5640244880845771E-2</v>
      </c>
      <c r="AM41" s="769">
        <f t="shared" ref="AM41" si="199">AM39/AI39-1</f>
        <v>3.0200000000000005E-2</v>
      </c>
      <c r="AN41" s="769">
        <f t="shared" ref="AN41" si="200">AN39/AJ39-1</f>
        <v>1.0000000000000009E-2</v>
      </c>
      <c r="AO41" s="769">
        <f t="shared" ref="AO41" si="201">AO39/AK39-1</f>
        <v>3.0200000000000005E-2</v>
      </c>
      <c r="AP41" s="770">
        <f t="shared" ref="AP41" si="202">AP39/AL39-1</f>
        <v>5.0803999999999849E-2</v>
      </c>
      <c r="AQ41" s="760"/>
      <c r="AR41" s="761"/>
      <c r="AS41" s="759"/>
      <c r="AT41" s="756">
        <f t="shared" ref="AT41:BB41" si="203">AT39/AS39-1</f>
        <v>0.14298017999715951</v>
      </c>
      <c r="AU41" s="756">
        <f t="shared" si="203"/>
        <v>-2.9578630601414968E-2</v>
      </c>
      <c r="AV41" s="756">
        <f t="shared" si="203"/>
        <v>-3.9741276560230188E-2</v>
      </c>
      <c r="AW41" s="756">
        <f t="shared" si="203"/>
        <v>-7.0434587809726112E-2</v>
      </c>
      <c r="AX41" s="756">
        <f t="shared" si="203"/>
        <v>1.1268068606755666E-2</v>
      </c>
      <c r="AY41" s="756">
        <f t="shared" si="203"/>
        <v>1.995878292663078E-2</v>
      </c>
      <c r="AZ41" s="756">
        <f t="shared" si="203"/>
        <v>1.9004942382615297E-2</v>
      </c>
      <c r="BA41" s="756">
        <f t="shared" si="203"/>
        <v>6.628610628764986E-2</v>
      </c>
      <c r="BB41" s="756">
        <f t="shared" si="203"/>
        <v>3.0301497536945776E-2</v>
      </c>
      <c r="BC41" s="759"/>
      <c r="BD41" s="759"/>
      <c r="BE41" s="759"/>
      <c r="BF41" s="759"/>
      <c r="BG41" s="759"/>
      <c r="BH41" s="759"/>
    </row>
    <row r="42" spans="2:60" s="717" customFormat="1">
      <c r="B42" s="749"/>
      <c r="C42" s="720"/>
      <c r="D42" s="721"/>
      <c r="E42" s="721"/>
      <c r="F42" s="722"/>
      <c r="G42" s="720"/>
      <c r="H42" s="721"/>
      <c r="I42" s="721"/>
      <c r="J42" s="722"/>
      <c r="K42" s="720"/>
      <c r="L42" s="756"/>
      <c r="M42" s="756"/>
      <c r="N42" s="757"/>
      <c r="O42" s="758"/>
      <c r="P42" s="756"/>
      <c r="Q42" s="756"/>
      <c r="R42" s="757"/>
      <c r="S42" s="758"/>
      <c r="T42" s="756"/>
      <c r="U42" s="756"/>
      <c r="V42" s="757"/>
      <c r="W42" s="720"/>
      <c r="X42" s="721"/>
      <c r="Y42" s="721"/>
      <c r="Z42" s="722"/>
      <c r="AA42" s="720"/>
      <c r="AB42" s="721"/>
      <c r="AC42" s="721"/>
      <c r="AD42" s="721"/>
      <c r="AE42" s="720"/>
      <c r="AF42" s="721"/>
      <c r="AG42" s="721"/>
      <c r="AH42" s="1296"/>
      <c r="AI42" s="720"/>
      <c r="AJ42" s="721"/>
      <c r="AK42" s="721"/>
      <c r="AL42" s="722"/>
      <c r="AM42" s="721"/>
      <c r="AN42" s="721"/>
      <c r="AO42" s="721"/>
      <c r="AP42" s="722"/>
      <c r="AQ42" s="718"/>
      <c r="AS42" s="723"/>
      <c r="AT42" s="723"/>
      <c r="AU42" s="723"/>
      <c r="AV42" s="723"/>
      <c r="AW42" s="723"/>
      <c r="AX42" s="723"/>
      <c r="AY42" s="723"/>
      <c r="AZ42" s="723"/>
      <c r="BA42" s="723"/>
      <c r="BB42" s="723"/>
    </row>
    <row r="43" spans="2:60" s="717" customFormat="1">
      <c r="B43" s="749" t="s">
        <v>400</v>
      </c>
      <c r="C43" s="731">
        <f t="shared" ref="C43" si="204">C19+C31</f>
        <v>7387.8021225248549</v>
      </c>
      <c r="D43" s="732">
        <f>D19+D31</f>
        <v>7562.8545493969759</v>
      </c>
      <c r="E43" s="732">
        <f t="shared" ref="E43:AD43" si="205">E19+E31</f>
        <v>7795.3678800236976</v>
      </c>
      <c r="F43" s="733">
        <f t="shared" si="205"/>
        <v>7644.7995110456395</v>
      </c>
      <c r="G43" s="731">
        <f t="shared" si="205"/>
        <v>8643.5855195248132</v>
      </c>
      <c r="H43" s="732">
        <f t="shared" si="205"/>
        <v>8336.2313108093258</v>
      </c>
      <c r="I43" s="732">
        <f t="shared" si="205"/>
        <v>9416.786464403327</v>
      </c>
      <c r="J43" s="733">
        <f t="shared" si="205"/>
        <v>8893.1850410747629</v>
      </c>
      <c r="K43" s="731">
        <f t="shared" si="205"/>
        <v>8450.8866532135526</v>
      </c>
      <c r="L43" s="732">
        <f t="shared" si="205"/>
        <v>8666.823363600588</v>
      </c>
      <c r="M43" s="732">
        <f t="shared" si="205"/>
        <v>8544.610703487062</v>
      </c>
      <c r="N43" s="733">
        <f t="shared" si="205"/>
        <v>8629.0702484305766</v>
      </c>
      <c r="O43" s="731">
        <f t="shared" si="205"/>
        <v>7974.6839344555328</v>
      </c>
      <c r="P43" s="732">
        <f t="shared" si="205"/>
        <v>8178.9250482401321</v>
      </c>
      <c r="Q43" s="732">
        <f t="shared" si="205"/>
        <v>8263.5820114012422</v>
      </c>
      <c r="R43" s="733">
        <f t="shared" si="205"/>
        <v>8694.7111173045614</v>
      </c>
      <c r="S43" s="731">
        <f t="shared" si="205"/>
        <v>7823.8283199802836</v>
      </c>
      <c r="T43" s="732">
        <f t="shared" si="205"/>
        <v>8585.4650624674778</v>
      </c>
      <c r="U43" s="732">
        <f t="shared" si="205"/>
        <v>8972.4281184381798</v>
      </c>
      <c r="V43" s="733">
        <f t="shared" si="205"/>
        <v>9024.4822265820094</v>
      </c>
      <c r="W43" s="731">
        <f t="shared" si="205"/>
        <v>7320.9773816578509</v>
      </c>
      <c r="X43" s="732">
        <f t="shared" si="205"/>
        <v>7320.6867754817449</v>
      </c>
      <c r="Y43" s="732">
        <f t="shared" si="205"/>
        <v>8111.9984225370436</v>
      </c>
      <c r="Z43" s="733">
        <f t="shared" si="205"/>
        <v>8755.2479199509889</v>
      </c>
      <c r="AA43" s="731">
        <f t="shared" si="205"/>
        <v>7286.8054795771659</v>
      </c>
      <c r="AB43" s="732">
        <f t="shared" si="205"/>
        <v>7003.1178466854999</v>
      </c>
      <c r="AC43" s="732">
        <f t="shared" si="205"/>
        <v>8245.2722552830182</v>
      </c>
      <c r="AD43" s="732">
        <f t="shared" si="205"/>
        <v>8629.2115994318447</v>
      </c>
      <c r="AE43" s="731">
        <f t="shared" ref="AE43:AF43" si="206">AE19+AE31</f>
        <v>7473.5505417927307</v>
      </c>
      <c r="AF43" s="732">
        <f t="shared" si="206"/>
        <v>7808.2110628562314</v>
      </c>
      <c r="AG43" s="732">
        <f t="shared" ref="AG43:AI43" si="207">AG19+AG31</f>
        <v>8104.8974630876482</v>
      </c>
      <c r="AH43" s="1290">
        <f t="shared" si="207"/>
        <v>8371.958424775692</v>
      </c>
      <c r="AI43" s="731">
        <f t="shared" si="207"/>
        <v>7721.6934183157427</v>
      </c>
      <c r="AJ43" s="732">
        <f t="shared" ref="AJ43:AL43" si="208">AJ19+AJ31</f>
        <v>8033.6498324156992</v>
      </c>
      <c r="AK43" s="732">
        <f t="shared" si="208"/>
        <v>8435.3323240364844</v>
      </c>
      <c r="AL43" s="733">
        <f t="shared" si="208"/>
        <v>8424.6969038612733</v>
      </c>
      <c r="AM43" s="732">
        <f t="shared" ref="AM43:AP43" si="209">AM19+AM31</f>
        <v>7402.7811694229013</v>
      </c>
      <c r="AN43" s="732">
        <f t="shared" si="209"/>
        <v>7550.8367928113603</v>
      </c>
      <c r="AO43" s="732">
        <f t="shared" si="209"/>
        <v>8183.1362416186121</v>
      </c>
      <c r="AP43" s="733">
        <f t="shared" si="209"/>
        <v>8196.7353055439671</v>
      </c>
      <c r="AQ43" s="718"/>
      <c r="AS43" s="729">
        <f>SUM(C43:F43)</f>
        <v>30390.824062991167</v>
      </c>
      <c r="AT43" s="729">
        <f>SUM(G43:J43)</f>
        <v>35289.788335812227</v>
      </c>
      <c r="AU43" s="729">
        <f>SUM(K43:N43)</f>
        <v>34291.390968731779</v>
      </c>
      <c r="AV43" s="729">
        <f>SUM(O43:R43)</f>
        <v>33111.902111401469</v>
      </c>
      <c r="AW43" s="729">
        <f>SUM(S43:V43)</f>
        <v>34406.203727467953</v>
      </c>
      <c r="AX43" s="729">
        <f>SUM(W43:Z43)</f>
        <v>31508.910499627629</v>
      </c>
      <c r="AY43" s="729">
        <f>SUM(AA43:AD43)</f>
        <v>31164.407180977527</v>
      </c>
      <c r="AZ43" s="729">
        <f>SUM(AE43:AH43)</f>
        <v>31758.617492512305</v>
      </c>
      <c r="BA43" s="729">
        <f>SUM(AI43:AL43)</f>
        <v>32615.3724786292</v>
      </c>
      <c r="BB43" s="729">
        <f>SUM(AM43:AP43)</f>
        <v>31333.489509396841</v>
      </c>
    </row>
    <row r="44" spans="2:60">
      <c r="B44" s="754" t="s">
        <v>97</v>
      </c>
      <c r="C44" s="755"/>
      <c r="D44" s="756">
        <f>D43/C43-1</f>
        <v>2.3694790949854827E-2</v>
      </c>
      <c r="E44" s="756">
        <f t="shared" ref="E44:AI44" si="210">E43/D43-1</f>
        <v>3.0744123017050651E-2</v>
      </c>
      <c r="F44" s="757">
        <f t="shared" si="210"/>
        <v>-1.9315107547894228E-2</v>
      </c>
      <c r="G44" s="755">
        <f t="shared" si="210"/>
        <v>0.13064907811330717</v>
      </c>
      <c r="H44" s="756">
        <f t="shared" si="210"/>
        <v>-3.55586472790963E-2</v>
      </c>
      <c r="I44" s="756">
        <f t="shared" si="210"/>
        <v>0.12962154159432693</v>
      </c>
      <c r="J44" s="757">
        <f t="shared" si="210"/>
        <v>-5.56029835982631E-2</v>
      </c>
      <c r="K44" s="755">
        <f t="shared" si="210"/>
        <v>-4.9734531084012823E-2</v>
      </c>
      <c r="L44" s="756">
        <f t="shared" si="210"/>
        <v>2.5551959131403512E-2</v>
      </c>
      <c r="M44" s="756">
        <f t="shared" si="210"/>
        <v>-1.4101205826670182E-2</v>
      </c>
      <c r="N44" s="757">
        <f t="shared" si="210"/>
        <v>9.8845398432307885E-3</v>
      </c>
      <c r="O44" s="758">
        <f t="shared" si="210"/>
        <v>-7.5835089428558211E-2</v>
      </c>
      <c r="P44" s="756">
        <f t="shared" si="210"/>
        <v>2.5611186031104349E-2</v>
      </c>
      <c r="Q44" s="756">
        <f t="shared" si="210"/>
        <v>1.0350622198124437E-2</v>
      </c>
      <c r="R44" s="757">
        <f t="shared" si="210"/>
        <v>5.2172182149156532E-2</v>
      </c>
      <c r="S44" s="758">
        <f t="shared" si="210"/>
        <v>-0.10016236141428692</v>
      </c>
      <c r="T44" s="756">
        <f t="shared" si="210"/>
        <v>9.7348345507805467E-2</v>
      </c>
      <c r="U44" s="756">
        <f t="shared" si="210"/>
        <v>4.5071880574339973E-2</v>
      </c>
      <c r="V44" s="757">
        <f t="shared" si="210"/>
        <v>5.8015631283643287E-3</v>
      </c>
      <c r="W44" s="758">
        <f t="shared" si="210"/>
        <v>-0.18876482906757908</v>
      </c>
      <c r="X44" s="756">
        <f t="shared" si="210"/>
        <v>-3.9694997123529419E-5</v>
      </c>
      <c r="Y44" s="756">
        <f t="shared" si="210"/>
        <v>0.1080925425884276</v>
      </c>
      <c r="Z44" s="757">
        <f t="shared" si="210"/>
        <v>7.9296058000559499E-2</v>
      </c>
      <c r="AA44" s="758">
        <f t="shared" si="210"/>
        <v>-0.16772140021616233</v>
      </c>
      <c r="AB44" s="756">
        <f t="shared" si="210"/>
        <v>-3.8931687374770929E-2</v>
      </c>
      <c r="AC44" s="756">
        <f t="shared" si="210"/>
        <v>0.17737162729389411</v>
      </c>
      <c r="AD44" s="756">
        <f t="shared" si="210"/>
        <v>4.656478673615938E-2</v>
      </c>
      <c r="AE44" s="758">
        <f t="shared" si="210"/>
        <v>-0.13392429242495385</v>
      </c>
      <c r="AF44" s="756">
        <f t="shared" si="210"/>
        <v>4.4779321313484166E-2</v>
      </c>
      <c r="AG44" s="756">
        <f t="shared" si="210"/>
        <v>3.7996718818572806E-2</v>
      </c>
      <c r="AH44" s="1295">
        <f t="shared" si="210"/>
        <v>3.2950566358714184E-2</v>
      </c>
      <c r="AI44" s="758">
        <f t="shared" si="210"/>
        <v>-7.7671791170818127E-2</v>
      </c>
      <c r="AJ44" s="756">
        <f t="shared" ref="AJ44" si="211">AJ43/AI43-1</f>
        <v>4.0399999999999991E-2</v>
      </c>
      <c r="AK44" s="756">
        <f t="shared" ref="AK44" si="212">AK43/AJ43-1</f>
        <v>5.0000000000000044E-2</v>
      </c>
      <c r="AL44" s="757">
        <f t="shared" ref="AL44" si="213">AL43/AK43-1</f>
        <v>-1.2608181594583323E-3</v>
      </c>
      <c r="AM44" s="756">
        <f t="shared" ref="AM44" si="214">AM43/AL43-1</f>
        <v>-0.12129999999999996</v>
      </c>
      <c r="AN44" s="756">
        <f t="shared" ref="AN44" si="215">AN43/AM43-1</f>
        <v>2.000000000000024E-2</v>
      </c>
      <c r="AO44" s="756">
        <f t="shared" ref="AO44" si="216">AO43/AN43-1</f>
        <v>8.3738990281079895E-2</v>
      </c>
      <c r="AP44" s="757">
        <f t="shared" ref="AP44" si="217">AP43/AO43-1</f>
        <v>1.6618400969778957E-3</v>
      </c>
      <c r="AQ44" s="760"/>
      <c r="AR44" s="761"/>
      <c r="AS44" s="759"/>
      <c r="BC44" s="759"/>
      <c r="BD44" s="759"/>
      <c r="BE44" s="759"/>
      <c r="BF44" s="759"/>
      <c r="BG44" s="759"/>
      <c r="BH44" s="759"/>
    </row>
    <row r="45" spans="2:60">
      <c r="B45" s="754" t="s">
        <v>98</v>
      </c>
      <c r="C45" s="755"/>
      <c r="D45" s="756"/>
      <c r="E45" s="756"/>
      <c r="F45" s="757"/>
      <c r="G45" s="755">
        <f>G43/C43-1</f>
        <v>0.16998064866561169</v>
      </c>
      <c r="H45" s="756">
        <f t="shared" ref="H45:AI45" si="218">H43/D43-1</f>
        <v>0.10225990151747855</v>
      </c>
      <c r="I45" s="756">
        <f t="shared" si="218"/>
        <v>0.20799769931764911</v>
      </c>
      <c r="J45" s="757">
        <f t="shared" si="218"/>
        <v>0.1632986618191079</v>
      </c>
      <c r="K45" s="755">
        <f t="shared" si="218"/>
        <v>-2.2293857783436843E-2</v>
      </c>
      <c r="L45" s="756">
        <f t="shared" si="218"/>
        <v>3.9657255235059807E-2</v>
      </c>
      <c r="M45" s="756">
        <f t="shared" si="218"/>
        <v>-9.2619256496173308E-2</v>
      </c>
      <c r="N45" s="757">
        <f t="shared" si="218"/>
        <v>-2.9698560349787462E-2</v>
      </c>
      <c r="O45" s="758">
        <f t="shared" si="218"/>
        <v>-5.6349438620968639E-2</v>
      </c>
      <c r="P45" s="756">
        <f t="shared" si="218"/>
        <v>-5.6294941628735495E-2</v>
      </c>
      <c r="Q45" s="756">
        <f t="shared" si="218"/>
        <v>-3.2889584070943334E-2</v>
      </c>
      <c r="R45" s="757">
        <f t="shared" si="218"/>
        <v>7.6069457061058721E-3</v>
      </c>
      <c r="S45" s="758">
        <f t="shared" si="218"/>
        <v>-1.8916814223001399E-2</v>
      </c>
      <c r="T45" s="756">
        <f t="shared" si="218"/>
        <v>4.970580019128823E-2</v>
      </c>
      <c r="U45" s="756">
        <f t="shared" si="218"/>
        <v>8.5779521042925966E-2</v>
      </c>
      <c r="V45" s="757">
        <f t="shared" si="218"/>
        <v>3.7927782168762914E-2</v>
      </c>
      <c r="W45" s="758">
        <f t="shared" si="218"/>
        <v>-6.4271724500685301E-2</v>
      </c>
      <c r="X45" s="756">
        <f t="shared" si="218"/>
        <v>-0.1473162231496209</v>
      </c>
      <c r="Y45" s="756">
        <f t="shared" si="218"/>
        <v>-9.5897084328039228E-2</v>
      </c>
      <c r="Z45" s="757">
        <f t="shared" si="218"/>
        <v>-2.9833767729962268E-2</v>
      </c>
      <c r="AA45" s="758">
        <f t="shared" si="218"/>
        <v>-4.6676693970261196E-3</v>
      </c>
      <c r="AB45" s="756">
        <f t="shared" si="218"/>
        <v>-4.3379663484557018E-2</v>
      </c>
      <c r="AC45" s="756">
        <f t="shared" si="218"/>
        <v>1.6429223207897747E-2</v>
      </c>
      <c r="AD45" s="756">
        <f t="shared" si="218"/>
        <v>-1.4395517028357285E-2</v>
      </c>
      <c r="AE45" s="758">
        <f t="shared" si="218"/>
        <v>2.5627836881189969E-2</v>
      </c>
      <c r="AF45" s="756">
        <f t="shared" si="218"/>
        <v>0.11496211170454229</v>
      </c>
      <c r="AG45" s="756">
        <f t="shared" si="218"/>
        <v>-1.7024882605353286E-2</v>
      </c>
      <c r="AH45" s="1295">
        <f t="shared" si="218"/>
        <v>-2.9811897841639512E-2</v>
      </c>
      <c r="AI45" s="758">
        <f t="shared" si="218"/>
        <v>3.3202809713452242E-2</v>
      </c>
      <c r="AJ45" s="756">
        <f t="shared" ref="AJ45" si="219">AJ43/AF43-1</f>
        <v>2.8872012775356781E-2</v>
      </c>
      <c r="AK45" s="756">
        <f t="shared" ref="AK45" si="220">AK43/AG43-1</f>
        <v>4.076977684834926E-2</v>
      </c>
      <c r="AL45" s="757">
        <f t="shared" ref="AL45" si="221">AL43/AH43-1</f>
        <v>6.2994196112475809E-3</v>
      </c>
      <c r="AM45" s="756">
        <f t="shared" ref="AM45" si="222">AM43/AI43-1</f>
        <v>-4.1300817271038848E-2</v>
      </c>
      <c r="AN45" s="756">
        <f t="shared" ref="AN45" si="223">AN43/AJ43-1</f>
        <v>-6.0098840461802694E-2</v>
      </c>
      <c r="AO45" s="756">
        <f t="shared" ref="AO45" si="224">AO43/AK43-1</f>
        <v>-2.9897587045769281E-2</v>
      </c>
      <c r="AP45" s="757">
        <f t="shared" ref="AP45" si="225">AP43/AL43-1</f>
        <v>-2.7058729936364267E-2</v>
      </c>
      <c r="AQ45" s="760"/>
      <c r="AR45" s="761"/>
      <c r="AS45" s="759"/>
      <c r="AT45" s="756">
        <f t="shared" ref="AT45:BB45" si="226">AT43/AS43-1</f>
        <v>0.16119879680350091</v>
      </c>
      <c r="AU45" s="756">
        <f t="shared" si="226"/>
        <v>-2.829139573124817E-2</v>
      </c>
      <c r="AV45" s="756">
        <f t="shared" si="226"/>
        <v>-3.4396063385291442E-2</v>
      </c>
      <c r="AW45" s="756">
        <f t="shared" si="226"/>
        <v>3.9088712321990515E-2</v>
      </c>
      <c r="AX45" s="756">
        <f t="shared" si="226"/>
        <v>-8.4208454114549358E-2</v>
      </c>
      <c r="AY45" s="756">
        <f t="shared" si="226"/>
        <v>-1.0933520492692805E-2</v>
      </c>
      <c r="AZ45" s="756">
        <f t="shared" si="226"/>
        <v>1.906695378750789E-2</v>
      </c>
      <c r="BA45" s="756">
        <f t="shared" si="226"/>
        <v>2.6977086969194763E-2</v>
      </c>
      <c r="BB45" s="756">
        <f t="shared" si="226"/>
        <v>-3.9303030191431887E-2</v>
      </c>
      <c r="BC45" s="759"/>
      <c r="BD45" s="759"/>
      <c r="BE45" s="759"/>
      <c r="BF45" s="759"/>
      <c r="BG45" s="759"/>
      <c r="BH45" s="759"/>
    </row>
    <row r="46" spans="2:60" s="717" customFormat="1">
      <c r="B46" s="749"/>
      <c r="C46" s="720"/>
      <c r="D46" s="721"/>
      <c r="E46" s="721"/>
      <c r="F46" s="722"/>
      <c r="G46" s="720"/>
      <c r="H46" s="721"/>
      <c r="I46" s="721"/>
      <c r="J46" s="722"/>
      <c r="K46" s="720"/>
      <c r="L46" s="756"/>
      <c r="M46" s="756"/>
      <c r="N46" s="757"/>
      <c r="O46" s="758"/>
      <c r="P46" s="756"/>
      <c r="Q46" s="756"/>
      <c r="R46" s="757"/>
      <c r="S46" s="758"/>
      <c r="T46" s="756"/>
      <c r="U46" s="756"/>
      <c r="V46" s="757"/>
      <c r="W46" s="720"/>
      <c r="X46" s="721"/>
      <c r="Y46" s="721"/>
      <c r="Z46" s="722"/>
      <c r="AA46" s="720"/>
      <c r="AB46" s="721"/>
      <c r="AC46" s="721"/>
      <c r="AD46" s="721"/>
      <c r="AE46" s="720"/>
      <c r="AF46" s="721"/>
      <c r="AG46" s="721"/>
      <c r="AH46" s="1296"/>
      <c r="AI46" s="720"/>
      <c r="AJ46" s="721"/>
      <c r="AK46" s="721"/>
      <c r="AL46" s="722"/>
      <c r="AM46" s="721"/>
      <c r="AN46" s="721"/>
      <c r="AO46" s="721"/>
      <c r="AP46" s="722"/>
      <c r="AQ46" s="718"/>
      <c r="AS46" s="723"/>
      <c r="AT46" s="723"/>
      <c r="AU46" s="723"/>
      <c r="AV46" s="723"/>
      <c r="AW46" s="723"/>
      <c r="AX46" s="723"/>
      <c r="AY46" s="723"/>
      <c r="AZ46" s="723"/>
      <c r="BA46" s="723"/>
      <c r="BB46" s="723"/>
    </row>
    <row r="47" spans="2:60" s="717" customFormat="1">
      <c r="B47" s="749" t="s">
        <v>401</v>
      </c>
      <c r="C47" s="726">
        <f>C23+C35</f>
        <v>74787.42</v>
      </c>
      <c r="D47" s="727">
        <f t="shared" ref="D47:AD47" si="227">D23+D35</f>
        <v>77855.58</v>
      </c>
      <c r="E47" s="727">
        <f t="shared" si="227"/>
        <v>78815.399999999994</v>
      </c>
      <c r="F47" s="728">
        <f t="shared" si="227"/>
        <v>78468.600000000006</v>
      </c>
      <c r="G47" s="726">
        <f t="shared" si="227"/>
        <v>79490.57751480001</v>
      </c>
      <c r="H47" s="727">
        <f t="shared" si="227"/>
        <v>76771.133329799995</v>
      </c>
      <c r="I47" s="727">
        <f t="shared" si="227"/>
        <v>85045.564451279992</v>
      </c>
      <c r="J47" s="728">
        <f t="shared" si="227"/>
        <v>80410.249152000004</v>
      </c>
      <c r="K47" s="726">
        <f t="shared" si="227"/>
        <v>76366.564416000008</v>
      </c>
      <c r="L47" s="727">
        <f t="shared" si="227"/>
        <v>79130.165129280009</v>
      </c>
      <c r="M47" s="727">
        <f t="shared" si="227"/>
        <v>81173.292540263996</v>
      </c>
      <c r="N47" s="728">
        <f t="shared" si="227"/>
        <v>79659.795256127996</v>
      </c>
      <c r="O47" s="726">
        <f t="shared" si="227"/>
        <v>71456.140016640013</v>
      </c>
      <c r="P47" s="727">
        <f t="shared" si="227"/>
        <v>74832.520990262405</v>
      </c>
      <c r="Q47" s="727">
        <f t="shared" si="227"/>
        <v>78086.116201746088</v>
      </c>
      <c r="R47" s="728">
        <f t="shared" si="227"/>
        <v>81900.521191094391</v>
      </c>
      <c r="S47" s="726">
        <f t="shared" si="227"/>
        <v>72274.382022988808</v>
      </c>
      <c r="T47" s="727">
        <f t="shared" si="227"/>
        <v>81266.392030028263</v>
      </c>
      <c r="U47" s="727">
        <f t="shared" si="227"/>
        <v>89838.860472654138</v>
      </c>
      <c r="V47" s="728">
        <f t="shared" si="227"/>
        <v>86799.446949976409</v>
      </c>
      <c r="W47" s="726">
        <f t="shared" si="227"/>
        <v>68639.245940830471</v>
      </c>
      <c r="X47" s="727">
        <f t="shared" si="227"/>
        <v>68750.545416354973</v>
      </c>
      <c r="Y47" s="727">
        <f t="shared" si="227"/>
        <v>76933.149303859478</v>
      </c>
      <c r="Z47" s="728">
        <f t="shared" si="227"/>
        <v>78458.58810968019</v>
      </c>
      <c r="AA47" s="726">
        <f t="shared" si="227"/>
        <v>66753.3211550673</v>
      </c>
      <c r="AB47" s="727">
        <f t="shared" si="227"/>
        <v>64805.799250539261</v>
      </c>
      <c r="AC47" s="727">
        <f t="shared" si="227"/>
        <v>77220.174303717708</v>
      </c>
      <c r="AD47" s="727">
        <f t="shared" si="227"/>
        <v>75681.474959675601</v>
      </c>
      <c r="AE47" s="726">
        <f t="shared" ref="AE47:AF47" si="228">AE23+AE35</f>
        <v>65450.397277543176</v>
      </c>
      <c r="AF47" s="727">
        <f t="shared" si="228"/>
        <v>70340.759353004047</v>
      </c>
      <c r="AG47" s="727">
        <f t="shared" ref="AG47:AI47" si="229">AG23+AG35</f>
        <v>76156.35800698401</v>
      </c>
      <c r="AH47" s="1294">
        <f t="shared" si="229"/>
        <v>76657.578744876955</v>
      </c>
      <c r="AI47" s="726">
        <f t="shared" si="229"/>
        <v>65777.756802595453</v>
      </c>
      <c r="AJ47" s="727">
        <f t="shared" ref="AJ47:AL47" si="230">AJ23+AJ35</f>
        <v>67093.31193864737</v>
      </c>
      <c r="AK47" s="727">
        <f t="shared" si="230"/>
        <v>70447.977535579746</v>
      </c>
      <c r="AL47" s="728">
        <f t="shared" si="230"/>
        <v>70460.628693948558</v>
      </c>
      <c r="AM47" s="727">
        <f t="shared" ref="AM47:AP47" si="231">AM23+AM35</f>
        <v>61300.746963735241</v>
      </c>
      <c r="AN47" s="727">
        <f t="shared" si="231"/>
        <v>62526.761903009945</v>
      </c>
      <c r="AO47" s="727">
        <f t="shared" si="231"/>
        <v>66703.085189413992</v>
      </c>
      <c r="AP47" s="728">
        <f t="shared" si="231"/>
        <v>65852.75299095377</v>
      </c>
      <c r="AQ47" s="718"/>
      <c r="AS47" s="729">
        <f>SUM(C47:F47)</f>
        <v>309927</v>
      </c>
      <c r="AT47" s="729">
        <f>SUM(G47:J47)</f>
        <v>321717.52444787999</v>
      </c>
      <c r="AU47" s="729">
        <f>SUM(K47:N47)</f>
        <v>316329.81734167202</v>
      </c>
      <c r="AV47" s="729">
        <f>SUM(O47:R47)</f>
        <v>306275.29839974293</v>
      </c>
      <c r="AW47" s="729">
        <f>SUM(S47:V47)</f>
        <v>330179.08147564763</v>
      </c>
      <c r="AX47" s="729">
        <f>SUM(W47:Z47)</f>
        <v>292781.52877072513</v>
      </c>
      <c r="AY47" s="729">
        <f>SUM(AA47:AD47)</f>
        <v>284460.76966899988</v>
      </c>
      <c r="AZ47" s="729">
        <f>SUM(AE47:AH47)</f>
        <v>288605.0933824082</v>
      </c>
      <c r="BA47" s="729">
        <f>SUM(AI47:AL47)</f>
        <v>273779.67497077113</v>
      </c>
      <c r="BB47" s="729">
        <f>SUM(AM47:AP47)</f>
        <v>256383.34704711297</v>
      </c>
    </row>
    <row r="48" spans="2:60">
      <c r="B48" s="754" t="s">
        <v>97</v>
      </c>
      <c r="C48" s="755"/>
      <c r="D48" s="769">
        <f t="shared" ref="D48:J48" si="232">D47/C47-1</f>
        <v>4.1025081490978055E-2</v>
      </c>
      <c r="E48" s="769">
        <f t="shared" si="232"/>
        <v>1.232821077179036E-2</v>
      </c>
      <c r="F48" s="770">
        <f t="shared" si="232"/>
        <v>-4.4001552995986959E-3</v>
      </c>
      <c r="G48" s="768">
        <f t="shared" si="232"/>
        <v>1.3024031457169016E-2</v>
      </c>
      <c r="H48" s="769">
        <f t="shared" si="232"/>
        <v>-3.4210899832671227E-2</v>
      </c>
      <c r="I48" s="769">
        <f t="shared" si="232"/>
        <v>0.10778049981278759</v>
      </c>
      <c r="J48" s="770">
        <f t="shared" si="232"/>
        <v>-5.4503904221076871E-2</v>
      </c>
      <c r="K48" s="768">
        <f t="shared" ref="K48:AI48" si="233">K47/J47-1</f>
        <v>-5.0288175682134617E-2</v>
      </c>
      <c r="L48" s="769">
        <f t="shared" si="233"/>
        <v>3.6188621740602889E-2</v>
      </c>
      <c r="M48" s="769">
        <f t="shared" si="233"/>
        <v>2.5819829993353416E-2</v>
      </c>
      <c r="N48" s="770">
        <f t="shared" si="233"/>
        <v>-1.8645261720599327E-2</v>
      </c>
      <c r="O48" s="771">
        <f t="shared" si="233"/>
        <v>-0.10298363450610171</v>
      </c>
      <c r="P48" s="769">
        <f t="shared" si="233"/>
        <v>4.7251096586467423E-2</v>
      </c>
      <c r="Q48" s="769">
        <f t="shared" si="233"/>
        <v>4.3478358986556831E-2</v>
      </c>
      <c r="R48" s="770">
        <f t="shared" si="233"/>
        <v>4.8848696476250231E-2</v>
      </c>
      <c r="S48" s="771">
        <f t="shared" si="233"/>
        <v>-0.11753452881753212</v>
      </c>
      <c r="T48" s="769">
        <f t="shared" si="233"/>
        <v>0.12441489993202981</v>
      </c>
      <c r="U48" s="769">
        <f t="shared" si="233"/>
        <v>0.10548602230868465</v>
      </c>
      <c r="V48" s="770">
        <f t="shared" si="233"/>
        <v>-3.3831835206802219E-2</v>
      </c>
      <c r="W48" s="771">
        <f t="shared" si="233"/>
        <v>-0.20922023869128892</v>
      </c>
      <c r="X48" s="769">
        <f t="shared" si="233"/>
        <v>1.6215136690231891E-3</v>
      </c>
      <c r="Y48" s="769">
        <f t="shared" si="233"/>
        <v>0.11901874869428974</v>
      </c>
      <c r="Z48" s="770">
        <f t="shared" si="233"/>
        <v>1.9828108164346103E-2</v>
      </c>
      <c r="AA48" s="771">
        <f t="shared" si="233"/>
        <v>-0.14919038484671254</v>
      </c>
      <c r="AB48" s="769">
        <f t="shared" si="233"/>
        <v>-2.9174906518942612E-2</v>
      </c>
      <c r="AC48" s="769">
        <f t="shared" si="233"/>
        <v>0.1915627181015771</v>
      </c>
      <c r="AD48" s="769">
        <f t="shared" si="233"/>
        <v>-1.9926131453552376E-2</v>
      </c>
      <c r="AE48" s="771">
        <f t="shared" si="233"/>
        <v>-0.13518602389268608</v>
      </c>
      <c r="AF48" s="769">
        <f t="shared" si="233"/>
        <v>7.4718600327561502E-2</v>
      </c>
      <c r="AG48" s="769">
        <f t="shared" si="233"/>
        <v>8.2677507429148811E-2</v>
      </c>
      <c r="AH48" s="1297">
        <f t="shared" si="233"/>
        <v>6.5814693744543629E-3</v>
      </c>
      <c r="AI48" s="771">
        <f t="shared" si="233"/>
        <v>-0.14192754480924175</v>
      </c>
      <c r="AJ48" s="769">
        <f t="shared" ref="AJ48" si="234">AJ47/AI47-1</f>
        <v>2.0000000000000018E-2</v>
      </c>
      <c r="AK48" s="769">
        <f t="shared" ref="AK48" si="235">AK47/AJ47-1</f>
        <v>5.0000000000000044E-2</v>
      </c>
      <c r="AL48" s="770">
        <f t="shared" ref="AL48" si="236">AL47/AK47-1</f>
        <v>1.7958156942721182E-4</v>
      </c>
      <c r="AM48" s="769">
        <f t="shared" ref="AM48" si="237">AM47/AL47-1</f>
        <v>-0.13000000000000012</v>
      </c>
      <c r="AN48" s="769">
        <f t="shared" ref="AN48" si="238">AN47/AM47-1</f>
        <v>2.0000000000000018E-2</v>
      </c>
      <c r="AO48" s="769">
        <f t="shared" ref="AO48" si="239">AO47/AN47-1</f>
        <v>6.6792572640852033E-2</v>
      </c>
      <c r="AP48" s="770">
        <f t="shared" ref="AP48" si="240">AP47/AO47-1</f>
        <v>-1.274801901659528E-2</v>
      </c>
      <c r="AQ48" s="760"/>
      <c r="AR48" s="761"/>
      <c r="AS48" s="774"/>
      <c r="AT48" s="774"/>
      <c r="AU48" s="774"/>
      <c r="AV48" s="774"/>
      <c r="AW48" s="774"/>
      <c r="AX48" s="774"/>
      <c r="AY48" s="774"/>
      <c r="AZ48" s="774"/>
      <c r="BA48" s="774"/>
      <c r="BB48" s="774"/>
      <c r="BC48" s="759"/>
      <c r="BD48" s="759"/>
      <c r="BE48" s="759"/>
      <c r="BF48" s="759"/>
      <c r="BG48" s="759"/>
      <c r="BH48" s="759"/>
    </row>
    <row r="49" spans="2:60">
      <c r="B49" s="754" t="s">
        <v>98</v>
      </c>
      <c r="C49" s="755"/>
      <c r="D49" s="769"/>
      <c r="E49" s="769"/>
      <c r="F49" s="770"/>
      <c r="G49" s="768">
        <f>G47/C47-1</f>
        <v>6.2887013815960069E-2</v>
      </c>
      <c r="H49" s="769">
        <f>H47/D47-1</f>
        <v>-1.3928952429614005E-2</v>
      </c>
      <c r="I49" s="769">
        <f>I47/E47-1</f>
        <v>7.9047552271256594E-2</v>
      </c>
      <c r="J49" s="770">
        <f>J47/F47-1</f>
        <v>2.4744281814636615E-2</v>
      </c>
      <c r="K49" s="768">
        <f t="shared" ref="K49:AI49" si="241">K47/G47-1</f>
        <v>-3.9300420206638376E-2</v>
      </c>
      <c r="L49" s="769">
        <f t="shared" si="241"/>
        <v>3.0728109605284715E-2</v>
      </c>
      <c r="M49" s="769">
        <f t="shared" si="241"/>
        <v>-4.5531732736447394E-2</v>
      </c>
      <c r="N49" s="770">
        <f t="shared" si="241"/>
        <v>-9.3328139607354865E-3</v>
      </c>
      <c r="O49" s="771">
        <f t="shared" si="241"/>
        <v>-6.4300711141212274E-2</v>
      </c>
      <c r="P49" s="769">
        <f t="shared" si="241"/>
        <v>-5.4311072547318262E-2</v>
      </c>
      <c r="Q49" s="769">
        <f t="shared" si="241"/>
        <v>-3.8031922100321247E-2</v>
      </c>
      <c r="R49" s="770">
        <f t="shared" si="241"/>
        <v>2.8128693122570159E-2</v>
      </c>
      <c r="S49" s="771">
        <f t="shared" si="241"/>
        <v>1.1450968470424705E-2</v>
      </c>
      <c r="T49" s="769">
        <f t="shared" si="241"/>
        <v>8.5976938296694172E-2</v>
      </c>
      <c r="U49" s="769">
        <f t="shared" si="241"/>
        <v>0.15051003741232605</v>
      </c>
      <c r="V49" s="770">
        <f t="shared" si="241"/>
        <v>5.9815562680628043E-2</v>
      </c>
      <c r="W49" s="771">
        <f t="shared" si="241"/>
        <v>-5.0296328801567425E-2</v>
      </c>
      <c r="X49" s="769">
        <f t="shared" si="241"/>
        <v>-0.15401011784857677</v>
      </c>
      <c r="Y49" s="769">
        <f t="shared" si="241"/>
        <v>-0.14365399450634175</v>
      </c>
      <c r="Z49" s="770">
        <f t="shared" si="241"/>
        <v>-9.6093456045902692E-2</v>
      </c>
      <c r="AA49" s="771">
        <f t="shared" si="241"/>
        <v>-2.7475896040421333E-2</v>
      </c>
      <c r="AB49" s="769">
        <f t="shared" si="241"/>
        <v>-5.7377670852299945E-2</v>
      </c>
      <c r="AC49" s="769">
        <f t="shared" si="241"/>
        <v>3.7308364788835036E-3</v>
      </c>
      <c r="AD49" s="769">
        <f t="shared" si="241"/>
        <v>-3.5395910338360426E-2</v>
      </c>
      <c r="AE49" s="771">
        <f t="shared" si="241"/>
        <v>-1.951848769437925E-2</v>
      </c>
      <c r="AF49" s="769">
        <f t="shared" si="241"/>
        <v>8.540840737210309E-2</v>
      </c>
      <c r="AG49" s="769">
        <f t="shared" si="241"/>
        <v>-1.3776403722550068E-2</v>
      </c>
      <c r="AH49" s="1297">
        <f t="shared" si="241"/>
        <v>1.2897525923238673E-2</v>
      </c>
      <c r="AI49" s="771">
        <f t="shared" si="241"/>
        <v>5.0016430559483016E-3</v>
      </c>
      <c r="AJ49" s="769">
        <f t="shared" ref="AJ49" si="242">AJ47/AF47-1</f>
        <v>-4.6167363619994628E-2</v>
      </c>
      <c r="AK49" s="769">
        <f t="shared" ref="AK49" si="243">AK47/AG47-1</f>
        <v>-7.4956059097268879E-2</v>
      </c>
      <c r="AL49" s="770">
        <f t="shared" ref="AL49" si="244">AL47/AH47-1</f>
        <v>-8.0839365818641151E-2</v>
      </c>
      <c r="AM49" s="769">
        <f t="shared" ref="AM49" si="245">AM47/AI47-1</f>
        <v>-6.8062671281054699E-2</v>
      </c>
      <c r="AN49" s="769">
        <f t="shared" ref="AN49" si="246">AN47/AJ47-1</f>
        <v>-6.806267128105481E-2</v>
      </c>
      <c r="AO49" s="769">
        <f t="shared" ref="AO49" si="247">AO47/AK47-1</f>
        <v>-5.3158266243688801E-2</v>
      </c>
      <c r="AP49" s="770">
        <f t="shared" ref="AP49" si="248">AP47/AL47-1</f>
        <v>-6.539646024178225E-2</v>
      </c>
      <c r="AQ49" s="760"/>
      <c r="AR49" s="761"/>
      <c r="AS49" s="774"/>
      <c r="AT49" s="756">
        <f t="shared" ref="AT49:BB49" si="249">AT47/AS47-1</f>
        <v>3.8042908323185687E-2</v>
      </c>
      <c r="AU49" s="756">
        <f t="shared" si="249"/>
        <v>-1.6746700744555754E-2</v>
      </c>
      <c r="AV49" s="756">
        <f t="shared" si="249"/>
        <v>-3.1784923174248525E-2</v>
      </c>
      <c r="AW49" s="756">
        <f t="shared" si="249"/>
        <v>7.8046722020350678E-2</v>
      </c>
      <c r="AX49" s="756">
        <f t="shared" si="249"/>
        <v>-0.11326445193857859</v>
      </c>
      <c r="AY49" s="756">
        <f t="shared" si="249"/>
        <v>-2.8419685957173813E-2</v>
      </c>
      <c r="AZ49" s="756">
        <f t="shared" si="249"/>
        <v>1.4569051888000839E-2</v>
      </c>
      <c r="BA49" s="756">
        <f t="shared" si="249"/>
        <v>-5.1369219572272251E-2</v>
      </c>
      <c r="BB49" s="756">
        <f t="shared" si="249"/>
        <v>-6.3541341867380807E-2</v>
      </c>
      <c r="BC49" s="759"/>
      <c r="BD49" s="759"/>
      <c r="BE49" s="759"/>
      <c r="BF49" s="759"/>
      <c r="BG49" s="759"/>
      <c r="BH49" s="759"/>
    </row>
    <row r="50" spans="2:60" s="717" customFormat="1">
      <c r="B50" s="749"/>
      <c r="C50" s="720"/>
      <c r="D50" s="721"/>
      <c r="E50" s="721"/>
      <c r="F50" s="722"/>
      <c r="G50" s="720"/>
      <c r="H50" s="721"/>
      <c r="I50" s="721"/>
      <c r="J50" s="722"/>
      <c r="K50" s="720"/>
      <c r="L50" s="721"/>
      <c r="M50" s="721"/>
      <c r="N50" s="722"/>
      <c r="O50" s="720"/>
      <c r="P50" s="721"/>
      <c r="Q50" s="721"/>
      <c r="R50" s="722"/>
      <c r="S50" s="720"/>
      <c r="T50" s="721"/>
      <c r="U50" s="721"/>
      <c r="V50" s="722"/>
      <c r="W50" s="720"/>
      <c r="X50" s="721"/>
      <c r="Y50" s="721"/>
      <c r="Z50" s="722"/>
      <c r="AA50" s="720"/>
      <c r="AB50" s="721"/>
      <c r="AC50" s="721"/>
      <c r="AD50" s="721"/>
      <c r="AE50" s="720"/>
      <c r="AF50" s="721"/>
      <c r="AG50" s="721"/>
      <c r="AH50" s="1296"/>
      <c r="AI50" s="720"/>
      <c r="AJ50" s="721"/>
      <c r="AK50" s="721"/>
      <c r="AL50" s="722"/>
      <c r="AM50" s="721"/>
      <c r="AN50" s="721"/>
      <c r="AO50" s="721"/>
      <c r="AP50" s="722"/>
      <c r="AQ50" s="718"/>
      <c r="AS50" s="723"/>
      <c r="AT50" s="723"/>
      <c r="AU50" s="723"/>
      <c r="AV50" s="723"/>
      <c r="AW50" s="723"/>
      <c r="AX50" s="723"/>
      <c r="AY50" s="723"/>
      <c r="AZ50" s="723"/>
      <c r="BA50" s="723"/>
      <c r="BB50" s="723"/>
    </row>
    <row r="51" spans="2:60" s="717" customFormat="1">
      <c r="B51" s="749" t="s">
        <v>402</v>
      </c>
      <c r="C51" s="726">
        <f t="shared" ref="C51:AD51" si="250">(C19+C31)/C47*1000</f>
        <v>98.784021731527247</v>
      </c>
      <c r="D51" s="727">
        <f t="shared" si="250"/>
        <v>97.139531288534187</v>
      </c>
      <c r="E51" s="727">
        <f t="shared" si="250"/>
        <v>98.906658851235889</v>
      </c>
      <c r="F51" s="728">
        <f t="shared" si="250"/>
        <v>97.42495101283366</v>
      </c>
      <c r="G51" s="726">
        <f t="shared" si="250"/>
        <v>108.73723389310514</v>
      </c>
      <c r="H51" s="727">
        <f t="shared" si="250"/>
        <v>108.58549234902956</v>
      </c>
      <c r="I51" s="727">
        <f t="shared" si="250"/>
        <v>110.72636797887226</v>
      </c>
      <c r="J51" s="728">
        <f t="shared" si="250"/>
        <v>110.59765558323193</v>
      </c>
      <c r="K51" s="726">
        <f t="shared" si="250"/>
        <v>110.66212966158993</v>
      </c>
      <c r="L51" s="732">
        <f t="shared" si="250"/>
        <v>109.52616299284912</v>
      </c>
      <c r="M51" s="732">
        <f t="shared" si="250"/>
        <v>105.26381813634971</v>
      </c>
      <c r="N51" s="733">
        <f t="shared" si="250"/>
        <v>108.32403247693217</v>
      </c>
      <c r="O51" s="731">
        <f t="shared" si="250"/>
        <v>111.60250095510989</v>
      </c>
      <c r="P51" s="732">
        <f t="shared" si="250"/>
        <v>109.29639867811504</v>
      </c>
      <c r="Q51" s="732">
        <f t="shared" si="250"/>
        <v>105.82652094069009</v>
      </c>
      <c r="R51" s="733">
        <f t="shared" si="250"/>
        <v>106.16185331736324</v>
      </c>
      <c r="S51" s="731">
        <f t="shared" si="250"/>
        <v>108.25174980384757</v>
      </c>
      <c r="T51" s="732">
        <f t="shared" si="250"/>
        <v>105.64594844194774</v>
      </c>
      <c r="U51" s="732">
        <f t="shared" si="250"/>
        <v>99.872461329463079</v>
      </c>
      <c r="V51" s="733">
        <f t="shared" si="250"/>
        <v>103.96935169164074</v>
      </c>
      <c r="W51" s="731">
        <f t="shared" si="250"/>
        <v>106.65876760896819</v>
      </c>
      <c r="X51" s="732">
        <f t="shared" si="250"/>
        <v>106.48187197857833</v>
      </c>
      <c r="Y51" s="732">
        <f t="shared" si="250"/>
        <v>105.44217279468749</v>
      </c>
      <c r="Z51" s="733">
        <f t="shared" si="250"/>
        <v>111.59068918894768</v>
      </c>
      <c r="AA51" s="731">
        <f t="shared" si="250"/>
        <v>109.16019388233866</v>
      </c>
      <c r="AB51" s="732">
        <f t="shared" si="250"/>
        <v>108.0631352081847</v>
      </c>
      <c r="AC51" s="732">
        <f t="shared" si="250"/>
        <v>106.77614146341102</v>
      </c>
      <c r="AD51" s="732">
        <f t="shared" si="250"/>
        <v>114.02012981419348</v>
      </c>
      <c r="AE51" s="731">
        <f t="shared" ref="AE51:AF51" si="251">(AE19+AE31)/AE47*1000</f>
        <v>114.18648094832872</v>
      </c>
      <c r="AF51" s="732">
        <f t="shared" si="251"/>
        <v>111.00549858540539</v>
      </c>
      <c r="AG51" s="732">
        <f t="shared" ref="AG51:AI51" si="252">(AG19+AG31)/AG47*1000</f>
        <v>106.42443618882587</v>
      </c>
      <c r="AH51" s="1290">
        <f t="shared" si="252"/>
        <v>109.21240354640332</v>
      </c>
      <c r="AI51" s="731">
        <f t="shared" si="252"/>
        <v>117.39064683353661</v>
      </c>
      <c r="AJ51" s="732">
        <f t="shared" ref="AJ51:AL51" si="253">(AJ19+AJ31)/AJ47*1000</f>
        <v>119.73845977020733</v>
      </c>
      <c r="AK51" s="732">
        <f t="shared" si="253"/>
        <v>119.73845977020731</v>
      </c>
      <c r="AL51" s="733">
        <f t="shared" si="253"/>
        <v>119.56601949231288</v>
      </c>
      <c r="AM51" s="732">
        <f t="shared" ref="AM51:AP51" si="254">(AM19+AM31)/AM47*1000</f>
        <v>120.76167968723603</v>
      </c>
      <c r="AN51" s="732">
        <f t="shared" si="254"/>
        <v>120.76167968723604</v>
      </c>
      <c r="AO51" s="732">
        <f t="shared" si="254"/>
        <v>122.68002624438283</v>
      </c>
      <c r="AP51" s="733">
        <f t="shared" si="254"/>
        <v>124.47065510943722</v>
      </c>
      <c r="AQ51" s="718"/>
      <c r="AS51" s="729">
        <f>AVERAGE(C51:F51)</f>
        <v>98.063790721032746</v>
      </c>
      <c r="AT51" s="729">
        <f>AVERAGE(G51:J51)</f>
        <v>109.66168745105972</v>
      </c>
      <c r="AU51" s="729">
        <f>AVERAGE(K51:N51)</f>
        <v>108.44403581693024</v>
      </c>
      <c r="AV51" s="729">
        <f>AVERAGE(O51:R51)</f>
        <v>108.22181847281956</v>
      </c>
      <c r="AW51" s="729">
        <f>AVERAGE(S51:V51)</f>
        <v>104.43487781672478</v>
      </c>
      <c r="AX51" s="729">
        <f>AVERAGE(W51:Z51)</f>
        <v>107.54337539279543</v>
      </c>
      <c r="AY51" s="729">
        <f>AVERAGE(AA51:AD51)</f>
        <v>109.50490009203196</v>
      </c>
      <c r="AZ51" s="729">
        <f>AVERAGE(AE51:AH51)</f>
        <v>110.20720481724082</v>
      </c>
      <c r="BA51" s="729">
        <f>AVERAGE(AI51:AL51)</f>
        <v>119.10839646656603</v>
      </c>
      <c r="BB51" s="729">
        <f>AVERAGE(AM51:AP51)</f>
        <v>122.16851018207302</v>
      </c>
    </row>
    <row r="52" spans="2:60">
      <c r="B52" s="754" t="s">
        <v>97</v>
      </c>
      <c r="C52" s="755"/>
      <c r="D52" s="769">
        <f t="shared" ref="D52:J52" si="255">D51/C51-1</f>
        <v>-1.6647332373877388E-2</v>
      </c>
      <c r="E52" s="769">
        <f t="shared" si="255"/>
        <v>1.8191641850245244E-2</v>
      </c>
      <c r="F52" s="770">
        <f t="shared" si="255"/>
        <v>-1.4980870404598834E-2</v>
      </c>
      <c r="G52" s="768">
        <f t="shared" si="255"/>
        <v>0.11611279002625663</v>
      </c>
      <c r="H52" s="769">
        <f t="shared" si="255"/>
        <v>-1.3954883588885858E-3</v>
      </c>
      <c r="I52" s="769">
        <f t="shared" si="255"/>
        <v>1.971603741465966E-2</v>
      </c>
      <c r="J52" s="770">
        <f t="shared" si="255"/>
        <v>-1.1624367166536143E-3</v>
      </c>
      <c r="K52" s="768">
        <f t="shared" ref="K52:AI52" si="256">K51/J51-1</f>
        <v>5.8296062441831609E-4</v>
      </c>
      <c r="L52" s="769">
        <f t="shared" si="256"/>
        <v>-1.0265179896814303E-2</v>
      </c>
      <c r="M52" s="769">
        <f t="shared" si="256"/>
        <v>-3.8916225493790924E-2</v>
      </c>
      <c r="N52" s="770">
        <f t="shared" si="256"/>
        <v>2.9071853888280152E-2</v>
      </c>
      <c r="O52" s="768">
        <f t="shared" si="256"/>
        <v>3.0265384358506786E-2</v>
      </c>
      <c r="P52" s="769">
        <f t="shared" si="256"/>
        <v>-2.0663535828130186E-2</v>
      </c>
      <c r="Q52" s="769">
        <f t="shared" si="256"/>
        <v>-3.1747411437077266E-2</v>
      </c>
      <c r="R52" s="770">
        <f t="shared" si="256"/>
        <v>3.1686988638801594E-3</v>
      </c>
      <c r="S52" s="768">
        <f t="shared" si="256"/>
        <v>1.9685945762803803E-2</v>
      </c>
      <c r="T52" s="769">
        <f t="shared" si="256"/>
        <v>-2.4071678902387705E-2</v>
      </c>
      <c r="U52" s="769">
        <f t="shared" si="256"/>
        <v>-5.4649394488205827E-2</v>
      </c>
      <c r="V52" s="770">
        <f t="shared" si="256"/>
        <v>4.1021221542369757E-2</v>
      </c>
      <c r="W52" s="768">
        <f t="shared" si="256"/>
        <v>2.5867391433813225E-2</v>
      </c>
      <c r="X52" s="769">
        <f t="shared" si="256"/>
        <v>-1.6585193543431354E-3</v>
      </c>
      <c r="Y52" s="769">
        <f t="shared" si="256"/>
        <v>-9.7640956584609251E-3</v>
      </c>
      <c r="Z52" s="770">
        <f t="shared" si="256"/>
        <v>5.8311738380356637E-2</v>
      </c>
      <c r="AA52" s="768">
        <f t="shared" si="256"/>
        <v>-2.1780448927003704E-2</v>
      </c>
      <c r="AB52" s="769">
        <f t="shared" si="256"/>
        <v>-1.0049988325748549E-2</v>
      </c>
      <c r="AC52" s="769">
        <f t="shared" si="256"/>
        <v>-1.1909646544071451E-2</v>
      </c>
      <c r="AD52" s="769">
        <f t="shared" si="256"/>
        <v>6.7842761983160305E-2</v>
      </c>
      <c r="AE52" s="768">
        <f t="shared" si="256"/>
        <v>1.4589628551233691E-3</v>
      </c>
      <c r="AF52" s="769">
        <f t="shared" si="256"/>
        <v>-2.785778435857722E-2</v>
      </c>
      <c r="AG52" s="769">
        <f t="shared" si="256"/>
        <v>-4.1268788077691076E-2</v>
      </c>
      <c r="AH52" s="1297">
        <f t="shared" si="256"/>
        <v>2.6196684308769536E-2</v>
      </c>
      <c r="AI52" s="768">
        <f t="shared" si="256"/>
        <v>7.4883832070030687E-2</v>
      </c>
      <c r="AJ52" s="769">
        <f t="shared" ref="AJ52" si="257">AJ51/AI51-1</f>
        <v>1.9999999999999796E-2</v>
      </c>
      <c r="AK52" s="769">
        <f t="shared" ref="AK52" si="258">AK51/AJ51-1</f>
        <v>0</v>
      </c>
      <c r="AL52" s="770">
        <f t="shared" ref="AL52" si="259">AL51/AK51-1</f>
        <v>-1.4401411060854796E-3</v>
      </c>
      <c r="AM52" s="769">
        <f t="shared" ref="AM52" si="260">AM51/AL51-1</f>
        <v>1.0000000000000231E-2</v>
      </c>
      <c r="AN52" s="769">
        <f t="shared" ref="AN52" si="261">AN51/AM51-1</f>
        <v>0</v>
      </c>
      <c r="AO52" s="769">
        <f t="shared" ref="AO52" si="262">AO51/AN51-1</f>
        <v>1.5885391476130328E-2</v>
      </c>
      <c r="AP52" s="770">
        <f t="shared" ref="AP52" si="263">AP51/AO51-1</f>
        <v>1.4595928284913962E-2</v>
      </c>
      <c r="AQ52" s="760"/>
      <c r="AR52" s="761"/>
      <c r="AS52" s="759"/>
      <c r="AT52" s="759"/>
      <c r="AU52" s="759"/>
      <c r="AV52" s="759"/>
      <c r="AW52" s="759"/>
      <c r="AX52" s="759"/>
      <c r="AY52" s="759"/>
      <c r="AZ52" s="759"/>
      <c r="BA52" s="759"/>
      <c r="BB52" s="759"/>
      <c r="BC52" s="759"/>
      <c r="BD52" s="759"/>
      <c r="BE52" s="759"/>
      <c r="BF52" s="759"/>
      <c r="BG52" s="759"/>
      <c r="BH52" s="759"/>
    </row>
    <row r="53" spans="2:60">
      <c r="B53" s="754" t="s">
        <v>98</v>
      </c>
      <c r="C53" s="755"/>
      <c r="D53" s="769"/>
      <c r="E53" s="769"/>
      <c r="F53" s="770"/>
      <c r="G53" s="768">
        <f>G51/C51-1</f>
        <v>0.10075730859215759</v>
      </c>
      <c r="H53" s="769">
        <f>H51/D51-1</f>
        <v>0.11783010385851433</v>
      </c>
      <c r="I53" s="769">
        <f>I51/E51-1</f>
        <v>0.11950367411980056</v>
      </c>
      <c r="J53" s="770">
        <f>J51/F51-1</f>
        <v>0.13520873691445878</v>
      </c>
      <c r="K53" s="768">
        <f t="shared" ref="K53:AI53" si="264">K51/G51-1</f>
        <v>1.7702269034883367E-2</v>
      </c>
      <c r="L53" s="769">
        <f t="shared" si="264"/>
        <v>8.6629495660057731E-3</v>
      </c>
      <c r="M53" s="769">
        <f t="shared" si="264"/>
        <v>-4.9333776066463719E-2</v>
      </c>
      <c r="N53" s="770">
        <f t="shared" si="264"/>
        <v>-2.0557606707935161E-2</v>
      </c>
      <c r="O53" s="768">
        <f t="shared" si="264"/>
        <v>8.4976793451894128E-3</v>
      </c>
      <c r="P53" s="769">
        <f t="shared" si="264"/>
        <v>-2.097803013048849E-3</v>
      </c>
      <c r="Q53" s="769">
        <f t="shared" si="264"/>
        <v>5.3456431117813175E-3</v>
      </c>
      <c r="R53" s="770">
        <f t="shared" si="264"/>
        <v>-1.9960290529521973E-2</v>
      </c>
      <c r="S53" s="768">
        <f t="shared" si="264"/>
        <v>-3.0023979055900374E-2</v>
      </c>
      <c r="T53" s="769">
        <f t="shared" si="264"/>
        <v>-3.3399547289001852E-2</v>
      </c>
      <c r="U53" s="769">
        <f t="shared" si="264"/>
        <v>-5.6262452533651142E-2</v>
      </c>
      <c r="V53" s="770">
        <f t="shared" si="264"/>
        <v>-2.0652443012351807E-2</v>
      </c>
      <c r="W53" s="768">
        <f t="shared" si="264"/>
        <v>-1.471553298460182E-2</v>
      </c>
      <c r="X53" s="769">
        <f t="shared" si="264"/>
        <v>7.9124997120918472E-3</v>
      </c>
      <c r="Y53" s="769">
        <f t="shared" si="264"/>
        <v>5.5768240725046603E-2</v>
      </c>
      <c r="Z53" s="770">
        <f t="shared" si="264"/>
        <v>7.3303693572225104E-2</v>
      </c>
      <c r="AA53" s="768">
        <f t="shared" si="264"/>
        <v>2.3452608064450819E-2</v>
      </c>
      <c r="AB53" s="769">
        <f t="shared" si="264"/>
        <v>1.4850069783939324E-2</v>
      </c>
      <c r="AC53" s="769">
        <f t="shared" si="264"/>
        <v>1.2651187218239324E-2</v>
      </c>
      <c r="AD53" s="769">
        <f t="shared" si="264"/>
        <v>2.1770997588626884E-2</v>
      </c>
      <c r="AE53" s="768">
        <f t="shared" si="264"/>
        <v>4.6045054403327512E-2</v>
      </c>
      <c r="AF53" s="769">
        <f t="shared" si="264"/>
        <v>2.7228188147162324E-2</v>
      </c>
      <c r="AG53" s="769">
        <f t="shared" si="264"/>
        <v>-3.293856378071891E-3</v>
      </c>
      <c r="AH53" s="1297">
        <f t="shared" si="264"/>
        <v>-4.2165591949639092E-2</v>
      </c>
      <c r="AI53" s="768">
        <f t="shared" si="264"/>
        <v>2.8060816469664518E-2</v>
      </c>
      <c r="AJ53" s="769">
        <f t="shared" ref="AJ53" si="265">AJ51/AF51-1</f>
        <v>7.8671428857940429E-2</v>
      </c>
      <c r="AK53" s="769">
        <f t="shared" ref="AK53" si="266">AK51/AG51-1</f>
        <v>0.12510306897711687</v>
      </c>
      <c r="AL53" s="770">
        <f t="shared" ref="AL53" si="267">AL51/AH51-1</f>
        <v>9.4802564632783692E-2</v>
      </c>
      <c r="AM53" s="769">
        <f t="shared" ref="AM53" si="268">AM51/AI51-1</f>
        <v>2.8716366632510759E-2</v>
      </c>
      <c r="AN53" s="769">
        <f t="shared" ref="AN53" si="269">AN51/AJ51-1</f>
        <v>8.5454574828538465E-3</v>
      </c>
      <c r="AO53" s="769">
        <f t="shared" ref="AO53" si="270">AO51/AK51-1</f>
        <v>2.4566596896441917E-2</v>
      </c>
      <c r="AP53" s="770">
        <f t="shared" ref="AP53" si="271">AP51/AL51-1</f>
        <v>4.1020313613766124E-2</v>
      </c>
      <c r="AQ53" s="760"/>
      <c r="AR53" s="761"/>
      <c r="AS53" s="759"/>
      <c r="AT53" s="756">
        <f t="shared" ref="AT53:BB53" si="272">AT51/AS51-1</f>
        <v>0.11826890073034324</v>
      </c>
      <c r="AU53" s="756">
        <f t="shared" si="272"/>
        <v>-1.1103710534026701E-2</v>
      </c>
      <c r="AV53" s="756">
        <f t="shared" si="272"/>
        <v>-2.049143066621073E-3</v>
      </c>
      <c r="AW53" s="756">
        <f t="shared" si="272"/>
        <v>-3.4992395337044679E-2</v>
      </c>
      <c r="AX53" s="756">
        <f t="shared" si="272"/>
        <v>2.9764937165204675E-2</v>
      </c>
      <c r="AY53" s="756">
        <f t="shared" si="272"/>
        <v>1.8239381943073507E-2</v>
      </c>
      <c r="AZ53" s="756">
        <f t="shared" si="272"/>
        <v>6.4134547825587251E-3</v>
      </c>
      <c r="BA53" s="756">
        <f t="shared" si="272"/>
        <v>8.0767783413854488E-2</v>
      </c>
      <c r="BB53" s="756">
        <f t="shared" si="272"/>
        <v>2.5691838747623263E-2</v>
      </c>
      <c r="BC53" s="759"/>
      <c r="BD53" s="759"/>
      <c r="BE53" s="759"/>
      <c r="BF53" s="759"/>
      <c r="BG53" s="759"/>
      <c r="BH53" s="759"/>
    </row>
    <row r="54" spans="2:60">
      <c r="B54" s="754"/>
      <c r="C54" s="755"/>
      <c r="D54" s="756"/>
      <c r="E54" s="756"/>
      <c r="F54" s="757"/>
      <c r="G54" s="755"/>
      <c r="H54" s="756"/>
      <c r="I54" s="756"/>
      <c r="J54" s="757"/>
      <c r="K54" s="768"/>
      <c r="L54" s="769"/>
      <c r="M54" s="769"/>
      <c r="N54" s="770"/>
      <c r="O54" s="768"/>
      <c r="P54" s="769"/>
      <c r="Q54" s="769"/>
      <c r="R54" s="770"/>
      <c r="S54" s="768"/>
      <c r="T54" s="769"/>
      <c r="U54" s="769"/>
      <c r="V54" s="770"/>
      <c r="W54" s="768"/>
      <c r="X54" s="769"/>
      <c r="Y54" s="769"/>
      <c r="Z54" s="770"/>
      <c r="AA54" s="758"/>
      <c r="AB54" s="756"/>
      <c r="AC54" s="756"/>
      <c r="AD54" s="756"/>
      <c r="AE54" s="758"/>
      <c r="AF54" s="756"/>
      <c r="AG54" s="756"/>
      <c r="AH54" s="1295"/>
      <c r="AI54" s="756"/>
      <c r="AJ54" s="756"/>
      <c r="AK54" s="756"/>
      <c r="AL54" s="757"/>
      <c r="AM54" s="756"/>
      <c r="AN54" s="756"/>
      <c r="AO54" s="756"/>
      <c r="AP54" s="757"/>
      <c r="AQ54" s="760"/>
      <c r="AR54" s="761"/>
      <c r="AS54" s="759"/>
      <c r="AT54" s="759"/>
      <c r="AU54" s="759"/>
      <c r="AV54" s="759"/>
      <c r="AW54" s="759"/>
      <c r="AX54" s="759"/>
      <c r="AY54" s="759"/>
      <c r="AZ54" s="759"/>
      <c r="BA54" s="759"/>
      <c r="BB54" s="759"/>
      <c r="BC54" s="759"/>
      <c r="BD54" s="759"/>
      <c r="BE54" s="759"/>
      <c r="BF54" s="759"/>
      <c r="BG54" s="759"/>
      <c r="BH54" s="759"/>
    </row>
    <row r="55" spans="2:60">
      <c r="B55" s="750" t="s">
        <v>403</v>
      </c>
      <c r="C55" s="751"/>
      <c r="D55" s="752"/>
      <c r="E55" s="752"/>
      <c r="F55" s="753"/>
      <c r="G55" s="751"/>
      <c r="H55" s="752"/>
      <c r="I55" s="752"/>
      <c r="J55" s="753"/>
      <c r="K55" s="751"/>
      <c r="L55" s="752"/>
      <c r="M55" s="752"/>
      <c r="N55" s="753"/>
      <c r="O55" s="751"/>
      <c r="P55" s="752"/>
      <c r="Q55" s="752"/>
      <c r="R55" s="753"/>
      <c r="S55" s="751"/>
      <c r="T55" s="752"/>
      <c r="U55" s="752"/>
      <c r="V55" s="753"/>
      <c r="W55" s="751"/>
      <c r="X55" s="752"/>
      <c r="Y55" s="752"/>
      <c r="Z55" s="753"/>
      <c r="AA55" s="751"/>
      <c r="AB55" s="752"/>
      <c r="AC55" s="752"/>
      <c r="AD55" s="752"/>
      <c r="AE55" s="751"/>
      <c r="AF55" s="752"/>
      <c r="AG55" s="752"/>
      <c r="AH55" s="1293"/>
      <c r="AI55" s="752"/>
      <c r="AJ55" s="752"/>
      <c r="AK55" s="752"/>
      <c r="AL55" s="753"/>
      <c r="AM55" s="752"/>
      <c r="AN55" s="752"/>
      <c r="AO55" s="752"/>
      <c r="AP55" s="753"/>
      <c r="AQ55" s="760"/>
      <c r="AR55" s="761"/>
      <c r="AS55" s="759"/>
      <c r="AT55" s="759"/>
      <c r="AU55" s="759"/>
      <c r="AV55" s="759"/>
      <c r="AW55" s="759"/>
      <c r="AX55" s="759"/>
      <c r="AY55" s="759"/>
      <c r="AZ55" s="759"/>
      <c r="BA55" s="759"/>
      <c r="BB55" s="759"/>
      <c r="BC55" s="759"/>
      <c r="BD55" s="759"/>
      <c r="BE55" s="759"/>
      <c r="BF55" s="759"/>
      <c r="BG55" s="759"/>
      <c r="BH55" s="759"/>
    </row>
    <row r="56" spans="2:60">
      <c r="B56" s="749" t="s">
        <v>305</v>
      </c>
      <c r="C56" s="726">
        <f>C250</f>
        <v>299</v>
      </c>
      <c r="D56" s="727">
        <f>D250</f>
        <v>338</v>
      </c>
      <c r="E56" s="727">
        <f>E250</f>
        <v>317</v>
      </c>
      <c r="F56" s="728">
        <f>F250</f>
        <v>317</v>
      </c>
      <c r="G56" s="726">
        <f>G58*G60/1000</f>
        <v>271.94563927216126</v>
      </c>
      <c r="H56" s="727">
        <f t="shared" ref="H56:AA56" si="273">H58*H60/1000</f>
        <v>263.34955778339139</v>
      </c>
      <c r="I56" s="727">
        <f t="shared" si="273"/>
        <v>211.67490726245603</v>
      </c>
      <c r="J56" s="728">
        <f t="shared" si="273"/>
        <v>120.29582489531653</v>
      </c>
      <c r="K56" s="787">
        <f t="shared" si="273"/>
        <v>168.8129550570888</v>
      </c>
      <c r="L56" s="732">
        <f t="shared" si="273"/>
        <v>163.55252214434543</v>
      </c>
      <c r="M56" s="732">
        <f t="shared" si="273"/>
        <v>116.3547689142799</v>
      </c>
      <c r="N56" s="733">
        <f t="shared" si="273"/>
        <v>81.967195912236008</v>
      </c>
      <c r="O56" s="787">
        <f t="shared" si="273"/>
        <v>71.339727773284594</v>
      </c>
      <c r="P56" s="732">
        <f t="shared" si="273"/>
        <v>60.278749138126116</v>
      </c>
      <c r="Q56" s="732">
        <f t="shared" si="273"/>
        <v>47.947978084890202</v>
      </c>
      <c r="R56" s="733">
        <f t="shared" si="273"/>
        <v>30.065530203230391</v>
      </c>
      <c r="S56" s="787">
        <f t="shared" si="273"/>
        <v>24.277915639108542</v>
      </c>
      <c r="T56" s="732">
        <f t="shared" si="273"/>
        <v>19.604416878580146</v>
      </c>
      <c r="U56" s="732">
        <f t="shared" si="273"/>
        <v>15.830566629453465</v>
      </c>
      <c r="V56" s="733">
        <f t="shared" si="273"/>
        <v>12.783182553283671</v>
      </c>
      <c r="W56" s="787">
        <f t="shared" si="273"/>
        <v>10.322419911776564</v>
      </c>
      <c r="X56" s="732">
        <f t="shared" si="273"/>
        <v>8.3353540787595755</v>
      </c>
      <c r="Y56" s="732">
        <f t="shared" si="273"/>
        <v>6.7307984185983569</v>
      </c>
      <c r="Z56" s="733">
        <f t="shared" si="273"/>
        <v>5.4351197230181727</v>
      </c>
      <c r="AA56" s="787">
        <f t="shared" si="273"/>
        <v>4.3888591763371734</v>
      </c>
      <c r="AB56" s="732">
        <f t="shared" ref="AB56" si="274">AB58*AB60/1000</f>
        <v>3.5440037848922672</v>
      </c>
      <c r="AC56" s="732">
        <f>AC58*AC60/1000</f>
        <v>2.8617830563005056</v>
      </c>
      <c r="AD56" s="732">
        <f>AD58*AD60/1000</f>
        <v>2.9424853384881797</v>
      </c>
      <c r="AE56" s="787">
        <f t="shared" ref="AE56:AF56" si="275">AE58*AE60/1000</f>
        <v>2.3760569108292047</v>
      </c>
      <c r="AF56" s="732">
        <f t="shared" si="275"/>
        <v>1.9186659554945826</v>
      </c>
      <c r="AG56" s="732">
        <f t="shared" ref="AG56:AH56" si="276">AG58*AG60/1000</f>
        <v>1.5493227590618752</v>
      </c>
      <c r="AH56" s="1290">
        <f t="shared" si="276"/>
        <v>1.2510781279424641</v>
      </c>
      <c r="AI56" s="787">
        <v>1</v>
      </c>
      <c r="AJ56" s="732">
        <f t="shared" ref="AJ56:AL56" si="277">AJ58*AJ60/1000</f>
        <v>0.81577331256318353</v>
      </c>
      <c r="AK56" s="732">
        <f t="shared" si="277"/>
        <v>0.65873694989477061</v>
      </c>
      <c r="AL56" s="733">
        <f t="shared" si="277"/>
        <v>0.5319300870400272</v>
      </c>
      <c r="AM56" s="732">
        <f t="shared" ref="AM56:AP56" si="278">AM58*AM60/1000</f>
        <v>0.42953354528482196</v>
      </c>
      <c r="AN56" s="732">
        <f t="shared" si="278"/>
        <v>0.34684833781749363</v>
      </c>
      <c r="AO56" s="732">
        <f t="shared" si="278"/>
        <v>0.28008003278762611</v>
      </c>
      <c r="AP56" s="733">
        <f t="shared" si="278"/>
        <v>0.22616462647600807</v>
      </c>
      <c r="AQ56" s="760"/>
      <c r="AR56" s="761"/>
      <c r="AS56" s="729">
        <f>SUM(C56:F56)</f>
        <v>1271</v>
      </c>
      <c r="AT56" s="729">
        <f>SUM(G56:J56)</f>
        <v>867.26592921332519</v>
      </c>
      <c r="AU56" s="729">
        <f>SUM(K56:N56)</f>
        <v>530.68744202795017</v>
      </c>
      <c r="AV56" s="729">
        <f>SUM(O56:R56)</f>
        <v>209.6319851995313</v>
      </c>
      <c r="AW56" s="729">
        <f>SUM(S56:V56)</f>
        <v>72.496081700425819</v>
      </c>
      <c r="AX56" s="729">
        <f>SUM(W56:Z56)</f>
        <v>30.823692132152669</v>
      </c>
      <c r="AY56" s="729">
        <f>SUM(AA56:AD56)</f>
        <v>13.737131356018125</v>
      </c>
      <c r="AZ56" s="729">
        <f>SUM(AE56:AH56)</f>
        <v>7.0951237533281271</v>
      </c>
      <c r="BA56" s="729">
        <f>SUM(AI56:AL56)</f>
        <v>3.0064403494979812</v>
      </c>
      <c r="BB56" s="729">
        <f>SUM(AM56:AP56)</f>
        <v>1.2826265423659498</v>
      </c>
      <c r="BC56" s="759"/>
      <c r="BD56" s="759"/>
      <c r="BE56" s="759"/>
      <c r="BF56" s="759"/>
      <c r="BG56" s="759"/>
      <c r="BH56" s="759"/>
    </row>
    <row r="57" spans="2:60">
      <c r="B57" s="754" t="s">
        <v>97</v>
      </c>
      <c r="C57" s="771"/>
      <c r="D57" s="769">
        <f>D56/C56-1</f>
        <v>0.13043478260869557</v>
      </c>
      <c r="E57" s="769">
        <f t="shared" ref="E57:AI57" si="279">E56/D56-1</f>
        <v>-6.2130177514792884E-2</v>
      </c>
      <c r="F57" s="770">
        <f t="shared" si="279"/>
        <v>0</v>
      </c>
      <c r="G57" s="771">
        <f t="shared" si="279"/>
        <v>-0.14212732090800861</v>
      </c>
      <c r="H57" s="769">
        <f t="shared" si="279"/>
        <v>-3.1609558115278213E-2</v>
      </c>
      <c r="I57" s="769">
        <f t="shared" si="279"/>
        <v>-0.19622076055824811</v>
      </c>
      <c r="J57" s="770">
        <f t="shared" si="279"/>
        <v>-0.43169539341684204</v>
      </c>
      <c r="K57" s="768">
        <f t="shared" si="279"/>
        <v>0.40331516246713228</v>
      </c>
      <c r="L57" s="769">
        <f t="shared" si="279"/>
        <v>-3.1161310522432428E-2</v>
      </c>
      <c r="M57" s="769">
        <f t="shared" si="279"/>
        <v>-0.28857857164936007</v>
      </c>
      <c r="N57" s="770">
        <f t="shared" si="279"/>
        <v>-0.29554072706188494</v>
      </c>
      <c r="O57" s="768">
        <f t="shared" si="279"/>
        <v>-0.12965513850602461</v>
      </c>
      <c r="P57" s="769">
        <f t="shared" si="279"/>
        <v>-0.155046549523008</v>
      </c>
      <c r="Q57" s="769">
        <f t="shared" si="279"/>
        <v>-0.20456249058819209</v>
      </c>
      <c r="R57" s="770">
        <f t="shared" si="279"/>
        <v>-0.37295520261562576</v>
      </c>
      <c r="S57" s="768">
        <f t="shared" si="279"/>
        <v>-0.1925</v>
      </c>
      <c r="T57" s="769">
        <f t="shared" si="279"/>
        <v>-0.19250000000000012</v>
      </c>
      <c r="U57" s="769">
        <f t="shared" si="279"/>
        <v>-0.19250000000000012</v>
      </c>
      <c r="V57" s="770">
        <f t="shared" si="279"/>
        <v>-0.19250000000000012</v>
      </c>
      <c r="W57" s="768">
        <f t="shared" si="279"/>
        <v>-0.19250000000000012</v>
      </c>
      <c r="X57" s="769">
        <f t="shared" si="279"/>
        <v>-0.1925</v>
      </c>
      <c r="Y57" s="769">
        <f t="shared" si="279"/>
        <v>-0.1925</v>
      </c>
      <c r="Z57" s="770">
        <f t="shared" si="279"/>
        <v>-0.19250000000000012</v>
      </c>
      <c r="AA57" s="768">
        <f t="shared" si="279"/>
        <v>-0.19250000000000023</v>
      </c>
      <c r="AB57" s="769">
        <f t="shared" si="279"/>
        <v>-0.19250000000000012</v>
      </c>
      <c r="AC57" s="769">
        <f t="shared" si="279"/>
        <v>-0.1925</v>
      </c>
      <c r="AD57" s="769">
        <f t="shared" si="279"/>
        <v>2.8200000000000003E-2</v>
      </c>
      <c r="AE57" s="768">
        <f t="shared" si="279"/>
        <v>-0.19250000000000012</v>
      </c>
      <c r="AF57" s="769">
        <f t="shared" si="279"/>
        <v>-0.1925</v>
      </c>
      <c r="AG57" s="769">
        <f t="shared" si="279"/>
        <v>-0.19250000000000012</v>
      </c>
      <c r="AH57" s="1297">
        <f t="shared" si="279"/>
        <v>-0.19250000000000012</v>
      </c>
      <c r="AI57" s="768">
        <f t="shared" si="279"/>
        <v>-0.20068940726778572</v>
      </c>
      <c r="AJ57" s="769">
        <f t="shared" ref="AJ57" si="280">AJ56/AI56-1</f>
        <v>-0.18422668743681647</v>
      </c>
      <c r="AK57" s="769">
        <f t="shared" ref="AK57" si="281">AK56/AJ56-1</f>
        <v>-0.19250000000000012</v>
      </c>
      <c r="AL57" s="770">
        <f t="shared" ref="AL57" si="282">AL56/AK56-1</f>
        <v>-0.19250000000000012</v>
      </c>
      <c r="AM57" s="769">
        <f t="shared" ref="AM57" si="283">AM56/AL56-1</f>
        <v>-0.1925</v>
      </c>
      <c r="AN57" s="769">
        <f t="shared" ref="AN57" si="284">AN56/AM56-1</f>
        <v>-0.19250000000000023</v>
      </c>
      <c r="AO57" s="769">
        <f t="shared" ref="AO57" si="285">AO56/AN56-1</f>
        <v>-0.1925</v>
      </c>
      <c r="AP57" s="770">
        <f t="shared" ref="AP57" si="286">AP56/AO56-1</f>
        <v>-0.1925</v>
      </c>
      <c r="AQ57" s="760"/>
      <c r="AR57" s="761"/>
      <c r="AS57" s="759"/>
      <c r="AT57" s="756">
        <f t="shared" ref="AT57:BB57" si="287">AT56/AS56-1</f>
        <v>-0.31765072445843812</v>
      </c>
      <c r="AU57" s="756">
        <f t="shared" si="287"/>
        <v>-0.38809144444389365</v>
      </c>
      <c r="AV57" s="756">
        <f t="shared" si="287"/>
        <v>-0.60498031685383191</v>
      </c>
      <c r="AW57" s="756">
        <f t="shared" si="287"/>
        <v>-0.65417452097578144</v>
      </c>
      <c r="AX57" s="756">
        <f t="shared" si="287"/>
        <v>-0.57482264683593765</v>
      </c>
      <c r="AY57" s="1176">
        <f t="shared" si="287"/>
        <v>-0.55433206063952634</v>
      </c>
      <c r="AZ57" s="1176">
        <f t="shared" si="287"/>
        <v>-0.4835076138207115</v>
      </c>
      <c r="BA57" s="1176">
        <f t="shared" si="287"/>
        <v>-0.57626667919812635</v>
      </c>
      <c r="BB57" s="1176">
        <f t="shared" si="287"/>
        <v>-0.57337369338456212</v>
      </c>
      <c r="BC57" s="759"/>
      <c r="BD57" s="759"/>
      <c r="BE57" s="759"/>
      <c r="BF57" s="759"/>
      <c r="BG57" s="759"/>
      <c r="BH57" s="759"/>
    </row>
    <row r="58" spans="2:60">
      <c r="B58" s="749" t="s">
        <v>404</v>
      </c>
      <c r="C58" s="788">
        <v>8943.7028102099994</v>
      </c>
      <c r="D58" s="789">
        <v>9618.3089869176001</v>
      </c>
      <c r="E58" s="789">
        <v>9330.4995560000007</v>
      </c>
      <c r="F58" s="790">
        <v>9510.7721280000005</v>
      </c>
      <c r="G58" s="788">
        <v>8325.54241396</v>
      </c>
      <c r="H58" s="789">
        <v>8226.9139767191009</v>
      </c>
      <c r="I58" s="789">
        <v>6747.5741419999986</v>
      </c>
      <c r="J58" s="790">
        <v>3912.9361919999992</v>
      </c>
      <c r="K58" s="788">
        <v>5603.1456000000007</v>
      </c>
      <c r="L58" s="789">
        <v>5539.3308571999996</v>
      </c>
      <c r="M58" s="789">
        <v>4021.2231331999988</v>
      </c>
      <c r="N58" s="790">
        <v>2890.5999231999999</v>
      </c>
      <c r="O58" s="788">
        <v>2567.1620304000003</v>
      </c>
      <c r="P58" s="789">
        <v>2213.4004240000004</v>
      </c>
      <c r="Q58" s="789">
        <v>1796.5527761200001</v>
      </c>
      <c r="R58" s="790">
        <v>1149.5092566250005</v>
      </c>
      <c r="S58" s="787">
        <f>R58*(1+S59)</f>
        <v>977.08286813125039</v>
      </c>
      <c r="T58" s="732">
        <f t="shared" ref="T58:V58" si="288">S58*(1+T59)</f>
        <v>830.52043791156279</v>
      </c>
      <c r="U58" s="732">
        <f t="shared" si="288"/>
        <v>705.94237222482832</v>
      </c>
      <c r="V58" s="733">
        <f t="shared" si="288"/>
        <v>600.0510163911041</v>
      </c>
      <c r="W58" s="787">
        <f>V58*(1+W59)</f>
        <v>510.04336393243847</v>
      </c>
      <c r="X58" s="732">
        <f t="shared" ref="X58:AH58" si="289">W58*(1+X59)</f>
        <v>433.53685934257271</v>
      </c>
      <c r="Y58" s="732">
        <f t="shared" si="289"/>
        <v>368.50633044118678</v>
      </c>
      <c r="Z58" s="733">
        <f t="shared" si="289"/>
        <v>313.23038087500873</v>
      </c>
      <c r="AA58" s="787">
        <f>Z58*(1+AA59)</f>
        <v>266.2458237437574</v>
      </c>
      <c r="AB58" s="732">
        <f t="shared" si="289"/>
        <v>226.30895018219377</v>
      </c>
      <c r="AC58" s="732">
        <f t="shared" si="289"/>
        <v>192.36260765486469</v>
      </c>
      <c r="AD58" s="732">
        <f t="shared" si="289"/>
        <v>186.59172942521874</v>
      </c>
      <c r="AE58" s="787">
        <f>AD58*(1+AE59)</f>
        <v>158.60297001143593</v>
      </c>
      <c r="AF58" s="732">
        <f t="shared" si="289"/>
        <v>134.81252450972053</v>
      </c>
      <c r="AG58" s="732">
        <f t="shared" si="289"/>
        <v>114.59064583326244</v>
      </c>
      <c r="AH58" s="1290">
        <f t="shared" si="289"/>
        <v>97.40204895827307</v>
      </c>
      <c r="AI58" s="787">
        <f>AH58*(1+AI59)</f>
        <v>82.791741614532114</v>
      </c>
      <c r="AJ58" s="732">
        <f t="shared" ref="AJ58" si="290">AI58*(1+AJ59)</f>
        <v>70.372980372352302</v>
      </c>
      <c r="AK58" s="732">
        <f t="shared" ref="AK58" si="291">AJ58*(1+AK59)</f>
        <v>59.817033316499455</v>
      </c>
      <c r="AL58" s="733">
        <f t="shared" ref="AL58" si="292">AK58*(1+AL59)</f>
        <v>50.844478319024532</v>
      </c>
      <c r="AM58" s="732">
        <f t="shared" ref="AM58" si="293">AL58*(1+AM59)</f>
        <v>43.217806571170854</v>
      </c>
      <c r="AN58" s="732">
        <f t="shared" ref="AN58" si="294">AM58*(1+AN59)</f>
        <v>36.735135585495222</v>
      </c>
      <c r="AO58" s="732">
        <f t="shared" ref="AO58" si="295">AN58*(1+AO59)</f>
        <v>31.224865247670937</v>
      </c>
      <c r="AP58" s="733">
        <f t="shared" ref="AP58" si="296">AO58*(1+AP59)</f>
        <v>26.541135460520294</v>
      </c>
      <c r="AQ58" s="760"/>
      <c r="AR58" s="761"/>
      <c r="AS58" s="729">
        <f>SUM(C58:F58)</f>
        <v>37403.283481127597</v>
      </c>
      <c r="AT58" s="729">
        <f>SUM(G58:J58)</f>
        <v>27212.9667246791</v>
      </c>
      <c r="AU58" s="729">
        <f>SUM(K58:N58)</f>
        <v>18054.299513599999</v>
      </c>
      <c r="AV58" s="729">
        <f>SUM(O58:R58)</f>
        <v>7726.6244871450008</v>
      </c>
      <c r="AW58" s="729">
        <f>SUM(S58:V58)</f>
        <v>3113.5966946587455</v>
      </c>
      <c r="AX58" s="729">
        <f>SUM(W58:Z58)</f>
        <v>1625.3169345912065</v>
      </c>
      <c r="AY58" s="1177">
        <f>SUM(AA58:AD58)</f>
        <v>871.50911100603457</v>
      </c>
      <c r="AZ58" s="1177">
        <f>SUM(AE58:AH58)</f>
        <v>505.408189312692</v>
      </c>
      <c r="BA58" s="1177">
        <f>SUM(AI58:AL58)</f>
        <v>263.82623362240838</v>
      </c>
      <c r="BB58" s="1177">
        <f>SUM(AM58:AP58)</f>
        <v>137.7189428648573</v>
      </c>
      <c r="BC58" s="759"/>
      <c r="BD58" s="759"/>
      <c r="BE58" s="759"/>
      <c r="BF58" s="759"/>
      <c r="BG58" s="759"/>
      <c r="BH58" s="759"/>
    </row>
    <row r="59" spans="2:60">
      <c r="B59" s="754" t="s">
        <v>97</v>
      </c>
      <c r="C59" s="771"/>
      <c r="D59" s="769">
        <f>D58/C58-1</f>
        <v>7.5428062741248469E-2</v>
      </c>
      <c r="E59" s="769">
        <f t="shared" ref="E59:R59" si="297">E58/D58-1</f>
        <v>-2.9923080170232152E-2</v>
      </c>
      <c r="F59" s="770">
        <f t="shared" si="297"/>
        <v>1.9320784585866502E-2</v>
      </c>
      <c r="G59" s="771">
        <f t="shared" si="297"/>
        <v>-0.12461971521225379</v>
      </c>
      <c r="H59" s="769">
        <f t="shared" si="297"/>
        <v>-1.1846487872732681E-2</v>
      </c>
      <c r="I59" s="769">
        <f t="shared" si="297"/>
        <v>-0.17981710261045714</v>
      </c>
      <c r="J59" s="770">
        <f t="shared" si="297"/>
        <v>-0.42009734022126732</v>
      </c>
      <c r="K59" s="791">
        <f t="shared" si="297"/>
        <v>0.43195424741544097</v>
      </c>
      <c r="L59" s="792">
        <f t="shared" si="297"/>
        <v>-1.138909236982899E-2</v>
      </c>
      <c r="M59" s="792">
        <f t="shared" si="297"/>
        <v>-0.27405976698914281</v>
      </c>
      <c r="N59" s="793">
        <f t="shared" si="297"/>
        <v>-0.2811640072060051</v>
      </c>
      <c r="O59" s="791">
        <f t="shared" si="297"/>
        <v>-0.11189299847553513</v>
      </c>
      <c r="P59" s="792">
        <f t="shared" si="297"/>
        <v>-0.13780260155408997</v>
      </c>
      <c r="Q59" s="792">
        <f t="shared" si="297"/>
        <v>-0.18832907202876736</v>
      </c>
      <c r="R59" s="793">
        <f t="shared" si="297"/>
        <v>-0.36015837001594464</v>
      </c>
      <c r="S59" s="794">
        <v>-0.15</v>
      </c>
      <c r="T59" s="795">
        <v>-0.15</v>
      </c>
      <c r="U59" s="795">
        <v>-0.15</v>
      </c>
      <c r="V59" s="796">
        <v>-0.15</v>
      </c>
      <c r="W59" s="794">
        <v>-0.15</v>
      </c>
      <c r="X59" s="795">
        <v>-0.15</v>
      </c>
      <c r="Y59" s="795">
        <v>-0.15</v>
      </c>
      <c r="Z59" s="796">
        <v>-0.15</v>
      </c>
      <c r="AA59" s="794">
        <v>-0.15</v>
      </c>
      <c r="AB59" s="795">
        <v>-0.15</v>
      </c>
      <c r="AC59" s="795">
        <v>-0.15</v>
      </c>
      <c r="AD59" s="795">
        <v>-0.03</v>
      </c>
      <c r="AE59" s="794">
        <v>-0.15</v>
      </c>
      <c r="AF59" s="795">
        <v>-0.15</v>
      </c>
      <c r="AG59" s="795">
        <v>-0.15</v>
      </c>
      <c r="AH59" s="1300">
        <v>-0.15</v>
      </c>
      <c r="AI59" s="794">
        <v>-0.15</v>
      </c>
      <c r="AJ59" s="772">
        <v>-0.15</v>
      </c>
      <c r="AK59" s="772">
        <v>-0.15</v>
      </c>
      <c r="AL59" s="773">
        <v>-0.15</v>
      </c>
      <c r="AM59" s="772">
        <v>-0.15</v>
      </c>
      <c r="AN59" s="772">
        <v>-0.15</v>
      </c>
      <c r="AO59" s="772">
        <v>-0.15</v>
      </c>
      <c r="AP59" s="773">
        <v>-0.15</v>
      </c>
      <c r="AQ59" s="760"/>
      <c r="AR59" s="761"/>
      <c r="AS59" s="759"/>
      <c r="AT59" s="756">
        <f t="shared" ref="AT59:BB59" si="298">AT58/AS58-1</f>
        <v>-0.27244444358983022</v>
      </c>
      <c r="AU59" s="756">
        <f t="shared" si="298"/>
        <v>-0.33655526439802752</v>
      </c>
      <c r="AV59" s="756">
        <f t="shared" si="298"/>
        <v>-0.57203410293904422</v>
      </c>
      <c r="AW59" s="756">
        <f t="shared" si="298"/>
        <v>-0.59703015206201338</v>
      </c>
      <c r="AX59" s="756">
        <f t="shared" si="298"/>
        <v>-0.47799375000000011</v>
      </c>
      <c r="AY59" s="1176">
        <f t="shared" si="298"/>
        <v>-0.46379128128309743</v>
      </c>
      <c r="AZ59" s="1176">
        <f t="shared" si="298"/>
        <v>-0.42007698722820075</v>
      </c>
      <c r="BA59" s="1176">
        <f t="shared" si="298"/>
        <v>-0.47799375000000011</v>
      </c>
      <c r="BB59" s="1176">
        <f t="shared" si="298"/>
        <v>-0.47799375000000011</v>
      </c>
      <c r="BC59" s="759"/>
      <c r="BD59" s="759"/>
      <c r="BE59" s="759"/>
      <c r="BF59" s="759"/>
      <c r="BG59" s="759"/>
      <c r="BH59" s="759"/>
    </row>
    <row r="60" spans="2:60">
      <c r="B60" s="749" t="s">
        <v>405</v>
      </c>
      <c r="C60" s="787">
        <f>C56*1000/C58</f>
        <v>33.431343409428365</v>
      </c>
      <c r="D60" s="732">
        <f t="shared" ref="D60:F60" si="299">D56*1000/D58</f>
        <v>35.141312309651596</v>
      </c>
      <c r="E60" s="732">
        <f t="shared" si="299"/>
        <v>33.974601048681514</v>
      </c>
      <c r="F60" s="733">
        <f t="shared" si="299"/>
        <v>33.330627180809266</v>
      </c>
      <c r="G60" s="787">
        <f>F60*(1+G61)</f>
        <v>32.664014637193077</v>
      </c>
      <c r="H60" s="732">
        <f t="shared" ref="H60:AI60" si="300">G60*(1+H61)</f>
        <v>32.010734344449212</v>
      </c>
      <c r="I60" s="732">
        <f t="shared" si="300"/>
        <v>31.370519657560227</v>
      </c>
      <c r="J60" s="733">
        <f t="shared" si="300"/>
        <v>30.743109264409021</v>
      </c>
      <c r="K60" s="787">
        <f t="shared" si="300"/>
        <v>30.12824707912084</v>
      </c>
      <c r="L60" s="732">
        <f t="shared" si="300"/>
        <v>29.525682137538421</v>
      </c>
      <c r="M60" s="732">
        <f t="shared" si="300"/>
        <v>28.935168494787654</v>
      </c>
      <c r="N60" s="733">
        <f t="shared" si="300"/>
        <v>28.356465124891901</v>
      </c>
      <c r="O60" s="787">
        <f t="shared" si="300"/>
        <v>27.789335822394062</v>
      </c>
      <c r="P60" s="732">
        <f t="shared" si="300"/>
        <v>27.233549105946182</v>
      </c>
      <c r="Q60" s="732">
        <f t="shared" si="300"/>
        <v>26.688878123827259</v>
      </c>
      <c r="R60" s="733">
        <f t="shared" si="300"/>
        <v>26.155100561350714</v>
      </c>
      <c r="S60" s="787">
        <f t="shared" si="300"/>
        <v>24.847345533283178</v>
      </c>
      <c r="T60" s="732">
        <f t="shared" si="300"/>
        <v>23.604978256619017</v>
      </c>
      <c r="U60" s="732">
        <f t="shared" si="300"/>
        <v>22.424729343788066</v>
      </c>
      <c r="V60" s="733">
        <f t="shared" si="300"/>
        <v>21.303492876598661</v>
      </c>
      <c r="W60" s="787">
        <f t="shared" si="300"/>
        <v>20.238318232768727</v>
      </c>
      <c r="X60" s="732">
        <f t="shared" si="300"/>
        <v>19.226402321130291</v>
      </c>
      <c r="Y60" s="732">
        <f t="shared" si="300"/>
        <v>18.265082205073774</v>
      </c>
      <c r="Z60" s="733">
        <f t="shared" si="300"/>
        <v>17.351828094820085</v>
      </c>
      <c r="AA60" s="787">
        <f t="shared" si="300"/>
        <v>16.484236690079079</v>
      </c>
      <c r="AB60" s="732">
        <f t="shared" si="300"/>
        <v>15.660024855575125</v>
      </c>
      <c r="AC60" s="732">
        <f t="shared" si="300"/>
        <v>14.877023612796368</v>
      </c>
      <c r="AD60" s="732">
        <f t="shared" si="300"/>
        <v>15.769645029564151</v>
      </c>
      <c r="AE60" s="787">
        <f t="shared" si="300"/>
        <v>14.981162778085942</v>
      </c>
      <c r="AF60" s="732">
        <f t="shared" si="300"/>
        <v>14.232104639181644</v>
      </c>
      <c r="AG60" s="732">
        <f t="shared" si="300"/>
        <v>13.520499407222561</v>
      </c>
      <c r="AH60" s="1290">
        <f t="shared" si="300"/>
        <v>12.844474436861432</v>
      </c>
      <c r="AI60" s="787">
        <f t="shared" si="300"/>
        <v>12.20225071501836</v>
      </c>
      <c r="AJ60" s="732">
        <f t="shared" ref="AJ60" si="301">AI60*(1+AJ61)</f>
        <v>11.592138179267442</v>
      </c>
      <c r="AK60" s="732">
        <f t="shared" ref="AK60" si="302">AJ60*(1+AK61)</f>
        <v>11.01253127030407</v>
      </c>
      <c r="AL60" s="733">
        <f t="shared" ref="AL60" si="303">AK60*(1+AL61)</f>
        <v>10.461904706788866</v>
      </c>
      <c r="AM60" s="732">
        <f t="shared" ref="AM60" si="304">AL60*(1+AM61)</f>
        <v>9.9388094714494226</v>
      </c>
      <c r="AN60" s="732">
        <f t="shared" ref="AN60" si="305">AM60*(1+AN61)</f>
        <v>9.4418689978769503</v>
      </c>
      <c r="AO60" s="732">
        <f t="shared" ref="AO60" si="306">AN60*(1+AO61)</f>
        <v>8.9697755479831027</v>
      </c>
      <c r="AP60" s="733">
        <f t="shared" ref="AP60" si="307">AO60*(1+AP61)</f>
        <v>8.5212867705839468</v>
      </c>
      <c r="AQ60" s="760"/>
      <c r="AR60" s="761"/>
      <c r="AS60" s="729">
        <f>AVERAGE(C60:F60)</f>
        <v>33.969470987142685</v>
      </c>
      <c r="AT60" s="729">
        <f>AVERAGE(G60:J60)</f>
        <v>31.697094475902887</v>
      </c>
      <c r="AU60" s="729">
        <f>AVERAGE(K60:N60)</f>
        <v>29.236390709084706</v>
      </c>
      <c r="AV60" s="729">
        <f>AVERAGE(O60:R60)</f>
        <v>26.966715903379551</v>
      </c>
      <c r="AW60" s="729">
        <f>AVERAGE(S60:V60)</f>
        <v>23.045136502572227</v>
      </c>
      <c r="AX60" s="729">
        <f>AVERAGE(W60:Z60)</f>
        <v>18.770407713448218</v>
      </c>
      <c r="AY60" s="1177">
        <f>AVERAGE(AA60:AD60)</f>
        <v>15.69773254700368</v>
      </c>
      <c r="AZ60" s="1177">
        <f>AVERAGE(AE60:AH60)</f>
        <v>13.894560315337895</v>
      </c>
      <c r="BA60" s="1177">
        <f>AVERAGE(AI60:AL60)</f>
        <v>11.317206217844683</v>
      </c>
      <c r="BB60" s="1177">
        <f>AVERAGE(AM60:AP60)</f>
        <v>9.2179351969733556</v>
      </c>
      <c r="BC60" s="759"/>
      <c r="BD60" s="759"/>
      <c r="BE60" s="759"/>
      <c r="BF60" s="759"/>
      <c r="BG60" s="759"/>
      <c r="BH60" s="759"/>
    </row>
    <row r="61" spans="2:60">
      <c r="B61" s="754" t="s">
        <v>97</v>
      </c>
      <c r="C61" s="771"/>
      <c r="D61" s="769">
        <f>D60/C60-1</f>
        <v>5.1148674442468955E-2</v>
      </c>
      <c r="E61" s="769">
        <f t="shared" ref="E61:F61" si="308">E60/D60-1</f>
        <v>-3.3200560374338828E-2</v>
      </c>
      <c r="F61" s="770">
        <f t="shared" si="308"/>
        <v>-1.895456747084423E-2</v>
      </c>
      <c r="G61" s="780">
        <v>-0.02</v>
      </c>
      <c r="H61" s="778">
        <v>-0.02</v>
      </c>
      <c r="I61" s="778">
        <v>-0.02</v>
      </c>
      <c r="J61" s="779">
        <v>-0.02</v>
      </c>
      <c r="K61" s="780">
        <v>-0.02</v>
      </c>
      <c r="L61" s="778">
        <v>-0.02</v>
      </c>
      <c r="M61" s="778">
        <v>-0.02</v>
      </c>
      <c r="N61" s="779">
        <v>-0.02</v>
      </c>
      <c r="O61" s="780">
        <v>-0.02</v>
      </c>
      <c r="P61" s="778">
        <v>-0.02</v>
      </c>
      <c r="Q61" s="778">
        <v>-0.02</v>
      </c>
      <c r="R61" s="779">
        <v>-0.02</v>
      </c>
      <c r="S61" s="780">
        <v>-0.05</v>
      </c>
      <c r="T61" s="778">
        <v>-0.05</v>
      </c>
      <c r="U61" s="778">
        <v>-0.05</v>
      </c>
      <c r="V61" s="779">
        <v>-0.05</v>
      </c>
      <c r="W61" s="780">
        <v>-0.05</v>
      </c>
      <c r="X61" s="778">
        <v>-0.05</v>
      </c>
      <c r="Y61" s="778">
        <v>-0.05</v>
      </c>
      <c r="Z61" s="779">
        <v>-0.05</v>
      </c>
      <c r="AA61" s="780">
        <v>-0.05</v>
      </c>
      <c r="AB61" s="778">
        <v>-0.05</v>
      </c>
      <c r="AC61" s="778">
        <v>-0.05</v>
      </c>
      <c r="AD61" s="778">
        <v>0.06</v>
      </c>
      <c r="AE61" s="780">
        <v>-0.05</v>
      </c>
      <c r="AF61" s="778">
        <v>-0.05</v>
      </c>
      <c r="AG61" s="778">
        <v>-0.05</v>
      </c>
      <c r="AH61" s="1298">
        <v>-0.05</v>
      </c>
      <c r="AI61" s="780">
        <v>-0.05</v>
      </c>
      <c r="AJ61" s="772">
        <v>-0.05</v>
      </c>
      <c r="AK61" s="772">
        <v>-0.05</v>
      </c>
      <c r="AL61" s="773">
        <v>-0.05</v>
      </c>
      <c r="AM61" s="772">
        <v>-0.05</v>
      </c>
      <c r="AN61" s="772">
        <v>-0.05</v>
      </c>
      <c r="AO61" s="772">
        <v>-0.05</v>
      </c>
      <c r="AP61" s="773">
        <v>-0.05</v>
      </c>
      <c r="AQ61" s="760"/>
      <c r="AR61" s="761"/>
      <c r="AS61" s="759"/>
      <c r="AT61" s="756">
        <f t="shared" ref="AT61:BB61" si="309">AT60/AS60-1</f>
        <v>-6.689466880717343E-2</v>
      </c>
      <c r="AU61" s="756">
        <f t="shared" si="309"/>
        <v>-7.7631840000000119E-2</v>
      </c>
      <c r="AV61" s="756">
        <f t="shared" si="309"/>
        <v>-7.7631840000000119E-2</v>
      </c>
      <c r="AW61" s="756">
        <f t="shared" si="309"/>
        <v>-0.14542295082790779</v>
      </c>
      <c r="AX61" s="756">
        <f t="shared" si="309"/>
        <v>-0.18549375000000001</v>
      </c>
      <c r="AY61" s="1176">
        <f t="shared" si="309"/>
        <v>-0.16369783828633055</v>
      </c>
      <c r="AZ61" s="1176">
        <f t="shared" si="309"/>
        <v>-0.11486832421603255</v>
      </c>
      <c r="BA61" s="1176">
        <f t="shared" si="309"/>
        <v>-0.18549375000000023</v>
      </c>
      <c r="BB61" s="1176">
        <f t="shared" si="309"/>
        <v>-0.18549375000000001</v>
      </c>
      <c r="BC61" s="759"/>
      <c r="BD61" s="759"/>
      <c r="BE61" s="759"/>
      <c r="BF61" s="759"/>
      <c r="BG61" s="759"/>
      <c r="BH61" s="759"/>
    </row>
    <row r="62" spans="2:60" s="717" customFormat="1">
      <c r="B62" s="719"/>
      <c r="C62" s="720"/>
      <c r="D62" s="721"/>
      <c r="E62" s="721"/>
      <c r="F62" s="722"/>
      <c r="G62" s="720"/>
      <c r="H62" s="721"/>
      <c r="I62" s="721"/>
      <c r="J62" s="722"/>
      <c r="K62" s="720"/>
      <c r="L62" s="721"/>
      <c r="M62" s="721"/>
      <c r="N62" s="722"/>
      <c r="O62" s="720"/>
      <c r="P62" s="721"/>
      <c r="Q62" s="721"/>
      <c r="R62" s="722"/>
      <c r="S62" s="720"/>
      <c r="T62" s="721"/>
      <c r="U62" s="721"/>
      <c r="V62" s="722"/>
      <c r="W62" s="720"/>
      <c r="X62" s="721"/>
      <c r="Y62" s="721"/>
      <c r="Z62" s="722"/>
      <c r="AA62" s="720"/>
      <c r="AB62" s="721"/>
      <c r="AC62" s="721"/>
      <c r="AD62" s="721"/>
      <c r="AE62" s="720"/>
      <c r="AF62" s="721"/>
      <c r="AG62" s="721"/>
      <c r="AH62" s="1296"/>
      <c r="AI62" s="720"/>
      <c r="AJ62" s="721"/>
      <c r="AK62" s="721"/>
      <c r="AL62" s="722"/>
      <c r="AM62" s="721"/>
      <c r="AN62" s="721"/>
      <c r="AO62" s="721"/>
      <c r="AP62" s="722"/>
      <c r="AQ62" s="718"/>
      <c r="AS62" s="723"/>
      <c r="AT62" s="723"/>
      <c r="AU62" s="723"/>
      <c r="AV62" s="723"/>
      <c r="AW62" s="723"/>
      <c r="AX62" s="723"/>
      <c r="AY62" s="1175"/>
      <c r="AZ62" s="1175"/>
      <c r="BA62" s="1175"/>
      <c r="BB62" s="1175"/>
    </row>
    <row r="63" spans="2:60" s="717" customFormat="1">
      <c r="B63" s="749" t="s">
        <v>406</v>
      </c>
      <c r="C63" s="797">
        <v>-12.802122524854894</v>
      </c>
      <c r="D63" s="789">
        <v>-61.854549396975926</v>
      </c>
      <c r="E63" s="789">
        <v>-57.36788002369758</v>
      </c>
      <c r="F63" s="790">
        <v>68.20048895436048</v>
      </c>
      <c r="G63" s="797">
        <v>-22.585519524813208</v>
      </c>
      <c r="H63" s="789">
        <v>-15.231310809325805</v>
      </c>
      <c r="I63" s="789">
        <v>0.21353559667295485</v>
      </c>
      <c r="J63" s="790">
        <v>153.81495892523708</v>
      </c>
      <c r="K63" s="797">
        <v>0.1133467864474369</v>
      </c>
      <c r="L63" s="789">
        <v>17.176636399412018</v>
      </c>
      <c r="M63" s="789">
        <v>88.389296512938017</v>
      </c>
      <c r="N63" s="790">
        <v>-123.07024843057661</v>
      </c>
      <c r="O63" s="797">
        <v>79.316065544467165</v>
      </c>
      <c r="P63" s="789">
        <v>-18.925048240132128</v>
      </c>
      <c r="Q63" s="789">
        <v>176.4179885987578</v>
      </c>
      <c r="R63" s="790">
        <v>-78.711117304561412</v>
      </c>
      <c r="S63" s="797">
        <v>117.1716800197164</v>
      </c>
      <c r="T63" s="789">
        <v>81.534937532522235</v>
      </c>
      <c r="U63" s="789">
        <v>217.57188156182019</v>
      </c>
      <c r="V63" s="790">
        <v>-153.48222658200939</v>
      </c>
      <c r="W63" s="797">
        <v>20</v>
      </c>
      <c r="X63" s="789">
        <v>100</v>
      </c>
      <c r="Y63" s="789">
        <v>334.38096424879802</v>
      </c>
      <c r="Z63" s="790">
        <v>-70</v>
      </c>
      <c r="AA63" s="797">
        <v>146.91452042283299</v>
      </c>
      <c r="AB63" s="789">
        <v>193.98215331450047</v>
      </c>
      <c r="AC63" s="789">
        <v>287</v>
      </c>
      <c r="AD63" s="789">
        <v>140</v>
      </c>
      <c r="AE63" s="797">
        <v>267.16937498527102</v>
      </c>
      <c r="AF63" s="789">
        <v>168.40277159086901</v>
      </c>
      <c r="AG63" s="789">
        <v>315.362170063598</v>
      </c>
      <c r="AH63" s="1301">
        <v>217</v>
      </c>
      <c r="AI63" s="797">
        <v>233</v>
      </c>
      <c r="AJ63" s="798">
        <v>50</v>
      </c>
      <c r="AK63" s="798">
        <v>50</v>
      </c>
      <c r="AL63" s="799">
        <v>50</v>
      </c>
      <c r="AM63" s="798">
        <v>50</v>
      </c>
      <c r="AN63" s="798">
        <v>50</v>
      </c>
      <c r="AO63" s="798">
        <v>50</v>
      </c>
      <c r="AP63" s="799">
        <v>50</v>
      </c>
      <c r="AQ63" s="718"/>
      <c r="AS63" s="729">
        <f>SUM(C63:F63)</f>
        <v>-63.824062991167921</v>
      </c>
      <c r="AT63" s="729">
        <f>SUM(G63:J63)</f>
        <v>116.21166418777102</v>
      </c>
      <c r="AU63" s="729">
        <f>SUM(K63:N63)</f>
        <v>-17.390968731779139</v>
      </c>
      <c r="AV63" s="729">
        <f>SUM(O63:R63)</f>
        <v>158.09788859853143</v>
      </c>
      <c r="AW63" s="729">
        <f>SUM(S63:V63)</f>
        <v>262.79627253204944</v>
      </c>
      <c r="AX63" s="729">
        <f>SUM(W63:Z63)</f>
        <v>384.38096424879802</v>
      </c>
      <c r="AY63" s="1177">
        <f>SUM(AA63:AD63)</f>
        <v>767.89667373733346</v>
      </c>
      <c r="AZ63" s="1177">
        <f>SUM(AE63:AH63)</f>
        <v>967.93431663973797</v>
      </c>
      <c r="BA63" s="1177">
        <f>SUM(AI63:AL63)</f>
        <v>383</v>
      </c>
      <c r="BB63" s="1177">
        <f>SUM(AM63:AP63)</f>
        <v>200</v>
      </c>
    </row>
    <row r="64" spans="2:60" s="717" customFormat="1">
      <c r="B64" s="749" t="s">
        <v>407</v>
      </c>
      <c r="C64" s="800">
        <f>C249</f>
        <v>1761</v>
      </c>
      <c r="D64" s="801">
        <f t="shared" ref="D64:J64" si="310">D249</f>
        <v>1684</v>
      </c>
      <c r="E64" s="801">
        <f t="shared" si="310"/>
        <v>1750</v>
      </c>
      <c r="F64" s="802">
        <f t="shared" si="310"/>
        <v>1682</v>
      </c>
      <c r="G64" s="800">
        <f t="shared" si="310"/>
        <v>1798</v>
      </c>
      <c r="H64" s="801">
        <f t="shared" si="310"/>
        <v>1788</v>
      </c>
      <c r="I64" s="801">
        <f t="shared" si="310"/>
        <v>1896</v>
      </c>
      <c r="J64" s="802">
        <f t="shared" si="310"/>
        <v>0</v>
      </c>
      <c r="K64" s="726"/>
      <c r="L64" s="727"/>
      <c r="M64" s="727"/>
      <c r="N64" s="728"/>
      <c r="O64" s="726"/>
      <c r="P64" s="727"/>
      <c r="Q64" s="727"/>
      <c r="R64" s="728"/>
      <c r="S64" s="726"/>
      <c r="T64" s="727"/>
      <c r="U64" s="727"/>
      <c r="V64" s="728"/>
      <c r="W64" s="726"/>
      <c r="X64" s="727"/>
      <c r="Y64" s="727"/>
      <c r="Z64" s="728"/>
      <c r="AA64" s="720"/>
      <c r="AB64" s="803"/>
      <c r="AC64" s="803"/>
      <c r="AD64" s="803"/>
      <c r="AE64" s="720"/>
      <c r="AF64" s="803"/>
      <c r="AG64" s="721"/>
      <c r="AH64" s="1296"/>
      <c r="AI64" s="721"/>
      <c r="AJ64" s="803"/>
      <c r="AK64" s="721"/>
      <c r="AL64" s="722"/>
      <c r="AM64" s="721"/>
      <c r="AN64" s="803"/>
      <c r="AO64" s="721"/>
      <c r="AP64" s="722"/>
      <c r="AQ64" s="718"/>
      <c r="AS64" s="723"/>
      <c r="AT64" s="723"/>
      <c r="AU64" s="723"/>
      <c r="AV64" s="723"/>
      <c r="AW64" s="723"/>
      <c r="AX64" s="723"/>
      <c r="AY64" s="1175"/>
      <c r="AZ64" s="1175"/>
      <c r="BA64" s="1175"/>
      <c r="BB64" s="1175"/>
    </row>
    <row r="65" spans="2:54" s="717" customFormat="1">
      <c r="B65" s="749" t="s">
        <v>408</v>
      </c>
      <c r="C65" s="726"/>
      <c r="D65" s="727"/>
      <c r="E65" s="727"/>
      <c r="F65" s="728"/>
      <c r="G65" s="726"/>
      <c r="H65" s="727"/>
      <c r="I65" s="727"/>
      <c r="J65" s="728"/>
      <c r="K65" s="726"/>
      <c r="L65" s="727"/>
      <c r="M65" s="727"/>
      <c r="N65" s="728"/>
      <c r="O65" s="726"/>
      <c r="P65" s="727"/>
      <c r="Q65" s="727"/>
      <c r="R65" s="728"/>
      <c r="S65" s="726"/>
      <c r="T65" s="727"/>
      <c r="U65" s="727"/>
      <c r="V65" s="728"/>
      <c r="W65" s="726"/>
      <c r="X65" s="727"/>
      <c r="Y65" s="727"/>
      <c r="Z65" s="728"/>
      <c r="AA65" s="720"/>
      <c r="AB65" s="804"/>
      <c r="AC65" s="804"/>
      <c r="AD65" s="804"/>
      <c r="AE65" s="720"/>
      <c r="AF65" s="804"/>
      <c r="AG65" s="804"/>
      <c r="AH65" s="1302"/>
      <c r="AI65" s="804"/>
      <c r="AJ65" s="804"/>
      <c r="AK65" s="804"/>
      <c r="AL65" s="805"/>
      <c r="AM65" s="804"/>
      <c r="AN65" s="804"/>
      <c r="AO65" s="804"/>
      <c r="AP65" s="805"/>
      <c r="AQ65" s="718"/>
      <c r="AS65" s="723"/>
      <c r="AT65" s="723"/>
      <c r="AU65" s="723"/>
      <c r="AV65" s="723"/>
      <c r="AW65" s="723"/>
      <c r="AX65" s="723"/>
      <c r="AY65" s="723"/>
      <c r="AZ65" s="723"/>
      <c r="BA65" s="723"/>
      <c r="BB65" s="723"/>
    </row>
    <row r="66" spans="2:54" s="717" customFormat="1">
      <c r="B66" s="749" t="s">
        <v>409</v>
      </c>
      <c r="C66" s="726">
        <f>C19+C31+C56+C63</f>
        <v>7674</v>
      </c>
      <c r="D66" s="727">
        <f t="shared" ref="D66:F66" si="311">D19+D31+D56+D63</f>
        <v>7839</v>
      </c>
      <c r="E66" s="727">
        <f t="shared" si="311"/>
        <v>8055</v>
      </c>
      <c r="F66" s="728">
        <f t="shared" si="311"/>
        <v>8030</v>
      </c>
      <c r="G66" s="726">
        <f>G19+G31+G63</f>
        <v>8621</v>
      </c>
      <c r="H66" s="727">
        <f t="shared" ref="H66:AI66" si="312">H19+H31+H63</f>
        <v>8321</v>
      </c>
      <c r="I66" s="727">
        <f t="shared" si="312"/>
        <v>9417</v>
      </c>
      <c r="J66" s="728">
        <f t="shared" si="312"/>
        <v>9047</v>
      </c>
      <c r="K66" s="726">
        <f t="shared" si="312"/>
        <v>8451</v>
      </c>
      <c r="L66" s="727">
        <f t="shared" si="312"/>
        <v>8684</v>
      </c>
      <c r="M66" s="727">
        <f t="shared" si="312"/>
        <v>8633</v>
      </c>
      <c r="N66" s="728">
        <f t="shared" si="312"/>
        <v>8506</v>
      </c>
      <c r="O66" s="726">
        <f t="shared" si="312"/>
        <v>8054</v>
      </c>
      <c r="P66" s="727">
        <f t="shared" si="312"/>
        <v>8160</v>
      </c>
      <c r="Q66" s="727">
        <f t="shared" si="312"/>
        <v>8440</v>
      </c>
      <c r="R66" s="728">
        <f t="shared" si="312"/>
        <v>8616</v>
      </c>
      <c r="S66" s="726">
        <f t="shared" si="312"/>
        <v>7941</v>
      </c>
      <c r="T66" s="727">
        <f t="shared" si="312"/>
        <v>8667</v>
      </c>
      <c r="U66" s="727">
        <f t="shared" si="312"/>
        <v>9190</v>
      </c>
      <c r="V66" s="728">
        <f t="shared" si="312"/>
        <v>8871</v>
      </c>
      <c r="W66" s="726">
        <f t="shared" si="312"/>
        <v>7340.9773816578509</v>
      </c>
      <c r="X66" s="727">
        <f t="shared" si="312"/>
        <v>7420.6867754817449</v>
      </c>
      <c r="Y66" s="727">
        <f t="shared" si="312"/>
        <v>8446.3793867858421</v>
      </c>
      <c r="Z66" s="728">
        <f t="shared" si="312"/>
        <v>8685.2479199509889</v>
      </c>
      <c r="AA66" s="726">
        <f t="shared" ref="AA66:AF66" si="313">AA19+AA31+AA63</f>
        <v>7433.7199999999993</v>
      </c>
      <c r="AB66" s="727">
        <f t="shared" si="313"/>
        <v>7197.1</v>
      </c>
      <c r="AC66" s="727">
        <f t="shared" si="313"/>
        <v>8532.2722552830182</v>
      </c>
      <c r="AD66" s="727">
        <f t="shared" si="313"/>
        <v>8769.2115994318447</v>
      </c>
      <c r="AE66" s="1151">
        <f t="shared" si="313"/>
        <v>7740.7199167780018</v>
      </c>
      <c r="AF66" s="1277">
        <f t="shared" si="313"/>
        <v>7976.6138344471001</v>
      </c>
      <c r="AG66" s="1277">
        <f t="shared" si="312"/>
        <v>8420.2596331512468</v>
      </c>
      <c r="AH66" s="1152">
        <f t="shared" si="312"/>
        <v>8588.958424775692</v>
      </c>
      <c r="AI66" s="1151">
        <f t="shared" si="312"/>
        <v>7954.6934183157427</v>
      </c>
      <c r="AJ66" s="727">
        <f t="shared" ref="AJ66:AL66" si="314">AJ19+AJ31+AJ63</f>
        <v>8083.6498324156992</v>
      </c>
      <c r="AK66" s="727">
        <f t="shared" si="314"/>
        <v>8485.3323240364844</v>
      </c>
      <c r="AL66" s="728">
        <f t="shared" si="314"/>
        <v>8474.6969038612733</v>
      </c>
      <c r="AM66" s="727">
        <f t="shared" ref="AM66:AP66" si="315">AM19+AM31+AM63</f>
        <v>7452.7811694229013</v>
      </c>
      <c r="AN66" s="727">
        <f t="shared" si="315"/>
        <v>7600.8367928113603</v>
      </c>
      <c r="AO66" s="727">
        <f t="shared" si="315"/>
        <v>8233.136241618613</v>
      </c>
      <c r="AP66" s="728">
        <f t="shared" si="315"/>
        <v>8246.7353055439671</v>
      </c>
      <c r="AQ66" s="718"/>
      <c r="AS66" s="729">
        <f>SUM(C66:F66)</f>
        <v>31598</v>
      </c>
      <c r="AT66" s="729">
        <f>SUM(G66:J66)</f>
        <v>35406</v>
      </c>
      <c r="AU66" s="729">
        <f>SUM(K66:N66)</f>
        <v>34274</v>
      </c>
      <c r="AV66" s="729">
        <f>SUM(O66:R66)</f>
        <v>33270</v>
      </c>
      <c r="AW66" s="729">
        <f>SUM(S66:V66)</f>
        <v>34669</v>
      </c>
      <c r="AX66" s="729">
        <f>SUM(W66:Z66)</f>
        <v>31893.291463876427</v>
      </c>
      <c r="AY66" s="729">
        <f>SUM(AA66:AD66)</f>
        <v>31932.303854714861</v>
      </c>
      <c r="AZ66" s="729">
        <f>SUM(AE66:AH66)</f>
        <v>32726.551809152043</v>
      </c>
      <c r="BA66" s="729">
        <f>SUM(AI66:AL66)</f>
        <v>32998.3724786292</v>
      </c>
      <c r="BB66" s="729">
        <f>SUM(AM66:AP66)</f>
        <v>31533.489509396841</v>
      </c>
    </row>
    <row r="67" spans="2:54" s="745" customFormat="1">
      <c r="B67" s="741" t="s">
        <v>410</v>
      </c>
      <c r="C67" s="742">
        <f>C247</f>
        <v>7674</v>
      </c>
      <c r="D67" s="743">
        <f t="shared" ref="D67:E67" si="316">D247</f>
        <v>7839</v>
      </c>
      <c r="E67" s="743">
        <f t="shared" si="316"/>
        <v>8055</v>
      </c>
      <c r="F67" s="744">
        <f>F247</f>
        <v>8030</v>
      </c>
      <c r="G67" s="742">
        <f t="shared" ref="G67:J67" si="317">G247</f>
        <v>8621</v>
      </c>
      <c r="H67" s="743">
        <f t="shared" si="317"/>
        <v>8321</v>
      </c>
      <c r="I67" s="743">
        <f t="shared" si="317"/>
        <v>9417</v>
      </c>
      <c r="J67" s="744">
        <f t="shared" si="317"/>
        <v>9047</v>
      </c>
      <c r="K67" s="742">
        <f>K247</f>
        <v>8451</v>
      </c>
      <c r="L67" s="743">
        <f t="shared" ref="L67:N67" si="318">L247</f>
        <v>8684</v>
      </c>
      <c r="M67" s="743">
        <f t="shared" si="318"/>
        <v>8633</v>
      </c>
      <c r="N67" s="744">
        <f t="shared" si="318"/>
        <v>8506</v>
      </c>
      <c r="O67" s="742">
        <f>O259</f>
        <v>8054</v>
      </c>
      <c r="P67" s="743">
        <f t="shared" ref="P67:V67" si="319">P259</f>
        <v>8160</v>
      </c>
      <c r="Q67" s="743">
        <f t="shared" si="319"/>
        <v>8440</v>
      </c>
      <c r="R67" s="744">
        <f t="shared" si="319"/>
        <v>8616</v>
      </c>
      <c r="S67" s="742">
        <f t="shared" si="319"/>
        <v>7941</v>
      </c>
      <c r="T67" s="743">
        <f t="shared" si="319"/>
        <v>8667</v>
      </c>
      <c r="U67" s="743">
        <f t="shared" si="319"/>
        <v>9190</v>
      </c>
      <c r="V67" s="744">
        <f t="shared" si="319"/>
        <v>8871</v>
      </c>
      <c r="W67" s="806"/>
      <c r="X67" s="807"/>
      <c r="Y67" s="807"/>
      <c r="Z67" s="808"/>
      <c r="AA67" s="806"/>
      <c r="AB67" s="807"/>
      <c r="AC67" s="807"/>
      <c r="AD67" s="807"/>
      <c r="AE67" s="806"/>
      <c r="AF67" s="807"/>
      <c r="AG67" s="807"/>
      <c r="AH67" s="808"/>
      <c r="AI67" s="807"/>
      <c r="AJ67" s="807"/>
      <c r="AK67" s="807"/>
      <c r="AL67" s="808"/>
      <c r="AM67" s="807"/>
      <c r="AN67" s="807"/>
      <c r="AO67" s="807"/>
      <c r="AP67" s="808"/>
      <c r="AQ67" s="746"/>
      <c r="AS67" s="748"/>
      <c r="AT67" s="748"/>
      <c r="AU67" s="748"/>
      <c r="AV67" s="748"/>
      <c r="AW67" s="748"/>
      <c r="AX67" s="748"/>
      <c r="AY67" s="748"/>
      <c r="AZ67" s="748"/>
      <c r="BA67" s="748"/>
      <c r="BB67" s="748"/>
    </row>
    <row r="68" spans="2:54" s="717" customFormat="1">
      <c r="B68" s="749" t="s">
        <v>356</v>
      </c>
      <c r="C68" s="726">
        <f>C67-C66</f>
        <v>0</v>
      </c>
      <c r="D68" s="727">
        <f t="shared" ref="D68:V68" si="320">D67-D66</f>
        <v>0</v>
      </c>
      <c r="E68" s="727">
        <f t="shared" si="320"/>
        <v>0</v>
      </c>
      <c r="F68" s="728">
        <f t="shared" si="320"/>
        <v>0</v>
      </c>
      <c r="G68" s="726">
        <f t="shared" si="320"/>
        <v>0</v>
      </c>
      <c r="H68" s="727">
        <f t="shared" si="320"/>
        <v>0</v>
      </c>
      <c r="I68" s="727">
        <f t="shared" si="320"/>
        <v>0</v>
      </c>
      <c r="J68" s="728">
        <f t="shared" si="320"/>
        <v>0</v>
      </c>
      <c r="K68" s="726">
        <f t="shared" si="320"/>
        <v>0</v>
      </c>
      <c r="L68" s="727">
        <f t="shared" si="320"/>
        <v>0</v>
      </c>
      <c r="M68" s="727">
        <f t="shared" si="320"/>
        <v>0</v>
      </c>
      <c r="N68" s="728">
        <f t="shared" si="320"/>
        <v>0</v>
      </c>
      <c r="O68" s="726">
        <f t="shared" si="320"/>
        <v>0</v>
      </c>
      <c r="P68" s="727">
        <f t="shared" si="320"/>
        <v>0</v>
      </c>
      <c r="Q68" s="727">
        <f t="shared" si="320"/>
        <v>0</v>
      </c>
      <c r="R68" s="728">
        <f t="shared" si="320"/>
        <v>0</v>
      </c>
      <c r="S68" s="726">
        <f t="shared" si="320"/>
        <v>0</v>
      </c>
      <c r="T68" s="727">
        <f t="shared" si="320"/>
        <v>0</v>
      </c>
      <c r="U68" s="727">
        <f t="shared" si="320"/>
        <v>0</v>
      </c>
      <c r="V68" s="728">
        <f t="shared" si="320"/>
        <v>0</v>
      </c>
      <c r="W68" s="720"/>
      <c r="X68" s="721"/>
      <c r="Y68" s="721"/>
      <c r="Z68" s="722"/>
      <c r="AA68" s="720"/>
      <c r="AB68" s="721"/>
      <c r="AC68" s="721"/>
      <c r="AD68" s="721"/>
      <c r="AE68" s="720"/>
      <c r="AF68" s="721"/>
      <c r="AG68" s="721"/>
      <c r="AH68" s="1241"/>
      <c r="AI68" s="721"/>
      <c r="AJ68" s="721"/>
      <c r="AK68" s="721"/>
      <c r="AL68" s="722"/>
      <c r="AM68" s="721"/>
      <c r="AN68" s="721"/>
      <c r="AO68" s="721"/>
      <c r="AP68" s="722"/>
      <c r="AQ68" s="718"/>
      <c r="AS68" s="723"/>
      <c r="AT68" s="723"/>
      <c r="AU68" s="723"/>
      <c r="AV68" s="723"/>
      <c r="AW68" s="723"/>
      <c r="AX68" s="723"/>
      <c r="AY68" s="723"/>
      <c r="AZ68" s="723"/>
      <c r="BA68" s="723"/>
      <c r="BB68" s="723"/>
    </row>
    <row r="69" spans="2:54" s="717" customFormat="1">
      <c r="B69" s="749"/>
      <c r="C69" s="726"/>
      <c r="D69" s="727"/>
      <c r="E69" s="727"/>
      <c r="F69" s="728"/>
      <c r="G69" s="726"/>
      <c r="H69" s="727"/>
      <c r="I69" s="727"/>
      <c r="J69" s="728"/>
      <c r="K69" s="726"/>
      <c r="L69" s="727"/>
      <c r="M69" s="727"/>
      <c r="N69" s="728"/>
      <c r="O69" s="726"/>
      <c r="P69" s="727"/>
      <c r="Q69" s="727"/>
      <c r="R69" s="728"/>
      <c r="S69" s="726"/>
      <c r="T69" s="727"/>
      <c r="U69" s="727"/>
      <c r="V69" s="728"/>
      <c r="W69" s="720"/>
      <c r="X69" s="721"/>
      <c r="Y69" s="721"/>
      <c r="Z69" s="722"/>
      <c r="AA69" s="720"/>
      <c r="AB69" s="721"/>
      <c r="AC69" s="721"/>
      <c r="AD69" s="721"/>
      <c r="AE69" s="720"/>
      <c r="AF69" s="721"/>
      <c r="AG69" s="721"/>
      <c r="AH69" s="1296"/>
      <c r="AI69" s="721"/>
      <c r="AJ69" s="721"/>
      <c r="AK69" s="721"/>
      <c r="AL69" s="722"/>
      <c r="AM69" s="721"/>
      <c r="AN69" s="721"/>
      <c r="AO69" s="721"/>
      <c r="AP69" s="722"/>
      <c r="AQ69" s="718"/>
      <c r="AS69" s="723"/>
      <c r="AT69" s="723"/>
      <c r="AU69" s="723"/>
      <c r="AV69" s="723"/>
      <c r="AW69" s="723"/>
      <c r="AX69" s="723"/>
      <c r="AY69" s="723"/>
      <c r="AZ69" s="723"/>
      <c r="BA69" s="723"/>
      <c r="BB69" s="723"/>
    </row>
    <row r="70" spans="2:54" s="717" customFormat="1">
      <c r="B70" s="750" t="s">
        <v>392</v>
      </c>
      <c r="C70" s="751"/>
      <c r="D70" s="752"/>
      <c r="E70" s="752"/>
      <c r="F70" s="753"/>
      <c r="G70" s="751"/>
      <c r="H70" s="752"/>
      <c r="I70" s="752"/>
      <c r="J70" s="753"/>
      <c r="K70" s="751"/>
      <c r="L70" s="752"/>
      <c r="M70" s="752"/>
      <c r="N70" s="753"/>
      <c r="O70" s="751"/>
      <c r="P70" s="752"/>
      <c r="Q70" s="752"/>
      <c r="R70" s="753"/>
      <c r="S70" s="751"/>
      <c r="T70" s="752"/>
      <c r="U70" s="752"/>
      <c r="V70" s="753"/>
      <c r="W70" s="751"/>
      <c r="X70" s="752"/>
      <c r="Y70" s="752"/>
      <c r="Z70" s="753"/>
      <c r="AA70" s="751"/>
      <c r="AB70" s="752"/>
      <c r="AC70" s="752"/>
      <c r="AD70" s="752"/>
      <c r="AE70" s="751"/>
      <c r="AF70" s="752"/>
      <c r="AG70" s="752"/>
      <c r="AH70" s="1293"/>
      <c r="AI70" s="752"/>
      <c r="AJ70" s="752"/>
      <c r="AK70" s="752"/>
      <c r="AL70" s="753"/>
      <c r="AM70" s="752"/>
      <c r="AN70" s="752"/>
      <c r="AO70" s="752"/>
      <c r="AP70" s="753"/>
      <c r="AQ70" s="718"/>
      <c r="AS70" s="723"/>
      <c r="AT70" s="723"/>
      <c r="AU70" s="723"/>
      <c r="AV70" s="723"/>
      <c r="AW70" s="723"/>
      <c r="AX70" s="723"/>
      <c r="AY70" s="723"/>
      <c r="AZ70" s="723"/>
      <c r="BA70" s="723"/>
      <c r="BB70" s="723"/>
    </row>
    <row r="71" spans="2:54" s="717" customFormat="1">
      <c r="B71" s="749" t="s">
        <v>411</v>
      </c>
      <c r="C71" s="726"/>
      <c r="D71" s="727"/>
      <c r="E71" s="727"/>
      <c r="F71" s="728"/>
      <c r="G71" s="726"/>
      <c r="H71" s="727"/>
      <c r="I71" s="727"/>
      <c r="J71" s="728"/>
      <c r="K71" s="726"/>
      <c r="L71" s="727"/>
      <c r="M71" s="727"/>
      <c r="N71" s="728"/>
      <c r="O71" s="726">
        <f t="shared" ref="O71:Z71" si="321">O72+O73</f>
        <v>404</v>
      </c>
      <c r="P71" s="727">
        <f t="shared" si="321"/>
        <v>278</v>
      </c>
      <c r="Q71" s="727">
        <f t="shared" si="321"/>
        <v>317</v>
      </c>
      <c r="R71" s="728">
        <f t="shared" si="321"/>
        <v>276</v>
      </c>
      <c r="S71" s="726">
        <f t="shared" si="321"/>
        <v>175.31034482758622</v>
      </c>
      <c r="T71" s="727">
        <f t="shared" si="321"/>
        <v>150.09909909909908</v>
      </c>
      <c r="U71" s="727">
        <f t="shared" si="321"/>
        <v>119.03278688524591</v>
      </c>
      <c r="V71" s="728">
        <f t="shared" si="321"/>
        <v>114.8955223880597</v>
      </c>
      <c r="W71" s="726">
        <f t="shared" si="321"/>
        <v>114.02261834214914</v>
      </c>
      <c r="X71" s="727">
        <f t="shared" si="321"/>
        <v>116.31322451825508</v>
      </c>
      <c r="Y71" s="727">
        <f t="shared" si="321"/>
        <v>43.620613214159675</v>
      </c>
      <c r="Z71" s="728">
        <f t="shared" si="321"/>
        <v>52.752080049011056</v>
      </c>
      <c r="AA71" s="781">
        <f>AA72+AA73</f>
        <v>80</v>
      </c>
      <c r="AB71" s="727">
        <f t="shared" ref="AB71:AH71" si="322">AB72+AB73</f>
        <v>95</v>
      </c>
      <c r="AC71" s="782">
        <f t="shared" si="322"/>
        <v>320</v>
      </c>
      <c r="AD71" s="782">
        <f t="shared" si="322"/>
        <v>320</v>
      </c>
      <c r="AE71" s="781">
        <f>AE72+AE73</f>
        <v>200</v>
      </c>
      <c r="AF71" s="727">
        <v>200</v>
      </c>
      <c r="AG71" s="782">
        <f t="shared" si="322"/>
        <v>400</v>
      </c>
      <c r="AH71" s="1299">
        <f t="shared" si="322"/>
        <v>325</v>
      </c>
      <c r="AI71" s="782">
        <f t="shared" ref="AI71:AL71" si="323">AI72+AI73</f>
        <v>225</v>
      </c>
      <c r="AJ71" s="782">
        <f t="shared" si="323"/>
        <v>225</v>
      </c>
      <c r="AK71" s="782">
        <f t="shared" si="323"/>
        <v>325</v>
      </c>
      <c r="AL71" s="783">
        <f t="shared" si="323"/>
        <v>325</v>
      </c>
      <c r="AM71" s="782">
        <f t="shared" ref="AM71:AP71" si="324">AM72+AM73</f>
        <v>225</v>
      </c>
      <c r="AN71" s="782">
        <f t="shared" si="324"/>
        <v>225</v>
      </c>
      <c r="AO71" s="782">
        <f t="shared" si="324"/>
        <v>325</v>
      </c>
      <c r="AP71" s="783">
        <f t="shared" si="324"/>
        <v>325</v>
      </c>
      <c r="AQ71" s="718"/>
      <c r="AS71" s="729">
        <f>SUM(C71:F71)</f>
        <v>0</v>
      </c>
      <c r="AT71" s="729">
        <f>SUM(G71:J71)</f>
        <v>0</v>
      </c>
      <c r="AU71" s="729">
        <f>SUM(K71:N71)</f>
        <v>0</v>
      </c>
      <c r="AV71" s="729">
        <f>SUM(O71:R71)</f>
        <v>1275</v>
      </c>
      <c r="AW71" s="729">
        <f>SUM(S71:V71)</f>
        <v>559.33775319999086</v>
      </c>
      <c r="AX71" s="729">
        <f>SUM(W71:Z71)</f>
        <v>326.70853612357496</v>
      </c>
      <c r="AY71" s="729">
        <f>SUM(AA71:AD71)</f>
        <v>815</v>
      </c>
      <c r="AZ71" s="729">
        <f>SUM(AE71:AH71)</f>
        <v>1125</v>
      </c>
      <c r="BA71" s="729">
        <f>SUM(AI71:AL71)</f>
        <v>1100</v>
      </c>
      <c r="BB71" s="729">
        <f>SUM(AM71:AP71)</f>
        <v>1100</v>
      </c>
    </row>
    <row r="72" spans="2:54" s="717" customFormat="1">
      <c r="B72" s="754" t="s">
        <v>304</v>
      </c>
      <c r="C72" s="726"/>
      <c r="D72" s="727"/>
      <c r="E72" s="727"/>
      <c r="F72" s="728"/>
      <c r="G72" s="764"/>
      <c r="H72" s="765"/>
      <c r="I72" s="765"/>
      <c r="J72" s="766"/>
      <c r="K72" s="764"/>
      <c r="L72" s="765"/>
      <c r="M72" s="765"/>
      <c r="N72" s="766"/>
      <c r="O72" s="764">
        <v>350</v>
      </c>
      <c r="P72" s="765">
        <v>230</v>
      </c>
      <c r="Q72" s="765">
        <v>240</v>
      </c>
      <c r="R72" s="766">
        <v>200</v>
      </c>
      <c r="S72" s="764">
        <v>125</v>
      </c>
      <c r="T72" s="765">
        <v>130</v>
      </c>
      <c r="U72" s="765">
        <v>100</v>
      </c>
      <c r="V72" s="766">
        <v>100</v>
      </c>
      <c r="W72" s="797">
        <v>80</v>
      </c>
      <c r="X72" s="789">
        <v>80</v>
      </c>
      <c r="Y72" s="789">
        <v>30</v>
      </c>
      <c r="Z72" s="790">
        <v>30</v>
      </c>
      <c r="AA72" s="797">
        <v>50</v>
      </c>
      <c r="AB72" s="789">
        <v>75</v>
      </c>
      <c r="AC72" s="789">
        <v>300</v>
      </c>
      <c r="AD72" s="789">
        <v>300</v>
      </c>
      <c r="AE72" s="797">
        <v>175</v>
      </c>
      <c r="AF72" s="789">
        <v>175</v>
      </c>
      <c r="AG72" s="789">
        <v>300</v>
      </c>
      <c r="AH72" s="1301">
        <v>275</v>
      </c>
      <c r="AI72" s="797">
        <v>175</v>
      </c>
      <c r="AJ72" s="798">
        <v>175</v>
      </c>
      <c r="AK72" s="798">
        <v>275</v>
      </c>
      <c r="AL72" s="798">
        <v>275</v>
      </c>
      <c r="AM72" s="798">
        <v>175</v>
      </c>
      <c r="AN72" s="798">
        <v>175</v>
      </c>
      <c r="AO72" s="798">
        <v>275</v>
      </c>
      <c r="AP72" s="798">
        <v>275</v>
      </c>
      <c r="AQ72" s="718"/>
      <c r="AS72" s="729">
        <f>SUM(C72:F72)</f>
        <v>0</v>
      </c>
      <c r="AT72" s="729">
        <f>SUM(G72:J72)</f>
        <v>0</v>
      </c>
      <c r="AU72" s="729">
        <f>SUM(K72:N72)</f>
        <v>0</v>
      </c>
      <c r="AV72" s="729">
        <f>SUM(O72:R72)</f>
        <v>1020</v>
      </c>
      <c r="AW72" s="729">
        <f>SUM(S72:V72)</f>
        <v>455</v>
      </c>
      <c r="AX72" s="729">
        <f>SUM(W72:Z72)</f>
        <v>220</v>
      </c>
      <c r="AY72" s="729">
        <f>SUM(AA72:AD72)</f>
        <v>725</v>
      </c>
      <c r="AZ72" s="729">
        <f>SUM(AE72:AH72)</f>
        <v>925</v>
      </c>
      <c r="BA72" s="729">
        <f>SUM(AI72:AL72)</f>
        <v>900</v>
      </c>
      <c r="BB72" s="729">
        <f>SUM(AM72:AP72)</f>
        <v>900</v>
      </c>
    </row>
    <row r="73" spans="2:54" s="717" customFormat="1">
      <c r="B73" s="754" t="s">
        <v>412</v>
      </c>
      <c r="C73" s="726"/>
      <c r="D73" s="727"/>
      <c r="E73" s="727"/>
      <c r="F73" s="728"/>
      <c r="G73" s="726"/>
      <c r="H73" s="727"/>
      <c r="I73" s="727"/>
      <c r="J73" s="728"/>
      <c r="K73" s="726"/>
      <c r="L73" s="727"/>
      <c r="M73" s="727"/>
      <c r="N73" s="728"/>
      <c r="O73" s="764">
        <v>54</v>
      </c>
      <c r="P73" s="765">
        <v>48</v>
      </c>
      <c r="Q73" s="765">
        <v>77</v>
      </c>
      <c r="R73" s="766">
        <v>76</v>
      </c>
      <c r="S73" s="764">
        <v>50.310344827586221</v>
      </c>
      <c r="T73" s="765">
        <v>20.099099099099078</v>
      </c>
      <c r="U73" s="765">
        <v>19.032786885245912</v>
      </c>
      <c r="V73" s="766">
        <v>14.895522388059703</v>
      </c>
      <c r="W73" s="797">
        <v>34.022618342149144</v>
      </c>
      <c r="X73" s="789">
        <v>36.313224518255083</v>
      </c>
      <c r="Y73" s="789">
        <v>13.620613214159675</v>
      </c>
      <c r="Z73" s="790">
        <v>22.752080049011056</v>
      </c>
      <c r="AA73" s="797">
        <v>30</v>
      </c>
      <c r="AB73" s="789">
        <v>20</v>
      </c>
      <c r="AC73" s="789">
        <v>20</v>
      </c>
      <c r="AD73" s="789">
        <v>20</v>
      </c>
      <c r="AE73" s="797">
        <v>25</v>
      </c>
      <c r="AF73" s="789">
        <v>25</v>
      </c>
      <c r="AG73" s="789">
        <v>100</v>
      </c>
      <c r="AH73" s="1301">
        <v>50</v>
      </c>
      <c r="AI73" s="797">
        <v>50</v>
      </c>
      <c r="AJ73" s="798">
        <f t="shared" ref="AJ73" si="325">AI73</f>
        <v>50</v>
      </c>
      <c r="AK73" s="798">
        <f t="shared" ref="AK73" si="326">AJ73</f>
        <v>50</v>
      </c>
      <c r="AL73" s="799">
        <f t="shared" ref="AL73" si="327">AK73</f>
        <v>50</v>
      </c>
      <c r="AM73" s="798">
        <f>AL73</f>
        <v>50</v>
      </c>
      <c r="AN73" s="798">
        <f t="shared" ref="AN73" si="328">AM73</f>
        <v>50</v>
      </c>
      <c r="AO73" s="798">
        <f t="shared" ref="AO73" si="329">AN73</f>
        <v>50</v>
      </c>
      <c r="AP73" s="799">
        <f t="shared" ref="AP73" si="330">AO73</f>
        <v>50</v>
      </c>
      <c r="AQ73" s="718"/>
      <c r="AS73" s="729">
        <f>SUM(C73:F73)</f>
        <v>0</v>
      </c>
      <c r="AT73" s="729">
        <f>SUM(G73:J73)</f>
        <v>0</v>
      </c>
      <c r="AU73" s="729">
        <f>SUM(K73:N73)</f>
        <v>0</v>
      </c>
      <c r="AV73" s="729">
        <f>SUM(O73:R73)</f>
        <v>255</v>
      </c>
      <c r="AW73" s="729">
        <f>SUM(S73:V73)</f>
        <v>104.33775319999091</v>
      </c>
      <c r="AX73" s="729">
        <f>SUM(W73:Z73)</f>
        <v>106.70853612357496</v>
      </c>
      <c r="AY73" s="729">
        <f>SUM(AA73:AD73)</f>
        <v>90</v>
      </c>
      <c r="AZ73" s="729">
        <f>SUM(AE73:AH73)</f>
        <v>200</v>
      </c>
      <c r="BA73" s="729">
        <f>SUM(AI73:AL73)</f>
        <v>200</v>
      </c>
      <c r="BB73" s="729">
        <f>SUM(AM73:AP73)</f>
        <v>200</v>
      </c>
    </row>
    <row r="74" spans="2:54" s="717" customFormat="1">
      <c r="B74" s="749"/>
      <c r="C74" s="726"/>
      <c r="D74" s="727"/>
      <c r="E74" s="727"/>
      <c r="F74" s="728"/>
      <c r="G74" s="726"/>
      <c r="H74" s="727"/>
      <c r="I74" s="727"/>
      <c r="J74" s="728"/>
      <c r="K74" s="726"/>
      <c r="L74" s="727"/>
      <c r="M74" s="727"/>
      <c r="N74" s="728"/>
      <c r="O74" s="726"/>
      <c r="P74" s="727"/>
      <c r="Q74" s="727"/>
      <c r="R74" s="728"/>
      <c r="S74" s="726"/>
      <c r="T74" s="727"/>
      <c r="U74" s="727"/>
      <c r="V74" s="728"/>
      <c r="W74" s="720"/>
      <c r="X74" s="721"/>
      <c r="Y74" s="721"/>
      <c r="Z74" s="722"/>
      <c r="AA74" s="720"/>
      <c r="AB74" s="721"/>
      <c r="AC74" s="721"/>
      <c r="AD74" s="721"/>
      <c r="AE74" s="720"/>
      <c r="AF74" s="721"/>
      <c r="AG74" s="721"/>
      <c r="AH74" s="1296"/>
      <c r="AI74" s="721"/>
      <c r="AJ74" s="721"/>
      <c r="AK74" s="721"/>
      <c r="AL74" s="722"/>
      <c r="AM74" s="721"/>
      <c r="AN74" s="721"/>
      <c r="AO74" s="721"/>
      <c r="AP74" s="722"/>
      <c r="AQ74" s="718"/>
      <c r="AS74" s="723"/>
      <c r="AT74" s="723"/>
      <c r="AU74" s="723"/>
      <c r="AV74" s="723"/>
      <c r="AW74" s="723"/>
      <c r="AX74" s="723"/>
      <c r="AY74" s="723"/>
      <c r="AZ74" s="723"/>
      <c r="BA74" s="723"/>
      <c r="BB74" s="723"/>
    </row>
    <row r="75" spans="2:54" s="717" customFormat="1">
      <c r="B75" s="749" t="s">
        <v>413</v>
      </c>
      <c r="C75" s="726"/>
      <c r="D75" s="727"/>
      <c r="E75" s="727"/>
      <c r="F75" s="728"/>
      <c r="G75" s="726"/>
      <c r="H75" s="727"/>
      <c r="I75" s="727"/>
      <c r="J75" s="728"/>
      <c r="K75" s="726"/>
      <c r="L75" s="727"/>
      <c r="M75" s="727"/>
      <c r="N75" s="728"/>
      <c r="O75" s="726">
        <f>O79*O85</f>
        <v>0</v>
      </c>
      <c r="P75" s="727">
        <f t="shared" ref="P75:R75" si="331">P79*P85</f>
        <v>14</v>
      </c>
      <c r="Q75" s="727">
        <f t="shared" si="331"/>
        <v>36</v>
      </c>
      <c r="R75" s="728">
        <f t="shared" si="331"/>
        <v>50</v>
      </c>
      <c r="S75" s="726">
        <f>S79*S85</f>
        <v>-19.310344827586206</v>
      </c>
      <c r="T75" s="727">
        <f t="shared" ref="T75:AC75" si="332">T79*T85</f>
        <v>-99.099099099099078</v>
      </c>
      <c r="U75" s="727">
        <f t="shared" si="332"/>
        <v>-118.03278688524591</v>
      </c>
      <c r="V75" s="728">
        <f t="shared" si="332"/>
        <v>-120.8955223880597</v>
      </c>
      <c r="W75" s="731">
        <f t="shared" si="332"/>
        <v>-35</v>
      </c>
      <c r="X75" s="732">
        <f t="shared" si="332"/>
        <v>0</v>
      </c>
      <c r="Y75" s="732">
        <f t="shared" si="332"/>
        <v>16</v>
      </c>
      <c r="Z75" s="733">
        <f t="shared" si="332"/>
        <v>18</v>
      </c>
      <c r="AA75" s="731">
        <f t="shared" si="332"/>
        <v>35.28</v>
      </c>
      <c r="AB75" s="732">
        <f t="shared" si="332"/>
        <v>45.9</v>
      </c>
      <c r="AC75" s="732">
        <f t="shared" si="332"/>
        <v>40</v>
      </c>
      <c r="AD75" s="732">
        <v>40</v>
      </c>
      <c r="AE75" s="731">
        <f t="shared" ref="AE75" si="333">AE79*AE85</f>
        <v>35.28</v>
      </c>
      <c r="AF75" s="732">
        <f t="shared" ref="AF75" si="334">AF79*AF85</f>
        <v>36.72</v>
      </c>
      <c r="AG75" s="732">
        <f t="shared" ref="AG75:AH75" si="335">AG79*AG85</f>
        <v>40</v>
      </c>
      <c r="AH75" s="1290">
        <f t="shared" si="335"/>
        <v>40</v>
      </c>
      <c r="AI75" s="732">
        <f t="shared" ref="AI75" si="336">AI79*AI85</f>
        <v>40</v>
      </c>
      <c r="AJ75" s="732">
        <f t="shared" ref="AJ75:AL75" si="337">AJ79*AJ85</f>
        <v>30.6</v>
      </c>
      <c r="AK75" s="732">
        <f t="shared" si="337"/>
        <v>30</v>
      </c>
      <c r="AL75" s="733">
        <f t="shared" si="337"/>
        <v>30</v>
      </c>
      <c r="AM75" s="732">
        <f t="shared" ref="AM75:AP75" si="338">AM79*AM85</f>
        <v>30</v>
      </c>
      <c r="AN75" s="732">
        <f t="shared" si="338"/>
        <v>22.95</v>
      </c>
      <c r="AO75" s="732">
        <f t="shared" si="338"/>
        <v>22.5</v>
      </c>
      <c r="AP75" s="733">
        <f t="shared" si="338"/>
        <v>22.5</v>
      </c>
      <c r="AQ75" s="718"/>
      <c r="AR75" s="809"/>
      <c r="AS75" s="729">
        <f>SUM(C75:F75)</f>
        <v>0</v>
      </c>
      <c r="AT75" s="729">
        <f>SUM(G75:J75)</f>
        <v>0</v>
      </c>
      <c r="AU75" s="729">
        <f>SUM(K75:N75)</f>
        <v>0</v>
      </c>
      <c r="AV75" s="729">
        <f>SUM(O75:R75)</f>
        <v>100</v>
      </c>
      <c r="AW75" s="729">
        <f>SUM(S75:V75)</f>
        <v>-357.33775319999091</v>
      </c>
      <c r="AX75" s="729">
        <f>SUM(W75:Z75)</f>
        <v>-1</v>
      </c>
      <c r="AY75" s="729">
        <f>SUM(AA75:AD75)</f>
        <v>161.18</v>
      </c>
      <c r="AZ75" s="729">
        <f>SUM(AE75:AH75)</f>
        <v>152</v>
      </c>
      <c r="BA75" s="729">
        <f>SUM(AI75:AL75)</f>
        <v>130.6</v>
      </c>
      <c r="BB75" s="729">
        <f>SUM(AM75:AP75)</f>
        <v>97.95</v>
      </c>
    </row>
    <row r="76" spans="2:54" s="717" customFormat="1">
      <c r="B76" s="754" t="s">
        <v>97</v>
      </c>
      <c r="C76" s="726"/>
      <c r="D76" s="727"/>
      <c r="E76" s="727"/>
      <c r="F76" s="728"/>
      <c r="G76" s="726"/>
      <c r="H76" s="727"/>
      <c r="I76" s="727"/>
      <c r="J76" s="728"/>
      <c r="K76" s="726"/>
      <c r="L76" s="727"/>
      <c r="M76" s="727"/>
      <c r="N76" s="728"/>
      <c r="O76" s="726"/>
      <c r="P76" s="727"/>
      <c r="Q76" s="810">
        <f t="shared" ref="Q76:S76" si="339">Q75/P75-1</f>
        <v>1.5714285714285716</v>
      </c>
      <c r="R76" s="811">
        <f t="shared" si="339"/>
        <v>0.38888888888888884</v>
      </c>
      <c r="S76" s="755">
        <f t="shared" si="339"/>
        <v>-1.386206896551724</v>
      </c>
      <c r="T76" s="769">
        <f>T75/S75-1</f>
        <v>4.1319176319176307</v>
      </c>
      <c r="U76" s="769">
        <f t="shared" ref="U76:W76" si="340">U75/T75-1</f>
        <v>0.19105812220566354</v>
      </c>
      <c r="V76" s="770">
        <f t="shared" si="340"/>
        <v>2.4253731343283569E-2</v>
      </c>
      <c r="W76" s="768">
        <f t="shared" si="340"/>
        <v>-0.71049382716049381</v>
      </c>
      <c r="X76" s="769"/>
      <c r="Y76" s="769"/>
      <c r="Z76" s="770">
        <f t="shared" ref="Z76:AE76" si="341">Z75/Y75-1</f>
        <v>0.125</v>
      </c>
      <c r="AA76" s="768">
        <f t="shared" si="341"/>
        <v>0.96</v>
      </c>
      <c r="AB76" s="769">
        <f t="shared" si="341"/>
        <v>0.30102040816326525</v>
      </c>
      <c r="AC76" s="769">
        <f t="shared" si="341"/>
        <v>-0.1285403050108932</v>
      </c>
      <c r="AD76" s="769">
        <f t="shared" si="341"/>
        <v>0</v>
      </c>
      <c r="AE76" s="768">
        <f t="shared" si="341"/>
        <v>-0.11799999999999999</v>
      </c>
      <c r="AF76" s="769">
        <f t="shared" ref="AF76:AI76" si="342">AF75/AE75-1</f>
        <v>4.0816326530612068E-2</v>
      </c>
      <c r="AG76" s="769">
        <f t="shared" si="342"/>
        <v>8.9324618736383421E-2</v>
      </c>
      <c r="AH76" s="1297">
        <f t="shared" si="342"/>
        <v>0</v>
      </c>
      <c r="AI76" s="769">
        <f t="shared" si="342"/>
        <v>0</v>
      </c>
      <c r="AJ76" s="769">
        <f t="shared" ref="AJ76" si="343">AJ75/AI75-1</f>
        <v>-0.23499999999999999</v>
      </c>
      <c r="AK76" s="769">
        <f t="shared" ref="AK76" si="344">AK75/AJ75-1</f>
        <v>-1.9607843137254943E-2</v>
      </c>
      <c r="AL76" s="770">
        <f t="shared" ref="AL76" si="345">AL75/AK75-1</f>
        <v>0</v>
      </c>
      <c r="AM76" s="769">
        <f t="shared" ref="AM76" si="346">AM75/AL75-1</f>
        <v>0</v>
      </c>
      <c r="AN76" s="769">
        <f t="shared" ref="AN76" si="347">AN75/AM75-1</f>
        <v>-0.23499999999999999</v>
      </c>
      <c r="AO76" s="769">
        <f t="shared" ref="AO76" si="348">AO75/AN75-1</f>
        <v>-1.9607843137254832E-2</v>
      </c>
      <c r="AP76" s="770">
        <f t="shared" ref="AP76" si="349">AP75/AO75-1</f>
        <v>0</v>
      </c>
      <c r="AQ76" s="718"/>
      <c r="AS76" s="723"/>
      <c r="AT76" s="723"/>
      <c r="AU76" s="723"/>
      <c r="AV76" s="723"/>
      <c r="AW76" s="723"/>
      <c r="AX76" s="723"/>
      <c r="AY76" s="723"/>
      <c r="AZ76" s="723"/>
      <c r="BA76" s="723"/>
      <c r="BB76" s="723"/>
    </row>
    <row r="77" spans="2:54" s="717" customFormat="1">
      <c r="B77" s="754" t="s">
        <v>98</v>
      </c>
      <c r="C77" s="726"/>
      <c r="D77" s="727"/>
      <c r="E77" s="727"/>
      <c r="F77" s="728"/>
      <c r="G77" s="726"/>
      <c r="H77" s="727"/>
      <c r="I77" s="727"/>
      <c r="J77" s="728"/>
      <c r="K77" s="726"/>
      <c r="L77" s="727"/>
      <c r="M77" s="727"/>
      <c r="N77" s="728"/>
      <c r="O77" s="726"/>
      <c r="P77" s="727"/>
      <c r="Q77" s="727"/>
      <c r="R77" s="728"/>
      <c r="S77" s="768"/>
      <c r="T77" s="769">
        <f t="shared" ref="T77:V77" si="350">T75/P75-1</f>
        <v>-8.0785070785070765</v>
      </c>
      <c r="U77" s="769">
        <f t="shared" si="350"/>
        <v>-4.278688524590164</v>
      </c>
      <c r="V77" s="770">
        <f t="shared" si="350"/>
        <v>-3.4179104477611939</v>
      </c>
      <c r="W77" s="768">
        <f>W75/S75-1</f>
        <v>0.8125</v>
      </c>
      <c r="X77" s="769">
        <f t="shared" ref="X77:AA77" si="351">X75/T75-1</f>
        <v>-1</v>
      </c>
      <c r="Y77" s="769">
        <f t="shared" si="351"/>
        <v>-1.1355555555555554</v>
      </c>
      <c r="Z77" s="770">
        <f t="shared" si="351"/>
        <v>-1.1488888888888888</v>
      </c>
      <c r="AA77" s="768">
        <f t="shared" si="351"/>
        <v>-2.008</v>
      </c>
      <c r="AB77" s="769"/>
      <c r="AC77" s="769">
        <f t="shared" ref="AC77:AE77" si="352">AC75/Y75-1</f>
        <v>1.5</v>
      </c>
      <c r="AD77" s="769">
        <f t="shared" si="352"/>
        <v>1.2222222222222223</v>
      </c>
      <c r="AE77" s="768">
        <f t="shared" si="352"/>
        <v>0</v>
      </c>
      <c r="AF77" s="769">
        <f t="shared" ref="AF77:AI77" si="353">AF75/AB75-1</f>
        <v>-0.19999999999999996</v>
      </c>
      <c r="AG77" s="769">
        <f t="shared" si="353"/>
        <v>0</v>
      </c>
      <c r="AH77" s="1297">
        <f t="shared" si="353"/>
        <v>0</v>
      </c>
      <c r="AI77" s="769">
        <f t="shared" si="353"/>
        <v>0.13378684807256236</v>
      </c>
      <c r="AJ77" s="769">
        <f t="shared" ref="AJ77" si="354">AJ75/AF75-1</f>
        <v>-0.16666666666666663</v>
      </c>
      <c r="AK77" s="769">
        <f t="shared" ref="AK77" si="355">AK75/AG75-1</f>
        <v>-0.25</v>
      </c>
      <c r="AL77" s="770">
        <f t="shared" ref="AL77" si="356">AL75/AH75-1</f>
        <v>-0.25</v>
      </c>
      <c r="AM77" s="769">
        <f t="shared" ref="AM77" si="357">AM75/AI75-1</f>
        <v>-0.25</v>
      </c>
      <c r="AN77" s="769">
        <f t="shared" ref="AN77" si="358">AN75/AJ75-1</f>
        <v>-0.25000000000000011</v>
      </c>
      <c r="AO77" s="769">
        <f t="shared" ref="AO77" si="359">AO75/AK75-1</f>
        <v>-0.25</v>
      </c>
      <c r="AP77" s="770">
        <f t="shared" ref="AP77" si="360">AP75/AL75-1</f>
        <v>-0.25</v>
      </c>
      <c r="AQ77" s="718"/>
      <c r="AS77" s="723"/>
      <c r="AT77" s="723"/>
      <c r="AU77" s="723"/>
      <c r="AV77" s="723"/>
      <c r="AW77" s="756">
        <f t="shared" ref="AW77:BB77" si="361">AW75/AV75-1</f>
        <v>-4.5733775319999097</v>
      </c>
      <c r="AX77" s="756">
        <f t="shared" si="361"/>
        <v>-0.99720152715170751</v>
      </c>
      <c r="AY77" s="756"/>
      <c r="AZ77" s="756">
        <f t="shared" si="361"/>
        <v>-5.6954957190718525E-2</v>
      </c>
      <c r="BA77" s="756">
        <f t="shared" si="361"/>
        <v>-0.14078947368421058</v>
      </c>
      <c r="BB77" s="756">
        <f t="shared" si="361"/>
        <v>-0.25</v>
      </c>
    </row>
    <row r="78" spans="2:54" s="717" customFormat="1">
      <c r="B78" s="749"/>
      <c r="C78" s="726"/>
      <c r="D78" s="727"/>
      <c r="E78" s="727"/>
      <c r="F78" s="728"/>
      <c r="G78" s="726"/>
      <c r="H78" s="727"/>
      <c r="I78" s="727"/>
      <c r="J78" s="728"/>
      <c r="K78" s="726"/>
      <c r="L78" s="727"/>
      <c r="M78" s="727"/>
      <c r="N78" s="728"/>
      <c r="O78" s="726"/>
      <c r="P78" s="727"/>
      <c r="Q78" s="727"/>
      <c r="R78" s="728"/>
      <c r="S78" s="726"/>
      <c r="T78" s="727"/>
      <c r="U78" s="727"/>
      <c r="V78" s="728"/>
      <c r="W78" s="720"/>
      <c r="X78" s="721"/>
      <c r="Y78" s="721"/>
      <c r="Z78" s="722"/>
      <c r="AA78" s="720"/>
      <c r="AB78" s="721"/>
      <c r="AC78" s="721"/>
      <c r="AD78" s="721"/>
      <c r="AE78" s="720"/>
      <c r="AF78" s="721"/>
      <c r="AG78" s="721"/>
      <c r="AH78" s="1296"/>
      <c r="AI78" s="721"/>
      <c r="AJ78" s="721"/>
      <c r="AK78" s="721"/>
      <c r="AL78" s="722"/>
      <c r="AM78" s="721"/>
      <c r="AN78" s="721"/>
      <c r="AO78" s="721"/>
      <c r="AP78" s="722"/>
      <c r="AQ78" s="718"/>
      <c r="AS78" s="723"/>
      <c r="AT78" s="723"/>
      <c r="AU78" s="723"/>
      <c r="AV78" s="723"/>
      <c r="AW78" s="723"/>
      <c r="AX78" s="723"/>
      <c r="AY78" s="723"/>
      <c r="AZ78" s="723"/>
      <c r="BA78" s="723"/>
      <c r="BB78" s="723"/>
    </row>
    <row r="79" spans="2:54" s="717" customFormat="1">
      <c r="B79" s="749" t="s">
        <v>414</v>
      </c>
      <c r="C79" s="726"/>
      <c r="D79" s="727"/>
      <c r="E79" s="727"/>
      <c r="F79" s="728"/>
      <c r="G79" s="726"/>
      <c r="H79" s="727"/>
      <c r="I79" s="727"/>
      <c r="J79" s="728"/>
      <c r="K79" s="726"/>
      <c r="L79" s="727"/>
      <c r="M79" s="727"/>
      <c r="N79" s="728"/>
      <c r="O79" s="812">
        <v>0</v>
      </c>
      <c r="P79" s="813">
        <v>1.4</v>
      </c>
      <c r="Q79" s="813">
        <v>3.6</v>
      </c>
      <c r="R79" s="814">
        <v>5</v>
      </c>
      <c r="S79" s="812">
        <f>S342</f>
        <v>4.8275862068965516</v>
      </c>
      <c r="T79" s="813">
        <f t="shared" ref="T79:V79" si="362">T342</f>
        <v>9.0090090090090076</v>
      </c>
      <c r="U79" s="813">
        <f t="shared" si="362"/>
        <v>13.114754098360656</v>
      </c>
      <c r="V79" s="814">
        <f t="shared" si="362"/>
        <v>13.432835820895523</v>
      </c>
      <c r="W79" s="815">
        <f>S79*(1+W81)</f>
        <v>7</v>
      </c>
      <c r="X79" s="816">
        <f>T79*(1+X81)</f>
        <v>10</v>
      </c>
      <c r="Y79" s="816">
        <f t="shared" ref="Y79:Z79" si="363">U79*(1+Y81)</f>
        <v>8</v>
      </c>
      <c r="Z79" s="817">
        <f t="shared" si="363"/>
        <v>9</v>
      </c>
      <c r="AA79" s="815">
        <f t="shared" ref="AA79:AF79" si="364">W79*(1+AA81)</f>
        <v>3.9200000000000004</v>
      </c>
      <c r="AB79" s="816">
        <f t="shared" si="364"/>
        <v>5.0999999999999996</v>
      </c>
      <c r="AC79" s="816">
        <f t="shared" si="364"/>
        <v>4</v>
      </c>
      <c r="AD79" s="816">
        <f t="shared" si="364"/>
        <v>4.5</v>
      </c>
      <c r="AE79" s="815">
        <f t="shared" si="364"/>
        <v>3.9200000000000004</v>
      </c>
      <c r="AF79" s="816">
        <f t="shared" si="364"/>
        <v>4.08</v>
      </c>
      <c r="AG79" s="816">
        <v>4</v>
      </c>
      <c r="AH79" s="1303">
        <v>4</v>
      </c>
      <c r="AI79" s="816">
        <v>4</v>
      </c>
      <c r="AJ79" s="816">
        <f t="shared" ref="AJ79" si="365">AF79*(1+AJ81)</f>
        <v>3.06</v>
      </c>
      <c r="AK79" s="816">
        <f t="shared" ref="AK79" si="366">AG79*(1+AK81)</f>
        <v>3</v>
      </c>
      <c r="AL79" s="817">
        <f t="shared" ref="AL79" si="367">AH79*(1+AL81)</f>
        <v>3</v>
      </c>
      <c r="AM79" s="816">
        <f t="shared" ref="AM79" si="368">AI79*(1+AM81)</f>
        <v>3</v>
      </c>
      <c r="AN79" s="816">
        <f t="shared" ref="AN79" si="369">AJ79*(1+AN81)</f>
        <v>2.2949999999999999</v>
      </c>
      <c r="AO79" s="816">
        <f t="shared" ref="AO79" si="370">AK79*(1+AO81)</f>
        <v>2.25</v>
      </c>
      <c r="AP79" s="817">
        <f t="shared" ref="AP79" si="371">AL79*(1+AP81)</f>
        <v>2.25</v>
      </c>
      <c r="AQ79" s="718"/>
      <c r="AS79" s="729">
        <f>SUM(C79:F79)</f>
        <v>0</v>
      </c>
      <c r="AT79" s="729">
        <f>SUM(G79:J79)</f>
        <v>0</v>
      </c>
      <c r="AU79" s="729">
        <f>SUM(K79:N79)</f>
        <v>0</v>
      </c>
      <c r="AV79" s="818">
        <f>SUM(O79:R79)</f>
        <v>10</v>
      </c>
      <c r="AW79" s="818">
        <f>SUM(S79:V79)</f>
        <v>40.384185135161744</v>
      </c>
      <c r="AX79" s="818">
        <f>SUM(W79:Z79)</f>
        <v>34</v>
      </c>
      <c r="AY79" s="818">
        <f>SUM(AA79:AD79)</f>
        <v>17.52</v>
      </c>
      <c r="AZ79" s="818">
        <f>SUM(AE79:AH79)</f>
        <v>16</v>
      </c>
      <c r="BA79" s="818">
        <f>SUM(AI79:AL79)</f>
        <v>13.06</v>
      </c>
      <c r="BB79" s="818">
        <f>SUM(AM79:AP79)</f>
        <v>9.7949999999999999</v>
      </c>
    </row>
    <row r="80" spans="2:54" s="717" customFormat="1">
      <c r="B80" s="754" t="s">
        <v>97</v>
      </c>
      <c r="C80" s="726"/>
      <c r="D80" s="727"/>
      <c r="E80" s="727"/>
      <c r="F80" s="728"/>
      <c r="G80" s="726"/>
      <c r="H80" s="727"/>
      <c r="I80" s="727"/>
      <c r="J80" s="728"/>
      <c r="K80" s="726"/>
      <c r="L80" s="727"/>
      <c r="M80" s="727"/>
      <c r="N80" s="728"/>
      <c r="O80" s="726"/>
      <c r="P80" s="727"/>
      <c r="Q80" s="810">
        <f t="shared" ref="Q80:S80" si="372">Q79/P79-1</f>
        <v>1.5714285714285716</v>
      </c>
      <c r="R80" s="811">
        <f t="shared" si="372"/>
        <v>0.38888888888888884</v>
      </c>
      <c r="S80" s="755">
        <f t="shared" si="372"/>
        <v>-3.4482758620689724E-2</v>
      </c>
      <c r="T80" s="769">
        <f>T79/S79-1</f>
        <v>0.8661518661518659</v>
      </c>
      <c r="U80" s="769">
        <f t="shared" ref="U80:AI80" si="373">U79/T79-1</f>
        <v>0.45573770491803312</v>
      </c>
      <c r="V80" s="770">
        <f t="shared" si="373"/>
        <v>2.4253731343283569E-2</v>
      </c>
      <c r="W80" s="768">
        <f t="shared" si="373"/>
        <v>-0.47888888888888892</v>
      </c>
      <c r="X80" s="769">
        <f t="shared" si="373"/>
        <v>0.4285714285714286</v>
      </c>
      <c r="Y80" s="769">
        <f t="shared" si="373"/>
        <v>-0.19999999999999996</v>
      </c>
      <c r="Z80" s="770">
        <f t="shared" si="373"/>
        <v>0.125</v>
      </c>
      <c r="AA80" s="768">
        <f t="shared" si="373"/>
        <v>-0.56444444444444442</v>
      </c>
      <c r="AB80" s="769">
        <f t="shared" si="373"/>
        <v>0.30102040816326503</v>
      </c>
      <c r="AC80" s="769">
        <f t="shared" si="373"/>
        <v>-0.21568627450980382</v>
      </c>
      <c r="AD80" s="769">
        <f t="shared" si="373"/>
        <v>0.125</v>
      </c>
      <c r="AE80" s="768">
        <f t="shared" si="373"/>
        <v>-0.12888888888888883</v>
      </c>
      <c r="AF80" s="769">
        <f t="shared" si="373"/>
        <v>4.0816326530612068E-2</v>
      </c>
      <c r="AG80" s="769">
        <f t="shared" si="373"/>
        <v>-1.9607843137254943E-2</v>
      </c>
      <c r="AH80" s="1297">
        <f t="shared" si="373"/>
        <v>0</v>
      </c>
      <c r="AI80" s="769">
        <f t="shared" si="373"/>
        <v>0</v>
      </c>
      <c r="AJ80" s="769">
        <f t="shared" ref="AJ80" si="374">AJ79/AI79-1</f>
        <v>-0.23499999999999999</v>
      </c>
      <c r="AK80" s="769">
        <f t="shared" ref="AK80" si="375">AK79/AJ79-1</f>
        <v>-1.9607843137254943E-2</v>
      </c>
      <c r="AL80" s="770">
        <f t="shared" ref="AL80" si="376">AL79/AK79-1</f>
        <v>0</v>
      </c>
      <c r="AM80" s="769">
        <f t="shared" ref="AM80" si="377">AM79/AL79-1</f>
        <v>0</v>
      </c>
      <c r="AN80" s="769">
        <f t="shared" ref="AN80" si="378">AN79/AM79-1</f>
        <v>-0.23499999999999999</v>
      </c>
      <c r="AO80" s="769">
        <f t="shared" ref="AO80" si="379">AO79/AN79-1</f>
        <v>-1.9607843137254832E-2</v>
      </c>
      <c r="AP80" s="770">
        <f t="shared" ref="AP80" si="380">AP79/AO79-1</f>
        <v>0</v>
      </c>
      <c r="AQ80" s="718"/>
      <c r="AS80" s="723"/>
      <c r="AT80" s="723"/>
      <c r="AU80" s="723"/>
      <c r="AV80" s="723"/>
      <c r="AW80" s="723"/>
      <c r="AX80" s="723"/>
      <c r="AY80" s="723"/>
      <c r="AZ80" s="723"/>
      <c r="BA80" s="723"/>
      <c r="BB80" s="723"/>
    </row>
    <row r="81" spans="2:54" s="717" customFormat="1">
      <c r="B81" s="754" t="s">
        <v>98</v>
      </c>
      <c r="C81" s="726"/>
      <c r="D81" s="727"/>
      <c r="E81" s="727"/>
      <c r="F81" s="728"/>
      <c r="G81" s="726"/>
      <c r="H81" s="727"/>
      <c r="I81" s="727"/>
      <c r="J81" s="728"/>
      <c r="K81" s="726"/>
      <c r="L81" s="727"/>
      <c r="M81" s="727"/>
      <c r="N81" s="728"/>
      <c r="O81" s="726"/>
      <c r="P81" s="727"/>
      <c r="Q81" s="727"/>
      <c r="R81" s="728"/>
      <c r="S81" s="726"/>
      <c r="T81" s="769">
        <f t="shared" ref="T81:V81" si="381">T79/P79-1</f>
        <v>5.435006435006434</v>
      </c>
      <c r="U81" s="769">
        <f t="shared" si="381"/>
        <v>2.6429872495446265</v>
      </c>
      <c r="V81" s="770">
        <f t="shared" si="381"/>
        <v>1.6865671641791047</v>
      </c>
      <c r="W81" s="780">
        <f>W344</f>
        <v>0.45</v>
      </c>
      <c r="X81" s="778">
        <f t="shared" ref="X81:Z81" si="382">X344</f>
        <v>0.11</v>
      </c>
      <c r="Y81" s="778">
        <f t="shared" si="382"/>
        <v>-0.39</v>
      </c>
      <c r="Z81" s="779">
        <f t="shared" si="382"/>
        <v>-0.33</v>
      </c>
      <c r="AA81" s="780">
        <f>AA344</f>
        <v>-0.44</v>
      </c>
      <c r="AB81" s="778">
        <f t="shared" ref="AB81:AC81" si="383">AB344</f>
        <v>-0.49</v>
      </c>
      <c r="AC81" s="778">
        <f t="shared" si="383"/>
        <v>-0.5</v>
      </c>
      <c r="AD81" s="778">
        <v>-0.5</v>
      </c>
      <c r="AE81" s="780">
        <f>AE344</f>
        <v>0</v>
      </c>
      <c r="AF81" s="778">
        <v>-0.2</v>
      </c>
      <c r="AG81" s="778">
        <v>-0.25</v>
      </c>
      <c r="AH81" s="1298">
        <v>-0.25</v>
      </c>
      <c r="AI81" s="778">
        <v>-0.25</v>
      </c>
      <c r="AJ81" s="772">
        <v>-0.25</v>
      </c>
      <c r="AK81" s="772">
        <v>-0.25</v>
      </c>
      <c r="AL81" s="773">
        <v>-0.25</v>
      </c>
      <c r="AM81" s="772">
        <v>-0.25</v>
      </c>
      <c r="AN81" s="772">
        <v>-0.25</v>
      </c>
      <c r="AO81" s="772">
        <v>-0.25</v>
      </c>
      <c r="AP81" s="773">
        <v>-0.25</v>
      </c>
      <c r="AQ81" s="718"/>
      <c r="AS81" s="723"/>
      <c r="AT81" s="723"/>
      <c r="AU81" s="723"/>
      <c r="AV81" s="723"/>
      <c r="AW81" s="759">
        <f t="shared" ref="AW81:BB81" si="384">AW79/AV79-1</f>
        <v>3.0384185135161745</v>
      </c>
      <c r="AX81" s="759">
        <f t="shared" si="384"/>
        <v>-0.15808626851809759</v>
      </c>
      <c r="AY81" s="759">
        <f t="shared" si="384"/>
        <v>-0.48470588235294121</v>
      </c>
      <c r="AZ81" s="759">
        <f t="shared" si="384"/>
        <v>-8.6757990867579848E-2</v>
      </c>
      <c r="BA81" s="759">
        <f t="shared" si="384"/>
        <v>-0.18374999999999997</v>
      </c>
      <c r="BB81" s="759">
        <f t="shared" si="384"/>
        <v>-0.25</v>
      </c>
    </row>
    <row r="82" spans="2:54" s="717" customFormat="1">
      <c r="B82" s="749"/>
      <c r="C82" s="726"/>
      <c r="D82" s="727"/>
      <c r="E82" s="727"/>
      <c r="F82" s="728"/>
      <c r="G82" s="726"/>
      <c r="H82" s="727"/>
      <c r="I82" s="727"/>
      <c r="J82" s="728"/>
      <c r="K82" s="726"/>
      <c r="L82" s="727"/>
      <c r="M82" s="727"/>
      <c r="N82" s="728"/>
      <c r="O82" s="726"/>
      <c r="P82" s="727"/>
      <c r="Q82" s="727"/>
      <c r="R82" s="728"/>
      <c r="S82" s="726"/>
      <c r="T82" s="727"/>
      <c r="U82" s="727"/>
      <c r="V82" s="728"/>
      <c r="W82" s="720"/>
      <c r="X82" s="721"/>
      <c r="Y82" s="721"/>
      <c r="Z82" s="722"/>
      <c r="AA82" s="720"/>
      <c r="AB82" s="721"/>
      <c r="AC82" s="721"/>
      <c r="AD82" s="721"/>
      <c r="AE82" s="720"/>
      <c r="AF82" s="721"/>
      <c r="AG82" s="721"/>
      <c r="AH82" s="1296"/>
      <c r="AI82" s="721"/>
      <c r="AJ82" s="721"/>
      <c r="AK82" s="721"/>
      <c r="AL82" s="722"/>
      <c r="AM82" s="721"/>
      <c r="AN82" s="721"/>
      <c r="AO82" s="721"/>
      <c r="AP82" s="722"/>
      <c r="AQ82" s="718"/>
      <c r="AS82" s="723"/>
      <c r="AT82" s="723"/>
      <c r="AU82" s="723"/>
      <c r="AV82" s="723"/>
      <c r="AW82" s="723"/>
      <c r="AX82" s="723"/>
      <c r="AY82" s="723"/>
      <c r="AZ82" s="723"/>
      <c r="BA82" s="723"/>
      <c r="BB82" s="723"/>
    </row>
    <row r="83" spans="2:54" s="717" customFormat="1">
      <c r="B83" s="749" t="s">
        <v>415</v>
      </c>
      <c r="C83" s="726"/>
      <c r="D83" s="727"/>
      <c r="E83" s="727"/>
      <c r="F83" s="728"/>
      <c r="G83" s="726"/>
      <c r="H83" s="727"/>
      <c r="I83" s="727"/>
      <c r="J83" s="728"/>
      <c r="K83" s="726"/>
      <c r="L83" s="727"/>
      <c r="M83" s="727"/>
      <c r="N83" s="728"/>
      <c r="O83" s="812">
        <v>10</v>
      </c>
      <c r="P83" s="813">
        <v>10</v>
      </c>
      <c r="Q83" s="813">
        <v>10</v>
      </c>
      <c r="R83" s="814">
        <v>10</v>
      </c>
      <c r="S83" s="812">
        <v>10</v>
      </c>
      <c r="T83" s="813">
        <v>10</v>
      </c>
      <c r="U83" s="813">
        <v>10</v>
      </c>
      <c r="V83" s="814">
        <v>10</v>
      </c>
      <c r="W83" s="812">
        <v>10</v>
      </c>
      <c r="X83" s="813">
        <v>10</v>
      </c>
      <c r="Y83" s="813">
        <v>10</v>
      </c>
      <c r="Z83" s="814">
        <v>10</v>
      </c>
      <c r="AA83" s="812">
        <v>10</v>
      </c>
      <c r="AB83" s="992">
        <v>10</v>
      </c>
      <c r="AC83" s="992">
        <v>10</v>
      </c>
      <c r="AD83" s="992">
        <v>10</v>
      </c>
      <c r="AE83" s="812">
        <v>10</v>
      </c>
      <c r="AF83" s="992">
        <v>10</v>
      </c>
      <c r="AG83" s="992">
        <v>10</v>
      </c>
      <c r="AH83" s="1304">
        <v>10</v>
      </c>
      <c r="AI83" s="992">
        <v>10</v>
      </c>
      <c r="AJ83" s="819">
        <v>10</v>
      </c>
      <c r="AK83" s="819">
        <v>10</v>
      </c>
      <c r="AL83" s="820">
        <v>10</v>
      </c>
      <c r="AM83" s="819">
        <v>10</v>
      </c>
      <c r="AN83" s="819">
        <v>10</v>
      </c>
      <c r="AO83" s="819">
        <v>10</v>
      </c>
      <c r="AP83" s="820">
        <v>10</v>
      </c>
      <c r="AQ83" s="718"/>
      <c r="AS83" s="729"/>
      <c r="AT83" s="729"/>
      <c r="AU83" s="729"/>
      <c r="AV83" s="729">
        <f>AVERAGE(O83:R83)</f>
        <v>10</v>
      </c>
      <c r="AW83" s="729">
        <f>AVERAGE(S83:V83)</f>
        <v>10</v>
      </c>
      <c r="AX83" s="729">
        <f>AVERAGE(W83:Z83)</f>
        <v>10</v>
      </c>
      <c r="AY83" s="729">
        <f>AVERAGE(AA83:AD83)</f>
        <v>10</v>
      </c>
      <c r="AZ83" s="729">
        <f>AVERAGE(AE83:AH83)</f>
        <v>10</v>
      </c>
      <c r="BA83" s="729">
        <f>AVERAGE(AI83:AL83)</f>
        <v>10</v>
      </c>
      <c r="BB83" s="729">
        <f>AVERAGE(AM83:AP83)</f>
        <v>10</v>
      </c>
    </row>
    <row r="84" spans="2:54" s="717" customFormat="1">
      <c r="B84" s="749" t="s">
        <v>416</v>
      </c>
      <c r="C84" s="726"/>
      <c r="D84" s="727"/>
      <c r="E84" s="727"/>
      <c r="F84" s="728"/>
      <c r="G84" s="726"/>
      <c r="H84" s="727"/>
      <c r="I84" s="727"/>
      <c r="J84" s="728"/>
      <c r="K84" s="726"/>
      <c r="L84" s="727"/>
      <c r="M84" s="727"/>
      <c r="N84" s="728"/>
      <c r="O84" s="726"/>
      <c r="P84" s="727"/>
      <c r="Q84" s="727"/>
      <c r="R84" s="728"/>
      <c r="S84" s="812">
        <v>-14</v>
      </c>
      <c r="T84" s="813">
        <v>-21</v>
      </c>
      <c r="U84" s="813">
        <v>-19</v>
      </c>
      <c r="V84" s="814">
        <v>-19</v>
      </c>
      <c r="W84" s="812">
        <v>-15</v>
      </c>
      <c r="X84" s="813">
        <v>-10</v>
      </c>
      <c r="Y84" s="813">
        <v>-8</v>
      </c>
      <c r="Z84" s="814">
        <v>-8</v>
      </c>
      <c r="AA84" s="812">
        <v>-1</v>
      </c>
      <c r="AB84" s="992">
        <v>-1</v>
      </c>
      <c r="AC84" s="992">
        <v>0</v>
      </c>
      <c r="AD84" s="992">
        <v>0</v>
      </c>
      <c r="AE84" s="812">
        <v>-1</v>
      </c>
      <c r="AF84" s="992">
        <v>-1</v>
      </c>
      <c r="AG84" s="992">
        <v>0</v>
      </c>
      <c r="AH84" s="1304">
        <v>0</v>
      </c>
      <c r="AI84" s="992">
        <v>0</v>
      </c>
      <c r="AJ84" s="819">
        <v>0</v>
      </c>
      <c r="AK84" s="819">
        <v>0</v>
      </c>
      <c r="AL84" s="820">
        <v>0</v>
      </c>
      <c r="AM84" s="819">
        <v>0</v>
      </c>
      <c r="AN84" s="819">
        <v>0</v>
      </c>
      <c r="AO84" s="819">
        <v>0</v>
      </c>
      <c r="AP84" s="820">
        <v>0</v>
      </c>
      <c r="AQ84" s="718"/>
      <c r="AS84" s="729"/>
      <c r="AT84" s="729"/>
      <c r="AU84" s="729"/>
      <c r="AV84" s="729"/>
      <c r="AW84" s="729">
        <f>AVERAGE(S84:V84)</f>
        <v>-18.25</v>
      </c>
      <c r="AX84" s="729">
        <f>AVERAGE(W84:Z84)</f>
        <v>-10.25</v>
      </c>
      <c r="AY84" s="729">
        <f>AVERAGE(AA84:AD84)</f>
        <v>-0.5</v>
      </c>
      <c r="AZ84" s="729">
        <f>AVERAGE(AE84:AH84)</f>
        <v>-0.5</v>
      </c>
      <c r="BA84" s="729">
        <f>AVERAGE(AI84:AL84)</f>
        <v>0</v>
      </c>
      <c r="BB84" s="729">
        <f>AVERAGE(AM84:AP84)</f>
        <v>0</v>
      </c>
    </row>
    <row r="85" spans="2:54" s="717" customFormat="1">
      <c r="B85" s="749" t="s">
        <v>417</v>
      </c>
      <c r="C85" s="726"/>
      <c r="D85" s="727"/>
      <c r="E85" s="727"/>
      <c r="F85" s="728"/>
      <c r="G85" s="726"/>
      <c r="H85" s="727"/>
      <c r="I85" s="727"/>
      <c r="J85" s="728"/>
      <c r="K85" s="726"/>
      <c r="L85" s="727"/>
      <c r="M85" s="727"/>
      <c r="N85" s="728"/>
      <c r="O85" s="821">
        <f>O83+O84</f>
        <v>10</v>
      </c>
      <c r="P85" s="822">
        <f t="shared" ref="P85:R85" si="385">P83+P84</f>
        <v>10</v>
      </c>
      <c r="Q85" s="822">
        <f t="shared" si="385"/>
        <v>10</v>
      </c>
      <c r="R85" s="823">
        <f t="shared" si="385"/>
        <v>10</v>
      </c>
      <c r="S85" s="821">
        <f>S83+S84</f>
        <v>-4</v>
      </c>
      <c r="T85" s="822">
        <f t="shared" ref="T85:AD85" si="386">T83+T84</f>
        <v>-11</v>
      </c>
      <c r="U85" s="822">
        <f t="shared" si="386"/>
        <v>-9</v>
      </c>
      <c r="V85" s="823">
        <f t="shared" si="386"/>
        <v>-9</v>
      </c>
      <c r="W85" s="821">
        <f t="shared" si="386"/>
        <v>-5</v>
      </c>
      <c r="X85" s="822">
        <f t="shared" si="386"/>
        <v>0</v>
      </c>
      <c r="Y85" s="822">
        <f t="shared" si="386"/>
        <v>2</v>
      </c>
      <c r="Z85" s="823">
        <f t="shared" si="386"/>
        <v>2</v>
      </c>
      <c r="AA85" s="821">
        <f t="shared" si="386"/>
        <v>9</v>
      </c>
      <c r="AB85" s="822">
        <f t="shared" si="386"/>
        <v>9</v>
      </c>
      <c r="AC85" s="822">
        <f t="shared" si="386"/>
        <v>10</v>
      </c>
      <c r="AD85" s="822">
        <f t="shared" si="386"/>
        <v>10</v>
      </c>
      <c r="AE85" s="821">
        <f t="shared" ref="AE85:AF85" si="387">AE83+AE84</f>
        <v>9</v>
      </c>
      <c r="AF85" s="822">
        <f t="shared" si="387"/>
        <v>9</v>
      </c>
      <c r="AG85" s="822">
        <f t="shared" ref="AG85:AH85" si="388">AG83+AG84</f>
        <v>10</v>
      </c>
      <c r="AH85" s="1305">
        <f t="shared" si="388"/>
        <v>10</v>
      </c>
      <c r="AI85" s="822">
        <f t="shared" ref="AI85" si="389">AI83+AI84</f>
        <v>10</v>
      </c>
      <c r="AJ85" s="822">
        <f t="shared" ref="AJ85:AL85" si="390">AJ83+AJ84</f>
        <v>10</v>
      </c>
      <c r="AK85" s="822">
        <f t="shared" si="390"/>
        <v>10</v>
      </c>
      <c r="AL85" s="823">
        <f t="shared" si="390"/>
        <v>10</v>
      </c>
      <c r="AM85" s="822">
        <f t="shared" ref="AM85:AP85" si="391">AM83+AM84</f>
        <v>10</v>
      </c>
      <c r="AN85" s="822">
        <f t="shared" si="391"/>
        <v>10</v>
      </c>
      <c r="AO85" s="822">
        <f t="shared" si="391"/>
        <v>10</v>
      </c>
      <c r="AP85" s="823">
        <f t="shared" si="391"/>
        <v>10</v>
      </c>
      <c r="AQ85" s="718"/>
      <c r="AS85" s="729"/>
      <c r="AT85" s="729"/>
      <c r="AU85" s="729"/>
      <c r="AV85" s="729">
        <f>AVERAGE(O85:R85)</f>
        <v>10</v>
      </c>
      <c r="AW85" s="729">
        <f>AVERAGE(S85:V85)</f>
        <v>-8.25</v>
      </c>
      <c r="AX85" s="729">
        <f>AVERAGE(W85:Z85)</f>
        <v>-0.25</v>
      </c>
      <c r="AY85" s="729">
        <f>AVERAGE(AA85:AD85)</f>
        <v>9.5</v>
      </c>
      <c r="AZ85" s="729">
        <f>AVERAGE(AE85:AH85)</f>
        <v>9.5</v>
      </c>
      <c r="BA85" s="729">
        <f>AVERAGE(AI85:AL85)</f>
        <v>10</v>
      </c>
      <c r="BB85" s="729">
        <f>AVERAGE(AM85:AP85)</f>
        <v>10</v>
      </c>
    </row>
    <row r="86" spans="2:54" s="717" customFormat="1">
      <c r="B86" s="749" t="s">
        <v>418</v>
      </c>
      <c r="C86" s="726"/>
      <c r="D86" s="727"/>
      <c r="E86" s="727"/>
      <c r="F86" s="728"/>
      <c r="G86" s="726"/>
      <c r="H86" s="727"/>
      <c r="I86" s="727"/>
      <c r="J86" s="728"/>
      <c r="K86" s="726"/>
      <c r="L86" s="727"/>
      <c r="M86" s="727"/>
      <c r="N86" s="728"/>
      <c r="O86" s="821"/>
      <c r="P86" s="822"/>
      <c r="Q86" s="822"/>
      <c r="R86" s="823"/>
      <c r="S86" s="821">
        <f>S84*S79</f>
        <v>-67.586206896551715</v>
      </c>
      <c r="T86" s="822">
        <f t="shared" ref="T86:AD86" si="392">T84*T79</f>
        <v>-189.18918918918916</v>
      </c>
      <c r="U86" s="822">
        <f t="shared" si="392"/>
        <v>-249.18032786885246</v>
      </c>
      <c r="V86" s="823">
        <f t="shared" si="392"/>
        <v>-255.22388059701493</v>
      </c>
      <c r="W86" s="821">
        <f t="shared" si="392"/>
        <v>-105</v>
      </c>
      <c r="X86" s="822">
        <f t="shared" si="392"/>
        <v>-100</v>
      </c>
      <c r="Y86" s="822">
        <f t="shared" si="392"/>
        <v>-64</v>
      </c>
      <c r="Z86" s="823">
        <f t="shared" si="392"/>
        <v>-72</v>
      </c>
      <c r="AA86" s="821">
        <f t="shared" si="392"/>
        <v>-3.9200000000000004</v>
      </c>
      <c r="AB86" s="822">
        <f t="shared" si="392"/>
        <v>-5.0999999999999996</v>
      </c>
      <c r="AC86" s="822">
        <f t="shared" si="392"/>
        <v>0</v>
      </c>
      <c r="AD86" s="822">
        <f t="shared" si="392"/>
        <v>0</v>
      </c>
      <c r="AE86" s="821">
        <f t="shared" ref="AE86:AF86" si="393">AE84*AE79</f>
        <v>-3.9200000000000004</v>
      </c>
      <c r="AF86" s="822">
        <f t="shared" si="393"/>
        <v>-4.08</v>
      </c>
      <c r="AG86" s="822">
        <f t="shared" ref="AG86:AH86" si="394">AG84*AG79</f>
        <v>0</v>
      </c>
      <c r="AH86" s="1305">
        <f t="shared" si="394"/>
        <v>0</v>
      </c>
      <c r="AI86" s="822">
        <f t="shared" ref="AI86" si="395">AI84*AI79</f>
        <v>0</v>
      </c>
      <c r="AJ86" s="822">
        <f t="shared" ref="AJ86:AL86" si="396">AJ84*AJ79</f>
        <v>0</v>
      </c>
      <c r="AK86" s="822">
        <f t="shared" si="396"/>
        <v>0</v>
      </c>
      <c r="AL86" s="823">
        <f t="shared" si="396"/>
        <v>0</v>
      </c>
      <c r="AM86" s="822">
        <f t="shared" ref="AM86:AP86" si="397">AM84*AM79</f>
        <v>0</v>
      </c>
      <c r="AN86" s="822">
        <f t="shared" si="397"/>
        <v>0</v>
      </c>
      <c r="AO86" s="822">
        <f t="shared" si="397"/>
        <v>0</v>
      </c>
      <c r="AP86" s="823">
        <f t="shared" si="397"/>
        <v>0</v>
      </c>
      <c r="AQ86" s="718"/>
      <c r="AS86" s="729">
        <f>SUM(C86:F86)</f>
        <v>0</v>
      </c>
      <c r="AT86" s="729">
        <f>SUM(G86:J86)</f>
        <v>0</v>
      </c>
      <c r="AU86" s="729">
        <f>SUM(K86:N86)</f>
        <v>0</v>
      </c>
      <c r="AV86" s="729">
        <f>SUM(O86:R86)</f>
        <v>0</v>
      </c>
      <c r="AW86" s="729">
        <f>SUM(S86:V86)</f>
        <v>-761.17960455160835</v>
      </c>
      <c r="AX86" s="729">
        <f>SUM(W86:Z86)</f>
        <v>-341</v>
      </c>
      <c r="AY86" s="729">
        <f>SUM(AA86:AD86)</f>
        <v>-9.02</v>
      </c>
      <c r="AZ86" s="729">
        <f>SUM(AE86:AH86)</f>
        <v>-8</v>
      </c>
      <c r="BA86" s="729">
        <f>SUM(AI86:AL86)</f>
        <v>0</v>
      </c>
      <c r="BB86" s="729">
        <f>SUM(AM86:AP86)</f>
        <v>0</v>
      </c>
    </row>
    <row r="87" spans="2:54" s="717" customFormat="1">
      <c r="B87" s="749"/>
      <c r="C87" s="726"/>
      <c r="D87" s="727"/>
      <c r="E87" s="727"/>
      <c r="F87" s="728"/>
      <c r="G87" s="726"/>
      <c r="H87" s="727"/>
      <c r="I87" s="727"/>
      <c r="J87" s="728"/>
      <c r="K87" s="726"/>
      <c r="L87" s="727"/>
      <c r="M87" s="727"/>
      <c r="N87" s="728"/>
      <c r="O87" s="726"/>
      <c r="P87" s="727"/>
      <c r="Q87" s="727"/>
      <c r="R87" s="728"/>
      <c r="S87" s="726"/>
      <c r="T87" s="727"/>
      <c r="U87" s="727"/>
      <c r="V87" s="728"/>
      <c r="W87" s="720"/>
      <c r="X87" s="721"/>
      <c r="Y87" s="721"/>
      <c r="Z87" s="722"/>
      <c r="AA87" s="720"/>
      <c r="AB87" s="721"/>
      <c r="AC87" s="721"/>
      <c r="AD87" s="721"/>
      <c r="AE87" s="720"/>
      <c r="AF87" s="721"/>
      <c r="AG87" s="721"/>
      <c r="AH87" s="1296"/>
      <c r="AI87" s="721"/>
      <c r="AJ87" s="721"/>
      <c r="AK87" s="721"/>
      <c r="AL87" s="722"/>
      <c r="AM87" s="721"/>
      <c r="AN87" s="721"/>
      <c r="AO87" s="721"/>
      <c r="AP87" s="722"/>
      <c r="AQ87" s="718"/>
      <c r="AS87" s="723"/>
      <c r="AT87" s="723"/>
      <c r="AU87" s="723"/>
      <c r="AV87" s="723"/>
      <c r="AW87" s="723"/>
      <c r="AX87" s="723"/>
      <c r="AY87" s="723"/>
      <c r="AZ87" s="723"/>
      <c r="BA87" s="723"/>
      <c r="BB87" s="723"/>
    </row>
    <row r="88" spans="2:54" s="717" customFormat="1">
      <c r="B88" s="749" t="s">
        <v>419</v>
      </c>
      <c r="C88" s="726"/>
      <c r="D88" s="727"/>
      <c r="E88" s="727"/>
      <c r="F88" s="728"/>
      <c r="G88" s="726"/>
      <c r="H88" s="727"/>
      <c r="I88" s="727"/>
      <c r="J88" s="728"/>
      <c r="K88" s="726"/>
      <c r="L88" s="727"/>
      <c r="M88" s="727"/>
      <c r="N88" s="728"/>
      <c r="O88" s="726">
        <f t="shared" ref="O88:AB88" si="398">O71+O75</f>
        <v>404</v>
      </c>
      <c r="P88" s="727">
        <f t="shared" si="398"/>
        <v>292</v>
      </c>
      <c r="Q88" s="727">
        <f t="shared" si="398"/>
        <v>353</v>
      </c>
      <c r="R88" s="728">
        <f t="shared" si="398"/>
        <v>326</v>
      </c>
      <c r="S88" s="726">
        <f t="shared" si="398"/>
        <v>156</v>
      </c>
      <c r="T88" s="727">
        <f t="shared" si="398"/>
        <v>51</v>
      </c>
      <c r="U88" s="727">
        <f t="shared" si="398"/>
        <v>1</v>
      </c>
      <c r="V88" s="728">
        <f t="shared" si="398"/>
        <v>-6</v>
      </c>
      <c r="W88" s="726">
        <f t="shared" si="398"/>
        <v>79.022618342149144</v>
      </c>
      <c r="X88" s="727">
        <f t="shared" si="398"/>
        <v>116.31322451825508</v>
      </c>
      <c r="Y88" s="727">
        <f t="shared" si="398"/>
        <v>59.620613214159675</v>
      </c>
      <c r="Z88" s="728">
        <f t="shared" si="398"/>
        <v>70.752080049011056</v>
      </c>
      <c r="AA88" s="726">
        <f t="shared" si="398"/>
        <v>115.28</v>
      </c>
      <c r="AB88" s="727">
        <f t="shared" si="398"/>
        <v>140.9</v>
      </c>
      <c r="AC88" s="727">
        <f>AC71+AC75</f>
        <v>360</v>
      </c>
      <c r="AD88" s="727">
        <f>AD71+AD75</f>
        <v>360</v>
      </c>
      <c r="AE88" s="726">
        <f t="shared" ref="AE88" si="399">AE71+AE75</f>
        <v>235.28</v>
      </c>
      <c r="AF88" s="727">
        <f t="shared" ref="AF88" si="400">AF71+AF75</f>
        <v>236.72</v>
      </c>
      <c r="AG88" s="727">
        <f t="shared" ref="AG88:AH88" si="401">AG71+AG75</f>
        <v>440</v>
      </c>
      <c r="AH88" s="1152">
        <f t="shared" si="401"/>
        <v>365</v>
      </c>
      <c r="AI88" s="727">
        <f t="shared" ref="AI88" si="402">AI71+AI75</f>
        <v>265</v>
      </c>
      <c r="AJ88" s="727">
        <f t="shared" ref="AJ88:AL88" si="403">AJ71+AJ75</f>
        <v>255.6</v>
      </c>
      <c r="AK88" s="727">
        <f t="shared" si="403"/>
        <v>355</v>
      </c>
      <c r="AL88" s="728">
        <f t="shared" si="403"/>
        <v>355</v>
      </c>
      <c r="AM88" s="727">
        <f t="shared" ref="AM88:AP88" si="404">AM71+AM75</f>
        <v>255</v>
      </c>
      <c r="AN88" s="727">
        <f t="shared" si="404"/>
        <v>247.95</v>
      </c>
      <c r="AO88" s="727">
        <f t="shared" si="404"/>
        <v>347.5</v>
      </c>
      <c r="AP88" s="728">
        <f t="shared" si="404"/>
        <v>347.5</v>
      </c>
      <c r="AQ88" s="718"/>
      <c r="AS88" s="729">
        <f>SUM(C88:F88)</f>
        <v>0</v>
      </c>
      <c r="AT88" s="729">
        <f>SUM(G88:J88)</f>
        <v>0</v>
      </c>
      <c r="AU88" s="729">
        <f>SUM(K88:N88)</f>
        <v>0</v>
      </c>
      <c r="AV88" s="729">
        <f>SUM(O88:R88)</f>
        <v>1375</v>
      </c>
      <c r="AW88" s="824">
        <f>SUM(S88:V88)</f>
        <v>202</v>
      </c>
      <c r="AX88" s="824">
        <f>SUM(W88:Z88)</f>
        <v>325.70853612357496</v>
      </c>
      <c r="AY88" s="824">
        <f>SUM(AA88:AD88)</f>
        <v>976.18000000000006</v>
      </c>
      <c r="AZ88" s="824">
        <f>SUM(AE88:AH88)</f>
        <v>1277</v>
      </c>
      <c r="BA88" s="824">
        <f>SUM(AI88:AL88)</f>
        <v>1230.5999999999999</v>
      </c>
      <c r="BB88" s="824">
        <f>SUM(AM88:AP88)</f>
        <v>1197.95</v>
      </c>
    </row>
    <row r="89" spans="2:54" s="745" customFormat="1">
      <c r="B89" s="741" t="s">
        <v>420</v>
      </c>
      <c r="C89" s="742"/>
      <c r="D89" s="743"/>
      <c r="E89" s="743"/>
      <c r="F89" s="744"/>
      <c r="G89" s="742"/>
      <c r="H89" s="743"/>
      <c r="I89" s="743"/>
      <c r="J89" s="744"/>
      <c r="K89" s="742"/>
      <c r="L89" s="743"/>
      <c r="M89" s="743"/>
      <c r="N89" s="744"/>
      <c r="O89" s="742">
        <f t="shared" ref="O89:R89" si="405">O264</f>
        <v>404</v>
      </c>
      <c r="P89" s="743">
        <f t="shared" si="405"/>
        <v>292</v>
      </c>
      <c r="Q89" s="743">
        <f t="shared" si="405"/>
        <v>353</v>
      </c>
      <c r="R89" s="744">
        <f t="shared" si="405"/>
        <v>326</v>
      </c>
      <c r="S89" s="742">
        <f>S264</f>
        <v>156</v>
      </c>
      <c r="T89" s="743">
        <f t="shared" ref="T89:V89" si="406">T264</f>
        <v>51</v>
      </c>
      <c r="U89" s="743">
        <f t="shared" si="406"/>
        <v>1</v>
      </c>
      <c r="V89" s="744">
        <f t="shared" si="406"/>
        <v>-6</v>
      </c>
      <c r="W89" s="806"/>
      <c r="X89" s="807"/>
      <c r="Y89" s="807"/>
      <c r="Z89" s="808"/>
      <c r="AA89" s="806"/>
      <c r="AB89" s="807"/>
      <c r="AC89" s="807"/>
      <c r="AD89" s="807"/>
      <c r="AE89" s="806"/>
      <c r="AF89" s="807"/>
      <c r="AG89" s="807"/>
      <c r="AH89" s="808"/>
      <c r="AI89" s="807"/>
      <c r="AJ89" s="807"/>
      <c r="AK89" s="807"/>
      <c r="AL89" s="808"/>
      <c r="AM89" s="807"/>
      <c r="AN89" s="807"/>
      <c r="AO89" s="807"/>
      <c r="AP89" s="808"/>
      <c r="AQ89" s="746"/>
      <c r="AS89" s="748"/>
      <c r="AT89" s="748"/>
      <c r="AU89" s="748"/>
      <c r="AV89" s="748"/>
      <c r="AW89" s="748"/>
      <c r="AX89" s="748"/>
      <c r="AY89" s="748"/>
      <c r="AZ89" s="748"/>
      <c r="BA89" s="748"/>
      <c r="BB89" s="748"/>
    </row>
    <row r="90" spans="2:54" s="717" customFormat="1">
      <c r="B90" s="749" t="s">
        <v>356</v>
      </c>
      <c r="C90" s="726"/>
      <c r="D90" s="727"/>
      <c r="E90" s="727"/>
      <c r="F90" s="728"/>
      <c r="G90" s="726"/>
      <c r="H90" s="727"/>
      <c r="I90" s="727"/>
      <c r="J90" s="728"/>
      <c r="K90" s="726"/>
      <c r="L90" s="727"/>
      <c r="M90" s="727"/>
      <c r="N90" s="728"/>
      <c r="O90" s="726">
        <f t="shared" ref="O90:R90" si="407">O89-O88</f>
        <v>0</v>
      </c>
      <c r="P90" s="727">
        <f t="shared" si="407"/>
        <v>0</v>
      </c>
      <c r="Q90" s="727">
        <f t="shared" si="407"/>
        <v>0</v>
      </c>
      <c r="R90" s="728">
        <f t="shared" si="407"/>
        <v>0</v>
      </c>
      <c r="S90" s="726">
        <f>S89-S88</f>
        <v>0</v>
      </c>
      <c r="T90" s="727">
        <f t="shared" ref="T90:V90" si="408">T89-T88</f>
        <v>0</v>
      </c>
      <c r="U90" s="727">
        <f t="shared" si="408"/>
        <v>0</v>
      </c>
      <c r="V90" s="728">
        <f t="shared" si="408"/>
        <v>0</v>
      </c>
      <c r="W90" s="731"/>
      <c r="X90" s="732"/>
      <c r="Y90" s="732"/>
      <c r="Z90" s="733"/>
      <c r="AA90" s="720"/>
      <c r="AB90" s="721"/>
      <c r="AC90" s="721"/>
      <c r="AD90" s="721"/>
      <c r="AE90" s="720"/>
      <c r="AF90" s="721"/>
      <c r="AG90" s="721"/>
      <c r="AH90" s="1296"/>
      <c r="AI90" s="721"/>
      <c r="AJ90" s="721"/>
      <c r="AK90" s="721"/>
      <c r="AL90" s="722"/>
      <c r="AM90" s="721"/>
      <c r="AN90" s="721"/>
      <c r="AO90" s="721"/>
      <c r="AP90" s="722"/>
      <c r="AQ90" s="718"/>
      <c r="AS90" s="723"/>
      <c r="AT90" s="723"/>
      <c r="AU90" s="723"/>
      <c r="AV90" s="723"/>
      <c r="AW90" s="723"/>
      <c r="AX90" s="723"/>
      <c r="AY90" s="723"/>
      <c r="AZ90" s="723"/>
      <c r="BA90" s="723"/>
      <c r="BB90" s="723"/>
    </row>
    <row r="91" spans="2:54" s="717" customFormat="1">
      <c r="B91" s="749" t="s">
        <v>409</v>
      </c>
      <c r="C91" s="726"/>
      <c r="D91" s="727"/>
      <c r="E91" s="727"/>
      <c r="F91" s="728"/>
      <c r="G91" s="726"/>
      <c r="H91" s="727"/>
      <c r="I91" s="727"/>
      <c r="J91" s="728"/>
      <c r="K91" s="726"/>
      <c r="L91" s="727"/>
      <c r="M91" s="727"/>
      <c r="N91" s="728"/>
      <c r="O91" s="726"/>
      <c r="P91" s="727"/>
      <c r="Q91" s="727"/>
      <c r="R91" s="728"/>
      <c r="S91" s="726"/>
      <c r="T91" s="727"/>
      <c r="U91" s="727"/>
      <c r="V91" s="728"/>
      <c r="W91" s="731">
        <f t="shared" ref="W91:AD91" si="409">W66</f>
        <v>7340.9773816578509</v>
      </c>
      <c r="X91" s="732">
        <f t="shared" si="409"/>
        <v>7420.6867754817449</v>
      </c>
      <c r="Y91" s="732">
        <f t="shared" si="409"/>
        <v>8446.3793867858421</v>
      </c>
      <c r="Z91" s="733">
        <f t="shared" si="409"/>
        <v>8685.2479199509889</v>
      </c>
      <c r="AA91" s="731">
        <f t="shared" si="409"/>
        <v>7433.7199999999993</v>
      </c>
      <c r="AB91" s="732">
        <f t="shared" ref="AB91" si="410">AB66</f>
        <v>7197.1</v>
      </c>
      <c r="AC91" s="732">
        <f t="shared" si="409"/>
        <v>8532.2722552830182</v>
      </c>
      <c r="AD91" s="732">
        <f t="shared" si="409"/>
        <v>8769.2115994318447</v>
      </c>
      <c r="AE91" s="731">
        <f t="shared" ref="AE91" si="411">AE66</f>
        <v>7740.7199167780018</v>
      </c>
      <c r="AF91" s="732">
        <f t="shared" ref="AF91:AI91" si="412">AF66</f>
        <v>7976.6138344471001</v>
      </c>
      <c r="AG91" s="732">
        <f t="shared" si="412"/>
        <v>8420.2596331512468</v>
      </c>
      <c r="AH91" s="1290">
        <f t="shared" si="412"/>
        <v>8588.958424775692</v>
      </c>
      <c r="AI91" s="731">
        <f t="shared" si="412"/>
        <v>7954.6934183157427</v>
      </c>
      <c r="AJ91" s="732">
        <f t="shared" ref="AJ91:AL91" si="413">AJ66</f>
        <v>8083.6498324156992</v>
      </c>
      <c r="AK91" s="732">
        <f t="shared" si="413"/>
        <v>8485.3323240364844</v>
      </c>
      <c r="AL91" s="733">
        <f t="shared" si="413"/>
        <v>8474.6969038612733</v>
      </c>
      <c r="AM91" s="732">
        <f t="shared" ref="AM91:AP91" si="414">AM66</f>
        <v>7452.7811694229013</v>
      </c>
      <c r="AN91" s="732">
        <f t="shared" si="414"/>
        <v>7600.8367928113603</v>
      </c>
      <c r="AO91" s="732">
        <f t="shared" si="414"/>
        <v>8233.136241618613</v>
      </c>
      <c r="AP91" s="733">
        <f t="shared" si="414"/>
        <v>8246.7353055439671</v>
      </c>
      <c r="AQ91" s="718"/>
      <c r="AS91" s="729">
        <f>SUM(C91:F91)</f>
        <v>0</v>
      </c>
      <c r="AT91" s="729">
        <f>SUM(G91:J91)</f>
        <v>0</v>
      </c>
      <c r="AU91" s="729">
        <f>SUM(K91:N91)</f>
        <v>0</v>
      </c>
      <c r="AV91" s="729">
        <f>SUM(O91:R91)</f>
        <v>0</v>
      </c>
      <c r="AW91" s="824">
        <f>SUM(S91:V91)</f>
        <v>0</v>
      </c>
      <c r="AX91" s="824">
        <f>SUM(W91:Z91)</f>
        <v>31893.291463876427</v>
      </c>
      <c r="AY91" s="824">
        <f>SUM(AA91:AD91)</f>
        <v>31932.303854714861</v>
      </c>
      <c r="AZ91" s="824"/>
      <c r="BA91" s="824"/>
      <c r="BB91" s="824"/>
    </row>
    <row r="92" spans="2:54" s="717" customFormat="1">
      <c r="B92" s="749" t="s">
        <v>419</v>
      </c>
      <c r="C92" s="726"/>
      <c r="D92" s="727"/>
      <c r="E92" s="727"/>
      <c r="F92" s="728"/>
      <c r="G92" s="726"/>
      <c r="H92" s="727"/>
      <c r="I92" s="727"/>
      <c r="J92" s="728"/>
      <c r="K92" s="726"/>
      <c r="L92" s="727"/>
      <c r="M92" s="727"/>
      <c r="N92" s="728"/>
      <c r="O92" s="726"/>
      <c r="P92" s="727"/>
      <c r="Q92" s="727"/>
      <c r="R92" s="728"/>
      <c r="S92" s="726"/>
      <c r="T92" s="727"/>
      <c r="U92" s="727"/>
      <c r="V92" s="728"/>
      <c r="W92" s="731">
        <f t="shared" ref="W92:AD92" si="415">W88</f>
        <v>79.022618342149144</v>
      </c>
      <c r="X92" s="732">
        <f t="shared" si="415"/>
        <v>116.31322451825508</v>
      </c>
      <c r="Y92" s="732">
        <f t="shared" si="415"/>
        <v>59.620613214159675</v>
      </c>
      <c r="Z92" s="733">
        <f t="shared" si="415"/>
        <v>70.752080049011056</v>
      </c>
      <c r="AA92" s="731">
        <f t="shared" si="415"/>
        <v>115.28</v>
      </c>
      <c r="AB92" s="732">
        <f t="shared" ref="AB92" si="416">AB88</f>
        <v>140.9</v>
      </c>
      <c r="AC92" s="732">
        <f t="shared" si="415"/>
        <v>360</v>
      </c>
      <c r="AD92" s="732">
        <f t="shared" si="415"/>
        <v>360</v>
      </c>
      <c r="AE92" s="1042">
        <f t="shared" ref="AE92" si="417">AE88</f>
        <v>235.28</v>
      </c>
      <c r="AF92" s="1043">
        <f t="shared" ref="AF92:AI92" si="418">AF88</f>
        <v>236.72</v>
      </c>
      <c r="AG92" s="1043">
        <f t="shared" si="418"/>
        <v>440</v>
      </c>
      <c r="AH92" s="1044">
        <f t="shared" si="418"/>
        <v>365</v>
      </c>
      <c r="AI92" s="1042">
        <f t="shared" si="418"/>
        <v>265</v>
      </c>
      <c r="AJ92" s="732">
        <f t="shared" ref="AJ92:AL92" si="419">AJ88</f>
        <v>255.6</v>
      </c>
      <c r="AK92" s="732">
        <f t="shared" si="419"/>
        <v>355</v>
      </c>
      <c r="AL92" s="733">
        <f t="shared" si="419"/>
        <v>355</v>
      </c>
      <c r="AM92" s="732">
        <f t="shared" ref="AM92:AP92" si="420">AM88</f>
        <v>255</v>
      </c>
      <c r="AN92" s="732">
        <f t="shared" si="420"/>
        <v>247.95</v>
      </c>
      <c r="AO92" s="732">
        <f t="shared" si="420"/>
        <v>347.5</v>
      </c>
      <c r="AP92" s="733">
        <f t="shared" si="420"/>
        <v>347.5</v>
      </c>
      <c r="AQ92" s="718"/>
      <c r="AS92" s="729">
        <f>SUM(C92:F92)</f>
        <v>0</v>
      </c>
      <c r="AT92" s="729">
        <f>SUM(G92:J92)</f>
        <v>0</v>
      </c>
      <c r="AU92" s="729">
        <f>SUM(K92:N92)</f>
        <v>0</v>
      </c>
      <c r="AV92" s="729">
        <f>SUM(O92:R92)</f>
        <v>0</v>
      </c>
      <c r="AW92" s="824">
        <f>SUM(S92:V92)</f>
        <v>0</v>
      </c>
      <c r="AX92" s="824">
        <f>SUM(W92:Z92)</f>
        <v>325.70853612357496</v>
      </c>
      <c r="AY92" s="824">
        <f>SUM(AA92:AD92)</f>
        <v>976.18000000000006</v>
      </c>
      <c r="AZ92" s="824"/>
      <c r="BA92" s="824"/>
      <c r="BB92" s="824"/>
    </row>
    <row r="93" spans="2:54" s="745" customFormat="1">
      <c r="B93" s="741" t="s">
        <v>421</v>
      </c>
      <c r="C93" s="742"/>
      <c r="D93" s="743"/>
      <c r="E93" s="743"/>
      <c r="F93" s="744"/>
      <c r="G93" s="742"/>
      <c r="H93" s="743"/>
      <c r="I93" s="743"/>
      <c r="J93" s="744"/>
      <c r="K93" s="742"/>
      <c r="L93" s="743"/>
      <c r="M93" s="743"/>
      <c r="N93" s="744"/>
      <c r="O93" s="742"/>
      <c r="P93" s="743"/>
      <c r="Q93" s="743"/>
      <c r="R93" s="744"/>
      <c r="S93" s="742"/>
      <c r="T93" s="743"/>
      <c r="U93" s="743"/>
      <c r="V93" s="744"/>
      <c r="W93" s="742">
        <f>W244</f>
        <v>7420</v>
      </c>
      <c r="X93" s="743">
        <f t="shared" ref="X93:Z93" si="421">X244</f>
        <v>7537</v>
      </c>
      <c r="Y93" s="743">
        <f t="shared" si="421"/>
        <v>8506</v>
      </c>
      <c r="Z93" s="744">
        <f t="shared" si="421"/>
        <v>8756</v>
      </c>
      <c r="AA93" s="742">
        <f>AA244</f>
        <v>7549</v>
      </c>
      <c r="AB93" s="743">
        <f t="shared" ref="AB93" si="422">AB244</f>
        <v>7338</v>
      </c>
      <c r="AC93" s="825">
        <f>AC4</f>
        <v>8892.2722552830182</v>
      </c>
      <c r="AD93" s="826">
        <f>AD4</f>
        <v>9129.2115994318447</v>
      </c>
      <c r="AE93" s="1146">
        <f>AE4</f>
        <v>7975.9999167780015</v>
      </c>
      <c r="AF93" s="825">
        <f t="shared" ref="AF93:AH93" si="423">AF4</f>
        <v>8213.3338344470994</v>
      </c>
      <c r="AG93" s="825">
        <f t="shared" si="423"/>
        <v>8860.2596331512468</v>
      </c>
      <c r="AH93" s="826">
        <f t="shared" si="423"/>
        <v>8953.958424775692</v>
      </c>
      <c r="AI93" s="1146">
        <f>AI4</f>
        <v>8219.6934183157427</v>
      </c>
      <c r="AJ93" s="825">
        <f t="shared" ref="AJ93:AL93" si="424">AJ4</f>
        <v>8339.2498324156986</v>
      </c>
      <c r="AK93" s="825">
        <f t="shared" si="424"/>
        <v>8840.3323240364844</v>
      </c>
      <c r="AL93" s="826">
        <f t="shared" si="424"/>
        <v>8829.6969038612733</v>
      </c>
      <c r="AM93" s="825">
        <f t="shared" ref="AM93:AP93" si="425">AM4</f>
        <v>7707.7811694229013</v>
      </c>
      <c r="AN93" s="825">
        <f t="shared" si="425"/>
        <v>7848.7867928113601</v>
      </c>
      <c r="AO93" s="825">
        <f t="shared" si="425"/>
        <v>8580.636241618613</v>
      </c>
      <c r="AP93" s="826">
        <f t="shared" si="425"/>
        <v>8594.2353055439671</v>
      </c>
      <c r="AQ93" s="746"/>
      <c r="AS93" s="747">
        <f>SUM(C93:F93)</f>
        <v>0</v>
      </c>
      <c r="AT93" s="747">
        <f>SUM(G93:J93)</f>
        <v>0</v>
      </c>
      <c r="AU93" s="747">
        <f>SUM(K93:N93)</f>
        <v>0</v>
      </c>
      <c r="AV93" s="747">
        <f>SUM(O93:R93)</f>
        <v>0</v>
      </c>
      <c r="AW93" s="747">
        <f>SUM(S93:V93)</f>
        <v>0</v>
      </c>
      <c r="AX93" s="747">
        <f>SUM(W93:Z93)</f>
        <v>32219</v>
      </c>
      <c r="AY93" s="747">
        <f>SUM(AA93:AD93)</f>
        <v>32908.483854714861</v>
      </c>
      <c r="AZ93" s="747"/>
      <c r="BA93" s="747"/>
      <c r="BB93" s="747"/>
    </row>
    <row r="94" spans="2:54" s="721" customFormat="1">
      <c r="B94" s="749" t="s">
        <v>356</v>
      </c>
      <c r="C94" s="827"/>
      <c r="D94" s="828"/>
      <c r="E94" s="828"/>
      <c r="F94" s="829"/>
      <c r="G94" s="827"/>
      <c r="H94" s="828"/>
      <c r="I94" s="828"/>
      <c r="J94" s="829"/>
      <c r="K94" s="827"/>
      <c r="L94" s="828"/>
      <c r="M94" s="828"/>
      <c r="N94" s="829"/>
      <c r="O94" s="827"/>
      <c r="P94" s="828"/>
      <c r="Q94" s="828"/>
      <c r="R94" s="829"/>
      <c r="S94" s="827"/>
      <c r="T94" s="828"/>
      <c r="U94" s="828"/>
      <c r="V94" s="829"/>
      <c r="W94" s="731">
        <f>W93-SUM(W91:W92)</f>
        <v>0</v>
      </c>
      <c r="X94" s="732">
        <f t="shared" ref="X94:Z94" si="426">X93-SUM(X91:X92)</f>
        <v>0</v>
      </c>
      <c r="Y94" s="732">
        <f t="shared" si="426"/>
        <v>0</v>
      </c>
      <c r="Z94" s="733">
        <f t="shared" si="426"/>
        <v>0</v>
      </c>
      <c r="AA94" s="731">
        <f>AA93-SUM(AA91:AA92)</f>
        <v>0</v>
      </c>
      <c r="AB94" s="732">
        <f t="shared" ref="AB94:AD94" si="427">AB93-SUM(AB91:AB92)</f>
        <v>0</v>
      </c>
      <c r="AC94" s="732">
        <f t="shared" si="427"/>
        <v>0</v>
      </c>
      <c r="AD94" s="1068">
        <f t="shared" si="427"/>
        <v>0</v>
      </c>
      <c r="AE94" s="731">
        <f>AE93-SUM(AE91:AE92)</f>
        <v>0</v>
      </c>
      <c r="AF94" s="732">
        <f t="shared" ref="AF94:AH94" si="428">AF93-SUM(AF91:AF92)</f>
        <v>0</v>
      </c>
      <c r="AG94" s="732">
        <f t="shared" si="428"/>
        <v>0</v>
      </c>
      <c r="AH94" s="1041">
        <f t="shared" si="428"/>
        <v>0</v>
      </c>
      <c r="AI94" s="732">
        <f t="shared" ref="AI94:AL94" si="429">AI93-SUM(AI91:AI92)</f>
        <v>0</v>
      </c>
      <c r="AJ94" s="732">
        <f t="shared" si="429"/>
        <v>0</v>
      </c>
      <c r="AK94" s="732">
        <f t="shared" si="429"/>
        <v>0</v>
      </c>
      <c r="AL94" s="733">
        <f t="shared" si="429"/>
        <v>0</v>
      </c>
      <c r="AM94" s="732">
        <f t="shared" ref="AM94:AP94" si="430">AM93-SUM(AM91:AM92)</f>
        <v>0</v>
      </c>
      <c r="AN94" s="732">
        <f t="shared" si="430"/>
        <v>0</v>
      </c>
      <c r="AO94" s="732">
        <f t="shared" si="430"/>
        <v>0</v>
      </c>
      <c r="AP94" s="733">
        <f t="shared" si="430"/>
        <v>0</v>
      </c>
      <c r="AQ94" s="830"/>
      <c r="AS94" s="831"/>
      <c r="AT94" s="831"/>
      <c r="AU94" s="831"/>
      <c r="AV94" s="831"/>
      <c r="AW94" s="831"/>
      <c r="AX94" s="831"/>
      <c r="AY94" s="831"/>
      <c r="AZ94" s="831"/>
      <c r="BA94" s="831"/>
      <c r="BB94" s="831"/>
    </row>
    <row r="95" spans="2:54" s="721" customFormat="1">
      <c r="B95" s="832"/>
      <c r="C95" s="827"/>
      <c r="D95" s="828"/>
      <c r="E95" s="828"/>
      <c r="F95" s="829"/>
      <c r="G95" s="827"/>
      <c r="H95" s="828"/>
      <c r="I95" s="828"/>
      <c r="J95" s="829"/>
      <c r="K95" s="827"/>
      <c r="L95" s="828"/>
      <c r="M95" s="828"/>
      <c r="N95" s="829"/>
      <c r="O95" s="827"/>
      <c r="P95" s="828"/>
      <c r="Q95" s="828"/>
      <c r="R95" s="829"/>
      <c r="S95" s="827"/>
      <c r="T95" s="828"/>
      <c r="U95" s="828"/>
      <c r="V95" s="829"/>
      <c r="W95" s="827"/>
      <c r="X95" s="828"/>
      <c r="Y95" s="828"/>
      <c r="Z95" s="829"/>
      <c r="AA95" s="720"/>
      <c r="AD95" s="1064"/>
      <c r="AE95" s="720"/>
      <c r="AH95" s="1237"/>
      <c r="AL95" s="722"/>
      <c r="AP95" s="722"/>
      <c r="AQ95" s="830"/>
      <c r="AS95" s="831"/>
      <c r="AT95" s="831"/>
      <c r="AU95" s="831"/>
      <c r="AV95" s="831"/>
      <c r="AW95" s="831"/>
      <c r="AX95" s="831"/>
      <c r="AY95" s="831"/>
      <c r="AZ95" s="831"/>
      <c r="BA95" s="831"/>
      <c r="BB95" s="831"/>
    </row>
    <row r="96" spans="2:54" s="721" customFormat="1">
      <c r="B96" s="750" t="s">
        <v>361</v>
      </c>
      <c r="C96" s="751"/>
      <c r="D96" s="752"/>
      <c r="E96" s="752"/>
      <c r="F96" s="753"/>
      <c r="G96" s="751"/>
      <c r="H96" s="752"/>
      <c r="I96" s="752"/>
      <c r="J96" s="753"/>
      <c r="K96" s="751"/>
      <c r="L96" s="752"/>
      <c r="M96" s="752"/>
      <c r="N96" s="753"/>
      <c r="O96" s="751"/>
      <c r="P96" s="752"/>
      <c r="Q96" s="752"/>
      <c r="R96" s="753"/>
      <c r="S96" s="751"/>
      <c r="T96" s="752"/>
      <c r="U96" s="752"/>
      <c r="V96" s="753"/>
      <c r="W96" s="751"/>
      <c r="X96" s="752"/>
      <c r="Y96" s="752"/>
      <c r="Z96" s="753"/>
      <c r="AA96" s="751"/>
      <c r="AB96" s="752"/>
      <c r="AC96" s="752"/>
      <c r="AD96" s="1069"/>
      <c r="AE96" s="751"/>
      <c r="AF96" s="752"/>
      <c r="AG96" s="752"/>
      <c r="AH96" s="1242"/>
      <c r="AI96" s="752"/>
      <c r="AJ96" s="752"/>
      <c r="AK96" s="752"/>
      <c r="AL96" s="753"/>
      <c r="AM96" s="752"/>
      <c r="AN96" s="752"/>
      <c r="AO96" s="752"/>
      <c r="AP96" s="753"/>
      <c r="AQ96" s="830"/>
      <c r="AS96" s="831"/>
      <c r="AT96" s="831"/>
      <c r="AU96" s="831"/>
      <c r="AV96" s="831"/>
      <c r="AW96" s="831"/>
      <c r="AX96" s="831"/>
      <c r="AY96" s="831"/>
      <c r="AZ96" s="831"/>
      <c r="BA96" s="831"/>
      <c r="BB96" s="831"/>
    </row>
    <row r="97" spans="2:59" s="721" customFormat="1">
      <c r="B97" s="833" t="s">
        <v>422</v>
      </c>
      <c r="C97" s="827"/>
      <c r="D97" s="828"/>
      <c r="E97" s="828"/>
      <c r="F97" s="829"/>
      <c r="G97" s="827"/>
      <c r="H97" s="828"/>
      <c r="I97" s="828"/>
      <c r="J97" s="829"/>
      <c r="K97" s="827"/>
      <c r="L97" s="828"/>
      <c r="M97" s="828"/>
      <c r="N97" s="829"/>
      <c r="O97" s="827"/>
      <c r="P97" s="828"/>
      <c r="Q97" s="828"/>
      <c r="R97" s="829"/>
      <c r="S97" s="973"/>
      <c r="T97" s="828"/>
      <c r="U97" s="828"/>
      <c r="V97" s="829"/>
      <c r="W97" s="827"/>
      <c r="X97" s="828"/>
      <c r="Y97" s="828"/>
      <c r="Z97" s="829"/>
      <c r="AA97" s="973"/>
      <c r="AD97" s="1064"/>
      <c r="AE97" s="973"/>
      <c r="AH97" s="1237"/>
      <c r="AL97" s="722"/>
      <c r="AP97" s="722"/>
      <c r="AQ97" s="830"/>
      <c r="AS97" s="831"/>
      <c r="AT97" s="831"/>
      <c r="AU97" s="831"/>
      <c r="AV97" s="831"/>
      <c r="AW97" s="831"/>
      <c r="AX97" s="965"/>
      <c r="AY97" s="831"/>
      <c r="AZ97" s="831"/>
      <c r="BA97" s="831"/>
      <c r="BB97" s="831"/>
    </row>
    <row r="98" spans="2:59" s="721" customFormat="1">
      <c r="B98" s="749" t="s">
        <v>423</v>
      </c>
      <c r="C98" s="726">
        <f>C102*C106/1000</f>
        <v>1552</v>
      </c>
      <c r="D98" s="727">
        <f t="shared" ref="D98:AF98" si="431">D102*D106/1000</f>
        <v>1797</v>
      </c>
      <c r="E98" s="727">
        <f t="shared" si="431"/>
        <v>1847</v>
      </c>
      <c r="F98" s="728">
        <f t="shared" si="431"/>
        <v>2165</v>
      </c>
      <c r="G98" s="726">
        <f t="shared" si="431"/>
        <v>2061</v>
      </c>
      <c r="H98" s="727">
        <f t="shared" si="431"/>
        <v>2054</v>
      </c>
      <c r="I98" s="727">
        <f t="shared" si="431"/>
        <v>2118</v>
      </c>
      <c r="J98" s="728">
        <f t="shared" si="431"/>
        <v>2303.3000000000002</v>
      </c>
      <c r="K98" s="726">
        <f t="shared" si="431"/>
        <v>2192.3784554819881</v>
      </c>
      <c r="L98" s="727">
        <f t="shared" si="431"/>
        <v>2506.5462881525568</v>
      </c>
      <c r="M98" s="727">
        <f t="shared" si="431"/>
        <v>2354.3989284616964</v>
      </c>
      <c r="N98" s="728">
        <f t="shared" si="431"/>
        <v>2542.7508427386319</v>
      </c>
      <c r="O98" s="726">
        <f t="shared" si="431"/>
        <v>2366.2839342525708</v>
      </c>
      <c r="P98" s="727">
        <f t="shared" si="431"/>
        <v>2483.1783606046479</v>
      </c>
      <c r="Q98" s="727">
        <f t="shared" si="431"/>
        <v>2659.4840242075784</v>
      </c>
      <c r="R98" s="728">
        <f t="shared" si="431"/>
        <v>2760.278468725046</v>
      </c>
      <c r="S98" s="726">
        <f t="shared" si="431"/>
        <v>2592.7295656734354</v>
      </c>
      <c r="T98" s="727">
        <f t="shared" si="431"/>
        <v>2990.9728269608759</v>
      </c>
      <c r="U98" s="727">
        <f t="shared" si="431"/>
        <v>3138.7268846127431</v>
      </c>
      <c r="V98" s="728">
        <f t="shared" si="431"/>
        <v>3526.3596548624173</v>
      </c>
      <c r="W98" s="726">
        <f t="shared" si="431"/>
        <v>3181.1290446513863</v>
      </c>
      <c r="X98" s="727">
        <f t="shared" si="431"/>
        <v>3342.0941743107464</v>
      </c>
      <c r="Y98" s="727">
        <f t="shared" si="431"/>
        <v>3611.801174177624</v>
      </c>
      <c r="Z98" s="728">
        <f t="shared" si="431"/>
        <v>3790.2241521819988</v>
      </c>
      <c r="AA98" s="726">
        <f t="shared" si="431"/>
        <v>3489.6593769139668</v>
      </c>
      <c r="AB98" s="727">
        <f t="shared" ref="AB98:AE98" si="432">AB102*AB106/1000</f>
        <v>3520.3683794308095</v>
      </c>
      <c r="AC98" s="727">
        <f t="shared" si="432"/>
        <v>3938.2361060692465</v>
      </c>
      <c r="AD98" s="1063">
        <f t="shared" si="432"/>
        <v>4049.2943642603987</v>
      </c>
      <c r="AE98" s="726">
        <f t="shared" si="432"/>
        <v>3652.8684459993051</v>
      </c>
      <c r="AF98" s="727">
        <f t="shared" si="431"/>
        <v>3797.1567496162779</v>
      </c>
      <c r="AG98" s="727">
        <f t="shared" ref="AG98:AI98" si="433">AG102*AG106/1000</f>
        <v>4176.8724245779058</v>
      </c>
      <c r="AH98" s="1238">
        <f t="shared" si="433"/>
        <v>4818.4400289930718</v>
      </c>
      <c r="AI98" s="726">
        <f t="shared" si="433"/>
        <v>4580.4090915608149</v>
      </c>
      <c r="AJ98" s="727">
        <f t="shared" ref="AJ98:AL98" si="434">AJ102*AJ106/1000</f>
        <v>4625.2971006581101</v>
      </c>
      <c r="AK98" s="727">
        <f t="shared" si="434"/>
        <v>5142.4053165116866</v>
      </c>
      <c r="AL98" s="728">
        <f t="shared" si="434"/>
        <v>5142.4053165116866</v>
      </c>
      <c r="AM98" s="727">
        <f t="shared" ref="AM98:AP98" si="435">AM102*AM106/1000</f>
        <v>4734.6125749123094</v>
      </c>
      <c r="AN98" s="727">
        <f t="shared" si="435"/>
        <v>4827.8844426380829</v>
      </c>
      <c r="AO98" s="727">
        <f t="shared" si="435"/>
        <v>5367.6419233250199</v>
      </c>
      <c r="AP98" s="728">
        <f t="shared" si="435"/>
        <v>5582.3476002580219</v>
      </c>
      <c r="AQ98" s="830"/>
      <c r="AS98" s="729">
        <f>SUM(C98:F98)</f>
        <v>7361</v>
      </c>
      <c r="AT98" s="729">
        <f>SUM(G98:J98)</f>
        <v>8536.2999999999993</v>
      </c>
      <c r="AU98" s="729">
        <f>SUM(K98:N98)</f>
        <v>9596.0745148348724</v>
      </c>
      <c r="AV98" s="729">
        <f>SUM(O98:R98)</f>
        <v>10269.224787789843</v>
      </c>
      <c r="AW98" s="782">
        <f>SUM(S98:V98)</f>
        <v>12248.788932109472</v>
      </c>
      <c r="AX98" s="782">
        <f>SUM(W98:Z98)</f>
        <v>13925.248545321756</v>
      </c>
      <c r="AY98" s="782">
        <f>SUM(AA98:AD98)</f>
        <v>14997.558226674422</v>
      </c>
      <c r="AZ98" s="729">
        <f>SUM(AE98:AH98)</f>
        <v>16445.33764918656</v>
      </c>
      <c r="BA98" s="729">
        <f>SUM(AI98:AL98)</f>
        <v>19490.516825242295</v>
      </c>
      <c r="BB98" s="729">
        <f>SUM(AM98:AP98)</f>
        <v>20512.486541133432</v>
      </c>
      <c r="BC98" s="784">
        <f>(AX98/AT98)^0.25-1</f>
        <v>0.13014279722422128</v>
      </c>
      <c r="BE98" s="729">
        <f>BE106*BE102/1000</f>
        <v>17558.11862066888</v>
      </c>
      <c r="BF98" s="729">
        <f t="shared" ref="BF98:BG98" si="436">BF106*BF102/1000</f>
        <v>18787.186924115707</v>
      </c>
      <c r="BG98" s="729">
        <f t="shared" si="436"/>
        <v>20102.290008803808</v>
      </c>
    </row>
    <row r="99" spans="2:59" s="721" customFormat="1">
      <c r="B99" s="754" t="s">
        <v>97</v>
      </c>
      <c r="C99" s="827"/>
      <c r="D99" s="828"/>
      <c r="E99" s="828"/>
      <c r="F99" s="829"/>
      <c r="G99" s="827"/>
      <c r="H99" s="828"/>
      <c r="I99" s="828"/>
      <c r="J99" s="829"/>
      <c r="K99" s="827"/>
      <c r="L99" s="828"/>
      <c r="M99" s="828"/>
      <c r="N99" s="829"/>
      <c r="O99" s="827"/>
      <c r="P99" s="828"/>
      <c r="Q99" s="828"/>
      <c r="R99" s="829"/>
      <c r="S99" s="827"/>
      <c r="T99" s="828"/>
      <c r="U99" s="828"/>
      <c r="V99" s="829"/>
      <c r="W99" s="827"/>
      <c r="X99" s="828"/>
      <c r="Y99" s="828"/>
      <c r="Z99" s="829"/>
      <c r="AA99" s="720"/>
      <c r="AB99" s="828"/>
      <c r="AD99" s="1064"/>
      <c r="AE99" s="720"/>
      <c r="AH99" s="1237"/>
      <c r="AI99" s="720"/>
      <c r="AL99" s="722"/>
      <c r="AP99" s="722"/>
      <c r="AQ99" s="830"/>
      <c r="AS99" s="831"/>
      <c r="AT99" s="831"/>
      <c r="AU99" s="831"/>
      <c r="AV99" s="831"/>
      <c r="AW99" s="831"/>
      <c r="AX99" s="831"/>
      <c r="AY99" s="831"/>
      <c r="AZ99" s="831"/>
      <c r="BA99" s="831"/>
      <c r="BB99" s="831"/>
      <c r="BC99" s="784"/>
      <c r="BE99" s="784">
        <f>BE98/AZ98-1</f>
        <v>6.7665437780619841E-2</v>
      </c>
      <c r="BF99" s="784">
        <f>BF98/BE98-1</f>
        <v>7.0000000000000284E-2</v>
      </c>
      <c r="BG99" s="784">
        <f>BG98/BF98-1</f>
        <v>7.0000000000000062E-2</v>
      </c>
    </row>
    <row r="100" spans="2:59" s="721" customFormat="1">
      <c r="B100" s="754" t="s">
        <v>98</v>
      </c>
      <c r="C100" s="827"/>
      <c r="D100" s="828"/>
      <c r="E100" s="828"/>
      <c r="F100" s="829"/>
      <c r="G100" s="827"/>
      <c r="H100" s="828"/>
      <c r="I100" s="828"/>
      <c r="J100" s="829"/>
      <c r="K100" s="827"/>
      <c r="L100" s="828"/>
      <c r="M100" s="828"/>
      <c r="N100" s="829"/>
      <c r="O100" s="827"/>
      <c r="P100" s="828"/>
      <c r="Q100" s="828"/>
      <c r="R100" s="829"/>
      <c r="S100" s="827"/>
      <c r="T100" s="828"/>
      <c r="U100" s="828"/>
      <c r="V100" s="829"/>
      <c r="W100" s="827"/>
      <c r="X100" s="828"/>
      <c r="Y100" s="828"/>
      <c r="Z100" s="829"/>
      <c r="AA100" s="720"/>
      <c r="AB100" s="828"/>
      <c r="AD100" s="1064"/>
      <c r="AE100" s="720"/>
      <c r="AH100" s="1237"/>
      <c r="AI100" s="720"/>
      <c r="AL100" s="722"/>
      <c r="AP100" s="722"/>
      <c r="AQ100" s="830"/>
      <c r="AS100" s="831"/>
      <c r="AT100" s="756">
        <f t="shared" ref="AT100:AW100" si="437">AT98/AS98-1</f>
        <v>0.15966580627632099</v>
      </c>
      <c r="AU100" s="756">
        <f t="shared" si="437"/>
        <v>0.12414916472416304</v>
      </c>
      <c r="AV100" s="756">
        <f t="shared" si="437"/>
        <v>7.0148504152851787E-2</v>
      </c>
      <c r="AW100" s="756">
        <f t="shared" si="437"/>
        <v>0.19276665816813554</v>
      </c>
      <c r="AX100" s="756">
        <f>AX98/AW98-1</f>
        <v>0.13686737705288921</v>
      </c>
      <c r="AY100" s="756"/>
      <c r="AZ100" s="756">
        <f>AZ98/AY98-1</f>
        <v>9.6534342499643655E-2</v>
      </c>
      <c r="BA100" s="756">
        <f>BA98/AZ98-1</f>
        <v>0.1851697569861912</v>
      </c>
      <c r="BB100" s="756">
        <f>BB98/BA98-1</f>
        <v>5.2434203005205848E-2</v>
      </c>
      <c r="BC100" s="784"/>
    </row>
    <row r="101" spans="2:59" s="721" customFormat="1">
      <c r="B101" s="749"/>
      <c r="C101" s="827"/>
      <c r="D101" s="828"/>
      <c r="E101" s="828"/>
      <c r="F101" s="829"/>
      <c r="G101" s="827"/>
      <c r="H101" s="828"/>
      <c r="I101" s="828"/>
      <c r="J101" s="829"/>
      <c r="K101" s="827"/>
      <c r="L101" s="828"/>
      <c r="M101" s="828"/>
      <c r="N101" s="829"/>
      <c r="O101" s="827"/>
      <c r="P101" s="828"/>
      <c r="Q101" s="828"/>
      <c r="R101" s="829"/>
      <c r="S101" s="827"/>
      <c r="T101" s="828"/>
      <c r="U101" s="828"/>
      <c r="V101" s="829"/>
      <c r="W101" s="827"/>
      <c r="X101" s="828"/>
      <c r="Y101" s="828"/>
      <c r="Z101" s="829"/>
      <c r="AA101" s="720"/>
      <c r="AB101" s="828"/>
      <c r="AD101" s="1064"/>
      <c r="AE101" s="720"/>
      <c r="AH101" s="1237"/>
      <c r="AI101" s="720"/>
      <c r="AL101" s="722"/>
      <c r="AP101" s="722"/>
      <c r="AQ101" s="830"/>
      <c r="AS101" s="831"/>
      <c r="AT101" s="831"/>
      <c r="AU101" s="831"/>
      <c r="AV101" s="831"/>
      <c r="AW101" s="831"/>
      <c r="AX101" s="831">
        <f>AX102/AT102-1</f>
        <v>0.31038512845736177</v>
      </c>
      <c r="AY101" s="831"/>
      <c r="AZ101" s="831"/>
      <c r="BA101" s="831"/>
      <c r="BB101" s="831"/>
      <c r="BC101" s="784"/>
    </row>
    <row r="102" spans="2:59" s="721" customFormat="1">
      <c r="B102" s="749" t="s">
        <v>424</v>
      </c>
      <c r="C102" s="764">
        <v>3126.0374092100001</v>
      </c>
      <c r="D102" s="765">
        <v>3442.5508793220415</v>
      </c>
      <c r="E102" s="765">
        <v>3547.979114427123</v>
      </c>
      <c r="F102" s="766">
        <v>3940.2201138105074</v>
      </c>
      <c r="G102" s="764">
        <v>3692.7177728379143</v>
      </c>
      <c r="H102" s="765">
        <v>3598.6351562474733</v>
      </c>
      <c r="I102" s="765">
        <v>3689.0943138201492</v>
      </c>
      <c r="J102" s="766">
        <v>4110.2736584627501</v>
      </c>
      <c r="K102" s="764">
        <v>3776.9170369290978</v>
      </c>
      <c r="L102" s="727">
        <f>K102*(1+L103)</f>
        <v>4192.3779109912984</v>
      </c>
      <c r="M102" s="727">
        <f t="shared" ref="M102:AI102" si="438">L102*(1+M103)</f>
        <v>4234.3016901012115</v>
      </c>
      <c r="N102" s="728">
        <f t="shared" si="438"/>
        <v>4234.3016901012115</v>
      </c>
      <c r="O102" s="726">
        <f t="shared" si="438"/>
        <v>3980.2435886951384</v>
      </c>
      <c r="P102" s="727">
        <f t="shared" si="438"/>
        <v>4219.0582040168474</v>
      </c>
      <c r="Q102" s="727">
        <f t="shared" si="438"/>
        <v>4430.0111142176902</v>
      </c>
      <c r="R102" s="728">
        <f t="shared" si="438"/>
        <v>4297.1107807911594</v>
      </c>
      <c r="S102" s="726">
        <f t="shared" si="438"/>
        <v>3996.3130261357778</v>
      </c>
      <c r="T102" s="727">
        <f t="shared" si="438"/>
        <v>4475.8705892720718</v>
      </c>
      <c r="U102" s="727">
        <f t="shared" si="438"/>
        <v>4744.4228246283965</v>
      </c>
      <c r="V102" s="728">
        <f t="shared" si="438"/>
        <v>4981.6439658598165</v>
      </c>
      <c r="W102" s="726">
        <f t="shared" si="438"/>
        <v>4632.9288882496294</v>
      </c>
      <c r="X102" s="727">
        <f t="shared" si="438"/>
        <v>4725.5874660146219</v>
      </c>
      <c r="Y102" s="727">
        <f t="shared" si="438"/>
        <v>5056.3785886356454</v>
      </c>
      <c r="Z102" s="728">
        <f t="shared" si="438"/>
        <v>5359.7613039537846</v>
      </c>
      <c r="AA102" s="726">
        <f t="shared" si="438"/>
        <v>5306.1636909142471</v>
      </c>
      <c r="AB102" s="727">
        <f t="shared" si="438"/>
        <v>5146.9787801868197</v>
      </c>
      <c r="AC102" s="727">
        <f t="shared" si="438"/>
        <v>5816.0860216111059</v>
      </c>
      <c r="AD102" s="1063">
        <f t="shared" si="438"/>
        <v>5641.6034409627728</v>
      </c>
      <c r="AE102" s="726">
        <f t="shared" si="438"/>
        <v>5246.691200095378</v>
      </c>
      <c r="AF102" s="727">
        <f t="shared" si="438"/>
        <v>5509.0257601001467</v>
      </c>
      <c r="AG102" s="727">
        <f t="shared" si="438"/>
        <v>6059.9283361101616</v>
      </c>
      <c r="AH102" s="1238">
        <f t="shared" si="438"/>
        <v>6241.7261861934667</v>
      </c>
      <c r="AI102" s="726">
        <f t="shared" si="438"/>
        <v>6116.8916624695976</v>
      </c>
      <c r="AJ102" s="727">
        <f t="shared" ref="AJ102" si="439">AI102*(1+AJ103)</f>
        <v>6239.2294957189897</v>
      </c>
      <c r="AK102" s="727">
        <f t="shared" ref="AK102" si="440">AJ102*(1+AK103)</f>
        <v>6800.7601503336991</v>
      </c>
      <c r="AL102" s="728">
        <f t="shared" ref="AL102" si="441">AK102*(1+AL103)</f>
        <v>6800.7601503336991</v>
      </c>
      <c r="AM102" s="727">
        <f t="shared" ref="AM102" si="442">AL102*(1+AM103)</f>
        <v>6324.7069398103395</v>
      </c>
      <c r="AN102" s="727">
        <f t="shared" ref="AN102" si="443">AM102*(1+AN103)</f>
        <v>6514.4481480046497</v>
      </c>
      <c r="AO102" s="727">
        <f t="shared" ref="AO102" si="444">AN102*(1+AO103)</f>
        <v>7100.7484813250685</v>
      </c>
      <c r="AP102" s="728">
        <f t="shared" ref="AP102" si="445">AO102*(1+AP103)</f>
        <v>7384.7784205780717</v>
      </c>
      <c r="AQ102" s="830"/>
      <c r="AS102" s="729">
        <f>SUM(C102:F102)</f>
        <v>14056.787516769673</v>
      </c>
      <c r="AT102" s="729">
        <f>SUM(G102:J102)</f>
        <v>15090.720901368288</v>
      </c>
      <c r="AU102" s="729">
        <f>SUM(K102:N102)</f>
        <v>16437.898328122821</v>
      </c>
      <c r="AV102" s="729">
        <f>SUM(O102:R102)</f>
        <v>16926.423687720835</v>
      </c>
      <c r="AW102" s="782">
        <f>SUM(S102:V102)</f>
        <v>18198.250405896062</v>
      </c>
      <c r="AX102" s="782">
        <f>SUM(W102:Z102)</f>
        <v>19774.656246853679</v>
      </c>
      <c r="AY102" s="782">
        <f>SUM(AA102:AD102)</f>
        <v>21910.831933674945</v>
      </c>
      <c r="AZ102" s="729">
        <f>SUM(AE102:AH102)</f>
        <v>23057.371482499155</v>
      </c>
      <c r="BA102" s="729">
        <f>SUM(AI102:AL102)</f>
        <v>25957.641458855986</v>
      </c>
      <c r="BB102" s="729">
        <f>SUM(AM102:AP102)</f>
        <v>27324.681989718127</v>
      </c>
      <c r="BC102" s="784">
        <f>(AX102/AT102)^0.25-1</f>
        <v>6.9916139709075065E-2</v>
      </c>
      <c r="BE102" s="986">
        <f>AZ102*1.07</f>
        <v>24671.387486274096</v>
      </c>
      <c r="BF102" s="986">
        <f>BE102*1.07</f>
        <v>26398.384610313286</v>
      </c>
      <c r="BG102" s="986">
        <f>BF102*1.07</f>
        <v>28246.271533035218</v>
      </c>
    </row>
    <row r="103" spans="2:59" s="721" customFormat="1">
      <c r="B103" s="754" t="s">
        <v>97</v>
      </c>
      <c r="C103" s="827"/>
      <c r="D103" s="792">
        <f t="shared" ref="D103:J103" si="446">D102/C102-1</f>
        <v>0.1012506981456851</v>
      </c>
      <c r="E103" s="792">
        <f t="shared" si="446"/>
        <v>3.0625033238679045E-2</v>
      </c>
      <c r="F103" s="793">
        <f t="shared" si="446"/>
        <v>0.11055335635669827</v>
      </c>
      <c r="G103" s="791">
        <f t="shared" si="446"/>
        <v>-6.2814343824370455E-2</v>
      </c>
      <c r="H103" s="792">
        <f t="shared" si="446"/>
        <v>-2.5477878998084624E-2</v>
      </c>
      <c r="I103" s="792">
        <f t="shared" si="446"/>
        <v>2.5137073819676559E-2</v>
      </c>
      <c r="J103" s="793">
        <f t="shared" si="446"/>
        <v>0.11416876577667634</v>
      </c>
      <c r="K103" s="768">
        <f>K102/J102-1</f>
        <v>-8.1103266894965942E-2</v>
      </c>
      <c r="L103" s="778">
        <f>L336</f>
        <v>0.11</v>
      </c>
      <c r="M103" s="778">
        <f t="shared" ref="M103:AA103" si="447">M336</f>
        <v>0.01</v>
      </c>
      <c r="N103" s="779">
        <f t="shared" si="447"/>
        <v>0</v>
      </c>
      <c r="O103" s="780">
        <f t="shared" si="447"/>
        <v>-0.06</v>
      </c>
      <c r="P103" s="778">
        <f t="shared" si="447"/>
        <v>0.06</v>
      </c>
      <c r="Q103" s="778">
        <f t="shared" si="447"/>
        <v>0.05</v>
      </c>
      <c r="R103" s="779">
        <f t="shared" si="447"/>
        <v>-0.03</v>
      </c>
      <c r="S103" s="780">
        <f t="shared" si="447"/>
        <v>-7.0000000000000007E-2</v>
      </c>
      <c r="T103" s="778">
        <f t="shared" si="447"/>
        <v>0.12</v>
      </c>
      <c r="U103" s="778">
        <f t="shared" si="447"/>
        <v>0.06</v>
      </c>
      <c r="V103" s="779">
        <f t="shared" si="447"/>
        <v>0.05</v>
      </c>
      <c r="W103" s="780">
        <f t="shared" si="447"/>
        <v>-7.0000000000000007E-2</v>
      </c>
      <c r="X103" s="778">
        <f t="shared" si="447"/>
        <v>0.02</v>
      </c>
      <c r="Y103" s="778">
        <f t="shared" si="447"/>
        <v>7.0000000000000007E-2</v>
      </c>
      <c r="Z103" s="779">
        <f t="shared" si="447"/>
        <v>0.06</v>
      </c>
      <c r="AA103" s="780">
        <f t="shared" si="447"/>
        <v>-0.01</v>
      </c>
      <c r="AB103" s="778">
        <f t="shared" ref="AB103" si="448">AB336</f>
        <v>-0.03</v>
      </c>
      <c r="AC103" s="778">
        <v>0.13</v>
      </c>
      <c r="AD103" s="1066">
        <v>-0.03</v>
      </c>
      <c r="AE103" s="780">
        <v>-7.0000000000000007E-2</v>
      </c>
      <c r="AF103" s="778">
        <v>0.05</v>
      </c>
      <c r="AG103" s="778">
        <v>0.1</v>
      </c>
      <c r="AH103" s="1245">
        <v>0.03</v>
      </c>
      <c r="AI103" s="780">
        <v>-0.02</v>
      </c>
      <c r="AJ103" s="772">
        <v>0.02</v>
      </c>
      <c r="AK103" s="772">
        <v>0.09</v>
      </c>
      <c r="AL103" s="773">
        <v>0</v>
      </c>
      <c r="AM103" s="772">
        <v>-7.0000000000000007E-2</v>
      </c>
      <c r="AN103" s="772">
        <v>0.03</v>
      </c>
      <c r="AO103" s="772">
        <v>0.09</v>
      </c>
      <c r="AP103" s="773">
        <v>0.04</v>
      </c>
      <c r="AQ103" s="830"/>
      <c r="AS103" s="831"/>
      <c r="AT103" s="831"/>
      <c r="AU103" s="831"/>
      <c r="AV103" s="831"/>
      <c r="AW103" s="831"/>
      <c r="AX103" s="831"/>
      <c r="AY103" s="831"/>
      <c r="AZ103" s="831"/>
      <c r="BA103" s="831"/>
      <c r="BB103" s="831"/>
    </row>
    <row r="104" spans="2:59" s="721" customFormat="1">
      <c r="B104" s="754" t="s">
        <v>98</v>
      </c>
      <c r="C104" s="827"/>
      <c r="D104" s="828"/>
      <c r="E104" s="828"/>
      <c r="F104" s="829"/>
      <c r="G104" s="768">
        <f t="shared" ref="G104:AI104" si="449">G102/C102-1</f>
        <v>0.18127753748510744</v>
      </c>
      <c r="H104" s="769">
        <f t="shared" si="449"/>
        <v>4.533971534392256E-2</v>
      </c>
      <c r="I104" s="769">
        <f t="shared" si="449"/>
        <v>3.9773401940053743E-2</v>
      </c>
      <c r="J104" s="770">
        <f t="shared" si="449"/>
        <v>4.3158387029243128E-2</v>
      </c>
      <c r="K104" s="768">
        <f t="shared" si="449"/>
        <v>2.2801434951384092E-2</v>
      </c>
      <c r="L104" s="769">
        <f t="shared" si="449"/>
        <v>0.16499109494694064</v>
      </c>
      <c r="M104" s="769">
        <f t="shared" si="449"/>
        <v>0.14778895032273831</v>
      </c>
      <c r="N104" s="770">
        <f t="shared" si="449"/>
        <v>3.0175127484053821E-2</v>
      </c>
      <c r="O104" s="768">
        <f t="shared" si="449"/>
        <v>5.3833999999999937E-2</v>
      </c>
      <c r="P104" s="769">
        <f t="shared" si="449"/>
        <v>6.3640000000000363E-3</v>
      </c>
      <c r="Q104" s="769">
        <f t="shared" si="449"/>
        <v>4.622000000000015E-2</v>
      </c>
      <c r="R104" s="770">
        <f t="shared" si="449"/>
        <v>1.4833400000000108E-2</v>
      </c>
      <c r="S104" s="768">
        <f t="shared" si="449"/>
        <v>4.0373000000000214E-3</v>
      </c>
      <c r="T104" s="769">
        <f t="shared" si="449"/>
        <v>6.086960000000019E-2</v>
      </c>
      <c r="U104" s="769">
        <f t="shared" si="449"/>
        <v>7.0973120000000112E-2</v>
      </c>
      <c r="V104" s="770">
        <f t="shared" si="449"/>
        <v>0.15930080000000024</v>
      </c>
      <c r="W104" s="768">
        <f t="shared" si="449"/>
        <v>0.15930080000000024</v>
      </c>
      <c r="X104" s="769">
        <f t="shared" si="449"/>
        <v>5.5791800000000169E-2</v>
      </c>
      <c r="Y104" s="769">
        <f t="shared" si="449"/>
        <v>6.5752100000000091E-2</v>
      </c>
      <c r="Z104" s="770">
        <f t="shared" si="449"/>
        <v>7.5902120000000073E-2</v>
      </c>
      <c r="AA104" s="768">
        <f t="shared" si="449"/>
        <v>0.14531516000000022</v>
      </c>
      <c r="AB104" s="769">
        <f t="shared" si="449"/>
        <v>8.9172260000000225E-2</v>
      </c>
      <c r="AC104" s="769">
        <f t="shared" si="449"/>
        <v>0.15024734000000017</v>
      </c>
      <c r="AD104" s="1065">
        <f t="shared" si="449"/>
        <v>5.2584830000000027E-2</v>
      </c>
      <c r="AE104" s="768">
        <f t="shared" si="449"/>
        <v>-1.1208190000000173E-2</v>
      </c>
      <c r="AF104" s="769">
        <f t="shared" si="449"/>
        <v>7.0341649999999811E-2</v>
      </c>
      <c r="AG104" s="769">
        <f t="shared" si="449"/>
        <v>4.1925499999999838E-2</v>
      </c>
      <c r="AH104" s="1244">
        <f t="shared" si="449"/>
        <v>0.10637449999999982</v>
      </c>
      <c r="AI104" s="768">
        <f t="shared" si="449"/>
        <v>0.16585700000000014</v>
      </c>
      <c r="AJ104" s="769">
        <f t="shared" ref="AJ104" si="450">AJ102/AF102-1</f>
        <v>0.13254680000000008</v>
      </c>
      <c r="AK104" s="769">
        <f t="shared" ref="AK104" si="451">AK102/AG102-1</f>
        <v>0.12225092000000015</v>
      </c>
      <c r="AL104" s="770">
        <f t="shared" ref="AL104" si="452">AL102/AH102-1</f>
        <v>8.9564000000000199E-2</v>
      </c>
      <c r="AM104" s="769">
        <f t="shared" ref="AM104" si="453">AM102/AI102-1</f>
        <v>3.3973999999999949E-2</v>
      </c>
      <c r="AN104" s="769">
        <f t="shared" ref="AN104" si="454">AN102/AJ102-1</f>
        <v>4.4111000000000011E-2</v>
      </c>
      <c r="AO104" s="769">
        <f t="shared" ref="AO104" si="455">AO102/AK102-1</f>
        <v>4.4111000000000011E-2</v>
      </c>
      <c r="AP104" s="770">
        <f t="shared" ref="AP104" si="456">AP102/AL102-1</f>
        <v>8.5875439999999914E-2</v>
      </c>
      <c r="AQ104" s="830"/>
      <c r="AS104" s="831"/>
      <c r="AT104" s="756">
        <f t="shared" ref="AT104:AW104" si="457">AT102/AS102-1</f>
        <v>7.3554030987886598E-2</v>
      </c>
      <c r="AU104" s="756">
        <f t="shared" si="457"/>
        <v>8.9271906594759365E-2</v>
      </c>
      <c r="AV104" s="756">
        <f t="shared" si="457"/>
        <v>2.9719453779697647E-2</v>
      </c>
      <c r="AW104" s="756">
        <f t="shared" si="457"/>
        <v>7.5138537333073296E-2</v>
      </c>
      <c r="AX104" s="756">
        <f>AX102/AW102-1</f>
        <v>8.6624032849162091E-2</v>
      </c>
      <c r="AY104" s="756">
        <f>AY102/AX102-1</f>
        <v>0.10802593279775219</v>
      </c>
      <c r="AZ104" s="756">
        <f>AZ102/AY102-1</f>
        <v>5.2327522400556825E-2</v>
      </c>
      <c r="BA104" s="756">
        <f>BA102/AZ102-1</f>
        <v>0.1257849351370417</v>
      </c>
      <c r="BB104" s="756">
        <f>BB102/BA102-1</f>
        <v>5.2664281268733903E-2</v>
      </c>
    </row>
    <row r="105" spans="2:59" s="721" customFormat="1">
      <c r="B105" s="749"/>
      <c r="C105" s="827"/>
      <c r="D105" s="828"/>
      <c r="E105" s="828"/>
      <c r="F105" s="829"/>
      <c r="G105" s="827"/>
      <c r="H105" s="828"/>
      <c r="I105" s="828"/>
      <c r="J105" s="829"/>
      <c r="K105" s="827"/>
      <c r="L105" s="778"/>
      <c r="M105" s="778"/>
      <c r="N105" s="779"/>
      <c r="O105" s="780"/>
      <c r="P105" s="778"/>
      <c r="Q105" s="778"/>
      <c r="R105" s="779"/>
      <c r="S105" s="780"/>
      <c r="T105" s="778"/>
      <c r="U105" s="778"/>
      <c r="V105" s="779"/>
      <c r="W105" s="780"/>
      <c r="X105" s="778"/>
      <c r="Y105" s="778"/>
      <c r="Z105" s="779"/>
      <c r="AA105" s="780"/>
      <c r="AB105" s="778"/>
      <c r="AC105" s="778"/>
      <c r="AD105" s="1066"/>
      <c r="AE105" s="780"/>
      <c r="AF105" s="778"/>
      <c r="AG105" s="778"/>
      <c r="AH105" s="1245"/>
      <c r="AI105" s="780"/>
      <c r="AJ105" s="778"/>
      <c r="AK105" s="778"/>
      <c r="AL105" s="779"/>
      <c r="AM105" s="778"/>
      <c r="AN105" s="778"/>
      <c r="AO105" s="778"/>
      <c r="AP105" s="779"/>
      <c r="AQ105" s="830"/>
      <c r="AS105" s="831"/>
      <c r="AT105" s="831"/>
      <c r="AU105" s="831"/>
      <c r="AV105" s="831"/>
      <c r="AW105" s="831"/>
      <c r="AX105" s="831"/>
      <c r="AY105" s="831"/>
      <c r="AZ105" s="831"/>
      <c r="BA105" s="831"/>
      <c r="BB105" s="831"/>
    </row>
    <row r="106" spans="2:59" s="721" customFormat="1">
      <c r="B106" s="749" t="s">
        <v>425</v>
      </c>
      <c r="C106" s="764">
        <v>496.47518466268622</v>
      </c>
      <c r="D106" s="765">
        <v>521.99664231364738</v>
      </c>
      <c r="E106" s="765">
        <v>520.57803623746167</v>
      </c>
      <c r="F106" s="766">
        <v>549.46168931315674</v>
      </c>
      <c r="G106" s="764">
        <v>558.12551264000001</v>
      </c>
      <c r="H106" s="765">
        <v>570.77194848000011</v>
      </c>
      <c r="I106" s="765">
        <v>574.12465494999992</v>
      </c>
      <c r="J106" s="766">
        <v>560.37631344999988</v>
      </c>
      <c r="K106" s="764">
        <v>580.467729115</v>
      </c>
      <c r="L106" s="727">
        <f>K106*(1+L107)</f>
        <v>597.88176098844997</v>
      </c>
      <c r="M106" s="727">
        <f t="shared" ref="M106:AI106" si="458">L106*(1+M107)</f>
        <v>556.03003771925842</v>
      </c>
      <c r="N106" s="728">
        <f t="shared" si="458"/>
        <v>600.51244073679914</v>
      </c>
      <c r="O106" s="726">
        <f t="shared" si="458"/>
        <v>594.50731632943109</v>
      </c>
      <c r="P106" s="727">
        <f t="shared" si="458"/>
        <v>588.5622431661368</v>
      </c>
      <c r="Q106" s="727">
        <f t="shared" si="458"/>
        <v>600.33348802945955</v>
      </c>
      <c r="R106" s="728">
        <f t="shared" si="458"/>
        <v>642.35683219152179</v>
      </c>
      <c r="S106" s="726">
        <f t="shared" si="458"/>
        <v>648.78040051343703</v>
      </c>
      <c r="T106" s="727">
        <f t="shared" si="458"/>
        <v>668.24381252884018</v>
      </c>
      <c r="U106" s="727">
        <f t="shared" si="458"/>
        <v>661.56137440355178</v>
      </c>
      <c r="V106" s="728">
        <f t="shared" si="458"/>
        <v>707.87067061180039</v>
      </c>
      <c r="W106" s="726">
        <f t="shared" si="458"/>
        <v>686.63455049344634</v>
      </c>
      <c r="X106" s="727">
        <f t="shared" si="458"/>
        <v>707.23358700824974</v>
      </c>
      <c r="Y106" s="727">
        <f t="shared" si="458"/>
        <v>714.30592287833224</v>
      </c>
      <c r="Z106" s="728">
        <f t="shared" si="458"/>
        <v>707.16286364954897</v>
      </c>
      <c r="AA106" s="726">
        <f t="shared" si="458"/>
        <v>657.66146319408051</v>
      </c>
      <c r="AB106" s="727">
        <f t="shared" si="458"/>
        <v>683.96792172184371</v>
      </c>
      <c r="AC106" s="727">
        <f t="shared" si="458"/>
        <v>677.12824250462529</v>
      </c>
      <c r="AD106" s="1063">
        <f t="shared" si="458"/>
        <v>717.7559370549028</v>
      </c>
      <c r="AE106" s="726">
        <f t="shared" si="458"/>
        <v>696.2232589432557</v>
      </c>
      <c r="AF106" s="727">
        <f t="shared" si="458"/>
        <v>689.26102635382313</v>
      </c>
      <c r="AG106" s="727">
        <f t="shared" si="458"/>
        <v>689.26102635382313</v>
      </c>
      <c r="AH106" s="1238">
        <f t="shared" si="458"/>
        <v>771.97234951628195</v>
      </c>
      <c r="AI106" s="726">
        <f t="shared" si="458"/>
        <v>748.81317903079344</v>
      </c>
      <c r="AJ106" s="727">
        <f t="shared" ref="AJ106" si="459">AI106*(1+AJ107)</f>
        <v>741.32504724048545</v>
      </c>
      <c r="AK106" s="727">
        <f t="shared" ref="AK106" si="460">AJ106*(1+AK107)</f>
        <v>756.15154818529516</v>
      </c>
      <c r="AL106" s="728">
        <f t="shared" ref="AL106" si="461">AK106*(1+AL107)</f>
        <v>756.15154818529516</v>
      </c>
      <c r="AM106" s="727">
        <f t="shared" ref="AM106" si="462">AL106*(1+AM107)</f>
        <v>748.59003270344215</v>
      </c>
      <c r="AN106" s="727">
        <f t="shared" ref="AN106" si="463">AM106*(1+AN107)</f>
        <v>741.10413237640773</v>
      </c>
      <c r="AO106" s="727">
        <f t="shared" ref="AO106" si="464">AN106*(1+AO107)</f>
        <v>755.92621502393592</v>
      </c>
      <c r="AP106" s="728">
        <f t="shared" ref="AP106" si="465">AO106*(1+AP107)</f>
        <v>755.92621502393592</v>
      </c>
      <c r="AQ106" s="830"/>
      <c r="AS106" s="729">
        <f>AVERAGE(C106:F106)</f>
        <v>522.12788813173802</v>
      </c>
      <c r="AT106" s="729">
        <f>AVERAGE(G106:J106)</f>
        <v>565.84960737999995</v>
      </c>
      <c r="AU106" s="729">
        <f>AVERAGE(K106:N106)</f>
        <v>583.72299213987685</v>
      </c>
      <c r="AV106" s="729">
        <f>AVERAGE(O106:R106)</f>
        <v>606.43996992913731</v>
      </c>
      <c r="AW106" s="782">
        <f>AVERAGE(S106:V106)</f>
        <v>671.61406451440735</v>
      </c>
      <c r="AX106" s="782">
        <f>AVERAGE(W106:Z106)</f>
        <v>703.83423100739424</v>
      </c>
      <c r="AY106" s="782">
        <f>AVERAGE(AA106:AD106)</f>
        <v>684.12839111886308</v>
      </c>
      <c r="AZ106" s="729">
        <f>AVERAGE(AE106:AH106)</f>
        <v>711.67941529179598</v>
      </c>
      <c r="BA106" s="729">
        <f>AVERAGE(AI106:AL106)</f>
        <v>750.6103306604673</v>
      </c>
      <c r="BB106" s="729">
        <f>AVERAGE(AM106:AP106)</f>
        <v>750.38664878193049</v>
      </c>
      <c r="BC106" s="784">
        <f>(AX106/AT106)^0.25-1</f>
        <v>5.6069114405323139E-2</v>
      </c>
      <c r="BE106" s="986">
        <f>AZ106*1</f>
        <v>711.67941529179598</v>
      </c>
      <c r="BF106" s="986">
        <f>BE106</f>
        <v>711.67941529179598</v>
      </c>
      <c r="BG106" s="986">
        <f>BF106</f>
        <v>711.67941529179598</v>
      </c>
    </row>
    <row r="107" spans="2:59" s="721" customFormat="1">
      <c r="B107" s="754" t="s">
        <v>97</v>
      </c>
      <c r="C107" s="827"/>
      <c r="D107" s="792">
        <f t="shared" ref="D107:J107" si="466">D106/C106-1</f>
        <v>5.1405303707779293E-2</v>
      </c>
      <c r="E107" s="792">
        <f t="shared" si="466"/>
        <v>-2.7176536421729125E-3</v>
      </c>
      <c r="F107" s="793">
        <f t="shared" si="466"/>
        <v>5.548381042822137E-2</v>
      </c>
      <c r="G107" s="791">
        <f t="shared" si="466"/>
        <v>1.5767838769020104E-2</v>
      </c>
      <c r="H107" s="792">
        <f t="shared" si="466"/>
        <v>2.2658766807094999E-2</v>
      </c>
      <c r="I107" s="792">
        <f t="shared" si="466"/>
        <v>5.8739860620835582E-3</v>
      </c>
      <c r="J107" s="793">
        <f t="shared" si="466"/>
        <v>-2.3946614000050825E-2</v>
      </c>
      <c r="K107" s="768">
        <f>K106/J106-1</f>
        <v>3.5853434884329349E-2</v>
      </c>
      <c r="L107" s="778">
        <f>L339</f>
        <v>0.03</v>
      </c>
      <c r="M107" s="778">
        <f t="shared" ref="M107:AA107" si="467">M339</f>
        <v>-7.0000000000000007E-2</v>
      </c>
      <c r="N107" s="779">
        <f t="shared" si="467"/>
        <v>0.08</v>
      </c>
      <c r="O107" s="780">
        <f t="shared" si="467"/>
        <v>-0.01</v>
      </c>
      <c r="P107" s="778">
        <f t="shared" si="467"/>
        <v>-0.01</v>
      </c>
      <c r="Q107" s="778">
        <f t="shared" si="467"/>
        <v>0.02</v>
      </c>
      <c r="R107" s="779">
        <f t="shared" si="467"/>
        <v>7.0000000000000007E-2</v>
      </c>
      <c r="S107" s="780">
        <f t="shared" si="467"/>
        <v>0.01</v>
      </c>
      <c r="T107" s="778">
        <f t="shared" si="467"/>
        <v>0.03</v>
      </c>
      <c r="U107" s="778">
        <f t="shared" si="467"/>
        <v>-0.01</v>
      </c>
      <c r="V107" s="779">
        <f t="shared" si="467"/>
        <v>7.0000000000000007E-2</v>
      </c>
      <c r="W107" s="780">
        <f t="shared" si="467"/>
        <v>-0.03</v>
      </c>
      <c r="X107" s="778">
        <f t="shared" si="467"/>
        <v>0.03</v>
      </c>
      <c r="Y107" s="778">
        <f t="shared" si="467"/>
        <v>0.01</v>
      </c>
      <c r="Z107" s="779">
        <f t="shared" si="467"/>
        <v>-0.01</v>
      </c>
      <c r="AA107" s="780">
        <f t="shared" si="467"/>
        <v>-7.0000000000000007E-2</v>
      </c>
      <c r="AB107" s="778">
        <f t="shared" ref="AB107" si="468">AB339</f>
        <v>0.04</v>
      </c>
      <c r="AC107" s="778">
        <v>-0.01</v>
      </c>
      <c r="AD107" s="1066">
        <v>0.06</v>
      </c>
      <c r="AE107" s="780">
        <v>-0.03</v>
      </c>
      <c r="AF107" s="778">
        <v>-0.01</v>
      </c>
      <c r="AG107" s="778">
        <v>0</v>
      </c>
      <c r="AH107" s="1245">
        <v>0.12</v>
      </c>
      <c r="AI107" s="780">
        <v>-0.03</v>
      </c>
      <c r="AJ107" s="772">
        <v>-0.01</v>
      </c>
      <c r="AK107" s="772">
        <v>0.02</v>
      </c>
      <c r="AL107" s="773">
        <v>0</v>
      </c>
      <c r="AM107" s="772">
        <v>-0.01</v>
      </c>
      <c r="AN107" s="772">
        <v>-0.01</v>
      </c>
      <c r="AO107" s="772">
        <v>0.02</v>
      </c>
      <c r="AP107" s="773">
        <v>0</v>
      </c>
      <c r="AQ107" s="830"/>
      <c r="AS107" s="831"/>
      <c r="AT107" s="831"/>
      <c r="AU107" s="831"/>
      <c r="AV107" s="831"/>
      <c r="AW107" s="831"/>
      <c r="AX107" s="831"/>
      <c r="AY107" s="831"/>
      <c r="AZ107" s="729"/>
      <c r="BA107" s="729"/>
      <c r="BB107" s="729"/>
    </row>
    <row r="108" spans="2:59" s="721" customFormat="1">
      <c r="B108" s="754" t="s">
        <v>98</v>
      </c>
      <c r="C108" s="827"/>
      <c r="D108" s="828"/>
      <c r="E108" s="828"/>
      <c r="F108" s="829"/>
      <c r="G108" s="768">
        <f t="shared" ref="G108:AI108" si="469">G106/C106-1</f>
        <v>0.12417605125460618</v>
      </c>
      <c r="H108" s="769">
        <f t="shared" si="469"/>
        <v>9.3439884881568958E-2</v>
      </c>
      <c r="I108" s="769">
        <f t="shared" si="469"/>
        <v>0.10285992682202405</v>
      </c>
      <c r="J108" s="770">
        <f t="shared" si="469"/>
        <v>1.9864213191072011E-2</v>
      </c>
      <c r="K108" s="768">
        <f t="shared" si="469"/>
        <v>4.0030810219225943E-2</v>
      </c>
      <c r="L108" s="769">
        <f t="shared" si="469"/>
        <v>4.7496749937772753E-2</v>
      </c>
      <c r="M108" s="769">
        <f t="shared" si="469"/>
        <v>-3.1516878912502655E-2</v>
      </c>
      <c r="N108" s="770">
        <f t="shared" si="469"/>
        <v>7.1623525697754875E-2</v>
      </c>
      <c r="O108" s="768">
        <f t="shared" si="469"/>
        <v>2.4186679999999905E-2</v>
      </c>
      <c r="P108" s="769">
        <f t="shared" si="469"/>
        <v>-1.5587560000000056E-2</v>
      </c>
      <c r="Q108" s="769">
        <f t="shared" si="469"/>
        <v>7.9678160000000053E-2</v>
      </c>
      <c r="R108" s="770">
        <f t="shared" si="469"/>
        <v>6.9681140000000141E-2</v>
      </c>
      <c r="S108" s="768">
        <f t="shared" si="469"/>
        <v>9.1290860000000196E-2</v>
      </c>
      <c r="T108" s="769">
        <f t="shared" si="469"/>
        <v>0.13538342000000037</v>
      </c>
      <c r="U108" s="769">
        <f t="shared" si="469"/>
        <v>0.10198979000000019</v>
      </c>
      <c r="V108" s="770">
        <f t="shared" si="469"/>
        <v>0.10198979000000019</v>
      </c>
      <c r="W108" s="768">
        <f t="shared" si="469"/>
        <v>5.8346629999999955E-2</v>
      </c>
      <c r="X108" s="769">
        <f t="shared" si="469"/>
        <v>5.8346629999999955E-2</v>
      </c>
      <c r="Y108" s="769">
        <f t="shared" si="469"/>
        <v>7.9727369999999853E-2</v>
      </c>
      <c r="Z108" s="770">
        <f t="shared" si="469"/>
        <v>-9.9990999999999275E-4</v>
      </c>
      <c r="AA108" s="768">
        <f t="shared" si="469"/>
        <v>-4.2195789999999955E-2</v>
      </c>
      <c r="AB108" s="769">
        <f t="shared" si="469"/>
        <v>-3.289671999999999E-2</v>
      </c>
      <c r="AC108" s="769">
        <f t="shared" si="469"/>
        <v>-5.2047280000000029E-2</v>
      </c>
      <c r="AD108" s="1065">
        <f t="shared" si="469"/>
        <v>1.497967999999994E-2</v>
      </c>
      <c r="AE108" s="768">
        <f t="shared" si="469"/>
        <v>5.8634719999999918E-2</v>
      </c>
      <c r="AF108" s="769">
        <f t="shared" si="469"/>
        <v>7.7388199999999241E-3</v>
      </c>
      <c r="AG108" s="769">
        <f t="shared" si="469"/>
        <v>1.7917999999999878E-2</v>
      </c>
      <c r="AH108" s="1244">
        <f t="shared" si="469"/>
        <v>7.5536000000000048E-2</v>
      </c>
      <c r="AI108" s="768">
        <f t="shared" si="469"/>
        <v>7.5536000000000048E-2</v>
      </c>
      <c r="AJ108" s="769">
        <f t="shared" ref="AJ108" si="470">AJ106/AF106-1</f>
        <v>7.5535999999999826E-2</v>
      </c>
      <c r="AK108" s="769">
        <f t="shared" ref="AK108" si="471">AK106/AG106-1</f>
        <v>9.7046719999999809E-2</v>
      </c>
      <c r="AL108" s="770">
        <f t="shared" ref="AL108" si="472">AL106/AH106-1</f>
        <v>-2.0494000000000123E-2</v>
      </c>
      <c r="AM108" s="769">
        <f t="shared" ref="AM108" si="473">AM106/AI106-1</f>
        <v>-2.9800000000013149E-4</v>
      </c>
      <c r="AN108" s="769">
        <f t="shared" ref="AN108" si="474">AN106/AJ106-1</f>
        <v>-2.9800000000002047E-4</v>
      </c>
      <c r="AO108" s="769">
        <f t="shared" ref="AO108" si="475">AO106/AK106-1</f>
        <v>-2.9800000000002047E-4</v>
      </c>
      <c r="AP108" s="770">
        <f t="shared" ref="AP108" si="476">AP106/AL106-1</f>
        <v>-2.9800000000002047E-4</v>
      </c>
      <c r="AQ108" s="830"/>
      <c r="AS108" s="831"/>
      <c r="AT108" s="756">
        <f t="shared" ref="AT108:AW108" si="477">AT106/AS106-1</f>
        <v>8.3737567446752648E-2</v>
      </c>
      <c r="AU108" s="756">
        <f t="shared" si="477"/>
        <v>3.158681127770735E-2</v>
      </c>
      <c r="AV108" s="756">
        <f t="shared" si="477"/>
        <v>3.8917394200941091E-2</v>
      </c>
      <c r="AW108" s="756">
        <f t="shared" si="477"/>
        <v>0.10746998518729844</v>
      </c>
      <c r="AX108" s="756">
        <f>AX106/AW106-1</f>
        <v>4.7974228348363734E-2</v>
      </c>
      <c r="AY108" s="756">
        <f>AY106/AX106-1</f>
        <v>-2.7997842418556851E-2</v>
      </c>
      <c r="AZ108" s="756">
        <f>AZ106/AY106-1</f>
        <v>4.0271715851281087E-2</v>
      </c>
      <c r="BA108" s="756">
        <f>BA106/AZ106-1</f>
        <v>5.4702882410487152E-2</v>
      </c>
      <c r="BB108" s="756">
        <f>BB106/BA106-1</f>
        <v>-2.9800000000002047E-4</v>
      </c>
    </row>
    <row r="109" spans="2:59" s="721" customFormat="1">
      <c r="B109" s="754"/>
      <c r="C109" s="827"/>
      <c r="D109" s="828"/>
      <c r="E109" s="828"/>
      <c r="F109" s="829"/>
      <c r="G109" s="827"/>
      <c r="H109" s="828"/>
      <c r="I109" s="828"/>
      <c r="J109" s="829"/>
      <c r="K109" s="827"/>
      <c r="L109" s="778"/>
      <c r="M109" s="778"/>
      <c r="N109" s="779"/>
      <c r="O109" s="780"/>
      <c r="P109" s="778"/>
      <c r="Q109" s="778"/>
      <c r="R109" s="779"/>
      <c r="S109" s="780"/>
      <c r="T109" s="778"/>
      <c r="U109" s="778"/>
      <c r="V109" s="779"/>
      <c r="W109" s="780"/>
      <c r="X109" s="778"/>
      <c r="Y109" s="778"/>
      <c r="Z109" s="779"/>
      <c r="AA109" s="720"/>
      <c r="AB109" s="778"/>
      <c r="AC109" s="778"/>
      <c r="AD109" s="1066"/>
      <c r="AE109" s="720"/>
      <c r="AH109" s="1237"/>
      <c r="AI109" s="720"/>
      <c r="AL109" s="722"/>
      <c r="AP109" s="722"/>
      <c r="AQ109" s="830"/>
      <c r="AS109" s="831"/>
      <c r="AT109" s="831"/>
      <c r="AU109" s="831"/>
      <c r="AV109" s="831"/>
      <c r="AW109" s="831"/>
      <c r="AX109" s="831"/>
      <c r="AY109" s="831"/>
      <c r="AZ109" s="831"/>
      <c r="BA109" s="831"/>
      <c r="BB109" s="831"/>
    </row>
    <row r="110" spans="2:59" s="721" customFormat="1">
      <c r="B110" s="749" t="s">
        <v>426</v>
      </c>
      <c r="C110" s="834">
        <f t="shared" ref="C110:AA110" si="478">C98/C156</f>
        <v>0.82950293960448962</v>
      </c>
      <c r="D110" s="810">
        <f t="shared" si="478"/>
        <v>0.85004730368968784</v>
      </c>
      <c r="E110" s="810">
        <f t="shared" si="478"/>
        <v>0.84492223238792319</v>
      </c>
      <c r="F110" s="811">
        <f t="shared" si="478"/>
        <v>0.85844567803330685</v>
      </c>
      <c r="G110" s="834">
        <f t="shared" si="478"/>
        <v>0.83644480519480524</v>
      </c>
      <c r="H110" s="810">
        <f t="shared" si="478"/>
        <v>0.84318555008210183</v>
      </c>
      <c r="I110" s="810">
        <f t="shared" si="478"/>
        <v>0.84315286624203822</v>
      </c>
      <c r="J110" s="811">
        <f t="shared" si="478"/>
        <v>0.8477364740522636</v>
      </c>
      <c r="K110" s="834">
        <f t="shared" si="478"/>
        <v>0.8937539565764322</v>
      </c>
      <c r="L110" s="810">
        <f t="shared" si="478"/>
        <v>0.89391807708721716</v>
      </c>
      <c r="M110" s="810">
        <f t="shared" si="478"/>
        <v>0.88711338676024731</v>
      </c>
      <c r="N110" s="811">
        <f t="shared" si="478"/>
        <v>0.8984985310030501</v>
      </c>
      <c r="O110" s="834">
        <f t="shared" si="478"/>
        <v>0.85210080455620119</v>
      </c>
      <c r="P110" s="810">
        <f t="shared" si="478"/>
        <v>0.84347091053147005</v>
      </c>
      <c r="Q110" s="810">
        <f t="shared" si="478"/>
        <v>0.83684204663548722</v>
      </c>
      <c r="R110" s="811">
        <f t="shared" si="478"/>
        <v>0.8461920504981747</v>
      </c>
      <c r="S110" s="834">
        <f t="shared" si="478"/>
        <v>0.83988648061983651</v>
      </c>
      <c r="T110" s="810">
        <f t="shared" si="478"/>
        <v>0.85237185151350126</v>
      </c>
      <c r="U110" s="810">
        <f t="shared" si="478"/>
        <v>0.84830456340884952</v>
      </c>
      <c r="V110" s="811">
        <f t="shared" si="478"/>
        <v>0.86197987163588785</v>
      </c>
      <c r="W110" s="834">
        <f t="shared" si="478"/>
        <v>0.86420240278494598</v>
      </c>
      <c r="X110" s="810">
        <f t="shared" si="478"/>
        <v>0.86762569426551051</v>
      </c>
      <c r="Y110" s="810">
        <f t="shared" si="478"/>
        <v>0.87241574255498167</v>
      </c>
      <c r="Z110" s="811">
        <f t="shared" si="478"/>
        <v>0.87981062028365797</v>
      </c>
      <c r="AA110" s="758">
        <f t="shared" si="478"/>
        <v>0.87263300247911146</v>
      </c>
      <c r="AB110" s="810">
        <f t="shared" ref="AB110:AC110" si="479">AB98/AB156</f>
        <v>0.87419130355868124</v>
      </c>
      <c r="AC110" s="810">
        <f t="shared" si="479"/>
        <v>0.86707091723233076</v>
      </c>
      <c r="AD110" s="1070">
        <f>AD98/AD156</f>
        <v>0.86745809003007679</v>
      </c>
      <c r="AE110" s="758">
        <f t="shared" ref="AE110" si="480">AE98/AE156</f>
        <v>0.86315416965957115</v>
      </c>
      <c r="AF110" s="756">
        <f t="shared" ref="AF110" si="481">AF98/AF156</f>
        <v>0.86851709735047533</v>
      </c>
      <c r="AG110" s="756">
        <f t="shared" ref="AG110:AI110" si="482">AG98/AG156</f>
        <v>0.85626740971256776</v>
      </c>
      <c r="AH110" s="1243">
        <f t="shared" si="482"/>
        <v>0.86321032407615039</v>
      </c>
      <c r="AI110" s="758">
        <f t="shared" si="482"/>
        <v>0.87512592502117215</v>
      </c>
      <c r="AJ110" s="756">
        <f t="shared" ref="AJ110:AL110" si="483">AJ98/AJ156</f>
        <v>0.87092098200100165</v>
      </c>
      <c r="AK110" s="756">
        <f t="shared" si="483"/>
        <v>0.87742167319030429</v>
      </c>
      <c r="AL110" s="757">
        <f t="shared" si="483"/>
        <v>0.87237398472229388</v>
      </c>
      <c r="AM110" s="756">
        <f t="shared" ref="AM110:AP110" si="484">AM98/AM156</f>
        <v>0.85742300655764281</v>
      </c>
      <c r="AN110" s="756">
        <f t="shared" si="484"/>
        <v>0.85430007034306743</v>
      </c>
      <c r="AO110" s="756">
        <f t="shared" si="484"/>
        <v>0.86181568955751575</v>
      </c>
      <c r="AP110" s="757">
        <f t="shared" si="484"/>
        <v>0.86127570153640709</v>
      </c>
      <c r="AQ110" s="830"/>
      <c r="AS110" s="756">
        <f t="shared" ref="AS110:AZ110" si="485">AS98/AS156</f>
        <v>0.84677326584608303</v>
      </c>
      <c r="AT110" s="756">
        <f t="shared" si="485"/>
        <v>0.84275841642807769</v>
      </c>
      <c r="AU110" s="756">
        <f t="shared" si="485"/>
        <v>0.89340606226932995</v>
      </c>
      <c r="AV110" s="756">
        <f t="shared" si="485"/>
        <v>0.84443917340595698</v>
      </c>
      <c r="AW110" s="756">
        <f t="shared" si="485"/>
        <v>0.85137894850277829</v>
      </c>
      <c r="AX110" s="756">
        <f t="shared" si="485"/>
        <v>0.87136277738074941</v>
      </c>
      <c r="AY110" s="756">
        <f t="shared" si="485"/>
        <v>0.87012985766270723</v>
      </c>
      <c r="AZ110" s="756">
        <f t="shared" si="485"/>
        <v>0.86263835759476293</v>
      </c>
      <c r="BA110" s="756">
        <f t="shared" ref="BA110" si="486">BA98/BA156</f>
        <v>0.87400044322614123</v>
      </c>
      <c r="BB110" s="756">
        <f t="shared" ref="BB110" si="487">BB98/BB156</f>
        <v>0.85887515223467803</v>
      </c>
    </row>
    <row r="111" spans="2:59" s="721" customFormat="1">
      <c r="B111" s="749"/>
      <c r="C111" s="827"/>
      <c r="D111" s="828"/>
      <c r="E111" s="828"/>
      <c r="F111" s="829"/>
      <c r="G111" s="827"/>
      <c r="H111" s="828"/>
      <c r="I111" s="828"/>
      <c r="J111" s="829"/>
      <c r="K111" s="827"/>
      <c r="L111" s="828"/>
      <c r="M111" s="828"/>
      <c r="N111" s="829"/>
      <c r="O111" s="827"/>
      <c r="P111" s="828"/>
      <c r="Q111" s="828"/>
      <c r="R111" s="829"/>
      <c r="S111" s="827"/>
      <c r="T111" s="828"/>
      <c r="U111" s="828"/>
      <c r="V111" s="829"/>
      <c r="W111" s="827"/>
      <c r="X111" s="828"/>
      <c r="Y111" s="828"/>
      <c r="Z111" s="829"/>
      <c r="AA111" s="720"/>
      <c r="AD111" s="1064"/>
      <c r="AE111" s="720"/>
      <c r="AH111" s="1237"/>
      <c r="AI111" s="720"/>
      <c r="AL111" s="722"/>
      <c r="AP111" s="722"/>
      <c r="AQ111" s="830"/>
      <c r="AS111" s="831"/>
      <c r="AT111" s="831"/>
      <c r="AU111" s="831"/>
      <c r="AV111" s="831"/>
      <c r="AW111" s="831"/>
      <c r="AX111" s="831"/>
      <c r="AY111" s="831"/>
      <c r="AZ111" s="831"/>
      <c r="BA111" s="831"/>
      <c r="BB111" s="831"/>
    </row>
    <row r="112" spans="2:59" s="721" customFormat="1">
      <c r="B112" s="833" t="s">
        <v>427</v>
      </c>
      <c r="C112" s="827"/>
      <c r="D112" s="828"/>
      <c r="E112" s="828"/>
      <c r="F112" s="829"/>
      <c r="G112" s="827"/>
      <c r="H112" s="828"/>
      <c r="I112" s="828"/>
      <c r="J112" s="829"/>
      <c r="K112" s="827"/>
      <c r="L112" s="828"/>
      <c r="M112" s="828"/>
      <c r="N112" s="829"/>
      <c r="O112" s="827"/>
      <c r="P112" s="828"/>
      <c r="Q112" s="828"/>
      <c r="R112" s="829"/>
      <c r="S112" s="827"/>
      <c r="T112" s="828"/>
      <c r="U112" s="828"/>
      <c r="V112" s="829"/>
      <c r="W112" s="827"/>
      <c r="X112" s="828"/>
      <c r="Y112" s="828"/>
      <c r="Z112" s="829"/>
      <c r="AA112" s="720"/>
      <c r="AD112" s="1064"/>
      <c r="AE112" s="720"/>
      <c r="AH112" s="1237"/>
      <c r="AI112" s="720"/>
      <c r="AL112" s="722"/>
      <c r="AP112" s="722"/>
      <c r="AQ112" s="830"/>
      <c r="AS112" s="831"/>
      <c r="AT112" s="831"/>
      <c r="AU112" s="831"/>
      <c r="AV112" s="831"/>
      <c r="AW112" s="831"/>
      <c r="AX112" s="831"/>
      <c r="AY112" s="831"/>
      <c r="AZ112" s="831"/>
      <c r="BA112" s="831"/>
      <c r="BB112" s="831"/>
    </row>
    <row r="113" spans="2:54" s="721" customFormat="1">
      <c r="B113" s="749" t="s">
        <v>428</v>
      </c>
      <c r="C113" s="827"/>
      <c r="D113" s="828"/>
      <c r="E113" s="828"/>
      <c r="F113" s="829"/>
      <c r="G113" s="827"/>
      <c r="H113" s="828"/>
      <c r="I113" s="828"/>
      <c r="J113" s="829"/>
      <c r="K113" s="827"/>
      <c r="L113" s="828"/>
      <c r="M113" s="828"/>
      <c r="N113" s="829"/>
      <c r="O113" s="726">
        <f>O253</f>
        <v>192</v>
      </c>
      <c r="P113" s="727">
        <f t="shared" ref="P113:R113" si="488">P253</f>
        <v>201</v>
      </c>
      <c r="Q113" s="727">
        <f t="shared" si="488"/>
        <v>266</v>
      </c>
      <c r="R113" s="728">
        <f t="shared" si="488"/>
        <v>264</v>
      </c>
      <c r="S113" s="726">
        <f>R113*(1+S114)</f>
        <v>258.71999999999997</v>
      </c>
      <c r="T113" s="727">
        <f t="shared" ref="T113:AI113" si="489">S113*(1+T114)</f>
        <v>240.60959999999994</v>
      </c>
      <c r="U113" s="727">
        <f t="shared" si="489"/>
        <v>250.23398399999996</v>
      </c>
      <c r="V113" s="728">
        <f t="shared" si="489"/>
        <v>267.75036287999995</v>
      </c>
      <c r="W113" s="726">
        <f t="shared" si="489"/>
        <v>265.07285925119993</v>
      </c>
      <c r="X113" s="727">
        <f t="shared" si="489"/>
        <v>259.77140206617594</v>
      </c>
      <c r="Y113" s="727">
        <f t="shared" si="489"/>
        <v>264.96683010749945</v>
      </c>
      <c r="Z113" s="728">
        <f t="shared" si="489"/>
        <v>280.86483991394942</v>
      </c>
      <c r="AA113" s="731">
        <f t="shared" si="489"/>
        <v>278.05619151480994</v>
      </c>
      <c r="AB113" s="993">
        <f t="shared" si="489"/>
        <v>275.27562959966184</v>
      </c>
      <c r="AC113" s="993">
        <f t="shared" si="489"/>
        <v>275.82618085886116</v>
      </c>
      <c r="AD113" s="1071">
        <f t="shared" si="489"/>
        <v>276.37783322057891</v>
      </c>
      <c r="AE113" s="731">
        <f t="shared" si="489"/>
        <v>273.61405488837312</v>
      </c>
      <c r="AF113" s="993">
        <f t="shared" si="489"/>
        <v>292.76703873055925</v>
      </c>
      <c r="AG113" s="993">
        <f t="shared" si="489"/>
        <v>322.04374260361521</v>
      </c>
      <c r="AH113" s="1247">
        <f t="shared" si="489"/>
        <v>338.14592973379598</v>
      </c>
      <c r="AI113" s="731">
        <f t="shared" si="489"/>
        <v>355.05322622048578</v>
      </c>
      <c r="AJ113" s="732">
        <f t="shared" ref="AJ113" si="490">AI113*(1+AJ114)</f>
        <v>372.80588753151011</v>
      </c>
      <c r="AK113" s="732">
        <f t="shared" ref="AK113" si="491">AJ113*(1+AK114)</f>
        <v>391.44618190808563</v>
      </c>
      <c r="AL113" s="733">
        <f t="shared" ref="AL113" si="492">AK113*(1+AL114)</f>
        <v>411.01849100348994</v>
      </c>
      <c r="AM113" s="732">
        <f t="shared" ref="AM113" si="493">AL113*(1+AM114)</f>
        <v>431.56941555366444</v>
      </c>
      <c r="AN113" s="732">
        <f t="shared" ref="AN113" si="494">AM113*(1+AN114)</f>
        <v>453.14788633134771</v>
      </c>
      <c r="AO113" s="732">
        <f t="shared" ref="AO113" si="495">AN113*(1+AO114)</f>
        <v>475.80528064791514</v>
      </c>
      <c r="AP113" s="733">
        <f t="shared" ref="AP113" si="496">AO113*(1+AP114)</f>
        <v>499.59554468031092</v>
      </c>
      <c r="AQ113" s="830"/>
      <c r="AS113" s="729">
        <f>SUM(C113:F113)</f>
        <v>0</v>
      </c>
      <c r="AT113" s="729">
        <f>SUM(G113:J113)</f>
        <v>0</v>
      </c>
      <c r="AU113" s="729">
        <f>SUM(K113:N113)</f>
        <v>0</v>
      </c>
      <c r="AV113" s="729">
        <f>SUM(O113:R113)</f>
        <v>923</v>
      </c>
      <c r="AW113" s="782">
        <f>SUM(S113:V113)</f>
        <v>1017.3139468799998</v>
      </c>
      <c r="AX113" s="782">
        <f>SUM(W113:Z113)</f>
        <v>1070.6759313388247</v>
      </c>
      <c r="AY113" s="782">
        <f>SUM(AA113:AD113)</f>
        <v>1105.5358351939117</v>
      </c>
      <c r="AZ113" s="729">
        <f>SUM(AE113:AH113)</f>
        <v>1226.5707659563436</v>
      </c>
      <c r="BA113" s="729">
        <f>SUM(AI113:AL113)</f>
        <v>1530.3237866635716</v>
      </c>
      <c r="BB113" s="729">
        <f>SUM(AM113:AP113)</f>
        <v>1860.1181272132383</v>
      </c>
    </row>
    <row r="114" spans="2:54" s="721" customFormat="1">
      <c r="B114" s="754" t="s">
        <v>97</v>
      </c>
      <c r="C114" s="827"/>
      <c r="D114" s="828"/>
      <c r="E114" s="828"/>
      <c r="F114" s="829"/>
      <c r="G114" s="827"/>
      <c r="H114" s="828"/>
      <c r="I114" s="828"/>
      <c r="J114" s="829"/>
      <c r="K114" s="827"/>
      <c r="L114" s="828"/>
      <c r="M114" s="828"/>
      <c r="N114" s="829"/>
      <c r="O114" s="827"/>
      <c r="P114" s="792">
        <f t="shared" ref="P114:R114" si="497">P113/O113-1</f>
        <v>4.6875E-2</v>
      </c>
      <c r="Q114" s="792">
        <f t="shared" si="497"/>
        <v>0.3233830845771144</v>
      </c>
      <c r="R114" s="793">
        <f t="shared" si="497"/>
        <v>-7.5187969924812581E-3</v>
      </c>
      <c r="S114" s="780">
        <v>-0.02</v>
      </c>
      <c r="T114" s="778">
        <v>-7.0000000000000007E-2</v>
      </c>
      <c r="U114" s="778">
        <v>0.04</v>
      </c>
      <c r="V114" s="779">
        <v>7.0000000000000007E-2</v>
      </c>
      <c r="W114" s="780">
        <v>-0.01</v>
      </c>
      <c r="X114" s="778">
        <v>-0.02</v>
      </c>
      <c r="Y114" s="778">
        <v>0.02</v>
      </c>
      <c r="Z114" s="779">
        <v>0.06</v>
      </c>
      <c r="AA114" s="780">
        <v>-0.01</v>
      </c>
      <c r="AB114" s="912">
        <v>-0.01</v>
      </c>
      <c r="AC114" s="912">
        <v>2E-3</v>
      </c>
      <c r="AD114" s="1072">
        <v>2E-3</v>
      </c>
      <c r="AE114" s="780">
        <v>-0.01</v>
      </c>
      <c r="AF114" s="912">
        <v>7.0000000000000007E-2</v>
      </c>
      <c r="AG114" s="912">
        <v>0.1</v>
      </c>
      <c r="AH114" s="1248">
        <v>0.05</v>
      </c>
      <c r="AI114" s="780">
        <v>0.05</v>
      </c>
      <c r="AJ114" s="772">
        <v>0.05</v>
      </c>
      <c r="AK114" s="772">
        <v>0.05</v>
      </c>
      <c r="AL114" s="773">
        <v>0.05</v>
      </c>
      <c r="AM114" s="772">
        <v>0.05</v>
      </c>
      <c r="AN114" s="772">
        <v>0.05</v>
      </c>
      <c r="AO114" s="772">
        <v>0.05</v>
      </c>
      <c r="AP114" s="773">
        <v>0.05</v>
      </c>
      <c r="AQ114" s="830"/>
      <c r="AS114" s="831"/>
      <c r="AT114" s="831"/>
      <c r="AU114" s="831"/>
      <c r="AV114" s="831"/>
      <c r="AW114" s="756">
        <f t="shared" ref="AW114:BB114" si="498">AW113/AV113-1</f>
        <v>0.10218195761646776</v>
      </c>
      <c r="AX114" s="756">
        <f t="shared" si="498"/>
        <v>5.2453802115345782E-2</v>
      </c>
      <c r="AY114" s="756">
        <f t="shared" si="498"/>
        <v>3.2558781639460577E-2</v>
      </c>
      <c r="AZ114" s="756">
        <f t="shared" si="498"/>
        <v>0.10948078471034117</v>
      </c>
      <c r="BA114" s="756">
        <f t="shared" si="498"/>
        <v>0.24764410593985997</v>
      </c>
      <c r="BB114" s="756">
        <f t="shared" si="498"/>
        <v>0.21550625000000023</v>
      </c>
    </row>
    <row r="115" spans="2:54" s="721" customFormat="1">
      <c r="B115" s="754"/>
      <c r="C115" s="827"/>
      <c r="D115" s="828"/>
      <c r="E115" s="828"/>
      <c r="F115" s="829"/>
      <c r="G115" s="827"/>
      <c r="H115" s="828"/>
      <c r="I115" s="828"/>
      <c r="J115" s="829"/>
      <c r="K115" s="827"/>
      <c r="L115" s="828"/>
      <c r="M115" s="828"/>
      <c r="N115" s="829"/>
      <c r="O115" s="827"/>
      <c r="P115" s="792"/>
      <c r="Q115" s="792"/>
      <c r="R115" s="793"/>
      <c r="S115" s="835"/>
      <c r="T115" s="836"/>
      <c r="U115" s="836"/>
      <c r="V115" s="837"/>
      <c r="W115" s="838"/>
      <c r="X115" s="839"/>
      <c r="Y115" s="839"/>
      <c r="Z115" s="840"/>
      <c r="AA115" s="841"/>
      <c r="AB115" s="994"/>
      <c r="AC115" s="994"/>
      <c r="AD115" s="1073"/>
      <c r="AE115" s="841"/>
      <c r="AF115" s="784"/>
      <c r="AG115" s="784"/>
      <c r="AH115" s="1249"/>
      <c r="AI115" s="841"/>
      <c r="AJ115" s="784"/>
      <c r="AK115" s="784"/>
      <c r="AL115" s="786"/>
      <c r="AM115" s="784"/>
      <c r="AN115" s="784"/>
      <c r="AO115" s="784"/>
      <c r="AP115" s="786"/>
      <c r="AQ115" s="830"/>
      <c r="AS115" s="831"/>
      <c r="AT115" s="831"/>
      <c r="AU115" s="831"/>
      <c r="AV115" s="831"/>
      <c r="AW115" s="831"/>
      <c r="AX115" s="831"/>
      <c r="AY115" s="831"/>
      <c r="AZ115" s="831"/>
      <c r="BA115" s="831"/>
      <c r="BB115" s="831"/>
    </row>
    <row r="116" spans="2:54" s="721" customFormat="1">
      <c r="B116" s="749" t="s">
        <v>429</v>
      </c>
      <c r="C116" s="827"/>
      <c r="D116" s="828"/>
      <c r="E116" s="828"/>
      <c r="F116" s="829"/>
      <c r="G116" s="827"/>
      <c r="H116" s="828"/>
      <c r="I116" s="828"/>
      <c r="J116" s="829"/>
      <c r="K116" s="827"/>
      <c r="L116" s="828"/>
      <c r="M116" s="828"/>
      <c r="N116" s="829"/>
      <c r="O116" s="827"/>
      <c r="P116" s="792"/>
      <c r="Q116" s="792"/>
      <c r="R116" s="793"/>
      <c r="S116" s="764">
        <v>0</v>
      </c>
      <c r="T116" s="765">
        <v>0</v>
      </c>
      <c r="U116" s="765">
        <v>0</v>
      </c>
      <c r="V116" s="766">
        <v>0</v>
      </c>
      <c r="W116" s="764">
        <v>0</v>
      </c>
      <c r="X116" s="765">
        <v>0</v>
      </c>
      <c r="Y116" s="765">
        <v>0</v>
      </c>
      <c r="Z116" s="766">
        <v>0</v>
      </c>
      <c r="AA116" s="764">
        <v>0</v>
      </c>
      <c r="AB116" s="990">
        <v>0</v>
      </c>
      <c r="AC116" s="842">
        <v>5</v>
      </c>
      <c r="AD116" s="1074">
        <v>5</v>
      </c>
      <c r="AE116" s="842">
        <v>20</v>
      </c>
      <c r="AF116" s="842">
        <v>50</v>
      </c>
      <c r="AG116" s="842">
        <v>90</v>
      </c>
      <c r="AH116" s="1250">
        <v>90</v>
      </c>
      <c r="AI116" s="842">
        <v>90</v>
      </c>
      <c r="AJ116" s="842">
        <f>AI116+10</f>
        <v>100</v>
      </c>
      <c r="AK116" s="842">
        <f t="shared" ref="AK116:AP116" si="499">AJ116+10</f>
        <v>110</v>
      </c>
      <c r="AL116" s="842">
        <f t="shared" si="499"/>
        <v>120</v>
      </c>
      <c r="AM116" s="842">
        <f t="shared" si="499"/>
        <v>130</v>
      </c>
      <c r="AN116" s="842">
        <f t="shared" si="499"/>
        <v>140</v>
      </c>
      <c r="AO116" s="842">
        <f t="shared" si="499"/>
        <v>150</v>
      </c>
      <c r="AP116" s="842">
        <f t="shared" si="499"/>
        <v>160</v>
      </c>
      <c r="AQ116" s="830"/>
      <c r="AS116" s="729">
        <f>SUM(C116:F116)</f>
        <v>0</v>
      </c>
      <c r="AT116" s="729">
        <f>SUM(G116:J116)</f>
        <v>0</v>
      </c>
      <c r="AU116" s="729">
        <f>SUM(K116:N116)</f>
        <v>0</v>
      </c>
      <c r="AV116" s="729">
        <f>SUM(O116:R116)</f>
        <v>0</v>
      </c>
      <c r="AW116" s="782">
        <f>SUM(S116:V116)</f>
        <v>0</v>
      </c>
      <c r="AX116" s="782">
        <f>SUM(W116:Z116)</f>
        <v>0</v>
      </c>
      <c r="AY116" s="782">
        <f>SUM(AA116:AD116)</f>
        <v>10</v>
      </c>
      <c r="AZ116" s="729">
        <f>AVERAGE(AE116:AH116)</f>
        <v>62.5</v>
      </c>
      <c r="BA116" s="729">
        <f>AVERAGE(AI116:AL116)</f>
        <v>105</v>
      </c>
      <c r="BB116" s="729">
        <f>AVERAGE(AM116:AP116)</f>
        <v>145</v>
      </c>
    </row>
    <row r="117" spans="2:54" s="721" customFormat="1">
      <c r="B117" s="754" t="s">
        <v>97</v>
      </c>
      <c r="C117" s="827"/>
      <c r="D117" s="828"/>
      <c r="E117" s="828"/>
      <c r="F117" s="829"/>
      <c r="G117" s="827"/>
      <c r="H117" s="828"/>
      <c r="I117" s="828"/>
      <c r="J117" s="829"/>
      <c r="K117" s="827"/>
      <c r="L117" s="828"/>
      <c r="M117" s="828"/>
      <c r="N117" s="829"/>
      <c r="O117" s="827"/>
      <c r="P117" s="792"/>
      <c r="Q117" s="792"/>
      <c r="R117" s="793"/>
      <c r="S117" s="780"/>
      <c r="T117" s="778"/>
      <c r="U117" s="778"/>
      <c r="V117" s="779"/>
      <c r="W117" s="827"/>
      <c r="X117" s="828"/>
      <c r="Y117" s="828"/>
      <c r="Z117" s="829"/>
      <c r="AA117" s="720"/>
      <c r="AB117" s="995"/>
      <c r="AC117" s="995"/>
      <c r="AD117" s="1075"/>
      <c r="AE117" s="769">
        <f t="shared" ref="AE117:AI117" si="500">AE116/AD116-1</f>
        <v>3</v>
      </c>
      <c r="AF117" s="769">
        <f t="shared" si="500"/>
        <v>1.5</v>
      </c>
      <c r="AG117" s="769">
        <f t="shared" si="500"/>
        <v>0.8</v>
      </c>
      <c r="AH117" s="1244">
        <f t="shared" si="500"/>
        <v>0</v>
      </c>
      <c r="AI117" s="769">
        <f t="shared" si="500"/>
        <v>0</v>
      </c>
      <c r="AJ117" s="769">
        <f t="shared" ref="AJ117" si="501">AJ116/AI116-1</f>
        <v>0.11111111111111116</v>
      </c>
      <c r="AK117" s="769">
        <f t="shared" ref="AK117" si="502">AK116/AJ116-1</f>
        <v>0.10000000000000009</v>
      </c>
      <c r="AL117" s="770">
        <f t="shared" ref="AL117" si="503">AL116/AK116-1</f>
        <v>9.0909090909090828E-2</v>
      </c>
      <c r="AM117" s="769">
        <f t="shared" ref="AM117" si="504">AM116/AL116-1</f>
        <v>8.3333333333333259E-2</v>
      </c>
      <c r="AN117" s="769">
        <f t="shared" ref="AN117" si="505">AN116/AM116-1</f>
        <v>7.6923076923076872E-2</v>
      </c>
      <c r="AO117" s="769">
        <f t="shared" ref="AO117" si="506">AO116/AN116-1</f>
        <v>7.1428571428571397E-2</v>
      </c>
      <c r="AP117" s="770">
        <f t="shared" ref="AP117" si="507">AP116/AO116-1</f>
        <v>6.6666666666666652E-2</v>
      </c>
      <c r="AQ117" s="830"/>
      <c r="AS117" s="831"/>
      <c r="AT117" s="831"/>
      <c r="AU117" s="831"/>
      <c r="AV117" s="831"/>
      <c r="AW117" s="831"/>
      <c r="AX117" s="831"/>
      <c r="AY117" s="756"/>
      <c r="AZ117" s="756">
        <f>AZ116/AY116-1</f>
        <v>5.25</v>
      </c>
      <c r="BA117" s="756">
        <f>BA116/AZ116-1</f>
        <v>0.67999999999999994</v>
      </c>
      <c r="BB117" s="756">
        <f>BB116/BA116-1</f>
        <v>0.38095238095238093</v>
      </c>
    </row>
    <row r="118" spans="2:54" s="721" customFormat="1">
      <c r="B118" s="754"/>
      <c r="C118" s="827"/>
      <c r="D118" s="828"/>
      <c r="E118" s="828"/>
      <c r="F118" s="829"/>
      <c r="G118" s="827"/>
      <c r="H118" s="828"/>
      <c r="I118" s="828"/>
      <c r="J118" s="829"/>
      <c r="K118" s="827"/>
      <c r="L118" s="828"/>
      <c r="M118" s="828"/>
      <c r="N118" s="829"/>
      <c r="O118" s="827"/>
      <c r="P118" s="792"/>
      <c r="Q118" s="792"/>
      <c r="R118" s="793"/>
      <c r="S118" s="780"/>
      <c r="T118" s="778"/>
      <c r="U118" s="778"/>
      <c r="V118" s="779"/>
      <c r="W118" s="827"/>
      <c r="X118" s="828"/>
      <c r="Y118" s="828"/>
      <c r="Z118" s="829"/>
      <c r="AA118" s="720"/>
      <c r="AB118" s="995"/>
      <c r="AC118" s="995"/>
      <c r="AD118" s="1075"/>
      <c r="AE118" s="720"/>
      <c r="AF118" s="769"/>
      <c r="AG118" s="769"/>
      <c r="AH118" s="1237"/>
      <c r="AI118" s="720"/>
      <c r="AL118" s="722"/>
      <c r="AP118" s="722"/>
      <c r="AQ118" s="830"/>
      <c r="AS118" s="831"/>
      <c r="AT118" s="831"/>
      <c r="AU118" s="831"/>
      <c r="AV118" s="831"/>
      <c r="AW118" s="831"/>
      <c r="AX118" s="831"/>
      <c r="AY118" s="831"/>
      <c r="AZ118" s="831"/>
      <c r="BA118" s="831"/>
      <c r="BB118" s="831"/>
    </row>
    <row r="119" spans="2:54" s="721" customFormat="1">
      <c r="B119" s="749" t="s">
        <v>430</v>
      </c>
      <c r="C119" s="726">
        <f t="shared" ref="C119:N119" si="508">C156-C98</f>
        <v>319</v>
      </c>
      <c r="D119" s="727">
        <f t="shared" si="508"/>
        <v>317</v>
      </c>
      <c r="E119" s="727">
        <f t="shared" si="508"/>
        <v>339</v>
      </c>
      <c r="F119" s="728">
        <f t="shared" si="508"/>
        <v>357</v>
      </c>
      <c r="G119" s="726">
        <f t="shared" si="508"/>
        <v>403</v>
      </c>
      <c r="H119" s="727">
        <f t="shared" si="508"/>
        <v>382</v>
      </c>
      <c r="I119" s="727">
        <f t="shared" si="508"/>
        <v>394</v>
      </c>
      <c r="J119" s="728">
        <f t="shared" si="508"/>
        <v>413.69999999999982</v>
      </c>
      <c r="K119" s="726">
        <f t="shared" si="508"/>
        <v>260.62154451801189</v>
      </c>
      <c r="L119" s="727">
        <f t="shared" si="508"/>
        <v>297.45371184744317</v>
      </c>
      <c r="M119" s="727">
        <f t="shared" si="508"/>
        <v>299.60107153830359</v>
      </c>
      <c r="N119" s="728">
        <f t="shared" si="508"/>
        <v>287.24915726136805</v>
      </c>
      <c r="O119" s="726">
        <f t="shared" ref="O119:Z119" si="509">O156-O98-O113</f>
        <v>218.71606574742918</v>
      </c>
      <c r="P119" s="727">
        <f t="shared" si="509"/>
        <v>259.82163939535212</v>
      </c>
      <c r="Q119" s="727">
        <f t="shared" si="509"/>
        <v>252.51597579242161</v>
      </c>
      <c r="R119" s="728">
        <f t="shared" si="509"/>
        <v>237.72153127495403</v>
      </c>
      <c r="S119" s="726">
        <f t="shared" si="509"/>
        <v>235.55043432656458</v>
      </c>
      <c r="T119" s="727">
        <f t="shared" si="509"/>
        <v>277.41757303912419</v>
      </c>
      <c r="U119" s="727">
        <f t="shared" si="509"/>
        <v>311.03913138725693</v>
      </c>
      <c r="V119" s="728">
        <f t="shared" si="509"/>
        <v>296.88998225758274</v>
      </c>
      <c r="W119" s="726">
        <f t="shared" si="509"/>
        <v>234.7980960974138</v>
      </c>
      <c r="X119" s="727">
        <f>X156-X98-X113</f>
        <v>250.13442362307762</v>
      </c>
      <c r="Y119" s="727">
        <f t="shared" si="509"/>
        <v>263.23199571487652</v>
      </c>
      <c r="Z119" s="728">
        <f t="shared" si="509"/>
        <v>236.91100790405181</v>
      </c>
      <c r="AA119" s="726">
        <f>AA156-AA98-AA113-AA116</f>
        <v>231.28443157122331</v>
      </c>
      <c r="AB119" s="727">
        <f>AB156-AB98-AB113</f>
        <v>231.3559909695287</v>
      </c>
      <c r="AC119" s="727">
        <f t="shared" ref="AC119:AH119" si="510">AC156-AC98-AC113-AC116</f>
        <v>322.93771307189235</v>
      </c>
      <c r="AD119" s="1063">
        <f t="shared" si="510"/>
        <v>337.32780251902244</v>
      </c>
      <c r="AE119" s="726">
        <f t="shared" si="510"/>
        <v>285.51749911232179</v>
      </c>
      <c r="AF119" s="727">
        <f t="shared" si="510"/>
        <v>232.07621165316283</v>
      </c>
      <c r="AG119" s="727">
        <f t="shared" si="510"/>
        <v>289.08383281847898</v>
      </c>
      <c r="AH119" s="1238">
        <f t="shared" si="510"/>
        <v>335.41404127313223</v>
      </c>
      <c r="AI119" s="726">
        <f t="shared" ref="AI119" si="511">AI156-AI98-AI113-AI116</f>
        <v>208.53768221869933</v>
      </c>
      <c r="AJ119" s="732">
        <f t="shared" ref="AJ119" si="512">AI119*(1+AJ120)</f>
        <v>212.70843586307333</v>
      </c>
      <c r="AK119" s="732">
        <f t="shared" ref="AK119" si="513">AJ119*(1+AK120)</f>
        <v>216.96260458033481</v>
      </c>
      <c r="AL119" s="733">
        <f t="shared" ref="AL119" si="514">AK119*(1+AL120)</f>
        <v>221.30185667194152</v>
      </c>
      <c r="AM119" s="732">
        <f t="shared" ref="AM119" si="515">AL119*(1+AM120)</f>
        <v>225.72789380538035</v>
      </c>
      <c r="AN119" s="732">
        <f t="shared" ref="AN119" si="516">AM119*(1+AN120)</f>
        <v>230.24245168148795</v>
      </c>
      <c r="AO119" s="732">
        <f t="shared" ref="AO119" si="517">AN119*(1+AO120)</f>
        <v>234.84730071511771</v>
      </c>
      <c r="AP119" s="733">
        <f t="shared" ref="AP119" si="518">AO119*(1+AP120)</f>
        <v>239.54424672942008</v>
      </c>
      <c r="AQ119" s="830"/>
      <c r="AS119" s="729">
        <f>SUM(C119:F119)</f>
        <v>1332</v>
      </c>
      <c r="AT119" s="729">
        <f>SUM(G119:J119)</f>
        <v>1592.6999999999998</v>
      </c>
      <c r="AU119" s="729">
        <f>SUM(K119:N119)</f>
        <v>1144.9254851651267</v>
      </c>
      <c r="AV119" s="729">
        <f>SUM(O119:R119)</f>
        <v>968.77521221015695</v>
      </c>
      <c r="AW119" s="782">
        <f>SUM(S119:V119)</f>
        <v>1120.8971210105285</v>
      </c>
      <c r="AX119" s="782">
        <f>SUM(W119:Z119)</f>
        <v>985.07552333941976</v>
      </c>
      <c r="AY119" s="782">
        <f>SUM(AA119:AD119)</f>
        <v>1122.9059381316667</v>
      </c>
      <c r="AZ119" s="729">
        <f>SUM(AE119:AH119)</f>
        <v>1142.0915848570958</v>
      </c>
      <c r="BA119" s="729">
        <f>SUM(AI119:AL119)</f>
        <v>859.510579334049</v>
      </c>
      <c r="BB119" s="729">
        <f>SUM(AM119:AP119)</f>
        <v>930.36189293140615</v>
      </c>
    </row>
    <row r="120" spans="2:54" s="721" customFormat="1">
      <c r="B120" s="754" t="s">
        <v>97</v>
      </c>
      <c r="C120" s="827"/>
      <c r="D120" s="810">
        <f t="shared" ref="D120:O120" si="519">D119/C119-1</f>
        <v>-6.2695924764890609E-3</v>
      </c>
      <c r="E120" s="810">
        <f t="shared" si="519"/>
        <v>6.9400630914826511E-2</v>
      </c>
      <c r="F120" s="811">
        <f t="shared" si="519"/>
        <v>5.3097345132743445E-2</v>
      </c>
      <c r="G120" s="834">
        <f t="shared" si="519"/>
        <v>0.12885154061624648</v>
      </c>
      <c r="H120" s="810">
        <f t="shared" si="519"/>
        <v>-5.2109181141439254E-2</v>
      </c>
      <c r="I120" s="810">
        <f t="shared" si="519"/>
        <v>3.1413612565444948E-2</v>
      </c>
      <c r="J120" s="811">
        <f t="shared" si="519"/>
        <v>4.99999999999996E-2</v>
      </c>
      <c r="K120" s="834">
        <f t="shared" si="519"/>
        <v>-0.37002285589071304</v>
      </c>
      <c r="L120" s="810">
        <f t="shared" si="519"/>
        <v>0.141324338314194</v>
      </c>
      <c r="M120" s="810">
        <f t="shared" si="519"/>
        <v>7.2191389965297059E-3</v>
      </c>
      <c r="N120" s="811">
        <f t="shared" si="519"/>
        <v>-4.1227870826744839E-2</v>
      </c>
      <c r="O120" s="834">
        <f t="shared" si="519"/>
        <v>-0.23858413430115166</v>
      </c>
      <c r="P120" s="769">
        <f>P119/O119-1</f>
        <v>0.18794034863168751</v>
      </c>
      <c r="Q120" s="769">
        <f t="shared" ref="Q120:S120" si="520">Q119/P119-1</f>
        <v>-2.8117995175197863E-2</v>
      </c>
      <c r="R120" s="770">
        <f t="shared" si="520"/>
        <v>-5.8588152575460128E-2</v>
      </c>
      <c r="S120" s="768">
        <f t="shared" si="520"/>
        <v>-9.1329419625785224E-3</v>
      </c>
      <c r="T120" s="769">
        <f>T119/S119-1</f>
        <v>0.17774171731950816</v>
      </c>
      <c r="U120" s="769">
        <f t="shared" ref="U120:AI120" si="521">U119/T119-1</f>
        <v>0.12119476780005956</v>
      </c>
      <c r="V120" s="770">
        <f t="shared" si="521"/>
        <v>-4.5489932622200802E-2</v>
      </c>
      <c r="W120" s="768">
        <f t="shared" si="521"/>
        <v>-0.20914106191126991</v>
      </c>
      <c r="X120" s="769">
        <f t="shared" si="521"/>
        <v>6.5317086384299339E-2</v>
      </c>
      <c r="Y120" s="769">
        <f t="shared" si="521"/>
        <v>5.2362133536387523E-2</v>
      </c>
      <c r="Z120" s="770">
        <f t="shared" si="521"/>
        <v>-9.9991597675438526E-2</v>
      </c>
      <c r="AA120" s="768">
        <f t="shared" si="521"/>
        <v>-2.3749746297593965E-2</v>
      </c>
      <c r="AB120" s="769">
        <f t="shared" si="521"/>
        <v>3.0939997914791739E-4</v>
      </c>
      <c r="AC120" s="769">
        <f t="shared" si="521"/>
        <v>0.39584763601140383</v>
      </c>
      <c r="AD120" s="1065">
        <f t="shared" si="521"/>
        <v>4.4559953404781139E-2</v>
      </c>
      <c r="AE120" s="768">
        <f t="shared" si="521"/>
        <v>-0.15359037416958532</v>
      </c>
      <c r="AF120" s="1162">
        <f t="shared" si="521"/>
        <v>-0.18717342238324697</v>
      </c>
      <c r="AG120" s="1162">
        <f t="shared" si="521"/>
        <v>0.245641812054886</v>
      </c>
      <c r="AH120" s="1251">
        <f t="shared" si="521"/>
        <v>0.16026565028887263</v>
      </c>
      <c r="AI120" s="768">
        <f t="shared" si="521"/>
        <v>-0.37826788220566998</v>
      </c>
      <c r="AJ120" s="772">
        <v>0.02</v>
      </c>
      <c r="AK120" s="772">
        <v>0.02</v>
      </c>
      <c r="AL120" s="773">
        <v>0.02</v>
      </c>
      <c r="AM120" s="772">
        <v>0.02</v>
      </c>
      <c r="AN120" s="772">
        <v>0.02</v>
      </c>
      <c r="AO120" s="772">
        <v>0.02</v>
      </c>
      <c r="AP120" s="773">
        <v>0.02</v>
      </c>
      <c r="AQ120" s="830"/>
      <c r="AS120" s="831"/>
      <c r="AT120" s="831"/>
      <c r="AU120" s="831"/>
      <c r="AV120" s="831"/>
      <c r="AW120" s="831"/>
      <c r="AX120" s="756">
        <f>AX119/AW119-1</f>
        <v>-0.12117222457370647</v>
      </c>
      <c r="AY120" s="756">
        <f>AY119/AX119-1</f>
        <v>0.13991862707642966</v>
      </c>
      <c r="AZ120" s="756">
        <f>AZ119/AY119-1</f>
        <v>1.7085711344042576E-2</v>
      </c>
      <c r="BA120" s="756">
        <f>BA119/AZ119-1</f>
        <v>-0.24742412015793347</v>
      </c>
      <c r="BB120" s="756">
        <f>BB119/BA119-1</f>
        <v>8.2432160000000199E-2</v>
      </c>
    </row>
    <row r="121" spans="2:54" s="721" customFormat="1">
      <c r="B121" s="754"/>
      <c r="C121" s="827"/>
      <c r="D121" s="828"/>
      <c r="E121" s="828"/>
      <c r="F121" s="829"/>
      <c r="G121" s="827"/>
      <c r="H121" s="828"/>
      <c r="I121" s="828"/>
      <c r="J121" s="829"/>
      <c r="K121" s="827"/>
      <c r="L121" s="828"/>
      <c r="M121" s="828"/>
      <c r="N121" s="829"/>
      <c r="O121" s="827"/>
      <c r="P121" s="792"/>
      <c r="Q121" s="792"/>
      <c r="R121" s="793"/>
      <c r="S121" s="780"/>
      <c r="T121" s="778"/>
      <c r="U121" s="778"/>
      <c r="V121" s="779"/>
      <c r="W121" s="827"/>
      <c r="X121" s="828"/>
      <c r="Y121" s="828"/>
      <c r="Z121" s="829"/>
      <c r="AA121" s="827"/>
      <c r="AB121" s="828"/>
      <c r="AC121" s="1032"/>
      <c r="AD121" s="1076"/>
      <c r="AE121" s="827"/>
      <c r="AF121" s="828"/>
      <c r="AG121" s="828"/>
      <c r="AH121" s="1252"/>
      <c r="AI121" s="827"/>
      <c r="AJ121" s="828"/>
      <c r="AK121" s="828"/>
      <c r="AL121" s="829"/>
      <c r="AM121" s="828"/>
      <c r="AN121" s="828"/>
      <c r="AO121" s="828"/>
      <c r="AP121" s="829"/>
      <c r="AQ121" s="830"/>
      <c r="AS121" s="831"/>
      <c r="AT121" s="831"/>
      <c r="AU121" s="831"/>
      <c r="AV121" s="831"/>
      <c r="AW121" s="831"/>
      <c r="AX121" s="831"/>
      <c r="AY121" s="831"/>
      <c r="AZ121" s="831"/>
      <c r="BA121" s="831"/>
      <c r="BB121" s="831"/>
    </row>
    <row r="122" spans="2:54" s="831" customFormat="1">
      <c r="B122" s="749" t="s">
        <v>431</v>
      </c>
      <c r="C122" s="726">
        <f t="shared" ref="C122:M122" si="522">C119+C116+C113</f>
        <v>319</v>
      </c>
      <c r="D122" s="727">
        <f t="shared" si="522"/>
        <v>317</v>
      </c>
      <c r="E122" s="727">
        <f t="shared" si="522"/>
        <v>339</v>
      </c>
      <c r="F122" s="728">
        <f t="shared" si="522"/>
        <v>357</v>
      </c>
      <c r="G122" s="726">
        <f t="shared" si="522"/>
        <v>403</v>
      </c>
      <c r="H122" s="727">
        <f t="shared" si="522"/>
        <v>382</v>
      </c>
      <c r="I122" s="727">
        <f t="shared" si="522"/>
        <v>394</v>
      </c>
      <c r="J122" s="728">
        <f t="shared" si="522"/>
        <v>413.69999999999982</v>
      </c>
      <c r="K122" s="726">
        <f t="shared" si="522"/>
        <v>260.62154451801189</v>
      </c>
      <c r="L122" s="727">
        <f t="shared" si="522"/>
        <v>297.45371184744317</v>
      </c>
      <c r="M122" s="727">
        <f t="shared" si="522"/>
        <v>299.60107153830359</v>
      </c>
      <c r="N122" s="728">
        <f>N119+N116+N113</f>
        <v>287.24915726136805</v>
      </c>
      <c r="O122" s="781">
        <f>O119+O116+O113</f>
        <v>410.71606574742918</v>
      </c>
      <c r="P122" s="782">
        <f t="shared" ref="P122:R122" si="523">P119+P116+P113</f>
        <v>460.82163939535212</v>
      </c>
      <c r="Q122" s="782">
        <f t="shared" si="523"/>
        <v>518.51597579242161</v>
      </c>
      <c r="R122" s="783">
        <f t="shared" si="523"/>
        <v>501.72153127495403</v>
      </c>
      <c r="S122" s="781">
        <f>S119+S116+S113</f>
        <v>494.27043432656455</v>
      </c>
      <c r="T122" s="782">
        <f t="shared" ref="T122:AD122" si="524">T119+T116+T113</f>
        <v>518.02717303912414</v>
      </c>
      <c r="U122" s="782">
        <f t="shared" si="524"/>
        <v>561.27311538725689</v>
      </c>
      <c r="V122" s="783">
        <f t="shared" si="524"/>
        <v>564.6403451375827</v>
      </c>
      <c r="W122" s="781">
        <f t="shared" si="524"/>
        <v>499.87095534861373</v>
      </c>
      <c r="X122" s="782">
        <f t="shared" si="524"/>
        <v>509.90582568925356</v>
      </c>
      <c r="Y122" s="782">
        <f t="shared" si="524"/>
        <v>528.19882582237597</v>
      </c>
      <c r="Z122" s="783">
        <f t="shared" si="524"/>
        <v>517.77584781800124</v>
      </c>
      <c r="AA122" s="781">
        <f t="shared" si="524"/>
        <v>509.34062308603325</v>
      </c>
      <c r="AB122" s="782">
        <f t="shared" ref="AB122" si="525">AB119+AB116+AB113</f>
        <v>506.63162056919055</v>
      </c>
      <c r="AC122" s="782">
        <f t="shared" si="524"/>
        <v>603.76389393075351</v>
      </c>
      <c r="AD122" s="1067">
        <f t="shared" si="524"/>
        <v>618.70563573960135</v>
      </c>
      <c r="AE122" s="781">
        <f t="shared" ref="AE122" si="526">AE119+AE116+AE113</f>
        <v>579.1315540006949</v>
      </c>
      <c r="AF122" s="782">
        <f t="shared" ref="AF122" si="527">AF119+AF116+AF113</f>
        <v>574.84325038372208</v>
      </c>
      <c r="AG122" s="782">
        <f t="shared" ref="AG122:AI122" si="528">AG119+AG116+AG113</f>
        <v>701.1275754220942</v>
      </c>
      <c r="AH122" s="1246">
        <f t="shared" si="528"/>
        <v>763.55997100692821</v>
      </c>
      <c r="AI122" s="781">
        <f t="shared" si="528"/>
        <v>653.59090843918511</v>
      </c>
      <c r="AJ122" s="782">
        <f t="shared" ref="AJ122:AL122" si="529">AJ119+AJ116+AJ113</f>
        <v>685.51432339458347</v>
      </c>
      <c r="AK122" s="782">
        <f t="shared" si="529"/>
        <v>718.40878648842045</v>
      </c>
      <c r="AL122" s="783">
        <f t="shared" si="529"/>
        <v>752.32034767543155</v>
      </c>
      <c r="AM122" s="782">
        <f t="shared" ref="AM122:AP122" si="530">AM119+AM116+AM113</f>
        <v>787.29730935904479</v>
      </c>
      <c r="AN122" s="782">
        <f t="shared" si="530"/>
        <v>823.39033801283563</v>
      </c>
      <c r="AO122" s="782">
        <f t="shared" si="530"/>
        <v>860.65258136303282</v>
      </c>
      <c r="AP122" s="783">
        <f t="shared" si="530"/>
        <v>899.13979140973106</v>
      </c>
      <c r="AQ122" s="844"/>
      <c r="AS122" s="729">
        <f>SUM(C122:F122)</f>
        <v>1332</v>
      </c>
      <c r="AT122" s="729">
        <f>SUM(G122:J122)</f>
        <v>1592.6999999999998</v>
      </c>
      <c r="AU122" s="729">
        <f>SUM(K122:N122)</f>
        <v>1144.9254851651267</v>
      </c>
      <c r="AV122" s="729">
        <f>SUM(O122:R122)</f>
        <v>1891.775212210157</v>
      </c>
      <c r="AW122" s="782">
        <f>SUM(S122:V122)</f>
        <v>2138.2110678905283</v>
      </c>
      <c r="AX122" s="782">
        <f>SUM(W122:Z122)</f>
        <v>2055.7514546782445</v>
      </c>
      <c r="AY122" s="782">
        <f>SUM(AA122:AD122)</f>
        <v>2238.4417733255787</v>
      </c>
      <c r="AZ122" s="729">
        <f>SUM(AE122:AH122)</f>
        <v>2618.6623508134394</v>
      </c>
      <c r="BA122" s="729">
        <f>SUM(AI122:AL122)</f>
        <v>2809.8343659976208</v>
      </c>
      <c r="BB122" s="729">
        <f>SUM(AM122:AP122)</f>
        <v>3370.4800201446442</v>
      </c>
    </row>
    <row r="123" spans="2:54" s="721" customFormat="1">
      <c r="B123" s="754" t="s">
        <v>97</v>
      </c>
      <c r="C123" s="827"/>
      <c r="D123" s="810">
        <f t="shared" ref="D123:AE123" si="531">D122/C122-1</f>
        <v>-6.2695924764890609E-3</v>
      </c>
      <c r="E123" s="810">
        <f t="shared" si="531"/>
        <v>6.9400630914826511E-2</v>
      </c>
      <c r="F123" s="811">
        <f t="shared" si="531"/>
        <v>5.3097345132743445E-2</v>
      </c>
      <c r="G123" s="834">
        <f t="shared" si="531"/>
        <v>0.12885154061624648</v>
      </c>
      <c r="H123" s="810">
        <f t="shared" si="531"/>
        <v>-5.2109181141439254E-2</v>
      </c>
      <c r="I123" s="810">
        <f t="shared" si="531"/>
        <v>3.1413612565444948E-2</v>
      </c>
      <c r="J123" s="811">
        <f t="shared" si="531"/>
        <v>4.99999999999996E-2</v>
      </c>
      <c r="K123" s="834">
        <f t="shared" si="531"/>
        <v>-0.37002285589071304</v>
      </c>
      <c r="L123" s="810">
        <f t="shared" si="531"/>
        <v>0.141324338314194</v>
      </c>
      <c r="M123" s="810">
        <f t="shared" si="531"/>
        <v>7.2191389965297059E-3</v>
      </c>
      <c r="N123" s="811">
        <f t="shared" si="531"/>
        <v>-4.1227870826744839E-2</v>
      </c>
      <c r="O123" s="834">
        <f t="shared" si="531"/>
        <v>0.4298251373935924</v>
      </c>
      <c r="P123" s="792">
        <f t="shared" si="531"/>
        <v>0.12199565058829598</v>
      </c>
      <c r="Q123" s="792">
        <f t="shared" si="531"/>
        <v>0.12519884368444734</v>
      </c>
      <c r="R123" s="793">
        <f t="shared" si="531"/>
        <v>-3.2389444687411006E-2</v>
      </c>
      <c r="S123" s="768">
        <f t="shared" si="531"/>
        <v>-1.4851060765630364E-2</v>
      </c>
      <c r="T123" s="769">
        <f t="shared" si="531"/>
        <v>4.8064252001898122E-2</v>
      </c>
      <c r="U123" s="769">
        <f t="shared" si="531"/>
        <v>8.348199592392147E-2</v>
      </c>
      <c r="V123" s="770">
        <f t="shared" si="531"/>
        <v>5.9992714028402894E-3</v>
      </c>
      <c r="W123" s="768">
        <f t="shared" si="531"/>
        <v>-0.11470910703907811</v>
      </c>
      <c r="X123" s="769">
        <f t="shared" si="531"/>
        <v>2.0074921803851176E-2</v>
      </c>
      <c r="Y123" s="769">
        <f t="shared" si="531"/>
        <v>3.5875252275055391E-2</v>
      </c>
      <c r="Z123" s="770">
        <f t="shared" si="531"/>
        <v>-1.9733057884304683E-2</v>
      </c>
      <c r="AA123" s="768">
        <f t="shared" si="531"/>
        <v>-1.6291267287795508E-2</v>
      </c>
      <c r="AB123" s="769">
        <f t="shared" si="531"/>
        <v>-5.3186460966517801E-3</v>
      </c>
      <c r="AC123" s="769">
        <f t="shared" si="531"/>
        <v>0.19172169564236197</v>
      </c>
      <c r="AD123" s="1065">
        <f t="shared" si="531"/>
        <v>2.4747657087559327E-2</v>
      </c>
      <c r="AE123" s="768">
        <f t="shared" si="531"/>
        <v>-6.3962698014863761E-2</v>
      </c>
      <c r="AF123" s="769">
        <f t="shared" ref="AF123:AI123" si="532">AF122/AE122-1</f>
        <v>-7.4047141575154241E-3</v>
      </c>
      <c r="AG123" s="769">
        <f t="shared" si="532"/>
        <v>0.21968480095064913</v>
      </c>
      <c r="AH123" s="1244">
        <f t="shared" si="532"/>
        <v>8.9045699774749743E-2</v>
      </c>
      <c r="AI123" s="768">
        <f t="shared" si="532"/>
        <v>-0.14402151336289115</v>
      </c>
      <c r="AJ123" s="769">
        <f t="shared" ref="AJ123" si="533">AJ122/AI122-1</f>
        <v>4.884311354886095E-2</v>
      </c>
      <c r="AK123" s="769">
        <f t="shared" ref="AK123" si="534">AK122/AJ122-1</f>
        <v>4.7985085024843332E-2</v>
      </c>
      <c r="AL123" s="770">
        <f t="shared" ref="AL123" si="535">AL122/AK122-1</f>
        <v>4.7203711626037759E-2</v>
      </c>
      <c r="AM123" s="769">
        <f t="shared" ref="AM123" si="536">AM122/AL122-1</f>
        <v>4.6492111760219279E-2</v>
      </c>
      <c r="AN123" s="769">
        <f t="shared" ref="AN123" si="537">AN122/AM122-1</f>
        <v>4.5844216949217031E-2</v>
      </c>
      <c r="AO123" s="769">
        <f t="shared" ref="AO123" si="538">AO122/AN122-1</f>
        <v>4.5254652173992715E-2</v>
      </c>
      <c r="AP123" s="770">
        <f t="shared" ref="AP123" si="539">AP122/AO122-1</f>
        <v>4.4718636625414199E-2</v>
      </c>
      <c r="AQ123" s="830"/>
      <c r="AS123" s="831"/>
      <c r="AT123" s="831"/>
      <c r="AU123" s="831"/>
      <c r="AV123" s="831"/>
      <c r="AW123" s="756">
        <f t="shared" ref="AW123:BB123" si="540">AW122/AV122-1</f>
        <v>0.13026698631517686</v>
      </c>
      <c r="AX123" s="756">
        <f t="shared" si="540"/>
        <v>-3.856476773999451E-2</v>
      </c>
      <c r="AY123" s="756">
        <f t="shared" si="540"/>
        <v>8.8867901920530512E-2</v>
      </c>
      <c r="AZ123" s="756">
        <f t="shared" si="540"/>
        <v>0.16985948976594534</v>
      </c>
      <c r="BA123" s="756">
        <f t="shared" si="540"/>
        <v>7.3003690271407962E-2</v>
      </c>
      <c r="BB123" s="756">
        <f t="shared" si="540"/>
        <v>0.19952978756737805</v>
      </c>
    </row>
    <row r="124" spans="2:54" s="721" customFormat="1">
      <c r="B124" s="749"/>
      <c r="C124" s="827"/>
      <c r="D124" s="828"/>
      <c r="E124" s="828"/>
      <c r="F124" s="829"/>
      <c r="G124" s="827"/>
      <c r="H124" s="828"/>
      <c r="I124" s="828"/>
      <c r="J124" s="829"/>
      <c r="K124" s="827"/>
      <c r="L124" s="828"/>
      <c r="M124" s="828"/>
      <c r="N124" s="829"/>
      <c r="O124" s="827"/>
      <c r="P124" s="792"/>
      <c r="Q124" s="792"/>
      <c r="R124" s="793"/>
      <c r="S124" s="780"/>
      <c r="T124" s="778"/>
      <c r="U124" s="778"/>
      <c r="V124" s="779"/>
      <c r="W124" s="780"/>
      <c r="X124" s="778"/>
      <c r="Y124" s="778"/>
      <c r="Z124" s="779"/>
      <c r="AA124" s="780"/>
      <c r="AB124" s="778"/>
      <c r="AC124" s="778"/>
      <c r="AD124" s="1066"/>
      <c r="AE124" s="780"/>
      <c r="AF124" s="778"/>
      <c r="AG124" s="778"/>
      <c r="AH124" s="1245"/>
      <c r="AI124" s="780"/>
      <c r="AJ124" s="778"/>
      <c r="AK124" s="778"/>
      <c r="AL124" s="779"/>
      <c r="AM124" s="778"/>
      <c r="AN124" s="778"/>
      <c r="AO124" s="778"/>
      <c r="AP124" s="779"/>
      <c r="AQ124" s="830"/>
      <c r="AS124" s="831"/>
      <c r="AT124" s="831"/>
      <c r="AU124" s="831"/>
      <c r="AV124" s="831"/>
      <c r="AW124" s="831"/>
      <c r="AX124" s="831"/>
      <c r="AY124" s="831"/>
      <c r="AZ124" s="831"/>
      <c r="BA124" s="831"/>
      <c r="BB124" s="831"/>
    </row>
    <row r="125" spans="2:54" s="721" customFormat="1">
      <c r="B125" s="749" t="s">
        <v>432</v>
      </c>
      <c r="C125" s="834">
        <f t="shared" ref="C125:AD125" si="541">C122/C156</f>
        <v>0.17049706039551044</v>
      </c>
      <c r="D125" s="810">
        <f t="shared" si="541"/>
        <v>0.14995269631031222</v>
      </c>
      <c r="E125" s="810">
        <f t="shared" si="541"/>
        <v>0.15507776761207684</v>
      </c>
      <c r="F125" s="811">
        <f t="shared" si="541"/>
        <v>0.1415543219666931</v>
      </c>
      <c r="G125" s="834">
        <f t="shared" si="541"/>
        <v>0.16355519480519481</v>
      </c>
      <c r="H125" s="810">
        <f t="shared" si="541"/>
        <v>0.1568144499178982</v>
      </c>
      <c r="I125" s="810">
        <f t="shared" si="541"/>
        <v>0.15684713375796178</v>
      </c>
      <c r="J125" s="811">
        <f t="shared" si="541"/>
        <v>0.1522635259477364</v>
      </c>
      <c r="K125" s="834">
        <f t="shared" si="541"/>
        <v>0.10624604342356783</v>
      </c>
      <c r="L125" s="810">
        <f t="shared" si="541"/>
        <v>0.10608192291278287</v>
      </c>
      <c r="M125" s="810">
        <f t="shared" si="541"/>
        <v>0.11288661323975267</v>
      </c>
      <c r="N125" s="811">
        <f t="shared" si="541"/>
        <v>0.10150146899694984</v>
      </c>
      <c r="O125" s="845">
        <f t="shared" si="541"/>
        <v>0.14789919544379876</v>
      </c>
      <c r="P125" s="846">
        <f t="shared" si="541"/>
        <v>0.15652908946852992</v>
      </c>
      <c r="Q125" s="846">
        <f t="shared" si="541"/>
        <v>0.16315795336451278</v>
      </c>
      <c r="R125" s="847">
        <f t="shared" si="541"/>
        <v>0.15380794950182528</v>
      </c>
      <c r="S125" s="845">
        <f t="shared" si="541"/>
        <v>0.16011351938016344</v>
      </c>
      <c r="T125" s="846">
        <f t="shared" si="541"/>
        <v>0.14762814848649874</v>
      </c>
      <c r="U125" s="846">
        <f t="shared" si="541"/>
        <v>0.15169543659115051</v>
      </c>
      <c r="V125" s="847">
        <f t="shared" si="541"/>
        <v>0.13802012836411212</v>
      </c>
      <c r="W125" s="845">
        <f t="shared" si="541"/>
        <v>0.13579759721505399</v>
      </c>
      <c r="X125" s="846">
        <f t="shared" si="541"/>
        <v>0.13237430573448949</v>
      </c>
      <c r="Y125" s="846">
        <f t="shared" si="541"/>
        <v>0.12758425744501836</v>
      </c>
      <c r="Z125" s="847">
        <f t="shared" si="541"/>
        <v>0.12018937971634197</v>
      </c>
      <c r="AA125" s="845">
        <f t="shared" si="541"/>
        <v>0.12736699752088854</v>
      </c>
      <c r="AB125" s="846">
        <f t="shared" si="541"/>
        <v>0.12580869644131873</v>
      </c>
      <c r="AC125" s="846">
        <f t="shared" si="541"/>
        <v>0.13292908276766921</v>
      </c>
      <c r="AD125" s="1077">
        <f t="shared" si="541"/>
        <v>0.13254190996992316</v>
      </c>
      <c r="AE125" s="845">
        <f t="shared" ref="AE125" si="542">AE122/AE156</f>
        <v>0.13684583034042885</v>
      </c>
      <c r="AF125" s="846">
        <f t="shared" ref="AF125" si="543">AF122/AF156</f>
        <v>0.13148290264952472</v>
      </c>
      <c r="AG125" s="846">
        <f t="shared" ref="AG125:AI125" si="544">AG122/AG156</f>
        <v>0.14373259028743218</v>
      </c>
      <c r="AH125" s="1253">
        <f t="shared" si="544"/>
        <v>0.13678967592384955</v>
      </c>
      <c r="AI125" s="845">
        <f t="shared" si="544"/>
        <v>0.12487407497882788</v>
      </c>
      <c r="AJ125" s="846">
        <f t="shared" ref="AJ125:AL125" si="545">AJ122/AJ156</f>
        <v>0.12907901799899829</v>
      </c>
      <c r="AK125" s="846">
        <f t="shared" si="545"/>
        <v>0.12257832680969566</v>
      </c>
      <c r="AL125" s="847">
        <f t="shared" si="545"/>
        <v>0.12762601527770612</v>
      </c>
      <c r="AM125" s="846">
        <f t="shared" ref="AM125:AP125" si="546">AM122/AM156</f>
        <v>0.1425769934423573</v>
      </c>
      <c r="AN125" s="846">
        <f t="shared" si="546"/>
        <v>0.14569992965693251</v>
      </c>
      <c r="AO125" s="846">
        <f t="shared" si="546"/>
        <v>0.1381843104424843</v>
      </c>
      <c r="AP125" s="847">
        <f t="shared" si="546"/>
        <v>0.1387242984635928</v>
      </c>
      <c r="AQ125" s="830"/>
      <c r="AS125" s="756">
        <f t="shared" ref="AS125:AZ125" si="547">AS122/AS156</f>
        <v>0.15322673415391694</v>
      </c>
      <c r="AT125" s="756">
        <f t="shared" si="547"/>
        <v>0.15724158357192219</v>
      </c>
      <c r="AU125" s="756">
        <f t="shared" si="547"/>
        <v>0.10659393773067002</v>
      </c>
      <c r="AV125" s="756">
        <f t="shared" si="547"/>
        <v>0.15556082659404299</v>
      </c>
      <c r="AW125" s="756">
        <f t="shared" si="547"/>
        <v>0.14862105149722168</v>
      </c>
      <c r="AX125" s="756">
        <f t="shared" si="547"/>
        <v>0.12863722261925065</v>
      </c>
      <c r="AY125" s="846">
        <f t="shared" si="547"/>
        <v>0.1298701423372928</v>
      </c>
      <c r="AZ125" s="846">
        <f t="shared" si="547"/>
        <v>0.13736164240523707</v>
      </c>
      <c r="BA125" s="846">
        <f t="shared" ref="BA125" si="548">BA122/BA156</f>
        <v>0.12599955677385866</v>
      </c>
      <c r="BB125" s="846">
        <f t="shared" ref="BB125" si="549">BB122/BB156</f>
        <v>0.141124847765322</v>
      </c>
    </row>
    <row r="126" spans="2:54" s="721" customFormat="1">
      <c r="B126" s="749"/>
      <c r="C126" s="834"/>
      <c r="D126" s="810"/>
      <c r="E126" s="810"/>
      <c r="F126" s="811"/>
      <c r="G126" s="834"/>
      <c r="H126" s="810"/>
      <c r="I126" s="810"/>
      <c r="J126" s="811"/>
      <c r="K126" s="834"/>
      <c r="L126" s="810"/>
      <c r="M126" s="810"/>
      <c r="N126" s="811"/>
      <c r="O126" s="845"/>
      <c r="P126" s="846"/>
      <c r="Q126" s="846"/>
      <c r="R126" s="847"/>
      <c r="S126" s="845"/>
      <c r="T126" s="846"/>
      <c r="U126" s="846"/>
      <c r="V126" s="847"/>
      <c r="W126" s="845"/>
      <c r="X126" s="846"/>
      <c r="Y126" s="846"/>
      <c r="Z126" s="847"/>
      <c r="AA126" s="845"/>
      <c r="AB126" s="846"/>
      <c r="AC126" s="846"/>
      <c r="AD126" s="1077"/>
      <c r="AE126" s="845"/>
      <c r="AF126" s="846"/>
      <c r="AG126" s="846"/>
      <c r="AH126" s="1253"/>
      <c r="AI126" s="845"/>
      <c r="AJ126" s="846"/>
      <c r="AK126" s="846"/>
      <c r="AL126" s="847"/>
      <c r="AM126" s="846"/>
      <c r="AN126" s="846"/>
      <c r="AO126" s="846"/>
      <c r="AP126" s="847"/>
      <c r="AQ126" s="830"/>
      <c r="AS126" s="756"/>
      <c r="AT126" s="756"/>
      <c r="AU126" s="756"/>
      <c r="AV126" s="756"/>
      <c r="AW126" s="756"/>
      <c r="AX126" s="756"/>
      <c r="AY126" s="846"/>
      <c r="AZ126" s="846"/>
      <c r="BA126" s="846"/>
      <c r="BB126" s="846"/>
    </row>
    <row r="127" spans="2:54" s="721" customFormat="1">
      <c r="B127" s="833" t="s">
        <v>492</v>
      </c>
      <c r="C127" s="834"/>
      <c r="D127" s="810"/>
      <c r="E127" s="810"/>
      <c r="F127" s="811"/>
      <c r="G127" s="834"/>
      <c r="H127" s="810"/>
      <c r="I127" s="810"/>
      <c r="J127" s="811"/>
      <c r="K127" s="834"/>
      <c r="L127" s="810"/>
      <c r="M127" s="810"/>
      <c r="N127" s="811"/>
      <c r="O127" s="845"/>
      <c r="P127" s="846"/>
      <c r="Q127" s="846"/>
      <c r="R127" s="847"/>
      <c r="S127" s="845"/>
      <c r="T127" s="846"/>
      <c r="U127" s="846"/>
      <c r="V127" s="847"/>
      <c r="W127" s="845"/>
      <c r="X127" s="846"/>
      <c r="Y127" s="846"/>
      <c r="Z127" s="847"/>
      <c r="AA127" s="845"/>
      <c r="AB127" s="846"/>
      <c r="AC127" s="846"/>
      <c r="AD127" s="1077"/>
      <c r="AE127" s="845"/>
      <c r="AF127" s="846"/>
      <c r="AG127" s="846"/>
      <c r="AH127" s="1253"/>
      <c r="AI127" s="845"/>
      <c r="AJ127" s="846"/>
      <c r="AK127" s="846"/>
      <c r="AL127" s="847"/>
      <c r="AM127" s="846"/>
      <c r="AN127" s="846"/>
      <c r="AO127" s="846"/>
      <c r="AP127" s="847"/>
      <c r="AQ127" s="830"/>
      <c r="AS127" s="756"/>
      <c r="AT127" s="756"/>
      <c r="AU127" s="756"/>
      <c r="AV127" s="756"/>
      <c r="AW127" s="756"/>
      <c r="AX127" s="756"/>
      <c r="AY127" s="846"/>
      <c r="AZ127" s="846"/>
      <c r="BA127" s="846"/>
      <c r="BB127" s="846"/>
    </row>
    <row r="128" spans="2:54" s="721" customFormat="1">
      <c r="B128" s="749" t="s">
        <v>493</v>
      </c>
      <c r="C128" s="834"/>
      <c r="D128" s="810"/>
      <c r="E128" s="810"/>
      <c r="F128" s="957"/>
      <c r="G128" s="834"/>
      <c r="H128" s="810"/>
      <c r="I128" s="810"/>
      <c r="J128" s="957"/>
      <c r="K128" s="834"/>
      <c r="L128" s="810"/>
      <c r="M128" s="810"/>
      <c r="N128" s="957"/>
      <c r="O128" s="845"/>
      <c r="P128" s="846"/>
      <c r="Q128" s="846"/>
      <c r="R128" s="958"/>
      <c r="S128" s="845"/>
      <c r="T128" s="846"/>
      <c r="U128" s="846"/>
      <c r="V128" s="958"/>
      <c r="W128" s="845"/>
      <c r="X128" s="846"/>
      <c r="Y128" s="846"/>
      <c r="Z128" s="958"/>
      <c r="AA128" s="845"/>
      <c r="AB128" s="846"/>
      <c r="AC128" s="846"/>
      <c r="AD128" s="1077"/>
      <c r="AE128" s="845"/>
      <c r="AF128" s="846"/>
      <c r="AG128" s="846"/>
      <c r="AH128" s="1253"/>
      <c r="AI128" s="845"/>
      <c r="AJ128" s="846"/>
      <c r="AK128" s="846"/>
      <c r="AL128" s="958"/>
      <c r="AM128" s="846"/>
      <c r="AN128" s="846"/>
      <c r="AO128" s="846"/>
      <c r="AP128" s="958"/>
      <c r="AQ128" s="830"/>
      <c r="AS128" s="782"/>
      <c r="AT128" s="789">
        <f>AU128/(1.46)</f>
        <v>1003.0952346583798</v>
      </c>
      <c r="AU128" s="789">
        <f>AV128/1.46</f>
        <v>1464.5190426012346</v>
      </c>
      <c r="AV128" s="782">
        <f>AV$153*AV139</f>
        <v>2138.1978021978025</v>
      </c>
      <c r="AW128" s="782">
        <f>AW$153*AW139</f>
        <v>2823.6168224299063</v>
      </c>
      <c r="AX128" s="782">
        <f>AX$153*AX139</f>
        <v>4400.565217391304</v>
      </c>
      <c r="AY128" s="782">
        <f>AX128*(1+AY129)</f>
        <v>5500.70652173913</v>
      </c>
      <c r="AZ128" s="782">
        <f>AY128*(1+AZ129)</f>
        <v>6325.8124999999991</v>
      </c>
      <c r="BA128" s="782">
        <f>AZ128*(1+BA129)</f>
        <v>7274.684374999998</v>
      </c>
      <c r="BB128" s="782">
        <f>BA128*(1+BB129)</f>
        <v>8365.8870312499967</v>
      </c>
    </row>
    <row r="129" spans="2:54" s="721" customFormat="1">
      <c r="B129" s="754" t="s">
        <v>98</v>
      </c>
      <c r="C129" s="834"/>
      <c r="D129" s="810"/>
      <c r="E129" s="810"/>
      <c r="F129" s="957"/>
      <c r="G129" s="834"/>
      <c r="H129" s="810"/>
      <c r="I129" s="810"/>
      <c r="J129" s="957"/>
      <c r="K129" s="834"/>
      <c r="L129" s="810"/>
      <c r="M129" s="810"/>
      <c r="N129" s="957"/>
      <c r="O129" s="845"/>
      <c r="P129" s="846"/>
      <c r="Q129" s="846"/>
      <c r="R129" s="958"/>
      <c r="S129" s="845"/>
      <c r="T129" s="846"/>
      <c r="U129" s="846"/>
      <c r="V129" s="958"/>
      <c r="W129" s="845"/>
      <c r="X129" s="846"/>
      <c r="Y129" s="846"/>
      <c r="Z129" s="958"/>
      <c r="AA129" s="845"/>
      <c r="AB129" s="778">
        <v>0.09</v>
      </c>
      <c r="AC129" s="778">
        <v>0.3</v>
      </c>
      <c r="AD129" s="1066">
        <v>0.3</v>
      </c>
      <c r="AE129" s="845"/>
      <c r="AF129" s="846"/>
      <c r="AG129" s="846"/>
      <c r="AH129" s="1253"/>
      <c r="AI129" s="845"/>
      <c r="AJ129" s="846"/>
      <c r="AK129" s="846"/>
      <c r="AL129" s="958"/>
      <c r="AM129" s="846"/>
      <c r="AN129" s="846"/>
      <c r="AO129" s="846"/>
      <c r="AP129" s="958"/>
      <c r="AQ129" s="830"/>
      <c r="AS129" s="782"/>
      <c r="AT129" s="782"/>
      <c r="AU129" s="756">
        <f>AU128/AT128-1</f>
        <v>0.45999999999999996</v>
      </c>
      <c r="AV129" s="756">
        <f t="shared" ref="AV129:AX129" si="550">AV128/AU128-1</f>
        <v>0.45999999999999996</v>
      </c>
      <c r="AW129" s="756">
        <f t="shared" si="550"/>
        <v>0.32055922025903216</v>
      </c>
      <c r="AX129" s="756">
        <f t="shared" si="550"/>
        <v>0.55848526699324985</v>
      </c>
      <c r="AY129" s="772">
        <v>0.25</v>
      </c>
      <c r="AZ129" s="772">
        <v>0.15</v>
      </c>
      <c r="BA129" s="772">
        <v>0.15</v>
      </c>
      <c r="BB129" s="772">
        <v>0.15</v>
      </c>
    </row>
    <row r="130" spans="2:54" s="721" customFormat="1">
      <c r="B130" s="749" t="s">
        <v>494</v>
      </c>
      <c r="C130" s="834"/>
      <c r="D130" s="810"/>
      <c r="E130" s="810"/>
      <c r="F130" s="957"/>
      <c r="G130" s="834"/>
      <c r="H130" s="810"/>
      <c r="I130" s="810"/>
      <c r="J130" s="957"/>
      <c r="K130" s="834"/>
      <c r="L130" s="810"/>
      <c r="M130" s="810"/>
      <c r="N130" s="957"/>
      <c r="O130" s="845"/>
      <c r="P130" s="846"/>
      <c r="Q130" s="846"/>
      <c r="R130" s="958"/>
      <c r="S130" s="845"/>
      <c r="T130" s="846"/>
      <c r="U130" s="846"/>
      <c r="V130" s="958"/>
      <c r="W130" s="845"/>
      <c r="X130" s="846"/>
      <c r="Y130" s="846"/>
      <c r="Z130" s="958"/>
      <c r="AA130" s="845"/>
      <c r="AB130" s="846"/>
      <c r="AC130" s="846"/>
      <c r="AD130" s="1077"/>
      <c r="AE130" s="845"/>
      <c r="AF130" s="846"/>
      <c r="AG130" s="846"/>
      <c r="AH130" s="1253"/>
      <c r="AI130" s="845"/>
      <c r="AJ130" s="846"/>
      <c r="AK130" s="846"/>
      <c r="AL130" s="958"/>
      <c r="AM130" s="846"/>
      <c r="AN130" s="846"/>
      <c r="AO130" s="846"/>
      <c r="AP130" s="958"/>
      <c r="AQ130" s="830"/>
      <c r="AS130" s="782"/>
      <c r="AT130" s="789">
        <f>AU130/0.99</f>
        <v>6135.7834085106815</v>
      </c>
      <c r="AU130" s="789">
        <f>AV130/0.99</f>
        <v>6074.4255744255743</v>
      </c>
      <c r="AV130" s="782">
        <f>AV$153*AV140</f>
        <v>6013.6813186813188</v>
      </c>
      <c r="AW130" s="782">
        <f>AW$153*AW140</f>
        <v>6722.8971962616824</v>
      </c>
      <c r="AX130" s="782">
        <f>AX$153*AX140</f>
        <v>7179.869565217391</v>
      </c>
      <c r="AY130" s="782">
        <f>AX130*(1+AY131)</f>
        <v>6845.6067319803406</v>
      </c>
      <c r="AZ130" s="782">
        <f>AY130*(1+AZ131)</f>
        <v>6366.4142607417161</v>
      </c>
      <c r="BA130" s="782">
        <f>AZ130*(1+BA131)</f>
        <v>5920.7652624897955</v>
      </c>
      <c r="BB130" s="782">
        <f>BA130*(1+BB131)</f>
        <v>5506.3116941155095</v>
      </c>
    </row>
    <row r="131" spans="2:54" s="721" customFormat="1">
      <c r="B131" s="754" t="s">
        <v>98</v>
      </c>
      <c r="C131" s="834"/>
      <c r="D131" s="810"/>
      <c r="E131" s="810"/>
      <c r="F131" s="957"/>
      <c r="G131" s="834"/>
      <c r="H131" s="810"/>
      <c r="I131" s="810"/>
      <c r="J131" s="957"/>
      <c r="K131" s="834"/>
      <c r="L131" s="810"/>
      <c r="M131" s="810"/>
      <c r="N131" s="957"/>
      <c r="O131" s="845"/>
      <c r="P131" s="846"/>
      <c r="Q131" s="846"/>
      <c r="R131" s="958"/>
      <c r="S131" s="845"/>
      <c r="T131" s="846"/>
      <c r="U131" s="846"/>
      <c r="V131" s="958"/>
      <c r="W131" s="845"/>
      <c r="X131" s="846"/>
      <c r="Y131" s="846"/>
      <c r="Z131" s="958"/>
      <c r="AA131" s="845"/>
      <c r="AB131" s="778">
        <v>-0.01</v>
      </c>
      <c r="AC131" s="778">
        <v>-0.03</v>
      </c>
      <c r="AD131" s="1066">
        <v>-0.03</v>
      </c>
      <c r="AE131" s="845"/>
      <c r="AF131" s="846"/>
      <c r="AG131" s="846"/>
      <c r="AH131" s="1253"/>
      <c r="AI131" s="845"/>
      <c r="AJ131" s="846"/>
      <c r="AK131" s="846"/>
      <c r="AL131" s="958"/>
      <c r="AM131" s="846"/>
      <c r="AN131" s="846"/>
      <c r="AO131" s="846"/>
      <c r="AP131" s="958"/>
      <c r="AQ131" s="830"/>
      <c r="AS131" s="782"/>
      <c r="AT131" s="782"/>
      <c r="AU131" s="756">
        <f>AU130/AT130-1</f>
        <v>-1.000000000000012E-2</v>
      </c>
      <c r="AV131" s="756">
        <f t="shared" ref="AV131" si="551">AV130/AU130-1</f>
        <v>-1.0000000000000009E-2</v>
      </c>
      <c r="AW131" s="756">
        <f t="shared" ref="AW131" si="552">AW130/AV130-1</f>
        <v>0.11793373143621788</v>
      </c>
      <c r="AX131" s="756">
        <f t="shared" ref="AX131" si="553">AX130/AW130-1</f>
        <v>6.7972535592216277E-2</v>
      </c>
      <c r="AY131" s="772">
        <v>-4.6555557897092398E-2</v>
      </c>
      <c r="AZ131" s="772">
        <v>-7.0000000000000007E-2</v>
      </c>
      <c r="BA131" s="772">
        <v>-7.0000000000000007E-2</v>
      </c>
      <c r="BB131" s="772">
        <v>-7.0000000000000007E-2</v>
      </c>
    </row>
    <row r="132" spans="2:54" s="721" customFormat="1">
      <c r="B132" s="749" t="s">
        <v>495</v>
      </c>
      <c r="C132" s="834"/>
      <c r="D132" s="810"/>
      <c r="E132" s="810"/>
      <c r="F132" s="957"/>
      <c r="G132" s="834"/>
      <c r="H132" s="810"/>
      <c r="I132" s="810"/>
      <c r="J132" s="957"/>
      <c r="K132" s="834"/>
      <c r="L132" s="810"/>
      <c r="M132" s="810"/>
      <c r="N132" s="957"/>
      <c r="O132" s="845"/>
      <c r="P132" s="846"/>
      <c r="Q132" s="846"/>
      <c r="R132" s="958"/>
      <c r="S132" s="845"/>
      <c r="T132" s="846"/>
      <c r="U132" s="846"/>
      <c r="V132" s="958"/>
      <c r="W132" s="845"/>
      <c r="X132" s="846"/>
      <c r="Y132" s="846"/>
      <c r="Z132" s="958"/>
      <c r="AA132" s="845"/>
      <c r="AB132" s="846"/>
      <c r="AC132" s="846"/>
      <c r="AD132" s="1077"/>
      <c r="AE132" s="845"/>
      <c r="AF132" s="846"/>
      <c r="AG132" s="846"/>
      <c r="AH132" s="1253"/>
      <c r="AI132" s="845"/>
      <c r="AJ132" s="846"/>
      <c r="AK132" s="846"/>
      <c r="AL132" s="958"/>
      <c r="AM132" s="846"/>
      <c r="AN132" s="846"/>
      <c r="AO132" s="846"/>
      <c r="AP132" s="958"/>
      <c r="AQ132" s="830"/>
      <c r="AS132" s="782"/>
      <c r="AT132" s="789">
        <f>AU132/1.2</f>
        <v>649.62606837606859</v>
      </c>
      <c r="AU132" s="789">
        <f>AV132/1.2</f>
        <v>779.55128205128221</v>
      </c>
      <c r="AV132" s="782">
        <f>AV$153*AV141</f>
        <v>935.46153846153857</v>
      </c>
      <c r="AW132" s="782">
        <f>AW$153*AW141</f>
        <v>1210.1214953271028</v>
      </c>
      <c r="AX132" s="782">
        <f>AX$153*AX141</f>
        <v>1852.8695652173913</v>
      </c>
      <c r="AY132" s="782">
        <f>AX132*(1+AY133)</f>
        <v>2130.7999999999997</v>
      </c>
      <c r="AZ132" s="782">
        <f>AY132*(1+AZ133)</f>
        <v>2496.5221728175356</v>
      </c>
      <c r="BA132" s="782">
        <f>AZ132*(1+BA133)</f>
        <v>2925.0154680728315</v>
      </c>
      <c r="BB132" s="782">
        <f>BA132*(1+BB133)</f>
        <v>3427.0536755575777</v>
      </c>
    </row>
    <row r="133" spans="2:54" s="721" customFormat="1">
      <c r="B133" s="754" t="s">
        <v>98</v>
      </c>
      <c r="C133" s="834"/>
      <c r="D133" s="810"/>
      <c r="E133" s="810"/>
      <c r="F133" s="957"/>
      <c r="G133" s="834"/>
      <c r="H133" s="810"/>
      <c r="I133" s="810"/>
      <c r="J133" s="957"/>
      <c r="K133" s="834"/>
      <c r="L133" s="810"/>
      <c r="M133" s="810"/>
      <c r="N133" s="957"/>
      <c r="O133" s="845"/>
      <c r="P133" s="846"/>
      <c r="Q133" s="846"/>
      <c r="R133" s="958"/>
      <c r="S133" s="845"/>
      <c r="T133" s="846"/>
      <c r="U133" s="846"/>
      <c r="V133" s="958"/>
      <c r="W133" s="845"/>
      <c r="X133" s="846"/>
      <c r="Y133" s="846"/>
      <c r="Z133" s="958"/>
      <c r="AA133" s="845"/>
      <c r="AB133" s="778">
        <v>0.1</v>
      </c>
      <c r="AC133" s="778">
        <v>0.37</v>
      </c>
      <c r="AD133" s="1066">
        <v>0.37</v>
      </c>
      <c r="AE133" s="845"/>
      <c r="AF133" s="846"/>
      <c r="AG133" s="846"/>
      <c r="AH133" s="1253"/>
      <c r="AI133" s="845"/>
      <c r="AJ133" s="846"/>
      <c r="AK133" s="846"/>
      <c r="AL133" s="958"/>
      <c r="AM133" s="846"/>
      <c r="AN133" s="846"/>
      <c r="AO133" s="846"/>
      <c r="AP133" s="958"/>
      <c r="AQ133" s="830"/>
      <c r="AS133" s="782"/>
      <c r="AT133" s="782"/>
      <c r="AU133" s="756">
        <f>AU132/AT132-1</f>
        <v>0.19999999999999996</v>
      </c>
      <c r="AV133" s="756">
        <f t="shared" ref="AV133" si="554">AV132/AU132-1</f>
        <v>0.19999999999999996</v>
      </c>
      <c r="AW133" s="756">
        <f t="shared" ref="AW133" si="555">AW132/AV132-1</f>
        <v>0.29360903209048073</v>
      </c>
      <c r="AX133" s="756">
        <f t="shared" ref="AX133" si="556">AX132/AW132-1</f>
        <v>0.53114342020389449</v>
      </c>
      <c r="AY133" s="772">
        <v>0.15</v>
      </c>
      <c r="AZ133" s="772">
        <v>0.17163608636077327</v>
      </c>
      <c r="BA133" s="772">
        <v>0.17163608636077327</v>
      </c>
      <c r="BB133" s="772">
        <v>0.17163608636077327</v>
      </c>
    </row>
    <row r="134" spans="2:54" s="721" customFormat="1">
      <c r="B134" s="749" t="s">
        <v>498</v>
      </c>
      <c r="C134" s="834"/>
      <c r="D134" s="810"/>
      <c r="E134" s="810"/>
      <c r="F134" s="957"/>
      <c r="G134" s="834"/>
      <c r="H134" s="810"/>
      <c r="I134" s="810"/>
      <c r="J134" s="957"/>
      <c r="K134" s="834"/>
      <c r="L134" s="810"/>
      <c r="M134" s="810"/>
      <c r="N134" s="957"/>
      <c r="O134" s="845"/>
      <c r="P134" s="846"/>
      <c r="Q134" s="846"/>
      <c r="R134" s="958"/>
      <c r="S134" s="845"/>
      <c r="T134" s="846"/>
      <c r="U134" s="846"/>
      <c r="V134" s="958"/>
      <c r="W134" s="845"/>
      <c r="X134" s="846"/>
      <c r="Y134" s="846"/>
      <c r="Z134" s="958"/>
      <c r="AA134" s="845"/>
      <c r="AB134" s="846"/>
      <c r="AC134" s="846"/>
      <c r="AD134" s="1077"/>
      <c r="AE134" s="845"/>
      <c r="AF134" s="846"/>
      <c r="AG134" s="846"/>
      <c r="AH134" s="1253"/>
      <c r="AI134" s="845"/>
      <c r="AJ134" s="846"/>
      <c r="AK134" s="846"/>
      <c r="AL134" s="958"/>
      <c r="AM134" s="846"/>
      <c r="AN134" s="846"/>
      <c r="AO134" s="846"/>
      <c r="AP134" s="958"/>
      <c r="AQ134" s="830"/>
      <c r="AS134" s="782"/>
      <c r="AT134" s="782">
        <f>AT153-AT132-AT130-AT128</f>
        <v>2340.4952884548702</v>
      </c>
      <c r="AU134" s="782">
        <f>AU153-AU132-AU130-AU128</f>
        <v>2422.5041009219099</v>
      </c>
      <c r="AV134" s="782">
        <f>AV$153*AV142</f>
        <v>3073.6593406593406</v>
      </c>
      <c r="AW134" s="782">
        <f>AW$153*AW142</f>
        <v>3630.364485981308</v>
      </c>
      <c r="AX134" s="782">
        <f>AX$153*AX142</f>
        <v>2547.695652173913</v>
      </c>
      <c r="AY134" s="782">
        <f>AX134*(1+AY135)</f>
        <v>2929.85</v>
      </c>
      <c r="AZ134" s="782">
        <f>AY134*(1+AZ135)</f>
        <v>3222.835</v>
      </c>
      <c r="BA134" s="782">
        <f>AZ134*(1+BA135)</f>
        <v>3545.1185000000005</v>
      </c>
      <c r="BB134" s="782">
        <f>BA134*(1+BB135)</f>
        <v>3899.6303500000008</v>
      </c>
    </row>
    <row r="135" spans="2:54" s="721" customFormat="1">
      <c r="B135" s="754" t="s">
        <v>98</v>
      </c>
      <c r="C135" s="834"/>
      <c r="D135" s="810"/>
      <c r="E135" s="810"/>
      <c r="F135" s="957"/>
      <c r="G135" s="834"/>
      <c r="H135" s="810"/>
      <c r="I135" s="810"/>
      <c r="J135" s="957"/>
      <c r="K135" s="834"/>
      <c r="L135" s="810"/>
      <c r="M135" s="810"/>
      <c r="N135" s="957"/>
      <c r="O135" s="845"/>
      <c r="P135" s="846"/>
      <c r="Q135" s="846"/>
      <c r="R135" s="958"/>
      <c r="S135" s="845"/>
      <c r="T135" s="846"/>
      <c r="U135" s="846"/>
      <c r="V135" s="958"/>
      <c r="W135" s="845"/>
      <c r="X135" s="846"/>
      <c r="Y135" s="846"/>
      <c r="Z135" s="958"/>
      <c r="AA135" s="845"/>
      <c r="AB135" s="846"/>
      <c r="AC135" s="846"/>
      <c r="AD135" s="1077"/>
      <c r="AE135" s="845"/>
      <c r="AF135" s="846"/>
      <c r="AG135" s="846"/>
      <c r="AH135" s="1253"/>
      <c r="AI135" s="845"/>
      <c r="AJ135" s="846"/>
      <c r="AK135" s="846"/>
      <c r="AL135" s="958"/>
      <c r="AM135" s="846"/>
      <c r="AN135" s="846"/>
      <c r="AO135" s="846"/>
      <c r="AP135" s="958"/>
      <c r="AQ135" s="830"/>
      <c r="AS135" s="782"/>
      <c r="AT135" s="782"/>
      <c r="AU135" s="756">
        <f>AU134/AT134-1</f>
        <v>3.503908462092209E-2</v>
      </c>
      <c r="AV135" s="756">
        <f t="shared" ref="AV135" si="557">AV134/AU134-1</f>
        <v>0.26879427757815844</v>
      </c>
      <c r="AW135" s="756">
        <f t="shared" ref="AW135" si="558">AW134/AV134-1</f>
        <v>0.18112129016956935</v>
      </c>
      <c r="AX135" s="756">
        <f t="shared" ref="AX135" si="559">AX134/AW134-1</f>
        <v>-0.29822593240654827</v>
      </c>
      <c r="AY135" s="772">
        <v>0.15</v>
      </c>
      <c r="AZ135" s="772">
        <v>0.1</v>
      </c>
      <c r="BA135" s="772">
        <v>0.1</v>
      </c>
      <c r="BB135" s="772">
        <v>0.1</v>
      </c>
    </row>
    <row r="136" spans="2:54" s="721" customFormat="1">
      <c r="B136" s="832" t="s">
        <v>297</v>
      </c>
      <c r="C136" s="838"/>
      <c r="D136" s="839"/>
      <c r="E136" s="839"/>
      <c r="F136" s="960"/>
      <c r="G136" s="838"/>
      <c r="H136" s="839"/>
      <c r="I136" s="839"/>
      <c r="J136" s="960"/>
      <c r="K136" s="838"/>
      <c r="L136" s="839"/>
      <c r="M136" s="839"/>
      <c r="N136" s="960"/>
      <c r="O136" s="961"/>
      <c r="P136" s="962"/>
      <c r="Q136" s="962"/>
      <c r="R136" s="963"/>
      <c r="S136" s="961"/>
      <c r="T136" s="962"/>
      <c r="U136" s="962"/>
      <c r="V136" s="963"/>
      <c r="W136" s="961"/>
      <c r="X136" s="962"/>
      <c r="Y136" s="962"/>
      <c r="Z136" s="963"/>
      <c r="AA136" s="961"/>
      <c r="AB136" s="962"/>
      <c r="AC136" s="962"/>
      <c r="AD136" s="1078"/>
      <c r="AE136" s="961"/>
      <c r="AF136" s="962"/>
      <c r="AG136" s="962"/>
      <c r="AH136" s="1254"/>
      <c r="AI136" s="961"/>
      <c r="AJ136" s="962"/>
      <c r="AK136" s="962"/>
      <c r="AL136" s="963"/>
      <c r="AM136" s="962"/>
      <c r="AN136" s="962"/>
      <c r="AO136" s="962"/>
      <c r="AP136" s="963"/>
      <c r="AQ136" s="830"/>
      <c r="AS136" s="964"/>
      <c r="AT136" s="964">
        <f>AT128+AT130+AT132+AT134</f>
        <v>10129</v>
      </c>
      <c r="AU136" s="964">
        <f t="shared" ref="AU136:AY136" si="560">AU128+AU130+AU132+AU134</f>
        <v>10741</v>
      </c>
      <c r="AV136" s="964">
        <f t="shared" si="560"/>
        <v>12161</v>
      </c>
      <c r="AW136" s="964">
        <f t="shared" si="560"/>
        <v>14387</v>
      </c>
      <c r="AX136" s="964">
        <f t="shared" si="560"/>
        <v>15981</v>
      </c>
      <c r="AY136" s="964">
        <f t="shared" si="560"/>
        <v>17406.96325371947</v>
      </c>
      <c r="AZ136" s="964">
        <f t="shared" ref="AZ136:BA136" si="561">AZ128+AZ130+AZ132+AZ134</f>
        <v>18411.58393355925</v>
      </c>
      <c r="BA136" s="964">
        <f t="shared" si="561"/>
        <v>19665.583605562628</v>
      </c>
      <c r="BB136" s="964">
        <f t="shared" ref="BB136" si="562">BB128+BB130+BB132+BB134</f>
        <v>21198.882750923083</v>
      </c>
    </row>
    <row r="137" spans="2:54" s="721" customFormat="1">
      <c r="B137" s="749" t="s">
        <v>356</v>
      </c>
      <c r="C137" s="827"/>
      <c r="D137" s="828"/>
      <c r="E137" s="828"/>
      <c r="F137" s="829"/>
      <c r="G137" s="827"/>
      <c r="H137" s="828"/>
      <c r="I137" s="828"/>
      <c r="J137" s="829"/>
      <c r="K137" s="827"/>
      <c r="L137" s="828"/>
      <c r="M137" s="828"/>
      <c r="N137" s="829"/>
      <c r="O137" s="726"/>
      <c r="P137" s="727"/>
      <c r="Q137" s="727"/>
      <c r="R137" s="728"/>
      <c r="S137" s="726"/>
      <c r="T137" s="727"/>
      <c r="U137" s="727"/>
      <c r="V137" s="728"/>
      <c r="W137" s="726"/>
      <c r="X137" s="727"/>
      <c r="Y137" s="727"/>
      <c r="Z137" s="728"/>
      <c r="AA137" s="726"/>
      <c r="AB137" s="727"/>
      <c r="AC137" s="727"/>
      <c r="AD137" s="1063"/>
      <c r="AE137" s="726"/>
      <c r="AF137" s="727"/>
      <c r="AG137" s="727"/>
      <c r="AH137" s="1238"/>
      <c r="AI137" s="726"/>
      <c r="AJ137" s="727"/>
      <c r="AK137" s="727"/>
      <c r="AL137" s="728"/>
      <c r="AM137" s="727"/>
      <c r="AN137" s="727"/>
      <c r="AO137" s="727"/>
      <c r="AP137" s="728"/>
      <c r="AQ137" s="830"/>
      <c r="AS137" s="831"/>
      <c r="AT137" s="965">
        <f t="shared" ref="AT137:AY137" si="563">AT136-AT156</f>
        <v>0</v>
      </c>
      <c r="AU137" s="965">
        <f t="shared" si="563"/>
        <v>0</v>
      </c>
      <c r="AV137" s="965">
        <f t="shared" si="563"/>
        <v>0</v>
      </c>
      <c r="AW137" s="965">
        <f t="shared" si="563"/>
        <v>0</v>
      </c>
      <c r="AX137" s="965">
        <f t="shared" si="563"/>
        <v>0</v>
      </c>
      <c r="AY137" s="965">
        <f t="shared" si="563"/>
        <v>170.96325371947023</v>
      </c>
      <c r="AZ137" s="965">
        <f t="shared" ref="AZ137:BA137" si="564">AZ136-AZ156</f>
        <v>-652.41606644075</v>
      </c>
      <c r="BA137" s="965">
        <f t="shared" si="564"/>
        <v>-2634.7675856772912</v>
      </c>
      <c r="BB137" s="965">
        <f t="shared" ref="BB137" si="565">BB136-BB156</f>
        <v>-2684.0838103549941</v>
      </c>
    </row>
    <row r="138" spans="2:54" s="721" customFormat="1">
      <c r="B138" s="959"/>
      <c r="C138" s="834"/>
      <c r="D138" s="810"/>
      <c r="E138" s="810"/>
      <c r="F138" s="957"/>
      <c r="G138" s="834"/>
      <c r="H138" s="810"/>
      <c r="I138" s="810"/>
      <c r="J138" s="957"/>
      <c r="K138" s="834"/>
      <c r="L138" s="810"/>
      <c r="M138" s="810"/>
      <c r="N138" s="957"/>
      <c r="O138" s="845"/>
      <c r="P138" s="846"/>
      <c r="Q138" s="846"/>
      <c r="R138" s="958"/>
      <c r="S138" s="845"/>
      <c r="T138" s="846"/>
      <c r="U138" s="846"/>
      <c r="V138" s="958"/>
      <c r="W138" s="845"/>
      <c r="X138" s="846"/>
      <c r="Y138" s="846"/>
      <c r="Z138" s="958"/>
      <c r="AA138" s="845"/>
      <c r="AB138" s="846"/>
      <c r="AC138" s="846"/>
      <c r="AD138" s="1077"/>
      <c r="AE138" s="845"/>
      <c r="AF138" s="846"/>
      <c r="AG138" s="846"/>
      <c r="AH138" s="1253"/>
      <c r="AI138" s="845"/>
      <c r="AJ138" s="846"/>
      <c r="AK138" s="846"/>
      <c r="AL138" s="958"/>
      <c r="AM138" s="846"/>
      <c r="AN138" s="846"/>
      <c r="AO138" s="846"/>
      <c r="AP138" s="958"/>
      <c r="AQ138" s="830"/>
      <c r="AS138" s="756"/>
      <c r="AT138" s="756"/>
      <c r="AU138" s="756"/>
      <c r="AV138" s="756"/>
      <c r="AW138" s="756"/>
      <c r="AX138" s="756"/>
      <c r="AY138" s="846"/>
      <c r="AZ138" s="846"/>
      <c r="BA138" s="846"/>
      <c r="BB138" s="846"/>
    </row>
    <row r="139" spans="2:54" s="721" customFormat="1">
      <c r="B139" s="749" t="s">
        <v>493</v>
      </c>
      <c r="C139" s="834"/>
      <c r="D139" s="810"/>
      <c r="E139" s="810"/>
      <c r="F139" s="957"/>
      <c r="G139" s="834"/>
      <c r="H139" s="810"/>
      <c r="I139" s="810"/>
      <c r="J139" s="957"/>
      <c r="K139" s="834"/>
      <c r="L139" s="810"/>
      <c r="M139" s="810"/>
      <c r="N139" s="957"/>
      <c r="O139" s="845"/>
      <c r="P139" s="846"/>
      <c r="Q139" s="846"/>
      <c r="R139" s="958"/>
      <c r="S139" s="845"/>
      <c r="T139" s="846"/>
      <c r="U139" s="846"/>
      <c r="V139" s="958"/>
      <c r="W139" s="845"/>
      <c r="X139" s="846"/>
      <c r="Y139" s="846"/>
      <c r="Z139" s="958"/>
      <c r="AA139" s="845"/>
      <c r="AB139" s="846"/>
      <c r="AC139" s="846"/>
      <c r="AD139" s="1077"/>
      <c r="AE139" s="845"/>
      <c r="AF139" s="846"/>
      <c r="AG139" s="846"/>
      <c r="AH139" s="1253"/>
      <c r="AI139" s="845"/>
      <c r="AJ139" s="846"/>
      <c r="AK139" s="846"/>
      <c r="AL139" s="958"/>
      <c r="AM139" s="846"/>
      <c r="AN139" s="846"/>
      <c r="AO139" s="846"/>
      <c r="AP139" s="958"/>
      <c r="AQ139" s="830"/>
      <c r="AS139" s="756"/>
      <c r="AT139" s="756">
        <f>AT128/AT$153</f>
        <v>9.9032010530000963E-2</v>
      </c>
      <c r="AU139" s="756">
        <f>AU128/AU$153</f>
        <v>0.13634848176158967</v>
      </c>
      <c r="AV139" s="836">
        <f>(16/91)</f>
        <v>0.17582417582417584</v>
      </c>
      <c r="AW139" s="836">
        <f>(21/107)</f>
        <v>0.19626168224299065</v>
      </c>
      <c r="AX139" s="778">
        <f>(19/69)</f>
        <v>0.27536231884057971</v>
      </c>
      <c r="AY139" s="756">
        <f>AY128/AY$153</f>
        <v>0.31914055011250464</v>
      </c>
      <c r="AZ139" s="756">
        <f>AZ128/AZ$153</f>
        <v>0.33181979122954253</v>
      </c>
      <c r="BA139" s="756">
        <f>BA128/BA$153</f>
        <v>0.32621389289410196</v>
      </c>
      <c r="BB139" s="756">
        <f>BB128/BB$153</f>
        <v>0.35028676231594169</v>
      </c>
    </row>
    <row r="140" spans="2:54" s="721" customFormat="1">
      <c r="B140" s="749" t="s">
        <v>494</v>
      </c>
      <c r="C140" s="834"/>
      <c r="D140" s="810"/>
      <c r="E140" s="810"/>
      <c r="F140" s="957"/>
      <c r="G140" s="834"/>
      <c r="H140" s="810"/>
      <c r="I140" s="810"/>
      <c r="J140" s="957"/>
      <c r="K140" s="834"/>
      <c r="L140" s="810"/>
      <c r="M140" s="810"/>
      <c r="N140" s="957"/>
      <c r="O140" s="845"/>
      <c r="P140" s="846"/>
      <c r="Q140" s="846"/>
      <c r="R140" s="958"/>
      <c r="S140" s="845"/>
      <c r="T140" s="846"/>
      <c r="U140" s="846"/>
      <c r="V140" s="958"/>
      <c r="W140" s="845"/>
      <c r="X140" s="846"/>
      <c r="Y140" s="846"/>
      <c r="Z140" s="958"/>
      <c r="AA140" s="845"/>
      <c r="AB140" s="846"/>
      <c r="AC140" s="846"/>
      <c r="AD140" s="1077"/>
      <c r="AE140" s="845"/>
      <c r="AF140" s="846"/>
      <c r="AG140" s="846"/>
      <c r="AH140" s="1253"/>
      <c r="AI140" s="845"/>
      <c r="AJ140" s="846"/>
      <c r="AK140" s="846"/>
      <c r="AL140" s="958"/>
      <c r="AM140" s="846"/>
      <c r="AN140" s="846"/>
      <c r="AO140" s="846"/>
      <c r="AP140" s="958"/>
      <c r="AQ140" s="830"/>
      <c r="AS140" s="756"/>
      <c r="AT140" s="756">
        <f>AT130/AT$153</f>
        <v>0.6057639854389063</v>
      </c>
      <c r="AU140" s="756">
        <f>AU130/AU$153</f>
        <v>0.56553631639750246</v>
      </c>
      <c r="AV140" s="836">
        <f>(45/91)</f>
        <v>0.49450549450549453</v>
      </c>
      <c r="AW140" s="836">
        <f>(50/107)</f>
        <v>0.46728971962616822</v>
      </c>
      <c r="AX140" s="778">
        <f>(31/69)</f>
        <v>0.44927536231884058</v>
      </c>
      <c r="AY140" s="756">
        <f>AY130/AY$153</f>
        <v>0.39716910721631127</v>
      </c>
      <c r="AZ140" s="756">
        <f>AZ130/AZ$153</f>
        <v>0.33394955207415633</v>
      </c>
      <c r="BA140" s="756">
        <f>BA130/BA$153</f>
        <v>0.2655009874829059</v>
      </c>
      <c r="BB140" s="756">
        <f>BB130/BB$153</f>
        <v>0.23055392553465284</v>
      </c>
    </row>
    <row r="141" spans="2:54" s="721" customFormat="1">
      <c r="B141" s="749" t="s">
        <v>495</v>
      </c>
      <c r="C141" s="834"/>
      <c r="D141" s="810"/>
      <c r="E141" s="810"/>
      <c r="F141" s="957"/>
      <c r="G141" s="834"/>
      <c r="H141" s="810"/>
      <c r="I141" s="810"/>
      <c r="J141" s="957"/>
      <c r="K141" s="834"/>
      <c r="L141" s="810"/>
      <c r="M141" s="810"/>
      <c r="N141" s="957"/>
      <c r="O141" s="845"/>
      <c r="P141" s="846"/>
      <c r="Q141" s="846"/>
      <c r="R141" s="958"/>
      <c r="S141" s="845"/>
      <c r="T141" s="846"/>
      <c r="U141" s="846"/>
      <c r="V141" s="958"/>
      <c r="W141" s="845"/>
      <c r="X141" s="846"/>
      <c r="Y141" s="846"/>
      <c r="Z141" s="958"/>
      <c r="AA141" s="845"/>
      <c r="AB141" s="846"/>
      <c r="AC141" s="846"/>
      <c r="AD141" s="1077"/>
      <c r="AE141" s="845"/>
      <c r="AF141" s="846"/>
      <c r="AG141" s="846"/>
      <c r="AH141" s="1253"/>
      <c r="AI141" s="845"/>
      <c r="AJ141" s="846"/>
      <c r="AK141" s="846"/>
      <c r="AL141" s="958"/>
      <c r="AM141" s="846"/>
      <c r="AN141" s="846"/>
      <c r="AO141" s="846"/>
      <c r="AP141" s="958"/>
      <c r="AQ141" s="830"/>
      <c r="AS141" s="756"/>
      <c r="AT141" s="756">
        <f>AT132/AT$153</f>
        <v>6.4135261958344222E-2</v>
      </c>
      <c r="AU141" s="756">
        <f>AU132/AU$153</f>
        <v>7.2577160604346172E-2</v>
      </c>
      <c r="AV141" s="836">
        <f>(7/91)</f>
        <v>7.6923076923076927E-2</v>
      </c>
      <c r="AW141" s="836">
        <f>(9/107)</f>
        <v>8.4112149532710276E-2</v>
      </c>
      <c r="AX141" s="778">
        <f>(8/69)</f>
        <v>0.11594202898550725</v>
      </c>
      <c r="AY141" s="756">
        <f>AY132/AY$153</f>
        <v>0.12362497099094916</v>
      </c>
      <c r="AZ141" s="756">
        <f>AZ132/AZ$153</f>
        <v>0.13095479295098278</v>
      </c>
      <c r="BA141" s="756">
        <f>BA132/BA$153</f>
        <v>0.13116454727501528</v>
      </c>
      <c r="BB141" s="756">
        <f>BB132/BB$153</f>
        <v>0.14349363454345437</v>
      </c>
    </row>
    <row r="142" spans="2:54" s="721" customFormat="1">
      <c r="B142" s="749" t="s">
        <v>496</v>
      </c>
      <c r="C142" s="834"/>
      <c r="D142" s="810"/>
      <c r="E142" s="810"/>
      <c r="F142" s="957"/>
      <c r="G142" s="834"/>
      <c r="H142" s="810"/>
      <c r="I142" s="810"/>
      <c r="J142" s="957"/>
      <c r="K142" s="834"/>
      <c r="L142" s="810"/>
      <c r="M142" s="810"/>
      <c r="N142" s="957"/>
      <c r="O142" s="845"/>
      <c r="P142" s="846"/>
      <c r="Q142" s="846"/>
      <c r="R142" s="958"/>
      <c r="S142" s="845"/>
      <c r="T142" s="846"/>
      <c r="U142" s="846"/>
      <c r="V142" s="958"/>
      <c r="W142" s="845"/>
      <c r="X142" s="846"/>
      <c r="Y142" s="846"/>
      <c r="Z142" s="958"/>
      <c r="AA142" s="845"/>
      <c r="AB142" s="846"/>
      <c r="AC142" s="846"/>
      <c r="AD142" s="1077"/>
      <c r="AE142" s="845"/>
      <c r="AF142" s="846"/>
      <c r="AG142" s="846"/>
      <c r="AH142" s="1253"/>
      <c r="AI142" s="845"/>
      <c r="AJ142" s="846"/>
      <c r="AK142" s="846"/>
      <c r="AL142" s="958"/>
      <c r="AM142" s="846"/>
      <c r="AN142" s="846"/>
      <c r="AO142" s="846"/>
      <c r="AP142" s="958"/>
      <c r="AQ142" s="830"/>
      <c r="AS142" s="756"/>
      <c r="AT142" s="756">
        <f>AT134/AT$153</f>
        <v>0.23106874207274855</v>
      </c>
      <c r="AU142" s="756">
        <f>AU134/AU$153</f>
        <v>0.22553804123656176</v>
      </c>
      <c r="AV142" s="836">
        <f>(23/91)</f>
        <v>0.25274725274725274</v>
      </c>
      <c r="AW142" s="836">
        <f>(27/107)</f>
        <v>0.25233644859813081</v>
      </c>
      <c r="AX142" s="778">
        <f>(11/69)</f>
        <v>0.15942028985507245</v>
      </c>
      <c r="AY142" s="756">
        <f>AY134/AY$153</f>
        <v>0.16998433511255512</v>
      </c>
      <c r="AZ142" s="756">
        <f>AZ134/AZ$153</f>
        <v>0.16905345153168275</v>
      </c>
      <c r="BA142" s="756">
        <f>BA134/BA$153</f>
        <v>0.15897142020761551</v>
      </c>
      <c r="BB142" s="756">
        <f>BB134/BB$153</f>
        <v>0.16328081940718989</v>
      </c>
    </row>
    <row r="143" spans="2:54" s="721" customFormat="1">
      <c r="B143" s="967"/>
      <c r="C143" s="834"/>
      <c r="D143" s="810"/>
      <c r="E143" s="810"/>
      <c r="F143" s="968"/>
      <c r="G143" s="834"/>
      <c r="H143" s="810"/>
      <c r="I143" s="810"/>
      <c r="J143" s="968"/>
      <c r="K143" s="834"/>
      <c r="L143" s="810"/>
      <c r="M143" s="810"/>
      <c r="N143" s="968"/>
      <c r="O143" s="845"/>
      <c r="P143" s="846"/>
      <c r="Q143" s="846"/>
      <c r="R143" s="969"/>
      <c r="S143" s="845"/>
      <c r="T143" s="846"/>
      <c r="U143" s="846"/>
      <c r="V143" s="969"/>
      <c r="W143" s="845"/>
      <c r="X143" s="846"/>
      <c r="Y143" s="846"/>
      <c r="Z143" s="969"/>
      <c r="AA143" s="845"/>
      <c r="AB143" s="846"/>
      <c r="AC143" s="846"/>
      <c r="AD143" s="1077"/>
      <c r="AE143" s="845"/>
      <c r="AF143" s="846"/>
      <c r="AG143" s="846"/>
      <c r="AH143" s="1253"/>
      <c r="AI143" s="845"/>
      <c r="AJ143" s="846"/>
      <c r="AK143" s="846"/>
      <c r="AL143" s="969"/>
      <c r="AM143" s="846"/>
      <c r="AN143" s="846"/>
      <c r="AO143" s="846"/>
      <c r="AP143" s="969"/>
      <c r="AQ143" s="830"/>
      <c r="AS143" s="756"/>
      <c r="AT143" s="756"/>
      <c r="AU143" s="756"/>
      <c r="AV143" s="836"/>
      <c r="AW143" s="836"/>
      <c r="AX143" s="778"/>
      <c r="AY143" s="756"/>
      <c r="AZ143" s="756"/>
      <c r="BA143" s="756"/>
      <c r="BB143" s="756"/>
    </row>
    <row r="144" spans="2:54" s="721" customFormat="1">
      <c r="B144" s="833" t="s">
        <v>499</v>
      </c>
      <c r="C144" s="834"/>
      <c r="D144" s="810"/>
      <c r="E144" s="810"/>
      <c r="F144" s="968"/>
      <c r="G144" s="834"/>
      <c r="H144" s="810"/>
      <c r="I144" s="810"/>
      <c r="J144" s="968"/>
      <c r="K144" s="834"/>
      <c r="L144" s="810"/>
      <c r="M144" s="810"/>
      <c r="N144" s="968"/>
      <c r="O144" s="845"/>
      <c r="P144" s="846"/>
      <c r="Q144" s="846"/>
      <c r="R144" s="969"/>
      <c r="S144" s="845"/>
      <c r="T144" s="846"/>
      <c r="U144" s="846"/>
      <c r="V144" s="969"/>
      <c r="W144" s="845"/>
      <c r="X144" s="846"/>
      <c r="Y144" s="846"/>
      <c r="Z144" s="969"/>
      <c r="AA144" s="845"/>
      <c r="AB144" s="846"/>
      <c r="AC144" s="846"/>
      <c r="AD144" s="1077"/>
      <c r="AE144" s="845"/>
      <c r="AF144" s="846"/>
      <c r="AG144" s="846"/>
      <c r="AH144" s="1253"/>
      <c r="AI144" s="845"/>
      <c r="AJ144" s="846"/>
      <c r="AK144" s="846"/>
      <c r="AL144" s="969"/>
      <c r="AM144" s="846"/>
      <c r="AN144" s="846"/>
      <c r="AO144" s="846"/>
      <c r="AP144" s="969"/>
      <c r="AQ144" s="830"/>
      <c r="AS144" s="756"/>
      <c r="AT144" s="756"/>
      <c r="AU144" s="756"/>
      <c r="AV144" s="836"/>
      <c r="AW144" s="836"/>
      <c r="AX144" s="778"/>
      <c r="AY144" s="756"/>
      <c r="AZ144" s="756"/>
      <c r="BA144" s="756"/>
      <c r="BB144" s="756"/>
    </row>
    <row r="145" spans="2:55" s="721" customFormat="1">
      <c r="B145" s="967" t="s">
        <v>500</v>
      </c>
      <c r="C145" s="834"/>
      <c r="D145" s="810"/>
      <c r="E145" s="810"/>
      <c r="F145" s="968"/>
      <c r="G145" s="834"/>
      <c r="H145" s="810"/>
      <c r="I145" s="810"/>
      <c r="J145" s="968"/>
      <c r="K145" s="834"/>
      <c r="L145" s="810"/>
      <c r="M145" s="810"/>
      <c r="N145" s="968"/>
      <c r="O145" s="845"/>
      <c r="P145" s="846"/>
      <c r="Q145" s="846"/>
      <c r="R145" s="969"/>
      <c r="S145" s="845"/>
      <c r="T145" s="846"/>
      <c r="U145" s="846"/>
      <c r="V145" s="969"/>
      <c r="W145" s="845"/>
      <c r="X145" s="846"/>
      <c r="Y145" s="846"/>
      <c r="Z145" s="969"/>
      <c r="AA145" s="845"/>
      <c r="AB145" s="846"/>
      <c r="AC145" s="846"/>
      <c r="AD145" s="1077"/>
      <c r="AE145" s="845"/>
      <c r="AF145" s="846"/>
      <c r="AG145" s="846"/>
      <c r="AH145" s="1253"/>
      <c r="AI145" s="845"/>
      <c r="AJ145" s="846"/>
      <c r="AK145" s="846"/>
      <c r="AL145" s="969"/>
      <c r="AM145" s="846"/>
      <c r="AN145" s="846"/>
      <c r="AO145" s="846"/>
      <c r="AP145" s="969"/>
      <c r="AQ145" s="830"/>
      <c r="AS145" s="756"/>
      <c r="AT145" s="756"/>
      <c r="AU145" s="971">
        <f>AU$128*AU150</f>
        <v>1126.5531096932575</v>
      </c>
      <c r="AV145" s="971">
        <f t="shared" ref="AV145:AX145" si="566">AV$128*AV150</f>
        <v>1841.2258852258856</v>
      </c>
      <c r="AW145" s="971">
        <f t="shared" si="566"/>
        <v>2074.4939919893191</v>
      </c>
      <c r="AX145" s="971">
        <f t="shared" si="566"/>
        <v>3153.7384057971012</v>
      </c>
      <c r="AY145" s="971">
        <f t="shared" ref="AY145:AZ145" si="567">AY$128*AY150</f>
        <v>3740.4804347826089</v>
      </c>
      <c r="AZ145" s="971">
        <f t="shared" si="567"/>
        <v>3795.4874999999993</v>
      </c>
      <c r="BA145" s="971">
        <f t="shared" ref="BA145" si="568">BA$128*BA150</f>
        <v>4364.8106249999983</v>
      </c>
      <c r="BB145" s="971">
        <f t="shared" ref="BB145" si="569">BB$128*BB150</f>
        <v>5019.5322187499978</v>
      </c>
    </row>
    <row r="146" spans="2:55" s="721" customFormat="1">
      <c r="B146" s="754" t="s">
        <v>98</v>
      </c>
      <c r="C146" s="834"/>
      <c r="D146" s="810"/>
      <c r="E146" s="810"/>
      <c r="F146" s="968"/>
      <c r="G146" s="834"/>
      <c r="H146" s="810"/>
      <c r="I146" s="810"/>
      <c r="J146" s="968"/>
      <c r="K146" s="834"/>
      <c r="L146" s="810"/>
      <c r="M146" s="810"/>
      <c r="N146" s="968"/>
      <c r="O146" s="845"/>
      <c r="P146" s="846"/>
      <c r="Q146" s="846"/>
      <c r="R146" s="969"/>
      <c r="S146" s="845"/>
      <c r="T146" s="846"/>
      <c r="U146" s="846"/>
      <c r="V146" s="969"/>
      <c r="W146" s="845"/>
      <c r="X146" s="846"/>
      <c r="Y146" s="846"/>
      <c r="Z146" s="969"/>
      <c r="AA146" s="845"/>
      <c r="AB146" s="846"/>
      <c r="AC146" s="846"/>
      <c r="AD146" s="1077"/>
      <c r="AE146" s="845"/>
      <c r="AF146" s="846"/>
      <c r="AG146" s="846"/>
      <c r="AH146" s="1253"/>
      <c r="AI146" s="845"/>
      <c r="AJ146" s="846"/>
      <c r="AK146" s="846"/>
      <c r="AL146" s="969"/>
      <c r="AM146" s="846"/>
      <c r="AN146" s="846"/>
      <c r="AO146" s="846"/>
      <c r="AP146" s="969"/>
      <c r="AQ146" s="830"/>
      <c r="AS146" s="756"/>
      <c r="AT146" s="756"/>
      <c r="AU146" s="972"/>
      <c r="AV146" s="756">
        <f t="shared" ref="AV146" si="570">AV145/AU145-1</f>
        <v>0.63438888888888867</v>
      </c>
      <c r="AW146" s="756">
        <f t="shared" ref="AW146" si="571">AW145/AV145-1</f>
        <v>0.12669173762719277</v>
      </c>
      <c r="AX146" s="756">
        <f t="shared" ref="AX146:BB146" si="572">AX145/AW145-1</f>
        <v>0.52024465627535976</v>
      </c>
      <c r="AY146" s="756">
        <f t="shared" si="572"/>
        <v>0.18604651162790709</v>
      </c>
      <c r="AZ146" s="756">
        <f t="shared" si="572"/>
        <v>1.4705882352940902E-2</v>
      </c>
      <c r="BA146" s="756">
        <f t="shared" si="572"/>
        <v>0.14999999999999969</v>
      </c>
      <c r="BB146" s="756">
        <f t="shared" si="572"/>
        <v>0.14999999999999991</v>
      </c>
    </row>
    <row r="147" spans="2:55" s="721" customFormat="1">
      <c r="B147" s="967" t="s">
        <v>501</v>
      </c>
      <c r="C147" s="834"/>
      <c r="D147" s="810"/>
      <c r="E147" s="810"/>
      <c r="F147" s="968"/>
      <c r="G147" s="834"/>
      <c r="H147" s="810"/>
      <c r="I147" s="810"/>
      <c r="J147" s="968"/>
      <c r="K147" s="834"/>
      <c r="L147" s="810"/>
      <c r="M147" s="810"/>
      <c r="N147" s="968"/>
      <c r="O147" s="845"/>
      <c r="P147" s="846"/>
      <c r="Q147" s="846"/>
      <c r="R147" s="969"/>
      <c r="S147" s="845"/>
      <c r="T147" s="846"/>
      <c r="U147" s="846"/>
      <c r="V147" s="969"/>
      <c r="W147" s="845"/>
      <c r="X147" s="846"/>
      <c r="Y147" s="846"/>
      <c r="Z147" s="969"/>
      <c r="AA147" s="845"/>
      <c r="AB147" s="846"/>
      <c r="AC147" s="846"/>
      <c r="AD147" s="1077"/>
      <c r="AE147" s="845"/>
      <c r="AF147" s="846"/>
      <c r="AG147" s="846"/>
      <c r="AH147" s="1253"/>
      <c r="AI147" s="845"/>
      <c r="AJ147" s="846"/>
      <c r="AK147" s="846"/>
      <c r="AL147" s="969"/>
      <c r="AM147" s="846"/>
      <c r="AN147" s="846"/>
      <c r="AO147" s="846"/>
      <c r="AP147" s="969"/>
      <c r="AQ147" s="830"/>
      <c r="AS147" s="756"/>
      <c r="AT147" s="756"/>
      <c r="AU147" s="971">
        <f>AU$128*AU151</f>
        <v>337.96593290797716</v>
      </c>
      <c r="AV147" s="971">
        <f t="shared" ref="AV147:AX147" si="573">AV$128*AV151</f>
        <v>296.97191697191693</v>
      </c>
      <c r="AW147" s="971">
        <f t="shared" si="573"/>
        <v>749.12283044058722</v>
      </c>
      <c r="AX147" s="971">
        <f t="shared" si="573"/>
        <v>1246.8268115942028</v>
      </c>
      <c r="AY147" s="971">
        <f t="shared" ref="AY147:AZ147" si="574">AY$128*AY151</f>
        <v>1760.2260869565214</v>
      </c>
      <c r="AZ147" s="971">
        <f t="shared" si="574"/>
        <v>2530.3249999999998</v>
      </c>
      <c r="BA147" s="971">
        <f t="shared" ref="BA147" si="575">BA$128*BA151</f>
        <v>2909.8737499999993</v>
      </c>
      <c r="BB147" s="971">
        <f t="shared" ref="BB147" si="576">BB$128*BB151</f>
        <v>3346.3548124999988</v>
      </c>
    </row>
    <row r="148" spans="2:55" s="721" customFormat="1">
      <c r="B148" s="754" t="s">
        <v>98</v>
      </c>
      <c r="C148" s="834"/>
      <c r="D148" s="810"/>
      <c r="E148" s="810"/>
      <c r="F148" s="968"/>
      <c r="G148" s="834"/>
      <c r="H148" s="810"/>
      <c r="I148" s="810"/>
      <c r="J148" s="968"/>
      <c r="K148" s="834"/>
      <c r="L148" s="810"/>
      <c r="M148" s="810"/>
      <c r="N148" s="968"/>
      <c r="O148" s="845"/>
      <c r="P148" s="846"/>
      <c r="Q148" s="846"/>
      <c r="R148" s="969"/>
      <c r="S148" s="845"/>
      <c r="T148" s="846"/>
      <c r="U148" s="846"/>
      <c r="V148" s="969"/>
      <c r="W148" s="845"/>
      <c r="X148" s="846"/>
      <c r="Y148" s="846"/>
      <c r="Z148" s="969"/>
      <c r="AA148" s="845"/>
      <c r="AB148" s="846"/>
      <c r="AC148" s="846"/>
      <c r="AD148" s="1077"/>
      <c r="AE148" s="845"/>
      <c r="AF148" s="846"/>
      <c r="AG148" s="846"/>
      <c r="AH148" s="1253"/>
      <c r="AI148" s="845"/>
      <c r="AJ148" s="846"/>
      <c r="AK148" s="846"/>
      <c r="AL148" s="969"/>
      <c r="AM148" s="846"/>
      <c r="AN148" s="846"/>
      <c r="AO148" s="846"/>
      <c r="AP148" s="969"/>
      <c r="AQ148" s="830"/>
      <c r="AS148" s="756"/>
      <c r="AT148" s="756"/>
      <c r="AU148" s="756"/>
      <c r="AV148" s="756">
        <f t="shared" ref="AV148" si="577">AV147/AU147-1</f>
        <v>-0.12129629629629646</v>
      </c>
      <c r="AW148" s="756">
        <f t="shared" ref="AW148" si="578">AW147/AV147-1</f>
        <v>1.5225376125764369</v>
      </c>
      <c r="AX148" s="756">
        <f t="shared" ref="AX148:BB148" si="579">AX147/AW147-1</f>
        <v>0.66438234282740694</v>
      </c>
      <c r="AY148" s="756">
        <f t="shared" si="579"/>
        <v>0.41176470588235281</v>
      </c>
      <c r="AZ148" s="756">
        <f t="shared" si="579"/>
        <v>0.43750000000000022</v>
      </c>
      <c r="BA148" s="756">
        <f t="shared" si="579"/>
        <v>0.14999999999999991</v>
      </c>
      <c r="BB148" s="756">
        <f t="shared" si="579"/>
        <v>0.14999999999999991</v>
      </c>
    </row>
    <row r="149" spans="2:55" s="721" customFormat="1">
      <c r="B149" s="970"/>
      <c r="C149" s="834"/>
      <c r="D149" s="810"/>
      <c r="E149" s="810"/>
      <c r="F149" s="968"/>
      <c r="G149" s="834"/>
      <c r="H149" s="810"/>
      <c r="I149" s="810"/>
      <c r="J149" s="968"/>
      <c r="K149" s="834"/>
      <c r="L149" s="810"/>
      <c r="M149" s="810"/>
      <c r="N149" s="968"/>
      <c r="O149" s="845"/>
      <c r="P149" s="846"/>
      <c r="Q149" s="846"/>
      <c r="R149" s="969"/>
      <c r="S149" s="845"/>
      <c r="T149" s="846"/>
      <c r="U149" s="846"/>
      <c r="V149" s="969"/>
      <c r="W149" s="845"/>
      <c r="X149" s="846"/>
      <c r="Y149" s="846"/>
      <c r="Z149" s="969"/>
      <c r="AA149" s="845"/>
      <c r="AB149" s="846"/>
      <c r="AC149" s="846"/>
      <c r="AD149" s="1077"/>
      <c r="AE149" s="845"/>
      <c r="AF149" s="846"/>
      <c r="AG149" s="846"/>
      <c r="AH149" s="1253"/>
      <c r="AI149" s="845"/>
      <c r="AJ149" s="846"/>
      <c r="AK149" s="846"/>
      <c r="AL149" s="969"/>
      <c r="AM149" s="846"/>
      <c r="AN149" s="846"/>
      <c r="AO149" s="846"/>
      <c r="AP149" s="969"/>
      <c r="AQ149" s="830"/>
      <c r="AS149" s="756"/>
      <c r="AT149" s="756"/>
      <c r="AU149" s="756"/>
      <c r="AV149" s="836"/>
      <c r="AW149" s="836"/>
      <c r="AX149" s="778"/>
      <c r="AY149" s="756"/>
      <c r="AZ149" s="756"/>
      <c r="BA149" s="756"/>
      <c r="BB149" s="756"/>
    </row>
    <row r="150" spans="2:55" s="721" customFormat="1">
      <c r="B150" s="967" t="s">
        <v>500</v>
      </c>
      <c r="C150" s="834"/>
      <c r="D150" s="810"/>
      <c r="E150" s="810"/>
      <c r="F150" s="968"/>
      <c r="G150" s="834"/>
      <c r="H150" s="810"/>
      <c r="I150" s="810"/>
      <c r="J150" s="968"/>
      <c r="K150" s="834"/>
      <c r="L150" s="810"/>
      <c r="M150" s="810"/>
      <c r="N150" s="968"/>
      <c r="O150" s="845"/>
      <c r="P150" s="846"/>
      <c r="Q150" s="846"/>
      <c r="R150" s="969"/>
      <c r="S150" s="845"/>
      <c r="T150" s="846"/>
      <c r="U150" s="846"/>
      <c r="V150" s="969"/>
      <c r="W150" s="845"/>
      <c r="X150" s="846"/>
      <c r="Y150" s="846"/>
      <c r="Z150" s="969"/>
      <c r="AA150" s="845"/>
      <c r="AB150" s="846"/>
      <c r="AC150" s="846"/>
      <c r="AD150" s="1077"/>
      <c r="AE150" s="845"/>
      <c r="AF150" s="846"/>
      <c r="AG150" s="846"/>
      <c r="AH150" s="1253"/>
      <c r="AI150" s="845"/>
      <c r="AJ150" s="846"/>
      <c r="AK150" s="846"/>
      <c r="AL150" s="969"/>
      <c r="AM150" s="846"/>
      <c r="AN150" s="846"/>
      <c r="AO150" s="846"/>
      <c r="AP150" s="969"/>
      <c r="AQ150" s="830"/>
      <c r="AS150" s="756"/>
      <c r="AT150" s="756"/>
      <c r="AU150" s="836">
        <f>20/26</f>
        <v>0.76923076923076927</v>
      </c>
      <c r="AV150" s="836">
        <f>31/36</f>
        <v>0.86111111111111116</v>
      </c>
      <c r="AW150" s="836">
        <f>36/49</f>
        <v>0.73469387755102045</v>
      </c>
      <c r="AX150" s="836">
        <f>43/60</f>
        <v>0.71666666666666667</v>
      </c>
      <c r="AY150" s="836">
        <v>0.68</v>
      </c>
      <c r="AZ150" s="836">
        <v>0.6</v>
      </c>
      <c r="BA150" s="836">
        <v>0.6</v>
      </c>
      <c r="BB150" s="836">
        <v>0.6</v>
      </c>
    </row>
    <row r="151" spans="2:55" s="721" customFormat="1">
      <c r="B151" s="967" t="s">
        <v>501</v>
      </c>
      <c r="C151" s="834"/>
      <c r="D151" s="810"/>
      <c r="E151" s="810"/>
      <c r="F151" s="968"/>
      <c r="G151" s="834"/>
      <c r="H151" s="810"/>
      <c r="I151" s="810"/>
      <c r="J151" s="968"/>
      <c r="K151" s="834"/>
      <c r="L151" s="810"/>
      <c r="M151" s="810"/>
      <c r="N151" s="968"/>
      <c r="O151" s="845"/>
      <c r="P151" s="846"/>
      <c r="Q151" s="846"/>
      <c r="R151" s="969"/>
      <c r="S151" s="845"/>
      <c r="T151" s="846"/>
      <c r="U151" s="846"/>
      <c r="V151" s="969"/>
      <c r="W151" s="845"/>
      <c r="X151" s="846"/>
      <c r="Y151" s="846"/>
      <c r="Z151" s="969"/>
      <c r="AA151" s="845"/>
      <c r="AB151" s="846"/>
      <c r="AC151" s="846"/>
      <c r="AD151" s="1077"/>
      <c r="AE151" s="845"/>
      <c r="AF151" s="846"/>
      <c r="AG151" s="846"/>
      <c r="AH151" s="1253"/>
      <c r="AI151" s="845"/>
      <c r="AJ151" s="846"/>
      <c r="AK151" s="846"/>
      <c r="AL151" s="969"/>
      <c r="AM151" s="846"/>
      <c r="AN151" s="846"/>
      <c r="AO151" s="846"/>
      <c r="AP151" s="969"/>
      <c r="AQ151" s="830"/>
      <c r="AS151" s="756"/>
      <c r="AT151" s="756"/>
      <c r="AU151" s="756">
        <f>1-AU150</f>
        <v>0.23076923076923073</v>
      </c>
      <c r="AV151" s="756">
        <f t="shared" ref="AV151:AZ151" si="580">1-AV150</f>
        <v>0.13888888888888884</v>
      </c>
      <c r="AW151" s="756">
        <f t="shared" si="580"/>
        <v>0.26530612244897955</v>
      </c>
      <c r="AX151" s="756">
        <f t="shared" si="580"/>
        <v>0.28333333333333333</v>
      </c>
      <c r="AY151" s="756">
        <f t="shared" si="580"/>
        <v>0.31999999999999995</v>
      </c>
      <c r="AZ151" s="756">
        <f t="shared" si="580"/>
        <v>0.4</v>
      </c>
      <c r="BA151" s="756">
        <f t="shared" ref="BA151" si="581">1-BA150</f>
        <v>0.4</v>
      </c>
      <c r="BB151" s="756">
        <f t="shared" ref="BB151" si="582">1-BB150</f>
        <v>0.4</v>
      </c>
    </row>
    <row r="152" spans="2:55" s="721" customFormat="1">
      <c r="B152" s="967"/>
      <c r="C152" s="834"/>
      <c r="D152" s="810"/>
      <c r="E152" s="810"/>
      <c r="F152" s="968"/>
      <c r="G152" s="834"/>
      <c r="H152" s="810"/>
      <c r="I152" s="810"/>
      <c r="J152" s="968"/>
      <c r="K152" s="834"/>
      <c r="L152" s="810"/>
      <c r="M152" s="810"/>
      <c r="N152" s="968"/>
      <c r="O152" s="845"/>
      <c r="P152" s="846"/>
      <c r="Q152" s="846"/>
      <c r="R152" s="969"/>
      <c r="S152" s="845"/>
      <c r="T152" s="846"/>
      <c r="U152" s="846"/>
      <c r="V152" s="969"/>
      <c r="W152" s="845"/>
      <c r="X152" s="846"/>
      <c r="Y152" s="846"/>
      <c r="Z152" s="969"/>
      <c r="AA152" s="845"/>
      <c r="AB152" s="846"/>
      <c r="AC152" s="846"/>
      <c r="AD152" s="1077"/>
      <c r="AE152" s="845"/>
      <c r="AF152" s="846"/>
      <c r="AG152" s="846"/>
      <c r="AH152" s="1253"/>
      <c r="AI152" s="845"/>
      <c r="AJ152" s="846"/>
      <c r="AK152" s="846"/>
      <c r="AL152" s="969"/>
      <c r="AM152" s="846"/>
      <c r="AN152" s="846"/>
      <c r="AO152" s="846"/>
      <c r="AP152" s="969"/>
      <c r="AQ152" s="830"/>
      <c r="AS152" s="756"/>
      <c r="AT152" s="756"/>
      <c r="AU152" s="756"/>
      <c r="AV152" s="836"/>
      <c r="AW152" s="836"/>
      <c r="AX152" s="778"/>
      <c r="AY152" s="756"/>
      <c r="AZ152" s="756"/>
      <c r="BA152" s="756"/>
      <c r="BB152" s="756"/>
    </row>
    <row r="153" spans="2:55" s="721" customFormat="1">
      <c r="B153" s="832" t="s">
        <v>433</v>
      </c>
      <c r="C153" s="827">
        <f t="shared" ref="C153:Z153" si="583">C98+C122</f>
        <v>1871</v>
      </c>
      <c r="D153" s="828">
        <f t="shared" si="583"/>
        <v>2114</v>
      </c>
      <c r="E153" s="828">
        <f t="shared" si="583"/>
        <v>2186</v>
      </c>
      <c r="F153" s="829">
        <f t="shared" si="583"/>
        <v>2522</v>
      </c>
      <c r="G153" s="827">
        <f t="shared" si="583"/>
        <v>2464</v>
      </c>
      <c r="H153" s="828">
        <f t="shared" si="583"/>
        <v>2436</v>
      </c>
      <c r="I153" s="828">
        <f t="shared" si="583"/>
        <v>2512</v>
      </c>
      <c r="J153" s="829">
        <f t="shared" si="583"/>
        <v>2717</v>
      </c>
      <c r="K153" s="827">
        <f t="shared" si="583"/>
        <v>2453</v>
      </c>
      <c r="L153" s="828">
        <f t="shared" si="583"/>
        <v>2804</v>
      </c>
      <c r="M153" s="828">
        <f t="shared" si="583"/>
        <v>2654</v>
      </c>
      <c r="N153" s="829">
        <f t="shared" si="583"/>
        <v>2830</v>
      </c>
      <c r="O153" s="827">
        <f t="shared" si="583"/>
        <v>2777</v>
      </c>
      <c r="P153" s="828">
        <f t="shared" si="583"/>
        <v>2944</v>
      </c>
      <c r="Q153" s="828">
        <f t="shared" si="583"/>
        <v>3178</v>
      </c>
      <c r="R153" s="829">
        <f t="shared" si="583"/>
        <v>3262</v>
      </c>
      <c r="S153" s="827">
        <f t="shared" si="583"/>
        <v>3087</v>
      </c>
      <c r="T153" s="828">
        <f t="shared" si="583"/>
        <v>3509</v>
      </c>
      <c r="U153" s="828">
        <f t="shared" si="583"/>
        <v>3700</v>
      </c>
      <c r="V153" s="829">
        <f t="shared" si="583"/>
        <v>4091</v>
      </c>
      <c r="W153" s="827">
        <f t="shared" si="583"/>
        <v>3681</v>
      </c>
      <c r="X153" s="828">
        <f t="shared" si="583"/>
        <v>3852</v>
      </c>
      <c r="Y153" s="828">
        <f t="shared" si="583"/>
        <v>4140</v>
      </c>
      <c r="Z153" s="829">
        <f t="shared" si="583"/>
        <v>4308</v>
      </c>
      <c r="AA153" s="827">
        <f t="shared" ref="AA153:AE153" si="584">AA98+AA122</f>
        <v>3999</v>
      </c>
      <c r="AB153" s="828">
        <f t="shared" si="584"/>
        <v>4027</v>
      </c>
      <c r="AC153" s="828">
        <f t="shared" si="584"/>
        <v>4542</v>
      </c>
      <c r="AD153" s="1079">
        <f t="shared" si="584"/>
        <v>4668</v>
      </c>
      <c r="AE153" s="827">
        <f t="shared" si="584"/>
        <v>4232</v>
      </c>
      <c r="AF153" s="828">
        <f t="shared" ref="AF153" si="585">AF98+AF122</f>
        <v>4372</v>
      </c>
      <c r="AG153" s="828">
        <f>AG98+AG122</f>
        <v>4878</v>
      </c>
      <c r="AH153" s="1252">
        <f>AH98+AH122</f>
        <v>5582</v>
      </c>
      <c r="AI153" s="827">
        <f>AI98+AI122</f>
        <v>5234</v>
      </c>
      <c r="AJ153" s="828">
        <f t="shared" ref="AJ153:AL153" si="586">AJ98+AJ122</f>
        <v>5310.8114240526938</v>
      </c>
      <c r="AK153" s="828">
        <f t="shared" si="586"/>
        <v>5860.814103000107</v>
      </c>
      <c r="AL153" s="829">
        <f t="shared" si="586"/>
        <v>5894.7256641871181</v>
      </c>
      <c r="AM153" s="828">
        <f t="shared" ref="AM153:AP153" si="587">AM98+AM122</f>
        <v>5521.9098842713538</v>
      </c>
      <c r="AN153" s="828">
        <f t="shared" si="587"/>
        <v>5651.2747806509187</v>
      </c>
      <c r="AO153" s="828">
        <f t="shared" si="587"/>
        <v>6228.2945046880523</v>
      </c>
      <c r="AP153" s="829">
        <f t="shared" si="587"/>
        <v>6481.4873916677534</v>
      </c>
      <c r="AQ153" s="830"/>
      <c r="AS153" s="966">
        <f>SUM(C153:F153)</f>
        <v>8693</v>
      </c>
      <c r="AT153" s="966">
        <f>SUM(G153:J153)</f>
        <v>10129</v>
      </c>
      <c r="AU153" s="966">
        <f>SUM(K153:N153)</f>
        <v>10741</v>
      </c>
      <c r="AV153" s="966">
        <f>SUM(O153:R153)</f>
        <v>12161</v>
      </c>
      <c r="AW153" s="964">
        <f>SUM(S153:V153)</f>
        <v>14387</v>
      </c>
      <c r="AX153" s="964">
        <f>SUM(W153:Z153)</f>
        <v>15981</v>
      </c>
      <c r="AY153" s="964">
        <f>SUM(AA153:AD153)</f>
        <v>17236</v>
      </c>
      <c r="AZ153" s="964">
        <f>SUM(AE153:AH153)</f>
        <v>19064</v>
      </c>
      <c r="BA153" s="964">
        <f>SUM(AI153:AL153)</f>
        <v>22300.351191239919</v>
      </c>
      <c r="BB153" s="964">
        <f>SUM(AM153:AP153)</f>
        <v>23882.966561278077</v>
      </c>
      <c r="BC153" s="784">
        <f>(AY153/AU153)^0.25-1</f>
        <v>0.12550633086500707</v>
      </c>
    </row>
    <row r="154" spans="2:55" s="721" customFormat="1">
      <c r="B154" s="754" t="s">
        <v>97</v>
      </c>
      <c r="C154" s="827"/>
      <c r="D154" s="810">
        <f t="shared" ref="D154:S154" si="588">D153/C153-1</f>
        <v>0.12987707108498125</v>
      </c>
      <c r="E154" s="810">
        <f t="shared" si="588"/>
        <v>3.4058656575212787E-2</v>
      </c>
      <c r="F154" s="811">
        <f t="shared" si="588"/>
        <v>0.15370539798719118</v>
      </c>
      <c r="G154" s="834">
        <f t="shared" si="588"/>
        <v>-2.2997620935765295E-2</v>
      </c>
      <c r="H154" s="810">
        <f t="shared" si="588"/>
        <v>-1.1363636363636354E-2</v>
      </c>
      <c r="I154" s="810">
        <f t="shared" si="588"/>
        <v>3.1198686371100237E-2</v>
      </c>
      <c r="J154" s="811">
        <f t="shared" si="588"/>
        <v>8.1608280254777066E-2</v>
      </c>
      <c r="K154" s="834">
        <f t="shared" si="588"/>
        <v>-9.7165991902834037E-2</v>
      </c>
      <c r="L154" s="810">
        <f t="shared" si="588"/>
        <v>0.14309009376273951</v>
      </c>
      <c r="M154" s="810">
        <f t="shared" si="588"/>
        <v>-5.3495007132667638E-2</v>
      </c>
      <c r="N154" s="811">
        <f t="shared" si="588"/>
        <v>6.6314996232102574E-2</v>
      </c>
      <c r="O154" s="834">
        <f t="shared" si="588"/>
        <v>-1.8727915194346245E-2</v>
      </c>
      <c r="P154" s="792">
        <f t="shared" si="588"/>
        <v>6.0136838314728047E-2</v>
      </c>
      <c r="Q154" s="792">
        <f t="shared" si="588"/>
        <v>7.9483695652173836E-2</v>
      </c>
      <c r="R154" s="793">
        <f t="shared" si="588"/>
        <v>2.6431718061673992E-2</v>
      </c>
      <c r="S154" s="768">
        <f t="shared" si="588"/>
        <v>-5.3648068669527871E-2</v>
      </c>
      <c r="T154" s="769">
        <f>T153/S153-1</f>
        <v>0.13670229996760619</v>
      </c>
      <c r="U154" s="769">
        <f t="shared" ref="U154:AI154" si="589">U153/T153-1</f>
        <v>5.4431461954972837E-2</v>
      </c>
      <c r="V154" s="770">
        <f t="shared" si="589"/>
        <v>0.1056756756756756</v>
      </c>
      <c r="W154" s="768">
        <f t="shared" si="589"/>
        <v>-0.10021999511121971</v>
      </c>
      <c r="X154" s="769">
        <f t="shared" si="589"/>
        <v>4.6454767726161306E-2</v>
      </c>
      <c r="Y154" s="769">
        <f t="shared" si="589"/>
        <v>7.4766355140186924E-2</v>
      </c>
      <c r="Z154" s="770">
        <f t="shared" si="589"/>
        <v>4.057971014492745E-2</v>
      </c>
      <c r="AA154" s="768">
        <f t="shared" si="589"/>
        <v>-7.172701949860727E-2</v>
      </c>
      <c r="AB154" s="769">
        <f t="shared" si="589"/>
        <v>7.001750437609422E-3</v>
      </c>
      <c r="AC154" s="769">
        <f t="shared" si="589"/>
        <v>0.12788676434070023</v>
      </c>
      <c r="AD154" s="1065">
        <f t="shared" si="589"/>
        <v>2.7741083223249641E-2</v>
      </c>
      <c r="AE154" s="768">
        <f t="shared" si="589"/>
        <v>-9.3401885175664057E-2</v>
      </c>
      <c r="AF154" s="769">
        <f t="shared" si="589"/>
        <v>3.3081285444234387E-2</v>
      </c>
      <c r="AG154" s="769">
        <f t="shared" si="589"/>
        <v>0.11573650503202204</v>
      </c>
      <c r="AH154" s="1244">
        <f t="shared" si="589"/>
        <v>0.14432144321443219</v>
      </c>
      <c r="AI154" s="768">
        <f t="shared" si="589"/>
        <v>-6.2343246148333975E-2</v>
      </c>
      <c r="AJ154" s="769">
        <f t="shared" ref="AJ154" si="590">AJ153/AI153-1</f>
        <v>1.4675472688707281E-2</v>
      </c>
      <c r="AK154" s="769">
        <f t="shared" ref="AK154" si="591">AK153/AJ153-1</f>
        <v>0.103562833441317</v>
      </c>
      <c r="AL154" s="770">
        <f t="shared" ref="AL154" si="592">AL153/AK153-1</f>
        <v>5.7861519903270597E-3</v>
      </c>
      <c r="AM154" s="769">
        <f t="shared" ref="AM154" si="593">AM153/AL153-1</f>
        <v>-6.3245654022675457E-2</v>
      </c>
      <c r="AN154" s="769">
        <f t="shared" ref="AN154" si="594">AN153/AM153-1</f>
        <v>2.3427563848524402E-2</v>
      </c>
      <c r="AO154" s="769">
        <f t="shared" ref="AO154" si="595">AO153/AN153-1</f>
        <v>0.10210434750275432</v>
      </c>
      <c r="AP154" s="770">
        <f t="shared" ref="AP154" si="596">AP153/AO153-1</f>
        <v>4.0652041548311812E-2</v>
      </c>
      <c r="AQ154" s="830"/>
      <c r="AS154" s="831"/>
      <c r="AT154" s="831"/>
      <c r="AU154" s="831"/>
      <c r="AV154" s="831"/>
      <c r="AW154" s="831"/>
      <c r="AX154" s="831"/>
      <c r="AY154" s="831"/>
      <c r="AZ154" s="831"/>
      <c r="BA154" s="831"/>
      <c r="BB154" s="831"/>
    </row>
    <row r="155" spans="2:55" s="721" customFormat="1">
      <c r="B155" s="754" t="s">
        <v>98</v>
      </c>
      <c r="C155" s="827"/>
      <c r="D155" s="828"/>
      <c r="E155" s="828"/>
      <c r="F155" s="829"/>
      <c r="G155" s="834">
        <f t="shared" ref="G155:V155" si="597">G153/C153-1</f>
        <v>0.31694281133083901</v>
      </c>
      <c r="H155" s="810">
        <f t="shared" si="597"/>
        <v>0.15231788079470188</v>
      </c>
      <c r="I155" s="810">
        <f t="shared" si="597"/>
        <v>0.14913083257090576</v>
      </c>
      <c r="J155" s="811">
        <f t="shared" si="597"/>
        <v>7.7319587628865927E-2</v>
      </c>
      <c r="K155" s="834">
        <f t="shared" si="597"/>
        <v>-4.4642857142856984E-3</v>
      </c>
      <c r="L155" s="810">
        <f t="shared" si="597"/>
        <v>0.15106732348111662</v>
      </c>
      <c r="M155" s="810">
        <f t="shared" si="597"/>
        <v>5.6528662420382236E-2</v>
      </c>
      <c r="N155" s="811">
        <f t="shared" si="597"/>
        <v>4.1589988958409929E-2</v>
      </c>
      <c r="O155" s="834">
        <f t="shared" si="597"/>
        <v>0.13208316347329796</v>
      </c>
      <c r="P155" s="810">
        <f t="shared" si="597"/>
        <v>4.9928673323823114E-2</v>
      </c>
      <c r="Q155" s="810">
        <f t="shared" si="597"/>
        <v>0.19743782969103241</v>
      </c>
      <c r="R155" s="811">
        <f t="shared" si="597"/>
        <v>0.15265017667844516</v>
      </c>
      <c r="S155" s="834">
        <f t="shared" si="597"/>
        <v>0.11163125675189045</v>
      </c>
      <c r="T155" s="810">
        <f t="shared" si="597"/>
        <v>0.19191576086956519</v>
      </c>
      <c r="U155" s="810">
        <f t="shared" si="597"/>
        <v>0.16425424795468846</v>
      </c>
      <c r="V155" s="811">
        <f t="shared" si="597"/>
        <v>0.25413856529736356</v>
      </c>
      <c r="W155" s="768">
        <f>W153/S153-1</f>
        <v>0.19241982507288635</v>
      </c>
      <c r="X155" s="769">
        <f t="shared" ref="X155:AI155" si="598">X153/T153-1</f>
        <v>9.7748646337987966E-2</v>
      </c>
      <c r="Y155" s="769">
        <f t="shared" si="598"/>
        <v>0.11891891891891881</v>
      </c>
      <c r="Z155" s="770">
        <f t="shared" si="598"/>
        <v>5.3043265705206455E-2</v>
      </c>
      <c r="AA155" s="768">
        <f t="shared" si="598"/>
        <v>8.6389568052159804E-2</v>
      </c>
      <c r="AB155" s="769">
        <f t="shared" si="598"/>
        <v>4.5430944963655184E-2</v>
      </c>
      <c r="AC155" s="769">
        <f t="shared" si="598"/>
        <v>9.710144927536235E-2</v>
      </c>
      <c r="AD155" s="1065">
        <f t="shared" si="598"/>
        <v>8.3565459610027926E-2</v>
      </c>
      <c r="AE155" s="768">
        <f t="shared" si="598"/>
        <v>5.8264566141535301E-2</v>
      </c>
      <c r="AF155" s="769">
        <f t="shared" si="598"/>
        <v>8.5671715917556401E-2</v>
      </c>
      <c r="AG155" s="769">
        <f t="shared" si="598"/>
        <v>7.3976221928665709E-2</v>
      </c>
      <c r="AH155" s="1244">
        <f t="shared" si="598"/>
        <v>0.19580119965724085</v>
      </c>
      <c r="AI155" s="768">
        <f t="shared" si="598"/>
        <v>0.23676748582230633</v>
      </c>
      <c r="AJ155" s="769">
        <f t="shared" ref="AJ155" si="599">AJ153/AF153-1</f>
        <v>0.21473271364425761</v>
      </c>
      <c r="AK155" s="769">
        <f t="shared" ref="AK155" si="600">AK153/AG153-1</f>
        <v>0.20147890590408091</v>
      </c>
      <c r="AL155" s="770">
        <f t="shared" ref="AL155" si="601">AL153/AH153-1</f>
        <v>5.6023945572754918E-2</v>
      </c>
      <c r="AM155" s="769">
        <f t="shared" ref="AM155" si="602">AM153/AI153-1</f>
        <v>5.5007620227618181E-2</v>
      </c>
      <c r="AN155" s="769">
        <f t="shared" ref="AN155" si="603">AN153/AJ153-1</f>
        <v>6.4107596638860898E-2</v>
      </c>
      <c r="AO155" s="769">
        <f t="shared" ref="AO155" si="604">AO153/AK153-1</f>
        <v>6.2701255359700836E-2</v>
      </c>
      <c r="AP155" s="770">
        <f t="shared" ref="AP155" si="605">AP153/AL153-1</f>
        <v>9.9540124665250085E-2</v>
      </c>
      <c r="AQ155" s="830"/>
      <c r="AS155" s="831"/>
      <c r="AT155" s="756">
        <f t="shared" ref="AT155:AW155" si="606">AT153/AS153-1</f>
        <v>0.16519038306683531</v>
      </c>
      <c r="AU155" s="756">
        <f t="shared" si="606"/>
        <v>6.0420574587817244E-2</v>
      </c>
      <c r="AV155" s="756">
        <f t="shared" si="606"/>
        <v>0.13220370542780002</v>
      </c>
      <c r="AW155" s="756">
        <f t="shared" si="606"/>
        <v>0.18304415755283276</v>
      </c>
      <c r="AX155" s="756">
        <f>AX153/AW153-1</f>
        <v>0.11079446722735797</v>
      </c>
      <c r="AY155" s="756">
        <f>AY153/AX153-1</f>
        <v>7.8530755271885466E-2</v>
      </c>
      <c r="AZ155" s="756">
        <f>AZ153/AY153-1</f>
        <v>0.10605708981202144</v>
      </c>
      <c r="BA155" s="756">
        <f>BA153/AZ153-1</f>
        <v>0.16976244184011335</v>
      </c>
      <c r="BB155" s="756">
        <f>BB153/BA153-1</f>
        <v>7.096818146343109E-2</v>
      </c>
    </row>
    <row r="156" spans="2:55" s="745" customFormat="1">
      <c r="B156" s="741" t="s">
        <v>434</v>
      </c>
      <c r="C156" s="742">
        <f t="shared" ref="C156:M156" si="607">C254</f>
        <v>1871</v>
      </c>
      <c r="D156" s="743">
        <f t="shared" si="607"/>
        <v>2114</v>
      </c>
      <c r="E156" s="743">
        <f t="shared" si="607"/>
        <v>2186</v>
      </c>
      <c r="F156" s="744">
        <f t="shared" si="607"/>
        <v>2522</v>
      </c>
      <c r="G156" s="742">
        <f t="shared" si="607"/>
        <v>2464</v>
      </c>
      <c r="H156" s="743">
        <f t="shared" si="607"/>
        <v>2436</v>
      </c>
      <c r="I156" s="743">
        <f t="shared" si="607"/>
        <v>2512</v>
      </c>
      <c r="J156" s="744">
        <f t="shared" si="607"/>
        <v>2717</v>
      </c>
      <c r="K156" s="742">
        <f t="shared" si="607"/>
        <v>2453</v>
      </c>
      <c r="L156" s="743">
        <f t="shared" si="607"/>
        <v>2804</v>
      </c>
      <c r="M156" s="743">
        <f t="shared" si="607"/>
        <v>2654</v>
      </c>
      <c r="N156" s="744">
        <f>N254</f>
        <v>2830</v>
      </c>
      <c r="O156" s="742">
        <f>O260</f>
        <v>2777</v>
      </c>
      <c r="P156" s="743">
        <f t="shared" ref="P156" si="608">P260</f>
        <v>2944</v>
      </c>
      <c r="Q156" s="743">
        <f>Q260</f>
        <v>3178</v>
      </c>
      <c r="R156" s="744">
        <f>R260</f>
        <v>3262</v>
      </c>
      <c r="S156" s="742">
        <f t="shared" ref="S156:AB156" si="609">S254</f>
        <v>3087</v>
      </c>
      <c r="T156" s="743">
        <f t="shared" si="609"/>
        <v>3509</v>
      </c>
      <c r="U156" s="743">
        <f t="shared" si="609"/>
        <v>3700</v>
      </c>
      <c r="V156" s="744">
        <f t="shared" si="609"/>
        <v>4091</v>
      </c>
      <c r="W156" s="742">
        <f t="shared" si="609"/>
        <v>3681</v>
      </c>
      <c r="X156" s="743">
        <f t="shared" si="609"/>
        <v>3852</v>
      </c>
      <c r="Y156" s="743">
        <f t="shared" si="609"/>
        <v>4140</v>
      </c>
      <c r="Z156" s="744">
        <f t="shared" si="609"/>
        <v>4308</v>
      </c>
      <c r="AA156" s="742">
        <f t="shared" si="609"/>
        <v>3999</v>
      </c>
      <c r="AB156" s="743">
        <f t="shared" si="609"/>
        <v>4027</v>
      </c>
      <c r="AC156" s="743">
        <f t="shared" ref="AC156:AF156" si="610">AC254</f>
        <v>4542</v>
      </c>
      <c r="AD156" s="743">
        <f t="shared" si="610"/>
        <v>4668</v>
      </c>
      <c r="AE156" s="742">
        <f t="shared" si="610"/>
        <v>4232</v>
      </c>
      <c r="AF156" s="743">
        <f t="shared" si="610"/>
        <v>4372</v>
      </c>
      <c r="AG156" s="743">
        <f t="shared" ref="AG156:AI156" si="611">AG254</f>
        <v>4878</v>
      </c>
      <c r="AH156" s="744">
        <f t="shared" si="611"/>
        <v>5582</v>
      </c>
      <c r="AI156" s="742">
        <f t="shared" si="611"/>
        <v>5234</v>
      </c>
      <c r="AJ156" s="848">
        <f t="shared" ref="AJ156:AL156" si="612">AJ7</f>
        <v>5310.8114240526938</v>
      </c>
      <c r="AK156" s="848">
        <f t="shared" si="612"/>
        <v>5860.814103000107</v>
      </c>
      <c r="AL156" s="849">
        <f t="shared" si="612"/>
        <v>5894.7256641871181</v>
      </c>
      <c r="AM156" s="848">
        <f t="shared" ref="AM156:AP156" si="613">AM7</f>
        <v>5521.9098842713538</v>
      </c>
      <c r="AN156" s="848">
        <f t="shared" si="613"/>
        <v>5651.2747806509187</v>
      </c>
      <c r="AO156" s="848">
        <f t="shared" si="613"/>
        <v>6228.2945046880523</v>
      </c>
      <c r="AP156" s="849">
        <f t="shared" si="613"/>
        <v>6481.4873916677534</v>
      </c>
      <c r="AQ156" s="746"/>
      <c r="AS156" s="747">
        <f>SUM(C156:F156)</f>
        <v>8693</v>
      </c>
      <c r="AT156" s="747">
        <f>SUM(G156:J156)</f>
        <v>10129</v>
      </c>
      <c r="AU156" s="747">
        <f>SUM(K156:N156)</f>
        <v>10741</v>
      </c>
      <c r="AV156" s="747">
        <f>SUM(O156:R156)</f>
        <v>12161</v>
      </c>
      <c r="AW156" s="747">
        <f>SUM(S156:V156)</f>
        <v>14387</v>
      </c>
      <c r="AX156" s="747">
        <f>SUM(W156:Z156)</f>
        <v>15981</v>
      </c>
      <c r="AY156" s="747">
        <f>SUM(AA156:AD156)</f>
        <v>17236</v>
      </c>
      <c r="AZ156" s="747">
        <f>SUM(AE156:AH156)</f>
        <v>19064</v>
      </c>
      <c r="BA156" s="747">
        <f>SUM(AI156:AL156)</f>
        <v>22300.351191239919</v>
      </c>
      <c r="BB156" s="747">
        <f>SUM(AM156:AP156)</f>
        <v>23882.966561278077</v>
      </c>
    </row>
    <row r="157" spans="2:55" s="721" customFormat="1">
      <c r="B157" s="749" t="s">
        <v>356</v>
      </c>
      <c r="C157" s="827">
        <f t="shared" ref="C157:N157" si="614">C156-C153</f>
        <v>0</v>
      </c>
      <c r="D157" s="828">
        <f t="shared" si="614"/>
        <v>0</v>
      </c>
      <c r="E157" s="828">
        <f t="shared" si="614"/>
        <v>0</v>
      </c>
      <c r="F157" s="829">
        <f t="shared" si="614"/>
        <v>0</v>
      </c>
      <c r="G157" s="827">
        <f t="shared" si="614"/>
        <v>0</v>
      </c>
      <c r="H157" s="828">
        <f t="shared" si="614"/>
        <v>0</v>
      </c>
      <c r="I157" s="828">
        <f t="shared" si="614"/>
        <v>0</v>
      </c>
      <c r="J157" s="829">
        <f t="shared" si="614"/>
        <v>0</v>
      </c>
      <c r="K157" s="827">
        <f t="shared" si="614"/>
        <v>0</v>
      </c>
      <c r="L157" s="828">
        <f t="shared" si="614"/>
        <v>0</v>
      </c>
      <c r="M157" s="828">
        <f t="shared" si="614"/>
        <v>0</v>
      </c>
      <c r="N157" s="829">
        <f t="shared" si="614"/>
        <v>0</v>
      </c>
      <c r="O157" s="726">
        <f>O156-O153</f>
        <v>0</v>
      </c>
      <c r="P157" s="727">
        <f t="shared" ref="P157:R157" si="615">P156-P153</f>
        <v>0</v>
      </c>
      <c r="Q157" s="727">
        <f t="shared" si="615"/>
        <v>0</v>
      </c>
      <c r="R157" s="728">
        <f t="shared" si="615"/>
        <v>0</v>
      </c>
      <c r="S157" s="726">
        <f>S156-S153</f>
        <v>0</v>
      </c>
      <c r="T157" s="727">
        <f t="shared" ref="T157:AD157" si="616">T156-T153</f>
        <v>0</v>
      </c>
      <c r="U157" s="727">
        <f t="shared" si="616"/>
        <v>0</v>
      </c>
      <c r="V157" s="728">
        <f t="shared" si="616"/>
        <v>0</v>
      </c>
      <c r="W157" s="726">
        <f t="shared" si="616"/>
        <v>0</v>
      </c>
      <c r="X157" s="727">
        <f t="shared" si="616"/>
        <v>0</v>
      </c>
      <c r="Y157" s="727">
        <f t="shared" si="616"/>
        <v>0</v>
      </c>
      <c r="Z157" s="728">
        <f t="shared" si="616"/>
        <v>0</v>
      </c>
      <c r="AA157" s="726">
        <f t="shared" si="616"/>
        <v>0</v>
      </c>
      <c r="AB157" s="727">
        <f>AB156-AB153</f>
        <v>0</v>
      </c>
      <c r="AC157" s="727">
        <f t="shared" si="616"/>
        <v>0</v>
      </c>
      <c r="AD157" s="1063">
        <f t="shared" si="616"/>
        <v>0</v>
      </c>
      <c r="AE157" s="726">
        <f t="shared" ref="AE157" si="617">AE156-AE153</f>
        <v>0</v>
      </c>
      <c r="AF157" s="727">
        <f t="shared" ref="AF157:AH157" si="618">AF156-AF153</f>
        <v>0</v>
      </c>
      <c r="AG157" s="727">
        <f t="shared" si="618"/>
        <v>0</v>
      </c>
      <c r="AH157" s="1238">
        <f t="shared" si="618"/>
        <v>0</v>
      </c>
      <c r="AI157" s="727">
        <f t="shared" ref="AI157:AL157" si="619">AI156-AI153</f>
        <v>0</v>
      </c>
      <c r="AJ157" s="727">
        <f t="shared" si="619"/>
        <v>0</v>
      </c>
      <c r="AK157" s="727">
        <f t="shared" si="619"/>
        <v>0</v>
      </c>
      <c r="AL157" s="728">
        <f t="shared" si="619"/>
        <v>0</v>
      </c>
      <c r="AM157" s="727">
        <f t="shared" ref="AM157:AP157" si="620">AM156-AM153</f>
        <v>0</v>
      </c>
      <c r="AN157" s="727">
        <f t="shared" si="620"/>
        <v>0</v>
      </c>
      <c r="AO157" s="727">
        <f t="shared" si="620"/>
        <v>0</v>
      </c>
      <c r="AP157" s="728">
        <f t="shared" si="620"/>
        <v>0</v>
      </c>
      <c r="AQ157" s="830"/>
      <c r="AS157" s="831"/>
      <c r="AT157" s="831"/>
      <c r="AU157" s="831"/>
      <c r="AV157" s="831"/>
      <c r="AW157" s="831"/>
      <c r="AX157" s="831"/>
      <c r="AY157" s="831"/>
      <c r="AZ157" s="831"/>
      <c r="BA157" s="831"/>
      <c r="BB157" s="831"/>
    </row>
    <row r="158" spans="2:55" s="721" customFormat="1">
      <c r="B158" s="749"/>
      <c r="C158" s="827"/>
      <c r="D158" s="828"/>
      <c r="E158" s="828"/>
      <c r="F158" s="829"/>
      <c r="G158" s="827"/>
      <c r="H158" s="828"/>
      <c r="I158" s="828"/>
      <c r="J158" s="829"/>
      <c r="K158" s="827"/>
      <c r="L158" s="828"/>
      <c r="M158" s="828"/>
      <c r="N158" s="829"/>
      <c r="O158" s="827"/>
      <c r="P158" s="828"/>
      <c r="Q158" s="828"/>
      <c r="R158" s="829"/>
      <c r="S158" s="726"/>
      <c r="T158" s="727"/>
      <c r="U158" s="727"/>
      <c r="V158" s="728"/>
      <c r="W158" s="726"/>
      <c r="X158" s="727"/>
      <c r="Y158" s="727"/>
      <c r="Z158" s="728"/>
      <c r="AA158" s="726"/>
      <c r="AB158" s="727"/>
      <c r="AC158" s="727"/>
      <c r="AD158" s="1063"/>
      <c r="AE158" s="726"/>
      <c r="AF158" s="727"/>
      <c r="AG158" s="727"/>
      <c r="AH158" s="1238"/>
      <c r="AI158" s="727"/>
      <c r="AJ158" s="727"/>
      <c r="AK158" s="727"/>
      <c r="AL158" s="728"/>
      <c r="AM158" s="727"/>
      <c r="AN158" s="727"/>
      <c r="AO158" s="727"/>
      <c r="AP158" s="728"/>
      <c r="AQ158" s="830"/>
      <c r="AS158" s="831"/>
      <c r="AT158" s="831"/>
      <c r="AU158" s="831"/>
      <c r="AV158" s="831"/>
      <c r="AW158" s="831"/>
      <c r="AX158" s="831"/>
      <c r="AY158" s="831"/>
      <c r="AZ158" s="831"/>
      <c r="BA158" s="831"/>
      <c r="BB158" s="831"/>
    </row>
    <row r="159" spans="2:55" s="721" customFormat="1">
      <c r="B159" s="750" t="s">
        <v>435</v>
      </c>
      <c r="C159" s="751"/>
      <c r="D159" s="752"/>
      <c r="E159" s="752"/>
      <c r="F159" s="753"/>
      <c r="G159" s="751"/>
      <c r="H159" s="752"/>
      <c r="I159" s="752"/>
      <c r="J159" s="753"/>
      <c r="K159" s="751"/>
      <c r="L159" s="752"/>
      <c r="M159" s="752"/>
      <c r="N159" s="753"/>
      <c r="O159" s="751"/>
      <c r="P159" s="752"/>
      <c r="Q159" s="752"/>
      <c r="R159" s="753"/>
      <c r="S159" s="751"/>
      <c r="T159" s="752"/>
      <c r="U159" s="752"/>
      <c r="V159" s="753"/>
      <c r="W159" s="751"/>
      <c r="X159" s="752"/>
      <c r="Y159" s="752"/>
      <c r="Z159" s="753"/>
      <c r="AA159" s="751"/>
      <c r="AB159" s="752"/>
      <c r="AC159" s="752"/>
      <c r="AD159" s="1069"/>
      <c r="AE159" s="751"/>
      <c r="AF159" s="752"/>
      <c r="AG159" s="752"/>
      <c r="AH159" s="1242"/>
      <c r="AI159" s="752"/>
      <c r="AJ159" s="752"/>
      <c r="AK159" s="752"/>
      <c r="AL159" s="753"/>
      <c r="AM159" s="752"/>
      <c r="AN159" s="752"/>
      <c r="AO159" s="752"/>
      <c r="AP159" s="753"/>
      <c r="AQ159" s="830"/>
      <c r="AS159" s="831"/>
      <c r="AT159" s="831"/>
      <c r="AU159" s="831"/>
      <c r="AV159" s="831"/>
      <c r="AW159" s="831"/>
      <c r="AX159" s="831"/>
      <c r="AY159" s="831"/>
      <c r="AZ159" s="831"/>
      <c r="BA159" s="831"/>
      <c r="BB159" s="831"/>
    </row>
    <row r="160" spans="2:55" s="721" customFormat="1">
      <c r="B160" s="749" t="s">
        <v>436</v>
      </c>
      <c r="C160" s="726">
        <f t="shared" ref="C160:M160" si="621">C169-SUM(C162:C166)</f>
        <v>375</v>
      </c>
      <c r="D160" s="727">
        <f t="shared" si="621"/>
        <v>417</v>
      </c>
      <c r="E160" s="727">
        <f t="shared" si="621"/>
        <v>495</v>
      </c>
      <c r="F160" s="728">
        <f t="shared" si="621"/>
        <v>497</v>
      </c>
      <c r="G160" s="726">
        <f t="shared" si="621"/>
        <v>877.05436072783868</v>
      </c>
      <c r="H160" s="727">
        <f t="shared" si="621"/>
        <v>1125.6504422166086</v>
      </c>
      <c r="I160" s="727">
        <f t="shared" si="621"/>
        <v>1156.3250927375439</v>
      </c>
      <c r="J160" s="728">
        <f t="shared" si="621"/>
        <v>978.70417510468349</v>
      </c>
      <c r="K160" s="726">
        <f t="shared" si="621"/>
        <v>906.18704494291114</v>
      </c>
      <c r="L160" s="727">
        <f t="shared" si="621"/>
        <v>944.4474778556546</v>
      </c>
      <c r="M160" s="727">
        <f t="shared" si="621"/>
        <v>1060.6452310857201</v>
      </c>
      <c r="N160" s="728">
        <f>N169-SUM(N162:N166)</f>
        <v>936.03280408776402</v>
      </c>
      <c r="O160" s="726">
        <f>O169-SUM(O162:O166)</f>
        <v>137.66027222671539</v>
      </c>
      <c r="P160" s="727">
        <f t="shared" ref="P160:R160" si="622">P169-SUM(P162:P166)</f>
        <v>155.72125086187384</v>
      </c>
      <c r="Q160" s="727">
        <f t="shared" si="622"/>
        <v>202.05202191510978</v>
      </c>
      <c r="R160" s="728">
        <f t="shared" si="622"/>
        <v>210.93446979676969</v>
      </c>
      <c r="S160" s="726"/>
      <c r="T160" s="727"/>
      <c r="U160" s="727"/>
      <c r="V160" s="728"/>
      <c r="W160" s="726"/>
      <c r="X160" s="727"/>
      <c r="Y160" s="727"/>
      <c r="Z160" s="728"/>
      <c r="AA160" s="726"/>
      <c r="AB160" s="727"/>
      <c r="AC160" s="727"/>
      <c r="AD160" s="1063"/>
      <c r="AE160" s="726"/>
      <c r="AF160" s="727"/>
      <c r="AG160" s="727"/>
      <c r="AH160" s="1238"/>
      <c r="AI160" s="727"/>
      <c r="AJ160" s="727"/>
      <c r="AK160" s="727"/>
      <c r="AL160" s="728"/>
      <c r="AM160" s="727"/>
      <c r="AN160" s="727"/>
      <c r="AO160" s="727"/>
      <c r="AP160" s="728"/>
      <c r="AQ160" s="830"/>
      <c r="AS160" s="831"/>
      <c r="AT160" s="831"/>
      <c r="AU160" s="831"/>
      <c r="AV160" s="831"/>
      <c r="AW160" s="831"/>
      <c r="AX160" s="831"/>
      <c r="AY160" s="831"/>
      <c r="AZ160" s="831"/>
      <c r="BA160" s="831"/>
      <c r="BB160" s="831"/>
    </row>
    <row r="161" spans="2:54" s="721" customFormat="1">
      <c r="B161" s="754" t="s">
        <v>97</v>
      </c>
      <c r="C161" s="764"/>
      <c r="D161" s="792">
        <f>D160/C160-1</f>
        <v>0.1120000000000001</v>
      </c>
      <c r="E161" s="850">
        <f t="shared" ref="E161:M161" si="623">E160/D160-1</f>
        <v>0.18705035971223016</v>
      </c>
      <c r="F161" s="851">
        <f t="shared" si="623"/>
        <v>4.0404040404040664E-3</v>
      </c>
      <c r="G161" s="852">
        <f t="shared" si="623"/>
        <v>0.76469690287291492</v>
      </c>
      <c r="H161" s="850">
        <f t="shared" si="623"/>
        <v>0.28344432525535601</v>
      </c>
      <c r="I161" s="850">
        <f t="shared" si="623"/>
        <v>2.7250600515495105E-2</v>
      </c>
      <c r="J161" s="851">
        <f t="shared" si="623"/>
        <v>-0.1536081148358992</v>
      </c>
      <c r="K161" s="834">
        <f t="shared" si="623"/>
        <v>-7.4095045271484472E-2</v>
      </c>
      <c r="L161" s="810">
        <f t="shared" si="623"/>
        <v>4.2221341748660546E-2</v>
      </c>
      <c r="M161" s="810">
        <f t="shared" si="623"/>
        <v>0.12303252002312481</v>
      </c>
      <c r="N161" s="811">
        <f>N160/M160-1</f>
        <v>-0.11748737782038354</v>
      </c>
      <c r="O161" s="827"/>
      <c r="P161" s="828"/>
      <c r="Q161" s="828"/>
      <c r="R161" s="829"/>
      <c r="S161" s="726"/>
      <c r="T161" s="727"/>
      <c r="U161" s="727"/>
      <c r="V161" s="728"/>
      <c r="W161" s="726"/>
      <c r="X161" s="727"/>
      <c r="Y161" s="727"/>
      <c r="Z161" s="728"/>
      <c r="AA161" s="726"/>
      <c r="AB161" s="727"/>
      <c r="AC161" s="727"/>
      <c r="AD161" s="1063"/>
      <c r="AE161" s="726"/>
      <c r="AF161" s="727"/>
      <c r="AG161" s="727"/>
      <c r="AH161" s="1238"/>
      <c r="AI161" s="727"/>
      <c r="AJ161" s="727"/>
      <c r="AK161" s="727"/>
      <c r="AL161" s="728"/>
      <c r="AM161" s="727"/>
      <c r="AN161" s="727"/>
      <c r="AO161" s="727"/>
      <c r="AP161" s="728"/>
      <c r="AQ161" s="830"/>
      <c r="AS161" s="831"/>
      <c r="AT161" s="831"/>
      <c r="AU161" s="831"/>
      <c r="AV161" s="831"/>
      <c r="AW161" s="831"/>
      <c r="AX161" s="831"/>
      <c r="AY161" s="831"/>
      <c r="AZ161" s="831"/>
      <c r="BA161" s="831"/>
      <c r="BB161" s="831"/>
    </row>
    <row r="162" spans="2:54" s="721" customFormat="1">
      <c r="B162" s="749" t="s">
        <v>334</v>
      </c>
      <c r="C162" s="806"/>
      <c r="D162" s="807"/>
      <c r="E162" s="807"/>
      <c r="F162" s="808"/>
      <c r="G162" s="726">
        <f t="shared" ref="G162:AI162" si="624">G56</f>
        <v>271.94563927216126</v>
      </c>
      <c r="H162" s="727">
        <f t="shared" si="624"/>
        <v>263.34955778339139</v>
      </c>
      <c r="I162" s="727">
        <f t="shared" si="624"/>
        <v>211.67490726245603</v>
      </c>
      <c r="J162" s="728">
        <f t="shared" si="624"/>
        <v>120.29582489531653</v>
      </c>
      <c r="K162" s="726">
        <f t="shared" si="624"/>
        <v>168.8129550570888</v>
      </c>
      <c r="L162" s="727">
        <f t="shared" si="624"/>
        <v>163.55252214434543</v>
      </c>
      <c r="M162" s="727">
        <f t="shared" si="624"/>
        <v>116.3547689142799</v>
      </c>
      <c r="N162" s="728">
        <f t="shared" si="624"/>
        <v>81.967195912236008</v>
      </c>
      <c r="O162" s="726">
        <f t="shared" si="624"/>
        <v>71.339727773284594</v>
      </c>
      <c r="P162" s="727">
        <f t="shared" si="624"/>
        <v>60.278749138126116</v>
      </c>
      <c r="Q162" s="727">
        <f t="shared" si="624"/>
        <v>47.947978084890202</v>
      </c>
      <c r="R162" s="728">
        <f t="shared" si="624"/>
        <v>30.065530203230391</v>
      </c>
      <c r="S162" s="726">
        <f t="shared" si="624"/>
        <v>24.277915639108542</v>
      </c>
      <c r="T162" s="727">
        <f t="shared" si="624"/>
        <v>19.604416878580146</v>
      </c>
      <c r="U162" s="727">
        <f t="shared" si="624"/>
        <v>15.830566629453465</v>
      </c>
      <c r="V162" s="728">
        <f t="shared" si="624"/>
        <v>12.783182553283671</v>
      </c>
      <c r="W162" s="726">
        <f t="shared" si="624"/>
        <v>10.322419911776564</v>
      </c>
      <c r="X162" s="727">
        <f t="shared" si="624"/>
        <v>8.3353540787595755</v>
      </c>
      <c r="Y162" s="727">
        <f t="shared" si="624"/>
        <v>6.7307984185983569</v>
      </c>
      <c r="Z162" s="728">
        <f t="shared" si="624"/>
        <v>5.4351197230181727</v>
      </c>
      <c r="AA162" s="726">
        <f t="shared" si="624"/>
        <v>4.3888591763371734</v>
      </c>
      <c r="AB162" s="727">
        <f t="shared" si="624"/>
        <v>3.5440037848922672</v>
      </c>
      <c r="AC162" s="727">
        <f t="shared" si="624"/>
        <v>2.8617830563005056</v>
      </c>
      <c r="AD162" s="1063">
        <f t="shared" si="624"/>
        <v>2.9424853384881797</v>
      </c>
      <c r="AE162" s="726">
        <f t="shared" ref="AE162" si="625">AE56</f>
        <v>2.3760569108292047</v>
      </c>
      <c r="AF162" s="727">
        <f t="shared" si="624"/>
        <v>1.9186659554945826</v>
      </c>
      <c r="AG162" s="727">
        <f t="shared" si="624"/>
        <v>1.5493227590618752</v>
      </c>
      <c r="AH162" s="1238">
        <f t="shared" si="624"/>
        <v>1.2510781279424641</v>
      </c>
      <c r="AI162" s="726">
        <f t="shared" si="624"/>
        <v>1</v>
      </c>
      <c r="AJ162" s="727">
        <f t="shared" ref="AJ162:AL162" si="626">AJ56</f>
        <v>0.81577331256318353</v>
      </c>
      <c r="AK162" s="727">
        <f t="shared" si="626"/>
        <v>0.65873694989477061</v>
      </c>
      <c r="AL162" s="728">
        <f t="shared" si="626"/>
        <v>0.5319300870400272</v>
      </c>
      <c r="AM162" s="727">
        <f t="shared" ref="AM162:AP162" si="627">AM56</f>
        <v>0.42953354528482196</v>
      </c>
      <c r="AN162" s="727">
        <f t="shared" si="627"/>
        <v>0.34684833781749363</v>
      </c>
      <c r="AO162" s="727">
        <f t="shared" si="627"/>
        <v>0.28008003278762611</v>
      </c>
      <c r="AP162" s="728">
        <f t="shared" si="627"/>
        <v>0.22616462647600807</v>
      </c>
      <c r="AQ162" s="830"/>
      <c r="AS162" s="729">
        <f>SUM(C162:F162)</f>
        <v>0</v>
      </c>
      <c r="AT162" s="729">
        <f>SUM(G162:J162)</f>
        <v>867.26592921332519</v>
      </c>
      <c r="AU162" s="729">
        <f>SUM(K162:N162)</f>
        <v>530.68744202795017</v>
      </c>
      <c r="AV162" s="729">
        <f>SUM(O162:R162)</f>
        <v>209.6319851995313</v>
      </c>
      <c r="AW162" s="782">
        <f>SUM(S162:V162)</f>
        <v>72.496081700425819</v>
      </c>
      <c r="AX162" s="782">
        <f>SUM(W162:Z162)</f>
        <v>30.823692132152669</v>
      </c>
      <c r="AY162" s="782">
        <f>SUM(AA162:AD162)</f>
        <v>13.737131356018125</v>
      </c>
      <c r="AZ162" s="729">
        <f>SUM(AE162:AH162)</f>
        <v>7.0951237533281271</v>
      </c>
      <c r="BA162" s="729">
        <f>SUM(AI162:AL162)</f>
        <v>3.0064403494979812</v>
      </c>
      <c r="BB162" s="729">
        <f>SUM(AM162:AP162)</f>
        <v>1.2826265423659498</v>
      </c>
    </row>
    <row r="163" spans="2:54" s="721" customFormat="1">
      <c r="B163" s="749" t="s">
        <v>437</v>
      </c>
      <c r="C163" s="827"/>
      <c r="D163" s="828"/>
      <c r="E163" s="828"/>
      <c r="F163" s="829"/>
      <c r="G163" s="827"/>
      <c r="H163" s="828"/>
      <c r="I163" s="828"/>
      <c r="J163" s="829"/>
      <c r="K163" s="827"/>
      <c r="L163" s="828"/>
      <c r="M163" s="828"/>
      <c r="N163" s="829"/>
      <c r="O163" s="726">
        <f>O89</f>
        <v>404</v>
      </c>
      <c r="P163" s="727">
        <f>P89</f>
        <v>292</v>
      </c>
      <c r="Q163" s="727">
        <f>Q89</f>
        <v>353</v>
      </c>
      <c r="R163" s="728">
        <f>R89</f>
        <v>326</v>
      </c>
      <c r="S163" s="726"/>
      <c r="T163" s="727"/>
      <c r="U163" s="727"/>
      <c r="V163" s="728"/>
      <c r="W163" s="726"/>
      <c r="X163" s="727"/>
      <c r="Y163" s="727"/>
      <c r="Z163" s="728"/>
      <c r="AA163" s="726"/>
      <c r="AB163" s="727"/>
      <c r="AC163" s="727"/>
      <c r="AD163" s="1063"/>
      <c r="AE163" s="726"/>
      <c r="AF163" s="727"/>
      <c r="AG163" s="727"/>
      <c r="AH163" s="1238"/>
      <c r="AI163" s="727"/>
      <c r="AJ163" s="727"/>
      <c r="AK163" s="727"/>
      <c r="AL163" s="728"/>
      <c r="AM163" s="727"/>
      <c r="AN163" s="727"/>
      <c r="AO163" s="727"/>
      <c r="AP163" s="728"/>
      <c r="AQ163" s="830"/>
      <c r="AS163" s="831"/>
      <c r="AT163" s="831"/>
      <c r="AU163" s="831"/>
      <c r="AV163" s="831"/>
      <c r="AW163" s="831"/>
      <c r="AX163" s="831"/>
      <c r="AY163" s="831"/>
      <c r="AZ163" s="831"/>
      <c r="BA163" s="831"/>
      <c r="BB163" s="831"/>
    </row>
    <row r="164" spans="2:54" s="721" customFormat="1">
      <c r="B164" s="749" t="s">
        <v>438</v>
      </c>
      <c r="C164" s="827"/>
      <c r="D164" s="828"/>
      <c r="E164" s="828"/>
      <c r="F164" s="829"/>
      <c r="G164" s="827"/>
      <c r="H164" s="828"/>
      <c r="I164" s="828"/>
      <c r="J164" s="829"/>
      <c r="K164" s="726"/>
      <c r="L164" s="727"/>
      <c r="M164" s="727"/>
      <c r="N164" s="728"/>
      <c r="O164" s="726">
        <f>O173</f>
        <v>182.5</v>
      </c>
      <c r="P164" s="727">
        <f t="shared" ref="P164:R164" si="628">P173</f>
        <v>217</v>
      </c>
      <c r="Q164" s="727">
        <f t="shared" si="628"/>
        <v>232</v>
      </c>
      <c r="R164" s="728">
        <f t="shared" si="628"/>
        <v>269</v>
      </c>
      <c r="S164" s="726"/>
      <c r="T164" s="727"/>
      <c r="U164" s="727"/>
      <c r="V164" s="728"/>
      <c r="W164" s="726"/>
      <c r="X164" s="727"/>
      <c r="Y164" s="727"/>
      <c r="Z164" s="728"/>
      <c r="AA164" s="726"/>
      <c r="AB164" s="727"/>
      <c r="AC164" s="727"/>
      <c r="AD164" s="1063"/>
      <c r="AE164" s="726"/>
      <c r="AF164" s="727"/>
      <c r="AG164" s="727"/>
      <c r="AH164" s="1238"/>
      <c r="AI164" s="727"/>
      <c r="AJ164" s="727"/>
      <c r="AK164" s="727"/>
      <c r="AL164" s="728"/>
      <c r="AM164" s="727"/>
      <c r="AN164" s="727"/>
      <c r="AO164" s="727"/>
      <c r="AP164" s="728"/>
      <c r="AQ164" s="830"/>
      <c r="AS164" s="831"/>
      <c r="AT164" s="831"/>
      <c r="AU164" s="831"/>
      <c r="AV164" s="831"/>
      <c r="AW164" s="831"/>
      <c r="AX164" s="831"/>
      <c r="AY164" s="831"/>
      <c r="AZ164" s="831"/>
      <c r="BA164" s="831"/>
      <c r="BB164" s="831"/>
    </row>
    <row r="165" spans="2:54" s="721" customFormat="1">
      <c r="B165" s="754" t="s">
        <v>97</v>
      </c>
      <c r="C165" s="827"/>
      <c r="D165" s="828"/>
      <c r="E165" s="828"/>
      <c r="F165" s="829"/>
      <c r="G165" s="827"/>
      <c r="H165" s="828"/>
      <c r="I165" s="828"/>
      <c r="J165" s="829"/>
      <c r="K165" s="827"/>
      <c r="L165" s="810"/>
      <c r="M165" s="810"/>
      <c r="N165" s="811"/>
      <c r="O165" s="726"/>
      <c r="P165" s="727"/>
      <c r="Q165" s="727"/>
      <c r="R165" s="728"/>
      <c r="S165" s="726"/>
      <c r="T165" s="727"/>
      <c r="U165" s="727"/>
      <c r="V165" s="728"/>
      <c r="W165" s="726"/>
      <c r="X165" s="727"/>
      <c r="Y165" s="727"/>
      <c r="Z165" s="728"/>
      <c r="AA165" s="726"/>
      <c r="AB165" s="727"/>
      <c r="AC165" s="727"/>
      <c r="AD165" s="1063"/>
      <c r="AE165" s="726"/>
      <c r="AF165" s="727"/>
      <c r="AG165" s="727"/>
      <c r="AH165" s="1238"/>
      <c r="AI165" s="727"/>
      <c r="AJ165" s="727"/>
      <c r="AK165" s="727"/>
      <c r="AL165" s="728"/>
      <c r="AM165" s="727"/>
      <c r="AN165" s="727"/>
      <c r="AO165" s="727"/>
      <c r="AP165" s="728"/>
      <c r="AQ165" s="830"/>
      <c r="AS165" s="831"/>
      <c r="AT165" s="831"/>
      <c r="AU165" s="831"/>
      <c r="AV165" s="831"/>
      <c r="AW165" s="831"/>
      <c r="AX165" s="831"/>
      <c r="AY165" s="831"/>
      <c r="AZ165" s="831"/>
      <c r="BA165" s="831"/>
      <c r="BB165" s="831"/>
    </row>
    <row r="166" spans="2:54" s="721" customFormat="1">
      <c r="B166" s="749" t="s">
        <v>439</v>
      </c>
      <c r="C166" s="827"/>
      <c r="D166" s="828"/>
      <c r="E166" s="828"/>
      <c r="F166" s="829"/>
      <c r="G166" s="827"/>
      <c r="H166" s="828"/>
      <c r="I166" s="828"/>
      <c r="J166" s="829"/>
      <c r="K166" s="726"/>
      <c r="L166" s="727"/>
      <c r="M166" s="727"/>
      <c r="N166" s="728"/>
      <c r="O166" s="726">
        <f>O176</f>
        <v>182.5</v>
      </c>
      <c r="P166" s="727">
        <f t="shared" ref="P166:R166" si="629">P176</f>
        <v>217</v>
      </c>
      <c r="Q166" s="727">
        <f t="shared" si="629"/>
        <v>232</v>
      </c>
      <c r="R166" s="728">
        <f t="shared" si="629"/>
        <v>269</v>
      </c>
      <c r="S166" s="726"/>
      <c r="T166" s="727"/>
      <c r="U166" s="727"/>
      <c r="V166" s="728"/>
      <c r="W166" s="726"/>
      <c r="X166" s="727"/>
      <c r="Y166" s="727"/>
      <c r="Z166" s="728"/>
      <c r="AA166" s="726"/>
      <c r="AB166" s="727"/>
      <c r="AC166" s="727"/>
      <c r="AD166" s="1063"/>
      <c r="AE166" s="726"/>
      <c r="AF166" s="727"/>
      <c r="AG166" s="727"/>
      <c r="AH166" s="1238"/>
      <c r="AI166" s="727"/>
      <c r="AJ166" s="727"/>
      <c r="AK166" s="727"/>
      <c r="AL166" s="728"/>
      <c r="AM166" s="727"/>
      <c r="AN166" s="727"/>
      <c r="AO166" s="727"/>
      <c r="AP166" s="728"/>
      <c r="AQ166" s="830"/>
      <c r="AS166" s="831"/>
      <c r="AT166" s="831"/>
      <c r="AU166" s="831"/>
      <c r="AV166" s="831"/>
      <c r="AW166" s="831"/>
      <c r="AX166" s="831"/>
      <c r="AY166" s="831"/>
      <c r="AZ166" s="831"/>
      <c r="BA166" s="831"/>
      <c r="BB166" s="831"/>
    </row>
    <row r="167" spans="2:54" s="721" customFormat="1">
      <c r="B167" s="754" t="s">
        <v>97</v>
      </c>
      <c r="C167" s="827"/>
      <c r="D167" s="828"/>
      <c r="E167" s="828"/>
      <c r="F167" s="829"/>
      <c r="G167" s="827"/>
      <c r="H167" s="828"/>
      <c r="I167" s="828"/>
      <c r="J167" s="829"/>
      <c r="K167" s="827"/>
      <c r="L167" s="810"/>
      <c r="M167" s="810"/>
      <c r="N167" s="811"/>
      <c r="O167" s="726"/>
      <c r="P167" s="727"/>
      <c r="Q167" s="727"/>
      <c r="R167" s="728"/>
      <c r="S167" s="726"/>
      <c r="T167" s="727"/>
      <c r="U167" s="727"/>
      <c r="V167" s="728"/>
      <c r="W167" s="726"/>
      <c r="X167" s="727"/>
      <c r="Y167" s="727"/>
      <c r="Z167" s="728"/>
      <c r="AA167" s="726"/>
      <c r="AB167" s="727"/>
      <c r="AC167" s="727"/>
      <c r="AD167" s="1063"/>
      <c r="AE167" s="726"/>
      <c r="AF167" s="727"/>
      <c r="AG167" s="727"/>
      <c r="AH167" s="1238"/>
      <c r="AI167" s="727"/>
      <c r="AJ167" s="727"/>
      <c r="AK167" s="727"/>
      <c r="AL167" s="728"/>
      <c r="AM167" s="727"/>
      <c r="AN167" s="727"/>
      <c r="AO167" s="727"/>
      <c r="AP167" s="728"/>
      <c r="AQ167" s="830"/>
      <c r="AS167" s="831"/>
      <c r="AT167" s="831"/>
      <c r="AU167" s="831"/>
      <c r="AV167" s="831"/>
      <c r="AW167" s="831"/>
      <c r="AX167" s="831"/>
      <c r="AY167" s="831"/>
      <c r="AZ167" s="831"/>
      <c r="BA167" s="831"/>
      <c r="BB167" s="831"/>
    </row>
    <row r="168" spans="2:54" s="721" customFormat="1">
      <c r="B168" s="749"/>
      <c r="C168" s="827"/>
      <c r="D168" s="828"/>
      <c r="E168" s="828"/>
      <c r="F168" s="829"/>
      <c r="G168" s="827"/>
      <c r="H168" s="828"/>
      <c r="I168" s="828"/>
      <c r="J168" s="829"/>
      <c r="K168" s="827"/>
      <c r="L168" s="828"/>
      <c r="M168" s="828"/>
      <c r="N168" s="829"/>
      <c r="O168" s="827"/>
      <c r="P168" s="828"/>
      <c r="Q168" s="828"/>
      <c r="R168" s="829"/>
      <c r="S168" s="726"/>
      <c r="T168" s="727"/>
      <c r="U168" s="727"/>
      <c r="V168" s="728"/>
      <c r="W168" s="726"/>
      <c r="X168" s="727"/>
      <c r="Y168" s="727"/>
      <c r="Z168" s="728"/>
      <c r="AA168" s="726"/>
      <c r="AB168" s="727"/>
      <c r="AC168" s="727"/>
      <c r="AD168" s="1063"/>
      <c r="AE168" s="726"/>
      <c r="AF168" s="727"/>
      <c r="AG168" s="727"/>
      <c r="AH168" s="1238"/>
      <c r="AI168" s="727"/>
      <c r="AJ168" s="727"/>
      <c r="AK168" s="727"/>
      <c r="AL168" s="728"/>
      <c r="AM168" s="727"/>
      <c r="AN168" s="727"/>
      <c r="AO168" s="727"/>
      <c r="AP168" s="728"/>
      <c r="AQ168" s="830"/>
      <c r="AS168" s="831"/>
      <c r="AT168" s="831"/>
      <c r="AU168" s="831"/>
      <c r="AV168" s="831"/>
      <c r="AW168" s="831"/>
      <c r="AX168" s="831"/>
      <c r="AY168" s="831"/>
      <c r="AZ168" s="831"/>
      <c r="BA168" s="831"/>
      <c r="BB168" s="831"/>
    </row>
    <row r="169" spans="2:54" s="745" customFormat="1">
      <c r="B169" s="741" t="s">
        <v>440</v>
      </c>
      <c r="C169" s="742">
        <f>C272</f>
        <v>375</v>
      </c>
      <c r="D169" s="743">
        <f t="shared" ref="D169:R169" si="630">D272</f>
        <v>417</v>
      </c>
      <c r="E169" s="743">
        <f t="shared" si="630"/>
        <v>495</v>
      </c>
      <c r="F169" s="744">
        <f t="shared" si="630"/>
        <v>497</v>
      </c>
      <c r="G169" s="742">
        <f t="shared" si="630"/>
        <v>1149</v>
      </c>
      <c r="H169" s="743">
        <f t="shared" si="630"/>
        <v>1389</v>
      </c>
      <c r="I169" s="743">
        <f t="shared" si="630"/>
        <v>1368</v>
      </c>
      <c r="J169" s="744">
        <f t="shared" si="630"/>
        <v>1099</v>
      </c>
      <c r="K169" s="742">
        <f>K272</f>
        <v>1075</v>
      </c>
      <c r="L169" s="743">
        <f t="shared" si="630"/>
        <v>1108</v>
      </c>
      <c r="M169" s="743">
        <f t="shared" si="630"/>
        <v>1177</v>
      </c>
      <c r="N169" s="744">
        <f t="shared" si="630"/>
        <v>1018</v>
      </c>
      <c r="O169" s="742">
        <f>O272</f>
        <v>978</v>
      </c>
      <c r="P169" s="743">
        <f t="shared" si="630"/>
        <v>942</v>
      </c>
      <c r="Q169" s="743">
        <f t="shared" si="630"/>
        <v>1067</v>
      </c>
      <c r="R169" s="744">
        <f t="shared" si="630"/>
        <v>1105</v>
      </c>
      <c r="S169" s="742"/>
      <c r="T169" s="743"/>
      <c r="U169" s="743"/>
      <c r="V169" s="744"/>
      <c r="W169" s="742"/>
      <c r="X169" s="743"/>
      <c r="Y169" s="743"/>
      <c r="Z169" s="744"/>
      <c r="AA169" s="742"/>
      <c r="AB169" s="743"/>
      <c r="AC169" s="743"/>
      <c r="AD169" s="744"/>
      <c r="AE169" s="742"/>
      <c r="AF169" s="743"/>
      <c r="AG169" s="743"/>
      <c r="AH169" s="744"/>
      <c r="AI169" s="743"/>
      <c r="AJ169" s="743"/>
      <c r="AK169" s="743"/>
      <c r="AL169" s="744"/>
      <c r="AM169" s="743"/>
      <c r="AN169" s="743"/>
      <c r="AO169" s="743"/>
      <c r="AP169" s="744"/>
      <c r="AQ169" s="746"/>
      <c r="AS169" s="747">
        <f>SUM(C169:F169)</f>
        <v>1784</v>
      </c>
      <c r="AT169" s="747">
        <f>SUM(G169:J169)</f>
        <v>5005</v>
      </c>
      <c r="AU169" s="747">
        <f>SUM(K169:N169)</f>
        <v>4378</v>
      </c>
      <c r="AV169" s="747">
        <f>SUM(O169:R169)</f>
        <v>4092</v>
      </c>
      <c r="AW169" s="747">
        <f>SUM(S169:V169)</f>
        <v>0</v>
      </c>
      <c r="AX169" s="747">
        <f>SUM(W169:Z169)</f>
        <v>0</v>
      </c>
      <c r="AY169" s="747">
        <f>SUM(AA169:AD169)</f>
        <v>0</v>
      </c>
      <c r="AZ169" s="747">
        <f>SUM(AE169:AH169)</f>
        <v>0</v>
      </c>
      <c r="BA169" s="747">
        <f>SUM(AI169:AL169)</f>
        <v>0</v>
      </c>
      <c r="BB169" s="747">
        <f>SUM(AM169:AP169)</f>
        <v>0</v>
      </c>
    </row>
    <row r="170" spans="2:54" s="721" customFormat="1">
      <c r="B170" s="749" t="s">
        <v>356</v>
      </c>
      <c r="C170" s="827">
        <f t="shared" ref="C170:M170" si="631">C160+C162-C169</f>
        <v>0</v>
      </c>
      <c r="D170" s="828">
        <f t="shared" si="631"/>
        <v>0</v>
      </c>
      <c r="E170" s="828">
        <f t="shared" si="631"/>
        <v>0</v>
      </c>
      <c r="F170" s="829">
        <f t="shared" si="631"/>
        <v>0</v>
      </c>
      <c r="G170" s="827">
        <f t="shared" si="631"/>
        <v>0</v>
      </c>
      <c r="H170" s="828">
        <f t="shared" si="631"/>
        <v>0</v>
      </c>
      <c r="I170" s="828">
        <f t="shared" si="631"/>
        <v>0</v>
      </c>
      <c r="J170" s="829">
        <f t="shared" si="631"/>
        <v>0</v>
      </c>
      <c r="K170" s="827">
        <f t="shared" si="631"/>
        <v>0</v>
      </c>
      <c r="L170" s="828">
        <f t="shared" si="631"/>
        <v>0</v>
      </c>
      <c r="M170" s="828">
        <f t="shared" si="631"/>
        <v>0</v>
      </c>
      <c r="N170" s="829">
        <f>N160+N162-N169</f>
        <v>0</v>
      </c>
      <c r="O170" s="827">
        <f t="shared" ref="O170:Q170" si="632">SUM(O160:O166)-O169</f>
        <v>0</v>
      </c>
      <c r="P170" s="828">
        <f t="shared" si="632"/>
        <v>0</v>
      </c>
      <c r="Q170" s="828">
        <f t="shared" si="632"/>
        <v>0</v>
      </c>
      <c r="R170" s="829">
        <f>SUM(R160:R166)-R169</f>
        <v>0</v>
      </c>
      <c r="S170" s="853"/>
      <c r="T170" s="854"/>
      <c r="U170" s="854"/>
      <c r="V170" s="855"/>
      <c r="W170" s="827"/>
      <c r="X170" s="828"/>
      <c r="Y170" s="828"/>
      <c r="Z170" s="829"/>
      <c r="AA170" s="827"/>
      <c r="AB170" s="828"/>
      <c r="AC170" s="828"/>
      <c r="AD170" s="1079"/>
      <c r="AE170" s="827"/>
      <c r="AF170" s="828"/>
      <c r="AG170" s="828"/>
      <c r="AH170" s="1252"/>
      <c r="AI170" s="828"/>
      <c r="AJ170" s="828"/>
      <c r="AK170" s="828"/>
      <c r="AL170" s="829"/>
      <c r="AM170" s="828"/>
      <c r="AN170" s="828"/>
      <c r="AO170" s="828"/>
      <c r="AP170" s="829"/>
      <c r="AQ170" s="830"/>
      <c r="AS170" s="732"/>
      <c r="AT170" s="732"/>
      <c r="AU170" s="732"/>
      <c r="AV170" s="732"/>
      <c r="AW170" s="732"/>
      <c r="AX170" s="732"/>
      <c r="AY170" s="732"/>
      <c r="AZ170" s="732"/>
      <c r="BA170" s="732"/>
      <c r="BB170" s="732"/>
    </row>
    <row r="171" spans="2:54" s="721" customFormat="1">
      <c r="B171" s="832"/>
      <c r="C171" s="827"/>
      <c r="D171" s="828"/>
      <c r="E171" s="828"/>
      <c r="F171" s="829"/>
      <c r="G171" s="827"/>
      <c r="H171" s="828"/>
      <c r="I171" s="828"/>
      <c r="J171" s="829"/>
      <c r="K171" s="827"/>
      <c r="L171" s="828"/>
      <c r="M171" s="828"/>
      <c r="N171" s="829"/>
      <c r="O171" s="827"/>
      <c r="P171" s="828"/>
      <c r="Q171" s="828"/>
      <c r="R171" s="829"/>
      <c r="S171" s="827"/>
      <c r="T171" s="828"/>
      <c r="U171" s="828"/>
      <c r="V171" s="829"/>
      <c r="W171" s="827"/>
      <c r="X171" s="828"/>
      <c r="Y171" s="828"/>
      <c r="Z171" s="829"/>
      <c r="AA171" s="720"/>
      <c r="AD171" s="1064"/>
      <c r="AE171" s="720"/>
      <c r="AH171" s="1237"/>
      <c r="AL171" s="722"/>
      <c r="AP171" s="722"/>
      <c r="AQ171" s="830"/>
      <c r="AS171" s="831"/>
      <c r="AT171" s="831"/>
      <c r="AU171" s="831"/>
      <c r="AV171" s="831"/>
      <c r="AW171" s="831"/>
      <c r="AX171" s="831"/>
      <c r="AY171" s="831"/>
      <c r="AZ171" s="831"/>
      <c r="BA171" s="831"/>
      <c r="BB171" s="831"/>
    </row>
    <row r="172" spans="2:54" s="721" customFormat="1">
      <c r="B172" s="750" t="s">
        <v>362</v>
      </c>
      <c r="C172" s="751"/>
      <c r="D172" s="752"/>
      <c r="E172" s="752"/>
      <c r="F172" s="753"/>
      <c r="G172" s="751"/>
      <c r="H172" s="752"/>
      <c r="I172" s="752"/>
      <c r="J172" s="753"/>
      <c r="K172" s="751"/>
      <c r="L172" s="752"/>
      <c r="M172" s="752"/>
      <c r="N172" s="753"/>
      <c r="O172" s="751"/>
      <c r="P172" s="752"/>
      <c r="Q172" s="752"/>
      <c r="R172" s="753"/>
      <c r="S172" s="751"/>
      <c r="T172" s="752"/>
      <c r="U172" s="752"/>
      <c r="V172" s="753"/>
      <c r="W172" s="751"/>
      <c r="X172" s="752"/>
      <c r="Y172" s="752"/>
      <c r="Z172" s="753"/>
      <c r="AA172" s="751"/>
      <c r="AB172" s="752"/>
      <c r="AC172" s="752"/>
      <c r="AD172" s="1069"/>
      <c r="AE172" s="751"/>
      <c r="AF172" s="752"/>
      <c r="AG172" s="752"/>
      <c r="AH172" s="1242"/>
      <c r="AI172" s="752"/>
      <c r="AJ172" s="752"/>
      <c r="AK172" s="752"/>
      <c r="AL172" s="753"/>
      <c r="AM172" s="752"/>
      <c r="AN172" s="752"/>
      <c r="AO172" s="752"/>
      <c r="AP172" s="753"/>
      <c r="AQ172" s="830"/>
      <c r="AS172" s="831"/>
      <c r="AT172" s="831"/>
      <c r="AU172" s="831"/>
      <c r="AV172" s="831"/>
      <c r="AW172" s="831"/>
      <c r="AX172" s="831"/>
      <c r="AY172" s="831"/>
      <c r="AZ172" s="831"/>
      <c r="BA172" s="831"/>
      <c r="BB172" s="831"/>
    </row>
    <row r="173" spans="2:54" s="721" customFormat="1">
      <c r="B173" s="832" t="s">
        <v>441</v>
      </c>
      <c r="C173" s="827"/>
      <c r="D173" s="828"/>
      <c r="E173" s="828"/>
      <c r="F173" s="829"/>
      <c r="G173" s="827"/>
      <c r="H173" s="828"/>
      <c r="I173" s="828"/>
      <c r="J173" s="829"/>
      <c r="K173" s="827"/>
      <c r="L173" s="828"/>
      <c r="M173" s="828"/>
      <c r="N173" s="829"/>
      <c r="O173" s="726">
        <f t="shared" ref="O173:Q173" si="633">(O185)*0.5</f>
        <v>182.5</v>
      </c>
      <c r="P173" s="727">
        <f t="shared" si="633"/>
        <v>217</v>
      </c>
      <c r="Q173" s="727">
        <f t="shared" si="633"/>
        <v>232</v>
      </c>
      <c r="R173" s="728">
        <f>(R185)*0.5</f>
        <v>269</v>
      </c>
      <c r="S173" s="726">
        <f>(S185-S179)*0.5</f>
        <v>196</v>
      </c>
      <c r="T173" s="727">
        <f t="shared" ref="T173:AA173" si="634">(T185-T179)*0.5</f>
        <v>227</v>
      </c>
      <c r="U173" s="727">
        <f t="shared" si="634"/>
        <v>228</v>
      </c>
      <c r="V173" s="728">
        <f t="shared" si="634"/>
        <v>247</v>
      </c>
      <c r="W173" s="726">
        <f t="shared" si="634"/>
        <v>231</v>
      </c>
      <c r="X173" s="727">
        <f t="shared" si="634"/>
        <v>243.5</v>
      </c>
      <c r="Y173" s="727">
        <f t="shared" si="634"/>
        <v>250.5</v>
      </c>
      <c r="Z173" s="728">
        <f t="shared" si="634"/>
        <v>263</v>
      </c>
      <c r="AA173" s="726">
        <f t="shared" si="634"/>
        <v>285.5</v>
      </c>
      <c r="AB173" s="727">
        <f t="shared" ref="AB173:AE173" si="635">(AB185-AB179)*0.5</f>
        <v>248.5</v>
      </c>
      <c r="AC173" s="727">
        <f t="shared" si="635"/>
        <v>302.5</v>
      </c>
      <c r="AD173" s="1063">
        <f t="shared" si="635"/>
        <v>308.5</v>
      </c>
      <c r="AE173" s="726">
        <f t="shared" si="635"/>
        <v>316</v>
      </c>
      <c r="AF173" s="727">
        <f t="shared" ref="AF173:AI173" si="636">(AF185-AF179)*0.5</f>
        <v>307</v>
      </c>
      <c r="AG173" s="727">
        <f t="shared" si="636"/>
        <v>340</v>
      </c>
      <c r="AH173" s="1238">
        <f t="shared" si="636"/>
        <v>359.5</v>
      </c>
      <c r="AI173" s="726">
        <f t="shared" si="636"/>
        <v>359.5</v>
      </c>
      <c r="AJ173" s="727">
        <f t="shared" ref="AJ173" si="637">AI173*(1+AJ174)</f>
        <v>363.09500000000003</v>
      </c>
      <c r="AK173" s="727">
        <f t="shared" ref="AK173" si="638">AJ173*(1+AK174)</f>
        <v>410.29734999999999</v>
      </c>
      <c r="AL173" s="728">
        <f t="shared" ref="AL173" si="639">AK173*(1+AL174)</f>
        <v>434.91519099999999</v>
      </c>
      <c r="AM173" s="727">
        <f t="shared" ref="AM173" si="640">AL173*(1+AM174)</f>
        <v>439.26434290999998</v>
      </c>
      <c r="AN173" s="727">
        <f t="shared" ref="AN173" si="641">AM173*(1+AN174)</f>
        <v>430.4790560518</v>
      </c>
      <c r="AO173" s="727">
        <f t="shared" ref="AO173" si="642">AN173*(1+AO174)</f>
        <v>452.00300885439003</v>
      </c>
      <c r="AP173" s="728">
        <f t="shared" ref="AP173" si="643">AO173*(1+AP174)</f>
        <v>461.04306903147784</v>
      </c>
      <c r="AQ173" s="830"/>
      <c r="AS173" s="729">
        <f>SUM(C173:F173)</f>
        <v>0</v>
      </c>
      <c r="AT173" s="729">
        <f>SUM(G173:J173)</f>
        <v>0</v>
      </c>
      <c r="AU173" s="729">
        <f>SUM(K173:N173)</f>
        <v>0</v>
      </c>
      <c r="AV173" s="729">
        <f>SUM(O173:R173)</f>
        <v>900.5</v>
      </c>
      <c r="AW173" s="782">
        <f>SUM(S173:V173)</f>
        <v>898</v>
      </c>
      <c r="AX173" s="782">
        <f>SUM(W173:Z173)</f>
        <v>988</v>
      </c>
      <c r="AY173" s="782">
        <f>SUM(AA173:AD173)</f>
        <v>1145</v>
      </c>
      <c r="AZ173" s="782">
        <f>SUM(AE173:AH173)</f>
        <v>1322.5</v>
      </c>
      <c r="BA173" s="782">
        <f>SUM(AI173:AL173)</f>
        <v>1567.8075410000001</v>
      </c>
      <c r="BB173" s="782">
        <f>SUM(AM173:AP173)</f>
        <v>1782.7894768476681</v>
      </c>
    </row>
    <row r="174" spans="2:54" s="721" customFormat="1">
      <c r="B174" s="754" t="s">
        <v>97</v>
      </c>
      <c r="C174" s="827"/>
      <c r="D174" s="828"/>
      <c r="E174" s="828"/>
      <c r="F174" s="829"/>
      <c r="G174" s="827"/>
      <c r="H174" s="828"/>
      <c r="I174" s="828"/>
      <c r="J174" s="829"/>
      <c r="K174" s="827"/>
      <c r="L174" s="828"/>
      <c r="M174" s="828"/>
      <c r="N174" s="829"/>
      <c r="O174" s="726"/>
      <c r="P174" s="846">
        <f>P173/O173-1</f>
        <v>0.18904109589041096</v>
      </c>
      <c r="Q174" s="856">
        <f t="shared" ref="Q174:S174" si="644">Q173/P173-1</f>
        <v>6.9124423963133674E-2</v>
      </c>
      <c r="R174" s="843">
        <f t="shared" si="644"/>
        <v>0.15948275862068972</v>
      </c>
      <c r="S174" s="834">
        <f t="shared" si="644"/>
        <v>-0.27137546468401486</v>
      </c>
      <c r="T174" s="846">
        <f>T173/S173-1</f>
        <v>0.15816326530612246</v>
      </c>
      <c r="U174" s="856">
        <f t="shared" ref="U174:AI174" si="645">U173/T173-1</f>
        <v>4.405286343612369E-3</v>
      </c>
      <c r="V174" s="843">
        <f t="shared" si="645"/>
        <v>8.3333333333333259E-2</v>
      </c>
      <c r="W174" s="834">
        <f t="shared" si="645"/>
        <v>-6.4777327935222617E-2</v>
      </c>
      <c r="X174" s="810">
        <f t="shared" si="645"/>
        <v>5.4112554112554223E-2</v>
      </c>
      <c r="Y174" s="810">
        <f t="shared" si="645"/>
        <v>2.8747433264887157E-2</v>
      </c>
      <c r="Z174" s="811">
        <f t="shared" si="645"/>
        <v>4.9900199600798389E-2</v>
      </c>
      <c r="AA174" s="857">
        <f t="shared" si="645"/>
        <v>8.5551330798478986E-2</v>
      </c>
      <c r="AB174" s="998">
        <f t="shared" si="645"/>
        <v>-0.12959719789842383</v>
      </c>
      <c r="AC174" s="998">
        <f t="shared" si="645"/>
        <v>0.21730382293762585</v>
      </c>
      <c r="AD174" s="1080">
        <f t="shared" si="645"/>
        <v>1.983471074380172E-2</v>
      </c>
      <c r="AE174" s="857">
        <f t="shared" si="645"/>
        <v>2.4311183144246407E-2</v>
      </c>
      <c r="AF174" s="998">
        <f t="shared" si="645"/>
        <v>-2.8481012658227889E-2</v>
      </c>
      <c r="AG174" s="998">
        <f t="shared" si="645"/>
        <v>0.10749185667752448</v>
      </c>
      <c r="AH174" s="1255">
        <f t="shared" si="645"/>
        <v>5.7352941176470607E-2</v>
      </c>
      <c r="AI174" s="857">
        <f t="shared" si="645"/>
        <v>0</v>
      </c>
      <c r="AJ174" s="772">
        <v>0.01</v>
      </c>
      <c r="AK174" s="772">
        <v>0.13</v>
      </c>
      <c r="AL174" s="773">
        <v>0.06</v>
      </c>
      <c r="AM174" s="772">
        <v>0.01</v>
      </c>
      <c r="AN174" s="772">
        <v>-0.02</v>
      </c>
      <c r="AO174" s="772">
        <v>0.05</v>
      </c>
      <c r="AP174" s="773">
        <v>0.02</v>
      </c>
      <c r="AQ174" s="830"/>
      <c r="AS174" s="831"/>
      <c r="AT174" s="831"/>
      <c r="AU174" s="831"/>
      <c r="AV174" s="831"/>
      <c r="AW174" s="756">
        <f t="shared" ref="AW174:BB174" si="646">AW173/AV173-1</f>
        <v>-2.7762354247640175E-3</v>
      </c>
      <c r="AX174" s="756">
        <f t="shared" si="646"/>
        <v>0.10022271714922049</v>
      </c>
      <c r="AY174" s="756">
        <f t="shared" si="646"/>
        <v>0.15890688259109309</v>
      </c>
      <c r="AZ174" s="756">
        <f t="shared" si="646"/>
        <v>0.15502183406113534</v>
      </c>
      <c r="BA174" s="756">
        <f t="shared" si="646"/>
        <v>0.18548774366729681</v>
      </c>
      <c r="BB174" s="756">
        <f t="shared" si="646"/>
        <v>0.13712265710276239</v>
      </c>
    </row>
    <row r="175" spans="2:54" s="721" customFormat="1">
      <c r="C175" s="827"/>
      <c r="D175" s="828"/>
      <c r="E175" s="828"/>
      <c r="F175" s="829"/>
      <c r="G175" s="827"/>
      <c r="H175" s="828"/>
      <c r="I175" s="828"/>
      <c r="J175" s="829"/>
      <c r="K175" s="827"/>
      <c r="L175" s="828"/>
      <c r="M175" s="828"/>
      <c r="N175" s="829"/>
      <c r="O175" s="726"/>
      <c r="P175" s="727"/>
      <c r="Q175" s="727"/>
      <c r="R175" s="728"/>
      <c r="S175" s="726"/>
      <c r="T175" s="727"/>
      <c r="U175" s="727"/>
      <c r="V175" s="728"/>
      <c r="W175" s="726"/>
      <c r="X175" s="727"/>
      <c r="Y175" s="727"/>
      <c r="Z175" s="728"/>
      <c r="AA175" s="726"/>
      <c r="AB175" s="995"/>
      <c r="AC175" s="995"/>
      <c r="AD175" s="1075"/>
      <c r="AE175" s="726"/>
      <c r="AF175" s="995"/>
      <c r="AG175" s="995"/>
      <c r="AH175" s="1256"/>
      <c r="AI175" s="726"/>
      <c r="AL175" s="722"/>
      <c r="AP175" s="722"/>
      <c r="AQ175" s="830"/>
      <c r="AS175" s="831"/>
      <c r="AT175" s="831"/>
      <c r="AU175" s="831"/>
      <c r="AV175" s="831"/>
      <c r="AW175" s="831"/>
      <c r="AX175" s="831"/>
      <c r="AY175" s="831"/>
      <c r="AZ175" s="831"/>
      <c r="BA175" s="831"/>
      <c r="BB175" s="831"/>
    </row>
    <row r="176" spans="2:54" s="721" customFormat="1">
      <c r="B176" s="832" t="s">
        <v>442</v>
      </c>
      <c r="C176" s="827"/>
      <c r="D176" s="828"/>
      <c r="E176" s="828"/>
      <c r="F176" s="829"/>
      <c r="G176" s="827"/>
      <c r="H176" s="828"/>
      <c r="I176" s="828"/>
      <c r="J176" s="829"/>
      <c r="K176" s="827"/>
      <c r="L176" s="828"/>
      <c r="M176" s="828"/>
      <c r="N176" s="829"/>
      <c r="O176" s="726">
        <f>(O185)*0.5</f>
        <v>182.5</v>
      </c>
      <c r="P176" s="727">
        <f t="shared" ref="P176:R176" si="647">(P185)*0.5</f>
        <v>217</v>
      </c>
      <c r="Q176" s="727">
        <f t="shared" si="647"/>
        <v>232</v>
      </c>
      <c r="R176" s="728">
        <f t="shared" si="647"/>
        <v>269</v>
      </c>
      <c r="S176" s="726">
        <f>(S185-S179)*0.5</f>
        <v>196</v>
      </c>
      <c r="T176" s="727">
        <f t="shared" ref="T176:AA176" si="648">(T185-T179)*0.5</f>
        <v>227</v>
      </c>
      <c r="U176" s="727">
        <f t="shared" si="648"/>
        <v>228</v>
      </c>
      <c r="V176" s="728">
        <f t="shared" si="648"/>
        <v>247</v>
      </c>
      <c r="W176" s="726">
        <f t="shared" si="648"/>
        <v>231</v>
      </c>
      <c r="X176" s="727">
        <f t="shared" si="648"/>
        <v>243.5</v>
      </c>
      <c r="Y176" s="727">
        <f t="shared" si="648"/>
        <v>250.5</v>
      </c>
      <c r="Z176" s="728">
        <f t="shared" si="648"/>
        <v>263</v>
      </c>
      <c r="AA176" s="726">
        <f t="shared" si="648"/>
        <v>285.5</v>
      </c>
      <c r="AB176" s="997">
        <f t="shared" ref="AB176:AE176" si="649">(AB185-AB179)*0.5</f>
        <v>248.5</v>
      </c>
      <c r="AC176" s="997">
        <f t="shared" si="649"/>
        <v>302.5</v>
      </c>
      <c r="AD176" s="1081">
        <f t="shared" si="649"/>
        <v>308.5</v>
      </c>
      <c r="AE176" s="726">
        <f t="shared" si="649"/>
        <v>316</v>
      </c>
      <c r="AF176" s="997">
        <f t="shared" ref="AF176:AI176" si="650">(AF185-AF179)*0.5</f>
        <v>307</v>
      </c>
      <c r="AG176" s="997">
        <f t="shared" si="650"/>
        <v>340</v>
      </c>
      <c r="AH176" s="1257">
        <f t="shared" si="650"/>
        <v>359.5</v>
      </c>
      <c r="AI176" s="726">
        <f t="shared" si="650"/>
        <v>359.5</v>
      </c>
      <c r="AJ176" s="727">
        <f t="shared" ref="AJ176" si="651">AI176*(1+AJ177)</f>
        <v>363.09500000000003</v>
      </c>
      <c r="AK176" s="727">
        <f t="shared" ref="AK176" si="652">AJ176*(1+AK177)</f>
        <v>410.29734999999999</v>
      </c>
      <c r="AL176" s="728">
        <f t="shared" ref="AL176" si="653">AK176*(1+AL177)</f>
        <v>430.81221750000003</v>
      </c>
      <c r="AM176" s="727">
        <f t="shared" ref="AM176" si="654">AL176*(1+AM177)</f>
        <v>435.12033967500003</v>
      </c>
      <c r="AN176" s="727">
        <f t="shared" ref="AN176" si="655">AM176*(1+AN177)</f>
        <v>426.41793288150001</v>
      </c>
      <c r="AO176" s="727">
        <f t="shared" ref="AO176" si="656">AN176*(1+AO177)</f>
        <v>447.738829525575</v>
      </c>
      <c r="AP176" s="728">
        <f t="shared" ref="AP176" si="657">AO176*(1+AP177)</f>
        <v>456.69360611608653</v>
      </c>
      <c r="AQ176" s="830"/>
      <c r="AS176" s="729">
        <f>SUM(C176:F176)</f>
        <v>0</v>
      </c>
      <c r="AT176" s="729">
        <f>SUM(G176:J176)</f>
        <v>0</v>
      </c>
      <c r="AU176" s="729">
        <f>SUM(K176:N176)</f>
        <v>0</v>
      </c>
      <c r="AV176" s="729">
        <f>SUM(O176:R176)</f>
        <v>900.5</v>
      </c>
      <c r="AW176" s="782">
        <f>SUM(S176:V176)</f>
        <v>898</v>
      </c>
      <c r="AX176" s="782">
        <f>SUM(W176:Z176)</f>
        <v>988</v>
      </c>
      <c r="AY176" s="782">
        <f>SUM(AA176:AD176)</f>
        <v>1145</v>
      </c>
      <c r="AZ176" s="782">
        <f>SUM(AE176:AH176)</f>
        <v>1322.5</v>
      </c>
      <c r="BA176" s="782">
        <f>SUM(AI176:AL176)</f>
        <v>1563.7045675000002</v>
      </c>
      <c r="BB176" s="782">
        <f>SUM(AM176:AP176)</f>
        <v>1765.9707081981617</v>
      </c>
    </row>
    <row r="177" spans="2:54" s="721" customFormat="1">
      <c r="B177" s="754" t="s">
        <v>97</v>
      </c>
      <c r="C177" s="827"/>
      <c r="D177" s="828"/>
      <c r="E177" s="828"/>
      <c r="F177" s="829"/>
      <c r="G177" s="827"/>
      <c r="H177" s="828"/>
      <c r="I177" s="828"/>
      <c r="J177" s="829"/>
      <c r="K177" s="827"/>
      <c r="L177" s="828"/>
      <c r="M177" s="828"/>
      <c r="N177" s="829"/>
      <c r="O177" s="726"/>
      <c r="P177" s="846">
        <f>P176/O176-1</f>
        <v>0.18904109589041096</v>
      </c>
      <c r="Q177" s="856">
        <f t="shared" ref="Q177:S177" si="658">Q176/P176-1</f>
        <v>6.9124423963133674E-2</v>
      </c>
      <c r="R177" s="843">
        <f t="shared" si="658"/>
        <v>0.15948275862068972</v>
      </c>
      <c r="S177" s="834">
        <f t="shared" si="658"/>
        <v>-0.27137546468401486</v>
      </c>
      <c r="T177" s="846">
        <f>T176/S176-1</f>
        <v>0.15816326530612246</v>
      </c>
      <c r="U177" s="856">
        <f t="shared" ref="U177:AI177" si="659">U176/T176-1</f>
        <v>4.405286343612369E-3</v>
      </c>
      <c r="V177" s="843">
        <f t="shared" si="659"/>
        <v>8.3333333333333259E-2</v>
      </c>
      <c r="W177" s="834">
        <f t="shared" si="659"/>
        <v>-6.4777327935222617E-2</v>
      </c>
      <c r="X177" s="810">
        <f t="shared" si="659"/>
        <v>5.4112554112554223E-2</v>
      </c>
      <c r="Y177" s="810">
        <f t="shared" si="659"/>
        <v>2.8747433264887157E-2</v>
      </c>
      <c r="Z177" s="811">
        <f t="shared" si="659"/>
        <v>4.9900199600798389E-2</v>
      </c>
      <c r="AA177" s="857">
        <f t="shared" si="659"/>
        <v>8.5551330798478986E-2</v>
      </c>
      <c r="AB177" s="998">
        <f t="shared" si="659"/>
        <v>-0.12959719789842383</v>
      </c>
      <c r="AC177" s="998">
        <f t="shared" si="659"/>
        <v>0.21730382293762585</v>
      </c>
      <c r="AD177" s="1080">
        <f t="shared" si="659"/>
        <v>1.983471074380172E-2</v>
      </c>
      <c r="AE177" s="857">
        <f t="shared" si="659"/>
        <v>2.4311183144246407E-2</v>
      </c>
      <c r="AF177" s="998">
        <f t="shared" si="659"/>
        <v>-2.8481012658227889E-2</v>
      </c>
      <c r="AG177" s="998">
        <f t="shared" si="659"/>
        <v>0.10749185667752448</v>
      </c>
      <c r="AH177" s="1255">
        <f t="shared" si="659"/>
        <v>5.7352941176470607E-2</v>
      </c>
      <c r="AI177" s="857">
        <f t="shared" si="659"/>
        <v>0</v>
      </c>
      <c r="AJ177" s="772">
        <v>0.01</v>
      </c>
      <c r="AK177" s="772">
        <v>0.13</v>
      </c>
      <c r="AL177" s="773">
        <v>0.05</v>
      </c>
      <c r="AM177" s="772">
        <v>0.01</v>
      </c>
      <c r="AN177" s="772">
        <v>-0.02</v>
      </c>
      <c r="AO177" s="772">
        <v>0.05</v>
      </c>
      <c r="AP177" s="773">
        <v>0.02</v>
      </c>
      <c r="AQ177" s="830"/>
      <c r="AS177" s="831"/>
      <c r="AT177" s="831"/>
      <c r="AU177" s="831"/>
      <c r="AV177" s="831"/>
      <c r="AW177" s="756">
        <f t="shared" ref="AW177:BB177" si="660">AW176/AV176-1</f>
        <v>-2.7762354247640175E-3</v>
      </c>
      <c r="AX177" s="756">
        <f t="shared" si="660"/>
        <v>0.10022271714922049</v>
      </c>
      <c r="AY177" s="756">
        <f t="shared" si="660"/>
        <v>0.15890688259109309</v>
      </c>
      <c r="AZ177" s="756">
        <f t="shared" si="660"/>
        <v>0.15502183406113534</v>
      </c>
      <c r="BA177" s="756">
        <f t="shared" si="660"/>
        <v>0.18238530623818527</v>
      </c>
      <c r="BB177" s="756">
        <f t="shared" si="660"/>
        <v>0.1293506106601312</v>
      </c>
    </row>
    <row r="178" spans="2:54" s="721" customFormat="1">
      <c r="B178" s="832"/>
      <c r="C178" s="827"/>
      <c r="D178" s="828"/>
      <c r="E178" s="828"/>
      <c r="F178" s="829"/>
      <c r="G178" s="827"/>
      <c r="H178" s="828"/>
      <c r="I178" s="828"/>
      <c r="J178" s="829"/>
      <c r="K178" s="827"/>
      <c r="L178" s="828"/>
      <c r="M178" s="828"/>
      <c r="N178" s="829"/>
      <c r="O178" s="827"/>
      <c r="P178" s="828"/>
      <c r="Q178" s="828"/>
      <c r="R178" s="829"/>
      <c r="S178" s="827"/>
      <c r="T178" s="828"/>
      <c r="U178" s="828"/>
      <c r="V178" s="829"/>
      <c r="W178" s="827"/>
      <c r="X178" s="828"/>
      <c r="Y178" s="828"/>
      <c r="Z178" s="829"/>
      <c r="AA178" s="720"/>
      <c r="AB178" s="995"/>
      <c r="AC178" s="995"/>
      <c r="AD178" s="1075"/>
      <c r="AE178" s="720"/>
      <c r="AF178" s="995"/>
      <c r="AG178" s="995"/>
      <c r="AH178" s="1256"/>
      <c r="AI178" s="720"/>
      <c r="AL178" s="722"/>
      <c r="AP178" s="722"/>
      <c r="AQ178" s="830"/>
      <c r="AS178" s="831"/>
      <c r="AT178" s="831"/>
      <c r="AU178" s="831"/>
      <c r="AV178" s="831"/>
      <c r="AW178" s="831"/>
      <c r="AX178" s="831"/>
      <c r="AY178" s="831"/>
      <c r="AZ178" s="831"/>
      <c r="BA178" s="831"/>
      <c r="BB178" s="831"/>
    </row>
    <row r="179" spans="2:54" s="721" customFormat="1">
      <c r="B179" s="832" t="s">
        <v>443</v>
      </c>
      <c r="C179" s="827"/>
      <c r="D179" s="828"/>
      <c r="E179" s="828"/>
      <c r="F179" s="829"/>
      <c r="G179" s="827"/>
      <c r="H179" s="828"/>
      <c r="I179" s="828"/>
      <c r="J179" s="829"/>
      <c r="K179" s="827"/>
      <c r="L179" s="828"/>
      <c r="M179" s="828"/>
      <c r="N179" s="829"/>
      <c r="O179" s="726"/>
      <c r="P179" s="727"/>
      <c r="Q179" s="727"/>
      <c r="R179" s="728"/>
      <c r="S179" s="726">
        <f>S195</f>
        <v>90</v>
      </c>
      <c r="T179" s="727">
        <f t="shared" ref="T179:V179" si="661">T195</f>
        <v>85</v>
      </c>
      <c r="U179" s="727">
        <f t="shared" si="661"/>
        <v>74</v>
      </c>
      <c r="V179" s="728">
        <f t="shared" si="661"/>
        <v>97</v>
      </c>
      <c r="W179" s="726">
        <f>W263</f>
        <v>71</v>
      </c>
      <c r="X179" s="727">
        <f t="shared" ref="X179:AA179" si="662">X263</f>
        <v>72</v>
      </c>
      <c r="Y179" s="727">
        <f t="shared" si="662"/>
        <v>80</v>
      </c>
      <c r="Z179" s="728">
        <f t="shared" si="662"/>
        <v>99</v>
      </c>
      <c r="AA179" s="726">
        <f t="shared" si="662"/>
        <v>80</v>
      </c>
      <c r="AB179" s="997">
        <f t="shared" ref="AB179:AE179" si="663">AB263</f>
        <v>75</v>
      </c>
      <c r="AC179" s="997">
        <f t="shared" si="663"/>
        <v>84</v>
      </c>
      <c r="AD179" s="1081">
        <f t="shared" si="663"/>
        <v>109</v>
      </c>
      <c r="AE179" s="726">
        <f t="shared" si="663"/>
        <v>89</v>
      </c>
      <c r="AF179" s="997">
        <f t="shared" ref="AF179:AI179" si="664">AF263</f>
        <v>106</v>
      </c>
      <c r="AG179" s="997">
        <f t="shared" si="664"/>
        <v>169</v>
      </c>
      <c r="AH179" s="1257">
        <f t="shared" si="664"/>
        <v>160</v>
      </c>
      <c r="AI179" s="726">
        <f t="shared" si="664"/>
        <v>121</v>
      </c>
      <c r="AJ179" s="727">
        <f t="shared" ref="AJ179" si="665">AI179*(1+AJ180)</f>
        <v>122.21000000000001</v>
      </c>
      <c r="AK179" s="727">
        <f t="shared" ref="AK179" si="666">AJ179*(1+AK180)</f>
        <v>138.09729999999999</v>
      </c>
      <c r="AL179" s="728">
        <f t="shared" ref="AL179" si="667">AK179*(1+AL180)</f>
        <v>145.00216499999999</v>
      </c>
      <c r="AM179" s="727">
        <f t="shared" ref="AM179" si="668">AL179*(1+AM180)</f>
        <v>137.75205674999998</v>
      </c>
      <c r="AN179" s="727">
        <f t="shared" ref="AN179" si="669">AM179*(1+AN180)</f>
        <v>133.61949504749998</v>
      </c>
      <c r="AO179" s="727">
        <f t="shared" ref="AO179" si="670">AN179*(1+AO180)</f>
        <v>140.30046979987497</v>
      </c>
      <c r="AP179" s="728">
        <f t="shared" ref="AP179" si="671">AO179*(1+AP180)</f>
        <v>143.10647919587248</v>
      </c>
      <c r="AQ179" s="830"/>
      <c r="AS179" s="729">
        <f>SUM(C179:F179)</f>
        <v>0</v>
      </c>
      <c r="AT179" s="729">
        <f>SUM(G179:J179)</f>
        <v>0</v>
      </c>
      <c r="AU179" s="729">
        <f>SUM(K179:N179)</f>
        <v>0</v>
      </c>
      <c r="AV179" s="729">
        <f>SUM(O179:R179)</f>
        <v>0</v>
      </c>
      <c r="AW179" s="782">
        <f>SUM(S179:V179)</f>
        <v>346</v>
      </c>
      <c r="AX179" s="782">
        <f>SUM(W179:Z179)</f>
        <v>322</v>
      </c>
      <c r="AY179" s="782">
        <f>SUM(AA179:AD179)</f>
        <v>348</v>
      </c>
      <c r="AZ179" s="782">
        <f>SUM(AE179:AH179)</f>
        <v>524</v>
      </c>
      <c r="BA179" s="782">
        <f>SUM(AI179:AL179)</f>
        <v>526.30946500000005</v>
      </c>
      <c r="BB179" s="782">
        <f>SUM(AM179:AP179)</f>
        <v>554.77850079324742</v>
      </c>
    </row>
    <row r="180" spans="2:54" s="721" customFormat="1">
      <c r="B180" s="754" t="s">
        <v>97</v>
      </c>
      <c r="C180" s="827"/>
      <c r="D180" s="828"/>
      <c r="E180" s="828"/>
      <c r="F180" s="829"/>
      <c r="G180" s="827"/>
      <c r="H180" s="828"/>
      <c r="I180" s="828"/>
      <c r="J180" s="829"/>
      <c r="K180" s="827"/>
      <c r="L180" s="828"/>
      <c r="M180" s="828"/>
      <c r="N180" s="829"/>
      <c r="O180" s="780"/>
      <c r="P180" s="778"/>
      <c r="Q180" s="778"/>
      <c r="R180" s="779"/>
      <c r="S180" s="780"/>
      <c r="T180" s="846"/>
      <c r="U180" s="856"/>
      <c r="V180" s="843"/>
      <c r="W180" s="834"/>
      <c r="X180" s="810">
        <f t="shared" ref="X180:AI180" si="672">X179/W179-1</f>
        <v>1.4084507042253502E-2</v>
      </c>
      <c r="Y180" s="810">
        <f t="shared" si="672"/>
        <v>0.11111111111111116</v>
      </c>
      <c r="Z180" s="811">
        <f t="shared" si="672"/>
        <v>0.23750000000000004</v>
      </c>
      <c r="AA180" s="857">
        <f t="shared" si="672"/>
        <v>-0.19191919191919193</v>
      </c>
      <c r="AB180" s="998">
        <f t="shared" si="672"/>
        <v>-6.25E-2</v>
      </c>
      <c r="AC180" s="998">
        <f t="shared" si="672"/>
        <v>0.12000000000000011</v>
      </c>
      <c r="AD180" s="1080">
        <f t="shared" si="672"/>
        <v>0.29761904761904767</v>
      </c>
      <c r="AE180" s="857">
        <f t="shared" si="672"/>
        <v>-0.1834862385321101</v>
      </c>
      <c r="AF180" s="998">
        <f t="shared" si="672"/>
        <v>0.1910112359550562</v>
      </c>
      <c r="AG180" s="998">
        <f t="shared" si="672"/>
        <v>0.59433962264150941</v>
      </c>
      <c r="AH180" s="1255">
        <f t="shared" si="672"/>
        <v>-5.3254437869822535E-2</v>
      </c>
      <c r="AI180" s="857">
        <f t="shared" si="672"/>
        <v>-0.24375000000000002</v>
      </c>
      <c r="AJ180" s="772">
        <v>0.01</v>
      </c>
      <c r="AK180" s="772">
        <v>0.13</v>
      </c>
      <c r="AL180" s="773">
        <v>0.05</v>
      </c>
      <c r="AM180" s="772">
        <v>-0.05</v>
      </c>
      <c r="AN180" s="772">
        <v>-0.03</v>
      </c>
      <c r="AO180" s="772">
        <v>0.05</v>
      </c>
      <c r="AP180" s="773">
        <v>0.02</v>
      </c>
      <c r="AQ180" s="830"/>
      <c r="AS180" s="831"/>
      <c r="AT180" s="831"/>
      <c r="AU180" s="831"/>
      <c r="AV180" s="831"/>
      <c r="AW180" s="831"/>
      <c r="AX180" s="756">
        <f t="shared" ref="AX180:BB180" si="673">AX179/AW179-1</f>
        <v>-6.9364161849710948E-2</v>
      </c>
      <c r="AY180" s="756">
        <f t="shared" si="673"/>
        <v>8.0745341614906874E-2</v>
      </c>
      <c r="AZ180" s="756">
        <f t="shared" si="673"/>
        <v>0.50574712643678166</v>
      </c>
      <c r="BA180" s="756">
        <f t="shared" si="673"/>
        <v>4.4073759541984892E-3</v>
      </c>
      <c r="BB180" s="756">
        <f t="shared" si="673"/>
        <v>5.4091818001501091E-2</v>
      </c>
    </row>
    <row r="181" spans="2:54" s="721" customFormat="1">
      <c r="B181" s="754"/>
      <c r="C181" s="827"/>
      <c r="D181" s="828"/>
      <c r="E181" s="828"/>
      <c r="F181" s="829"/>
      <c r="G181" s="827"/>
      <c r="H181" s="828"/>
      <c r="I181" s="828"/>
      <c r="J181" s="829"/>
      <c r="K181" s="827"/>
      <c r="L181" s="828"/>
      <c r="M181" s="828"/>
      <c r="N181" s="829"/>
      <c r="O181" s="780"/>
      <c r="P181" s="778"/>
      <c r="Q181" s="778"/>
      <c r="R181" s="779"/>
      <c r="S181" s="780"/>
      <c r="T181" s="846"/>
      <c r="U181" s="856"/>
      <c r="V181" s="843"/>
      <c r="W181" s="834"/>
      <c r="X181" s="810"/>
      <c r="Y181" s="810"/>
      <c r="Z181" s="811"/>
      <c r="AA181" s="857"/>
      <c r="AB181" s="995"/>
      <c r="AC181" s="995"/>
      <c r="AD181" s="1075"/>
      <c r="AE181" s="857"/>
      <c r="AF181" s="995"/>
      <c r="AG181" s="995"/>
      <c r="AH181" s="1256"/>
      <c r="AI181" s="857"/>
      <c r="AL181" s="722"/>
      <c r="AP181" s="722"/>
      <c r="AQ181" s="830"/>
      <c r="AS181" s="831"/>
      <c r="AT181" s="831"/>
      <c r="AU181" s="831"/>
      <c r="AV181" s="831"/>
      <c r="AW181" s="831"/>
      <c r="AX181" s="831"/>
      <c r="AY181" s="831"/>
      <c r="AZ181" s="831"/>
      <c r="BA181" s="831"/>
      <c r="BB181" s="831"/>
    </row>
    <row r="182" spans="2:54" s="721" customFormat="1">
      <c r="B182" s="749" t="s">
        <v>444</v>
      </c>
      <c r="C182" s="827"/>
      <c r="D182" s="828"/>
      <c r="E182" s="828"/>
      <c r="F182" s="829"/>
      <c r="G182" s="827"/>
      <c r="H182" s="828"/>
      <c r="I182" s="828"/>
      <c r="J182" s="829"/>
      <c r="K182" s="827"/>
      <c r="L182" s="828"/>
      <c r="M182" s="828"/>
      <c r="N182" s="829"/>
      <c r="O182" s="726">
        <f>O173+O176+O179</f>
        <v>365</v>
      </c>
      <c r="P182" s="727">
        <f t="shared" ref="P182:AA182" si="674">P173+P176+P179</f>
        <v>434</v>
      </c>
      <c r="Q182" s="727">
        <f t="shared" si="674"/>
        <v>464</v>
      </c>
      <c r="R182" s="728">
        <f t="shared" si="674"/>
        <v>538</v>
      </c>
      <c r="S182" s="726">
        <f t="shared" si="674"/>
        <v>482</v>
      </c>
      <c r="T182" s="727">
        <f t="shared" si="674"/>
        <v>539</v>
      </c>
      <c r="U182" s="727">
        <f t="shared" si="674"/>
        <v>530</v>
      </c>
      <c r="V182" s="728">
        <f t="shared" si="674"/>
        <v>591</v>
      </c>
      <c r="W182" s="726">
        <f t="shared" si="674"/>
        <v>533</v>
      </c>
      <c r="X182" s="727">
        <f t="shared" si="674"/>
        <v>559</v>
      </c>
      <c r="Y182" s="727">
        <f t="shared" si="674"/>
        <v>581</v>
      </c>
      <c r="Z182" s="728">
        <f t="shared" si="674"/>
        <v>625</v>
      </c>
      <c r="AA182" s="731">
        <f t="shared" si="674"/>
        <v>651</v>
      </c>
      <c r="AB182" s="997">
        <f t="shared" ref="AB182:AE182" si="675">AB173+AB176+AB179</f>
        <v>572</v>
      </c>
      <c r="AC182" s="997">
        <f t="shared" si="675"/>
        <v>689</v>
      </c>
      <c r="AD182" s="1081">
        <f t="shared" si="675"/>
        <v>726</v>
      </c>
      <c r="AE182" s="731">
        <f t="shared" si="675"/>
        <v>721</v>
      </c>
      <c r="AF182" s="997">
        <f t="shared" ref="AF182:AI182" si="676">AF173+AF176+AF179</f>
        <v>720</v>
      </c>
      <c r="AG182" s="997">
        <f t="shared" si="676"/>
        <v>849</v>
      </c>
      <c r="AH182" s="1257">
        <f t="shared" si="676"/>
        <v>879</v>
      </c>
      <c r="AI182" s="731">
        <f t="shared" si="676"/>
        <v>840</v>
      </c>
      <c r="AJ182" s="727">
        <f t="shared" ref="AJ182:AL182" si="677">AJ173+AJ176+AJ179</f>
        <v>848.40000000000009</v>
      </c>
      <c r="AK182" s="727">
        <f t="shared" si="677"/>
        <v>958.69200000000001</v>
      </c>
      <c r="AL182" s="728">
        <f t="shared" si="677"/>
        <v>1010.7295735</v>
      </c>
      <c r="AM182" s="727">
        <f t="shared" ref="AM182:AP182" si="678">AM173+AM176+AM179</f>
        <v>1012.136739335</v>
      </c>
      <c r="AN182" s="727">
        <f t="shared" si="678"/>
        <v>990.51648398079999</v>
      </c>
      <c r="AO182" s="727">
        <f t="shared" si="678"/>
        <v>1040.0423081798399</v>
      </c>
      <c r="AP182" s="728">
        <f t="shared" si="678"/>
        <v>1060.8431543434369</v>
      </c>
      <c r="AQ182" s="830"/>
      <c r="AS182" s="729">
        <f>SUM(C182:F182)</f>
        <v>0</v>
      </c>
      <c r="AT182" s="729">
        <f>SUM(G182:J182)</f>
        <v>0</v>
      </c>
      <c r="AU182" s="729">
        <f>SUM(K182:N182)</f>
        <v>0</v>
      </c>
      <c r="AV182" s="729">
        <f>SUM(O182:R182)</f>
        <v>1801</v>
      </c>
      <c r="AW182" s="782">
        <f>SUM(S182:V182)</f>
        <v>2142</v>
      </c>
      <c r="AX182" s="782">
        <f>SUM(W182:Z182)</f>
        <v>2298</v>
      </c>
      <c r="AY182" s="782">
        <f>SUM(AA182:AD182)</f>
        <v>2638</v>
      </c>
      <c r="AZ182" s="782">
        <f>SUM(AE182:AH182)</f>
        <v>3169</v>
      </c>
      <c r="BA182" s="782">
        <f>SUM(AI182:AL182)</f>
        <v>3657.8215735000003</v>
      </c>
      <c r="BB182" s="782">
        <f>SUM(AM182:AP182)</f>
        <v>4103.5386858390766</v>
      </c>
    </row>
    <row r="183" spans="2:54" s="721" customFormat="1">
      <c r="B183" s="754" t="s">
        <v>97</v>
      </c>
      <c r="C183" s="827"/>
      <c r="D183" s="828"/>
      <c r="E183" s="828"/>
      <c r="F183" s="829"/>
      <c r="G183" s="827"/>
      <c r="H183" s="828"/>
      <c r="I183" s="828"/>
      <c r="J183" s="829"/>
      <c r="K183" s="827"/>
      <c r="L183" s="828"/>
      <c r="M183" s="828"/>
      <c r="N183" s="829"/>
      <c r="O183" s="827"/>
      <c r="P183" s="792">
        <f t="shared" ref="P183:S183" si="679">P182/O182-1</f>
        <v>0.18904109589041096</v>
      </c>
      <c r="Q183" s="792">
        <f t="shared" si="679"/>
        <v>6.9124423963133674E-2</v>
      </c>
      <c r="R183" s="793">
        <f t="shared" si="679"/>
        <v>0.15948275862068972</v>
      </c>
      <c r="S183" s="768">
        <f t="shared" si="679"/>
        <v>-0.10408921933085502</v>
      </c>
      <c r="T183" s="769">
        <f>T182/S182-1</f>
        <v>0.11825726141078841</v>
      </c>
      <c r="U183" s="769">
        <f t="shared" ref="U183:AI183" si="680">U182/T182-1</f>
        <v>-1.6697588126159513E-2</v>
      </c>
      <c r="V183" s="770">
        <f t="shared" si="680"/>
        <v>0.11509433962264159</v>
      </c>
      <c r="W183" s="768">
        <f t="shared" si="680"/>
        <v>-9.8138747884940813E-2</v>
      </c>
      <c r="X183" s="769">
        <f t="shared" si="680"/>
        <v>4.8780487804878092E-2</v>
      </c>
      <c r="Y183" s="769">
        <f t="shared" si="680"/>
        <v>3.9355992844364973E-2</v>
      </c>
      <c r="Z183" s="770">
        <f t="shared" si="680"/>
        <v>7.5731497418244365E-2</v>
      </c>
      <c r="AA183" s="768">
        <f t="shared" si="680"/>
        <v>4.1600000000000081E-2</v>
      </c>
      <c r="AB183" s="769">
        <f t="shared" si="680"/>
        <v>-0.12135176651305679</v>
      </c>
      <c r="AC183" s="769">
        <f t="shared" si="680"/>
        <v>0.20454545454545459</v>
      </c>
      <c r="AD183" s="1065">
        <f t="shared" si="680"/>
        <v>5.3701015965166965E-2</v>
      </c>
      <c r="AE183" s="768">
        <f t="shared" si="680"/>
        <v>-6.8870523415978102E-3</v>
      </c>
      <c r="AF183" s="769">
        <f t="shared" si="680"/>
        <v>-1.3869625520110951E-3</v>
      </c>
      <c r="AG183" s="769">
        <f t="shared" si="680"/>
        <v>0.1791666666666667</v>
      </c>
      <c r="AH183" s="1244">
        <f t="shared" si="680"/>
        <v>3.5335689045936425E-2</v>
      </c>
      <c r="AI183" s="768">
        <f t="shared" si="680"/>
        <v>-4.4368600682593851E-2</v>
      </c>
      <c r="AJ183" s="769">
        <f t="shared" ref="AJ183" si="681">AJ182/AI182-1</f>
        <v>1.0000000000000009E-2</v>
      </c>
      <c r="AK183" s="769">
        <f t="shared" ref="AK183" si="682">AK182/AJ182-1</f>
        <v>0.12999999999999989</v>
      </c>
      <c r="AL183" s="770">
        <f t="shared" ref="AL183" si="683">AL182/AK182-1</f>
        <v>5.4279761904761914E-2</v>
      </c>
      <c r="AM183" s="769">
        <f t="shared" ref="AM183" si="684">AM182/AL182-1</f>
        <v>1.3922278242310959E-3</v>
      </c>
      <c r="AN183" s="769">
        <f t="shared" ref="AN183" si="685">AN182/AM182-1</f>
        <v>-2.1361002435703602E-2</v>
      </c>
      <c r="AO183" s="769">
        <f t="shared" ref="AO183" si="686">AO182/AN182-1</f>
        <v>4.9999999999999822E-2</v>
      </c>
      <c r="AP183" s="770">
        <f t="shared" ref="AP183" si="687">AP182/AO182-1</f>
        <v>2.000000000000024E-2</v>
      </c>
      <c r="AQ183" s="830"/>
      <c r="AS183" s="831"/>
      <c r="AT183" s="831"/>
      <c r="AU183" s="831"/>
      <c r="AV183" s="831"/>
      <c r="AW183" s="831"/>
      <c r="AX183" s="831"/>
      <c r="AY183" s="831"/>
      <c r="AZ183" s="831"/>
      <c r="BA183" s="831"/>
      <c r="BB183" s="831"/>
    </row>
    <row r="184" spans="2:54" s="721" customFormat="1">
      <c r="B184" s="754" t="s">
        <v>98</v>
      </c>
      <c r="C184" s="827"/>
      <c r="D184" s="828"/>
      <c r="E184" s="828"/>
      <c r="F184" s="829"/>
      <c r="G184" s="827"/>
      <c r="H184" s="828"/>
      <c r="I184" s="828"/>
      <c r="J184" s="829"/>
      <c r="K184" s="827"/>
      <c r="L184" s="828"/>
      <c r="M184" s="828"/>
      <c r="N184" s="829"/>
      <c r="O184" s="827"/>
      <c r="P184" s="828"/>
      <c r="Q184" s="828"/>
      <c r="R184" s="829"/>
      <c r="S184" s="726"/>
      <c r="T184" s="727"/>
      <c r="U184" s="727"/>
      <c r="V184" s="728"/>
      <c r="W184" s="768">
        <f>W182/S182-1</f>
        <v>0.10580912863070546</v>
      </c>
      <c r="X184" s="769">
        <f t="shared" ref="X184:AI184" si="688">X182/T182-1</f>
        <v>3.7105751391465658E-2</v>
      </c>
      <c r="Y184" s="769">
        <f t="shared" si="688"/>
        <v>9.6226415094339712E-2</v>
      </c>
      <c r="Z184" s="770">
        <f t="shared" si="688"/>
        <v>5.7529610829103239E-2</v>
      </c>
      <c r="AA184" s="768">
        <f t="shared" si="688"/>
        <v>0.22138836772983117</v>
      </c>
      <c r="AB184" s="769">
        <f t="shared" si="688"/>
        <v>2.3255813953488413E-2</v>
      </c>
      <c r="AC184" s="769">
        <f t="shared" si="688"/>
        <v>0.18588640275387269</v>
      </c>
      <c r="AD184" s="1065">
        <f t="shared" si="688"/>
        <v>0.16159999999999997</v>
      </c>
      <c r="AE184" s="768">
        <f t="shared" si="688"/>
        <v>0.10752688172043001</v>
      </c>
      <c r="AF184" s="769">
        <f t="shared" si="688"/>
        <v>0.25874125874125875</v>
      </c>
      <c r="AG184" s="769">
        <f t="shared" si="688"/>
        <v>0.23222060957910018</v>
      </c>
      <c r="AH184" s="1244">
        <f t="shared" si="688"/>
        <v>0.21074380165289264</v>
      </c>
      <c r="AI184" s="768">
        <f t="shared" si="688"/>
        <v>0.16504854368932032</v>
      </c>
      <c r="AJ184" s="769">
        <f t="shared" ref="AJ184" si="689">AJ182/AF182-1</f>
        <v>0.17833333333333345</v>
      </c>
      <c r="AK184" s="769">
        <f t="shared" ref="AK184" si="690">AK182/AG182-1</f>
        <v>0.12920141342756186</v>
      </c>
      <c r="AL184" s="770">
        <f t="shared" ref="AL184" si="691">AL182/AH182-1</f>
        <v>0.14986299601820252</v>
      </c>
      <c r="AM184" s="769">
        <f t="shared" ref="AM184" si="692">AM182/AI182-1</f>
        <v>0.20492468968452382</v>
      </c>
      <c r="AN184" s="769">
        <f t="shared" ref="AN184" si="693">AN182/AJ182-1</f>
        <v>0.16751117866666654</v>
      </c>
      <c r="AO184" s="769">
        <f t="shared" ref="AO184" si="694">AO182/AK182-1</f>
        <v>8.4855519999999851E-2</v>
      </c>
      <c r="AP184" s="770">
        <f t="shared" ref="AP184" si="695">AP182/AL182-1</f>
        <v>4.9581591513050638E-2</v>
      </c>
      <c r="AQ184" s="830"/>
      <c r="AS184" s="831"/>
      <c r="AT184" s="831"/>
      <c r="AU184" s="831"/>
      <c r="AV184" s="831"/>
      <c r="AW184" s="831"/>
      <c r="AX184" s="756">
        <f>AX182/AW182-1</f>
        <v>7.2829131652661028E-2</v>
      </c>
      <c r="AY184" s="756">
        <f>AY182/AX182-1</f>
        <v>0.14795474325500435</v>
      </c>
      <c r="AZ184" s="756">
        <f>AZ182/AY182-1</f>
        <v>0.20128885519332829</v>
      </c>
      <c r="BA184" s="756">
        <f>BA182/AZ182-1</f>
        <v>0.15425104875355022</v>
      </c>
      <c r="BB184" s="756">
        <f>BB182/BA182-1</f>
        <v>0.12185315860352097</v>
      </c>
    </row>
    <row r="185" spans="2:54" s="745" customFormat="1">
      <c r="B185" s="741" t="s">
        <v>445</v>
      </c>
      <c r="C185" s="742"/>
      <c r="D185" s="743"/>
      <c r="E185" s="743"/>
      <c r="F185" s="744"/>
      <c r="G185" s="742"/>
      <c r="H185" s="743"/>
      <c r="I185" s="743"/>
      <c r="J185" s="744"/>
      <c r="K185" s="742"/>
      <c r="L185" s="743"/>
      <c r="M185" s="743"/>
      <c r="N185" s="744"/>
      <c r="O185" s="742">
        <f t="shared" ref="O185:AA185" si="696">O261</f>
        <v>365</v>
      </c>
      <c r="P185" s="743">
        <f t="shared" si="696"/>
        <v>434</v>
      </c>
      <c r="Q185" s="743">
        <f t="shared" si="696"/>
        <v>464</v>
      </c>
      <c r="R185" s="744">
        <f t="shared" si="696"/>
        <v>538</v>
      </c>
      <c r="S185" s="742">
        <f t="shared" si="696"/>
        <v>482</v>
      </c>
      <c r="T185" s="743">
        <f t="shared" si="696"/>
        <v>539</v>
      </c>
      <c r="U185" s="743">
        <f t="shared" si="696"/>
        <v>530</v>
      </c>
      <c r="V185" s="744">
        <f t="shared" si="696"/>
        <v>591</v>
      </c>
      <c r="W185" s="742">
        <f t="shared" si="696"/>
        <v>533</v>
      </c>
      <c r="X185" s="743">
        <f t="shared" si="696"/>
        <v>559</v>
      </c>
      <c r="Y185" s="743">
        <f t="shared" si="696"/>
        <v>581</v>
      </c>
      <c r="Z185" s="744">
        <f t="shared" si="696"/>
        <v>625</v>
      </c>
      <c r="AA185" s="742">
        <f t="shared" si="696"/>
        <v>651</v>
      </c>
      <c r="AB185" s="743">
        <f t="shared" ref="AB185:AE185" si="697">AB261</f>
        <v>572</v>
      </c>
      <c r="AC185" s="743">
        <f t="shared" si="697"/>
        <v>689</v>
      </c>
      <c r="AD185" s="744">
        <f t="shared" si="697"/>
        <v>726</v>
      </c>
      <c r="AE185" s="742">
        <f t="shared" si="697"/>
        <v>721</v>
      </c>
      <c r="AF185" s="743">
        <f t="shared" ref="AF185:AI185" si="698">AF261</f>
        <v>720</v>
      </c>
      <c r="AG185" s="743">
        <f t="shared" si="698"/>
        <v>849</v>
      </c>
      <c r="AH185" s="744">
        <f t="shared" si="698"/>
        <v>879</v>
      </c>
      <c r="AI185" s="742">
        <f t="shared" si="698"/>
        <v>840</v>
      </c>
      <c r="AJ185" s="848">
        <f t="shared" ref="AJ185:AL185" si="699">AJ182</f>
        <v>848.40000000000009</v>
      </c>
      <c r="AK185" s="848">
        <f t="shared" si="699"/>
        <v>958.69200000000001</v>
      </c>
      <c r="AL185" s="849">
        <f t="shared" si="699"/>
        <v>1010.7295735</v>
      </c>
      <c r="AM185" s="848">
        <f t="shared" ref="AM185:AP185" si="700">AM182</f>
        <v>1012.136739335</v>
      </c>
      <c r="AN185" s="848">
        <f t="shared" si="700"/>
        <v>990.51648398079999</v>
      </c>
      <c r="AO185" s="848">
        <f t="shared" si="700"/>
        <v>1040.0423081798399</v>
      </c>
      <c r="AP185" s="849">
        <f t="shared" si="700"/>
        <v>1060.8431543434369</v>
      </c>
      <c r="AQ185" s="746"/>
      <c r="AS185" s="747">
        <f>SUM(C185:F185)</f>
        <v>0</v>
      </c>
      <c r="AT185" s="747">
        <f>SUM(G185:J185)</f>
        <v>0</v>
      </c>
      <c r="AU185" s="747">
        <f>SUM(K185:N185)</f>
        <v>0</v>
      </c>
      <c r="AV185" s="747">
        <f>SUM(O185:R185)</f>
        <v>1801</v>
      </c>
      <c r="AW185" s="747">
        <f>SUM(S185:V185)</f>
        <v>2142</v>
      </c>
      <c r="AX185" s="747">
        <f>SUM(W185:Z185)</f>
        <v>2298</v>
      </c>
      <c r="AY185" s="747">
        <f>SUM(AA185:AD185)</f>
        <v>2638</v>
      </c>
      <c r="AZ185" s="747">
        <f>SUM(AE185:AH185)</f>
        <v>3169</v>
      </c>
      <c r="BA185" s="747">
        <f>SUM(AI185:AL185)</f>
        <v>3657.8215735000003</v>
      </c>
      <c r="BB185" s="747">
        <f>SUM(AM185:AP185)</f>
        <v>4103.5386858390766</v>
      </c>
    </row>
    <row r="186" spans="2:54" s="721" customFormat="1">
      <c r="B186" s="749" t="s">
        <v>356</v>
      </c>
      <c r="C186" s="827"/>
      <c r="D186" s="828"/>
      <c r="E186" s="828"/>
      <c r="F186" s="829"/>
      <c r="G186" s="827"/>
      <c r="H186" s="828"/>
      <c r="I186" s="828"/>
      <c r="J186" s="829"/>
      <c r="K186" s="827"/>
      <c r="L186" s="828"/>
      <c r="M186" s="828"/>
      <c r="N186" s="829"/>
      <c r="O186" s="827">
        <f t="shared" ref="O186:Z186" si="701">O185-O182</f>
        <v>0</v>
      </c>
      <c r="P186" s="828">
        <f t="shared" si="701"/>
        <v>0</v>
      </c>
      <c r="Q186" s="828">
        <f t="shared" si="701"/>
        <v>0</v>
      </c>
      <c r="R186" s="829">
        <f t="shared" si="701"/>
        <v>0</v>
      </c>
      <c r="S186" s="853">
        <f t="shared" si="701"/>
        <v>0</v>
      </c>
      <c r="T186" s="854">
        <f t="shared" si="701"/>
        <v>0</v>
      </c>
      <c r="U186" s="854">
        <f t="shared" si="701"/>
        <v>0</v>
      </c>
      <c r="V186" s="855">
        <f t="shared" si="701"/>
        <v>0</v>
      </c>
      <c r="W186" s="827">
        <f t="shared" si="701"/>
        <v>0</v>
      </c>
      <c r="X186" s="828">
        <f t="shared" si="701"/>
        <v>0</v>
      </c>
      <c r="Y186" s="828">
        <f t="shared" si="701"/>
        <v>0</v>
      </c>
      <c r="Z186" s="829">
        <f t="shared" si="701"/>
        <v>0</v>
      </c>
      <c r="AA186" s="827">
        <f>AA185-AA182</f>
        <v>0</v>
      </c>
      <c r="AB186" s="828">
        <f>AB185-AB182</f>
        <v>0</v>
      </c>
      <c r="AC186" s="828">
        <f t="shared" ref="AC186:AD186" si="702">AC185-AC182</f>
        <v>0</v>
      </c>
      <c r="AD186" s="1079">
        <f t="shared" si="702"/>
        <v>0</v>
      </c>
      <c r="AE186" s="827">
        <f>AE185-AE182</f>
        <v>0</v>
      </c>
      <c r="AF186" s="828">
        <f t="shared" ref="AF186:AH186" si="703">AF185-AF182</f>
        <v>0</v>
      </c>
      <c r="AG186" s="828">
        <f t="shared" si="703"/>
        <v>0</v>
      </c>
      <c r="AH186" s="1252">
        <f t="shared" si="703"/>
        <v>0</v>
      </c>
      <c r="AI186" s="827">
        <f>AI185-AI182</f>
        <v>0</v>
      </c>
      <c r="AJ186" s="828">
        <f t="shared" ref="AJ186:AL186" si="704">AJ185-AJ182</f>
        <v>0</v>
      </c>
      <c r="AK186" s="828">
        <f t="shared" si="704"/>
        <v>0</v>
      </c>
      <c r="AL186" s="829">
        <f t="shared" si="704"/>
        <v>0</v>
      </c>
      <c r="AM186" s="828">
        <f t="shared" ref="AM186:AP186" si="705">AM185-AM182</f>
        <v>0</v>
      </c>
      <c r="AN186" s="828">
        <f t="shared" si="705"/>
        <v>0</v>
      </c>
      <c r="AO186" s="828">
        <f t="shared" si="705"/>
        <v>0</v>
      </c>
      <c r="AP186" s="829">
        <f t="shared" si="705"/>
        <v>0</v>
      </c>
      <c r="AQ186" s="830"/>
      <c r="AS186" s="732"/>
      <c r="AT186" s="732"/>
      <c r="AU186" s="732"/>
      <c r="AV186" s="732"/>
      <c r="AW186" s="732"/>
      <c r="AX186" s="756"/>
      <c r="AY186" s="756"/>
      <c r="AZ186" s="756"/>
      <c r="BA186" s="756"/>
      <c r="BB186" s="756"/>
    </row>
    <row r="187" spans="2:54" s="721" customFormat="1">
      <c r="B187" s="832"/>
      <c r="C187" s="827"/>
      <c r="D187" s="828"/>
      <c r="E187" s="828"/>
      <c r="F187" s="829"/>
      <c r="G187" s="827"/>
      <c r="H187" s="828"/>
      <c r="I187" s="828"/>
      <c r="J187" s="829"/>
      <c r="K187" s="827"/>
      <c r="L187" s="828"/>
      <c r="M187" s="828"/>
      <c r="N187" s="829"/>
      <c r="O187" s="827"/>
      <c r="P187" s="828"/>
      <c r="Q187" s="828"/>
      <c r="R187" s="829"/>
      <c r="S187" s="827"/>
      <c r="T187" s="828"/>
      <c r="U187" s="828"/>
      <c r="V187" s="829"/>
      <c r="W187" s="827"/>
      <c r="X187" s="828"/>
      <c r="Y187" s="828"/>
      <c r="Z187" s="829"/>
      <c r="AA187" s="720"/>
      <c r="AD187" s="1064"/>
      <c r="AE187" s="720"/>
      <c r="AH187" s="1237"/>
      <c r="AL187" s="722"/>
      <c r="AP187" s="722"/>
      <c r="AQ187" s="830"/>
      <c r="AS187" s="831"/>
      <c r="AT187" s="831"/>
      <c r="AU187" s="831"/>
      <c r="AV187" s="831"/>
      <c r="AW187" s="831"/>
      <c r="AX187" s="831"/>
      <c r="AY187" s="831"/>
      <c r="AZ187" s="831"/>
      <c r="BA187" s="831"/>
      <c r="BB187" s="831"/>
    </row>
    <row r="188" spans="2:54" s="721" customFormat="1">
      <c r="B188" s="750" t="s">
        <v>395</v>
      </c>
      <c r="C188" s="751"/>
      <c r="D188" s="752"/>
      <c r="E188" s="752"/>
      <c r="F188" s="753"/>
      <c r="G188" s="751"/>
      <c r="H188" s="752"/>
      <c r="I188" s="752"/>
      <c r="J188" s="753"/>
      <c r="K188" s="751"/>
      <c r="L188" s="752"/>
      <c r="M188" s="752"/>
      <c r="N188" s="753"/>
      <c r="O188" s="751"/>
      <c r="P188" s="752"/>
      <c r="Q188" s="752"/>
      <c r="R188" s="753"/>
      <c r="S188" s="751"/>
      <c r="T188" s="752"/>
      <c r="U188" s="752"/>
      <c r="V188" s="753"/>
      <c r="W188" s="751"/>
      <c r="X188" s="752"/>
      <c r="Y188" s="752"/>
      <c r="Z188" s="753"/>
      <c r="AA188" s="751"/>
      <c r="AB188" s="752"/>
      <c r="AC188" s="752"/>
      <c r="AD188" s="1069"/>
      <c r="AE188" s="751"/>
      <c r="AF188" s="752"/>
      <c r="AG188" s="752"/>
      <c r="AH188" s="1242"/>
      <c r="AI188" s="752"/>
      <c r="AJ188" s="752"/>
      <c r="AK188" s="752"/>
      <c r="AL188" s="753"/>
      <c r="AM188" s="752"/>
      <c r="AN188" s="752"/>
      <c r="AO188" s="752"/>
      <c r="AP188" s="753"/>
      <c r="AQ188" s="830"/>
      <c r="AS188" s="831"/>
      <c r="AT188" s="831"/>
      <c r="AU188" s="831"/>
      <c r="AV188" s="831"/>
      <c r="AW188" s="831"/>
      <c r="AX188" s="831"/>
      <c r="AY188" s="831"/>
      <c r="AZ188" s="831"/>
      <c r="BA188" s="831"/>
      <c r="BB188" s="831"/>
    </row>
    <row r="189" spans="2:54" s="721" customFormat="1">
      <c r="B189" s="832" t="s">
        <v>446</v>
      </c>
      <c r="C189" s="827"/>
      <c r="D189" s="828"/>
      <c r="E189" s="828"/>
      <c r="F189" s="829"/>
      <c r="G189" s="726">
        <f t="shared" ref="G189:N189" si="706">G203-G195-G198</f>
        <v>170</v>
      </c>
      <c r="H189" s="727">
        <f t="shared" si="706"/>
        <v>441</v>
      </c>
      <c r="I189" s="727">
        <f t="shared" si="706"/>
        <v>471</v>
      </c>
      <c r="J189" s="728">
        <f t="shared" si="706"/>
        <v>508</v>
      </c>
      <c r="K189" s="726">
        <f t="shared" si="706"/>
        <v>491</v>
      </c>
      <c r="L189" s="727">
        <f t="shared" si="706"/>
        <v>506</v>
      </c>
      <c r="M189" s="727">
        <f t="shared" si="706"/>
        <v>508</v>
      </c>
      <c r="N189" s="728">
        <f t="shared" si="706"/>
        <v>556</v>
      </c>
      <c r="O189" s="726">
        <f>O203-O198</f>
        <v>470</v>
      </c>
      <c r="P189" s="727">
        <f t="shared" ref="P189:R189" si="707">P203-P198</f>
        <v>484</v>
      </c>
      <c r="Q189" s="727">
        <f t="shared" si="707"/>
        <v>495</v>
      </c>
      <c r="R189" s="728">
        <f t="shared" si="707"/>
        <v>541</v>
      </c>
      <c r="S189" s="764">
        <v>500</v>
      </c>
      <c r="T189" s="765">
        <v>500</v>
      </c>
      <c r="U189" s="765">
        <v>500</v>
      </c>
      <c r="V189" s="766">
        <v>510</v>
      </c>
      <c r="W189" s="726">
        <f>W269</f>
        <v>479</v>
      </c>
      <c r="X189" s="727">
        <f t="shared" ref="X189:AA189" si="708">X269</f>
        <v>488</v>
      </c>
      <c r="Y189" s="727">
        <f t="shared" si="708"/>
        <v>506</v>
      </c>
      <c r="Z189" s="728">
        <f t="shared" si="708"/>
        <v>512</v>
      </c>
      <c r="AA189" s="731">
        <f t="shared" si="708"/>
        <v>537</v>
      </c>
      <c r="AB189" s="993">
        <f t="shared" ref="AB189:AE189" si="709">AB269</f>
        <v>537</v>
      </c>
      <c r="AC189" s="993">
        <f t="shared" si="709"/>
        <v>537</v>
      </c>
      <c r="AD189" s="1071">
        <f t="shared" si="709"/>
        <v>550</v>
      </c>
      <c r="AE189" s="731">
        <f t="shared" si="709"/>
        <v>534</v>
      </c>
      <c r="AF189" s="727"/>
      <c r="AG189" s="727"/>
      <c r="AH189" s="1238"/>
      <c r="AI189" s="727"/>
      <c r="AJ189" s="727"/>
      <c r="AK189" s="727"/>
      <c r="AL189" s="728"/>
      <c r="AM189" s="727"/>
      <c r="AN189" s="727"/>
      <c r="AO189" s="727"/>
      <c r="AP189" s="728"/>
      <c r="AQ189" s="830"/>
      <c r="AS189" s="729">
        <f>SUM(C189:F189)</f>
        <v>0</v>
      </c>
      <c r="AT189" s="729">
        <f>SUM(G189:J189)</f>
        <v>1590</v>
      </c>
      <c r="AU189" s="858">
        <f>SUM(K189:N189)</f>
        <v>2061</v>
      </c>
      <c r="AV189" s="732">
        <f>SUM(O189:R189)</f>
        <v>1990</v>
      </c>
      <c r="AW189" s="782">
        <f>SUM(S189:V189)</f>
        <v>2010</v>
      </c>
      <c r="AX189" s="782">
        <f>SUM(W189:Z189)</f>
        <v>1985</v>
      </c>
      <c r="AY189" s="782">
        <f>SUM(AA189:AD189)</f>
        <v>2161</v>
      </c>
      <c r="AZ189" s="782">
        <f>SUM(AE189:AH189)</f>
        <v>534</v>
      </c>
      <c r="BA189" s="782"/>
      <c r="BB189" s="782"/>
    </row>
    <row r="190" spans="2:54" s="721" customFormat="1">
      <c r="B190" s="754" t="s">
        <v>97</v>
      </c>
      <c r="C190" s="827"/>
      <c r="D190" s="828"/>
      <c r="E190" s="828"/>
      <c r="F190" s="829"/>
      <c r="G190" s="827"/>
      <c r="H190" s="810">
        <f t="shared" ref="H190:O190" si="710">H189/G189-1</f>
        <v>1.5941176470588236</v>
      </c>
      <c r="I190" s="810">
        <f t="shared" si="710"/>
        <v>6.8027210884353817E-2</v>
      </c>
      <c r="J190" s="811">
        <f t="shared" si="710"/>
        <v>7.8556263269639048E-2</v>
      </c>
      <c r="K190" s="834">
        <f t="shared" si="710"/>
        <v>-3.346456692913391E-2</v>
      </c>
      <c r="L190" s="810">
        <f t="shared" si="710"/>
        <v>3.054989816700604E-2</v>
      </c>
      <c r="M190" s="810">
        <f t="shared" si="710"/>
        <v>3.9525691699604515E-3</v>
      </c>
      <c r="N190" s="811">
        <f t="shared" si="710"/>
        <v>9.4488188976378007E-2</v>
      </c>
      <c r="O190" s="834">
        <f t="shared" si="710"/>
        <v>-0.15467625899280579</v>
      </c>
      <c r="P190" s="846">
        <f>P189/O189-1</f>
        <v>2.9787234042553123E-2</v>
      </c>
      <c r="Q190" s="856">
        <f t="shared" ref="Q190:R190" si="711">Q189/P189-1</f>
        <v>2.2727272727272707E-2</v>
      </c>
      <c r="R190" s="843">
        <f t="shared" si="711"/>
        <v>9.2929292929292862E-2</v>
      </c>
      <c r="S190" s="834">
        <f>S189/R189-1</f>
        <v>-7.5785582255083139E-2</v>
      </c>
      <c r="T190" s="846">
        <f>T189/S189-1</f>
        <v>0</v>
      </c>
      <c r="U190" s="856">
        <f t="shared" ref="U190:V190" si="712">U189/T189-1</f>
        <v>0</v>
      </c>
      <c r="V190" s="843">
        <f t="shared" si="712"/>
        <v>2.0000000000000018E-2</v>
      </c>
      <c r="W190" s="834">
        <f>W189/V189-1</f>
        <v>-6.0784313725490202E-2</v>
      </c>
      <c r="X190" s="846">
        <f>X189/W189-1</f>
        <v>1.8789144050104456E-2</v>
      </c>
      <c r="Y190" s="856">
        <f t="shared" ref="Y190:Z190" si="713">Y189/X189-1</f>
        <v>3.688524590163933E-2</v>
      </c>
      <c r="Z190" s="843">
        <f t="shared" si="713"/>
        <v>1.1857707509881354E-2</v>
      </c>
      <c r="AA190" s="834">
        <f>AA189/Z189-1</f>
        <v>4.8828125E-2</v>
      </c>
      <c r="AB190" s="999">
        <f>AB189/AA189-1</f>
        <v>0</v>
      </c>
      <c r="AC190" s="999">
        <f>AC189/AB189-1</f>
        <v>0</v>
      </c>
      <c r="AD190" s="1082">
        <f>AD189/AC189-1</f>
        <v>2.4208566108007368E-2</v>
      </c>
      <c r="AE190" s="834">
        <f>AE189/AD189-1</f>
        <v>-2.9090909090909056E-2</v>
      </c>
      <c r="AF190" s="772"/>
      <c r="AG190" s="772"/>
      <c r="AH190" s="1258"/>
      <c r="AI190" s="772"/>
      <c r="AJ190" s="772"/>
      <c r="AK190" s="772"/>
      <c r="AL190" s="773"/>
      <c r="AM190" s="772"/>
      <c r="AN190" s="772"/>
      <c r="AO190" s="772"/>
      <c r="AP190" s="773"/>
      <c r="AQ190" s="830"/>
      <c r="AS190" s="831"/>
      <c r="AT190" s="831"/>
      <c r="AU190" s="831"/>
      <c r="AV190" s="831"/>
      <c r="AW190" s="831"/>
      <c r="AX190" s="831"/>
      <c r="AY190" s="831"/>
      <c r="AZ190" s="831"/>
      <c r="BA190" s="831"/>
      <c r="BB190" s="831"/>
    </row>
    <row r="191" spans="2:54" s="721" customFormat="1">
      <c r="B191" s="754" t="s">
        <v>98</v>
      </c>
      <c r="C191" s="827"/>
      <c r="D191" s="828"/>
      <c r="E191" s="828"/>
      <c r="F191" s="829"/>
      <c r="G191" s="827"/>
      <c r="H191" s="828"/>
      <c r="I191" s="828"/>
      <c r="J191" s="829"/>
      <c r="K191" s="827"/>
      <c r="L191" s="828"/>
      <c r="M191" s="828"/>
      <c r="N191" s="829"/>
      <c r="O191" s="827"/>
      <c r="P191" s="828"/>
      <c r="Q191" s="828"/>
      <c r="R191" s="829"/>
      <c r="S191" s="726"/>
      <c r="T191" s="727"/>
      <c r="U191" s="727"/>
      <c r="V191" s="728"/>
      <c r="W191" s="768">
        <f>W189/S189-1</f>
        <v>-4.2000000000000037E-2</v>
      </c>
      <c r="X191" s="769">
        <f t="shared" ref="X191:AE191" si="714">X189/T189-1</f>
        <v>-2.4000000000000021E-2</v>
      </c>
      <c r="Y191" s="769">
        <f t="shared" si="714"/>
        <v>1.2000000000000011E-2</v>
      </c>
      <c r="Z191" s="770">
        <f t="shared" si="714"/>
        <v>3.9215686274509665E-3</v>
      </c>
      <c r="AA191" s="768">
        <f t="shared" si="714"/>
        <v>0.12108559498956151</v>
      </c>
      <c r="AB191" s="1000">
        <f t="shared" si="714"/>
        <v>0.10040983606557385</v>
      </c>
      <c r="AC191" s="1000">
        <f t="shared" si="714"/>
        <v>6.1264822134387442E-2</v>
      </c>
      <c r="AD191" s="1083">
        <f t="shared" si="714"/>
        <v>7.421875E-2</v>
      </c>
      <c r="AE191" s="768">
        <f t="shared" si="714"/>
        <v>-5.5865921787709993E-3</v>
      </c>
      <c r="AF191" s="769"/>
      <c r="AG191" s="769"/>
      <c r="AH191" s="1244"/>
      <c r="AI191" s="769"/>
      <c r="AJ191" s="769"/>
      <c r="AK191" s="769"/>
      <c r="AL191" s="770"/>
      <c r="AM191" s="769"/>
      <c r="AN191" s="769"/>
      <c r="AO191" s="769"/>
      <c r="AP191" s="770"/>
      <c r="AQ191" s="830"/>
      <c r="AS191" s="831"/>
      <c r="AT191" s="756"/>
      <c r="AU191" s="756">
        <f t="shared" ref="AU191:AW191" si="715">AU189/AT189-1</f>
        <v>0.29622641509433967</v>
      </c>
      <c r="AV191" s="756">
        <f t="shared" si="715"/>
        <v>-3.4449296458030076E-2</v>
      </c>
      <c r="AW191" s="756">
        <f t="shared" si="715"/>
        <v>1.0050251256281451E-2</v>
      </c>
      <c r="AX191" s="756">
        <f>AX189/AW189-1</f>
        <v>-1.2437810945273631E-2</v>
      </c>
      <c r="AY191" s="756">
        <f>AY189/AX189-1</f>
        <v>8.8664987405541629E-2</v>
      </c>
      <c r="AZ191" s="756">
        <f>AZ189/AY189-1</f>
        <v>-0.75289217954650622</v>
      </c>
      <c r="BA191" s="756"/>
      <c r="BB191" s="756"/>
    </row>
    <row r="192" spans="2:54" s="745" customFormat="1">
      <c r="B192" s="741" t="s">
        <v>447</v>
      </c>
      <c r="C192" s="742"/>
      <c r="D192" s="743"/>
      <c r="E192" s="743"/>
      <c r="F192" s="744"/>
      <c r="G192" s="742"/>
      <c r="H192" s="743"/>
      <c r="I192" s="743"/>
      <c r="J192" s="744"/>
      <c r="K192" s="742"/>
      <c r="L192" s="743"/>
      <c r="M192" s="743"/>
      <c r="N192" s="744"/>
      <c r="O192" s="742"/>
      <c r="P192" s="743"/>
      <c r="Q192" s="743"/>
      <c r="R192" s="744"/>
      <c r="S192" s="742"/>
      <c r="T192" s="743"/>
      <c r="U192" s="743"/>
      <c r="V192" s="744"/>
      <c r="W192" s="742">
        <f>W269</f>
        <v>479</v>
      </c>
      <c r="X192" s="743">
        <f t="shared" ref="X192:AA192" si="716">X269</f>
        <v>488</v>
      </c>
      <c r="Y192" s="743">
        <f t="shared" si="716"/>
        <v>506</v>
      </c>
      <c r="Z192" s="744">
        <f t="shared" si="716"/>
        <v>512</v>
      </c>
      <c r="AA192" s="742">
        <f t="shared" si="716"/>
        <v>537</v>
      </c>
      <c r="AB192" s="1001">
        <f t="shared" ref="AB192:AE192" si="717">AB269</f>
        <v>537</v>
      </c>
      <c r="AC192" s="1001">
        <f t="shared" si="717"/>
        <v>537</v>
      </c>
      <c r="AD192" s="1084">
        <f t="shared" si="717"/>
        <v>550</v>
      </c>
      <c r="AE192" s="742">
        <f t="shared" si="717"/>
        <v>534</v>
      </c>
      <c r="AF192" s="848"/>
      <c r="AG192" s="848"/>
      <c r="AH192" s="848"/>
      <c r="AI192" s="872"/>
      <c r="AJ192" s="848"/>
      <c r="AK192" s="848"/>
      <c r="AL192" s="849"/>
      <c r="AM192" s="872"/>
      <c r="AN192" s="848"/>
      <c r="AO192" s="848"/>
      <c r="AP192" s="849"/>
      <c r="AQ192" s="746"/>
      <c r="AS192" s="747">
        <f>SUM(C192:F192)</f>
        <v>0</v>
      </c>
      <c r="AT192" s="747">
        <f>SUM(G192:J192)</f>
        <v>0</v>
      </c>
      <c r="AU192" s="747">
        <f>SUM(K192:N192)</f>
        <v>0</v>
      </c>
      <c r="AV192" s="747">
        <f>SUM(O192:R192)</f>
        <v>0</v>
      </c>
      <c r="AW192" s="747">
        <f>SUM(S192:V192)</f>
        <v>0</v>
      </c>
      <c r="AX192" s="747">
        <f>SUM(W192:Z192)</f>
        <v>1985</v>
      </c>
      <c r="AY192" s="747">
        <f>SUM(AA192:AD192)</f>
        <v>2161</v>
      </c>
      <c r="AZ192" s="747">
        <f>SUM(AE192:AH192)</f>
        <v>534</v>
      </c>
      <c r="BA192" s="747"/>
      <c r="BB192" s="747"/>
    </row>
    <row r="193" spans="2:54" s="721" customFormat="1">
      <c r="B193" s="749" t="s">
        <v>356</v>
      </c>
      <c r="C193" s="827"/>
      <c r="D193" s="828"/>
      <c r="E193" s="828"/>
      <c r="F193" s="829"/>
      <c r="G193" s="827"/>
      <c r="H193" s="828"/>
      <c r="I193" s="828"/>
      <c r="J193" s="829"/>
      <c r="K193" s="827"/>
      <c r="L193" s="828"/>
      <c r="M193" s="828"/>
      <c r="N193" s="829"/>
      <c r="O193" s="827"/>
      <c r="P193" s="828"/>
      <c r="Q193" s="828"/>
      <c r="R193" s="829"/>
      <c r="S193" s="853"/>
      <c r="T193" s="854"/>
      <c r="U193" s="854"/>
      <c r="V193" s="855"/>
      <c r="W193" s="827">
        <f>W189-W192</f>
        <v>0</v>
      </c>
      <c r="X193" s="828">
        <f t="shared" ref="X193:AD193" si="718">X189-X192</f>
        <v>0</v>
      </c>
      <c r="Y193" s="828">
        <f t="shared" si="718"/>
        <v>0</v>
      </c>
      <c r="Z193" s="829">
        <f t="shared" si="718"/>
        <v>0</v>
      </c>
      <c r="AA193" s="827">
        <f t="shared" si="718"/>
        <v>0</v>
      </c>
      <c r="AB193" s="828">
        <f t="shared" si="718"/>
        <v>0</v>
      </c>
      <c r="AC193" s="828">
        <f t="shared" si="718"/>
        <v>0</v>
      </c>
      <c r="AD193" s="1079">
        <f t="shared" si="718"/>
        <v>0</v>
      </c>
      <c r="AE193" s="827">
        <f t="shared" ref="AE193" si="719">AE189-AE192</f>
        <v>0</v>
      </c>
      <c r="AF193" s="828">
        <f t="shared" ref="AF193:AH193" si="720">AF189-AF192</f>
        <v>0</v>
      </c>
      <c r="AG193" s="828">
        <f t="shared" si="720"/>
        <v>0</v>
      </c>
      <c r="AH193" s="828">
        <f t="shared" si="720"/>
        <v>0</v>
      </c>
      <c r="AI193" s="1153">
        <f t="shared" ref="AI193:AL193" si="721">AI189-AI192</f>
        <v>0</v>
      </c>
      <c r="AJ193" s="828">
        <f t="shared" si="721"/>
        <v>0</v>
      </c>
      <c r="AK193" s="828">
        <f t="shared" si="721"/>
        <v>0</v>
      </c>
      <c r="AL193" s="1079">
        <f t="shared" si="721"/>
        <v>0</v>
      </c>
      <c r="AM193" s="1153">
        <f t="shared" ref="AM193:AP193" si="722">AM189-AM192</f>
        <v>0</v>
      </c>
      <c r="AN193" s="828">
        <f t="shared" si="722"/>
        <v>0</v>
      </c>
      <c r="AO193" s="828">
        <f t="shared" si="722"/>
        <v>0</v>
      </c>
      <c r="AP193" s="1079">
        <f t="shared" si="722"/>
        <v>0</v>
      </c>
      <c r="AQ193" s="830"/>
      <c r="AS193" s="732"/>
      <c r="AT193" s="732"/>
      <c r="AU193" s="732"/>
      <c r="AV193" s="732"/>
      <c r="AW193" s="732"/>
      <c r="AX193" s="732"/>
      <c r="AY193" s="732"/>
      <c r="AZ193" s="732"/>
      <c r="BA193" s="732"/>
      <c r="BB193" s="732"/>
    </row>
    <row r="194" spans="2:54" s="721" customFormat="1">
      <c r="B194" s="832"/>
      <c r="C194" s="827"/>
      <c r="D194" s="828"/>
      <c r="E194" s="828"/>
      <c r="F194" s="829"/>
      <c r="G194" s="827"/>
      <c r="H194" s="828"/>
      <c r="I194" s="828"/>
      <c r="J194" s="829"/>
      <c r="K194" s="827"/>
      <c r="L194" s="828"/>
      <c r="M194" s="828"/>
      <c r="N194" s="829"/>
      <c r="O194" s="827"/>
      <c r="P194" s="828"/>
      <c r="Q194" s="828"/>
      <c r="R194" s="829"/>
      <c r="S194" s="827"/>
      <c r="T194" s="828"/>
      <c r="U194" s="828"/>
      <c r="V194" s="829"/>
      <c r="W194" s="827"/>
      <c r="X194" s="828"/>
      <c r="Y194" s="828"/>
      <c r="Z194" s="829"/>
      <c r="AA194" s="720"/>
      <c r="AD194" s="1064"/>
      <c r="AE194" s="720"/>
      <c r="AI194" s="1154"/>
      <c r="AL194" s="1064"/>
      <c r="AM194" s="1154"/>
      <c r="AP194" s="1064"/>
      <c r="AQ194" s="830"/>
      <c r="AS194" s="831"/>
      <c r="AT194" s="831"/>
      <c r="AU194" s="831"/>
      <c r="AV194" s="831"/>
      <c r="AW194" s="831"/>
      <c r="AX194" s="831"/>
      <c r="AY194" s="831"/>
      <c r="AZ194" s="831"/>
      <c r="BA194" s="831"/>
      <c r="BB194" s="831"/>
    </row>
    <row r="195" spans="2:54" s="721" customFormat="1">
      <c r="B195" s="832" t="s">
        <v>303</v>
      </c>
      <c r="C195" s="764">
        <v>50</v>
      </c>
      <c r="D195" s="765">
        <v>50</v>
      </c>
      <c r="E195" s="765">
        <v>50</v>
      </c>
      <c r="F195" s="766">
        <v>50</v>
      </c>
      <c r="G195" s="764">
        <v>50</v>
      </c>
      <c r="H195" s="765">
        <v>50</v>
      </c>
      <c r="I195" s="765">
        <v>50</v>
      </c>
      <c r="J195" s="766">
        <v>50</v>
      </c>
      <c r="K195" s="764">
        <v>50</v>
      </c>
      <c r="L195" s="765">
        <v>50</v>
      </c>
      <c r="M195" s="765">
        <v>50</v>
      </c>
      <c r="N195" s="766">
        <v>50</v>
      </c>
      <c r="O195" s="726">
        <f>O263</f>
        <v>68</v>
      </c>
      <c r="P195" s="727">
        <f t="shared" ref="P195:S195" si="723">P263</f>
        <v>76</v>
      </c>
      <c r="Q195" s="727">
        <f t="shared" si="723"/>
        <v>76</v>
      </c>
      <c r="R195" s="728">
        <f t="shared" si="723"/>
        <v>92</v>
      </c>
      <c r="S195" s="726">
        <f t="shared" si="723"/>
        <v>90</v>
      </c>
      <c r="T195" s="727">
        <f>T263</f>
        <v>85</v>
      </c>
      <c r="U195" s="727">
        <f t="shared" ref="U195:AA195" si="724">U263</f>
        <v>74</v>
      </c>
      <c r="V195" s="728">
        <f t="shared" si="724"/>
        <v>97</v>
      </c>
      <c r="W195" s="726">
        <f t="shared" si="724"/>
        <v>71</v>
      </c>
      <c r="X195" s="727">
        <f t="shared" si="724"/>
        <v>72</v>
      </c>
      <c r="Y195" s="727">
        <f t="shared" si="724"/>
        <v>80</v>
      </c>
      <c r="Z195" s="728">
        <f t="shared" si="724"/>
        <v>99</v>
      </c>
      <c r="AA195" s="731">
        <f t="shared" si="724"/>
        <v>80</v>
      </c>
      <c r="AB195" s="727">
        <f t="shared" ref="AB195:AE195" si="725">AB263</f>
        <v>75</v>
      </c>
      <c r="AC195" s="727">
        <f t="shared" si="725"/>
        <v>84</v>
      </c>
      <c r="AD195" s="1063">
        <f t="shared" si="725"/>
        <v>109</v>
      </c>
      <c r="AE195" s="731">
        <f t="shared" si="725"/>
        <v>89</v>
      </c>
      <c r="AI195" s="1154"/>
      <c r="AL195" s="1064"/>
      <c r="AM195" s="1154"/>
      <c r="AP195" s="1064"/>
      <c r="AQ195" s="830"/>
      <c r="AS195" s="729">
        <f>SUM(C195:F195)</f>
        <v>200</v>
      </c>
      <c r="AT195" s="729">
        <f>SUM(G195:J195)</f>
        <v>200</v>
      </c>
      <c r="AU195" s="729">
        <f>SUM(K195:N195)</f>
        <v>200</v>
      </c>
      <c r="AV195" s="729">
        <f>SUM(O195:R195)</f>
        <v>312</v>
      </c>
      <c r="AW195" s="782">
        <f>SUM(S195:V195)</f>
        <v>346</v>
      </c>
      <c r="AX195" s="782">
        <f>SUM(W195:Z195)</f>
        <v>322</v>
      </c>
      <c r="AY195" s="782">
        <f>SUM(AA195:AD195)</f>
        <v>348</v>
      </c>
      <c r="AZ195" s="782"/>
      <c r="BA195" s="782"/>
      <c r="BB195" s="782"/>
    </row>
    <row r="196" spans="2:54" s="721" customFormat="1">
      <c r="B196" s="754" t="s">
        <v>97</v>
      </c>
      <c r="C196" s="827"/>
      <c r="D196" s="810">
        <f t="shared" ref="D196:O196" si="726">D195/C195-1</f>
        <v>0</v>
      </c>
      <c r="E196" s="810">
        <f t="shared" si="726"/>
        <v>0</v>
      </c>
      <c r="F196" s="811">
        <f t="shared" si="726"/>
        <v>0</v>
      </c>
      <c r="G196" s="834">
        <f t="shared" si="726"/>
        <v>0</v>
      </c>
      <c r="H196" s="810">
        <f t="shared" si="726"/>
        <v>0</v>
      </c>
      <c r="I196" s="810">
        <f t="shared" si="726"/>
        <v>0</v>
      </c>
      <c r="J196" s="811">
        <f t="shared" si="726"/>
        <v>0</v>
      </c>
      <c r="K196" s="834">
        <f t="shared" si="726"/>
        <v>0</v>
      </c>
      <c r="L196" s="810">
        <f t="shared" si="726"/>
        <v>0</v>
      </c>
      <c r="M196" s="810">
        <f t="shared" si="726"/>
        <v>0</v>
      </c>
      <c r="N196" s="811">
        <f t="shared" si="726"/>
        <v>0</v>
      </c>
      <c r="O196" s="834">
        <f t="shared" si="726"/>
        <v>0.3600000000000001</v>
      </c>
      <c r="P196" s="846">
        <f>P195/O195-1</f>
        <v>0.11764705882352944</v>
      </c>
      <c r="Q196" s="856">
        <f t="shared" ref="Q196:R196" si="727">Q195/P195-1</f>
        <v>0</v>
      </c>
      <c r="R196" s="843">
        <f t="shared" si="727"/>
        <v>0.21052631578947367</v>
      </c>
      <c r="S196" s="834">
        <f>S195/R195-1</f>
        <v>-2.1739130434782594E-2</v>
      </c>
      <c r="T196" s="846">
        <f>T195/S195-1</f>
        <v>-5.555555555555558E-2</v>
      </c>
      <c r="U196" s="856">
        <f>U195/T195-1</f>
        <v>-0.12941176470588234</v>
      </c>
      <c r="V196" s="843">
        <f t="shared" ref="V196" si="728">V195/U195-1</f>
        <v>0.31081081081081074</v>
      </c>
      <c r="W196" s="834">
        <f>W195/V195-1</f>
        <v>-0.26804123711340211</v>
      </c>
      <c r="X196" s="846">
        <f>X195/W195-1</f>
        <v>1.4084507042253502E-2</v>
      </c>
      <c r="Y196" s="856">
        <f t="shared" ref="Y196:Z196" si="729">Y195/X195-1</f>
        <v>0.11111111111111116</v>
      </c>
      <c r="Z196" s="843">
        <f t="shared" si="729"/>
        <v>0.23750000000000004</v>
      </c>
      <c r="AA196" s="834">
        <f>AA195/Z195-1</f>
        <v>-0.19191919191919193</v>
      </c>
      <c r="AB196" s="846">
        <f>AB195/AA195-1</f>
        <v>-6.25E-2</v>
      </c>
      <c r="AC196" s="846">
        <f>AC195/AB195-1</f>
        <v>0.12000000000000011</v>
      </c>
      <c r="AD196" s="1077">
        <f>AD195/AC195-1</f>
        <v>0.29761904761904767</v>
      </c>
      <c r="AE196" s="834">
        <f>AE195/AD195-1</f>
        <v>-0.1834862385321101</v>
      </c>
      <c r="AI196" s="1154"/>
      <c r="AL196" s="1064"/>
      <c r="AM196" s="1154"/>
      <c r="AP196" s="1064"/>
      <c r="AQ196" s="830"/>
      <c r="AS196" s="831"/>
      <c r="AT196" s="756">
        <f t="shared" ref="AT196:AY196" si="730">AT195/AS195-1</f>
        <v>0</v>
      </c>
      <c r="AU196" s="756">
        <f t="shared" si="730"/>
        <v>0</v>
      </c>
      <c r="AV196" s="756">
        <f t="shared" si="730"/>
        <v>0.56000000000000005</v>
      </c>
      <c r="AW196" s="756">
        <f t="shared" si="730"/>
        <v>0.10897435897435903</v>
      </c>
      <c r="AX196" s="756">
        <f t="shared" si="730"/>
        <v>-6.9364161849710948E-2</v>
      </c>
      <c r="AY196" s="756">
        <f t="shared" si="730"/>
        <v>8.0745341614906874E-2</v>
      </c>
      <c r="AZ196" s="756"/>
      <c r="BA196" s="756"/>
      <c r="BB196" s="756"/>
    </row>
    <row r="197" spans="2:54" s="721" customFormat="1">
      <c r="B197" s="832"/>
      <c r="C197" s="827"/>
      <c r="D197" s="828"/>
      <c r="E197" s="828"/>
      <c r="F197" s="829"/>
      <c r="G197" s="827"/>
      <c r="H197" s="828"/>
      <c r="I197" s="828"/>
      <c r="J197" s="829"/>
      <c r="K197" s="827"/>
      <c r="L197" s="828"/>
      <c r="M197" s="828"/>
      <c r="N197" s="829"/>
      <c r="O197" s="827"/>
      <c r="P197" s="828"/>
      <c r="Q197" s="828"/>
      <c r="R197" s="829"/>
      <c r="S197" s="827"/>
      <c r="T197" s="828"/>
      <c r="U197" s="828"/>
      <c r="V197" s="829"/>
      <c r="W197" s="827"/>
      <c r="X197" s="828"/>
      <c r="Y197" s="828"/>
      <c r="Z197" s="829"/>
      <c r="AA197" s="720"/>
      <c r="AD197" s="1064"/>
      <c r="AE197" s="720"/>
      <c r="AI197" s="1154"/>
      <c r="AL197" s="1064"/>
      <c r="AM197" s="1154"/>
      <c r="AP197" s="1064"/>
      <c r="AQ197" s="830"/>
      <c r="AS197" s="831"/>
    </row>
    <row r="198" spans="2:54" s="721" customFormat="1">
      <c r="B198" s="832" t="s">
        <v>448</v>
      </c>
      <c r="C198" s="827"/>
      <c r="D198" s="828"/>
      <c r="E198" s="828"/>
      <c r="F198" s="829"/>
      <c r="G198" s="764">
        <v>20</v>
      </c>
      <c r="H198" s="765">
        <v>20</v>
      </c>
      <c r="I198" s="765">
        <v>20</v>
      </c>
      <c r="J198" s="766">
        <v>20</v>
      </c>
      <c r="K198" s="764">
        <v>30</v>
      </c>
      <c r="L198" s="765">
        <v>30</v>
      </c>
      <c r="M198" s="765">
        <v>30</v>
      </c>
      <c r="N198" s="766">
        <v>30</v>
      </c>
      <c r="O198" s="764">
        <v>50</v>
      </c>
      <c r="P198" s="765">
        <v>50</v>
      </c>
      <c r="Q198" s="765">
        <v>50</v>
      </c>
      <c r="R198" s="766">
        <v>50</v>
      </c>
      <c r="S198" s="764">
        <v>53</v>
      </c>
      <c r="T198" s="765">
        <v>48</v>
      </c>
      <c r="U198" s="765">
        <v>58</v>
      </c>
      <c r="V198" s="766">
        <v>47</v>
      </c>
      <c r="W198" s="726">
        <f>W271</f>
        <v>55</v>
      </c>
      <c r="X198" s="727">
        <f>X271</f>
        <v>46</v>
      </c>
      <c r="Y198" s="727">
        <f>Y271</f>
        <v>50</v>
      </c>
      <c r="Z198" s="728">
        <f>Z271</f>
        <v>31</v>
      </c>
      <c r="AA198" s="764">
        <v>30</v>
      </c>
      <c r="AB198" s="990">
        <v>30</v>
      </c>
      <c r="AC198" s="990">
        <v>15</v>
      </c>
      <c r="AD198" s="1085">
        <v>15</v>
      </c>
      <c r="AE198" s="764">
        <v>0</v>
      </c>
      <c r="AF198" s="842">
        <v>0</v>
      </c>
      <c r="AG198" s="842">
        <v>0</v>
      </c>
      <c r="AH198" s="842">
        <v>0</v>
      </c>
      <c r="AI198" s="1155">
        <v>0</v>
      </c>
      <c r="AJ198" s="842">
        <v>0</v>
      </c>
      <c r="AK198" s="842">
        <v>0</v>
      </c>
      <c r="AL198" s="1074">
        <v>0</v>
      </c>
      <c r="AM198" s="1155">
        <v>0</v>
      </c>
      <c r="AN198" s="842">
        <v>0</v>
      </c>
      <c r="AO198" s="842">
        <v>0</v>
      </c>
      <c r="AP198" s="1074">
        <v>0</v>
      </c>
      <c r="AQ198" s="830"/>
      <c r="AS198" s="729">
        <f>SUM(C198:F198)</f>
        <v>0</v>
      </c>
      <c r="AT198" s="729">
        <f>SUM(G198:J198)</f>
        <v>80</v>
      </c>
      <c r="AU198" s="729">
        <f>SUM(K198:N198)</f>
        <v>120</v>
      </c>
      <c r="AV198" s="729">
        <f>SUM(O198:R198)</f>
        <v>200</v>
      </c>
      <c r="AW198" s="782">
        <f>SUM(S198:V198)</f>
        <v>206</v>
      </c>
      <c r="AX198" s="782">
        <f>SUM(W198:Z198)</f>
        <v>182</v>
      </c>
      <c r="AY198" s="782">
        <f>SUM(AA198:AD198)</f>
        <v>90</v>
      </c>
      <c r="AZ198" s="782">
        <f>SUM(AE198:AH198)</f>
        <v>0</v>
      </c>
      <c r="BA198" s="782">
        <f>SUM(AI198:AL198)</f>
        <v>0</v>
      </c>
      <c r="BB198" s="782">
        <f>SUM(AM198:AP198)</f>
        <v>0</v>
      </c>
    </row>
    <row r="199" spans="2:54" s="721" customFormat="1">
      <c r="B199" s="832"/>
      <c r="C199" s="827"/>
      <c r="D199" s="828"/>
      <c r="E199" s="828"/>
      <c r="F199" s="829"/>
      <c r="G199" s="764"/>
      <c r="H199" s="765"/>
      <c r="I199" s="765"/>
      <c r="J199" s="766"/>
      <c r="K199" s="764"/>
      <c r="L199" s="765"/>
      <c r="M199" s="765"/>
      <c r="N199" s="766"/>
      <c r="O199" s="764"/>
      <c r="P199" s="765"/>
      <c r="Q199" s="765"/>
      <c r="R199" s="766"/>
      <c r="S199" s="764"/>
      <c r="T199" s="765"/>
      <c r="U199" s="765"/>
      <c r="V199" s="766"/>
      <c r="W199" s="726"/>
      <c r="X199" s="727"/>
      <c r="Y199" s="727"/>
      <c r="Z199" s="728"/>
      <c r="AA199" s="764"/>
      <c r="AD199" s="1064"/>
      <c r="AE199" s="764"/>
      <c r="AI199" s="1154"/>
      <c r="AL199" s="1064"/>
      <c r="AM199" s="1154"/>
      <c r="AP199" s="1064"/>
      <c r="AQ199" s="830"/>
      <c r="AS199" s="831"/>
      <c r="AT199" s="831"/>
      <c r="AU199" s="831"/>
      <c r="AV199" s="831"/>
      <c r="AW199" s="782"/>
      <c r="AX199" s="782"/>
      <c r="AY199" s="782"/>
      <c r="AZ199" s="782"/>
      <c r="BA199" s="782"/>
      <c r="BB199" s="782"/>
    </row>
    <row r="200" spans="2:54" s="721" customFormat="1">
      <c r="B200" s="749" t="s">
        <v>449</v>
      </c>
      <c r="C200" s="827"/>
      <c r="D200" s="828"/>
      <c r="E200" s="828"/>
      <c r="F200" s="829"/>
      <c r="G200" s="726">
        <f>G189+G195+G198</f>
        <v>240</v>
      </c>
      <c r="H200" s="727">
        <f t="shared" ref="H200:N200" si="731">H189+H195+H198</f>
        <v>511</v>
      </c>
      <c r="I200" s="727">
        <f t="shared" si="731"/>
        <v>541</v>
      </c>
      <c r="J200" s="728">
        <f t="shared" si="731"/>
        <v>578</v>
      </c>
      <c r="K200" s="726">
        <f t="shared" si="731"/>
        <v>571</v>
      </c>
      <c r="L200" s="727">
        <f t="shared" si="731"/>
        <v>586</v>
      </c>
      <c r="M200" s="727">
        <f t="shared" si="731"/>
        <v>588</v>
      </c>
      <c r="N200" s="728">
        <f t="shared" si="731"/>
        <v>636</v>
      </c>
      <c r="O200" s="726">
        <f>O189+O198</f>
        <v>520</v>
      </c>
      <c r="P200" s="727">
        <f t="shared" ref="P200:R200" si="732">P189+P198</f>
        <v>534</v>
      </c>
      <c r="Q200" s="727">
        <f t="shared" si="732"/>
        <v>545</v>
      </c>
      <c r="R200" s="728">
        <f t="shared" si="732"/>
        <v>591</v>
      </c>
      <c r="S200" s="726">
        <f>S189+S198</f>
        <v>553</v>
      </c>
      <c r="T200" s="727">
        <f t="shared" ref="T200:AA200" si="733">T189+T198</f>
        <v>548</v>
      </c>
      <c r="U200" s="727">
        <f t="shared" si="733"/>
        <v>558</v>
      </c>
      <c r="V200" s="728">
        <f t="shared" si="733"/>
        <v>557</v>
      </c>
      <c r="W200" s="726">
        <f t="shared" si="733"/>
        <v>534</v>
      </c>
      <c r="X200" s="727">
        <f t="shared" si="733"/>
        <v>534</v>
      </c>
      <c r="Y200" s="727">
        <f t="shared" si="733"/>
        <v>556</v>
      </c>
      <c r="Z200" s="728">
        <f t="shared" si="733"/>
        <v>543</v>
      </c>
      <c r="AA200" s="726">
        <f t="shared" si="733"/>
        <v>567</v>
      </c>
      <c r="AB200" s="997">
        <f t="shared" ref="AB200:AE200" si="734">AB189+AB198</f>
        <v>567</v>
      </c>
      <c r="AC200" s="997">
        <f t="shared" si="734"/>
        <v>552</v>
      </c>
      <c r="AD200" s="1081">
        <f t="shared" si="734"/>
        <v>565</v>
      </c>
      <c r="AE200" s="726">
        <f t="shared" si="734"/>
        <v>534</v>
      </c>
      <c r="AF200" s="727">
        <f t="shared" ref="AF200:AH200" si="735">AF189+AF198</f>
        <v>0</v>
      </c>
      <c r="AG200" s="727">
        <f t="shared" si="735"/>
        <v>0</v>
      </c>
      <c r="AH200" s="727">
        <f t="shared" si="735"/>
        <v>0</v>
      </c>
      <c r="AI200" s="1149">
        <f t="shared" ref="AI200:AL200" si="736">AI189+AI198</f>
        <v>0</v>
      </c>
      <c r="AJ200" s="727">
        <f t="shared" si="736"/>
        <v>0</v>
      </c>
      <c r="AK200" s="727">
        <f t="shared" si="736"/>
        <v>0</v>
      </c>
      <c r="AL200" s="1063">
        <f t="shared" si="736"/>
        <v>0</v>
      </c>
      <c r="AM200" s="1149">
        <f t="shared" ref="AM200:AP200" si="737">AM189+AM198</f>
        <v>0</v>
      </c>
      <c r="AN200" s="727">
        <f t="shared" si="737"/>
        <v>0</v>
      </c>
      <c r="AO200" s="727">
        <f t="shared" si="737"/>
        <v>0</v>
      </c>
      <c r="AP200" s="1063">
        <f t="shared" si="737"/>
        <v>0</v>
      </c>
      <c r="AQ200" s="830"/>
      <c r="AS200" s="729">
        <f>SUM(C200:F200)</f>
        <v>0</v>
      </c>
      <c r="AT200" s="729">
        <f>SUM(G200:J200)</f>
        <v>1870</v>
      </c>
      <c r="AU200" s="729">
        <f>SUM(K200:N200)</f>
        <v>2381</v>
      </c>
      <c r="AV200" s="729">
        <f>SUM(O200:R200)</f>
        <v>2190</v>
      </c>
      <c r="AW200" s="782">
        <f>SUM(S200:V200)</f>
        <v>2216</v>
      </c>
      <c r="AX200" s="782">
        <f>SUM(W200:Z200)</f>
        <v>2167</v>
      </c>
      <c r="AY200" s="782">
        <f>SUM(AA200:AD200)</f>
        <v>2251</v>
      </c>
      <c r="AZ200" s="782">
        <f>SUM(AE200:AH200)</f>
        <v>534</v>
      </c>
      <c r="BA200" s="782">
        <f>SUM(AI200:AL200)</f>
        <v>0</v>
      </c>
      <c r="BB200" s="782">
        <f>SUM(AM200:AP200)</f>
        <v>0</v>
      </c>
    </row>
    <row r="201" spans="2:54" s="721" customFormat="1">
      <c r="B201" s="754" t="s">
        <v>97</v>
      </c>
      <c r="C201" s="827"/>
      <c r="D201" s="828"/>
      <c r="E201" s="828"/>
      <c r="F201" s="829"/>
      <c r="G201" s="827"/>
      <c r="H201" s="810">
        <f t="shared" ref="H201:O201" si="738">H200/G200-1</f>
        <v>1.1291666666666669</v>
      </c>
      <c r="I201" s="810">
        <f t="shared" si="738"/>
        <v>5.8708414872798542E-2</v>
      </c>
      <c r="J201" s="811">
        <f t="shared" si="738"/>
        <v>6.8391866913123822E-2</v>
      </c>
      <c r="K201" s="834">
        <f t="shared" si="738"/>
        <v>-1.2110726643598579E-2</v>
      </c>
      <c r="L201" s="810">
        <f t="shared" si="738"/>
        <v>2.6269702276707552E-2</v>
      </c>
      <c r="M201" s="810">
        <f t="shared" si="738"/>
        <v>3.4129692832765013E-3</v>
      </c>
      <c r="N201" s="811">
        <f t="shared" si="738"/>
        <v>8.163265306122458E-2</v>
      </c>
      <c r="O201" s="834">
        <f t="shared" si="738"/>
        <v>-0.1823899371069182</v>
      </c>
      <c r="P201" s="846">
        <f>P200/O200-1</f>
        <v>2.6923076923076827E-2</v>
      </c>
      <c r="Q201" s="856">
        <f t="shared" ref="Q201:R201" si="739">Q200/P200-1</f>
        <v>2.0599250936329527E-2</v>
      </c>
      <c r="R201" s="843">
        <f t="shared" si="739"/>
        <v>8.4403669724770536E-2</v>
      </c>
      <c r="S201" s="834">
        <f>S200/R200-1</f>
        <v>-6.4297800338409483E-2</v>
      </c>
      <c r="T201" s="846">
        <f>T200/S200-1</f>
        <v>-9.0415913200723175E-3</v>
      </c>
      <c r="U201" s="856">
        <f t="shared" ref="U201:V201" si="740">U200/T200-1</f>
        <v>1.8248175182481674E-2</v>
      </c>
      <c r="V201" s="843">
        <f t="shared" si="740"/>
        <v>-1.7921146953404632E-3</v>
      </c>
      <c r="W201" s="834">
        <f>W200/V200-1</f>
        <v>-4.129263913824055E-2</v>
      </c>
      <c r="X201" s="846">
        <f>X200/W200-1</f>
        <v>0</v>
      </c>
      <c r="Y201" s="856">
        <f t="shared" ref="Y201:Z201" si="741">Y200/X200-1</f>
        <v>4.1198501872659277E-2</v>
      </c>
      <c r="Z201" s="843">
        <f t="shared" si="741"/>
        <v>-2.3381294964028743E-2</v>
      </c>
      <c r="AA201" s="834">
        <f>AA200/Z200-1</f>
        <v>4.4198895027624419E-2</v>
      </c>
      <c r="AB201" s="999">
        <f>AB200/AA200-1</f>
        <v>0</v>
      </c>
      <c r="AC201" s="999">
        <f>AC200/AB200-1</f>
        <v>-2.6455026455026509E-2</v>
      </c>
      <c r="AD201" s="1082">
        <f>AD200/AC200-1</f>
        <v>2.3550724637681153E-2</v>
      </c>
      <c r="AE201" s="834">
        <f>AE200/AD200-1</f>
        <v>-5.4867256637168182E-2</v>
      </c>
      <c r="AF201" s="846"/>
      <c r="AG201" s="856"/>
      <c r="AH201" s="856"/>
      <c r="AI201" s="1156"/>
      <c r="AJ201" s="846"/>
      <c r="AK201" s="856"/>
      <c r="AL201" s="1157"/>
      <c r="AM201" s="1156"/>
      <c r="AN201" s="846"/>
      <c r="AO201" s="856"/>
      <c r="AP201" s="1157"/>
      <c r="AQ201" s="830"/>
      <c r="AS201" s="831"/>
      <c r="AT201" s="831"/>
      <c r="AU201" s="831"/>
      <c r="AV201" s="831"/>
      <c r="AW201" s="831"/>
      <c r="AX201" s="831"/>
      <c r="AY201" s="831"/>
      <c r="AZ201" s="831"/>
      <c r="BA201" s="831"/>
      <c r="BB201" s="831"/>
    </row>
    <row r="202" spans="2:54" s="721" customFormat="1">
      <c r="B202" s="754" t="s">
        <v>98</v>
      </c>
      <c r="C202" s="827"/>
      <c r="D202" s="828"/>
      <c r="E202" s="828"/>
      <c r="F202" s="829"/>
      <c r="G202" s="827"/>
      <c r="H202" s="828"/>
      <c r="I202" s="828"/>
      <c r="J202" s="829"/>
      <c r="K202" s="834">
        <f t="shared" ref="K202:V202" si="742">K200/G200-1</f>
        <v>1.3791666666666669</v>
      </c>
      <c r="L202" s="810">
        <f t="shared" si="742"/>
        <v>0.14677103718199613</v>
      </c>
      <c r="M202" s="810">
        <f t="shared" si="742"/>
        <v>8.687615526802217E-2</v>
      </c>
      <c r="N202" s="811">
        <f t="shared" si="742"/>
        <v>0.10034602076124566</v>
      </c>
      <c r="O202" s="834">
        <f t="shared" si="742"/>
        <v>-8.9316987740805653E-2</v>
      </c>
      <c r="P202" s="810">
        <f t="shared" si="742"/>
        <v>-8.8737201365187701E-2</v>
      </c>
      <c r="Q202" s="810">
        <f t="shared" si="742"/>
        <v>-7.3129251700680298E-2</v>
      </c>
      <c r="R202" s="811">
        <f t="shared" si="742"/>
        <v>-7.0754716981132115E-2</v>
      </c>
      <c r="S202" s="834">
        <f t="shared" si="742"/>
        <v>6.3461538461538458E-2</v>
      </c>
      <c r="T202" s="810">
        <f t="shared" si="742"/>
        <v>2.621722846441954E-2</v>
      </c>
      <c r="U202" s="810">
        <f t="shared" si="742"/>
        <v>2.3853211009174258E-2</v>
      </c>
      <c r="V202" s="811">
        <f t="shared" si="742"/>
        <v>-5.7529610829103239E-2</v>
      </c>
      <c r="W202" s="768">
        <f>W200/S200-1</f>
        <v>-3.4358047016274873E-2</v>
      </c>
      <c r="X202" s="769">
        <f t="shared" ref="X202:AE202" si="743">X200/T200-1</f>
        <v>-2.5547445255474477E-2</v>
      </c>
      <c r="Y202" s="769">
        <f t="shared" si="743"/>
        <v>-3.5842293906810374E-3</v>
      </c>
      <c r="Z202" s="770">
        <f t="shared" si="743"/>
        <v>-2.5134649910233398E-2</v>
      </c>
      <c r="AA202" s="768">
        <f t="shared" si="743"/>
        <v>6.1797752808988804E-2</v>
      </c>
      <c r="AB202" s="1000">
        <f t="shared" si="743"/>
        <v>6.1797752808988804E-2</v>
      </c>
      <c r="AC202" s="1000">
        <f t="shared" si="743"/>
        <v>-7.194244604316502E-3</v>
      </c>
      <c r="AD202" s="1083">
        <f t="shared" si="743"/>
        <v>4.051565377532218E-2</v>
      </c>
      <c r="AE202" s="768">
        <f t="shared" si="743"/>
        <v>-5.8201058201058253E-2</v>
      </c>
      <c r="AF202" s="769"/>
      <c r="AG202" s="769"/>
      <c r="AH202" s="769"/>
      <c r="AI202" s="1158"/>
      <c r="AJ202" s="769"/>
      <c r="AK202" s="769"/>
      <c r="AL202" s="1065"/>
      <c r="AM202" s="1158"/>
      <c r="AN202" s="769"/>
      <c r="AO202" s="769"/>
      <c r="AP202" s="1065"/>
      <c r="AQ202" s="830"/>
      <c r="AS202" s="831"/>
      <c r="AT202" s="756"/>
      <c r="AU202" s="756">
        <f t="shared" ref="AU202:AW202" si="744">AU200/AT200-1</f>
        <v>0.27326203208556143</v>
      </c>
      <c r="AV202" s="756">
        <f t="shared" si="744"/>
        <v>-8.0218395632087325E-2</v>
      </c>
      <c r="AW202" s="756">
        <f t="shared" si="744"/>
        <v>1.1872146118721449E-2</v>
      </c>
      <c r="AX202" s="756">
        <f>AX200/AW200-1</f>
        <v>-2.2111913357400703E-2</v>
      </c>
      <c r="AY202" s="756">
        <f>AY200/AX200-1</f>
        <v>3.8763267189663164E-2</v>
      </c>
      <c r="AZ202" s="756">
        <f>AZ200/AY200-1</f>
        <v>-0.7627721012883163</v>
      </c>
      <c r="BA202" s="756">
        <f>BA200/AZ200-1</f>
        <v>-1</v>
      </c>
      <c r="BB202" s="756"/>
    </row>
    <row r="203" spans="2:54" s="745" customFormat="1">
      <c r="B203" s="741" t="s">
        <v>450</v>
      </c>
      <c r="C203" s="742"/>
      <c r="D203" s="743"/>
      <c r="E203" s="743"/>
      <c r="F203" s="744"/>
      <c r="G203" s="742">
        <f t="shared" ref="G203:N203" si="745">G273</f>
        <v>240</v>
      </c>
      <c r="H203" s="743">
        <f t="shared" si="745"/>
        <v>511</v>
      </c>
      <c r="I203" s="743">
        <f t="shared" si="745"/>
        <v>541</v>
      </c>
      <c r="J203" s="744">
        <f t="shared" si="745"/>
        <v>578</v>
      </c>
      <c r="K203" s="742">
        <f t="shared" si="745"/>
        <v>571</v>
      </c>
      <c r="L203" s="743">
        <f t="shared" si="745"/>
        <v>586</v>
      </c>
      <c r="M203" s="743">
        <f t="shared" si="745"/>
        <v>588</v>
      </c>
      <c r="N203" s="744">
        <f t="shared" si="745"/>
        <v>636</v>
      </c>
      <c r="O203" s="742">
        <f t="shared" ref="O203:Q203" si="746">O265</f>
        <v>520</v>
      </c>
      <c r="P203" s="743">
        <f t="shared" si="746"/>
        <v>534</v>
      </c>
      <c r="Q203" s="743">
        <f t="shared" si="746"/>
        <v>545</v>
      </c>
      <c r="R203" s="744">
        <f>R265</f>
        <v>591</v>
      </c>
      <c r="S203" s="742">
        <f>S265</f>
        <v>553</v>
      </c>
      <c r="T203" s="743">
        <f t="shared" ref="T203:Z203" si="747">T265</f>
        <v>548</v>
      </c>
      <c r="U203" s="743">
        <f t="shared" si="747"/>
        <v>558</v>
      </c>
      <c r="V203" s="744">
        <f t="shared" si="747"/>
        <v>557</v>
      </c>
      <c r="W203" s="742">
        <f t="shared" si="747"/>
        <v>534</v>
      </c>
      <c r="X203" s="743">
        <f t="shared" si="747"/>
        <v>534</v>
      </c>
      <c r="Y203" s="743">
        <f t="shared" si="747"/>
        <v>556</v>
      </c>
      <c r="Z203" s="744">
        <f t="shared" si="747"/>
        <v>543</v>
      </c>
      <c r="AA203" s="742">
        <f>AA265</f>
        <v>567</v>
      </c>
      <c r="AB203" s="1001">
        <f>AB265</f>
        <v>567</v>
      </c>
      <c r="AC203" s="848">
        <f t="shared" ref="AC203:AD203" si="748">AC200</f>
        <v>552</v>
      </c>
      <c r="AD203" s="849">
        <f t="shared" si="748"/>
        <v>565</v>
      </c>
      <c r="AE203" s="742">
        <f>AE265</f>
        <v>534</v>
      </c>
      <c r="AF203" s="848">
        <f t="shared" ref="AF203:AH203" si="749">AF200</f>
        <v>0</v>
      </c>
      <c r="AG203" s="848">
        <f t="shared" si="749"/>
        <v>0</v>
      </c>
      <c r="AH203" s="848">
        <f t="shared" si="749"/>
        <v>0</v>
      </c>
      <c r="AI203" s="872">
        <f t="shared" ref="AI203:AL203" si="750">AI200</f>
        <v>0</v>
      </c>
      <c r="AJ203" s="848">
        <f t="shared" si="750"/>
        <v>0</v>
      </c>
      <c r="AK203" s="848">
        <f t="shared" si="750"/>
        <v>0</v>
      </c>
      <c r="AL203" s="849">
        <f t="shared" si="750"/>
        <v>0</v>
      </c>
      <c r="AM203" s="872">
        <f t="shared" ref="AM203:AP203" si="751">AM200</f>
        <v>0</v>
      </c>
      <c r="AN203" s="848">
        <f t="shared" si="751"/>
        <v>0</v>
      </c>
      <c r="AO203" s="848">
        <f t="shared" si="751"/>
        <v>0</v>
      </c>
      <c r="AP203" s="849">
        <f t="shared" si="751"/>
        <v>0</v>
      </c>
      <c r="AQ203" s="746"/>
      <c r="AS203" s="747">
        <f>SUM(C203:F203)</f>
        <v>0</v>
      </c>
      <c r="AT203" s="747">
        <f>SUM(G203:J203)</f>
        <v>1870</v>
      </c>
      <c r="AU203" s="747">
        <f>SUM(K203:N203)</f>
        <v>2381</v>
      </c>
      <c r="AV203" s="747">
        <f>SUM(O203:R203)</f>
        <v>2190</v>
      </c>
      <c r="AW203" s="747">
        <f>SUM(S203:V203)</f>
        <v>2216</v>
      </c>
      <c r="AX203" s="747">
        <f>SUM(W203:Z203)</f>
        <v>2167</v>
      </c>
      <c r="AY203" s="747">
        <f>SUM(AA203:AD203)</f>
        <v>2251</v>
      </c>
      <c r="AZ203" s="747">
        <f>SUM(AE203:AH203)</f>
        <v>534</v>
      </c>
      <c r="BA203" s="747">
        <f>SUM(AI203:AL203)</f>
        <v>0</v>
      </c>
      <c r="BB203" s="747">
        <f>SUM(AM203:AP203)</f>
        <v>0</v>
      </c>
    </row>
    <row r="204" spans="2:54" s="721" customFormat="1">
      <c r="B204" s="749" t="s">
        <v>356</v>
      </c>
      <c r="C204" s="827"/>
      <c r="D204" s="828"/>
      <c r="E204" s="828"/>
      <c r="F204" s="829"/>
      <c r="G204" s="827">
        <f>G203-G200</f>
        <v>0</v>
      </c>
      <c r="H204" s="828">
        <f t="shared" ref="H204:AD204" si="752">H203-H200</f>
        <v>0</v>
      </c>
      <c r="I204" s="828">
        <f t="shared" si="752"/>
        <v>0</v>
      </c>
      <c r="J204" s="829">
        <f t="shared" si="752"/>
        <v>0</v>
      </c>
      <c r="K204" s="827">
        <f t="shared" si="752"/>
        <v>0</v>
      </c>
      <c r="L204" s="828">
        <f t="shared" si="752"/>
        <v>0</v>
      </c>
      <c r="M204" s="828">
        <f t="shared" si="752"/>
        <v>0</v>
      </c>
      <c r="N204" s="829">
        <f t="shared" si="752"/>
        <v>0</v>
      </c>
      <c r="O204" s="827">
        <f t="shared" si="752"/>
        <v>0</v>
      </c>
      <c r="P204" s="828">
        <f t="shared" si="752"/>
        <v>0</v>
      </c>
      <c r="Q204" s="828">
        <f t="shared" si="752"/>
        <v>0</v>
      </c>
      <c r="R204" s="829">
        <f t="shared" si="752"/>
        <v>0</v>
      </c>
      <c r="S204" s="859">
        <f t="shared" si="752"/>
        <v>0</v>
      </c>
      <c r="T204" s="854">
        <f t="shared" si="752"/>
        <v>0</v>
      </c>
      <c r="U204" s="854">
        <f t="shared" si="752"/>
        <v>0</v>
      </c>
      <c r="V204" s="855">
        <f t="shared" si="752"/>
        <v>0</v>
      </c>
      <c r="W204" s="827">
        <f t="shared" si="752"/>
        <v>0</v>
      </c>
      <c r="X204" s="828">
        <f t="shared" si="752"/>
        <v>0</v>
      </c>
      <c r="Y204" s="828">
        <f t="shared" si="752"/>
        <v>0</v>
      </c>
      <c r="Z204" s="829">
        <f t="shared" si="752"/>
        <v>0</v>
      </c>
      <c r="AA204" s="827">
        <f t="shared" si="752"/>
        <v>0</v>
      </c>
      <c r="AB204" s="996">
        <f t="shared" ref="AB204" si="753">AB203-AB200</f>
        <v>0</v>
      </c>
      <c r="AC204" s="828">
        <f t="shared" si="752"/>
        <v>0</v>
      </c>
      <c r="AD204" s="1079">
        <f t="shared" si="752"/>
        <v>0</v>
      </c>
      <c r="AE204" s="827">
        <f t="shared" ref="AE204" si="754">AE203-AE200</f>
        <v>0</v>
      </c>
      <c r="AF204" s="828">
        <f t="shared" ref="AF204:AH204" si="755">AF203-AF200</f>
        <v>0</v>
      </c>
      <c r="AG204" s="828">
        <f t="shared" si="755"/>
        <v>0</v>
      </c>
      <c r="AH204" s="1252">
        <f t="shared" si="755"/>
        <v>0</v>
      </c>
      <c r="AI204" s="828">
        <f t="shared" ref="AI204:AL204" si="756">AI203-AI200</f>
        <v>0</v>
      </c>
      <c r="AJ204" s="828">
        <f t="shared" si="756"/>
        <v>0</v>
      </c>
      <c r="AK204" s="828">
        <f t="shared" si="756"/>
        <v>0</v>
      </c>
      <c r="AL204" s="829">
        <f t="shared" si="756"/>
        <v>0</v>
      </c>
      <c r="AM204" s="828">
        <f t="shared" ref="AM204:AP204" si="757">AM203-AM200</f>
        <v>0</v>
      </c>
      <c r="AN204" s="828">
        <f t="shared" si="757"/>
        <v>0</v>
      </c>
      <c r="AO204" s="828">
        <f t="shared" si="757"/>
        <v>0</v>
      </c>
      <c r="AP204" s="829">
        <f t="shared" si="757"/>
        <v>0</v>
      </c>
      <c r="AQ204" s="830"/>
      <c r="AS204" s="732"/>
      <c r="AT204" s="732"/>
      <c r="AU204" s="732"/>
      <c r="AV204" s="732"/>
      <c r="AW204" s="732"/>
      <c r="AX204" s="732"/>
      <c r="AY204" s="732"/>
      <c r="AZ204" s="732"/>
      <c r="BA204" s="732"/>
      <c r="BB204" s="732"/>
    </row>
    <row r="205" spans="2:54" s="721" customFormat="1">
      <c r="B205" s="749"/>
      <c r="C205" s="827"/>
      <c r="D205" s="828"/>
      <c r="E205" s="828"/>
      <c r="F205" s="829"/>
      <c r="G205" s="827"/>
      <c r="H205" s="828"/>
      <c r="I205" s="828"/>
      <c r="J205" s="829"/>
      <c r="K205" s="827"/>
      <c r="L205" s="828"/>
      <c r="M205" s="828"/>
      <c r="N205" s="829"/>
      <c r="O205" s="827"/>
      <c r="P205" s="828"/>
      <c r="Q205" s="828"/>
      <c r="R205" s="829"/>
      <c r="S205" s="859"/>
      <c r="T205" s="854"/>
      <c r="U205" s="854"/>
      <c r="V205" s="855"/>
      <c r="W205" s="827"/>
      <c r="X205" s="828"/>
      <c r="Y205" s="828"/>
      <c r="Z205" s="829"/>
      <c r="AA205" s="827"/>
      <c r="AB205" s="828"/>
      <c r="AC205" s="828"/>
      <c r="AD205" s="1079"/>
      <c r="AE205" s="827"/>
      <c r="AF205" s="828"/>
      <c r="AG205" s="828"/>
      <c r="AH205" s="1252"/>
      <c r="AI205" s="828"/>
      <c r="AJ205" s="828"/>
      <c r="AK205" s="828"/>
      <c r="AL205" s="829"/>
      <c r="AM205" s="828"/>
      <c r="AN205" s="828"/>
      <c r="AO205" s="828"/>
      <c r="AP205" s="829"/>
      <c r="AQ205" s="830"/>
      <c r="AS205" s="732"/>
      <c r="AT205" s="732"/>
      <c r="AU205" s="732"/>
      <c r="AV205" s="732"/>
      <c r="AW205" s="732"/>
      <c r="AX205" s="732"/>
      <c r="AY205" s="732"/>
      <c r="AZ205" s="732"/>
      <c r="BA205" s="732"/>
      <c r="BB205" s="732"/>
    </row>
    <row r="206" spans="2:54" s="721" customFormat="1">
      <c r="B206" s="750" t="s">
        <v>394</v>
      </c>
      <c r="C206" s="751"/>
      <c r="D206" s="752"/>
      <c r="E206" s="752"/>
      <c r="F206" s="753"/>
      <c r="G206" s="751"/>
      <c r="H206" s="752"/>
      <c r="I206" s="752"/>
      <c r="J206" s="753"/>
      <c r="K206" s="751"/>
      <c r="L206" s="752"/>
      <c r="M206" s="752"/>
      <c r="N206" s="753"/>
      <c r="O206" s="751"/>
      <c r="P206" s="752"/>
      <c r="Q206" s="752"/>
      <c r="R206" s="753"/>
      <c r="S206" s="751"/>
      <c r="T206" s="752"/>
      <c r="U206" s="752"/>
      <c r="V206" s="753"/>
      <c r="W206" s="751"/>
      <c r="X206" s="752"/>
      <c r="Y206" s="752"/>
      <c r="Z206" s="753"/>
      <c r="AA206" s="751"/>
      <c r="AB206" s="752"/>
      <c r="AC206" s="752"/>
      <c r="AD206" s="1069"/>
      <c r="AE206" s="751"/>
      <c r="AF206" s="752"/>
      <c r="AG206" s="752"/>
      <c r="AH206" s="1242"/>
      <c r="AI206" s="752"/>
      <c r="AJ206" s="752"/>
      <c r="AK206" s="752"/>
      <c r="AL206" s="753"/>
      <c r="AM206" s="752"/>
      <c r="AN206" s="752"/>
      <c r="AO206" s="752"/>
      <c r="AP206" s="753"/>
      <c r="AQ206" s="830"/>
      <c r="AS206" s="732"/>
      <c r="AT206" s="732"/>
      <c r="AU206" s="732"/>
      <c r="AV206" s="732"/>
      <c r="AW206" s="732"/>
      <c r="AX206" s="732"/>
      <c r="AY206" s="732"/>
      <c r="AZ206" s="732"/>
      <c r="BA206" s="732"/>
      <c r="BB206" s="732"/>
    </row>
    <row r="207" spans="2:54" s="721" customFormat="1">
      <c r="B207" s="749" t="s">
        <v>377</v>
      </c>
      <c r="C207" s="726"/>
      <c r="D207" s="727"/>
      <c r="E207" s="727"/>
      <c r="F207" s="728"/>
      <c r="G207" s="726">
        <f t="shared" ref="G207:R207" si="758">G223-G215</f>
        <v>363</v>
      </c>
      <c r="H207" s="727">
        <f t="shared" si="758"/>
        <v>365</v>
      </c>
      <c r="I207" s="727">
        <f t="shared" si="758"/>
        <v>385</v>
      </c>
      <c r="J207" s="728">
        <f t="shared" si="758"/>
        <v>436</v>
      </c>
      <c r="K207" s="726">
        <f t="shared" si="758"/>
        <v>348</v>
      </c>
      <c r="L207" s="727">
        <f t="shared" si="758"/>
        <v>311</v>
      </c>
      <c r="M207" s="727">
        <f t="shared" si="758"/>
        <v>397</v>
      </c>
      <c r="N207" s="728">
        <f t="shared" si="758"/>
        <v>479</v>
      </c>
      <c r="O207" s="726">
        <f t="shared" si="758"/>
        <v>455</v>
      </c>
      <c r="P207" s="727">
        <f t="shared" si="758"/>
        <v>442</v>
      </c>
      <c r="Q207" s="727">
        <f t="shared" si="758"/>
        <v>498</v>
      </c>
      <c r="R207" s="728">
        <f t="shared" si="758"/>
        <v>496</v>
      </c>
      <c r="S207" s="764">
        <v>515</v>
      </c>
      <c r="T207" s="765">
        <v>490</v>
      </c>
      <c r="U207" s="765">
        <v>550</v>
      </c>
      <c r="V207" s="766">
        <v>591</v>
      </c>
      <c r="W207" s="726">
        <f>W268</f>
        <v>592</v>
      </c>
      <c r="X207" s="727">
        <f t="shared" ref="X207:AA207" si="759">X268</f>
        <v>696</v>
      </c>
      <c r="Y207" s="727">
        <f t="shared" si="759"/>
        <v>655</v>
      </c>
      <c r="Z207" s="728">
        <f t="shared" si="759"/>
        <v>654</v>
      </c>
      <c r="AA207" s="726">
        <f t="shared" si="759"/>
        <v>557</v>
      </c>
      <c r="AB207" s="997">
        <f t="shared" ref="AB207:AE207" si="760">AB268</f>
        <v>554</v>
      </c>
      <c r="AC207" s="997">
        <f t="shared" si="760"/>
        <v>649</v>
      </c>
      <c r="AD207" s="1081">
        <f t="shared" si="760"/>
        <v>816</v>
      </c>
      <c r="AE207" s="726">
        <f t="shared" si="760"/>
        <v>866</v>
      </c>
      <c r="AF207" s="997">
        <f t="shared" ref="AF207" si="761">AF268</f>
        <v>874</v>
      </c>
      <c r="AG207" s="997">
        <f t="shared" ref="AG207:AI207" si="762">AG268</f>
        <v>891</v>
      </c>
      <c r="AH207" s="1257">
        <f t="shared" si="762"/>
        <v>889</v>
      </c>
      <c r="AI207" s="726">
        <f t="shared" si="762"/>
        <v>1040</v>
      </c>
      <c r="AJ207" s="727">
        <f t="shared" ref="AJ207" si="763">AI207*(1+AJ208)</f>
        <v>1123.2</v>
      </c>
      <c r="AK207" s="727">
        <f t="shared" ref="AK207" si="764">AJ207*(1+AK208)</f>
        <v>1213.056</v>
      </c>
      <c r="AL207" s="728">
        <f t="shared" ref="AL207" si="765">AK207*(1+AL208)</f>
        <v>1310.1004800000001</v>
      </c>
      <c r="AM207" s="727">
        <f t="shared" ref="AM207" si="766">AL207*(1+AM208)</f>
        <v>1179.0904320000002</v>
      </c>
      <c r="AN207" s="727">
        <f t="shared" ref="AN207" si="767">AM207*(1+AN208)</f>
        <v>1261.6267622400003</v>
      </c>
      <c r="AO207" s="727">
        <f t="shared" ref="AO207" si="768">AN207*(1+AO208)</f>
        <v>1349.9406355968003</v>
      </c>
      <c r="AP207" s="728">
        <f t="shared" ref="AP207" si="769">AO207*(1+AP208)</f>
        <v>1417.4376673766403</v>
      </c>
      <c r="AQ207" s="830"/>
      <c r="AS207" s="729">
        <f>SUM(C207:F207)</f>
        <v>0</v>
      </c>
      <c r="AT207" s="729">
        <f>SUM(G207:J207)</f>
        <v>1549</v>
      </c>
      <c r="AU207" s="729">
        <f>SUM(K207:N207)</f>
        <v>1535</v>
      </c>
      <c r="AV207" s="729">
        <f>SUM(O207:R207)</f>
        <v>1891</v>
      </c>
      <c r="AW207" s="782">
        <f>SUM(S207:V207)</f>
        <v>2146</v>
      </c>
      <c r="AX207" s="782">
        <f>SUM(W207:Z207)</f>
        <v>2597</v>
      </c>
      <c r="AY207" s="782">
        <f>SUM(AA207:AD207)</f>
        <v>2576</v>
      </c>
      <c r="AZ207" s="782">
        <f>SUM(AE207:AH207)</f>
        <v>3520</v>
      </c>
      <c r="BA207" s="782">
        <f>SUM(AI207:AL207)</f>
        <v>4686.3564800000004</v>
      </c>
      <c r="BB207" s="782">
        <f>SUM(AM207:AP207)</f>
        <v>5208.0954972134414</v>
      </c>
    </row>
    <row r="208" spans="2:54" s="721" customFormat="1">
      <c r="B208" s="754" t="s">
        <v>97</v>
      </c>
      <c r="C208" s="827"/>
      <c r="D208" s="828"/>
      <c r="E208" s="828"/>
      <c r="F208" s="829"/>
      <c r="G208" s="827"/>
      <c r="H208" s="828"/>
      <c r="I208" s="828"/>
      <c r="J208" s="829"/>
      <c r="K208" s="827"/>
      <c r="L208" s="828"/>
      <c r="M208" s="828"/>
      <c r="N208" s="829"/>
      <c r="O208" s="827"/>
      <c r="P208" s="810">
        <f>P207/O207-1</f>
        <v>-2.8571428571428581E-2</v>
      </c>
      <c r="Q208" s="810">
        <f t="shared" ref="Q208:AI208" si="770">Q207/P207-1</f>
        <v>0.12669683257918551</v>
      </c>
      <c r="R208" s="811">
        <f t="shared" si="770"/>
        <v>-4.0160642570281624E-3</v>
      </c>
      <c r="S208" s="859">
        <f t="shared" si="770"/>
        <v>3.8306451612903247E-2</v>
      </c>
      <c r="T208" s="854">
        <f t="shared" si="770"/>
        <v>-4.8543689320388328E-2</v>
      </c>
      <c r="U208" s="854">
        <f t="shared" si="770"/>
        <v>0.12244897959183665</v>
      </c>
      <c r="V208" s="855">
        <f t="shared" si="770"/>
        <v>7.454545454545447E-2</v>
      </c>
      <c r="W208" s="834">
        <f t="shared" si="770"/>
        <v>1.6920473773265332E-3</v>
      </c>
      <c r="X208" s="810">
        <f t="shared" si="770"/>
        <v>0.17567567567567566</v>
      </c>
      <c r="Y208" s="810">
        <f t="shared" si="770"/>
        <v>-5.8908045977011492E-2</v>
      </c>
      <c r="Z208" s="811">
        <f t="shared" si="770"/>
        <v>-1.5267175572518665E-3</v>
      </c>
      <c r="AA208" s="834">
        <f t="shared" si="770"/>
        <v>-0.14831804281345562</v>
      </c>
      <c r="AB208" s="999">
        <f t="shared" si="770"/>
        <v>-5.3859964093356805E-3</v>
      </c>
      <c r="AC208" s="999">
        <f t="shared" si="770"/>
        <v>0.17148014440433212</v>
      </c>
      <c r="AD208" s="1082">
        <f t="shared" si="770"/>
        <v>0.25731895223420653</v>
      </c>
      <c r="AE208" s="834">
        <f t="shared" si="770"/>
        <v>6.1274509803921573E-2</v>
      </c>
      <c r="AF208" s="999">
        <f t="shared" si="770"/>
        <v>9.2378752886836946E-3</v>
      </c>
      <c r="AG208" s="999">
        <f t="shared" si="770"/>
        <v>1.9450800915331801E-2</v>
      </c>
      <c r="AH208" s="1259">
        <f t="shared" si="770"/>
        <v>-2.2446689113355678E-3</v>
      </c>
      <c r="AI208" s="834">
        <f t="shared" si="770"/>
        <v>0.16985376827896514</v>
      </c>
      <c r="AJ208" s="860">
        <v>0.08</v>
      </c>
      <c r="AK208" s="860">
        <v>0.08</v>
      </c>
      <c r="AL208" s="861">
        <v>0.08</v>
      </c>
      <c r="AM208" s="860">
        <v>-0.1</v>
      </c>
      <c r="AN208" s="860">
        <v>7.0000000000000007E-2</v>
      </c>
      <c r="AO208" s="860">
        <v>7.0000000000000007E-2</v>
      </c>
      <c r="AP208" s="861">
        <v>0.05</v>
      </c>
      <c r="AQ208" s="830"/>
      <c r="AS208" s="732"/>
      <c r="AT208" s="732"/>
      <c r="AU208" s="732"/>
      <c r="AV208" s="732"/>
      <c r="AW208" s="732"/>
      <c r="AX208" s="732"/>
      <c r="AY208" s="732"/>
      <c r="AZ208" s="732"/>
      <c r="BA208" s="732"/>
      <c r="BB208" s="732"/>
    </row>
    <row r="209" spans="2:54" s="721" customFormat="1">
      <c r="B209" s="754" t="s">
        <v>98</v>
      </c>
      <c r="C209" s="827"/>
      <c r="D209" s="828"/>
      <c r="E209" s="828"/>
      <c r="F209" s="829"/>
      <c r="G209" s="827"/>
      <c r="H209" s="828"/>
      <c r="I209" s="828"/>
      <c r="J209" s="829"/>
      <c r="K209" s="827"/>
      <c r="L209" s="828"/>
      <c r="M209" s="828"/>
      <c r="N209" s="829"/>
      <c r="O209" s="827"/>
      <c r="P209" s="828"/>
      <c r="Q209" s="828"/>
      <c r="R209" s="829"/>
      <c r="S209" s="726"/>
      <c r="T209" s="727"/>
      <c r="U209" s="727"/>
      <c r="V209" s="728"/>
      <c r="W209" s="768">
        <f>W207/S207-1</f>
        <v>0.14951456310679601</v>
      </c>
      <c r="X209" s="769">
        <f t="shared" ref="X209:AI209" si="771">X207/T207-1</f>
        <v>0.42040816326530606</v>
      </c>
      <c r="Y209" s="769">
        <f t="shared" si="771"/>
        <v>0.19090909090909092</v>
      </c>
      <c r="Z209" s="770">
        <f t="shared" si="771"/>
        <v>0.10659898477157359</v>
      </c>
      <c r="AA209" s="768">
        <f t="shared" si="771"/>
        <v>-5.9121621621621601E-2</v>
      </c>
      <c r="AB209" s="1000">
        <f t="shared" si="771"/>
        <v>-0.20402298850574707</v>
      </c>
      <c r="AC209" s="1000">
        <f t="shared" si="771"/>
        <v>-9.1603053435114212E-3</v>
      </c>
      <c r="AD209" s="1083">
        <f t="shared" si="771"/>
        <v>0.24770642201834869</v>
      </c>
      <c r="AE209" s="768">
        <f t="shared" si="771"/>
        <v>0.55475763016157997</v>
      </c>
      <c r="AF209" s="1000">
        <f t="shared" si="771"/>
        <v>0.57761732851985559</v>
      </c>
      <c r="AG209" s="1000">
        <f t="shared" si="771"/>
        <v>0.37288135593220328</v>
      </c>
      <c r="AH209" s="1260">
        <f t="shared" si="771"/>
        <v>8.9460784313725394E-2</v>
      </c>
      <c r="AI209" s="768">
        <f t="shared" si="771"/>
        <v>0.2009237875288683</v>
      </c>
      <c r="AJ209" s="769">
        <f t="shared" ref="AJ209" si="772">AJ207/AF207-1</f>
        <v>0.28512585812356983</v>
      </c>
      <c r="AK209" s="769">
        <f t="shared" ref="AK209" si="773">AK207/AG207-1</f>
        <v>0.36145454545454547</v>
      </c>
      <c r="AL209" s="770">
        <f t="shared" ref="AL209" si="774">AL207/AH207-1</f>
        <v>0.4736788301462318</v>
      </c>
      <c r="AM209" s="769">
        <f t="shared" ref="AM209" si="775">AM207/AI207-1</f>
        <v>0.13374080000000022</v>
      </c>
      <c r="AN209" s="769">
        <f t="shared" ref="AN209" si="776">AN207/AJ207-1</f>
        <v>0.12324320000000011</v>
      </c>
      <c r="AO209" s="769">
        <f t="shared" ref="AO209" si="777">AO207/AK207-1</f>
        <v>0.11284280000000035</v>
      </c>
      <c r="AP209" s="770">
        <f t="shared" ref="AP209" si="778">AP207/AL207-1</f>
        <v>8.1930500000000128E-2</v>
      </c>
      <c r="AQ209" s="830"/>
      <c r="AS209" s="831"/>
      <c r="AT209" s="756"/>
      <c r="AU209" s="756">
        <f t="shared" ref="AU209:AW209" si="779">AU207/AT207-1</f>
        <v>-9.0380890897353572E-3</v>
      </c>
      <c r="AV209" s="756">
        <f t="shared" si="779"/>
        <v>0.23192182410423445</v>
      </c>
      <c r="AW209" s="756">
        <f t="shared" si="779"/>
        <v>0.13484928609201474</v>
      </c>
      <c r="AX209" s="756">
        <f>AX207/AW207-1</f>
        <v>0.21015843429636538</v>
      </c>
      <c r="AY209" s="756">
        <f>AY207/AX207-1</f>
        <v>-8.0862533692722671E-3</v>
      </c>
      <c r="AZ209" s="756">
        <f>AZ207/AY207-1</f>
        <v>0.36645962732919246</v>
      </c>
      <c r="BA209" s="756">
        <f>BA207/AZ207-1</f>
        <v>0.33135127272727294</v>
      </c>
      <c r="BB209" s="756">
        <f>BB207/BA207-1</f>
        <v>0.11133148309141028</v>
      </c>
    </row>
    <row r="210" spans="2:54" s="745" customFormat="1">
      <c r="B210" s="741" t="s">
        <v>451</v>
      </c>
      <c r="C210" s="742"/>
      <c r="D210" s="743"/>
      <c r="E210" s="743"/>
      <c r="F210" s="744"/>
      <c r="G210" s="742"/>
      <c r="H210" s="743"/>
      <c r="I210" s="743"/>
      <c r="J210" s="744"/>
      <c r="K210" s="742"/>
      <c r="L210" s="743"/>
      <c r="M210" s="743"/>
      <c r="N210" s="744"/>
      <c r="O210" s="742"/>
      <c r="P210" s="743"/>
      <c r="Q210" s="743"/>
      <c r="R210" s="744"/>
      <c r="S210" s="742"/>
      <c r="T210" s="743"/>
      <c r="U210" s="743"/>
      <c r="V210" s="744"/>
      <c r="W210" s="742">
        <f>W268</f>
        <v>592</v>
      </c>
      <c r="X210" s="743">
        <f t="shared" ref="X210:AA210" si="780">X268</f>
        <v>696</v>
      </c>
      <c r="Y210" s="743">
        <f t="shared" si="780"/>
        <v>655</v>
      </c>
      <c r="Z210" s="744">
        <f t="shared" si="780"/>
        <v>654</v>
      </c>
      <c r="AA210" s="742">
        <f t="shared" si="780"/>
        <v>557</v>
      </c>
      <c r="AB210" s="1001">
        <f t="shared" ref="AB210:AE210" si="781">AB268</f>
        <v>554</v>
      </c>
      <c r="AC210" s="1001">
        <f t="shared" si="781"/>
        <v>649</v>
      </c>
      <c r="AD210" s="1084">
        <f t="shared" si="781"/>
        <v>816</v>
      </c>
      <c r="AE210" s="742">
        <f t="shared" si="781"/>
        <v>866</v>
      </c>
      <c r="AF210" s="1001">
        <f t="shared" ref="AF210" si="782">AF268</f>
        <v>874</v>
      </c>
      <c r="AG210" s="1001">
        <f t="shared" ref="AG210:AI210" si="783">AG268</f>
        <v>891</v>
      </c>
      <c r="AH210" s="1084">
        <f t="shared" si="783"/>
        <v>889</v>
      </c>
      <c r="AI210" s="742">
        <f t="shared" si="783"/>
        <v>1040</v>
      </c>
      <c r="AJ210" s="848">
        <f t="shared" ref="AJ210:AL210" si="784">AJ207</f>
        <v>1123.2</v>
      </c>
      <c r="AK210" s="848">
        <f t="shared" si="784"/>
        <v>1213.056</v>
      </c>
      <c r="AL210" s="849">
        <f t="shared" si="784"/>
        <v>1310.1004800000001</v>
      </c>
      <c r="AM210" s="848">
        <f t="shared" ref="AM210:AP210" si="785">AM207</f>
        <v>1179.0904320000002</v>
      </c>
      <c r="AN210" s="848">
        <f t="shared" si="785"/>
        <v>1261.6267622400003</v>
      </c>
      <c r="AO210" s="848">
        <f t="shared" si="785"/>
        <v>1349.9406355968003</v>
      </c>
      <c r="AP210" s="849">
        <f t="shared" si="785"/>
        <v>1417.4376673766403</v>
      </c>
      <c r="AQ210" s="746"/>
      <c r="AS210" s="747">
        <f>SUM(C210:F210)</f>
        <v>0</v>
      </c>
      <c r="AT210" s="747">
        <f>SUM(G210:J210)</f>
        <v>0</v>
      </c>
      <c r="AU210" s="747">
        <f>SUM(K210:N210)</f>
        <v>0</v>
      </c>
      <c r="AV210" s="747">
        <f>SUM(O210:R210)</f>
        <v>0</v>
      </c>
      <c r="AW210" s="747">
        <f>SUM(S210:V210)</f>
        <v>0</v>
      </c>
      <c r="AX210" s="747">
        <f>SUM(W210:Z210)</f>
        <v>2597</v>
      </c>
      <c r="AY210" s="747">
        <f>SUM(AA210:AD210)</f>
        <v>2576</v>
      </c>
      <c r="AZ210" s="747">
        <f>SUM(AE210:AH210)</f>
        <v>3520</v>
      </c>
      <c r="BA210" s="747">
        <f>SUM(AI210:AL210)</f>
        <v>4686.3564800000004</v>
      </c>
      <c r="BB210" s="747">
        <f>SUM(AM210:AP210)</f>
        <v>5208.0954972134414</v>
      </c>
    </row>
    <row r="211" spans="2:54" s="721" customFormat="1">
      <c r="B211" s="749" t="s">
        <v>356</v>
      </c>
      <c r="C211" s="827"/>
      <c r="D211" s="828"/>
      <c r="E211" s="828"/>
      <c r="F211" s="829"/>
      <c r="G211" s="827"/>
      <c r="H211" s="828"/>
      <c r="I211" s="828"/>
      <c r="J211" s="829"/>
      <c r="K211" s="827"/>
      <c r="L211" s="828"/>
      <c r="M211" s="828"/>
      <c r="N211" s="829"/>
      <c r="O211" s="827"/>
      <c r="P211" s="828"/>
      <c r="Q211" s="828"/>
      <c r="R211" s="829"/>
      <c r="S211" s="859"/>
      <c r="T211" s="854"/>
      <c r="U211" s="854"/>
      <c r="V211" s="855"/>
      <c r="W211" s="827">
        <f>W210-W207</f>
        <v>0</v>
      </c>
      <c r="X211" s="828">
        <f t="shared" ref="X211:AD211" si="786">X210-X207</f>
        <v>0</v>
      </c>
      <c r="Y211" s="828">
        <f t="shared" si="786"/>
        <v>0</v>
      </c>
      <c r="Z211" s="829">
        <f t="shared" si="786"/>
        <v>0</v>
      </c>
      <c r="AA211" s="827">
        <f t="shared" si="786"/>
        <v>0</v>
      </c>
      <c r="AB211" s="828">
        <f t="shared" si="786"/>
        <v>0</v>
      </c>
      <c r="AC211" s="828">
        <f t="shared" si="786"/>
        <v>0</v>
      </c>
      <c r="AD211" s="1079">
        <f t="shared" si="786"/>
        <v>0</v>
      </c>
      <c r="AE211" s="1147">
        <f t="shared" ref="AE211:AF211" si="787">AE210-AE207</f>
        <v>0</v>
      </c>
      <c r="AF211" s="828">
        <f t="shared" si="787"/>
        <v>0</v>
      </c>
      <c r="AG211" s="828">
        <f t="shared" ref="AG211" si="788">AG210-AG207</f>
        <v>0</v>
      </c>
      <c r="AH211" s="1088"/>
      <c r="AI211" s="1147">
        <f t="shared" ref="AI211" si="789">AI210-AI207</f>
        <v>0</v>
      </c>
      <c r="AJ211" s="828"/>
      <c r="AK211" s="828"/>
      <c r="AL211" s="829"/>
      <c r="AM211" s="828"/>
      <c r="AN211" s="828"/>
      <c r="AO211" s="828"/>
      <c r="AP211" s="829"/>
      <c r="AQ211" s="830"/>
      <c r="AS211" s="732"/>
      <c r="AT211" s="732"/>
      <c r="AU211" s="732"/>
      <c r="AV211" s="732"/>
      <c r="AW211" s="732"/>
      <c r="AX211" s="732"/>
      <c r="AY211" s="732"/>
      <c r="AZ211" s="732"/>
      <c r="BA211" s="732"/>
      <c r="BB211" s="732"/>
    </row>
    <row r="212" spans="2:54" s="721" customFormat="1">
      <c r="B212" s="749"/>
      <c r="C212" s="827"/>
      <c r="D212" s="828"/>
      <c r="E212" s="828"/>
      <c r="F212" s="829"/>
      <c r="G212" s="827"/>
      <c r="H212" s="828"/>
      <c r="I212" s="828"/>
      <c r="J212" s="829"/>
      <c r="K212" s="827"/>
      <c r="L212" s="828"/>
      <c r="M212" s="828"/>
      <c r="N212" s="829"/>
      <c r="O212" s="827"/>
      <c r="P212" s="828"/>
      <c r="Q212" s="828"/>
      <c r="R212" s="829"/>
      <c r="S212" s="859"/>
      <c r="T212" s="854"/>
      <c r="U212" s="854"/>
      <c r="V212" s="855"/>
      <c r="W212" s="862"/>
      <c r="X212" s="863"/>
      <c r="Y212" s="863"/>
      <c r="Z212" s="864"/>
      <c r="AA212" s="862"/>
      <c r="AB212" s="828"/>
      <c r="AC212" s="828"/>
      <c r="AD212" s="1079"/>
      <c r="AE212" s="1148"/>
      <c r="AF212" s="828"/>
      <c r="AG212" s="828"/>
      <c r="AH212" s="1252"/>
      <c r="AI212" s="1148"/>
      <c r="AJ212" s="828"/>
      <c r="AK212" s="828"/>
      <c r="AL212" s="829"/>
      <c r="AM212" s="828"/>
      <c r="AN212" s="828"/>
      <c r="AO212" s="828"/>
      <c r="AP212" s="829"/>
      <c r="AQ212" s="830"/>
      <c r="AS212" s="732"/>
      <c r="AT212" s="732"/>
      <c r="AU212" s="732"/>
      <c r="AV212" s="732"/>
      <c r="AW212" s="732"/>
      <c r="AX212" s="732"/>
      <c r="AY212" s="732"/>
      <c r="AZ212" s="732"/>
      <c r="BA212" s="732"/>
      <c r="BB212" s="732"/>
    </row>
    <row r="213" spans="2:54" s="721" customFormat="1">
      <c r="B213" s="749" t="s">
        <v>334</v>
      </c>
      <c r="C213" s="827"/>
      <c r="D213" s="828"/>
      <c r="E213" s="828"/>
      <c r="F213" s="829"/>
      <c r="G213" s="827"/>
      <c r="H213" s="828"/>
      <c r="I213" s="828"/>
      <c r="J213" s="829"/>
      <c r="K213" s="827"/>
      <c r="L213" s="828"/>
      <c r="M213" s="828"/>
      <c r="N213" s="829"/>
      <c r="O213" s="827"/>
      <c r="P213" s="828"/>
      <c r="Q213" s="828"/>
      <c r="R213" s="829"/>
      <c r="S213" s="865">
        <f t="shared" ref="S213:AA213" si="790">S162</f>
        <v>24.277915639108542</v>
      </c>
      <c r="T213" s="866">
        <f t="shared" si="790"/>
        <v>19.604416878580146</v>
      </c>
      <c r="U213" s="866">
        <f t="shared" si="790"/>
        <v>15.830566629453465</v>
      </c>
      <c r="V213" s="867">
        <f t="shared" si="790"/>
        <v>12.783182553283671</v>
      </c>
      <c r="W213" s="726">
        <f t="shared" si="790"/>
        <v>10.322419911776564</v>
      </c>
      <c r="X213" s="727">
        <f t="shared" si="790"/>
        <v>8.3353540787595755</v>
      </c>
      <c r="Y213" s="727">
        <f t="shared" si="790"/>
        <v>6.7307984185983569</v>
      </c>
      <c r="Z213" s="728">
        <f t="shared" si="790"/>
        <v>5.4351197230181727</v>
      </c>
      <c r="AA213" s="726">
        <f t="shared" si="790"/>
        <v>4.3888591763371734</v>
      </c>
      <c r="AB213" s="997">
        <f t="shared" ref="AB213" si="791">AB162</f>
        <v>3.5440037848922672</v>
      </c>
      <c r="AC213" s="997">
        <f t="shared" ref="AC213:AF213" si="792">AC162</f>
        <v>2.8617830563005056</v>
      </c>
      <c r="AD213" s="1081">
        <f t="shared" si="792"/>
        <v>2.9424853384881797</v>
      </c>
      <c r="AE213" s="1149">
        <f t="shared" si="792"/>
        <v>2.3760569108292047</v>
      </c>
      <c r="AF213" s="997">
        <f t="shared" si="792"/>
        <v>1.9186659554945826</v>
      </c>
      <c r="AG213" s="997">
        <f t="shared" ref="AG213:AI213" si="793">AG162</f>
        <v>1.5493227590618752</v>
      </c>
      <c r="AH213" s="1257">
        <f t="shared" si="793"/>
        <v>1.2510781279424641</v>
      </c>
      <c r="AI213" s="1149">
        <f t="shared" si="793"/>
        <v>1</v>
      </c>
      <c r="AJ213" s="727">
        <f t="shared" ref="AJ213:AL213" si="794">AJ162</f>
        <v>0.81577331256318353</v>
      </c>
      <c r="AK213" s="727">
        <f t="shared" si="794"/>
        <v>0.65873694989477061</v>
      </c>
      <c r="AL213" s="728">
        <f t="shared" si="794"/>
        <v>0.5319300870400272</v>
      </c>
      <c r="AM213" s="727">
        <f t="shared" ref="AM213:AP213" si="795">AM162</f>
        <v>0.42953354528482196</v>
      </c>
      <c r="AN213" s="727">
        <f t="shared" si="795"/>
        <v>0.34684833781749363</v>
      </c>
      <c r="AO213" s="727">
        <f t="shared" si="795"/>
        <v>0.28008003278762611</v>
      </c>
      <c r="AP213" s="728">
        <f t="shared" si="795"/>
        <v>0.22616462647600807</v>
      </c>
      <c r="AQ213" s="830"/>
      <c r="AS213" s="729">
        <f>SUM(C213:F213)</f>
        <v>0</v>
      </c>
      <c r="AT213" s="729">
        <f>SUM(G213:J213)</f>
        <v>0</v>
      </c>
      <c r="AU213" s="729">
        <f>SUM(K213:N213)</f>
        <v>0</v>
      </c>
      <c r="AV213" s="729">
        <f>SUM(O213:R213)</f>
        <v>0</v>
      </c>
      <c r="AW213" s="782">
        <f>SUM(S213:V213)</f>
        <v>72.496081700425819</v>
      </c>
      <c r="AX213" s="782">
        <f>SUM(W213:Z213)</f>
        <v>30.823692132152669</v>
      </c>
      <c r="AY213" s="782">
        <f>SUM(AA213:AD213)</f>
        <v>13.737131356018125</v>
      </c>
      <c r="AZ213" s="782">
        <f>SUM(AE213:AH213)</f>
        <v>7.0951237533281271</v>
      </c>
      <c r="BA213" s="782">
        <f>SUM(AI213:AL213)</f>
        <v>3.0064403494979812</v>
      </c>
      <c r="BB213" s="782">
        <f>SUM(AM213:AP213)</f>
        <v>1.2826265423659498</v>
      </c>
    </row>
    <row r="214" spans="2:54" s="721" customFormat="1">
      <c r="B214" s="749" t="s">
        <v>448</v>
      </c>
      <c r="C214" s="827"/>
      <c r="D214" s="828"/>
      <c r="E214" s="828"/>
      <c r="F214" s="829"/>
      <c r="G214" s="827"/>
      <c r="H214" s="828"/>
      <c r="I214" s="828"/>
      <c r="J214" s="829"/>
      <c r="K214" s="827"/>
      <c r="L214" s="828"/>
      <c r="M214" s="828"/>
      <c r="N214" s="829"/>
      <c r="O214" s="827"/>
      <c r="P214" s="828"/>
      <c r="Q214" s="828"/>
      <c r="R214" s="829"/>
      <c r="S214" s="865"/>
      <c r="T214" s="866"/>
      <c r="U214" s="866"/>
      <c r="V214" s="867"/>
      <c r="W214" s="726">
        <f>W198</f>
        <v>55</v>
      </c>
      <c r="X214" s="727">
        <f t="shared" ref="X214:Z214" si="796">X198</f>
        <v>46</v>
      </c>
      <c r="Y214" s="727">
        <f t="shared" si="796"/>
        <v>50</v>
      </c>
      <c r="Z214" s="728">
        <f t="shared" si="796"/>
        <v>31</v>
      </c>
      <c r="AA214" s="726">
        <f>AA198</f>
        <v>30</v>
      </c>
      <c r="AB214" s="997">
        <f t="shared" ref="AB214" si="797">AB198</f>
        <v>30</v>
      </c>
      <c r="AC214" s="997">
        <f t="shared" ref="AC214:AD214" si="798">AC198</f>
        <v>15</v>
      </c>
      <c r="AD214" s="1081">
        <f t="shared" si="798"/>
        <v>15</v>
      </c>
      <c r="AE214" s="1149">
        <f>AE198</f>
        <v>0</v>
      </c>
      <c r="AF214" s="997">
        <f t="shared" ref="AF214" si="799">AF198</f>
        <v>0</v>
      </c>
      <c r="AG214" s="997">
        <f t="shared" ref="AG214:AH214" si="800">AG198</f>
        <v>0</v>
      </c>
      <c r="AH214" s="1257">
        <f t="shared" si="800"/>
        <v>0</v>
      </c>
      <c r="AI214" s="1149">
        <f>AI198</f>
        <v>0</v>
      </c>
      <c r="AJ214" s="727">
        <f t="shared" ref="AJ214:AL214" si="801">AJ198</f>
        <v>0</v>
      </c>
      <c r="AK214" s="727">
        <f t="shared" si="801"/>
        <v>0</v>
      </c>
      <c r="AL214" s="728">
        <f t="shared" si="801"/>
        <v>0</v>
      </c>
      <c r="AM214" s="727">
        <f t="shared" ref="AM214:AP214" si="802">AM198</f>
        <v>0</v>
      </c>
      <c r="AN214" s="727">
        <f t="shared" si="802"/>
        <v>0</v>
      </c>
      <c r="AO214" s="727">
        <f t="shared" si="802"/>
        <v>0</v>
      </c>
      <c r="AP214" s="728">
        <f t="shared" si="802"/>
        <v>0</v>
      </c>
      <c r="AQ214" s="830"/>
      <c r="AS214" s="729">
        <f>SUM(C214:F214)</f>
        <v>0</v>
      </c>
      <c r="AT214" s="729">
        <f>SUM(G214:J214)</f>
        <v>0</v>
      </c>
      <c r="AU214" s="729">
        <f>SUM(K214:N214)</f>
        <v>0</v>
      </c>
      <c r="AV214" s="729">
        <f>SUM(O214:R214)</f>
        <v>0</v>
      </c>
      <c r="AW214" s="782">
        <f>SUM(S214:V214)</f>
        <v>0</v>
      </c>
      <c r="AX214" s="782">
        <f>SUM(W214:Z214)</f>
        <v>182</v>
      </c>
      <c r="AY214" s="782">
        <f>SUM(AA214:AD214)</f>
        <v>90</v>
      </c>
      <c r="AZ214" s="782">
        <f>SUM(AE214:AH214)</f>
        <v>0</v>
      </c>
      <c r="BA214" s="782">
        <f>SUM(AI214:AL214)</f>
        <v>0</v>
      </c>
      <c r="BB214" s="782">
        <f>SUM(AM214:AP214)</f>
        <v>0</v>
      </c>
    </row>
    <row r="215" spans="2:54" s="721" customFormat="1">
      <c r="B215" s="749" t="s">
        <v>452</v>
      </c>
      <c r="C215" s="726"/>
      <c r="D215" s="727"/>
      <c r="E215" s="727"/>
      <c r="F215" s="728"/>
      <c r="G215" s="764">
        <v>10</v>
      </c>
      <c r="H215" s="765">
        <v>10</v>
      </c>
      <c r="I215" s="765">
        <v>10</v>
      </c>
      <c r="J215" s="766">
        <v>10</v>
      </c>
      <c r="K215" s="764">
        <v>8</v>
      </c>
      <c r="L215" s="765">
        <v>8</v>
      </c>
      <c r="M215" s="765">
        <v>8</v>
      </c>
      <c r="N215" s="766">
        <v>8</v>
      </c>
      <c r="O215" s="764">
        <v>5</v>
      </c>
      <c r="P215" s="765">
        <v>5</v>
      </c>
      <c r="Q215" s="765">
        <v>5</v>
      </c>
      <c r="R215" s="766">
        <v>5</v>
      </c>
      <c r="S215" s="764">
        <v>5.7220843608914578</v>
      </c>
      <c r="T215" s="765">
        <v>7.395583121419854</v>
      </c>
      <c r="U215" s="765">
        <v>9.1694333705465354</v>
      </c>
      <c r="V215" s="766">
        <v>13.216817446716329</v>
      </c>
      <c r="W215" s="764">
        <v>10.677580088223436</v>
      </c>
      <c r="X215" s="765">
        <v>8.664645921240421</v>
      </c>
      <c r="Y215" s="765">
        <v>20.269201581401646</v>
      </c>
      <c r="Z215" s="766">
        <v>22.564880276981825</v>
      </c>
      <c r="AA215" s="764">
        <v>15.611140823662829</v>
      </c>
      <c r="AB215" s="990">
        <v>6.4559962151077315</v>
      </c>
      <c r="AC215" s="990">
        <v>25.635961660682401</v>
      </c>
      <c r="AD215" s="1085">
        <v>46.680845229666403</v>
      </c>
      <c r="AE215" s="1150">
        <v>39.623943089170794</v>
      </c>
      <c r="AF215" s="990">
        <v>142.08133404450541</v>
      </c>
      <c r="AG215" s="990">
        <v>200.45067724093815</v>
      </c>
      <c r="AH215" s="1261">
        <v>179.74892187205754</v>
      </c>
      <c r="AI215" s="1150">
        <v>233</v>
      </c>
      <c r="AJ215" s="842">
        <v>200</v>
      </c>
      <c r="AK215" s="842">
        <v>200</v>
      </c>
      <c r="AL215" s="1074">
        <v>200</v>
      </c>
      <c r="AM215" s="842">
        <v>225</v>
      </c>
      <c r="AN215" s="842">
        <v>225</v>
      </c>
      <c r="AO215" s="842">
        <v>250</v>
      </c>
      <c r="AP215" s="1074">
        <v>250</v>
      </c>
      <c r="AQ215" s="830"/>
      <c r="AS215" s="729">
        <f>SUM(C215:F215)</f>
        <v>0</v>
      </c>
      <c r="AT215" s="729">
        <f>SUM(G215:J215)</f>
        <v>40</v>
      </c>
      <c r="AU215" s="729">
        <f>SUM(K215:N215)</f>
        <v>32</v>
      </c>
      <c r="AV215" s="729">
        <f>SUM(O215:R215)</f>
        <v>20</v>
      </c>
      <c r="AW215" s="782">
        <f>SUM(S215:V215)</f>
        <v>35.503918299574174</v>
      </c>
      <c r="AX215" s="782">
        <f>SUM(W215:Z215)</f>
        <v>62.176307867847328</v>
      </c>
      <c r="AY215" s="782">
        <f>SUM(AA215:AD215)</f>
        <v>94.383943929119368</v>
      </c>
      <c r="AZ215" s="782">
        <f>SUM(AE215:AH215)</f>
        <v>561.90487624667185</v>
      </c>
      <c r="BA215" s="782">
        <f>SUM(AI215:AL215)</f>
        <v>833</v>
      </c>
      <c r="BB215" s="782">
        <f>SUM(AM215:AP215)</f>
        <v>950</v>
      </c>
    </row>
    <row r="216" spans="2:54" s="721" customFormat="1">
      <c r="B216" s="749"/>
      <c r="C216" s="726"/>
      <c r="D216" s="727"/>
      <c r="E216" s="727"/>
      <c r="F216" s="728"/>
      <c r="G216" s="764"/>
      <c r="H216" s="765"/>
      <c r="I216" s="765"/>
      <c r="J216" s="766"/>
      <c r="K216" s="764"/>
      <c r="L216" s="765"/>
      <c r="M216" s="765"/>
      <c r="N216" s="766"/>
      <c r="O216" s="764"/>
      <c r="P216" s="765"/>
      <c r="Q216" s="765"/>
      <c r="R216" s="766"/>
      <c r="S216" s="726"/>
      <c r="T216" s="727"/>
      <c r="U216" s="727"/>
      <c r="V216" s="728"/>
      <c r="W216" s="726"/>
      <c r="X216" s="727"/>
      <c r="Y216" s="727"/>
      <c r="Z216" s="728"/>
      <c r="AA216" s="726"/>
      <c r="AB216" s="828"/>
      <c r="AC216" s="828"/>
      <c r="AD216" s="1079"/>
      <c r="AE216" s="1149"/>
      <c r="AF216" s="828"/>
      <c r="AG216" s="828"/>
      <c r="AH216" s="1252"/>
      <c r="AI216" s="1149"/>
      <c r="AJ216" s="828"/>
      <c r="AK216" s="828"/>
      <c r="AL216" s="829"/>
      <c r="AM216" s="828"/>
      <c r="AN216" s="828"/>
      <c r="AO216" s="828"/>
      <c r="AP216" s="829"/>
      <c r="AQ216" s="830"/>
      <c r="AS216" s="732"/>
      <c r="AT216" s="732"/>
      <c r="AU216" s="732"/>
      <c r="AV216" s="732"/>
      <c r="AW216" s="732"/>
      <c r="AX216" s="732"/>
      <c r="AY216" s="732"/>
      <c r="AZ216" s="732"/>
      <c r="BA216" s="732"/>
      <c r="BB216" s="732"/>
    </row>
    <row r="217" spans="2:54" s="721" customFormat="1">
      <c r="B217" s="749" t="s">
        <v>453</v>
      </c>
      <c r="C217" s="827"/>
      <c r="D217" s="828"/>
      <c r="E217" s="828"/>
      <c r="F217" s="829"/>
      <c r="G217" s="827"/>
      <c r="H217" s="828"/>
      <c r="I217" s="828"/>
      <c r="J217" s="829"/>
      <c r="K217" s="827"/>
      <c r="L217" s="828"/>
      <c r="M217" s="828"/>
      <c r="N217" s="829"/>
      <c r="O217" s="726">
        <f t="shared" ref="O217:V217" si="803">SUM(O213:O215)</f>
        <v>5</v>
      </c>
      <c r="P217" s="727">
        <f t="shared" si="803"/>
        <v>5</v>
      </c>
      <c r="Q217" s="727">
        <f t="shared" si="803"/>
        <v>5</v>
      </c>
      <c r="R217" s="728">
        <f t="shared" si="803"/>
        <v>5</v>
      </c>
      <c r="S217" s="865">
        <f t="shared" si="803"/>
        <v>30</v>
      </c>
      <c r="T217" s="866">
        <f t="shared" si="803"/>
        <v>27</v>
      </c>
      <c r="U217" s="866">
        <f t="shared" si="803"/>
        <v>25</v>
      </c>
      <c r="V217" s="867">
        <f t="shared" si="803"/>
        <v>26</v>
      </c>
      <c r="W217" s="726">
        <f>SUM(W213:W215)</f>
        <v>76</v>
      </c>
      <c r="X217" s="727">
        <f t="shared" ref="X217:AD217" si="804">SUM(X213:X215)</f>
        <v>63</v>
      </c>
      <c r="Y217" s="727">
        <f t="shared" si="804"/>
        <v>77</v>
      </c>
      <c r="Z217" s="728">
        <f t="shared" si="804"/>
        <v>59</v>
      </c>
      <c r="AA217" s="726">
        <f t="shared" si="804"/>
        <v>50</v>
      </c>
      <c r="AB217" s="997">
        <f t="shared" ref="AB217" si="805">SUM(AB213:AB215)</f>
        <v>40</v>
      </c>
      <c r="AC217" s="727">
        <f t="shared" si="804"/>
        <v>43.497744716982908</v>
      </c>
      <c r="AD217" s="1063">
        <f t="shared" si="804"/>
        <v>64.623330568154586</v>
      </c>
      <c r="AE217" s="1151">
        <f t="shared" ref="AE217:AF217" si="806">SUM(AE213:AE215)</f>
        <v>42</v>
      </c>
      <c r="AF217" s="997">
        <f t="shared" si="806"/>
        <v>144</v>
      </c>
      <c r="AG217" s="997">
        <f t="shared" ref="AG217:AI217" si="807">SUM(AG213:AG215)</f>
        <v>202.00000000000003</v>
      </c>
      <c r="AH217" s="1257">
        <f t="shared" si="807"/>
        <v>181</v>
      </c>
      <c r="AI217" s="1151">
        <f t="shared" si="807"/>
        <v>234</v>
      </c>
      <c r="AJ217" s="727">
        <f t="shared" ref="AJ217:AL217" si="808">SUM(AJ213:AJ215)</f>
        <v>200.81577331256318</v>
      </c>
      <c r="AK217" s="727">
        <f t="shared" si="808"/>
        <v>200.65873694989477</v>
      </c>
      <c r="AL217" s="728">
        <f t="shared" si="808"/>
        <v>200.53193008704002</v>
      </c>
      <c r="AM217" s="727">
        <f t="shared" ref="AM217:AP217" si="809">SUM(AM213:AM215)</f>
        <v>225.42953354528481</v>
      </c>
      <c r="AN217" s="727">
        <f t="shared" si="809"/>
        <v>225.34684833781751</v>
      </c>
      <c r="AO217" s="727">
        <f t="shared" si="809"/>
        <v>250.28008003278762</v>
      </c>
      <c r="AP217" s="728">
        <f t="shared" si="809"/>
        <v>250.22616462647602</v>
      </c>
      <c r="AQ217" s="830"/>
      <c r="AS217" s="729">
        <f>SUM(C217:F217)</f>
        <v>0</v>
      </c>
      <c r="AT217" s="729">
        <f>SUM(G217:J217)</f>
        <v>0</v>
      </c>
      <c r="AU217" s="729">
        <f>SUM(K217:N217)</f>
        <v>0</v>
      </c>
      <c r="AV217" s="729">
        <f>SUM(O217:R217)</f>
        <v>20</v>
      </c>
      <c r="AW217" s="782">
        <f>SUM(S217:V217)</f>
        <v>108</v>
      </c>
      <c r="AX217" s="782">
        <f>SUM(W217:Z217)</f>
        <v>275</v>
      </c>
      <c r="AY217" s="782">
        <f>SUM(AA217:AD217)</f>
        <v>198.12107528513749</v>
      </c>
      <c r="AZ217" s="782">
        <f>SUM(AE217:AH217)</f>
        <v>569</v>
      </c>
      <c r="BA217" s="782">
        <f>SUM(AI217:AL217)</f>
        <v>836.00644034949789</v>
      </c>
      <c r="BB217" s="782">
        <f>SUM(AM217:AP217)</f>
        <v>951.28262654236596</v>
      </c>
    </row>
    <row r="218" spans="2:54" s="745" customFormat="1">
      <c r="B218" s="741" t="s">
        <v>454</v>
      </c>
      <c r="C218" s="742"/>
      <c r="D218" s="743"/>
      <c r="E218" s="743"/>
      <c r="F218" s="744"/>
      <c r="G218" s="742"/>
      <c r="H218" s="743"/>
      <c r="I218" s="743"/>
      <c r="J218" s="744"/>
      <c r="K218" s="742"/>
      <c r="L218" s="743"/>
      <c r="M218" s="743"/>
      <c r="N218" s="744"/>
      <c r="O218" s="742"/>
      <c r="P218" s="743"/>
      <c r="Q218" s="743"/>
      <c r="R218" s="744"/>
      <c r="S218" s="742"/>
      <c r="T218" s="743"/>
      <c r="U218" s="743"/>
      <c r="V218" s="744"/>
      <c r="W218" s="742">
        <f t="shared" ref="W218:AB218" si="810">W270</f>
        <v>76</v>
      </c>
      <c r="X218" s="743">
        <f t="shared" si="810"/>
        <v>63</v>
      </c>
      <c r="Y218" s="743">
        <f t="shared" si="810"/>
        <v>77</v>
      </c>
      <c r="Z218" s="744">
        <f t="shared" si="810"/>
        <v>59</v>
      </c>
      <c r="AA218" s="742">
        <f t="shared" si="810"/>
        <v>50</v>
      </c>
      <c r="AB218" s="1001">
        <f t="shared" si="810"/>
        <v>40</v>
      </c>
      <c r="AC218" s="848">
        <f t="shared" ref="AC218:AD218" si="811">AC217</f>
        <v>43.497744716982908</v>
      </c>
      <c r="AD218" s="849">
        <f t="shared" si="811"/>
        <v>64.623330568154586</v>
      </c>
      <c r="AE218" s="742">
        <f t="shared" ref="AE218:AF218" si="812">AE270</f>
        <v>42</v>
      </c>
      <c r="AF218" s="1001">
        <f t="shared" si="812"/>
        <v>144</v>
      </c>
      <c r="AG218" s="1001">
        <f t="shared" ref="AG218:AI218" si="813">AG270</f>
        <v>202</v>
      </c>
      <c r="AH218" s="1084">
        <f t="shared" si="813"/>
        <v>181</v>
      </c>
      <c r="AI218" s="742">
        <f t="shared" si="813"/>
        <v>234</v>
      </c>
      <c r="AJ218" s="848">
        <f t="shared" ref="AJ218:AL218" si="814">AJ217</f>
        <v>200.81577331256318</v>
      </c>
      <c r="AK218" s="848">
        <f t="shared" si="814"/>
        <v>200.65873694989477</v>
      </c>
      <c r="AL218" s="849">
        <f t="shared" si="814"/>
        <v>200.53193008704002</v>
      </c>
      <c r="AM218" s="848">
        <f t="shared" ref="AM218:AP218" si="815">AM217</f>
        <v>225.42953354528481</v>
      </c>
      <c r="AN218" s="848">
        <f t="shared" si="815"/>
        <v>225.34684833781751</v>
      </c>
      <c r="AO218" s="848">
        <f t="shared" si="815"/>
        <v>250.28008003278762</v>
      </c>
      <c r="AP218" s="849">
        <f t="shared" si="815"/>
        <v>250.22616462647602</v>
      </c>
      <c r="AQ218" s="746"/>
      <c r="AS218" s="747">
        <f>SUM(C218:F218)</f>
        <v>0</v>
      </c>
      <c r="AT218" s="747">
        <f>SUM(G218:J218)</f>
        <v>0</v>
      </c>
      <c r="AU218" s="747">
        <f>SUM(K218:N218)</f>
        <v>0</v>
      </c>
      <c r="AV218" s="747">
        <f>SUM(O218:R218)</f>
        <v>0</v>
      </c>
      <c r="AW218" s="747">
        <f>SUM(S218:V218)</f>
        <v>0</v>
      </c>
      <c r="AX218" s="747">
        <f>SUM(W218:Z218)</f>
        <v>275</v>
      </c>
      <c r="AY218" s="747">
        <f>SUM(AA218:AD218)</f>
        <v>198.12107528513749</v>
      </c>
      <c r="AZ218" s="747">
        <f>SUM(AE218:AH218)</f>
        <v>569</v>
      </c>
      <c r="BA218" s="747">
        <f>SUM(AI218:AL218)</f>
        <v>836.00644034949789</v>
      </c>
      <c r="BB218" s="747">
        <f>SUM(AM218:AP218)</f>
        <v>951.28262654236596</v>
      </c>
    </row>
    <row r="219" spans="2:54" s="721" customFormat="1">
      <c r="B219" s="749" t="s">
        <v>356</v>
      </c>
      <c r="C219" s="827"/>
      <c r="D219" s="828"/>
      <c r="E219" s="828"/>
      <c r="F219" s="829"/>
      <c r="G219" s="827"/>
      <c r="H219" s="828"/>
      <c r="I219" s="828"/>
      <c r="J219" s="829"/>
      <c r="K219" s="827"/>
      <c r="L219" s="828"/>
      <c r="M219" s="828"/>
      <c r="N219" s="829"/>
      <c r="O219" s="827"/>
      <c r="P219" s="828"/>
      <c r="Q219" s="828"/>
      <c r="R219" s="829"/>
      <c r="S219" s="859"/>
      <c r="T219" s="854"/>
      <c r="U219" s="854"/>
      <c r="V219" s="855"/>
      <c r="W219" s="827">
        <f>W218-W217</f>
        <v>0</v>
      </c>
      <c r="X219" s="828">
        <f t="shared" ref="X219:AD219" si="816">X218-X217</f>
        <v>0</v>
      </c>
      <c r="Y219" s="828">
        <f t="shared" si="816"/>
        <v>0</v>
      </c>
      <c r="Z219" s="829">
        <f t="shared" si="816"/>
        <v>0</v>
      </c>
      <c r="AA219" s="827">
        <f t="shared" si="816"/>
        <v>0</v>
      </c>
      <c r="AB219" s="996">
        <f t="shared" ref="AB219" si="817">AB218-AB217</f>
        <v>0</v>
      </c>
      <c r="AC219" s="828">
        <f t="shared" si="816"/>
        <v>0</v>
      </c>
      <c r="AD219" s="1079">
        <f t="shared" si="816"/>
        <v>0</v>
      </c>
      <c r="AE219" s="827">
        <f t="shared" ref="AE219:AF219" si="818">AE218-AE217</f>
        <v>0</v>
      </c>
      <c r="AF219" s="996">
        <f t="shared" si="818"/>
        <v>0</v>
      </c>
      <c r="AG219" s="996">
        <f t="shared" ref="AG219:AI219" si="819">AG218-AG217</f>
        <v>0</v>
      </c>
      <c r="AH219" s="1252">
        <f t="shared" si="819"/>
        <v>0</v>
      </c>
      <c r="AI219" s="827">
        <f t="shared" si="819"/>
        <v>0</v>
      </c>
      <c r="AJ219" s="828">
        <f t="shared" ref="AJ219:AL219" si="820">AJ218-AJ217</f>
        <v>0</v>
      </c>
      <c r="AK219" s="828">
        <f t="shared" si="820"/>
        <v>0</v>
      </c>
      <c r="AL219" s="829">
        <f t="shared" si="820"/>
        <v>0</v>
      </c>
      <c r="AM219" s="828">
        <f t="shared" ref="AM219:AP219" si="821">AM218-AM217</f>
        <v>0</v>
      </c>
      <c r="AN219" s="828">
        <f t="shared" si="821"/>
        <v>0</v>
      </c>
      <c r="AO219" s="828">
        <f t="shared" si="821"/>
        <v>0</v>
      </c>
      <c r="AP219" s="829">
        <f t="shared" si="821"/>
        <v>0</v>
      </c>
      <c r="AQ219" s="830"/>
      <c r="AS219" s="732"/>
      <c r="AT219" s="732"/>
      <c r="AU219" s="732"/>
      <c r="AV219" s="732"/>
      <c r="AW219" s="732"/>
      <c r="AX219" s="732"/>
      <c r="AY219" s="732"/>
      <c r="AZ219" s="732"/>
      <c r="BA219" s="732"/>
      <c r="BB219" s="732"/>
    </row>
    <row r="220" spans="2:54" s="721" customFormat="1">
      <c r="B220" s="749"/>
      <c r="C220" s="827"/>
      <c r="D220" s="828"/>
      <c r="E220" s="828"/>
      <c r="F220" s="829"/>
      <c r="G220" s="827"/>
      <c r="H220" s="828"/>
      <c r="I220" s="828"/>
      <c r="J220" s="829"/>
      <c r="K220" s="827"/>
      <c r="L220" s="828"/>
      <c r="M220" s="828"/>
      <c r="N220" s="829"/>
      <c r="O220" s="827"/>
      <c r="P220" s="828"/>
      <c r="Q220" s="828"/>
      <c r="R220" s="829"/>
      <c r="S220" s="859"/>
      <c r="T220" s="854"/>
      <c r="U220" s="854"/>
      <c r="V220" s="855"/>
      <c r="W220" s="827"/>
      <c r="X220" s="828"/>
      <c r="Y220" s="828"/>
      <c r="Z220" s="829"/>
      <c r="AA220" s="827"/>
      <c r="AB220" s="828"/>
      <c r="AC220" s="828"/>
      <c r="AD220" s="1079"/>
      <c r="AE220" s="827"/>
      <c r="AF220" s="828"/>
      <c r="AG220" s="828"/>
      <c r="AH220" s="1252"/>
      <c r="AI220" s="827"/>
      <c r="AJ220" s="828"/>
      <c r="AK220" s="828"/>
      <c r="AL220" s="829"/>
      <c r="AM220" s="828"/>
      <c r="AN220" s="828"/>
      <c r="AO220" s="828"/>
      <c r="AP220" s="829"/>
      <c r="AQ220" s="830"/>
      <c r="AS220" s="732"/>
      <c r="AT220" s="732"/>
      <c r="AU220" s="732"/>
      <c r="AV220" s="732"/>
      <c r="AW220" s="732"/>
      <c r="AX220" s="732"/>
      <c r="AY220" s="732"/>
      <c r="AZ220" s="732"/>
      <c r="BA220" s="732"/>
      <c r="BB220" s="732"/>
    </row>
    <row r="221" spans="2:54" s="721" customFormat="1">
      <c r="B221" s="749" t="s">
        <v>455</v>
      </c>
      <c r="C221" s="827"/>
      <c r="D221" s="828"/>
      <c r="E221" s="828"/>
      <c r="F221" s="829"/>
      <c r="G221" s="827"/>
      <c r="H221" s="828"/>
      <c r="I221" s="828"/>
      <c r="J221" s="829"/>
      <c r="K221" s="827"/>
      <c r="L221" s="828"/>
      <c r="M221" s="828"/>
      <c r="N221" s="829"/>
      <c r="O221" s="827"/>
      <c r="P221" s="828"/>
      <c r="Q221" s="828"/>
      <c r="R221" s="829"/>
      <c r="S221" s="859"/>
      <c r="T221" s="854"/>
      <c r="U221" s="854"/>
      <c r="V221" s="855"/>
      <c r="W221" s="764">
        <v>2</v>
      </c>
      <c r="X221" s="765">
        <v>2</v>
      </c>
      <c r="Y221" s="727"/>
      <c r="Z221" s="728"/>
      <c r="AA221" s="726"/>
      <c r="AB221" s="727"/>
      <c r="AC221" s="727"/>
      <c r="AD221" s="1063"/>
      <c r="AE221" s="726"/>
      <c r="AF221" s="727"/>
      <c r="AG221" s="727"/>
      <c r="AH221" s="1238"/>
      <c r="AI221" s="726"/>
      <c r="AJ221" s="727"/>
      <c r="AK221" s="727"/>
      <c r="AL221" s="728"/>
      <c r="AM221" s="727"/>
      <c r="AN221" s="727"/>
      <c r="AO221" s="727"/>
      <c r="AP221" s="728"/>
      <c r="AQ221" s="830"/>
      <c r="AS221" s="729">
        <f>SUM(C221:F221)</f>
        <v>0</v>
      </c>
      <c r="AT221" s="729">
        <f>SUM(G221:J221)</f>
        <v>0</v>
      </c>
      <c r="AU221" s="729">
        <f>SUM(K221:N221)</f>
        <v>0</v>
      </c>
      <c r="AV221" s="729">
        <f>SUM(O221:R221)</f>
        <v>0</v>
      </c>
      <c r="AW221" s="782">
        <f>SUM(S221:V221)</f>
        <v>0</v>
      </c>
      <c r="AX221" s="782">
        <f>SUM(W221:Z221)</f>
        <v>4</v>
      </c>
      <c r="AY221" s="782">
        <f>SUM(AA221:AD221)</f>
        <v>0</v>
      </c>
      <c r="AZ221" s="782">
        <f>SUM(AE221:AH221)</f>
        <v>0</v>
      </c>
      <c r="BA221" s="782">
        <f>SUM(AI221:AL221)</f>
        <v>0</v>
      </c>
      <c r="BB221" s="782">
        <f>SUM(AM221:AP221)</f>
        <v>0</v>
      </c>
    </row>
    <row r="222" spans="2:54" s="721" customFormat="1">
      <c r="B222" s="749" t="s">
        <v>456</v>
      </c>
      <c r="C222" s="726"/>
      <c r="D222" s="727"/>
      <c r="E222" s="727"/>
      <c r="F222" s="728"/>
      <c r="G222" s="726">
        <f t="shared" ref="G222:V222" si="822">G207+G213+G215</f>
        <v>373</v>
      </c>
      <c r="H222" s="727">
        <f t="shared" si="822"/>
        <v>375</v>
      </c>
      <c r="I222" s="727">
        <f t="shared" si="822"/>
        <v>395</v>
      </c>
      <c r="J222" s="728">
        <f t="shared" si="822"/>
        <v>446</v>
      </c>
      <c r="K222" s="726">
        <f t="shared" si="822"/>
        <v>356</v>
      </c>
      <c r="L222" s="727">
        <f t="shared" si="822"/>
        <v>319</v>
      </c>
      <c r="M222" s="727">
        <f t="shared" si="822"/>
        <v>405</v>
      </c>
      <c r="N222" s="728">
        <f t="shared" si="822"/>
        <v>487</v>
      </c>
      <c r="O222" s="726">
        <f t="shared" si="822"/>
        <v>460</v>
      </c>
      <c r="P222" s="727">
        <f t="shared" si="822"/>
        <v>447</v>
      </c>
      <c r="Q222" s="727">
        <f t="shared" si="822"/>
        <v>503</v>
      </c>
      <c r="R222" s="728">
        <f t="shared" si="822"/>
        <v>501</v>
      </c>
      <c r="S222" s="868">
        <f t="shared" si="822"/>
        <v>545</v>
      </c>
      <c r="T222" s="869">
        <f t="shared" si="822"/>
        <v>517</v>
      </c>
      <c r="U222" s="869">
        <f t="shared" si="822"/>
        <v>575</v>
      </c>
      <c r="V222" s="870">
        <f t="shared" si="822"/>
        <v>617</v>
      </c>
      <c r="W222" s="726">
        <f>W207+W213+W215+W221</f>
        <v>615</v>
      </c>
      <c r="X222" s="869">
        <f>X207+X213+X215+X221</f>
        <v>715</v>
      </c>
      <c r="Y222" s="869">
        <f>Y207+Y213+Y215</f>
        <v>682</v>
      </c>
      <c r="Z222" s="728">
        <f>Z207+Z213+Z215</f>
        <v>682</v>
      </c>
      <c r="AA222" s="726">
        <f>AA207+AA213+AA215+AA214</f>
        <v>607</v>
      </c>
      <c r="AB222" s="997">
        <f>AB207+AB213+AB215+AB214</f>
        <v>594</v>
      </c>
      <c r="AC222" s="727">
        <f t="shared" ref="AC222:AD222" si="823">AC207+AC213+AC215+AC214</f>
        <v>692.49774471698288</v>
      </c>
      <c r="AD222" s="1063">
        <f t="shared" si="823"/>
        <v>880.62333056815453</v>
      </c>
      <c r="AE222" s="726">
        <f>AE207+AE213+AE215+AE214</f>
        <v>908</v>
      </c>
      <c r="AF222" s="997">
        <f>AF207+AF213+AF215+AF214</f>
        <v>1018</v>
      </c>
      <c r="AG222" s="997">
        <f>AG207+AG213+AG215+AG214</f>
        <v>1093</v>
      </c>
      <c r="AH222" s="1238">
        <f t="shared" ref="AH222" si="824">AH207+AH213+AH215+AH214</f>
        <v>1070</v>
      </c>
      <c r="AI222" s="726">
        <f>AI207+AI213+AI215+AI214</f>
        <v>1274</v>
      </c>
      <c r="AJ222" s="727">
        <f t="shared" ref="AJ222:AL222" si="825">AJ207+AJ213+AJ215+AJ214</f>
        <v>1324.0157733125632</v>
      </c>
      <c r="AK222" s="727">
        <f t="shared" si="825"/>
        <v>1413.7147369498948</v>
      </c>
      <c r="AL222" s="728">
        <f t="shared" si="825"/>
        <v>1510.6324100870402</v>
      </c>
      <c r="AM222" s="727">
        <f t="shared" ref="AM222:AP222" si="826">AM207+AM213+AM215+AM214</f>
        <v>1404.519965545285</v>
      </c>
      <c r="AN222" s="727">
        <f t="shared" si="826"/>
        <v>1486.9736105778177</v>
      </c>
      <c r="AO222" s="727">
        <f t="shared" si="826"/>
        <v>1600.2207156295881</v>
      </c>
      <c r="AP222" s="728">
        <f t="shared" si="826"/>
        <v>1667.6638320031163</v>
      </c>
      <c r="AQ222" s="830"/>
      <c r="AS222" s="729">
        <f>SUM(C222:F222)</f>
        <v>0</v>
      </c>
      <c r="AT222" s="729">
        <f>SUM(G222:J222)</f>
        <v>1589</v>
      </c>
      <c r="AU222" s="729">
        <f>SUM(K222:N222)</f>
        <v>1567</v>
      </c>
      <c r="AV222" s="729">
        <f>SUM(O222:R222)</f>
        <v>1911</v>
      </c>
      <c r="AW222" s="782">
        <f>SUM(S222:V222)</f>
        <v>2254</v>
      </c>
      <c r="AX222" s="782">
        <f>SUM(W222:Z222)</f>
        <v>2694</v>
      </c>
      <c r="AY222" s="782">
        <f>SUM(AA222:AD222)</f>
        <v>2774.1210752851375</v>
      </c>
      <c r="AZ222" s="782">
        <f>SUM(AE222:AH222)</f>
        <v>4089</v>
      </c>
      <c r="BA222" s="782">
        <f>SUM(AI222:AL222)</f>
        <v>5522.3629203494984</v>
      </c>
      <c r="BB222" s="782">
        <f>SUM(AM222:AP222)</f>
        <v>6159.3781237558069</v>
      </c>
    </row>
    <row r="223" spans="2:54" s="745" customFormat="1">
      <c r="B223" s="741" t="s">
        <v>457</v>
      </c>
      <c r="C223" s="742"/>
      <c r="D223" s="743"/>
      <c r="E223" s="743"/>
      <c r="F223" s="744"/>
      <c r="G223" s="742">
        <f t="shared" ref="G223:M223" si="827">G274</f>
        <v>373</v>
      </c>
      <c r="H223" s="743">
        <f t="shared" si="827"/>
        <v>375</v>
      </c>
      <c r="I223" s="743">
        <f t="shared" si="827"/>
        <v>395</v>
      </c>
      <c r="J223" s="744">
        <f t="shared" si="827"/>
        <v>446</v>
      </c>
      <c r="K223" s="742">
        <f t="shared" si="827"/>
        <v>356</v>
      </c>
      <c r="L223" s="743">
        <f t="shared" si="827"/>
        <v>319</v>
      </c>
      <c r="M223" s="743">
        <f t="shared" si="827"/>
        <v>405</v>
      </c>
      <c r="N223" s="744">
        <f>N274</f>
        <v>487</v>
      </c>
      <c r="O223" s="742">
        <f t="shared" ref="O223:Y223" si="828">O266</f>
        <v>460</v>
      </c>
      <c r="P223" s="743">
        <f t="shared" si="828"/>
        <v>447</v>
      </c>
      <c r="Q223" s="743">
        <f t="shared" si="828"/>
        <v>503</v>
      </c>
      <c r="R223" s="744">
        <f t="shared" si="828"/>
        <v>501</v>
      </c>
      <c r="S223" s="742">
        <f t="shared" si="828"/>
        <v>545</v>
      </c>
      <c r="T223" s="743">
        <f t="shared" si="828"/>
        <v>517</v>
      </c>
      <c r="U223" s="743">
        <f t="shared" si="828"/>
        <v>575</v>
      </c>
      <c r="V223" s="744">
        <f t="shared" si="828"/>
        <v>617</v>
      </c>
      <c r="W223" s="742">
        <f t="shared" si="828"/>
        <v>615</v>
      </c>
      <c r="X223" s="743">
        <f t="shared" si="828"/>
        <v>715</v>
      </c>
      <c r="Y223" s="743">
        <f t="shared" si="828"/>
        <v>682</v>
      </c>
      <c r="Z223" s="744">
        <f>Z266</f>
        <v>682</v>
      </c>
      <c r="AA223" s="742">
        <f>AA266</f>
        <v>607</v>
      </c>
      <c r="AB223" s="1001">
        <f>AB266</f>
        <v>594</v>
      </c>
      <c r="AC223" s="848">
        <f t="shared" ref="AC223:AD223" si="829">AC222</f>
        <v>692.49774471698288</v>
      </c>
      <c r="AD223" s="849">
        <f t="shared" si="829"/>
        <v>880.62333056815453</v>
      </c>
      <c r="AE223" s="742">
        <f>AE266</f>
        <v>908</v>
      </c>
      <c r="AF223" s="1001">
        <f>AF266</f>
        <v>1018</v>
      </c>
      <c r="AG223" s="1001">
        <f>AG266</f>
        <v>1093</v>
      </c>
      <c r="AH223" s="849">
        <f t="shared" ref="AH223" si="830">AH222</f>
        <v>1070</v>
      </c>
      <c r="AI223" s="742">
        <f>AI266</f>
        <v>1274</v>
      </c>
      <c r="AJ223" s="848">
        <f t="shared" ref="AJ223:AL223" si="831">AJ222</f>
        <v>1324.0157733125632</v>
      </c>
      <c r="AK223" s="848">
        <f t="shared" si="831"/>
        <v>1413.7147369498948</v>
      </c>
      <c r="AL223" s="849">
        <f t="shared" si="831"/>
        <v>1510.6324100870402</v>
      </c>
      <c r="AM223" s="848">
        <f t="shared" ref="AM223:AP223" si="832">AM222</f>
        <v>1404.519965545285</v>
      </c>
      <c r="AN223" s="848">
        <f t="shared" si="832"/>
        <v>1486.9736105778177</v>
      </c>
      <c r="AO223" s="848">
        <f t="shared" si="832"/>
        <v>1600.2207156295881</v>
      </c>
      <c r="AP223" s="849">
        <f t="shared" si="832"/>
        <v>1667.6638320031163</v>
      </c>
      <c r="AQ223" s="746"/>
      <c r="AS223" s="747">
        <f>SUM(C223:F223)</f>
        <v>0</v>
      </c>
      <c r="AT223" s="747">
        <f>SUM(G223:J223)</f>
        <v>1589</v>
      </c>
      <c r="AU223" s="747">
        <f>SUM(K223:N223)</f>
        <v>1567</v>
      </c>
      <c r="AV223" s="747">
        <f>SUM(O223:R223)</f>
        <v>1911</v>
      </c>
      <c r="AW223" s="747">
        <f>SUM(S223:V223)</f>
        <v>2254</v>
      </c>
      <c r="AX223" s="747">
        <f>SUM(W223:Z223)</f>
        <v>2694</v>
      </c>
      <c r="AY223" s="747">
        <f>SUM(AA223:AD223)</f>
        <v>2774.1210752851375</v>
      </c>
      <c r="AZ223" s="747">
        <f>SUM(AE223:AH223)</f>
        <v>4089</v>
      </c>
      <c r="BA223" s="747">
        <f>SUM(AI223:AL223)</f>
        <v>5522.3629203494984</v>
      </c>
      <c r="BB223" s="747">
        <f>SUM(AM223:AP223)</f>
        <v>6159.3781237558069</v>
      </c>
    </row>
    <row r="224" spans="2:54" s="721" customFormat="1">
      <c r="B224" s="749" t="s">
        <v>356</v>
      </c>
      <c r="C224" s="827"/>
      <c r="D224" s="828"/>
      <c r="E224" s="828"/>
      <c r="F224" s="829"/>
      <c r="G224" s="827">
        <f>G223-G222</f>
        <v>0</v>
      </c>
      <c r="H224" s="828">
        <f t="shared" ref="H224:AD224" si="833">H223-H222</f>
        <v>0</v>
      </c>
      <c r="I224" s="828">
        <f t="shared" si="833"/>
        <v>0</v>
      </c>
      <c r="J224" s="829">
        <f t="shared" si="833"/>
        <v>0</v>
      </c>
      <c r="K224" s="827">
        <f t="shared" si="833"/>
        <v>0</v>
      </c>
      <c r="L224" s="828">
        <f t="shared" si="833"/>
        <v>0</v>
      </c>
      <c r="M224" s="828">
        <f t="shared" si="833"/>
        <v>0</v>
      </c>
      <c r="N224" s="829">
        <f t="shared" si="833"/>
        <v>0</v>
      </c>
      <c r="O224" s="827">
        <f t="shared" si="833"/>
        <v>0</v>
      </c>
      <c r="P224" s="828">
        <f t="shared" si="833"/>
        <v>0</v>
      </c>
      <c r="Q224" s="828">
        <f t="shared" si="833"/>
        <v>0</v>
      </c>
      <c r="R224" s="829">
        <f t="shared" si="833"/>
        <v>0</v>
      </c>
      <c r="S224" s="859">
        <f t="shared" si="833"/>
        <v>0</v>
      </c>
      <c r="T224" s="854">
        <f t="shared" si="833"/>
        <v>0</v>
      </c>
      <c r="U224" s="854">
        <f t="shared" si="833"/>
        <v>0</v>
      </c>
      <c r="V224" s="855">
        <f t="shared" si="833"/>
        <v>0</v>
      </c>
      <c r="W224" s="827">
        <f t="shared" si="833"/>
        <v>0</v>
      </c>
      <c r="X224" s="828">
        <f t="shared" si="833"/>
        <v>0</v>
      </c>
      <c r="Y224" s="828">
        <f t="shared" si="833"/>
        <v>0</v>
      </c>
      <c r="Z224" s="829">
        <f t="shared" si="833"/>
        <v>0</v>
      </c>
      <c r="AA224" s="827">
        <f t="shared" si="833"/>
        <v>0</v>
      </c>
      <c r="AB224" s="996">
        <f t="shared" ref="AB224" si="834">AB223-AB222</f>
        <v>0</v>
      </c>
      <c r="AC224" s="828">
        <f t="shared" si="833"/>
        <v>0</v>
      </c>
      <c r="AD224" s="1079">
        <f t="shared" si="833"/>
        <v>0</v>
      </c>
      <c r="AE224" s="827">
        <f t="shared" ref="AE224" si="835">AE223-AE222</f>
        <v>0</v>
      </c>
      <c r="AF224" s="828">
        <f t="shared" ref="AF224:AH224" si="836">AF223-AF222</f>
        <v>0</v>
      </c>
      <c r="AG224" s="828">
        <f t="shared" si="836"/>
        <v>0</v>
      </c>
      <c r="AH224" s="1252">
        <f t="shared" si="836"/>
        <v>0</v>
      </c>
      <c r="AI224" s="828">
        <f t="shared" ref="AI224:AL224" si="837">AI223-AI222</f>
        <v>0</v>
      </c>
      <c r="AJ224" s="828">
        <f t="shared" si="837"/>
        <v>0</v>
      </c>
      <c r="AK224" s="828">
        <f t="shared" si="837"/>
        <v>0</v>
      </c>
      <c r="AL224" s="829">
        <f t="shared" si="837"/>
        <v>0</v>
      </c>
      <c r="AM224" s="828">
        <f t="shared" ref="AM224:AP224" si="838">AM223-AM222</f>
        <v>0</v>
      </c>
      <c r="AN224" s="828">
        <f t="shared" si="838"/>
        <v>0</v>
      </c>
      <c r="AO224" s="828">
        <f t="shared" si="838"/>
        <v>0</v>
      </c>
      <c r="AP224" s="829">
        <f t="shared" si="838"/>
        <v>0</v>
      </c>
      <c r="AQ224" s="830"/>
      <c r="AS224" s="732"/>
      <c r="AT224" s="732"/>
      <c r="AU224" s="732"/>
      <c r="AV224" s="732"/>
      <c r="AW224" s="732"/>
      <c r="AX224" s="732"/>
      <c r="AY224" s="732"/>
      <c r="AZ224" s="732"/>
      <c r="BA224" s="732"/>
      <c r="BB224" s="732"/>
    </row>
    <row r="225" spans="2:54">
      <c r="AD225" s="1086"/>
      <c r="AE225" s="874"/>
      <c r="AL225" s="873"/>
      <c r="AP225" s="873"/>
    </row>
    <row r="226" spans="2:54" s="721" customFormat="1">
      <c r="B226" s="750" t="s">
        <v>458</v>
      </c>
      <c r="C226" s="751"/>
      <c r="D226" s="752"/>
      <c r="E226" s="752"/>
      <c r="F226" s="753"/>
      <c r="G226" s="751"/>
      <c r="H226" s="752"/>
      <c r="I226" s="752"/>
      <c r="J226" s="753"/>
      <c r="K226" s="751"/>
      <c r="L226" s="752"/>
      <c r="M226" s="752"/>
      <c r="N226" s="753"/>
      <c r="O226" s="751"/>
      <c r="P226" s="752"/>
      <c r="Q226" s="752"/>
      <c r="R226" s="753"/>
      <c r="S226" s="751"/>
      <c r="T226" s="752"/>
      <c r="U226" s="752"/>
      <c r="V226" s="753"/>
      <c r="W226" s="751"/>
      <c r="X226" s="752"/>
      <c r="Y226" s="752"/>
      <c r="Z226" s="753"/>
      <c r="AA226" s="751"/>
      <c r="AB226" s="752"/>
      <c r="AC226" s="752"/>
      <c r="AD226" s="1069"/>
      <c r="AE226" s="751"/>
      <c r="AF226" s="752"/>
      <c r="AG226" s="752"/>
      <c r="AH226" s="1242"/>
      <c r="AI226" s="752"/>
      <c r="AJ226" s="752"/>
      <c r="AK226" s="752"/>
      <c r="AL226" s="753"/>
      <c r="AM226" s="752"/>
      <c r="AN226" s="752"/>
      <c r="AO226" s="752"/>
      <c r="AP226" s="753"/>
      <c r="AQ226" s="830"/>
      <c r="AS226" s="732"/>
      <c r="AT226" s="732"/>
      <c r="AU226" s="732"/>
      <c r="AV226" s="732"/>
      <c r="AW226" s="732"/>
      <c r="AX226" s="732"/>
      <c r="AY226" s="732"/>
      <c r="AZ226" s="732"/>
      <c r="BA226" s="732"/>
      <c r="BB226" s="732"/>
    </row>
    <row r="227" spans="2:54" s="721" customFormat="1">
      <c r="B227" s="749" t="s">
        <v>368</v>
      </c>
      <c r="C227" s="764">
        <v>160.91800000000001</v>
      </c>
      <c r="D227" s="765">
        <v>197.10599999999999</v>
      </c>
      <c r="E227" s="765">
        <v>237.35384999999999</v>
      </c>
      <c r="F227" s="766">
        <v>261.02766000000003</v>
      </c>
      <c r="G227" s="764">
        <v>225.04146</v>
      </c>
      <c r="H227" s="765">
        <v>252.25618000000003</v>
      </c>
      <c r="I227" s="765">
        <v>219.43908000000002</v>
      </c>
      <c r="J227" s="766">
        <v>196.85571999999999</v>
      </c>
      <c r="K227" s="764">
        <v>158.10664800000001</v>
      </c>
      <c r="L227" s="765">
        <v>209.17395000000002</v>
      </c>
      <c r="M227" s="765">
        <v>222.75450000000001</v>
      </c>
      <c r="N227" s="766">
        <v>193.3536</v>
      </c>
      <c r="O227" s="764">
        <v>168.30540999999997</v>
      </c>
      <c r="P227" s="765">
        <v>177.13878</v>
      </c>
      <c r="Q227" s="765">
        <v>182.83744999999999</v>
      </c>
      <c r="R227" s="766">
        <v>181.74680000000001</v>
      </c>
      <c r="S227" s="764">
        <v>207.4914</v>
      </c>
      <c r="T227" s="765">
        <v>226.09782000000001</v>
      </c>
      <c r="U227" s="765">
        <v>224.8227</v>
      </c>
      <c r="V227" s="766">
        <v>201.54665999999997</v>
      </c>
      <c r="W227" s="764">
        <v>182.90369999999999</v>
      </c>
      <c r="X227" s="765">
        <v>128.39022</v>
      </c>
      <c r="Y227" s="765">
        <v>139.84844999999999</v>
      </c>
      <c r="Z227" s="766">
        <v>143.40922562550222</v>
      </c>
      <c r="AA227" s="764">
        <v>129</v>
      </c>
      <c r="AB227" s="727">
        <f>AA227*(1+AB228)</f>
        <v>167.70000000000002</v>
      </c>
      <c r="AC227" s="727">
        <f t="shared" ref="AC227:AD227" si="839">AB227*(1+AC228)</f>
        <v>152.60700000000003</v>
      </c>
      <c r="AD227" s="1063">
        <f t="shared" si="839"/>
        <v>151.08093000000002</v>
      </c>
      <c r="AE227" s="727">
        <f>AD227*(1+AE228)</f>
        <v>152.74282023000001</v>
      </c>
      <c r="AF227" s="727">
        <f t="shared" ref="AF227" si="840">AE227*(1+AF228)</f>
        <v>157.32510483690001</v>
      </c>
      <c r="AG227" s="727">
        <f t="shared" ref="AG227:AH227" si="841">AF227*(1+AG228)</f>
        <v>154.17860274016201</v>
      </c>
      <c r="AH227" s="1238">
        <f t="shared" si="841"/>
        <v>146.4696726031539</v>
      </c>
      <c r="AI227" s="727">
        <f t="shared" ref="AI227" si="842">AH227*(1+AI228)</f>
        <v>144.99308098395554</v>
      </c>
      <c r="AJ227" s="727">
        <f t="shared" ref="AJ227" si="843">AI227*(1+AJ228)</f>
        <v>142.09321936427642</v>
      </c>
      <c r="AK227" s="727">
        <f t="shared" ref="AK227" si="844">AJ227*(1+AK228)</f>
        <v>139.25135497699088</v>
      </c>
      <c r="AL227" s="728">
        <f t="shared" ref="AL227" si="845">AK227*(1+AL228)</f>
        <v>136.46632787745105</v>
      </c>
      <c r="AM227" s="727">
        <f t="shared" ref="AM227" si="846">AL227*(1+AM228)</f>
        <v>128.27834820480399</v>
      </c>
      <c r="AN227" s="727">
        <f t="shared" ref="AN227" si="847">AM227*(1+AN228)</f>
        <v>133.40948213299615</v>
      </c>
      <c r="AO227" s="727">
        <f t="shared" ref="AO227" si="848">AN227*(1+AO228)</f>
        <v>137.41176659698604</v>
      </c>
      <c r="AP227" s="728">
        <f t="shared" ref="AP227" si="849">AO227*(1+AP228)</f>
        <v>136.03764893101618</v>
      </c>
      <c r="AQ227" s="830"/>
      <c r="AS227" s="729">
        <f>SUM(C227:F227)</f>
        <v>856.40551000000005</v>
      </c>
      <c r="AT227" s="729">
        <f>SUM(G227:J227)</f>
        <v>893.59244000000001</v>
      </c>
      <c r="AU227" s="729">
        <f>SUM(K227:N227)</f>
        <v>783.38869800000009</v>
      </c>
      <c r="AV227" s="729">
        <f>SUM(O227:R227)</f>
        <v>710.02843999999993</v>
      </c>
      <c r="AW227" s="782">
        <f>SUM(S227:V227)</f>
        <v>859.95857999999998</v>
      </c>
      <c r="AX227" s="782">
        <f>SUM(W227:Z227)</f>
        <v>594.55159562550216</v>
      </c>
      <c r="AY227" s="782">
        <f>SUM(AA227:AD227)</f>
        <v>600.3879300000001</v>
      </c>
      <c r="AZ227" s="782">
        <f>SUM(AE227:AH227)</f>
        <v>610.71620041021583</v>
      </c>
      <c r="BA227" s="782">
        <f>SUM(AI227:AL227)</f>
        <v>562.80398320267386</v>
      </c>
      <c r="BB227" s="782">
        <f>SUM(AM227:AP227)</f>
        <v>535.13724586580236</v>
      </c>
    </row>
    <row r="228" spans="2:54" s="721" customFormat="1">
      <c r="B228" s="754" t="s">
        <v>97</v>
      </c>
      <c r="C228" s="834"/>
      <c r="D228" s="810">
        <f>D227/C227-1</f>
        <v>0.22488472389664294</v>
      </c>
      <c r="E228" s="810">
        <f t="shared" ref="E228:AA228" si="850">E227/D227-1</f>
        <v>0.20419393625764815</v>
      </c>
      <c r="F228" s="811">
        <f t="shared" si="850"/>
        <v>9.9740577201507419E-2</v>
      </c>
      <c r="G228" s="834">
        <f t="shared" si="850"/>
        <v>-0.1378635505524588</v>
      </c>
      <c r="H228" s="810">
        <f t="shared" si="850"/>
        <v>0.12093202736953468</v>
      </c>
      <c r="I228" s="810">
        <f t="shared" si="850"/>
        <v>-0.1300943350525644</v>
      </c>
      <c r="J228" s="811">
        <f t="shared" si="850"/>
        <v>-0.10291402971612906</v>
      </c>
      <c r="K228" s="834">
        <f t="shared" si="850"/>
        <v>-0.1968399597431052</v>
      </c>
      <c r="L228" s="810">
        <f t="shared" si="850"/>
        <v>0.32299275613002698</v>
      </c>
      <c r="M228" s="810">
        <f t="shared" si="850"/>
        <v>6.4924671547293533E-2</v>
      </c>
      <c r="N228" s="811">
        <f t="shared" si="850"/>
        <v>-0.13198790596822962</v>
      </c>
      <c r="O228" s="834">
        <f t="shared" si="850"/>
        <v>-0.12954602345133492</v>
      </c>
      <c r="P228" s="810">
        <f t="shared" si="850"/>
        <v>5.2484171483258013E-2</v>
      </c>
      <c r="Q228" s="810">
        <f t="shared" si="850"/>
        <v>3.2170651734193978E-2</v>
      </c>
      <c r="R228" s="811">
        <f t="shared" si="850"/>
        <v>-5.9651346045352938E-3</v>
      </c>
      <c r="S228" s="859">
        <f t="shared" si="850"/>
        <v>0.14165091214810932</v>
      </c>
      <c r="T228" s="854">
        <f t="shared" si="850"/>
        <v>8.9673210552341009E-2</v>
      </c>
      <c r="U228" s="854">
        <f t="shared" si="850"/>
        <v>-5.6396828593925363E-3</v>
      </c>
      <c r="V228" s="855">
        <f t="shared" si="850"/>
        <v>-0.10353064881793528</v>
      </c>
      <c r="W228" s="834">
        <f t="shared" si="850"/>
        <v>-9.2499473819114608E-2</v>
      </c>
      <c r="X228" s="810">
        <f t="shared" si="850"/>
        <v>-0.29804470877297717</v>
      </c>
      <c r="Y228" s="810">
        <f t="shared" si="850"/>
        <v>8.9245349061634061E-2</v>
      </c>
      <c r="Z228" s="811">
        <f t="shared" si="850"/>
        <v>2.5461673872697377E-2</v>
      </c>
      <c r="AA228" s="834">
        <f t="shared" si="850"/>
        <v>-0.10047628081564541</v>
      </c>
      <c r="AB228" s="860">
        <v>0.3</v>
      </c>
      <c r="AC228" s="860">
        <v>-0.09</v>
      </c>
      <c r="AD228" s="1087">
        <v>-0.01</v>
      </c>
      <c r="AE228" s="860">
        <v>1.0999999999999999E-2</v>
      </c>
      <c r="AF228" s="860">
        <v>0.03</v>
      </c>
      <c r="AG228" s="860">
        <v>-0.02</v>
      </c>
      <c r="AH228" s="1263">
        <v>-0.05</v>
      </c>
      <c r="AI228" s="860">
        <f>AVERAGE(AE228,AA228,W228,S228)</f>
        <v>-1.0081210621662673E-2</v>
      </c>
      <c r="AJ228" s="860">
        <v>-0.02</v>
      </c>
      <c r="AK228" s="860">
        <v>-0.02</v>
      </c>
      <c r="AL228" s="860">
        <v>-0.02</v>
      </c>
      <c r="AM228" s="860">
        <v>-0.06</v>
      </c>
      <c r="AN228" s="860">
        <v>0.04</v>
      </c>
      <c r="AO228" s="860">
        <v>0.03</v>
      </c>
      <c r="AP228" s="861">
        <v>-0.01</v>
      </c>
      <c r="AQ228" s="830"/>
      <c r="AS228" s="732"/>
      <c r="AT228" s="850">
        <f t="shared" ref="AT228:BB234" si="851">AT227/AS227-1</f>
        <v>4.3422105025924029E-2</v>
      </c>
      <c r="AU228" s="850">
        <f t="shared" si="851"/>
        <v>-0.1233266275171262</v>
      </c>
      <c r="AV228" s="850">
        <f t="shared" si="851"/>
        <v>-9.364477453822051E-2</v>
      </c>
      <c r="AW228" s="850">
        <f t="shared" si="851"/>
        <v>0.2111607529411077</v>
      </c>
      <c r="AX228" s="850">
        <f t="shared" si="851"/>
        <v>-0.3086276368967652</v>
      </c>
      <c r="AY228" s="850">
        <f t="shared" si="851"/>
        <v>9.816363150716656E-3</v>
      </c>
      <c r="AZ228" s="850">
        <f t="shared" si="851"/>
        <v>1.7202661636145367E-2</v>
      </c>
      <c r="BA228" s="850">
        <f t="shared" si="851"/>
        <v>-7.8452507359980772E-2</v>
      </c>
      <c r="BB228" s="850">
        <f t="shared" si="851"/>
        <v>-4.9158744718600045E-2</v>
      </c>
    </row>
    <row r="229" spans="2:54" s="721" customFormat="1">
      <c r="B229" s="749" t="s">
        <v>369</v>
      </c>
      <c r="C229" s="764">
        <v>96.550799999999995</v>
      </c>
      <c r="D229" s="765">
        <v>107.93900000000001</v>
      </c>
      <c r="E229" s="765">
        <v>116.03966</v>
      </c>
      <c r="F229" s="766">
        <v>105.52182000000001</v>
      </c>
      <c r="G229" s="764">
        <v>128.59511999999998</v>
      </c>
      <c r="H229" s="765">
        <v>120.64426</v>
      </c>
      <c r="I229" s="765">
        <v>112.33191000000001</v>
      </c>
      <c r="J229" s="766">
        <v>109.87295999999999</v>
      </c>
      <c r="K229" s="764">
        <v>86.306274599999995</v>
      </c>
      <c r="L229" s="765">
        <v>88.317890000000006</v>
      </c>
      <c r="M229" s="765">
        <v>99.00200000000001</v>
      </c>
      <c r="N229" s="766">
        <v>92.282399999999996</v>
      </c>
      <c r="O229" s="764">
        <v>90.310220000000001</v>
      </c>
      <c r="P229" s="765">
        <v>92.78698</v>
      </c>
      <c r="Q229" s="765">
        <v>102.56735</v>
      </c>
      <c r="R229" s="766">
        <v>99.960740000000001</v>
      </c>
      <c r="S229" s="764">
        <v>101.44024</v>
      </c>
      <c r="T229" s="765">
        <v>103.21857</v>
      </c>
      <c r="U229" s="765">
        <v>104.91726</v>
      </c>
      <c r="V229" s="766">
        <v>105.57205999999999</v>
      </c>
      <c r="W229" s="764">
        <v>91.451849999999993</v>
      </c>
      <c r="X229" s="765">
        <v>111.82374</v>
      </c>
      <c r="Y229" s="765">
        <v>95.896079999999998</v>
      </c>
      <c r="Z229" s="766">
        <v>94.937119199999998</v>
      </c>
      <c r="AA229" s="764">
        <v>80</v>
      </c>
      <c r="AB229" s="727">
        <f>AA229*(1+AB230)</f>
        <v>104</v>
      </c>
      <c r="AC229" s="727">
        <f t="shared" ref="AC229:AD229" si="852">AB229*(1+AC230)</f>
        <v>95.68</v>
      </c>
      <c r="AD229" s="1063">
        <f t="shared" si="852"/>
        <v>94.723200000000006</v>
      </c>
      <c r="AE229" s="727">
        <f>AD229*(1+AE230)</f>
        <v>95.803991711999998</v>
      </c>
      <c r="AF229" s="727">
        <f t="shared" ref="AF229" si="853">AE229*(1+AF230)</f>
        <v>100.59419129760001</v>
      </c>
      <c r="AG229" s="727">
        <f t="shared" ref="AG229:AH229" si="854">AF229*(1+AG230)</f>
        <v>112.66549425331202</v>
      </c>
      <c r="AH229" s="1238">
        <f t="shared" si="854"/>
        <v>166.74493149490178</v>
      </c>
      <c r="AI229" s="727">
        <f t="shared" ref="AI229" si="855">AH229*(1+AI230)</f>
        <v>136.73084382581948</v>
      </c>
      <c r="AJ229" s="727">
        <f t="shared" ref="AJ229" si="856">AI229*(1+AJ230)</f>
        <v>133.99622694930309</v>
      </c>
      <c r="AK229" s="727">
        <f t="shared" ref="AK229" si="857">AJ229*(1+AK230)</f>
        <v>131.31630241031704</v>
      </c>
      <c r="AL229" s="728">
        <f t="shared" ref="AL229" si="858">AK229*(1+AL230)</f>
        <v>151.01374777186459</v>
      </c>
      <c r="AM229" s="727">
        <f t="shared" ref="AM229" si="859">AL229*(1+AM230)</f>
        <v>141.9529229055527</v>
      </c>
      <c r="AN229" s="727">
        <f t="shared" ref="AN229" si="860">AM229*(1+AN230)</f>
        <v>147.63103982177481</v>
      </c>
      <c r="AO229" s="727">
        <f t="shared" ref="AO229" si="861">AN229*(1+AO230)</f>
        <v>152.05997101642805</v>
      </c>
      <c r="AP229" s="728">
        <f t="shared" ref="AP229" si="862">AO229*(1+AP230)</f>
        <v>150.53937130626377</v>
      </c>
      <c r="AQ229" s="830"/>
      <c r="AS229" s="729">
        <f>SUM(C229:F229)</f>
        <v>426.05127999999996</v>
      </c>
      <c r="AT229" s="729">
        <f>SUM(G229:J229)</f>
        <v>471.44424999999995</v>
      </c>
      <c r="AU229" s="729">
        <f>SUM(K229:N229)</f>
        <v>365.90856460000003</v>
      </c>
      <c r="AV229" s="729">
        <f>SUM(O229:R229)</f>
        <v>385.62528999999995</v>
      </c>
      <c r="AW229" s="782">
        <f>SUM(S229:V229)</f>
        <v>415.14813000000004</v>
      </c>
      <c r="AX229" s="782">
        <f>SUM(W229:Z229)</f>
        <v>394.10878919999999</v>
      </c>
      <c r="AY229" s="782">
        <f>SUM(AA229:AD229)</f>
        <v>374.40320000000003</v>
      </c>
      <c r="AZ229" s="782">
        <f>SUM(AE229:AH229)</f>
        <v>475.80860875781383</v>
      </c>
      <c r="BA229" s="782">
        <f>SUM(AI229:AL229)</f>
        <v>553.05712095730416</v>
      </c>
      <c r="BB229" s="782">
        <f>SUM(AM229:AP229)</f>
        <v>592.18330505001927</v>
      </c>
    </row>
    <row r="230" spans="2:54" s="721" customFormat="1">
      <c r="B230" s="754" t="s">
        <v>97</v>
      </c>
      <c r="C230" s="834"/>
      <c r="D230" s="810">
        <f>D229/C229-1</f>
        <v>0.11795034323899967</v>
      </c>
      <c r="E230" s="810">
        <f t="shared" ref="E230:AA230" si="863">E229/D229-1</f>
        <v>7.5048499615523401E-2</v>
      </c>
      <c r="F230" s="811">
        <f t="shared" si="863"/>
        <v>-9.0640044963937294E-2</v>
      </c>
      <c r="G230" s="834">
        <f t="shared" si="863"/>
        <v>0.21865904132434388</v>
      </c>
      <c r="H230" s="810">
        <f t="shared" si="863"/>
        <v>-6.1828629266802548E-2</v>
      </c>
      <c r="I230" s="810">
        <f t="shared" si="863"/>
        <v>-6.889967247509321E-2</v>
      </c>
      <c r="J230" s="811">
        <f t="shared" si="863"/>
        <v>-2.189003997172323E-2</v>
      </c>
      <c r="K230" s="834">
        <f t="shared" si="863"/>
        <v>-0.21449031135595142</v>
      </c>
      <c r="L230" s="810">
        <f t="shared" si="863"/>
        <v>2.3307869669072723E-2</v>
      </c>
      <c r="M230" s="810">
        <f t="shared" si="863"/>
        <v>0.12097333847083536</v>
      </c>
      <c r="N230" s="811">
        <f t="shared" si="863"/>
        <v>-6.7873376295428556E-2</v>
      </c>
      <c r="O230" s="834">
        <f t="shared" si="863"/>
        <v>-2.13711390254262E-2</v>
      </c>
      <c r="P230" s="810">
        <f t="shared" si="863"/>
        <v>2.7425024543180188E-2</v>
      </c>
      <c r="Q230" s="810">
        <f t="shared" si="863"/>
        <v>0.10540670684615461</v>
      </c>
      <c r="R230" s="811">
        <f t="shared" si="863"/>
        <v>-2.5413642840533601E-2</v>
      </c>
      <c r="S230" s="859">
        <f t="shared" si="863"/>
        <v>1.4800810798319519E-2</v>
      </c>
      <c r="T230" s="854">
        <f t="shared" si="863"/>
        <v>1.7530814201543565E-2</v>
      </c>
      <c r="U230" s="854">
        <f t="shared" si="863"/>
        <v>1.6457213077065491E-2</v>
      </c>
      <c r="V230" s="855">
        <f t="shared" si="863"/>
        <v>6.2411084696645247E-3</v>
      </c>
      <c r="W230" s="834">
        <f t="shared" si="863"/>
        <v>-0.13374949773642764</v>
      </c>
      <c r="X230" s="810">
        <f t="shared" si="863"/>
        <v>0.22276082987932999</v>
      </c>
      <c r="Y230" s="810">
        <f t="shared" si="863"/>
        <v>-0.14243540772290397</v>
      </c>
      <c r="Z230" s="811">
        <f t="shared" si="863"/>
        <v>-1.0000000000000009E-2</v>
      </c>
      <c r="AA230" s="834">
        <f t="shared" si="863"/>
        <v>-0.15733697552516424</v>
      </c>
      <c r="AB230" s="860">
        <v>0.3</v>
      </c>
      <c r="AC230" s="860">
        <v>-0.08</v>
      </c>
      <c r="AD230" s="1087">
        <v>-0.01</v>
      </c>
      <c r="AE230" s="860">
        <v>1.141E-2</v>
      </c>
      <c r="AF230" s="860">
        <v>0.05</v>
      </c>
      <c r="AG230" s="860">
        <v>0.12</v>
      </c>
      <c r="AH230" s="1263">
        <v>0.48</v>
      </c>
      <c r="AI230" s="860">
        <v>-0.18</v>
      </c>
      <c r="AJ230" s="860">
        <v>-0.02</v>
      </c>
      <c r="AK230" s="860">
        <v>-0.02</v>
      </c>
      <c r="AL230" s="861">
        <v>0.15</v>
      </c>
      <c r="AM230" s="860">
        <v>-0.06</v>
      </c>
      <c r="AN230" s="860">
        <v>0.04</v>
      </c>
      <c r="AO230" s="860">
        <v>0.03</v>
      </c>
      <c r="AP230" s="861">
        <v>-0.01</v>
      </c>
      <c r="AQ230" s="830"/>
      <c r="AS230" s="732"/>
      <c r="AT230" s="850">
        <f t="shared" ref="AT230:AY230" si="864">AT229/AS229-1</f>
        <v>0.10654344237623237</v>
      </c>
      <c r="AU230" s="850">
        <f t="shared" si="864"/>
        <v>-0.22385613017870076</v>
      </c>
      <c r="AV230" s="850">
        <f t="shared" si="864"/>
        <v>5.3884295989501174E-2</v>
      </c>
      <c r="AW230" s="850">
        <f t="shared" si="864"/>
        <v>7.6558360578477869E-2</v>
      </c>
      <c r="AX230" s="850">
        <f t="shared" si="864"/>
        <v>-5.0679117355051151E-2</v>
      </c>
      <c r="AY230" s="850">
        <f t="shared" si="864"/>
        <v>-5.0000379945852713E-2</v>
      </c>
      <c r="AZ230" s="850">
        <f t="shared" si="851"/>
        <v>0.27084546488334982</v>
      </c>
      <c r="BA230" s="850">
        <f t="shared" si="851"/>
        <v>0.16235206925146195</v>
      </c>
      <c r="BB230" s="850">
        <f t="shared" si="851"/>
        <v>7.0745285812413572E-2</v>
      </c>
    </row>
    <row r="231" spans="2:54" s="721" customFormat="1">
      <c r="B231" s="749" t="s">
        <v>370</v>
      </c>
      <c r="C231" s="764">
        <v>52.298350000000006</v>
      </c>
      <c r="D231" s="765">
        <v>61.009</v>
      </c>
      <c r="E231" s="765">
        <v>68.568889999999996</v>
      </c>
      <c r="F231" s="766">
        <v>83.306700000000006</v>
      </c>
      <c r="G231" s="764">
        <v>80.371949999999998</v>
      </c>
      <c r="H231" s="765">
        <v>82.257450000000006</v>
      </c>
      <c r="I231" s="765">
        <v>107.76026250000001</v>
      </c>
      <c r="J231" s="766">
        <v>73.248639999999995</v>
      </c>
      <c r="K231" s="764">
        <v>62.78215440000001</v>
      </c>
      <c r="L231" s="765">
        <v>83.669579999999996</v>
      </c>
      <c r="M231" s="765">
        <v>84.151700000000005</v>
      </c>
      <c r="N231" s="766">
        <v>74.704800000000006</v>
      </c>
      <c r="O231" s="764">
        <v>73.890179999999987</v>
      </c>
      <c r="P231" s="765">
        <v>75.916619999999995</v>
      </c>
      <c r="Q231" s="765">
        <v>84.729550000000003</v>
      </c>
      <c r="R231" s="766">
        <v>86.329729999999998</v>
      </c>
      <c r="S231" s="764">
        <v>69.163799999999995</v>
      </c>
      <c r="T231" s="765">
        <v>73.727549999999994</v>
      </c>
      <c r="U231" s="765">
        <v>79.936959999999999</v>
      </c>
      <c r="V231" s="766">
        <v>76.779679999999999</v>
      </c>
      <c r="W231" s="764">
        <v>74.032450000000011</v>
      </c>
      <c r="X231" s="765">
        <v>74.549159999999986</v>
      </c>
      <c r="Y231" s="765">
        <v>83.90907</v>
      </c>
      <c r="Z231" s="766">
        <v>85.5872514</v>
      </c>
      <c r="AA231" s="764">
        <v>80</v>
      </c>
      <c r="AB231" s="727">
        <f>AA231*(1+AB232)</f>
        <v>104</v>
      </c>
      <c r="AC231" s="727">
        <f t="shared" ref="AC231:AD231" si="865">AB231*(1+AC232)</f>
        <v>95.68</v>
      </c>
      <c r="AD231" s="1063">
        <f t="shared" si="865"/>
        <v>94.723200000000006</v>
      </c>
      <c r="AE231" s="727">
        <f>AD231*(1+AE232)</f>
        <v>95.859878400000014</v>
      </c>
      <c r="AF231" s="727">
        <f t="shared" ref="AF231" si="866">AE231*(1+AF232)</f>
        <v>98.735674752000023</v>
      </c>
      <c r="AG231" s="727">
        <f t="shared" ref="AG231:AH231" si="867">AF231*(1+AG232)</f>
        <v>110.58395572224003</v>
      </c>
      <c r="AH231" s="1238">
        <f t="shared" si="867"/>
        <v>143.75914243891205</v>
      </c>
      <c r="AI231" s="727">
        <f t="shared" ref="AI231" si="868">AH231*(1+AI232)</f>
        <v>121.47647536088068</v>
      </c>
      <c r="AJ231" s="727">
        <f t="shared" ref="AJ231" si="869">AI231*(1+AJ232)</f>
        <v>119.04694585366308</v>
      </c>
      <c r="AK231" s="727">
        <f t="shared" ref="AK231" si="870">AJ231*(1+AK232)</f>
        <v>116.66600693658981</v>
      </c>
      <c r="AL231" s="728">
        <f t="shared" ref="AL231" si="871">AK231*(1+AL232)</f>
        <v>134.16590797707826</v>
      </c>
      <c r="AM231" s="727">
        <f t="shared" ref="AM231" si="872">AL231*(1+AM232)</f>
        <v>126.11595349845356</v>
      </c>
      <c r="AN231" s="727">
        <f t="shared" ref="AN231" si="873">AM231*(1+AN232)</f>
        <v>133.68291070836079</v>
      </c>
      <c r="AO231" s="727">
        <f t="shared" ref="AO231" si="874">AN231*(1+AO232)</f>
        <v>137.69339802961161</v>
      </c>
      <c r="AP231" s="728">
        <f t="shared" ref="AP231" si="875">AO231*(1+AP232)</f>
        <v>136.3164640493155</v>
      </c>
      <c r="AQ231" s="830"/>
      <c r="AS231" s="729">
        <f>SUM(C231:F231)</f>
        <v>265.18294000000003</v>
      </c>
      <c r="AT231" s="729">
        <f>SUM(G231:J231)</f>
        <v>343.63830250000001</v>
      </c>
      <c r="AU231" s="729">
        <f>SUM(K231:N231)</f>
        <v>305.30823440000006</v>
      </c>
      <c r="AV231" s="729">
        <f>SUM(O231:R231)</f>
        <v>320.86607999999995</v>
      </c>
      <c r="AW231" s="782">
        <f>SUM(S231:V231)</f>
        <v>299.60798999999997</v>
      </c>
      <c r="AX231" s="782">
        <f>SUM(W231:Z231)</f>
        <v>318.07793140000001</v>
      </c>
      <c r="AY231" s="782">
        <f>SUM(AA231:AD231)</f>
        <v>374.40320000000003</v>
      </c>
      <c r="AZ231" s="782">
        <f>SUM(AE231:AH231)</f>
        <v>448.93865131315215</v>
      </c>
      <c r="BA231" s="782">
        <f>SUM(AI231:AL231)</f>
        <v>491.35533612821189</v>
      </c>
      <c r="BB231" s="782">
        <f>SUM(AM231:AP231)</f>
        <v>533.8087262857415</v>
      </c>
    </row>
    <row r="232" spans="2:54" s="721" customFormat="1">
      <c r="B232" s="754" t="s">
        <v>97</v>
      </c>
      <c r="C232" s="834"/>
      <c r="D232" s="810">
        <f>D231/C231-1</f>
        <v>0.16655687990156465</v>
      </c>
      <c r="E232" s="810">
        <f t="shared" ref="E232:AA232" si="876">E231/D231-1</f>
        <v>0.12391434050713812</v>
      </c>
      <c r="F232" s="811">
        <f t="shared" si="876"/>
        <v>0.21493435288218921</v>
      </c>
      <c r="G232" s="834">
        <f t="shared" si="876"/>
        <v>-3.5228258951561009E-2</v>
      </c>
      <c r="H232" s="810">
        <f t="shared" si="876"/>
        <v>2.3459677163488069E-2</v>
      </c>
      <c r="I232" s="810">
        <f t="shared" si="876"/>
        <v>0.31003650733155474</v>
      </c>
      <c r="J232" s="811">
        <f t="shared" si="876"/>
        <v>-0.32026297727327835</v>
      </c>
      <c r="K232" s="834">
        <f t="shared" si="876"/>
        <v>-0.14288982839817899</v>
      </c>
      <c r="L232" s="810">
        <f t="shared" si="876"/>
        <v>0.33269685947572358</v>
      </c>
      <c r="M232" s="810">
        <f t="shared" si="876"/>
        <v>5.7621897946662504E-3</v>
      </c>
      <c r="N232" s="811">
        <f t="shared" si="876"/>
        <v>-0.11226035837659842</v>
      </c>
      <c r="O232" s="834">
        <f t="shared" si="876"/>
        <v>-1.0904520191473921E-2</v>
      </c>
      <c r="P232" s="810">
        <f t="shared" si="876"/>
        <v>2.7425024543180188E-2</v>
      </c>
      <c r="Q232" s="810">
        <f t="shared" si="876"/>
        <v>0.1160869648833156</v>
      </c>
      <c r="R232" s="811">
        <f t="shared" si="876"/>
        <v>1.8885737030351235E-2</v>
      </c>
      <c r="S232" s="859">
        <f t="shared" si="876"/>
        <v>-0.19884146515922152</v>
      </c>
      <c r="T232" s="854">
        <f t="shared" si="876"/>
        <v>6.5984662496855195E-2</v>
      </c>
      <c r="U232" s="854">
        <f t="shared" si="876"/>
        <v>8.4221027282203265E-2</v>
      </c>
      <c r="V232" s="855">
        <f t="shared" si="876"/>
        <v>-3.9497123733502004E-2</v>
      </c>
      <c r="W232" s="834">
        <f t="shared" si="876"/>
        <v>-3.5780690932809112E-2</v>
      </c>
      <c r="X232" s="810">
        <f t="shared" si="876"/>
        <v>6.9795069594478232E-3</v>
      </c>
      <c r="Y232" s="810">
        <f t="shared" si="876"/>
        <v>0.12555352736368874</v>
      </c>
      <c r="Z232" s="811">
        <f t="shared" si="876"/>
        <v>2.0000000000000018E-2</v>
      </c>
      <c r="AA232" s="834">
        <f t="shared" si="876"/>
        <v>-6.5281351002703158E-2</v>
      </c>
      <c r="AB232" s="860">
        <v>0.3</v>
      </c>
      <c r="AC232" s="860">
        <v>-0.08</v>
      </c>
      <c r="AD232" s="1087">
        <v>-0.01</v>
      </c>
      <c r="AE232" s="860">
        <v>1.2E-2</v>
      </c>
      <c r="AF232" s="860">
        <v>0.03</v>
      </c>
      <c r="AG232" s="860">
        <v>0.12</v>
      </c>
      <c r="AH232" s="1263">
        <v>0.3</v>
      </c>
      <c r="AI232" s="860">
        <v>-0.155</v>
      </c>
      <c r="AJ232" s="860">
        <v>-0.02</v>
      </c>
      <c r="AK232" s="860">
        <v>-0.02</v>
      </c>
      <c r="AL232" s="861">
        <v>0.15</v>
      </c>
      <c r="AM232" s="860">
        <v>-0.06</v>
      </c>
      <c r="AN232" s="860">
        <v>0.06</v>
      </c>
      <c r="AO232" s="860">
        <v>0.03</v>
      </c>
      <c r="AP232" s="861">
        <v>-0.01</v>
      </c>
      <c r="AQ232" s="830"/>
      <c r="AS232" s="732"/>
      <c r="AT232" s="850">
        <f t="shared" ref="AT232:AY232" si="877">AT231/AS231-1</f>
        <v>0.29585373214430755</v>
      </c>
      <c r="AU232" s="850">
        <f t="shared" si="877"/>
        <v>-0.1115418968757127</v>
      </c>
      <c r="AV232" s="850">
        <f t="shared" si="877"/>
        <v>5.0957831617527649E-2</v>
      </c>
      <c r="AW232" s="850">
        <f t="shared" si="877"/>
        <v>-6.6252219617604857E-2</v>
      </c>
      <c r="AX232" s="850">
        <f t="shared" si="877"/>
        <v>6.1647025501556429E-2</v>
      </c>
      <c r="AY232" s="850">
        <f t="shared" si="877"/>
        <v>0.17708008962485344</v>
      </c>
      <c r="AZ232" s="850">
        <f t="shared" si="851"/>
        <v>0.19907802954983311</v>
      </c>
      <c r="BA232" s="850">
        <f t="shared" si="851"/>
        <v>9.4482140691139582E-2</v>
      </c>
      <c r="BB232" s="850">
        <f t="shared" si="851"/>
        <v>8.6400588405235235E-2</v>
      </c>
    </row>
    <row r="233" spans="2:54" s="721" customFormat="1">
      <c r="B233" s="749" t="s">
        <v>117</v>
      </c>
      <c r="C233" s="764">
        <v>92.527850000000001</v>
      </c>
      <c r="D233" s="765">
        <v>103.24600000000001</v>
      </c>
      <c r="E233" s="765">
        <v>105.4906</v>
      </c>
      <c r="F233" s="766">
        <v>105.52182000000001</v>
      </c>
      <c r="G233" s="764">
        <v>101.80446999999999</v>
      </c>
      <c r="H233" s="765">
        <v>93.225110000000015</v>
      </c>
      <c r="I233" s="765">
        <v>82.94274750000001</v>
      </c>
      <c r="J233" s="766">
        <v>77.826679999999996</v>
      </c>
      <c r="K233" s="764">
        <v>76.558923000000007</v>
      </c>
      <c r="L233" s="765">
        <v>83.669579999999996</v>
      </c>
      <c r="M233" s="765">
        <v>89.101799999999997</v>
      </c>
      <c r="N233" s="766">
        <v>79.099199999999996</v>
      </c>
      <c r="O233" s="764">
        <v>77.995189999999994</v>
      </c>
      <c r="P233" s="765">
        <v>75.916619999999995</v>
      </c>
      <c r="Q233" s="765">
        <v>75.81065000000001</v>
      </c>
      <c r="R233" s="766">
        <v>86.329729999999998</v>
      </c>
      <c r="S233" s="764">
        <v>82.996559999999988</v>
      </c>
      <c r="T233" s="765">
        <v>88.47305999999999</v>
      </c>
      <c r="U233" s="765">
        <v>89.929079999999999</v>
      </c>
      <c r="V233" s="766">
        <v>95.974600000000009</v>
      </c>
      <c r="W233" s="764">
        <v>87.097000000000008</v>
      </c>
      <c r="X233" s="765">
        <v>99.398879999999991</v>
      </c>
      <c r="Y233" s="765">
        <v>79.91340000000001</v>
      </c>
      <c r="Z233" s="766">
        <v>77.51599800000001</v>
      </c>
      <c r="AA233" s="764">
        <v>70</v>
      </c>
      <c r="AB233" s="727">
        <f>AA233*(1+AB234)</f>
        <v>89.300000000000253</v>
      </c>
      <c r="AC233" s="727">
        <f t="shared" ref="AC233:AD233" si="878">AB233*(1+AC234)</f>
        <v>81.263000000000233</v>
      </c>
      <c r="AD233" s="1063">
        <f t="shared" si="878"/>
        <v>79.637740000000221</v>
      </c>
      <c r="AE233" s="727">
        <f>AD233*(1+AE234)</f>
        <v>80.593392880000223</v>
      </c>
      <c r="AF233" s="727">
        <f t="shared" ref="AF233" si="879">AE233*(1+AF234)</f>
        <v>83.011194666400229</v>
      </c>
      <c r="AG233" s="727">
        <f t="shared" ref="AG233:AH233" si="880">AF233*(1+AG234)</f>
        <v>91.31231413304026</v>
      </c>
      <c r="AH233" s="1238">
        <f t="shared" si="880"/>
        <v>111.40102324230911</v>
      </c>
      <c r="AI233" s="727">
        <f t="shared" ref="AI233" si="881">AH233*(1+AI234)</f>
        <v>94.690869755962737</v>
      </c>
      <c r="AJ233" s="727">
        <f t="shared" ref="AJ233" si="882">AI233*(1+AJ234)</f>
        <v>92.79705236084348</v>
      </c>
      <c r="AK233" s="727">
        <f t="shared" ref="AK233" si="883">AJ233*(1+AK234)</f>
        <v>90.941111313626607</v>
      </c>
      <c r="AL233" s="728">
        <f t="shared" ref="AL233" si="884">AK233*(1+AL234)</f>
        <v>96.334497101496353</v>
      </c>
      <c r="AM233" s="727">
        <f t="shared" ref="AM233" si="885">AL233*(1+AM234)</f>
        <v>88.627737333376643</v>
      </c>
      <c r="AN233" s="727">
        <f t="shared" ref="AN233" si="886">AM233*(1+AN234)</f>
        <v>93.945401573379243</v>
      </c>
      <c r="AO233" s="727">
        <f t="shared" ref="AO233" si="887">AN233*(1+AO234)</f>
        <v>96.763763620580619</v>
      </c>
      <c r="AP233" s="728">
        <f t="shared" ref="AP233" si="888">AO233*(1+AP234)</f>
        <v>95.796125984374811</v>
      </c>
      <c r="AQ233" s="830"/>
      <c r="AS233" s="729">
        <f>SUM(C233:F233)</f>
        <v>406.78627</v>
      </c>
      <c r="AT233" s="729">
        <f>SUM(G233:J233)</f>
        <v>355.79900750000002</v>
      </c>
      <c r="AU233" s="729">
        <f>SUM(K233:N233)</f>
        <v>328.42950299999995</v>
      </c>
      <c r="AV233" s="729">
        <f>SUM(O233:R233)</f>
        <v>316.05219</v>
      </c>
      <c r="AW233" s="782">
        <f>SUM(S233:V233)</f>
        <v>357.37329999999997</v>
      </c>
      <c r="AX233" s="782">
        <f>SUM(W233:Z233)</f>
        <v>343.92527800000005</v>
      </c>
      <c r="AY233" s="782">
        <f>SUM(AA233:AD233)</f>
        <v>320.20074000000068</v>
      </c>
      <c r="AZ233" s="782">
        <f>SUM(AE233:AH233)</f>
        <v>366.31792492174986</v>
      </c>
      <c r="BA233" s="782">
        <f>SUM(AI233:AL233)</f>
        <v>374.76353053192918</v>
      </c>
      <c r="BB233" s="782">
        <f>SUM(AM233:AP233)</f>
        <v>375.13302851171136</v>
      </c>
    </row>
    <row r="234" spans="2:54" s="721" customFormat="1">
      <c r="B234" s="754" t="s">
        <v>97</v>
      </c>
      <c r="C234" s="834"/>
      <c r="D234" s="810">
        <f>D233/C233-1</f>
        <v>0.11583701555801862</v>
      </c>
      <c r="E234" s="810">
        <f t="shared" ref="E234:AA234" si="889">E233/D233-1</f>
        <v>2.1740309551943726E-2</v>
      </c>
      <c r="F234" s="811">
        <f t="shared" si="889"/>
        <v>2.9595053966890994E-4</v>
      </c>
      <c r="G234" s="834">
        <f t="shared" si="889"/>
        <v>-3.5228258951561009E-2</v>
      </c>
      <c r="H234" s="810">
        <f t="shared" si="889"/>
        <v>-8.427292043266843E-2</v>
      </c>
      <c r="I234" s="810">
        <f t="shared" si="889"/>
        <v>-0.1102960618657356</v>
      </c>
      <c r="J234" s="811">
        <f t="shared" si="889"/>
        <v>-6.1681914985996955E-2</v>
      </c>
      <c r="K234" s="834">
        <f t="shared" si="889"/>
        <v>-1.6289490956057584E-2</v>
      </c>
      <c r="L234" s="810">
        <f t="shared" si="889"/>
        <v>9.2878226617686188E-2</v>
      </c>
      <c r="M234" s="810">
        <f t="shared" si="889"/>
        <v>6.4924671547293533E-2</v>
      </c>
      <c r="N234" s="811">
        <f t="shared" si="889"/>
        <v>-0.11226035837659842</v>
      </c>
      <c r="O234" s="834">
        <f t="shared" si="889"/>
        <v>-1.3957284018043192E-2</v>
      </c>
      <c r="P234" s="810">
        <f t="shared" si="889"/>
        <v>-2.6649976748566173E-2</v>
      </c>
      <c r="Q234" s="810">
        <f t="shared" si="889"/>
        <v>-1.3958735254544496E-3</v>
      </c>
      <c r="R234" s="811">
        <f t="shared" si="889"/>
        <v>0.13875464726921605</v>
      </c>
      <c r="S234" s="859">
        <f t="shared" si="889"/>
        <v>-3.8609758191065935E-2</v>
      </c>
      <c r="T234" s="854">
        <f t="shared" si="889"/>
        <v>6.5984662496855417E-2</v>
      </c>
      <c r="U234" s="854">
        <f t="shared" si="889"/>
        <v>1.6457213077065491E-2</v>
      </c>
      <c r="V234" s="855">
        <f t="shared" si="889"/>
        <v>6.7225418073886711E-2</v>
      </c>
      <c r="W234" s="834">
        <f t="shared" si="889"/>
        <v>-9.2499473819114608E-2</v>
      </c>
      <c r="X234" s="810">
        <f t="shared" si="889"/>
        <v>0.14124344122070775</v>
      </c>
      <c r="Y234" s="810">
        <f t="shared" si="889"/>
        <v>-0.19603319474022229</v>
      </c>
      <c r="Z234" s="811">
        <f t="shared" si="889"/>
        <v>-3.0000000000000027E-2</v>
      </c>
      <c r="AA234" s="834">
        <f t="shared" si="889"/>
        <v>-9.6960604183926158E-2</v>
      </c>
      <c r="AB234" s="860">
        <v>0.27571428571428924</v>
      </c>
      <c r="AC234" s="860">
        <v>-0.09</v>
      </c>
      <c r="AD234" s="1087">
        <v>-0.02</v>
      </c>
      <c r="AE234" s="860">
        <v>1.2E-2</v>
      </c>
      <c r="AF234" s="860">
        <v>0.03</v>
      </c>
      <c r="AG234" s="860">
        <v>0.1</v>
      </c>
      <c r="AH234" s="1263">
        <v>0.22</v>
      </c>
      <c r="AI234" s="860">
        <v>-0.15</v>
      </c>
      <c r="AJ234" s="860">
        <v>-0.02</v>
      </c>
      <c r="AK234" s="860">
        <v>-0.02</v>
      </c>
      <c r="AL234" s="861">
        <f t="shared" ref="AL234" si="890">AVERAGE(AH234,AD234,Z234,V234)</f>
        <v>5.9306354518471674E-2</v>
      </c>
      <c r="AM234" s="860">
        <v>-0.08</v>
      </c>
      <c r="AN234" s="860">
        <v>0.06</v>
      </c>
      <c r="AO234" s="860">
        <v>0.03</v>
      </c>
      <c r="AP234" s="861">
        <v>-0.01</v>
      </c>
      <c r="AQ234" s="830"/>
      <c r="AS234" s="732"/>
      <c r="AT234" s="850">
        <f t="shared" ref="AT234:AY234" si="891">AT233/AS233-1</f>
        <v>-0.12534165054292512</v>
      </c>
      <c r="AU234" s="850">
        <f t="shared" si="891"/>
        <v>-7.6924060840726338E-2</v>
      </c>
      <c r="AV234" s="850">
        <f t="shared" si="891"/>
        <v>-3.768636156904559E-2</v>
      </c>
      <c r="AW234" s="850">
        <f t="shared" si="891"/>
        <v>0.13074141330898548</v>
      </c>
      <c r="AX234" s="850">
        <f t="shared" si="891"/>
        <v>-3.7630181101945603E-2</v>
      </c>
      <c r="AY234" s="850">
        <f t="shared" si="891"/>
        <v>-6.8981664092743311E-2</v>
      </c>
      <c r="AZ234" s="850">
        <f t="shared" si="851"/>
        <v>0.14402585366214038</v>
      </c>
      <c r="BA234" s="850">
        <f t="shared" si="851"/>
        <v>2.3055398154440354E-2</v>
      </c>
      <c r="BB234" s="850">
        <f t="shared" si="851"/>
        <v>9.8594967140397394E-4</v>
      </c>
    </row>
    <row r="235" spans="2:54" s="721" customFormat="1">
      <c r="B235" s="754"/>
      <c r="C235" s="834"/>
      <c r="D235" s="810"/>
      <c r="E235" s="810"/>
      <c r="F235" s="811"/>
      <c r="G235" s="834"/>
      <c r="H235" s="810"/>
      <c r="I235" s="810"/>
      <c r="J235" s="811"/>
      <c r="K235" s="834"/>
      <c r="L235" s="810"/>
      <c r="M235" s="810"/>
      <c r="N235" s="811"/>
      <c r="O235" s="834"/>
      <c r="P235" s="810"/>
      <c r="Q235" s="810"/>
      <c r="R235" s="811"/>
      <c r="S235" s="859"/>
      <c r="T235" s="854"/>
      <c r="U235" s="854"/>
      <c r="V235" s="855"/>
      <c r="W235" s="834"/>
      <c r="X235" s="810"/>
      <c r="Y235" s="810"/>
      <c r="Z235" s="811"/>
      <c r="AA235" s="834"/>
      <c r="AB235" s="860"/>
      <c r="AC235" s="860"/>
      <c r="AD235" s="1087"/>
      <c r="AE235" s="834"/>
      <c r="AF235" s="860"/>
      <c r="AG235" s="860"/>
      <c r="AH235" s="1264"/>
      <c r="AI235" s="975"/>
      <c r="AJ235" s="860"/>
      <c r="AK235" s="860"/>
      <c r="AL235" s="871"/>
      <c r="AM235" s="975"/>
      <c r="AN235" s="860"/>
      <c r="AO235" s="860"/>
      <c r="AP235" s="871"/>
      <c r="AQ235" s="830"/>
      <c r="AS235" s="732"/>
      <c r="AT235" s="732"/>
      <c r="AU235" s="732"/>
      <c r="AV235" s="732"/>
      <c r="AW235" s="732"/>
      <c r="AX235" s="732"/>
      <c r="AY235" s="732"/>
      <c r="AZ235" s="732"/>
      <c r="BA235" s="732"/>
      <c r="BB235" s="732"/>
    </row>
    <row r="236" spans="2:54" s="721" customFormat="1">
      <c r="B236" s="749" t="s">
        <v>459</v>
      </c>
      <c r="C236" s="726">
        <f>C227+C229+C231+C233</f>
        <v>402.29500000000002</v>
      </c>
      <c r="D236" s="727">
        <f t="shared" ref="D236:AD236" si="892">D227+D229+D231+D233</f>
        <v>469.30000000000007</v>
      </c>
      <c r="E236" s="727">
        <f t="shared" si="892"/>
        <v>527.45299999999997</v>
      </c>
      <c r="F236" s="728">
        <f t="shared" si="892"/>
        <v>555.37800000000004</v>
      </c>
      <c r="G236" s="726">
        <f t="shared" si="892"/>
        <v>535.81299999999999</v>
      </c>
      <c r="H236" s="727">
        <f t="shared" si="892"/>
        <v>548.38300000000004</v>
      </c>
      <c r="I236" s="727">
        <f t="shared" si="892"/>
        <v>522.47400000000005</v>
      </c>
      <c r="J236" s="728">
        <f t="shared" si="892"/>
        <v>457.80399999999997</v>
      </c>
      <c r="K236" s="726">
        <f t="shared" si="892"/>
        <v>383.75400000000002</v>
      </c>
      <c r="L236" s="727">
        <f t="shared" si="892"/>
        <v>464.83100000000002</v>
      </c>
      <c r="M236" s="727">
        <f t="shared" si="892"/>
        <v>495.01</v>
      </c>
      <c r="N236" s="728">
        <f t="shared" si="892"/>
        <v>439.43999999999994</v>
      </c>
      <c r="O236" s="726">
        <f t="shared" si="892"/>
        <v>410.50099999999992</v>
      </c>
      <c r="P236" s="727">
        <f t="shared" si="892"/>
        <v>421.7589999999999</v>
      </c>
      <c r="Q236" s="727">
        <f t="shared" si="892"/>
        <v>445.94500000000005</v>
      </c>
      <c r="R236" s="728">
        <f t="shared" si="892"/>
        <v>454.36699999999996</v>
      </c>
      <c r="S236" s="726">
        <f t="shared" si="892"/>
        <v>461.09199999999998</v>
      </c>
      <c r="T236" s="727">
        <f t="shared" si="892"/>
        <v>491.517</v>
      </c>
      <c r="U236" s="727">
        <f t="shared" si="892"/>
        <v>499.60599999999999</v>
      </c>
      <c r="V236" s="728">
        <f t="shared" si="892"/>
        <v>479.87299999999993</v>
      </c>
      <c r="W236" s="726">
        <f t="shared" si="892"/>
        <v>435.48500000000001</v>
      </c>
      <c r="X236" s="727">
        <f t="shared" si="892"/>
        <v>414.16199999999992</v>
      </c>
      <c r="Y236" s="727">
        <f t="shared" si="892"/>
        <v>399.56700000000001</v>
      </c>
      <c r="Z236" s="728">
        <f t="shared" si="892"/>
        <v>401.44959422550227</v>
      </c>
      <c r="AA236" s="726">
        <f t="shared" si="892"/>
        <v>359</v>
      </c>
      <c r="AB236" s="997">
        <f t="shared" ref="AB236" si="893">AB227+AB229+AB231+AB233</f>
        <v>465.00000000000028</v>
      </c>
      <c r="AC236" s="727">
        <f t="shared" si="892"/>
        <v>425.23000000000025</v>
      </c>
      <c r="AD236" s="1063">
        <f t="shared" si="892"/>
        <v>420.1650700000003</v>
      </c>
      <c r="AE236" s="726">
        <f t="shared" ref="AE236" si="894">AE227+AE229+AE231+AE233</f>
        <v>425.00008322200028</v>
      </c>
      <c r="AF236" s="727">
        <f t="shared" ref="AF236:AH236" si="895">AF227+AF229+AF231+AF233</f>
        <v>439.66616555290028</v>
      </c>
      <c r="AG236" s="727">
        <f t="shared" si="895"/>
        <v>468.74036684875432</v>
      </c>
      <c r="AH236" s="1238">
        <f t="shared" si="895"/>
        <v>568.37476977927679</v>
      </c>
      <c r="AI236" s="727">
        <f t="shared" ref="AI236:AL236" si="896">AI227+AI229+AI231+AI233</f>
        <v>497.89126992661841</v>
      </c>
      <c r="AJ236" s="727">
        <f t="shared" si="896"/>
        <v>487.93344452808606</v>
      </c>
      <c r="AK236" s="727">
        <f t="shared" si="896"/>
        <v>478.17477563752436</v>
      </c>
      <c r="AL236" s="728">
        <f t="shared" si="896"/>
        <v>517.98048072789027</v>
      </c>
      <c r="AM236" s="727">
        <f t="shared" ref="AM236:AP236" si="897">AM227+AM229+AM231+AM233</f>
        <v>484.97496194218695</v>
      </c>
      <c r="AN236" s="727">
        <f t="shared" si="897"/>
        <v>508.66883423651097</v>
      </c>
      <c r="AO236" s="727">
        <f t="shared" si="897"/>
        <v>523.92889926360635</v>
      </c>
      <c r="AP236" s="728">
        <f t="shared" si="897"/>
        <v>518.68961027097032</v>
      </c>
      <c r="AQ236" s="830"/>
      <c r="AS236" s="729">
        <f>SUM(C236:F236)</f>
        <v>1954.4259999999999</v>
      </c>
      <c r="AT236" s="729">
        <f>SUM(G236:J236)</f>
        <v>2064.4740000000002</v>
      </c>
      <c r="AU236" s="729">
        <f>SUM(K236:N236)</f>
        <v>1783.0349999999999</v>
      </c>
      <c r="AV236" s="729">
        <f>SUM(O236:R236)</f>
        <v>1732.5719999999999</v>
      </c>
      <c r="AW236" s="782">
        <f>SUM(S236:V236)</f>
        <v>1932.0879999999997</v>
      </c>
      <c r="AX236" s="782">
        <f>SUM(W236:Z236)</f>
        <v>1650.6635942255023</v>
      </c>
      <c r="AY236" s="782">
        <f>SUM(AA236:AD236)</f>
        <v>1669.3950700000007</v>
      </c>
      <c r="AZ236" s="782">
        <f>SUM(AE236:AH236)</f>
        <v>1901.7813854029318</v>
      </c>
      <c r="BA236" s="782">
        <f>SUM(AI236:AL236)</f>
        <v>1981.979970820119</v>
      </c>
      <c r="BB236" s="782">
        <f>SUM(AM236:AP236)</f>
        <v>2036.2623057132746</v>
      </c>
    </row>
    <row r="237" spans="2:54" s="721" customFormat="1">
      <c r="B237" s="754" t="s">
        <v>97</v>
      </c>
      <c r="C237" s="827"/>
      <c r="D237" s="828"/>
      <c r="E237" s="828"/>
      <c r="F237" s="829"/>
      <c r="G237" s="827"/>
      <c r="H237" s="828"/>
      <c r="I237" s="828"/>
      <c r="J237" s="829"/>
      <c r="K237" s="827"/>
      <c r="L237" s="828"/>
      <c r="M237" s="828"/>
      <c r="N237" s="829"/>
      <c r="O237" s="827"/>
      <c r="P237" s="792">
        <f t="shared" ref="P237:S237" si="898">P236/O236-1</f>
        <v>2.7425024543180188E-2</v>
      </c>
      <c r="Q237" s="792">
        <f t="shared" si="898"/>
        <v>5.7345545678930687E-2</v>
      </c>
      <c r="R237" s="793">
        <f t="shared" si="898"/>
        <v>1.8885737030351013E-2</v>
      </c>
      <c r="S237" s="768">
        <f t="shared" si="898"/>
        <v>1.4800810798319519E-2</v>
      </c>
      <c r="T237" s="769">
        <f>T236/S236-1</f>
        <v>6.5984662496855417E-2</v>
      </c>
      <c r="U237" s="769">
        <f t="shared" ref="U237:AE237" si="899">U236/T236-1</f>
        <v>1.6457213077065491E-2</v>
      </c>
      <c r="V237" s="770">
        <f t="shared" si="899"/>
        <v>-3.9497123733502115E-2</v>
      </c>
      <c r="W237" s="768">
        <f t="shared" si="899"/>
        <v>-9.2499473819114497E-2</v>
      </c>
      <c r="X237" s="769">
        <f t="shared" si="899"/>
        <v>-4.8963798982743612E-2</v>
      </c>
      <c r="Y237" s="769">
        <f t="shared" si="899"/>
        <v>-3.5239833688266664E-2</v>
      </c>
      <c r="Z237" s="770">
        <f t="shared" si="899"/>
        <v>4.7115858554440671E-3</v>
      </c>
      <c r="AA237" s="768">
        <f t="shared" si="899"/>
        <v>-0.10574078249449537</v>
      </c>
      <c r="AB237" s="1000">
        <f t="shared" si="899"/>
        <v>0.29526462395543263</v>
      </c>
      <c r="AC237" s="769">
        <f t="shared" si="899"/>
        <v>-8.5526881720430104E-2</v>
      </c>
      <c r="AD237" s="1065">
        <f t="shared" si="899"/>
        <v>-1.1911036380311657E-2</v>
      </c>
      <c r="AE237" s="768">
        <f t="shared" si="899"/>
        <v>1.1507413555343904E-2</v>
      </c>
      <c r="AF237" s="769">
        <f t="shared" ref="AF237" si="900">AF236/AE236-1</f>
        <v>3.4508422256564808E-2</v>
      </c>
      <c r="AG237" s="769">
        <f t="shared" ref="AG237:AH237" si="901">AG236/AF236-1</f>
        <v>6.6127902426359908E-2</v>
      </c>
      <c r="AH237" s="1244">
        <f t="shared" si="901"/>
        <v>0.21255776113404568</v>
      </c>
      <c r="AI237" s="769">
        <f t="shared" ref="AI237" si="902">AI236/AH236-1</f>
        <v>-0.12400884697966097</v>
      </c>
      <c r="AJ237" s="769">
        <f t="shared" ref="AJ237" si="903">AJ236/AI236-1</f>
        <v>-2.0000000000000018E-2</v>
      </c>
      <c r="AK237" s="769">
        <f t="shared" ref="AK237" si="904">AK236/AJ236-1</f>
        <v>-1.9999999999999907E-2</v>
      </c>
      <c r="AL237" s="770">
        <f t="shared" ref="AL237" si="905">AL236/AK236-1</f>
        <v>8.3245095974155303E-2</v>
      </c>
      <c r="AM237" s="769">
        <f t="shared" ref="AM237" si="906">AM236/AL236-1</f>
        <v>-6.3719618815215595E-2</v>
      </c>
      <c r="AN237" s="769">
        <f t="shared" ref="AN237" si="907">AN236/AM236-1</f>
        <v>4.8855867114122375E-2</v>
      </c>
      <c r="AO237" s="769">
        <f t="shared" ref="AO237" si="908">AO236/AN236-1</f>
        <v>3.0000000000000027E-2</v>
      </c>
      <c r="AP237" s="770">
        <f t="shared" ref="AP237" si="909">AP236/AO236-1</f>
        <v>-9.9999999999998979E-3</v>
      </c>
      <c r="AQ237" s="830"/>
      <c r="AS237" s="831"/>
      <c r="AT237" s="831"/>
      <c r="AU237" s="831"/>
      <c r="AV237" s="831"/>
      <c r="AW237" s="831"/>
      <c r="AX237" s="831"/>
      <c r="AY237" s="831"/>
      <c r="AZ237" s="831"/>
      <c r="BA237" s="831"/>
      <c r="BB237" s="831"/>
    </row>
    <row r="238" spans="2:54" s="721" customFormat="1">
      <c r="B238" s="754" t="s">
        <v>98</v>
      </c>
      <c r="C238" s="827"/>
      <c r="D238" s="828"/>
      <c r="E238" s="828"/>
      <c r="F238" s="829"/>
      <c r="G238" s="827"/>
      <c r="H238" s="828"/>
      <c r="I238" s="828"/>
      <c r="J238" s="829"/>
      <c r="K238" s="827"/>
      <c r="L238" s="828"/>
      <c r="M238" s="828"/>
      <c r="N238" s="829"/>
      <c r="O238" s="827"/>
      <c r="P238" s="828"/>
      <c r="Q238" s="828"/>
      <c r="R238" s="829"/>
      <c r="S238" s="726"/>
      <c r="T238" s="727"/>
      <c r="U238" s="727"/>
      <c r="V238" s="728"/>
      <c r="W238" s="768">
        <f>W236/S236-1</f>
        <v>-5.5535554726605429E-2</v>
      </c>
      <c r="X238" s="769">
        <f t="shared" ref="X238:AE238" si="910">X236/T236-1</f>
        <v>-0.15738011096259152</v>
      </c>
      <c r="Y238" s="769">
        <f t="shared" si="910"/>
        <v>-0.20023578579920975</v>
      </c>
      <c r="Z238" s="770">
        <f t="shared" si="910"/>
        <v>-0.16342533498341782</v>
      </c>
      <c r="AA238" s="768">
        <f t="shared" si="910"/>
        <v>-0.17563176688060445</v>
      </c>
      <c r="AB238" s="1000">
        <f t="shared" si="910"/>
        <v>0.12274906920480477</v>
      </c>
      <c r="AC238" s="769">
        <f t="shared" si="910"/>
        <v>6.4227025755380751E-2</v>
      </c>
      <c r="AD238" s="1065">
        <f t="shared" si="910"/>
        <v>4.6619740170879664E-2</v>
      </c>
      <c r="AE238" s="768">
        <f t="shared" si="910"/>
        <v>0.18384424295821811</v>
      </c>
      <c r="AF238" s="769">
        <f t="shared" ref="AF238" si="911">AF236/AB236-1</f>
        <v>-5.4481364402365617E-2</v>
      </c>
      <c r="AG238" s="769">
        <f t="shared" ref="AG238:AH238" si="912">AG236/AC236-1</f>
        <v>0.10232195952485501</v>
      </c>
      <c r="AH238" s="1244">
        <f t="shared" si="912"/>
        <v>0.35274160172161961</v>
      </c>
      <c r="AI238" s="769">
        <f t="shared" ref="AI238" si="913">AI236/AE236-1</f>
        <v>0.1715086410148845</v>
      </c>
      <c r="AJ238" s="769">
        <f t="shared" ref="AJ238" si="914">AJ236/AF236-1</f>
        <v>0.10978165425690078</v>
      </c>
      <c r="AK238" s="769">
        <f t="shared" ref="AK238" si="915">AK236/AG236-1</f>
        <v>2.0127152376902435E-2</v>
      </c>
      <c r="AL238" s="770">
        <f t="shared" ref="AL238" si="916">AL236/AH236-1</f>
        <v>-8.8663838950762575E-2</v>
      </c>
      <c r="AM238" s="769">
        <f t="shared" ref="AM238" si="917">AM236/AI236-1</f>
        <v>-2.5942025427228566E-2</v>
      </c>
      <c r="AN238" s="769">
        <f t="shared" ref="AN238" si="918">AN236/AJ236-1</f>
        <v>4.2496348510152826E-2</v>
      </c>
      <c r="AO238" s="769">
        <f t="shared" ref="AO238" si="919">AO236/AK236-1</f>
        <v>9.5684937719854757E-2</v>
      </c>
      <c r="AP238" s="770">
        <f t="shared" ref="AP238" si="920">AP236/AL236-1</f>
        <v>1.3690275395774609E-3</v>
      </c>
      <c r="AQ238" s="830"/>
      <c r="AS238" s="831"/>
      <c r="AT238" s="756">
        <f t="shared" ref="AT238:AW238" si="921">AT236/AS236-1</f>
        <v>5.6307069185530745E-2</v>
      </c>
      <c r="AU238" s="756">
        <f t="shared" si="921"/>
        <v>-0.13632479750289916</v>
      </c>
      <c r="AV238" s="756">
        <f t="shared" si="921"/>
        <v>-2.8301743936602453E-2</v>
      </c>
      <c r="AW238" s="756">
        <f t="shared" si="921"/>
        <v>0.1151559646583229</v>
      </c>
      <c r="AX238" s="756">
        <f>AX236/AW236-1</f>
        <v>-0.14565817176779605</v>
      </c>
      <c r="AY238" s="756">
        <f>AY236/AX236-1</f>
        <v>1.1347845702798898E-2</v>
      </c>
      <c r="AZ238" s="756">
        <f>AZ236/AY236-1</f>
        <v>0.1392039066000903</v>
      </c>
      <c r="BA238" s="756">
        <f>BA236/AZ236-1</f>
        <v>4.2170244189342121E-2</v>
      </c>
      <c r="BB238" s="756">
        <f>BB236/BA236-1</f>
        <v>2.7387933123609765E-2</v>
      </c>
    </row>
    <row r="239" spans="2:54" s="745" customFormat="1">
      <c r="B239" s="741" t="s">
        <v>460</v>
      </c>
      <c r="C239" s="872">
        <f t="shared" ref="C239:Y239" si="922">C236</f>
        <v>402.29500000000002</v>
      </c>
      <c r="D239" s="848">
        <f t="shared" si="922"/>
        <v>469.30000000000007</v>
      </c>
      <c r="E239" s="848">
        <f t="shared" si="922"/>
        <v>527.45299999999997</v>
      </c>
      <c r="F239" s="849">
        <f t="shared" si="922"/>
        <v>555.37800000000004</v>
      </c>
      <c r="G239" s="872">
        <f t="shared" si="922"/>
        <v>535.81299999999999</v>
      </c>
      <c r="H239" s="848">
        <f t="shared" si="922"/>
        <v>548.38300000000004</v>
      </c>
      <c r="I239" s="848">
        <f t="shared" si="922"/>
        <v>522.47400000000005</v>
      </c>
      <c r="J239" s="849">
        <f t="shared" si="922"/>
        <v>457.80399999999997</v>
      </c>
      <c r="K239" s="872">
        <f t="shared" si="922"/>
        <v>383.75400000000002</v>
      </c>
      <c r="L239" s="848">
        <f t="shared" si="922"/>
        <v>464.83100000000002</v>
      </c>
      <c r="M239" s="848">
        <f t="shared" si="922"/>
        <v>495.01</v>
      </c>
      <c r="N239" s="849">
        <f t="shared" si="922"/>
        <v>439.43999999999994</v>
      </c>
      <c r="O239" s="872">
        <f t="shared" si="922"/>
        <v>410.50099999999992</v>
      </c>
      <c r="P239" s="848">
        <f t="shared" si="922"/>
        <v>421.7589999999999</v>
      </c>
      <c r="Q239" s="848">
        <f t="shared" si="922"/>
        <v>445.94500000000005</v>
      </c>
      <c r="R239" s="849">
        <f t="shared" si="922"/>
        <v>454.36699999999996</v>
      </c>
      <c r="S239" s="872">
        <f t="shared" si="922"/>
        <v>461.09199999999998</v>
      </c>
      <c r="T239" s="848">
        <f t="shared" si="922"/>
        <v>491.517</v>
      </c>
      <c r="U239" s="848">
        <f t="shared" si="922"/>
        <v>499.60599999999999</v>
      </c>
      <c r="V239" s="849">
        <f t="shared" si="922"/>
        <v>479.87299999999993</v>
      </c>
      <c r="W239" s="872">
        <f t="shared" si="922"/>
        <v>435.48500000000001</v>
      </c>
      <c r="X239" s="848">
        <f t="shared" si="922"/>
        <v>414.16199999999992</v>
      </c>
      <c r="Y239" s="848">
        <f t="shared" si="922"/>
        <v>399.56700000000001</v>
      </c>
      <c r="Z239" s="849">
        <f>Z236</f>
        <v>401.44959422550227</v>
      </c>
      <c r="AA239" s="742">
        <f>AA267</f>
        <v>359</v>
      </c>
      <c r="AB239" s="1001">
        <f>AB267</f>
        <v>465</v>
      </c>
      <c r="AC239" s="848">
        <f t="shared" ref="AC239:AD239" si="923">AC236</f>
        <v>425.23000000000025</v>
      </c>
      <c r="AD239" s="849">
        <f t="shared" si="923"/>
        <v>420.1650700000003</v>
      </c>
      <c r="AE239" s="742">
        <f>AE267</f>
        <v>425</v>
      </c>
      <c r="AF239" s="848">
        <f t="shared" ref="AF239:AH239" si="924">AF236</f>
        <v>439.66616555290028</v>
      </c>
      <c r="AG239" s="848">
        <f t="shared" si="924"/>
        <v>468.74036684875432</v>
      </c>
      <c r="AH239" s="849">
        <f t="shared" si="924"/>
        <v>568.37476977927679</v>
      </c>
      <c r="AI239" s="848">
        <f t="shared" ref="AI239:AL239" si="925">AI236</f>
        <v>497.89126992661841</v>
      </c>
      <c r="AJ239" s="848">
        <f t="shared" si="925"/>
        <v>487.93344452808606</v>
      </c>
      <c r="AK239" s="848">
        <f t="shared" si="925"/>
        <v>478.17477563752436</v>
      </c>
      <c r="AL239" s="849">
        <f t="shared" si="925"/>
        <v>517.98048072789027</v>
      </c>
      <c r="AM239" s="848">
        <f t="shared" ref="AM239:AP239" si="926">AM236</f>
        <v>484.97496194218695</v>
      </c>
      <c r="AN239" s="848">
        <f t="shared" si="926"/>
        <v>508.66883423651097</v>
      </c>
      <c r="AO239" s="848">
        <f t="shared" si="926"/>
        <v>523.92889926360635</v>
      </c>
      <c r="AP239" s="849">
        <f t="shared" si="926"/>
        <v>518.68961027097032</v>
      </c>
      <c r="AQ239" s="746"/>
      <c r="AS239" s="747">
        <f>SUM(C239:F239)</f>
        <v>1954.4259999999999</v>
      </c>
      <c r="AT239" s="747">
        <f>SUM(G239:J239)</f>
        <v>2064.4740000000002</v>
      </c>
      <c r="AU239" s="747">
        <f>SUM(K239:N239)</f>
        <v>1783.0349999999999</v>
      </c>
      <c r="AV239" s="747">
        <f>SUM(O239:R239)</f>
        <v>1732.5719999999999</v>
      </c>
      <c r="AW239" s="747">
        <f>SUM(S239:V239)</f>
        <v>1932.0879999999997</v>
      </c>
      <c r="AX239" s="747">
        <f>SUM(W239:Z239)</f>
        <v>1650.6635942255023</v>
      </c>
      <c r="AY239" s="747">
        <f>SUM(AA239:AD239)</f>
        <v>1669.3950700000005</v>
      </c>
      <c r="AZ239" s="747">
        <f>SUM(AE239:AH239)</f>
        <v>1901.7813021809316</v>
      </c>
      <c r="BA239" s="747">
        <f>SUM(AI239:AL239)</f>
        <v>1981.979970820119</v>
      </c>
      <c r="BB239" s="747">
        <f>SUM(AM239:AP239)</f>
        <v>2036.2623057132746</v>
      </c>
    </row>
    <row r="240" spans="2:54" s="721" customFormat="1">
      <c r="B240" s="749" t="s">
        <v>356</v>
      </c>
      <c r="C240" s="827"/>
      <c r="D240" s="828"/>
      <c r="E240" s="828"/>
      <c r="F240" s="829"/>
      <c r="G240" s="827"/>
      <c r="H240" s="828"/>
      <c r="I240" s="828"/>
      <c r="J240" s="829"/>
      <c r="K240" s="827"/>
      <c r="L240" s="828"/>
      <c r="M240" s="828"/>
      <c r="N240" s="829"/>
      <c r="O240" s="827"/>
      <c r="P240" s="828"/>
      <c r="Q240" s="828"/>
      <c r="R240" s="829"/>
      <c r="S240" s="859"/>
      <c r="T240" s="854"/>
      <c r="U240" s="854"/>
      <c r="V240" s="855"/>
      <c r="W240" s="827"/>
      <c r="X240" s="828"/>
      <c r="Y240" s="828"/>
      <c r="Z240" s="829"/>
      <c r="AA240" s="827">
        <f>AA236-AA239</f>
        <v>0</v>
      </c>
      <c r="AB240" s="996">
        <f>AB236-AB239</f>
        <v>0</v>
      </c>
      <c r="AC240" s="828">
        <f t="shared" ref="AC240:AD240" si="927">AC236-AC239</f>
        <v>0</v>
      </c>
      <c r="AD240" s="1088">
        <f t="shared" si="927"/>
        <v>0</v>
      </c>
      <c r="AE240" s="827">
        <f>AE236-AE239</f>
        <v>8.322200028487714E-5</v>
      </c>
      <c r="AF240" s="828">
        <f t="shared" ref="AF240:AH240" si="928">AF236-AF239</f>
        <v>0</v>
      </c>
      <c r="AG240" s="828">
        <f t="shared" si="928"/>
        <v>0</v>
      </c>
      <c r="AH240" s="1088">
        <f t="shared" si="928"/>
        <v>0</v>
      </c>
      <c r="AI240" s="828">
        <f t="shared" ref="AI240:AL240" si="929">AI236-AI239</f>
        <v>0</v>
      </c>
      <c r="AJ240" s="828">
        <f t="shared" si="929"/>
        <v>0</v>
      </c>
      <c r="AK240" s="828">
        <f t="shared" si="929"/>
        <v>0</v>
      </c>
      <c r="AL240" s="829">
        <f t="shared" si="929"/>
        <v>0</v>
      </c>
      <c r="AM240" s="828">
        <f t="shared" ref="AM240:AP240" si="930">AM236-AM239</f>
        <v>0</v>
      </c>
      <c r="AN240" s="828">
        <f t="shared" si="930"/>
        <v>0</v>
      </c>
      <c r="AO240" s="828">
        <f t="shared" si="930"/>
        <v>0</v>
      </c>
      <c r="AP240" s="829">
        <f t="shared" si="930"/>
        <v>0</v>
      </c>
      <c r="AQ240" s="830"/>
      <c r="AS240" s="732"/>
      <c r="AT240" s="732"/>
      <c r="AU240" s="732"/>
      <c r="AV240" s="732"/>
      <c r="AW240" s="732"/>
      <c r="AX240" s="732"/>
      <c r="AY240" s="732"/>
      <c r="AZ240" s="732"/>
      <c r="BA240" s="732"/>
      <c r="BB240" s="732"/>
    </row>
    <row r="241" spans="2:60" s="721" customFormat="1">
      <c r="B241" s="749"/>
      <c r="C241" s="827"/>
      <c r="D241" s="828"/>
      <c r="E241" s="828"/>
      <c r="F241" s="829"/>
      <c r="G241" s="827"/>
      <c r="H241" s="828"/>
      <c r="I241" s="828"/>
      <c r="J241" s="829"/>
      <c r="K241" s="827"/>
      <c r="L241" s="828"/>
      <c r="M241" s="828"/>
      <c r="N241" s="829"/>
      <c r="O241" s="827"/>
      <c r="P241" s="828"/>
      <c r="Q241" s="828"/>
      <c r="R241" s="829"/>
      <c r="S241" s="859"/>
      <c r="T241" s="854"/>
      <c r="U241" s="854"/>
      <c r="V241" s="855"/>
      <c r="W241" s="827"/>
      <c r="X241" s="828"/>
      <c r="Y241" s="828"/>
      <c r="Z241" s="829"/>
      <c r="AA241" s="827"/>
      <c r="AB241" s="828"/>
      <c r="AC241" s="828"/>
      <c r="AD241" s="1079"/>
      <c r="AE241" s="827"/>
      <c r="AF241" s="828"/>
      <c r="AG241" s="828"/>
      <c r="AH241" s="1252"/>
      <c r="AI241" s="828"/>
      <c r="AJ241" s="828"/>
      <c r="AK241" s="828"/>
      <c r="AL241" s="829"/>
      <c r="AM241" s="828"/>
      <c r="AN241" s="828"/>
      <c r="AO241" s="828"/>
      <c r="AP241" s="829"/>
      <c r="AQ241" s="830"/>
      <c r="AS241" s="732"/>
      <c r="AT241" s="732"/>
      <c r="AU241" s="732"/>
      <c r="AV241" s="732"/>
      <c r="AW241" s="732"/>
      <c r="AX241" s="732"/>
      <c r="AY241" s="732">
        <f>AY239+99</f>
        <v>1768.3950700000005</v>
      </c>
      <c r="AZ241" s="732"/>
      <c r="BA241" s="732"/>
      <c r="BB241" s="732"/>
    </row>
    <row r="242" spans="2:60">
      <c r="J242" s="876"/>
      <c r="S242" s="859"/>
      <c r="T242" s="854"/>
      <c r="U242" s="854"/>
      <c r="V242" s="855"/>
      <c r="W242" s="859"/>
      <c r="X242" s="854"/>
      <c r="Y242" s="854"/>
      <c r="Z242" s="855"/>
      <c r="AD242" s="1086"/>
      <c r="AE242" s="874"/>
      <c r="AL242" s="873"/>
      <c r="AP242" s="873"/>
    </row>
    <row r="243" spans="2:60" s="717" customFormat="1">
      <c r="B243" s="719" t="s">
        <v>461</v>
      </c>
      <c r="C243" s="720"/>
      <c r="D243" s="721"/>
      <c r="E243" s="721"/>
      <c r="F243" s="722"/>
      <c r="G243" s="720"/>
      <c r="H243" s="721"/>
      <c r="I243" s="721"/>
      <c r="J243" s="722"/>
      <c r="K243" s="720"/>
      <c r="L243" s="721"/>
      <c r="M243" s="721"/>
      <c r="N243" s="722"/>
      <c r="O243" s="720"/>
      <c r="P243" s="721"/>
      <c r="Q243" s="721"/>
      <c r="R243" s="722"/>
      <c r="S243" s="878"/>
      <c r="T243" s="721"/>
      <c r="U243" s="721"/>
      <c r="V243" s="722"/>
      <c r="W243" s="720"/>
      <c r="X243" s="721"/>
      <c r="Y243" s="721"/>
      <c r="Z243" s="722"/>
      <c r="AA243" s="720"/>
      <c r="AB243" s="721"/>
      <c r="AC243" s="721"/>
      <c r="AD243" s="1064"/>
      <c r="AE243" s="720"/>
      <c r="AF243" s="721"/>
      <c r="AG243" s="721"/>
      <c r="AH243" s="1237"/>
      <c r="AI243" s="721"/>
      <c r="AJ243" s="721"/>
      <c r="AK243" s="721"/>
      <c r="AL243" s="722"/>
      <c r="AM243" s="721"/>
      <c r="AN243" s="721"/>
      <c r="AO243" s="721"/>
      <c r="AP243" s="722"/>
      <c r="AQ243" s="718"/>
      <c r="AS243" s="723"/>
      <c r="AT243" s="723"/>
      <c r="AU243" s="723"/>
      <c r="AV243" s="723"/>
      <c r="AW243" s="723"/>
      <c r="AX243" s="723"/>
      <c r="AY243" s="723"/>
      <c r="AZ243" s="723"/>
      <c r="BA243" s="723"/>
      <c r="BB243" s="723"/>
    </row>
    <row r="244" spans="2:60" collapsed="1">
      <c r="B244" s="879" t="s">
        <v>360</v>
      </c>
      <c r="C244" s="880"/>
      <c r="D244" s="881"/>
      <c r="E244" s="881"/>
      <c r="F244" s="882"/>
      <c r="G244" s="880"/>
      <c r="H244" s="881"/>
      <c r="I244" s="881"/>
      <c r="J244" s="766"/>
      <c r="K244" s="764"/>
      <c r="L244" s="765"/>
      <c r="M244" s="765"/>
      <c r="N244" s="766"/>
      <c r="O244" s="883">
        <f>O4</f>
        <v>8458</v>
      </c>
      <c r="P244" s="884">
        <f>P4</f>
        <v>8452</v>
      </c>
      <c r="Q244" s="884">
        <f>Q4</f>
        <v>8793</v>
      </c>
      <c r="R244" s="885">
        <f>R4</f>
        <v>8942</v>
      </c>
      <c r="S244" s="764">
        <v>8097</v>
      </c>
      <c r="T244" s="765">
        <v>8718</v>
      </c>
      <c r="U244" s="765">
        <v>9191</v>
      </c>
      <c r="V244" s="766">
        <v>8866</v>
      </c>
      <c r="W244" s="726">
        <f t="shared" ref="W244:AA244" si="931">W245+W246</f>
        <v>7420</v>
      </c>
      <c r="X244" s="727">
        <f>X245+X246</f>
        <v>7537</v>
      </c>
      <c r="Y244" s="727">
        <f t="shared" si="931"/>
        <v>8506</v>
      </c>
      <c r="Z244" s="728">
        <f t="shared" si="931"/>
        <v>8756</v>
      </c>
      <c r="AA244" s="726">
        <f t="shared" si="931"/>
        <v>7549</v>
      </c>
      <c r="AB244" s="727">
        <f>AB245+AB246</f>
        <v>7338</v>
      </c>
      <c r="AC244" s="727">
        <f>AC245+AC246</f>
        <v>8892</v>
      </c>
      <c r="AD244" s="1063">
        <f>AD245+AD246</f>
        <v>9129</v>
      </c>
      <c r="AE244" s="726">
        <f t="shared" ref="AE244" si="932">AE245+AE246</f>
        <v>7976</v>
      </c>
      <c r="AF244" s="727">
        <f>AF245+AF246</f>
        <v>8213</v>
      </c>
      <c r="AG244" s="727">
        <f>SUM(AG245:AG246)</f>
        <v>8860</v>
      </c>
      <c r="AH244" s="1238">
        <f>AH245+AH246</f>
        <v>8954</v>
      </c>
      <c r="AI244" s="727">
        <f>AI245+AI246</f>
        <v>8220</v>
      </c>
      <c r="AJ244" s="727"/>
      <c r="AK244" s="727"/>
      <c r="AL244" s="728"/>
      <c r="AM244" s="727"/>
      <c r="AN244" s="727"/>
      <c r="AO244" s="727"/>
      <c r="AP244" s="728"/>
    </row>
    <row r="245" spans="2:60" outlineLevel="1">
      <c r="B245" s="886" t="s">
        <v>462</v>
      </c>
      <c r="C245" s="764"/>
      <c r="D245" s="765"/>
      <c r="E245" s="765"/>
      <c r="F245" s="766"/>
      <c r="G245" s="764"/>
      <c r="H245" s="765"/>
      <c r="I245" s="765"/>
      <c r="J245" s="766"/>
      <c r="K245" s="764"/>
      <c r="L245" s="765"/>
      <c r="M245" s="765"/>
      <c r="N245" s="766"/>
      <c r="O245" s="764"/>
      <c r="P245" s="765"/>
      <c r="Q245" s="765"/>
      <c r="R245" s="766"/>
      <c r="S245" s="764"/>
      <c r="T245" s="765"/>
      <c r="U245" s="765"/>
      <c r="V245" s="766"/>
      <c r="W245" s="764">
        <v>7049</v>
      </c>
      <c r="X245" s="765">
        <v>7124</v>
      </c>
      <c r="Y245" s="765">
        <v>8089</v>
      </c>
      <c r="Z245" s="766">
        <v>8392</v>
      </c>
      <c r="AA245" s="764">
        <v>7188</v>
      </c>
      <c r="AB245" s="765">
        <v>6938</v>
      </c>
      <c r="AC245" s="765">
        <v>8258</v>
      </c>
      <c r="AD245" s="1089">
        <v>8356</v>
      </c>
      <c r="AE245" s="764">
        <v>7397</v>
      </c>
      <c r="AF245" s="765">
        <v>7634</v>
      </c>
      <c r="AG245" s="765">
        <v>8132</v>
      </c>
      <c r="AH245" s="1265">
        <v>8063</v>
      </c>
      <c r="AI245" s="765">
        <v>7615</v>
      </c>
      <c r="AJ245" s="765"/>
      <c r="AK245" s="765"/>
      <c r="AL245" s="766"/>
      <c r="AM245" s="765"/>
      <c r="AN245" s="765"/>
      <c r="AO245" s="765"/>
      <c r="AP245" s="766"/>
    </row>
    <row r="246" spans="2:60" outlineLevel="1">
      <c r="B246" s="886" t="s">
        <v>412</v>
      </c>
      <c r="C246" s="764"/>
      <c r="D246" s="765"/>
      <c r="E246" s="765"/>
      <c r="F246" s="766"/>
      <c r="G246" s="764"/>
      <c r="H246" s="765"/>
      <c r="I246" s="765"/>
      <c r="J246" s="766"/>
      <c r="K246" s="764"/>
      <c r="L246" s="765"/>
      <c r="M246" s="765"/>
      <c r="N246" s="766"/>
      <c r="O246" s="764"/>
      <c r="P246" s="765"/>
      <c r="Q246" s="765"/>
      <c r="R246" s="766"/>
      <c r="S246" s="764"/>
      <c r="T246" s="765"/>
      <c r="U246" s="765"/>
      <c r="V246" s="766"/>
      <c r="W246" s="764">
        <v>371</v>
      </c>
      <c r="X246" s="765">
        <v>413</v>
      </c>
      <c r="Y246" s="765">
        <v>417</v>
      </c>
      <c r="Z246" s="766">
        <v>364</v>
      </c>
      <c r="AA246" s="764">
        <v>361</v>
      </c>
      <c r="AB246" s="765">
        <v>400</v>
      </c>
      <c r="AC246" s="765">
        <v>634</v>
      </c>
      <c r="AD246" s="1089">
        <v>773</v>
      </c>
      <c r="AE246" s="764">
        <v>579</v>
      </c>
      <c r="AF246" s="765">
        <v>579</v>
      </c>
      <c r="AG246" s="765">
        <v>728</v>
      </c>
      <c r="AH246" s="1265">
        <v>891</v>
      </c>
      <c r="AI246" s="765">
        <v>605</v>
      </c>
      <c r="AJ246" s="765"/>
      <c r="AK246" s="765"/>
      <c r="AL246" s="766"/>
      <c r="AM246" s="765"/>
      <c r="AN246" s="765"/>
      <c r="AO246" s="765"/>
      <c r="AP246" s="766"/>
    </row>
    <row r="247" spans="2:60" outlineLevel="1" collapsed="1">
      <c r="B247" s="879" t="s">
        <v>391</v>
      </c>
      <c r="C247" s="880">
        <f>C248+C249</f>
        <v>7674</v>
      </c>
      <c r="D247" s="881">
        <f t="shared" ref="D247:I247" si="933">D248+D249</f>
        <v>7839</v>
      </c>
      <c r="E247" s="881">
        <f t="shared" si="933"/>
        <v>8055</v>
      </c>
      <c r="F247" s="882">
        <f t="shared" si="933"/>
        <v>8030</v>
      </c>
      <c r="G247" s="880">
        <f t="shared" si="933"/>
        <v>8621</v>
      </c>
      <c r="H247" s="881">
        <f t="shared" si="933"/>
        <v>8321</v>
      </c>
      <c r="I247" s="881">
        <f t="shared" si="933"/>
        <v>9417</v>
      </c>
      <c r="J247" s="766">
        <v>9047</v>
      </c>
      <c r="K247" s="764">
        <v>8451</v>
      </c>
      <c r="L247" s="765">
        <v>8684</v>
      </c>
      <c r="M247" s="765">
        <v>8633</v>
      </c>
      <c r="N247" s="766">
        <v>8506</v>
      </c>
      <c r="O247" s="764">
        <v>7992</v>
      </c>
      <c r="P247" s="765">
        <v>8100</v>
      </c>
      <c r="Q247" s="765">
        <v>8387</v>
      </c>
      <c r="R247" s="766">
        <v>8560</v>
      </c>
      <c r="S247" s="764">
        <v>7941</v>
      </c>
      <c r="T247" s="765">
        <v>8667</v>
      </c>
      <c r="U247" s="765">
        <v>9190</v>
      </c>
      <c r="V247" s="766">
        <v>8871</v>
      </c>
      <c r="W247" s="883">
        <f t="shared" ref="W247:AB247" si="934">W66</f>
        <v>7340.9773816578509</v>
      </c>
      <c r="X247" s="884">
        <f t="shared" si="934"/>
        <v>7420.6867754817449</v>
      </c>
      <c r="Y247" s="884">
        <f t="shared" si="934"/>
        <v>8446.3793867858421</v>
      </c>
      <c r="Z247" s="885">
        <f t="shared" si="934"/>
        <v>8685.2479199509889</v>
      </c>
      <c r="AA247" s="883">
        <f t="shared" si="934"/>
        <v>7433.7199999999993</v>
      </c>
      <c r="AB247" s="884">
        <f t="shared" si="934"/>
        <v>7197.1</v>
      </c>
      <c r="AC247" s="884">
        <f t="shared" ref="AC247:AF247" si="935">AC66</f>
        <v>8532.2722552830182</v>
      </c>
      <c r="AD247" s="1090">
        <f t="shared" si="935"/>
        <v>8769.2115994318447</v>
      </c>
      <c r="AE247" s="883">
        <f t="shared" si="935"/>
        <v>7740.7199167780018</v>
      </c>
      <c r="AF247" s="884">
        <f t="shared" si="935"/>
        <v>7976.6138344471001</v>
      </c>
      <c r="AG247" s="884">
        <f t="shared" ref="AG247:AI247" si="936">AG66</f>
        <v>8420.2596331512468</v>
      </c>
      <c r="AH247" s="1266">
        <f t="shared" si="936"/>
        <v>8588.958424775692</v>
      </c>
      <c r="AI247" s="884">
        <f t="shared" si="936"/>
        <v>7954.6934183157427</v>
      </c>
      <c r="AJ247" s="765"/>
      <c r="AK247" s="881"/>
      <c r="AL247" s="882"/>
      <c r="AM247" s="881"/>
      <c r="AN247" s="765"/>
      <c r="AO247" s="881"/>
      <c r="AP247" s="882"/>
    </row>
    <row r="248" spans="2:60" outlineLevel="1">
      <c r="B248" s="886" t="s">
        <v>463</v>
      </c>
      <c r="C248" s="764">
        <v>5913</v>
      </c>
      <c r="D248" s="765">
        <v>6155</v>
      </c>
      <c r="E248" s="765">
        <v>6305</v>
      </c>
      <c r="F248" s="766">
        <v>6348</v>
      </c>
      <c r="G248" s="764">
        <v>6823</v>
      </c>
      <c r="H248" s="765">
        <v>6533</v>
      </c>
      <c r="I248" s="765">
        <v>7521</v>
      </c>
      <c r="J248" s="766"/>
      <c r="K248" s="764"/>
      <c r="L248" s="765"/>
      <c r="M248" s="765"/>
      <c r="N248" s="766"/>
      <c r="O248" s="764"/>
      <c r="P248" s="765"/>
      <c r="Q248" s="765"/>
      <c r="R248" s="766"/>
      <c r="S248" s="764"/>
      <c r="T248" s="765"/>
      <c r="U248" s="765"/>
      <c r="V248" s="766"/>
      <c r="W248" s="764"/>
      <c r="X248" s="765"/>
      <c r="Y248" s="765"/>
      <c r="Z248" s="766"/>
      <c r="AA248" s="764"/>
      <c r="AB248" s="765"/>
      <c r="AC248" s="765"/>
      <c r="AD248" s="1089"/>
      <c r="AE248" s="764"/>
      <c r="AF248" s="765"/>
      <c r="AG248" s="765"/>
      <c r="AH248" s="1265"/>
      <c r="AI248" s="765"/>
      <c r="AJ248" s="765"/>
      <c r="AK248" s="765"/>
      <c r="AL248" s="766"/>
      <c r="AM248" s="765"/>
      <c r="AN248" s="765"/>
      <c r="AO248" s="765"/>
      <c r="AP248" s="766"/>
    </row>
    <row r="249" spans="2:60" outlineLevel="1">
      <c r="B249" s="886" t="s">
        <v>412</v>
      </c>
      <c r="C249" s="764">
        <v>1761</v>
      </c>
      <c r="D249" s="765">
        <v>1684</v>
      </c>
      <c r="E249" s="765">
        <v>1750</v>
      </c>
      <c r="F249" s="766">
        <v>1682</v>
      </c>
      <c r="G249" s="764">
        <v>1798</v>
      </c>
      <c r="H249" s="765">
        <v>1788</v>
      </c>
      <c r="I249" s="765">
        <v>1896</v>
      </c>
      <c r="J249" s="766"/>
      <c r="K249" s="764"/>
      <c r="L249" s="765"/>
      <c r="M249" s="765"/>
      <c r="N249" s="766"/>
      <c r="O249" s="764"/>
      <c r="P249" s="765"/>
      <c r="Q249" s="765"/>
      <c r="R249" s="766"/>
      <c r="S249" s="764"/>
      <c r="T249" s="765"/>
      <c r="U249" s="765"/>
      <c r="V249" s="766"/>
      <c r="W249" s="764"/>
      <c r="X249" s="765"/>
      <c r="Y249" s="765"/>
      <c r="Z249" s="766"/>
      <c r="AA249" s="764"/>
      <c r="AB249" s="765"/>
      <c r="AC249" s="765"/>
      <c r="AD249" s="1089"/>
      <c r="AE249" s="764"/>
      <c r="AF249" s="765"/>
      <c r="AG249" s="765"/>
      <c r="AH249" s="1265"/>
      <c r="AI249" s="765"/>
      <c r="AJ249" s="765"/>
      <c r="AK249" s="765"/>
      <c r="AL249" s="766"/>
      <c r="AM249" s="765"/>
      <c r="AN249" s="765"/>
      <c r="AO249" s="765"/>
      <c r="AP249" s="766"/>
    </row>
    <row r="250" spans="2:60" outlineLevel="1">
      <c r="B250" s="879" t="s">
        <v>464</v>
      </c>
      <c r="C250" s="726">
        <f>C247-C251-C252</f>
        <v>299</v>
      </c>
      <c r="D250" s="727">
        <f t="shared" ref="D250:F250" si="937">D247-D251-D252</f>
        <v>338</v>
      </c>
      <c r="E250" s="727">
        <f t="shared" si="937"/>
        <v>317</v>
      </c>
      <c r="F250" s="728">
        <f t="shared" si="937"/>
        <v>317</v>
      </c>
      <c r="G250" s="764"/>
      <c r="H250" s="765"/>
      <c r="I250" s="765"/>
      <c r="J250" s="766"/>
      <c r="K250" s="764"/>
      <c r="L250" s="765"/>
      <c r="M250" s="765"/>
      <c r="N250" s="766"/>
      <c r="O250" s="764"/>
      <c r="P250" s="765"/>
      <c r="Q250" s="765"/>
      <c r="R250" s="766"/>
      <c r="S250" s="764"/>
      <c r="T250" s="765"/>
      <c r="U250" s="765"/>
      <c r="V250" s="766"/>
      <c r="W250" s="764"/>
      <c r="X250" s="765"/>
      <c r="Y250" s="765"/>
      <c r="Z250" s="766"/>
      <c r="AA250" s="764"/>
      <c r="AB250" s="765"/>
      <c r="AC250" s="765"/>
      <c r="AD250" s="1089"/>
      <c r="AE250" s="764"/>
      <c r="AF250" s="765"/>
      <c r="AG250" s="765"/>
      <c r="AH250" s="1265"/>
      <c r="AI250" s="765"/>
      <c r="AJ250" s="765"/>
      <c r="AK250" s="765"/>
      <c r="AL250" s="766"/>
      <c r="AM250" s="765"/>
      <c r="AN250" s="765"/>
      <c r="AO250" s="765"/>
      <c r="AP250" s="766"/>
    </row>
    <row r="251" spans="2:60" s="877" customFormat="1" outlineLevel="1">
      <c r="B251" s="886" t="s">
        <v>463</v>
      </c>
      <c r="C251" s="764">
        <v>5692</v>
      </c>
      <c r="D251" s="765">
        <v>5902</v>
      </c>
      <c r="E251" s="765">
        <v>6072</v>
      </c>
      <c r="F251" s="766">
        <v>6116</v>
      </c>
      <c r="G251" s="764"/>
      <c r="H251" s="765"/>
      <c r="I251" s="765"/>
      <c r="J251" s="766"/>
      <c r="K251" s="764"/>
      <c r="L251" s="765"/>
      <c r="M251" s="765"/>
      <c r="N251" s="766"/>
      <c r="O251" s="874"/>
      <c r="P251" s="765"/>
      <c r="Q251" s="765"/>
      <c r="R251" s="766"/>
      <c r="S251" s="764"/>
      <c r="T251" s="765"/>
      <c r="U251" s="765"/>
      <c r="V251" s="766"/>
      <c r="W251" s="764"/>
      <c r="X251" s="765"/>
      <c r="Y251" s="765"/>
      <c r="Z251" s="766"/>
      <c r="AA251" s="764"/>
      <c r="AB251" s="765"/>
      <c r="AC251" s="765"/>
      <c r="AD251" s="1089"/>
      <c r="AE251" s="764"/>
      <c r="AF251" s="765"/>
      <c r="AG251" s="765"/>
      <c r="AH251" s="1265"/>
      <c r="AI251" s="765"/>
      <c r="AJ251" s="765"/>
      <c r="AK251" s="765"/>
      <c r="AL251" s="766"/>
      <c r="AM251" s="765"/>
      <c r="AN251" s="765"/>
      <c r="AO251" s="765"/>
      <c r="AP251" s="766"/>
      <c r="AR251" s="763"/>
      <c r="AS251" s="762"/>
      <c r="AT251" s="762"/>
      <c r="AU251" s="762"/>
      <c r="AV251" s="762"/>
      <c r="AW251" s="762"/>
      <c r="AX251" s="762"/>
      <c r="AY251" s="723"/>
      <c r="AZ251" s="723"/>
      <c r="BA251" s="723"/>
      <c r="BB251" s="723"/>
      <c r="BC251" s="763"/>
      <c r="BD251" s="763"/>
      <c r="BE251" s="763"/>
      <c r="BF251" s="763"/>
      <c r="BG251" s="763"/>
      <c r="BH251" s="763"/>
    </row>
    <row r="252" spans="2:60" s="877" customFormat="1" outlineLevel="1">
      <c r="B252" s="886" t="s">
        <v>412</v>
      </c>
      <c r="C252" s="764">
        <v>1683</v>
      </c>
      <c r="D252" s="765">
        <v>1599</v>
      </c>
      <c r="E252" s="765">
        <v>1666</v>
      </c>
      <c r="F252" s="766">
        <v>1597</v>
      </c>
      <c r="G252" s="764"/>
      <c r="H252" s="765"/>
      <c r="I252" s="765"/>
      <c r="J252" s="766"/>
      <c r="K252" s="764"/>
      <c r="L252" s="765"/>
      <c r="M252" s="765"/>
      <c r="N252" s="766"/>
      <c r="O252" s="764"/>
      <c r="P252" s="765"/>
      <c r="Q252" s="765"/>
      <c r="R252" s="766"/>
      <c r="S252" s="764"/>
      <c r="T252" s="765"/>
      <c r="U252" s="765"/>
      <c r="V252" s="766"/>
      <c r="W252" s="764"/>
      <c r="X252" s="765"/>
      <c r="Y252" s="765"/>
      <c r="Z252" s="766"/>
      <c r="AA252" s="764"/>
      <c r="AB252" s="765"/>
      <c r="AC252" s="765"/>
      <c r="AD252" s="1089"/>
      <c r="AE252" s="764"/>
      <c r="AF252" s="765"/>
      <c r="AG252" s="765"/>
      <c r="AH252" s="1265"/>
      <c r="AI252" s="765"/>
      <c r="AJ252" s="765"/>
      <c r="AK252" s="765"/>
      <c r="AL252" s="766"/>
      <c r="AM252" s="765"/>
      <c r="AN252" s="765"/>
      <c r="AO252" s="765"/>
      <c r="AP252" s="766"/>
      <c r="AR252" s="763"/>
      <c r="AS252" s="762"/>
      <c r="AT252" s="762"/>
      <c r="AU252" s="762"/>
      <c r="AV252" s="762"/>
      <c r="AW252" s="762"/>
      <c r="AX252" s="762"/>
      <c r="AY252" s="723"/>
      <c r="AZ252" s="723"/>
      <c r="BA252" s="723"/>
      <c r="BB252" s="723"/>
      <c r="BC252" s="763"/>
      <c r="BD252" s="763"/>
      <c r="BE252" s="763"/>
      <c r="BF252" s="763"/>
      <c r="BG252" s="763"/>
      <c r="BH252" s="763"/>
    </row>
    <row r="253" spans="2:60" s="877" customFormat="1" outlineLevel="1">
      <c r="B253" s="879" t="s">
        <v>465</v>
      </c>
      <c r="C253" s="764"/>
      <c r="D253" s="765"/>
      <c r="E253" s="765"/>
      <c r="F253" s="766"/>
      <c r="G253" s="764"/>
      <c r="H253" s="765"/>
      <c r="I253" s="765"/>
      <c r="J253" s="766"/>
      <c r="K253" s="764"/>
      <c r="L253" s="765"/>
      <c r="M253" s="765"/>
      <c r="N253" s="766"/>
      <c r="O253" s="726">
        <f>O260-O254</f>
        <v>192</v>
      </c>
      <c r="P253" s="727">
        <f t="shared" ref="P253:R253" si="938">P260-P254</f>
        <v>201</v>
      </c>
      <c r="Q253" s="727">
        <f t="shared" si="938"/>
        <v>266</v>
      </c>
      <c r="R253" s="728">
        <f t="shared" si="938"/>
        <v>264</v>
      </c>
      <c r="S253" s="883"/>
      <c r="T253" s="884"/>
      <c r="U253" s="884"/>
      <c r="V253" s="885"/>
      <c r="W253" s="883"/>
      <c r="X253" s="884"/>
      <c r="Y253" s="884"/>
      <c r="Z253" s="885"/>
      <c r="AA253" s="883"/>
      <c r="AB253" s="765"/>
      <c r="AC253" s="765"/>
      <c r="AD253" s="1089"/>
      <c r="AE253" s="883"/>
      <c r="AF253" s="765"/>
      <c r="AG253" s="765"/>
      <c r="AH253" s="1265"/>
      <c r="AI253" s="765"/>
      <c r="AJ253" s="765"/>
      <c r="AK253" s="765"/>
      <c r="AL253" s="766"/>
      <c r="AM253" s="765"/>
      <c r="AN253" s="765"/>
      <c r="AO253" s="765"/>
      <c r="AP253" s="766"/>
      <c r="AR253" s="763"/>
      <c r="AS253" s="762"/>
      <c r="AT253" s="762"/>
      <c r="AU253" s="762"/>
      <c r="AV253" s="762"/>
      <c r="AW253" s="762"/>
      <c r="AX253" s="762"/>
      <c r="AY253" s="723"/>
      <c r="AZ253" s="723"/>
      <c r="BA253" s="723"/>
      <c r="BB253" s="723"/>
      <c r="BC253" s="763"/>
      <c r="BD253" s="763"/>
      <c r="BE253" s="763"/>
      <c r="BF253" s="763"/>
      <c r="BG253" s="763"/>
      <c r="BH253" s="763"/>
    </row>
    <row r="254" spans="2:60" s="877" customFormat="1" ht="13.5" customHeight="1">
      <c r="B254" s="879" t="s">
        <v>361</v>
      </c>
      <c r="C254" s="880">
        <f>C257+C258</f>
        <v>1871</v>
      </c>
      <c r="D254" s="881">
        <f t="shared" ref="D254:I254" si="939">D257+D258</f>
        <v>2114</v>
      </c>
      <c r="E254" s="881">
        <f t="shared" si="939"/>
        <v>2186</v>
      </c>
      <c r="F254" s="882">
        <f t="shared" si="939"/>
        <v>2522</v>
      </c>
      <c r="G254" s="880">
        <f t="shared" si="939"/>
        <v>2464</v>
      </c>
      <c r="H254" s="881">
        <f t="shared" si="939"/>
        <v>2436</v>
      </c>
      <c r="I254" s="881">
        <f t="shared" si="939"/>
        <v>2512</v>
      </c>
      <c r="J254" s="766">
        <v>2717</v>
      </c>
      <c r="K254" s="764">
        <v>2453</v>
      </c>
      <c r="L254" s="765">
        <v>2804</v>
      </c>
      <c r="M254" s="765">
        <v>2654</v>
      </c>
      <c r="N254" s="766">
        <v>2830</v>
      </c>
      <c r="O254" s="764">
        <v>2585</v>
      </c>
      <c r="P254" s="765">
        <v>2743</v>
      </c>
      <c r="Q254" s="765">
        <v>2912</v>
      </c>
      <c r="R254" s="766">
        <v>2998</v>
      </c>
      <c r="S254" s="887">
        <v>3087</v>
      </c>
      <c r="T254" s="765">
        <v>3509</v>
      </c>
      <c r="U254" s="765">
        <v>3700</v>
      </c>
      <c r="V254" s="766">
        <v>4091</v>
      </c>
      <c r="W254" s="726">
        <f t="shared" ref="W254:AA254" si="940">W255+W256</f>
        <v>3681</v>
      </c>
      <c r="X254" s="727">
        <f>X255+X256</f>
        <v>3852</v>
      </c>
      <c r="Y254" s="727">
        <f t="shared" si="940"/>
        <v>4140</v>
      </c>
      <c r="Z254" s="728">
        <f t="shared" si="940"/>
        <v>4308</v>
      </c>
      <c r="AA254" s="726">
        <f t="shared" si="940"/>
        <v>3999</v>
      </c>
      <c r="AB254" s="727">
        <f t="shared" ref="AB254:AE254" si="941">AB255+AB256</f>
        <v>4027</v>
      </c>
      <c r="AC254" s="727">
        <f t="shared" si="941"/>
        <v>4542</v>
      </c>
      <c r="AD254" s="727">
        <f t="shared" si="941"/>
        <v>4668</v>
      </c>
      <c r="AE254" s="726">
        <f t="shared" si="941"/>
        <v>4232</v>
      </c>
      <c r="AF254" s="727">
        <f t="shared" ref="AF254:AH254" si="942">AF255+AF256</f>
        <v>4372</v>
      </c>
      <c r="AG254" s="727">
        <f t="shared" si="942"/>
        <v>4878</v>
      </c>
      <c r="AH254" s="1238">
        <f t="shared" si="942"/>
        <v>5582</v>
      </c>
      <c r="AI254" s="727">
        <f t="shared" ref="AI254" si="943">AI255+AI256</f>
        <v>5234</v>
      </c>
      <c r="AJ254" s="727"/>
      <c r="AK254" s="727"/>
      <c r="AL254" s="728"/>
      <c r="AM254" s="727"/>
      <c r="AN254" s="727"/>
      <c r="AO254" s="727"/>
      <c r="AP254" s="728"/>
      <c r="AR254" s="763"/>
      <c r="AS254" s="762"/>
      <c r="AT254" s="762"/>
      <c r="AU254" s="762"/>
      <c r="AV254" s="762"/>
      <c r="AW254" s="762"/>
      <c r="AX254" s="762"/>
      <c r="AY254" s="723"/>
      <c r="AZ254" s="723"/>
      <c r="BA254" s="723"/>
      <c r="BB254" s="723"/>
      <c r="BC254" s="763"/>
      <c r="BD254" s="763"/>
      <c r="BE254" s="763"/>
      <c r="BF254" s="763"/>
      <c r="BG254" s="763"/>
      <c r="BH254" s="763"/>
    </row>
    <row r="255" spans="2:60" s="877" customFormat="1">
      <c r="B255" s="886" t="s">
        <v>462</v>
      </c>
      <c r="C255" s="880"/>
      <c r="D255" s="881"/>
      <c r="E255" s="881"/>
      <c r="F255" s="882"/>
      <c r="G255" s="880"/>
      <c r="H255" s="881"/>
      <c r="I255" s="881"/>
      <c r="J255" s="766"/>
      <c r="K255" s="764"/>
      <c r="L255" s="765"/>
      <c r="M255" s="765"/>
      <c r="N255" s="766"/>
      <c r="O255" s="764"/>
      <c r="P255" s="765"/>
      <c r="Q255" s="765"/>
      <c r="R255" s="766"/>
      <c r="S255" s="764"/>
      <c r="T255" s="765"/>
      <c r="U255" s="765"/>
      <c r="V255" s="766"/>
      <c r="W255" s="764">
        <v>3419</v>
      </c>
      <c r="X255" s="765">
        <v>3579</v>
      </c>
      <c r="Y255" s="765">
        <v>3863</v>
      </c>
      <c r="Z255" s="766">
        <v>4021</v>
      </c>
      <c r="AA255" s="764">
        <v>3718</v>
      </c>
      <c r="AB255" s="765">
        <v>3718</v>
      </c>
      <c r="AC255" s="765">
        <v>4164</v>
      </c>
      <c r="AD255" s="1089">
        <v>4306</v>
      </c>
      <c r="AE255" s="764">
        <v>3879</v>
      </c>
      <c r="AF255" s="765">
        <v>4026</v>
      </c>
      <c r="AG255" s="765">
        <v>4439</v>
      </c>
      <c r="AH255" s="1265">
        <v>5095</v>
      </c>
      <c r="AI255" s="765">
        <v>4824</v>
      </c>
      <c r="AJ255" s="765"/>
      <c r="AK255" s="765"/>
      <c r="AL255" s="766"/>
      <c r="AM255" s="765"/>
      <c r="AN255" s="765"/>
      <c r="AO255" s="765"/>
      <c r="AP255" s="766"/>
      <c r="AR255" s="763"/>
      <c r="AS255" s="762"/>
      <c r="AT255" s="762"/>
      <c r="AU255" s="762"/>
      <c r="AV255" s="762"/>
      <c r="AW255" s="762"/>
      <c r="AX255" s="762"/>
      <c r="AY255" s="723"/>
      <c r="AZ255" s="723"/>
      <c r="BA255" s="723"/>
      <c r="BB255" s="723"/>
      <c r="BC255" s="763"/>
      <c r="BD255" s="763"/>
      <c r="BE255" s="763"/>
      <c r="BF255" s="763"/>
      <c r="BG255" s="763"/>
      <c r="BH255" s="763"/>
    </row>
    <row r="256" spans="2:60" s="877" customFormat="1">
      <c r="B256" s="886" t="s">
        <v>412</v>
      </c>
      <c r="C256" s="880"/>
      <c r="D256" s="881"/>
      <c r="E256" s="881"/>
      <c r="F256" s="882"/>
      <c r="G256" s="880"/>
      <c r="H256" s="881"/>
      <c r="I256" s="881"/>
      <c r="J256" s="766"/>
      <c r="K256" s="764"/>
      <c r="L256" s="765"/>
      <c r="M256" s="765"/>
      <c r="N256" s="766"/>
      <c r="O256" s="764"/>
      <c r="P256" s="765"/>
      <c r="Q256" s="765"/>
      <c r="R256" s="766"/>
      <c r="S256" s="764"/>
      <c r="T256" s="765"/>
      <c r="U256" s="765"/>
      <c r="V256" s="766"/>
      <c r="W256" s="764">
        <v>262</v>
      </c>
      <c r="X256" s="765">
        <v>273</v>
      </c>
      <c r="Y256" s="765">
        <v>277</v>
      </c>
      <c r="Z256" s="766">
        <v>287</v>
      </c>
      <c r="AA256" s="764">
        <v>281</v>
      </c>
      <c r="AB256" s="765">
        <v>309</v>
      </c>
      <c r="AC256" s="765">
        <v>378</v>
      </c>
      <c r="AD256" s="1089">
        <v>362</v>
      </c>
      <c r="AE256" s="764">
        <v>353</v>
      </c>
      <c r="AF256" s="765">
        <v>346</v>
      </c>
      <c r="AG256" s="765">
        <v>439</v>
      </c>
      <c r="AH256" s="1265">
        <v>487</v>
      </c>
      <c r="AI256" s="765">
        <v>410</v>
      </c>
      <c r="AJ256" s="765"/>
      <c r="AK256" s="765"/>
      <c r="AL256" s="766"/>
      <c r="AM256" s="765"/>
      <c r="AN256" s="765"/>
      <c r="AO256" s="765"/>
      <c r="AP256" s="766"/>
      <c r="AR256" s="763"/>
      <c r="AS256" s="762"/>
      <c r="AT256" s="762"/>
      <c r="AU256" s="762"/>
      <c r="AV256" s="762"/>
      <c r="AW256" s="762"/>
      <c r="AX256" s="762"/>
      <c r="AY256" s="723"/>
      <c r="AZ256" s="723"/>
      <c r="BA256" s="723"/>
      <c r="BB256" s="723"/>
      <c r="BC256" s="763"/>
      <c r="BD256" s="763"/>
      <c r="BE256" s="763"/>
      <c r="BF256" s="763"/>
      <c r="BG256" s="763"/>
      <c r="BH256" s="763"/>
    </row>
    <row r="257" spans="2:60" s="877" customFormat="1">
      <c r="B257" s="886" t="s">
        <v>463</v>
      </c>
      <c r="C257" s="764">
        <v>1552</v>
      </c>
      <c r="D257" s="765">
        <v>1797</v>
      </c>
      <c r="E257" s="765">
        <v>1847</v>
      </c>
      <c r="F257" s="766">
        <v>2165</v>
      </c>
      <c r="G257" s="764">
        <v>2061</v>
      </c>
      <c r="H257" s="765">
        <v>2054</v>
      </c>
      <c r="I257" s="765">
        <v>2118</v>
      </c>
      <c r="J257" s="766"/>
      <c r="K257" s="764"/>
      <c r="L257" s="765"/>
      <c r="M257" s="765"/>
      <c r="N257" s="766"/>
      <c r="O257" s="764"/>
      <c r="P257" s="765"/>
      <c r="Q257" s="765"/>
      <c r="R257" s="766"/>
      <c r="S257" s="764"/>
      <c r="T257" s="765"/>
      <c r="U257" s="765"/>
      <c r="V257" s="766"/>
      <c r="W257" s="764"/>
      <c r="X257" s="765"/>
      <c r="Y257" s="765"/>
      <c r="Z257" s="766"/>
      <c r="AA257" s="764"/>
      <c r="AB257" s="765"/>
      <c r="AC257" s="765"/>
      <c r="AE257" s="764"/>
      <c r="AF257" s="765"/>
      <c r="AG257" s="765"/>
      <c r="AH257" s="1265"/>
      <c r="AI257" s="765"/>
      <c r="AJ257" s="765"/>
      <c r="AK257" s="765"/>
      <c r="AL257" s="766"/>
      <c r="AM257" s="765"/>
      <c r="AN257" s="765"/>
      <c r="AO257" s="765"/>
      <c r="AP257" s="766"/>
      <c r="AR257" s="763"/>
      <c r="AS257" s="762"/>
      <c r="AT257" s="762"/>
      <c r="AU257" s="762"/>
      <c r="AV257" s="762"/>
      <c r="AW257" s="762"/>
      <c r="AX257" s="762"/>
      <c r="AY257" s="723"/>
      <c r="AZ257" s="723"/>
      <c r="BA257" s="723"/>
      <c r="BB257" s="723"/>
      <c r="BC257" s="763"/>
      <c r="BD257" s="763"/>
      <c r="BE257" s="763"/>
      <c r="BF257" s="763"/>
      <c r="BG257" s="763"/>
      <c r="BH257" s="763"/>
    </row>
    <row r="258" spans="2:60" s="877" customFormat="1">
      <c r="B258" s="886" t="s">
        <v>412</v>
      </c>
      <c r="C258" s="764">
        <v>319</v>
      </c>
      <c r="D258" s="765">
        <v>317</v>
      </c>
      <c r="E258" s="765">
        <v>339</v>
      </c>
      <c r="F258" s="766">
        <v>357</v>
      </c>
      <c r="G258" s="764">
        <v>403</v>
      </c>
      <c r="H258" s="765">
        <v>382</v>
      </c>
      <c r="I258" s="765">
        <v>394</v>
      </c>
      <c r="J258" s="766"/>
      <c r="K258" s="764"/>
      <c r="L258" s="765"/>
      <c r="M258" s="765"/>
      <c r="N258" s="766"/>
      <c r="O258" s="764"/>
      <c r="P258" s="765"/>
      <c r="Q258" s="765"/>
      <c r="R258" s="766"/>
      <c r="S258" s="764"/>
      <c r="T258" s="765"/>
      <c r="U258" s="765"/>
      <c r="V258" s="766"/>
      <c r="W258" s="764"/>
      <c r="X258" s="765"/>
      <c r="Y258" s="765"/>
      <c r="Z258" s="766"/>
      <c r="AA258" s="764"/>
      <c r="AB258" s="765"/>
      <c r="AC258" s="765"/>
      <c r="AD258" s="1089"/>
      <c r="AE258" s="764"/>
      <c r="AF258" s="765"/>
      <c r="AG258" s="765"/>
      <c r="AH258" s="1265"/>
      <c r="AI258" s="765"/>
      <c r="AJ258" s="765"/>
      <c r="AK258" s="765"/>
      <c r="AL258" s="766"/>
      <c r="AM258" s="765"/>
      <c r="AN258" s="765"/>
      <c r="AO258" s="765"/>
      <c r="AP258" s="766"/>
      <c r="AR258" s="763"/>
      <c r="AS258" s="762"/>
      <c r="AT258" s="762"/>
      <c r="AU258" s="762"/>
      <c r="AV258" s="762"/>
      <c r="AW258" s="762"/>
      <c r="AX258" s="762"/>
      <c r="AY258" s="723"/>
      <c r="AZ258" s="723"/>
      <c r="BA258" s="723"/>
      <c r="BB258" s="723"/>
      <c r="BC258" s="763"/>
      <c r="BD258" s="763"/>
      <c r="BE258" s="763"/>
      <c r="BF258" s="763"/>
      <c r="BG258" s="763"/>
      <c r="BH258" s="763"/>
    </row>
    <row r="259" spans="2:60" s="877" customFormat="1">
      <c r="B259" s="879" t="s">
        <v>391</v>
      </c>
      <c r="C259" s="764"/>
      <c r="D259" s="765"/>
      <c r="E259" s="765"/>
      <c r="F259" s="766"/>
      <c r="G259" s="764"/>
      <c r="H259" s="765"/>
      <c r="I259" s="765"/>
      <c r="J259" s="766"/>
      <c r="K259" s="764"/>
      <c r="L259" s="765"/>
      <c r="M259" s="765"/>
      <c r="N259" s="766"/>
      <c r="O259" s="764">
        <v>8054</v>
      </c>
      <c r="P259" s="765">
        <v>8160</v>
      </c>
      <c r="Q259" s="765">
        <v>8440</v>
      </c>
      <c r="R259" s="766">
        <v>8616</v>
      </c>
      <c r="S259" s="764">
        <v>7941</v>
      </c>
      <c r="T259" s="765">
        <v>8667</v>
      </c>
      <c r="U259" s="765">
        <v>9190</v>
      </c>
      <c r="V259" s="766">
        <v>8871</v>
      </c>
      <c r="W259" s="883"/>
      <c r="X259" s="884"/>
      <c r="Y259" s="884"/>
      <c r="Z259" s="885"/>
      <c r="AA259" s="883"/>
      <c r="AB259" s="765"/>
      <c r="AC259" s="765"/>
      <c r="AD259" s="1089"/>
      <c r="AE259" s="883"/>
      <c r="AF259" s="765"/>
      <c r="AG259" s="765"/>
      <c r="AH259" s="1265"/>
      <c r="AI259" s="765"/>
      <c r="AJ259" s="765"/>
      <c r="AK259" s="765"/>
      <c r="AL259" s="766"/>
      <c r="AM259" s="765"/>
      <c r="AN259" s="765"/>
      <c r="AO259" s="765"/>
      <c r="AP259" s="766"/>
      <c r="AR259" s="763"/>
      <c r="AS259" s="762"/>
      <c r="AT259" s="762"/>
      <c r="AU259" s="762"/>
      <c r="AV259" s="762"/>
      <c r="AW259" s="762"/>
      <c r="AX259" s="762"/>
      <c r="AY259" s="723"/>
      <c r="AZ259" s="723"/>
      <c r="BA259" s="723"/>
      <c r="BB259" s="723"/>
      <c r="BC259" s="763"/>
      <c r="BD259" s="763"/>
      <c r="BE259" s="763"/>
      <c r="BF259" s="763"/>
      <c r="BG259" s="763"/>
      <c r="BH259" s="763"/>
    </row>
    <row r="260" spans="2:60" s="877" customFormat="1">
      <c r="B260" s="879" t="s">
        <v>361</v>
      </c>
      <c r="C260" s="764"/>
      <c r="D260" s="765"/>
      <c r="E260" s="765"/>
      <c r="F260" s="766"/>
      <c r="G260" s="764"/>
      <c r="H260" s="765"/>
      <c r="I260" s="765"/>
      <c r="J260" s="766"/>
      <c r="K260" s="764"/>
      <c r="L260" s="765"/>
      <c r="M260" s="765"/>
      <c r="N260" s="766"/>
      <c r="O260" s="764">
        <v>2777</v>
      </c>
      <c r="P260" s="765">
        <v>2944</v>
      </c>
      <c r="Q260" s="765">
        <v>3178</v>
      </c>
      <c r="R260" s="766">
        <v>3262</v>
      </c>
      <c r="S260" s="764">
        <v>3087</v>
      </c>
      <c r="T260" s="765">
        <v>3509</v>
      </c>
      <c r="U260" s="765">
        <v>3700</v>
      </c>
      <c r="V260" s="766">
        <v>4091</v>
      </c>
      <c r="W260" s="883"/>
      <c r="X260" s="884"/>
      <c r="Y260" s="884"/>
      <c r="Z260" s="885"/>
      <c r="AA260" s="883"/>
      <c r="AB260" s="765"/>
      <c r="AC260" s="765"/>
      <c r="AD260" s="1089"/>
      <c r="AE260" s="883"/>
      <c r="AF260" s="765"/>
      <c r="AG260" s="765"/>
      <c r="AH260" s="1265"/>
      <c r="AI260" s="765"/>
      <c r="AJ260" s="765"/>
      <c r="AK260" s="765"/>
      <c r="AL260" s="766"/>
      <c r="AM260" s="765"/>
      <c r="AN260" s="765"/>
      <c r="AO260" s="765"/>
      <c r="AP260" s="766"/>
      <c r="AR260" s="763"/>
      <c r="AS260" s="762"/>
      <c r="AT260" s="762"/>
      <c r="AU260" s="762"/>
      <c r="AV260" s="762"/>
      <c r="AW260" s="762"/>
      <c r="AX260" s="762"/>
      <c r="AY260" s="723"/>
      <c r="AZ260" s="723"/>
      <c r="BA260" s="723"/>
      <c r="BB260" s="723"/>
      <c r="BC260" s="763"/>
      <c r="BD260" s="763"/>
      <c r="BE260" s="763"/>
      <c r="BF260" s="763"/>
      <c r="BG260" s="763"/>
      <c r="BH260" s="763"/>
    </row>
    <row r="261" spans="2:60" s="877" customFormat="1">
      <c r="B261" s="879" t="s">
        <v>362</v>
      </c>
      <c r="C261" s="764"/>
      <c r="D261" s="765"/>
      <c r="E261" s="765"/>
      <c r="F261" s="766"/>
      <c r="G261" s="764"/>
      <c r="H261" s="765"/>
      <c r="I261" s="765"/>
      <c r="J261" s="766"/>
      <c r="K261" s="764"/>
      <c r="L261" s="765"/>
      <c r="M261" s="765"/>
      <c r="N261" s="766"/>
      <c r="O261" s="764">
        <v>365</v>
      </c>
      <c r="P261" s="765">
        <v>434</v>
      </c>
      <c r="Q261" s="765">
        <v>464</v>
      </c>
      <c r="R261" s="766">
        <v>538</v>
      </c>
      <c r="S261" s="764">
        <v>482</v>
      </c>
      <c r="T261" s="727">
        <f t="shared" ref="T261:V261" si="944">T262+T263</f>
        <v>539</v>
      </c>
      <c r="U261" s="727">
        <f t="shared" si="944"/>
        <v>530</v>
      </c>
      <c r="V261" s="728">
        <f t="shared" si="944"/>
        <v>591</v>
      </c>
      <c r="W261" s="726">
        <f>W262+W263</f>
        <v>533</v>
      </c>
      <c r="X261" s="727">
        <f>X262+X263</f>
        <v>559</v>
      </c>
      <c r="Y261" s="727">
        <f t="shared" ref="Y261:AA261" si="945">Y262+Y263</f>
        <v>581</v>
      </c>
      <c r="Z261" s="728">
        <f t="shared" si="945"/>
        <v>625</v>
      </c>
      <c r="AA261" s="726">
        <f t="shared" si="945"/>
        <v>651</v>
      </c>
      <c r="AB261" s="727">
        <f t="shared" ref="AB261:AE261" si="946">AB262+AB263</f>
        <v>572</v>
      </c>
      <c r="AC261" s="727">
        <f t="shared" si="946"/>
        <v>689</v>
      </c>
      <c r="AD261" s="1063">
        <f t="shared" si="946"/>
        <v>726</v>
      </c>
      <c r="AE261" s="726">
        <f t="shared" si="946"/>
        <v>721</v>
      </c>
      <c r="AF261" s="727">
        <f t="shared" ref="AF261:AH261" si="947">AF262+AF263</f>
        <v>720</v>
      </c>
      <c r="AG261" s="727">
        <f t="shared" si="947"/>
        <v>849</v>
      </c>
      <c r="AH261" s="1238">
        <f t="shared" si="947"/>
        <v>879</v>
      </c>
      <c r="AI261" s="727">
        <f t="shared" ref="AI261" si="948">AI262+AI263</f>
        <v>840</v>
      </c>
      <c r="AJ261" s="765"/>
      <c r="AK261" s="765"/>
      <c r="AL261" s="766"/>
      <c r="AM261" s="765"/>
      <c r="AN261" s="765"/>
      <c r="AO261" s="765"/>
      <c r="AP261" s="766"/>
      <c r="AR261" s="763"/>
      <c r="AS261" s="762"/>
      <c r="AT261" s="762"/>
      <c r="AU261" s="762"/>
      <c r="AV261" s="762"/>
      <c r="AW261" s="762"/>
      <c r="AX261" s="762"/>
      <c r="AY261" s="723"/>
      <c r="AZ261" s="723"/>
      <c r="BA261" s="723"/>
      <c r="BB261" s="723"/>
      <c r="BC261" s="763"/>
      <c r="BD261" s="763"/>
      <c r="BE261" s="763"/>
      <c r="BF261" s="763"/>
      <c r="BG261" s="763"/>
      <c r="BH261" s="763"/>
    </row>
    <row r="262" spans="2:60" s="877" customFormat="1">
      <c r="B262" s="886" t="s">
        <v>462</v>
      </c>
      <c r="C262" s="764"/>
      <c r="D262" s="765"/>
      <c r="E262" s="765"/>
      <c r="F262" s="766"/>
      <c r="G262" s="764"/>
      <c r="H262" s="765"/>
      <c r="I262" s="765"/>
      <c r="J262" s="766"/>
      <c r="K262" s="764"/>
      <c r="L262" s="765"/>
      <c r="M262" s="765"/>
      <c r="N262" s="766"/>
      <c r="O262" s="726">
        <f>O261-O263</f>
        <v>297</v>
      </c>
      <c r="P262" s="727">
        <f t="shared" ref="P262:S262" si="949">P261-P263</f>
        <v>358</v>
      </c>
      <c r="Q262" s="727">
        <f t="shared" si="949"/>
        <v>388</v>
      </c>
      <c r="R262" s="728">
        <f t="shared" si="949"/>
        <v>446</v>
      </c>
      <c r="S262" s="726">
        <f t="shared" si="949"/>
        <v>392</v>
      </c>
      <c r="T262" s="765">
        <v>454</v>
      </c>
      <c r="U262" s="765">
        <v>456</v>
      </c>
      <c r="V262" s="766">
        <v>494</v>
      </c>
      <c r="W262" s="764">
        <v>462</v>
      </c>
      <c r="X262" s="765">
        <v>487</v>
      </c>
      <c r="Y262" s="765">
        <v>501</v>
      </c>
      <c r="Z262" s="766">
        <v>526</v>
      </c>
      <c r="AA262" s="764">
        <v>571</v>
      </c>
      <c r="AB262" s="765">
        <v>497</v>
      </c>
      <c r="AC262" s="765">
        <v>605</v>
      </c>
      <c r="AD262" s="1089">
        <v>617</v>
      </c>
      <c r="AE262" s="764">
        <v>632</v>
      </c>
      <c r="AF262" s="765">
        <v>614</v>
      </c>
      <c r="AG262" s="765">
        <v>680</v>
      </c>
      <c r="AH262" s="1265">
        <v>719</v>
      </c>
      <c r="AI262" s="765">
        <v>719</v>
      </c>
      <c r="AJ262" s="765"/>
      <c r="AK262" s="765"/>
      <c r="AL262" s="766"/>
      <c r="AM262" s="765"/>
      <c r="AN262" s="765"/>
      <c r="AO262" s="765"/>
      <c r="AP262" s="766"/>
      <c r="AR262" s="763"/>
      <c r="AS262" s="762"/>
      <c r="AT262" s="762"/>
      <c r="AU262" s="762"/>
      <c r="AV262" s="762"/>
      <c r="AW262" s="762"/>
      <c r="AX262" s="762"/>
      <c r="AY262" s="723"/>
      <c r="AZ262" s="723"/>
      <c r="BA262" s="723"/>
      <c r="BB262" s="723"/>
      <c r="BC262" s="763"/>
      <c r="BD262" s="763"/>
      <c r="BE262" s="763"/>
      <c r="BF262" s="763"/>
      <c r="BG262" s="763"/>
      <c r="BH262" s="763"/>
    </row>
    <row r="263" spans="2:60" s="877" customFormat="1">
      <c r="B263" s="886" t="s">
        <v>466</v>
      </c>
      <c r="C263" s="764"/>
      <c r="D263" s="765"/>
      <c r="E263" s="765"/>
      <c r="F263" s="766"/>
      <c r="G263" s="764"/>
      <c r="H263" s="765"/>
      <c r="I263" s="765"/>
      <c r="J263" s="766"/>
      <c r="K263" s="764"/>
      <c r="L263" s="765"/>
      <c r="M263" s="765"/>
      <c r="N263" s="766"/>
      <c r="O263" s="726">
        <f>O273-O265</f>
        <v>68</v>
      </c>
      <c r="P263" s="727">
        <f t="shared" ref="P263:R263" si="950">P273-P265</f>
        <v>76</v>
      </c>
      <c r="Q263" s="727">
        <f t="shared" si="950"/>
        <v>76</v>
      </c>
      <c r="R263" s="728">
        <f t="shared" si="950"/>
        <v>92</v>
      </c>
      <c r="S263" s="764">
        <v>90</v>
      </c>
      <c r="T263" s="765">
        <v>85</v>
      </c>
      <c r="U263" s="765">
        <v>74</v>
      </c>
      <c r="V263" s="766">
        <v>97</v>
      </c>
      <c r="W263" s="764">
        <v>71</v>
      </c>
      <c r="X263" s="765">
        <v>72</v>
      </c>
      <c r="Y263" s="765">
        <v>80</v>
      </c>
      <c r="Z263" s="766">
        <v>99</v>
      </c>
      <c r="AA263" s="764">
        <v>80</v>
      </c>
      <c r="AB263" s="765">
        <v>75</v>
      </c>
      <c r="AC263" s="765">
        <v>84</v>
      </c>
      <c r="AD263" s="1089">
        <v>109</v>
      </c>
      <c r="AE263" s="764">
        <v>89</v>
      </c>
      <c r="AF263" s="765">
        <v>106</v>
      </c>
      <c r="AG263" s="765">
        <v>169</v>
      </c>
      <c r="AH263" s="1265">
        <v>160</v>
      </c>
      <c r="AI263" s="765">
        <v>121</v>
      </c>
      <c r="AJ263" s="765"/>
      <c r="AK263" s="765"/>
      <c r="AL263" s="766"/>
      <c r="AM263" s="765"/>
      <c r="AN263" s="765"/>
      <c r="AO263" s="765"/>
      <c r="AP263" s="766"/>
      <c r="AR263" s="763"/>
      <c r="AS263" s="762"/>
      <c r="AT263" s="762"/>
      <c r="AU263" s="762"/>
      <c r="AV263" s="762"/>
      <c r="AW263" s="762"/>
      <c r="AX263" s="762"/>
      <c r="AY263" s="723"/>
      <c r="AZ263" s="723"/>
      <c r="BA263" s="723"/>
      <c r="BB263" s="723"/>
      <c r="BC263" s="763"/>
      <c r="BD263" s="763"/>
      <c r="BE263" s="763"/>
      <c r="BF263" s="763"/>
      <c r="BG263" s="763"/>
      <c r="BH263" s="763"/>
    </row>
    <row r="264" spans="2:60" s="877" customFormat="1" collapsed="1">
      <c r="B264" s="879" t="s">
        <v>392</v>
      </c>
      <c r="C264" s="764"/>
      <c r="D264" s="765"/>
      <c r="E264" s="765"/>
      <c r="F264" s="766"/>
      <c r="G264" s="764"/>
      <c r="H264" s="765"/>
      <c r="I264" s="765"/>
      <c r="J264" s="766"/>
      <c r="K264" s="764"/>
      <c r="L264" s="765"/>
      <c r="M264" s="765"/>
      <c r="N264" s="766"/>
      <c r="O264" s="764">
        <v>404</v>
      </c>
      <c r="P264" s="765">
        <v>292</v>
      </c>
      <c r="Q264" s="765">
        <v>353</v>
      </c>
      <c r="R264" s="766">
        <v>326</v>
      </c>
      <c r="S264" s="764">
        <v>156</v>
      </c>
      <c r="T264" s="765">
        <v>51</v>
      </c>
      <c r="U264" s="765">
        <v>1</v>
      </c>
      <c r="V264" s="766">
        <v>-6</v>
      </c>
      <c r="W264" s="883">
        <f t="shared" ref="W264:AB264" si="951">W88</f>
        <v>79.022618342149144</v>
      </c>
      <c r="X264" s="884">
        <f t="shared" si="951"/>
        <v>116.31322451825508</v>
      </c>
      <c r="Y264" s="884">
        <f t="shared" si="951"/>
        <v>59.620613214159675</v>
      </c>
      <c r="Z264" s="885">
        <f t="shared" si="951"/>
        <v>70.752080049011056</v>
      </c>
      <c r="AA264" s="883">
        <f t="shared" si="951"/>
        <v>115.28</v>
      </c>
      <c r="AB264" s="989">
        <f t="shared" si="951"/>
        <v>140.9</v>
      </c>
      <c r="AC264" s="989">
        <f t="shared" ref="AC264:AF264" si="952">AC88</f>
        <v>360</v>
      </c>
      <c r="AD264" s="1091">
        <f t="shared" si="952"/>
        <v>360</v>
      </c>
      <c r="AE264" s="883">
        <f t="shared" si="952"/>
        <v>235.28</v>
      </c>
      <c r="AF264" s="989">
        <f t="shared" si="952"/>
        <v>236.72</v>
      </c>
      <c r="AG264" s="989">
        <f t="shared" ref="AG264:AI264" si="953">AG88</f>
        <v>440</v>
      </c>
      <c r="AH264" s="1267">
        <f t="shared" si="953"/>
        <v>365</v>
      </c>
      <c r="AI264" s="989">
        <f t="shared" si="953"/>
        <v>265</v>
      </c>
      <c r="AJ264" s="765"/>
      <c r="AK264" s="765"/>
      <c r="AL264" s="766"/>
      <c r="AM264" s="765"/>
      <c r="AN264" s="765"/>
      <c r="AO264" s="765"/>
      <c r="AP264" s="766"/>
      <c r="AR264" s="763"/>
      <c r="AS264" s="762"/>
      <c r="AT264" s="762"/>
      <c r="AU264" s="762"/>
      <c r="AV264" s="762"/>
      <c r="AW264" s="762"/>
      <c r="AX264" s="762"/>
      <c r="AY264" s="723"/>
      <c r="AZ264" s="723"/>
      <c r="BA264" s="723"/>
      <c r="BB264" s="723"/>
      <c r="BC264" s="763"/>
      <c r="BD264" s="763"/>
      <c r="BE264" s="763"/>
      <c r="BF264" s="763"/>
      <c r="BG264" s="763"/>
      <c r="BH264" s="763"/>
    </row>
    <row r="265" spans="2:60" s="877" customFormat="1">
      <c r="B265" s="879" t="s">
        <v>395</v>
      </c>
      <c r="C265" s="764"/>
      <c r="D265" s="765"/>
      <c r="E265" s="765"/>
      <c r="F265" s="766"/>
      <c r="G265" s="764"/>
      <c r="H265" s="765"/>
      <c r="I265" s="765"/>
      <c r="J265" s="766"/>
      <c r="K265" s="764"/>
      <c r="L265" s="765"/>
      <c r="M265" s="765"/>
      <c r="N265" s="766"/>
      <c r="O265" s="764">
        <v>520</v>
      </c>
      <c r="P265" s="765">
        <v>534</v>
      </c>
      <c r="Q265" s="765">
        <v>545</v>
      </c>
      <c r="R265" s="766">
        <v>591</v>
      </c>
      <c r="S265" s="764">
        <v>553</v>
      </c>
      <c r="T265" s="765">
        <v>548</v>
      </c>
      <c r="U265" s="765">
        <v>558</v>
      </c>
      <c r="V265" s="766">
        <v>557</v>
      </c>
      <c r="W265" s="764">
        <v>534</v>
      </c>
      <c r="X265" s="765">
        <v>534</v>
      </c>
      <c r="Y265" s="765">
        <v>556</v>
      </c>
      <c r="Z265" s="766">
        <v>543</v>
      </c>
      <c r="AA265" s="883">
        <f t="shared" ref="AA265:AF265" si="954">AA269+AA271</f>
        <v>567</v>
      </c>
      <c r="AB265" s="989">
        <f t="shared" si="954"/>
        <v>567</v>
      </c>
      <c r="AC265" s="989">
        <f t="shared" si="954"/>
        <v>552</v>
      </c>
      <c r="AD265" s="1091">
        <f t="shared" si="954"/>
        <v>565</v>
      </c>
      <c r="AE265" s="883">
        <f t="shared" si="954"/>
        <v>534</v>
      </c>
      <c r="AF265" s="989">
        <f t="shared" si="954"/>
        <v>0</v>
      </c>
      <c r="AG265" s="989">
        <f t="shared" ref="AG265:AI265" si="955">AG269+AG271</f>
        <v>0</v>
      </c>
      <c r="AH265" s="1267">
        <f t="shared" si="955"/>
        <v>0</v>
      </c>
      <c r="AI265" s="989">
        <f t="shared" si="955"/>
        <v>0</v>
      </c>
      <c r="AJ265" s="765"/>
      <c r="AK265" s="765"/>
      <c r="AL265" s="766"/>
      <c r="AM265" s="765"/>
      <c r="AN265" s="765"/>
      <c r="AO265" s="765"/>
      <c r="AP265" s="766"/>
      <c r="AR265" s="763"/>
      <c r="AS265" s="762"/>
      <c r="AT265" s="762"/>
      <c r="AU265" s="762"/>
      <c r="AV265" s="762"/>
      <c r="AW265" s="762"/>
      <c r="AX265" s="762"/>
      <c r="AY265" s="723"/>
      <c r="AZ265" s="723"/>
      <c r="BA265" s="723"/>
      <c r="BB265" s="723"/>
      <c r="BC265" s="763"/>
      <c r="BD265" s="763"/>
      <c r="BE265" s="763"/>
      <c r="BF265" s="763"/>
      <c r="BG265" s="763"/>
      <c r="BH265" s="763"/>
    </row>
    <row r="266" spans="2:60" s="877" customFormat="1">
      <c r="B266" s="879" t="s">
        <v>394</v>
      </c>
      <c r="C266" s="764"/>
      <c r="D266" s="765"/>
      <c r="E266" s="765"/>
      <c r="F266" s="766"/>
      <c r="G266" s="764"/>
      <c r="H266" s="765"/>
      <c r="I266" s="765"/>
      <c r="J266" s="766"/>
      <c r="K266" s="764"/>
      <c r="L266" s="765"/>
      <c r="M266" s="765"/>
      <c r="N266" s="766"/>
      <c r="O266" s="764">
        <v>460</v>
      </c>
      <c r="P266" s="765">
        <v>447</v>
      </c>
      <c r="Q266" s="765">
        <v>503</v>
      </c>
      <c r="R266" s="766">
        <v>501</v>
      </c>
      <c r="S266" s="764">
        <v>545</v>
      </c>
      <c r="T266" s="765">
        <v>517</v>
      </c>
      <c r="U266" s="765">
        <v>575</v>
      </c>
      <c r="V266" s="766">
        <v>617</v>
      </c>
      <c r="W266" s="764">
        <v>615</v>
      </c>
      <c r="X266" s="765">
        <v>715</v>
      </c>
      <c r="Y266" s="765">
        <v>682</v>
      </c>
      <c r="Z266" s="766">
        <v>682</v>
      </c>
      <c r="AA266" s="883">
        <f t="shared" ref="AA266:AF266" si="956">AA268+AA270</f>
        <v>607</v>
      </c>
      <c r="AB266" s="989">
        <f t="shared" si="956"/>
        <v>594</v>
      </c>
      <c r="AC266" s="989">
        <f t="shared" si="956"/>
        <v>693</v>
      </c>
      <c r="AD266" s="1091">
        <f t="shared" si="956"/>
        <v>881</v>
      </c>
      <c r="AE266" s="883">
        <f t="shared" si="956"/>
        <v>908</v>
      </c>
      <c r="AF266" s="989">
        <f t="shared" si="956"/>
        <v>1018</v>
      </c>
      <c r="AG266" s="989">
        <f t="shared" ref="AG266:AI266" si="957">AG268+AG270</f>
        <v>1093</v>
      </c>
      <c r="AH266" s="1267">
        <f t="shared" si="957"/>
        <v>1070</v>
      </c>
      <c r="AI266" s="989">
        <f t="shared" si="957"/>
        <v>1274</v>
      </c>
      <c r="AJ266" s="765"/>
      <c r="AK266" s="765"/>
      <c r="AL266" s="766"/>
      <c r="AM266" s="765"/>
      <c r="AN266" s="765"/>
      <c r="AO266" s="765"/>
      <c r="AP266" s="766"/>
      <c r="AR266" s="763"/>
      <c r="AS266" s="762"/>
      <c r="AT266" s="762"/>
      <c r="AU266" s="762"/>
      <c r="AV266" s="762"/>
      <c r="AW266" s="762"/>
      <c r="AX266" s="762"/>
      <c r="AY266" s="723"/>
      <c r="AZ266" s="723"/>
      <c r="BA266" s="723"/>
      <c r="BB266" s="723"/>
      <c r="BC266" s="763"/>
      <c r="BD266" s="763"/>
      <c r="BE266" s="763"/>
      <c r="BF266" s="763"/>
      <c r="BG266" s="763"/>
      <c r="BH266" s="763"/>
    </row>
    <row r="267" spans="2:60">
      <c r="B267" s="879" t="s">
        <v>371</v>
      </c>
      <c r="C267" s="883">
        <f t="shared" ref="C267:Y267" si="958">C239</f>
        <v>402.29500000000002</v>
      </c>
      <c r="D267" s="884">
        <f t="shared" si="958"/>
        <v>469.30000000000007</v>
      </c>
      <c r="E267" s="884">
        <f t="shared" si="958"/>
        <v>527.45299999999997</v>
      </c>
      <c r="F267" s="885">
        <f t="shared" si="958"/>
        <v>555.37800000000004</v>
      </c>
      <c r="G267" s="883">
        <f t="shared" si="958"/>
        <v>535.81299999999999</v>
      </c>
      <c r="H267" s="884">
        <f t="shared" si="958"/>
        <v>548.38300000000004</v>
      </c>
      <c r="I267" s="884">
        <f t="shared" si="958"/>
        <v>522.47400000000005</v>
      </c>
      <c r="J267" s="885">
        <f t="shared" si="958"/>
        <v>457.80399999999997</v>
      </c>
      <c r="K267" s="883">
        <f t="shared" si="958"/>
        <v>383.75400000000002</v>
      </c>
      <c r="L267" s="884">
        <f t="shared" si="958"/>
        <v>464.83100000000002</v>
      </c>
      <c r="M267" s="884">
        <f t="shared" si="958"/>
        <v>495.01</v>
      </c>
      <c r="N267" s="885">
        <f t="shared" si="958"/>
        <v>439.43999999999994</v>
      </c>
      <c r="O267" s="883">
        <f t="shared" si="958"/>
        <v>410.50099999999992</v>
      </c>
      <c r="P267" s="884">
        <f t="shared" si="958"/>
        <v>421.7589999999999</v>
      </c>
      <c r="Q267" s="884">
        <f t="shared" si="958"/>
        <v>445.94500000000005</v>
      </c>
      <c r="R267" s="885">
        <f t="shared" si="958"/>
        <v>454.36699999999996</v>
      </c>
      <c r="S267" s="883">
        <f t="shared" si="958"/>
        <v>461.09199999999998</v>
      </c>
      <c r="T267" s="884">
        <f t="shared" si="958"/>
        <v>491.517</v>
      </c>
      <c r="U267" s="884">
        <f t="shared" si="958"/>
        <v>499.60599999999999</v>
      </c>
      <c r="V267" s="885">
        <f t="shared" si="958"/>
        <v>479.87299999999993</v>
      </c>
      <c r="W267" s="883">
        <f t="shared" si="958"/>
        <v>435.48500000000001</v>
      </c>
      <c r="X267" s="884">
        <f t="shared" si="958"/>
        <v>414.16199999999992</v>
      </c>
      <c r="Y267" s="884">
        <f t="shared" si="958"/>
        <v>399.56700000000001</v>
      </c>
      <c r="Z267" s="885">
        <f>Z239</f>
        <v>401.44959422550227</v>
      </c>
      <c r="AA267" s="764">
        <v>359</v>
      </c>
      <c r="AB267" s="990">
        <v>465</v>
      </c>
      <c r="AC267" s="990">
        <v>425</v>
      </c>
      <c r="AD267" s="1085">
        <v>420</v>
      </c>
      <c r="AE267" s="764">
        <v>425</v>
      </c>
      <c r="AF267" s="990">
        <v>440</v>
      </c>
      <c r="AG267" s="990">
        <v>469</v>
      </c>
      <c r="AH267" s="1261">
        <v>568</v>
      </c>
      <c r="AI267" s="990">
        <v>498</v>
      </c>
      <c r="AJ267" s="765"/>
      <c r="AK267" s="765"/>
      <c r="AL267" s="766"/>
      <c r="AM267" s="765"/>
      <c r="AN267" s="765"/>
      <c r="AO267" s="765"/>
      <c r="AP267" s="766"/>
    </row>
    <row r="268" spans="2:60">
      <c r="B268" s="879" t="s">
        <v>377</v>
      </c>
      <c r="C268" s="883">
        <f t="shared" ref="C268:V268" si="959">C207</f>
        <v>0</v>
      </c>
      <c r="D268" s="884">
        <f t="shared" si="959"/>
        <v>0</v>
      </c>
      <c r="E268" s="884">
        <f t="shared" si="959"/>
        <v>0</v>
      </c>
      <c r="F268" s="885">
        <f t="shared" si="959"/>
        <v>0</v>
      </c>
      <c r="G268" s="883">
        <f t="shared" si="959"/>
        <v>363</v>
      </c>
      <c r="H268" s="884">
        <f t="shared" si="959"/>
        <v>365</v>
      </c>
      <c r="I268" s="884">
        <f t="shared" si="959"/>
        <v>385</v>
      </c>
      <c r="J268" s="885">
        <f t="shared" si="959"/>
        <v>436</v>
      </c>
      <c r="K268" s="883">
        <f t="shared" si="959"/>
        <v>348</v>
      </c>
      <c r="L268" s="884">
        <f t="shared" si="959"/>
        <v>311</v>
      </c>
      <c r="M268" s="884">
        <f t="shared" si="959"/>
        <v>397</v>
      </c>
      <c r="N268" s="885">
        <f t="shared" si="959"/>
        <v>479</v>
      </c>
      <c r="O268" s="883">
        <f t="shared" si="959"/>
        <v>455</v>
      </c>
      <c r="P268" s="884">
        <f t="shared" si="959"/>
        <v>442</v>
      </c>
      <c r="Q268" s="884">
        <f t="shared" si="959"/>
        <v>498</v>
      </c>
      <c r="R268" s="885">
        <f t="shared" si="959"/>
        <v>496</v>
      </c>
      <c r="S268" s="883">
        <f t="shared" si="959"/>
        <v>515</v>
      </c>
      <c r="T268" s="884">
        <f t="shared" si="959"/>
        <v>490</v>
      </c>
      <c r="U268" s="884">
        <f t="shared" si="959"/>
        <v>550</v>
      </c>
      <c r="V268" s="885">
        <f t="shared" si="959"/>
        <v>591</v>
      </c>
      <c r="W268" s="764">
        <v>592</v>
      </c>
      <c r="X268" s="765">
        <v>696</v>
      </c>
      <c r="Y268" s="765">
        <v>655</v>
      </c>
      <c r="Z268" s="766">
        <v>654</v>
      </c>
      <c r="AA268" s="764">
        <v>557</v>
      </c>
      <c r="AB268" s="990">
        <v>554</v>
      </c>
      <c r="AC268" s="990">
        <v>649</v>
      </c>
      <c r="AD268" s="1085">
        <v>816</v>
      </c>
      <c r="AE268" s="764">
        <v>866</v>
      </c>
      <c r="AF268" s="990">
        <v>874</v>
      </c>
      <c r="AG268" s="990">
        <v>891</v>
      </c>
      <c r="AH268" s="1261">
        <v>889</v>
      </c>
      <c r="AI268" s="990">
        <v>1040</v>
      </c>
      <c r="AJ268" s="765"/>
      <c r="AK268" s="765"/>
      <c r="AL268" s="766"/>
      <c r="AM268" s="765"/>
      <c r="AN268" s="765"/>
      <c r="AO268" s="765"/>
      <c r="AP268" s="766"/>
    </row>
    <row r="269" spans="2:60">
      <c r="B269" s="879" t="s">
        <v>383</v>
      </c>
      <c r="C269" s="883">
        <v>0</v>
      </c>
      <c r="D269" s="884">
        <v>0</v>
      </c>
      <c r="E269" s="884">
        <v>0</v>
      </c>
      <c r="F269" s="885">
        <v>0</v>
      </c>
      <c r="G269" s="883">
        <f t="shared" ref="G269:V269" si="960">G189</f>
        <v>170</v>
      </c>
      <c r="H269" s="884">
        <f t="shared" si="960"/>
        <v>441</v>
      </c>
      <c r="I269" s="884">
        <f t="shared" si="960"/>
        <v>471</v>
      </c>
      <c r="J269" s="885">
        <f t="shared" si="960"/>
        <v>508</v>
      </c>
      <c r="K269" s="883">
        <f t="shared" si="960"/>
        <v>491</v>
      </c>
      <c r="L269" s="884">
        <f t="shared" si="960"/>
        <v>506</v>
      </c>
      <c r="M269" s="884">
        <f t="shared" si="960"/>
        <v>508</v>
      </c>
      <c r="N269" s="885">
        <f t="shared" si="960"/>
        <v>556</v>
      </c>
      <c r="O269" s="883">
        <f t="shared" si="960"/>
        <v>470</v>
      </c>
      <c r="P269" s="884">
        <f t="shared" si="960"/>
        <v>484</v>
      </c>
      <c r="Q269" s="884">
        <f t="shared" si="960"/>
        <v>495</v>
      </c>
      <c r="R269" s="885">
        <f t="shared" si="960"/>
        <v>541</v>
      </c>
      <c r="S269" s="883">
        <f t="shared" si="960"/>
        <v>500</v>
      </c>
      <c r="T269" s="884">
        <f t="shared" si="960"/>
        <v>500</v>
      </c>
      <c r="U269" s="884">
        <f t="shared" si="960"/>
        <v>500</v>
      </c>
      <c r="V269" s="885">
        <f t="shared" si="960"/>
        <v>510</v>
      </c>
      <c r="W269" s="764">
        <v>479</v>
      </c>
      <c r="X269" s="765">
        <v>488</v>
      </c>
      <c r="Y269" s="765">
        <v>506</v>
      </c>
      <c r="Z269" s="766">
        <v>512</v>
      </c>
      <c r="AA269" s="764">
        <v>537</v>
      </c>
      <c r="AB269" s="990">
        <v>537</v>
      </c>
      <c r="AC269" s="990">
        <v>537</v>
      </c>
      <c r="AD269" s="1085">
        <v>550</v>
      </c>
      <c r="AE269" s="764">
        <v>534</v>
      </c>
      <c r="AF269" s="990">
        <v>0</v>
      </c>
      <c r="AG269" s="990">
        <v>0</v>
      </c>
      <c r="AH269" s="1261">
        <v>0</v>
      </c>
      <c r="AI269" s="990">
        <v>0</v>
      </c>
      <c r="AJ269" s="765"/>
      <c r="AK269" s="765"/>
      <c r="AL269" s="766"/>
      <c r="AM269" s="765"/>
      <c r="AN269" s="765"/>
      <c r="AO269" s="765"/>
      <c r="AP269" s="766"/>
    </row>
    <row r="270" spans="2:60">
      <c r="B270" s="879" t="s">
        <v>467</v>
      </c>
      <c r="C270" s="883">
        <f t="shared" ref="C270:R270" si="961">C215+C162</f>
        <v>0</v>
      </c>
      <c r="D270" s="884">
        <f t="shared" si="961"/>
        <v>0</v>
      </c>
      <c r="E270" s="884">
        <f t="shared" si="961"/>
        <v>0</v>
      </c>
      <c r="F270" s="885">
        <f t="shared" si="961"/>
        <v>0</v>
      </c>
      <c r="G270" s="883">
        <f t="shared" si="961"/>
        <v>281.94563927216126</v>
      </c>
      <c r="H270" s="884">
        <f t="shared" si="961"/>
        <v>273.34955778339139</v>
      </c>
      <c r="I270" s="884">
        <f t="shared" si="961"/>
        <v>221.67490726245603</v>
      </c>
      <c r="J270" s="885">
        <f t="shared" si="961"/>
        <v>130.29582489531651</v>
      </c>
      <c r="K270" s="883">
        <f t="shared" si="961"/>
        <v>176.8129550570888</v>
      </c>
      <c r="L270" s="884">
        <f t="shared" si="961"/>
        <v>171.55252214434543</v>
      </c>
      <c r="M270" s="884">
        <f t="shared" si="961"/>
        <v>124.3547689142799</v>
      </c>
      <c r="N270" s="885">
        <f t="shared" si="961"/>
        <v>89.967195912236008</v>
      </c>
      <c r="O270" s="883">
        <f t="shared" si="961"/>
        <v>76.339727773284594</v>
      </c>
      <c r="P270" s="884">
        <f t="shared" si="961"/>
        <v>65.278749138126116</v>
      </c>
      <c r="Q270" s="884">
        <f t="shared" si="961"/>
        <v>52.947978084890202</v>
      </c>
      <c r="R270" s="885">
        <f t="shared" si="961"/>
        <v>35.065530203230395</v>
      </c>
      <c r="S270" s="883">
        <f>S215+S213</f>
        <v>30</v>
      </c>
      <c r="T270" s="884">
        <f>T215+T213</f>
        <v>27</v>
      </c>
      <c r="U270" s="884">
        <f>U215+U213</f>
        <v>25</v>
      </c>
      <c r="V270" s="885">
        <f>V215+V213</f>
        <v>26</v>
      </c>
      <c r="W270" s="764">
        <v>76</v>
      </c>
      <c r="X270" s="765">
        <v>63</v>
      </c>
      <c r="Y270" s="765">
        <v>77</v>
      </c>
      <c r="Z270" s="766">
        <v>59</v>
      </c>
      <c r="AA270" s="764">
        <v>50</v>
      </c>
      <c r="AB270" s="990">
        <v>40</v>
      </c>
      <c r="AC270" s="990">
        <v>44</v>
      </c>
      <c r="AD270" s="1085">
        <v>65</v>
      </c>
      <c r="AE270" s="764">
        <v>42</v>
      </c>
      <c r="AF270" s="990">
        <v>144</v>
      </c>
      <c r="AG270" s="990">
        <v>202</v>
      </c>
      <c r="AH270" s="1261">
        <v>181</v>
      </c>
      <c r="AI270" s="990">
        <v>234</v>
      </c>
      <c r="AJ270" s="765"/>
      <c r="AK270" s="765"/>
      <c r="AL270" s="766"/>
      <c r="AM270" s="765"/>
      <c r="AN270" s="765"/>
      <c r="AO270" s="765"/>
      <c r="AP270" s="766"/>
    </row>
    <row r="271" spans="2:60">
      <c r="B271" s="879" t="s">
        <v>468</v>
      </c>
      <c r="C271" s="806"/>
      <c r="D271" s="807"/>
      <c r="E271" s="807"/>
      <c r="F271" s="808"/>
      <c r="G271" s="883">
        <f t="shared" ref="G271:V271" si="962">G198</f>
        <v>20</v>
      </c>
      <c r="H271" s="884">
        <f t="shared" si="962"/>
        <v>20</v>
      </c>
      <c r="I271" s="884">
        <f t="shared" si="962"/>
        <v>20</v>
      </c>
      <c r="J271" s="885">
        <f t="shared" si="962"/>
        <v>20</v>
      </c>
      <c r="K271" s="883">
        <f t="shared" si="962"/>
        <v>30</v>
      </c>
      <c r="L271" s="884">
        <f t="shared" si="962"/>
        <v>30</v>
      </c>
      <c r="M271" s="884">
        <f t="shared" si="962"/>
        <v>30</v>
      </c>
      <c r="N271" s="885">
        <f t="shared" si="962"/>
        <v>30</v>
      </c>
      <c r="O271" s="883">
        <f t="shared" si="962"/>
        <v>50</v>
      </c>
      <c r="P271" s="884">
        <f t="shared" si="962"/>
        <v>50</v>
      </c>
      <c r="Q271" s="884">
        <f t="shared" si="962"/>
        <v>50</v>
      </c>
      <c r="R271" s="885">
        <f t="shared" si="962"/>
        <v>50</v>
      </c>
      <c r="S271" s="888">
        <f t="shared" si="962"/>
        <v>53</v>
      </c>
      <c r="T271" s="888">
        <f t="shared" si="962"/>
        <v>48</v>
      </c>
      <c r="U271" s="888">
        <f t="shared" si="962"/>
        <v>58</v>
      </c>
      <c r="V271" s="889">
        <f t="shared" si="962"/>
        <v>47</v>
      </c>
      <c r="W271" s="726">
        <f>W265-W269</f>
        <v>55</v>
      </c>
      <c r="X271" s="727">
        <f t="shared" ref="X271:Y271" si="963">X265-X269</f>
        <v>46</v>
      </c>
      <c r="Y271" s="727">
        <f t="shared" si="963"/>
        <v>50</v>
      </c>
      <c r="Z271" s="728">
        <f>Z265-Z269</f>
        <v>31</v>
      </c>
      <c r="AA271" s="883">
        <f t="shared" ref="AA271:AF271" si="964">AA198</f>
        <v>30</v>
      </c>
      <c r="AB271" s="989">
        <f t="shared" si="964"/>
        <v>30</v>
      </c>
      <c r="AC271" s="989">
        <f t="shared" si="964"/>
        <v>15</v>
      </c>
      <c r="AD271" s="1091">
        <f t="shared" si="964"/>
        <v>15</v>
      </c>
      <c r="AE271" s="883">
        <f t="shared" si="964"/>
        <v>0</v>
      </c>
      <c r="AF271" s="989">
        <f t="shared" si="964"/>
        <v>0</v>
      </c>
      <c r="AG271" s="989">
        <f t="shared" ref="AG271:AI271" si="965">AG198</f>
        <v>0</v>
      </c>
      <c r="AH271" s="1267">
        <f t="shared" si="965"/>
        <v>0</v>
      </c>
      <c r="AI271" s="989">
        <f t="shared" si="965"/>
        <v>0</v>
      </c>
      <c r="AJ271" s="765"/>
      <c r="AK271" s="765"/>
      <c r="AL271" s="766"/>
      <c r="AM271" s="765"/>
      <c r="AN271" s="765"/>
      <c r="AO271" s="765"/>
      <c r="AP271" s="766"/>
    </row>
    <row r="272" spans="2:60" outlineLevel="1" collapsed="1">
      <c r="B272" s="879" t="s">
        <v>435</v>
      </c>
      <c r="C272" s="764">
        <v>375</v>
      </c>
      <c r="D272" s="765">
        <v>417</v>
      </c>
      <c r="E272" s="765">
        <v>495</v>
      </c>
      <c r="F272" s="766">
        <v>497</v>
      </c>
      <c r="G272" s="764">
        <v>1149</v>
      </c>
      <c r="H272" s="765">
        <v>1389</v>
      </c>
      <c r="I272" s="765">
        <v>1368</v>
      </c>
      <c r="J272" s="766">
        <v>1099</v>
      </c>
      <c r="K272" s="764">
        <v>1075</v>
      </c>
      <c r="L272" s="765">
        <v>1108</v>
      </c>
      <c r="M272" s="765">
        <v>1177</v>
      </c>
      <c r="N272" s="766">
        <v>1018</v>
      </c>
      <c r="O272" s="764">
        <v>978</v>
      </c>
      <c r="P272" s="765">
        <v>942</v>
      </c>
      <c r="Q272" s="765">
        <v>1067</v>
      </c>
      <c r="R272" s="766">
        <v>1105</v>
      </c>
      <c r="S272" s="883">
        <f t="shared" ref="S272:AA272" si="966">S88+S162+S173+S176</f>
        <v>572.27791563910853</v>
      </c>
      <c r="T272" s="884">
        <f t="shared" si="966"/>
        <v>524.6044168785802</v>
      </c>
      <c r="U272" s="884">
        <f t="shared" si="966"/>
        <v>472.83056662945347</v>
      </c>
      <c r="V272" s="885">
        <f t="shared" si="966"/>
        <v>500.78318255328367</v>
      </c>
      <c r="W272" s="883">
        <f t="shared" si="966"/>
        <v>551.34503825392574</v>
      </c>
      <c r="X272" s="884">
        <f t="shared" si="966"/>
        <v>611.64857859701465</v>
      </c>
      <c r="Y272" s="884">
        <f t="shared" si="966"/>
        <v>567.35141163275807</v>
      </c>
      <c r="Z272" s="885">
        <f t="shared" si="966"/>
        <v>602.1871997720292</v>
      </c>
      <c r="AA272" s="883">
        <f t="shared" si="966"/>
        <v>690.66885917633715</v>
      </c>
      <c r="AB272" s="989">
        <f t="shared" ref="AB272:AE272" si="967">AB88+AB162+AB173+AB176</f>
        <v>641.44400378489229</v>
      </c>
      <c r="AC272" s="989">
        <f t="shared" si="967"/>
        <v>967.86178305630051</v>
      </c>
      <c r="AD272" s="1091">
        <f t="shared" si="967"/>
        <v>979.94248533848815</v>
      </c>
      <c r="AE272" s="883">
        <f t="shared" si="967"/>
        <v>869.65605691082919</v>
      </c>
      <c r="AF272" s="989">
        <f t="shared" ref="AF272:AH272" si="968">AF88+AF162+AF173+AF176</f>
        <v>852.63866595549462</v>
      </c>
      <c r="AG272" s="989">
        <f t="shared" si="968"/>
        <v>1121.5493227590619</v>
      </c>
      <c r="AH272" s="1267">
        <f t="shared" si="968"/>
        <v>1085.2510781279425</v>
      </c>
      <c r="AI272" s="989">
        <f t="shared" ref="AI272" si="969">AI88+AI162+AI173+AI176</f>
        <v>985</v>
      </c>
      <c r="AJ272" s="765"/>
      <c r="AK272" s="765"/>
      <c r="AL272" s="766"/>
      <c r="AM272" s="765"/>
      <c r="AN272" s="765"/>
      <c r="AO272" s="765"/>
      <c r="AP272" s="766"/>
    </row>
    <row r="273" spans="2:54" outlineLevel="1">
      <c r="B273" s="879" t="s">
        <v>395</v>
      </c>
      <c r="C273" s="883">
        <f>C189+C195+C198</f>
        <v>50</v>
      </c>
      <c r="D273" s="884">
        <f>D189+D195+D198</f>
        <v>50</v>
      </c>
      <c r="E273" s="884">
        <f>E189+E195+E198</f>
        <v>50</v>
      </c>
      <c r="F273" s="885">
        <f>F189+F195+F198</f>
        <v>50</v>
      </c>
      <c r="G273" s="764">
        <v>240</v>
      </c>
      <c r="H273" s="765">
        <v>511</v>
      </c>
      <c r="I273" s="765">
        <v>541</v>
      </c>
      <c r="J273" s="766">
        <v>578</v>
      </c>
      <c r="K273" s="764">
        <v>571</v>
      </c>
      <c r="L273" s="765">
        <v>586</v>
      </c>
      <c r="M273" s="765">
        <v>588</v>
      </c>
      <c r="N273" s="766">
        <v>636</v>
      </c>
      <c r="O273" s="764">
        <v>588</v>
      </c>
      <c r="P273" s="765">
        <v>610</v>
      </c>
      <c r="Q273" s="765">
        <v>621</v>
      </c>
      <c r="R273" s="766">
        <v>683</v>
      </c>
      <c r="S273" s="883">
        <f t="shared" ref="S273:AA273" si="970">S189+S195+S198</f>
        <v>643</v>
      </c>
      <c r="T273" s="884">
        <f t="shared" si="970"/>
        <v>633</v>
      </c>
      <c r="U273" s="884">
        <f t="shared" si="970"/>
        <v>632</v>
      </c>
      <c r="V273" s="885">
        <f t="shared" si="970"/>
        <v>654</v>
      </c>
      <c r="W273" s="883">
        <f t="shared" si="970"/>
        <v>605</v>
      </c>
      <c r="X273" s="884">
        <f t="shared" si="970"/>
        <v>606</v>
      </c>
      <c r="Y273" s="884">
        <f t="shared" si="970"/>
        <v>636</v>
      </c>
      <c r="Z273" s="885">
        <f t="shared" si="970"/>
        <v>642</v>
      </c>
      <c r="AA273" s="883">
        <f t="shared" si="970"/>
        <v>647</v>
      </c>
      <c r="AB273" s="989">
        <f t="shared" ref="AB273:AE273" si="971">AB189+AB195+AB198</f>
        <v>642</v>
      </c>
      <c r="AC273" s="989">
        <f t="shared" si="971"/>
        <v>636</v>
      </c>
      <c r="AD273" s="1091">
        <f t="shared" si="971"/>
        <v>674</v>
      </c>
      <c r="AE273" s="883">
        <f t="shared" si="971"/>
        <v>623</v>
      </c>
      <c r="AF273" s="989">
        <f t="shared" ref="AF273:AH273" si="972">AF189+AF195+AF198</f>
        <v>0</v>
      </c>
      <c r="AG273" s="989">
        <f t="shared" si="972"/>
        <v>0</v>
      </c>
      <c r="AH273" s="1267">
        <f t="shared" si="972"/>
        <v>0</v>
      </c>
      <c r="AI273" s="989">
        <f t="shared" ref="AI273" si="973">AI189+AI195+AI198</f>
        <v>0</v>
      </c>
      <c r="AJ273" s="765"/>
      <c r="AK273" s="765"/>
      <c r="AL273" s="766"/>
      <c r="AM273" s="765"/>
      <c r="AN273" s="765"/>
      <c r="AO273" s="765"/>
      <c r="AP273" s="766"/>
    </row>
    <row r="274" spans="2:54" outlineLevel="1" collapsed="1">
      <c r="B274" s="879" t="s">
        <v>394</v>
      </c>
      <c r="C274" s="764"/>
      <c r="D274" s="765"/>
      <c r="E274" s="765"/>
      <c r="F274" s="766"/>
      <c r="G274" s="764">
        <v>373</v>
      </c>
      <c r="H274" s="765">
        <v>375</v>
      </c>
      <c r="I274" s="765">
        <v>395</v>
      </c>
      <c r="J274" s="766">
        <v>446</v>
      </c>
      <c r="K274" s="764">
        <v>356</v>
      </c>
      <c r="L274" s="765">
        <v>319</v>
      </c>
      <c r="M274" s="765">
        <v>405</v>
      </c>
      <c r="N274" s="766">
        <v>487</v>
      </c>
      <c r="O274" s="764">
        <v>437</v>
      </c>
      <c r="P274" s="765">
        <v>416</v>
      </c>
      <c r="Q274" s="765">
        <v>496</v>
      </c>
      <c r="R274" s="766">
        <v>488</v>
      </c>
      <c r="S274" s="883">
        <f>S268+S270</f>
        <v>545</v>
      </c>
      <c r="T274" s="884">
        <f t="shared" ref="T274:AA274" si="974">T268+T270</f>
        <v>517</v>
      </c>
      <c r="U274" s="884">
        <f t="shared" si="974"/>
        <v>575</v>
      </c>
      <c r="V274" s="885">
        <f t="shared" si="974"/>
        <v>617</v>
      </c>
      <c r="W274" s="883">
        <f t="shared" si="974"/>
        <v>668</v>
      </c>
      <c r="X274" s="884">
        <f t="shared" si="974"/>
        <v>759</v>
      </c>
      <c r="Y274" s="884">
        <f t="shared" si="974"/>
        <v>732</v>
      </c>
      <c r="Z274" s="885">
        <f t="shared" si="974"/>
        <v>713</v>
      </c>
      <c r="AA274" s="883">
        <f t="shared" si="974"/>
        <v>607</v>
      </c>
      <c r="AB274" s="989">
        <f t="shared" ref="AB274:AE274" si="975">AB268+AB270</f>
        <v>594</v>
      </c>
      <c r="AC274" s="989">
        <f t="shared" si="975"/>
        <v>693</v>
      </c>
      <c r="AD274" s="1091">
        <f t="shared" si="975"/>
        <v>881</v>
      </c>
      <c r="AE274" s="883">
        <f t="shared" si="975"/>
        <v>908</v>
      </c>
      <c r="AF274" s="989">
        <f t="shared" ref="AF274:AH274" si="976">AF268+AF270</f>
        <v>1018</v>
      </c>
      <c r="AG274" s="989">
        <f t="shared" si="976"/>
        <v>1093</v>
      </c>
      <c r="AH274" s="1267">
        <f t="shared" si="976"/>
        <v>1070</v>
      </c>
      <c r="AI274" s="989">
        <f t="shared" ref="AI274" si="977">AI268+AI270</f>
        <v>1274</v>
      </c>
      <c r="AJ274" s="765"/>
      <c r="AK274" s="765"/>
      <c r="AL274" s="766"/>
      <c r="AM274" s="765"/>
      <c r="AN274" s="765"/>
      <c r="AO274" s="765"/>
      <c r="AP274" s="766"/>
    </row>
    <row r="275" spans="2:54" outlineLevel="1">
      <c r="B275" s="879" t="s">
        <v>469</v>
      </c>
      <c r="C275" s="764">
        <v>369</v>
      </c>
      <c r="D275" s="765">
        <v>386</v>
      </c>
      <c r="E275" s="765">
        <v>354</v>
      </c>
      <c r="F275" s="766">
        <v>392</v>
      </c>
      <c r="G275" s="883">
        <f t="shared" ref="G275:AA275" si="978">G195+G207</f>
        <v>413</v>
      </c>
      <c r="H275" s="884">
        <f t="shared" si="978"/>
        <v>415</v>
      </c>
      <c r="I275" s="884">
        <f t="shared" si="978"/>
        <v>435</v>
      </c>
      <c r="J275" s="885">
        <f t="shared" si="978"/>
        <v>486</v>
      </c>
      <c r="K275" s="883">
        <f t="shared" si="978"/>
        <v>398</v>
      </c>
      <c r="L275" s="884">
        <f t="shared" si="978"/>
        <v>361</v>
      </c>
      <c r="M275" s="884">
        <f t="shared" si="978"/>
        <v>447</v>
      </c>
      <c r="N275" s="885">
        <f t="shared" si="978"/>
        <v>529</v>
      </c>
      <c r="O275" s="883">
        <f t="shared" si="978"/>
        <v>523</v>
      </c>
      <c r="P275" s="884">
        <f t="shared" si="978"/>
        <v>518</v>
      </c>
      <c r="Q275" s="884">
        <f t="shared" si="978"/>
        <v>574</v>
      </c>
      <c r="R275" s="885">
        <f t="shared" si="978"/>
        <v>588</v>
      </c>
      <c r="S275" s="883">
        <f t="shared" si="978"/>
        <v>605</v>
      </c>
      <c r="T275" s="884">
        <f t="shared" si="978"/>
        <v>575</v>
      </c>
      <c r="U275" s="884">
        <f t="shared" si="978"/>
        <v>624</v>
      </c>
      <c r="V275" s="885">
        <f t="shared" si="978"/>
        <v>688</v>
      </c>
      <c r="W275" s="883">
        <f t="shared" si="978"/>
        <v>663</v>
      </c>
      <c r="X275" s="884">
        <f t="shared" si="978"/>
        <v>768</v>
      </c>
      <c r="Y275" s="884">
        <f t="shared" si="978"/>
        <v>735</v>
      </c>
      <c r="Z275" s="885">
        <f t="shared" si="978"/>
        <v>753</v>
      </c>
      <c r="AA275" s="883">
        <f t="shared" si="978"/>
        <v>637</v>
      </c>
      <c r="AB275" s="989">
        <f t="shared" ref="AB275:AE275" si="979">AB195+AB207</f>
        <v>629</v>
      </c>
      <c r="AC275" s="989">
        <f t="shared" si="979"/>
        <v>733</v>
      </c>
      <c r="AD275" s="1091">
        <f t="shared" si="979"/>
        <v>925</v>
      </c>
      <c r="AE275" s="883">
        <f t="shared" si="979"/>
        <v>955</v>
      </c>
      <c r="AF275" s="989">
        <f t="shared" ref="AF275:AH275" si="980">AF195+AF207</f>
        <v>874</v>
      </c>
      <c r="AG275" s="989">
        <f t="shared" si="980"/>
        <v>891</v>
      </c>
      <c r="AH275" s="1267">
        <f t="shared" si="980"/>
        <v>889</v>
      </c>
      <c r="AI275" s="989">
        <f t="shared" ref="AI275" si="981">AI195+AI207</f>
        <v>1040</v>
      </c>
      <c r="AJ275" s="765"/>
      <c r="AK275" s="765"/>
      <c r="AL275" s="766"/>
      <c r="AM275" s="765"/>
      <c r="AN275" s="765"/>
      <c r="AO275" s="765"/>
      <c r="AP275" s="766"/>
    </row>
    <row r="276" spans="2:54" outlineLevel="1">
      <c r="B276" s="879" t="s">
        <v>470</v>
      </c>
      <c r="C276" s="764">
        <v>10</v>
      </c>
      <c r="D276" s="765">
        <v>9</v>
      </c>
      <c r="E276" s="765">
        <v>12</v>
      </c>
      <c r="F276" s="766">
        <v>16</v>
      </c>
      <c r="G276" s="883">
        <f t="shared" ref="G276:AA276" si="982">G215</f>
        <v>10</v>
      </c>
      <c r="H276" s="884">
        <f t="shared" si="982"/>
        <v>10</v>
      </c>
      <c r="I276" s="884">
        <f t="shared" si="982"/>
        <v>10</v>
      </c>
      <c r="J276" s="885">
        <f t="shared" si="982"/>
        <v>10</v>
      </c>
      <c r="K276" s="883">
        <f t="shared" si="982"/>
        <v>8</v>
      </c>
      <c r="L276" s="884">
        <f t="shared" si="982"/>
        <v>8</v>
      </c>
      <c r="M276" s="884">
        <f t="shared" si="982"/>
        <v>8</v>
      </c>
      <c r="N276" s="885">
        <f t="shared" si="982"/>
        <v>8</v>
      </c>
      <c r="O276" s="883">
        <f t="shared" si="982"/>
        <v>5</v>
      </c>
      <c r="P276" s="884">
        <f t="shared" si="982"/>
        <v>5</v>
      </c>
      <c r="Q276" s="884">
        <f t="shared" si="982"/>
        <v>5</v>
      </c>
      <c r="R276" s="885">
        <f t="shared" si="982"/>
        <v>5</v>
      </c>
      <c r="S276" s="883">
        <f t="shared" si="982"/>
        <v>5.7220843608914578</v>
      </c>
      <c r="T276" s="884">
        <f t="shared" si="982"/>
        <v>7.395583121419854</v>
      </c>
      <c r="U276" s="884">
        <f t="shared" si="982"/>
        <v>9.1694333705465354</v>
      </c>
      <c r="V276" s="885">
        <f t="shared" si="982"/>
        <v>13.216817446716329</v>
      </c>
      <c r="W276" s="883">
        <f t="shared" si="982"/>
        <v>10.677580088223436</v>
      </c>
      <c r="X276" s="884">
        <f t="shared" si="982"/>
        <v>8.664645921240421</v>
      </c>
      <c r="Y276" s="884">
        <f t="shared" si="982"/>
        <v>20.269201581401646</v>
      </c>
      <c r="Z276" s="885">
        <f t="shared" si="982"/>
        <v>22.564880276981825</v>
      </c>
      <c r="AA276" s="883">
        <f t="shared" si="982"/>
        <v>15.611140823662829</v>
      </c>
      <c r="AB276" s="989">
        <f t="shared" ref="AB276:AE276" si="983">AB215</f>
        <v>6.4559962151077315</v>
      </c>
      <c r="AC276" s="989">
        <f t="shared" si="983"/>
        <v>25.635961660682401</v>
      </c>
      <c r="AD276" s="1091">
        <f t="shared" si="983"/>
        <v>46.680845229666403</v>
      </c>
      <c r="AE276" s="883">
        <f t="shared" si="983"/>
        <v>39.623943089170794</v>
      </c>
      <c r="AF276" s="989">
        <f t="shared" ref="AF276:AH276" si="984">AF215</f>
        <v>142.08133404450541</v>
      </c>
      <c r="AG276" s="989">
        <f t="shared" si="984"/>
        <v>200.45067724093815</v>
      </c>
      <c r="AH276" s="1268">
        <f t="shared" si="984"/>
        <v>179.74892187205754</v>
      </c>
      <c r="AI276" s="989">
        <f t="shared" ref="AI276" si="985">AI215</f>
        <v>233</v>
      </c>
      <c r="AJ276" s="765"/>
      <c r="AK276" s="765"/>
      <c r="AL276" s="766"/>
      <c r="AM276" s="765"/>
      <c r="AN276" s="765"/>
      <c r="AO276" s="765"/>
      <c r="AP276" s="766"/>
    </row>
    <row r="277" spans="2:54" s="892" customFormat="1">
      <c r="B277" s="890" t="s">
        <v>312</v>
      </c>
      <c r="C277" s="742">
        <f t="shared" ref="C277:N277" si="986">SUM(C244,C247,C254,C259:C276)</f>
        <v>10751.295</v>
      </c>
      <c r="D277" s="743">
        <f t="shared" si="986"/>
        <v>11284.3</v>
      </c>
      <c r="E277" s="743">
        <f t="shared" si="986"/>
        <v>11679.453</v>
      </c>
      <c r="F277" s="744">
        <f t="shared" si="986"/>
        <v>12062.378000000001</v>
      </c>
      <c r="G277" s="742">
        <f t="shared" si="986"/>
        <v>14640.758639272161</v>
      </c>
      <c r="H277" s="743">
        <f t="shared" si="986"/>
        <v>15104.732557783391</v>
      </c>
      <c r="I277" s="743">
        <f t="shared" si="986"/>
        <v>16298.148907262455</v>
      </c>
      <c r="J277" s="744">
        <f t="shared" si="986"/>
        <v>15935.099824895316</v>
      </c>
      <c r="K277" s="742">
        <f t="shared" si="986"/>
        <v>14741.566955057089</v>
      </c>
      <c r="L277" s="743">
        <f t="shared" si="986"/>
        <v>15353.383522144346</v>
      </c>
      <c r="M277" s="743">
        <f t="shared" si="986"/>
        <v>15466.36476891428</v>
      </c>
      <c r="N277" s="744">
        <f t="shared" si="986"/>
        <v>15608.407195912236</v>
      </c>
      <c r="O277" s="742">
        <f>SUM(O259:O266)</f>
        <v>12945</v>
      </c>
      <c r="P277" s="743">
        <f t="shared" ref="P277:V277" si="987">SUM(P259:P266)</f>
        <v>13245</v>
      </c>
      <c r="Q277" s="743">
        <f t="shared" si="987"/>
        <v>13947</v>
      </c>
      <c r="R277" s="744">
        <f t="shared" si="987"/>
        <v>14372</v>
      </c>
      <c r="S277" s="742">
        <f t="shared" si="987"/>
        <v>13246</v>
      </c>
      <c r="T277" s="743">
        <f t="shared" si="987"/>
        <v>14370</v>
      </c>
      <c r="U277" s="743">
        <f t="shared" si="987"/>
        <v>15084</v>
      </c>
      <c r="V277" s="744">
        <f t="shared" si="987"/>
        <v>15312</v>
      </c>
      <c r="W277" s="742">
        <f>W244+W254+W261+W265+W266</f>
        <v>12783</v>
      </c>
      <c r="X277" s="743">
        <f>X244+X254+X261+X265+X266</f>
        <v>13197</v>
      </c>
      <c r="Y277" s="743">
        <f>Y244+Y254+Y261+Y265+Y266</f>
        <v>14465</v>
      </c>
      <c r="Z277" s="744">
        <f>Z244+Z254+Z261+Z265+Z266</f>
        <v>14914</v>
      </c>
      <c r="AA277" s="742">
        <f t="shared" ref="AA277:AF277" si="988">AA244+AA254+AA261+AA265+AA266+AA267-AA271</f>
        <v>13702</v>
      </c>
      <c r="AB277" s="743">
        <f t="shared" si="988"/>
        <v>13533</v>
      </c>
      <c r="AC277" s="743">
        <f t="shared" si="988"/>
        <v>15778</v>
      </c>
      <c r="AD277" s="744">
        <f t="shared" si="988"/>
        <v>16374</v>
      </c>
      <c r="AE277" s="742">
        <f t="shared" si="988"/>
        <v>14796</v>
      </c>
      <c r="AF277" s="743">
        <f t="shared" si="988"/>
        <v>14763</v>
      </c>
      <c r="AG277" s="743">
        <f t="shared" ref="AG277:AI277" si="989">AG244+AG254+AG261+AG265+AG266+AG267-AG271</f>
        <v>16149</v>
      </c>
      <c r="AH277" s="744">
        <f t="shared" si="989"/>
        <v>17053</v>
      </c>
      <c r="AI277" s="743">
        <f t="shared" si="989"/>
        <v>16066</v>
      </c>
      <c r="AJ277" s="743"/>
      <c r="AK277" s="743"/>
      <c r="AL277" s="744"/>
      <c r="AM277" s="743"/>
      <c r="AN277" s="743"/>
      <c r="AO277" s="743"/>
      <c r="AP277" s="744"/>
      <c r="AQ277" s="891"/>
      <c r="AS277" s="893"/>
      <c r="AT277" s="893"/>
      <c r="AU277" s="893"/>
      <c r="AV277" s="893"/>
      <c r="AW277" s="893"/>
      <c r="AX277" s="893"/>
      <c r="AY277" s="748"/>
      <c r="AZ277" s="748"/>
      <c r="BA277" s="748"/>
      <c r="BB277" s="748"/>
    </row>
    <row r="278" spans="2:54" s="875" customFormat="1">
      <c r="B278" s="879"/>
      <c r="C278" s="827"/>
      <c r="D278" s="828"/>
      <c r="E278" s="828"/>
      <c r="F278" s="829"/>
      <c r="G278" s="827"/>
      <c r="H278" s="828"/>
      <c r="I278" s="828"/>
      <c r="J278" s="829"/>
      <c r="K278" s="827"/>
      <c r="L278" s="828"/>
      <c r="M278" s="828"/>
      <c r="N278" s="829"/>
      <c r="O278" s="827"/>
      <c r="P278" s="828"/>
      <c r="Q278" s="828"/>
      <c r="R278" s="829"/>
      <c r="S278" s="827"/>
      <c r="T278" s="828"/>
      <c r="U278" s="828"/>
      <c r="V278" s="829"/>
      <c r="W278" s="827"/>
      <c r="X278" s="828"/>
      <c r="Y278" s="828"/>
      <c r="Z278" s="829"/>
      <c r="AA278" s="827"/>
      <c r="AB278" s="828"/>
      <c r="AC278" s="828"/>
      <c r="AD278" s="1079"/>
      <c r="AE278" s="827"/>
      <c r="AF278" s="828"/>
      <c r="AG278" s="828"/>
      <c r="AH278" s="1252"/>
      <c r="AI278" s="828"/>
      <c r="AJ278" s="828"/>
      <c r="AK278" s="828"/>
      <c r="AL278" s="829"/>
      <c r="AM278" s="828"/>
      <c r="AN278" s="828"/>
      <c r="AO278" s="828"/>
      <c r="AP278" s="829"/>
      <c r="AQ278" s="894"/>
      <c r="AS278" s="895"/>
      <c r="AT278" s="895"/>
      <c r="AU278" s="895"/>
      <c r="AV278" s="895"/>
      <c r="AW278" s="895"/>
      <c r="AX278" s="895"/>
      <c r="AY278" s="831"/>
      <c r="AZ278" s="831"/>
      <c r="BA278" s="831"/>
      <c r="BB278" s="831"/>
    </row>
    <row r="279" spans="2:54" s="875" customFormat="1">
      <c r="B279" s="719" t="s">
        <v>471</v>
      </c>
      <c r="C279" s="827"/>
      <c r="D279" s="828"/>
      <c r="E279" s="828"/>
      <c r="F279" s="829"/>
      <c r="G279" s="827"/>
      <c r="H279" s="828"/>
      <c r="I279" s="828"/>
      <c r="J279" s="829"/>
      <c r="K279" s="827"/>
      <c r="L279" s="828"/>
      <c r="M279" s="828"/>
      <c r="N279" s="829"/>
      <c r="O279" s="827"/>
      <c r="P279" s="828"/>
      <c r="Q279" s="828"/>
      <c r="R279" s="829"/>
      <c r="S279" s="827"/>
      <c r="T279" s="828"/>
      <c r="U279" s="828"/>
      <c r="V279" s="829"/>
      <c r="W279" s="827"/>
      <c r="X279" s="828"/>
      <c r="Y279" s="828"/>
      <c r="Z279" s="829"/>
      <c r="AA279" s="827"/>
      <c r="AB279" s="828"/>
      <c r="AC279" s="828"/>
      <c r="AD279" s="1079"/>
      <c r="AE279" s="827"/>
      <c r="AF279" s="828"/>
      <c r="AG279" s="828"/>
      <c r="AH279" s="1252"/>
      <c r="AI279" s="828"/>
      <c r="AJ279" s="828"/>
      <c r="AK279" s="828"/>
      <c r="AL279" s="829"/>
      <c r="AM279" s="828"/>
      <c r="AN279" s="828"/>
      <c r="AO279" s="828"/>
      <c r="AP279" s="829"/>
      <c r="AQ279" s="894"/>
      <c r="AS279" s="895"/>
      <c r="AT279" s="895"/>
      <c r="AU279" s="895"/>
      <c r="AV279" s="895"/>
      <c r="AW279" s="895"/>
      <c r="AX279" s="895"/>
      <c r="AY279" s="831"/>
      <c r="AZ279" s="831"/>
      <c r="BA279" s="831"/>
      <c r="BB279" s="831"/>
    </row>
    <row r="280" spans="2:54" s="875" customFormat="1">
      <c r="B280" s="879" t="s">
        <v>360</v>
      </c>
      <c r="C280" s="764"/>
      <c r="D280" s="765"/>
      <c r="E280" s="765"/>
      <c r="F280" s="766"/>
      <c r="G280" s="764"/>
      <c r="H280" s="765"/>
      <c r="I280" s="765"/>
      <c r="J280" s="766"/>
      <c r="K280" s="764"/>
      <c r="L280" s="765"/>
      <c r="M280" s="765"/>
      <c r="N280" s="766"/>
      <c r="O280" s="764"/>
      <c r="P280" s="765"/>
      <c r="Q280" s="765"/>
      <c r="R280" s="766"/>
      <c r="S280" s="764">
        <v>1847</v>
      </c>
      <c r="T280" s="765">
        <v>2586</v>
      </c>
      <c r="U280" s="765">
        <v>3053</v>
      </c>
      <c r="V280" s="766">
        <v>2837</v>
      </c>
      <c r="W280" s="764">
        <v>1410</v>
      </c>
      <c r="X280" s="765">
        <v>1602</v>
      </c>
      <c r="Y280" s="765">
        <v>2433</v>
      </c>
      <c r="Z280" s="766">
        <v>2720</v>
      </c>
      <c r="AA280" s="764">
        <v>1885</v>
      </c>
      <c r="AB280" s="765">
        <v>1911</v>
      </c>
      <c r="AC280" s="765">
        <v>3327</v>
      </c>
      <c r="AD280" s="1089">
        <v>3523</v>
      </c>
      <c r="AE280" s="764">
        <v>3031</v>
      </c>
      <c r="AF280" s="765">
        <v>3025</v>
      </c>
      <c r="AG280" s="765">
        <v>3600</v>
      </c>
      <c r="AH280" s="1265">
        <v>3263</v>
      </c>
      <c r="AI280" s="765">
        <v>2791</v>
      </c>
      <c r="AJ280" s="765"/>
      <c r="AK280" s="765"/>
      <c r="AL280" s="766"/>
      <c r="AM280" s="765"/>
      <c r="AN280" s="765"/>
      <c r="AO280" s="765"/>
      <c r="AP280" s="766"/>
      <c r="AQ280" s="894"/>
      <c r="AS280" s="895"/>
      <c r="AT280" s="895"/>
      <c r="AU280" s="895"/>
      <c r="AV280" s="895"/>
      <c r="AW280" s="895"/>
      <c r="AX280" s="895"/>
      <c r="AY280" s="831"/>
      <c r="AZ280" s="831"/>
      <c r="BA280" s="831"/>
      <c r="BB280" s="831"/>
    </row>
    <row r="281" spans="2:54" s="875" customFormat="1">
      <c r="B281" s="879" t="s">
        <v>472</v>
      </c>
      <c r="C281" s="764"/>
      <c r="D281" s="765"/>
      <c r="E281" s="765"/>
      <c r="F281" s="766"/>
      <c r="G281" s="764"/>
      <c r="H281" s="765"/>
      <c r="I281" s="765"/>
      <c r="J281" s="766"/>
      <c r="K281" s="764"/>
      <c r="L281" s="765"/>
      <c r="M281" s="765"/>
      <c r="N281" s="766"/>
      <c r="O281" s="764"/>
      <c r="P281" s="765"/>
      <c r="Q281" s="765"/>
      <c r="R281" s="766"/>
      <c r="S281" s="887">
        <v>1336</v>
      </c>
      <c r="T281" s="765">
        <v>1842</v>
      </c>
      <c r="U281" s="765">
        <v>1946</v>
      </c>
      <c r="V281" s="766">
        <v>2266</v>
      </c>
      <c r="W281" s="764">
        <v>1701</v>
      </c>
      <c r="X281" s="765">
        <v>1843</v>
      </c>
      <c r="Y281" s="765">
        <v>2127</v>
      </c>
      <c r="Z281" s="766">
        <v>2173</v>
      </c>
      <c r="AA281" s="764">
        <v>1764</v>
      </c>
      <c r="AB281" s="765">
        <v>1765</v>
      </c>
      <c r="AC281" s="765">
        <v>2110</v>
      </c>
      <c r="AD281" s="1089">
        <v>1881</v>
      </c>
      <c r="AE281" s="764">
        <v>1487</v>
      </c>
      <c r="AF281" s="765">
        <v>1661</v>
      </c>
      <c r="AG281" s="765">
        <v>2255</v>
      </c>
      <c r="AH281" s="1265">
        <v>2992</v>
      </c>
      <c r="AI281" s="765">
        <v>2602</v>
      </c>
      <c r="AJ281" s="765"/>
      <c r="AK281" s="765"/>
      <c r="AL281" s="766"/>
      <c r="AM281" s="765"/>
      <c r="AN281" s="765"/>
      <c r="AO281" s="765"/>
      <c r="AP281" s="766"/>
      <c r="AQ281" s="894"/>
      <c r="AS281" s="895"/>
      <c r="AT281" s="895"/>
      <c r="AU281" s="895"/>
      <c r="AV281" s="895"/>
      <c r="AW281" s="895"/>
      <c r="AX281" s="895"/>
      <c r="AY281" s="831"/>
      <c r="AZ281" s="831"/>
      <c r="BA281" s="831"/>
      <c r="BB281" s="831"/>
    </row>
    <row r="282" spans="2:54" s="875" customFormat="1">
      <c r="B282" s="879" t="s">
        <v>391</v>
      </c>
      <c r="C282" s="764">
        <v>3143</v>
      </c>
      <c r="D282" s="765">
        <v>3428</v>
      </c>
      <c r="E282" s="765">
        <v>3437</v>
      </c>
      <c r="F282" s="766">
        <v>3620</v>
      </c>
      <c r="G282" s="764">
        <v>3543</v>
      </c>
      <c r="H282" s="765">
        <v>3284</v>
      </c>
      <c r="I282" s="765">
        <v>4014</v>
      </c>
      <c r="J282" s="766">
        <v>3952</v>
      </c>
      <c r="K282" s="764">
        <v>3483</v>
      </c>
      <c r="L282" s="765">
        <v>3416</v>
      </c>
      <c r="M282" s="765">
        <v>3337</v>
      </c>
      <c r="N282" s="766">
        <v>2817</v>
      </c>
      <c r="O282" s="764">
        <v>2513</v>
      </c>
      <c r="P282" s="765">
        <v>2659</v>
      </c>
      <c r="Q282" s="765">
        <v>3260</v>
      </c>
      <c r="R282" s="766">
        <v>3395</v>
      </c>
      <c r="S282" s="764"/>
      <c r="T282" s="765"/>
      <c r="U282" s="765"/>
      <c r="V282" s="766"/>
      <c r="W282" s="764"/>
      <c r="X282" s="765"/>
      <c r="Y282" s="765"/>
      <c r="Z282" s="766"/>
      <c r="AA282" s="764"/>
      <c r="AB282" s="765"/>
      <c r="AC282" s="765"/>
      <c r="AD282" s="1089"/>
      <c r="AE282" s="764"/>
      <c r="AF282" s="765"/>
      <c r="AG282" s="765"/>
      <c r="AH282" s="1265"/>
      <c r="AI282" s="765"/>
      <c r="AJ282" s="765"/>
      <c r="AK282" s="765"/>
      <c r="AL282" s="766"/>
      <c r="AM282" s="765"/>
      <c r="AN282" s="765"/>
      <c r="AO282" s="765"/>
      <c r="AP282" s="766"/>
      <c r="AQ282" s="894"/>
      <c r="AS282" s="895"/>
      <c r="AT282" s="895"/>
      <c r="AU282" s="895"/>
      <c r="AV282" s="895"/>
      <c r="AW282" s="895"/>
      <c r="AX282" s="895"/>
      <c r="AY282" s="831"/>
      <c r="AZ282" s="831"/>
      <c r="BA282" s="831"/>
      <c r="BB282" s="831"/>
    </row>
    <row r="283" spans="2:54" s="875" customFormat="1">
      <c r="B283" s="879" t="s">
        <v>361</v>
      </c>
      <c r="C283" s="764">
        <v>835</v>
      </c>
      <c r="D283" s="765">
        <v>1064</v>
      </c>
      <c r="E283" s="765">
        <v>1070</v>
      </c>
      <c r="F283" s="766">
        <v>1426</v>
      </c>
      <c r="G283" s="764">
        <v>1222</v>
      </c>
      <c r="H283" s="765">
        <v>1204</v>
      </c>
      <c r="I283" s="765">
        <v>1221</v>
      </c>
      <c r="J283" s="766">
        <v>1453</v>
      </c>
      <c r="K283" s="764">
        <v>1143</v>
      </c>
      <c r="L283" s="765">
        <v>1389</v>
      </c>
      <c r="M283" s="765">
        <v>1212</v>
      </c>
      <c r="N283" s="766">
        <v>1329</v>
      </c>
      <c r="O283" s="764">
        <v>1079</v>
      </c>
      <c r="P283" s="765">
        <v>1230</v>
      </c>
      <c r="Q283" s="765">
        <v>1393</v>
      </c>
      <c r="R283" s="766">
        <v>1462</v>
      </c>
      <c r="S283" s="764"/>
      <c r="T283" s="765"/>
      <c r="U283" s="765"/>
      <c r="V283" s="766"/>
      <c r="W283" s="764"/>
      <c r="X283" s="765"/>
      <c r="Y283" s="765"/>
      <c r="Z283" s="766"/>
      <c r="AA283" s="764"/>
      <c r="AB283" s="765"/>
      <c r="AC283" s="765"/>
      <c r="AD283" s="1089"/>
      <c r="AE283" s="764"/>
      <c r="AF283" s="765"/>
      <c r="AG283" s="765"/>
      <c r="AH283" s="1265"/>
      <c r="AI283" s="765"/>
      <c r="AJ283" s="765"/>
      <c r="AK283" s="765"/>
      <c r="AL283" s="766"/>
      <c r="AM283" s="765"/>
      <c r="AN283" s="765"/>
      <c r="AO283" s="765"/>
      <c r="AP283" s="766"/>
      <c r="AQ283" s="894"/>
      <c r="AS283" s="895"/>
      <c r="AT283" s="895"/>
      <c r="AU283" s="895"/>
      <c r="AV283" s="895"/>
      <c r="AW283" s="895"/>
      <c r="AX283" s="895"/>
      <c r="AY283" s="831"/>
      <c r="AZ283" s="831"/>
      <c r="BA283" s="831"/>
      <c r="BB283" s="831"/>
    </row>
    <row r="284" spans="2:54" s="875" customFormat="1">
      <c r="B284" s="879" t="s">
        <v>391</v>
      </c>
      <c r="C284" s="764"/>
      <c r="D284" s="765"/>
      <c r="E284" s="765"/>
      <c r="F284" s="766"/>
      <c r="G284" s="764"/>
      <c r="H284" s="765"/>
      <c r="I284" s="765"/>
      <c r="J284" s="766"/>
      <c r="K284" s="764"/>
      <c r="L284" s="765"/>
      <c r="M284" s="765"/>
      <c r="N284" s="766"/>
      <c r="O284" s="764">
        <v>2488</v>
      </c>
      <c r="P284" s="765">
        <v>2646</v>
      </c>
      <c r="Q284" s="765">
        <v>3243</v>
      </c>
      <c r="R284" s="766">
        <v>3374</v>
      </c>
      <c r="S284" s="764">
        <v>2802</v>
      </c>
      <c r="T284" s="765">
        <v>3734</v>
      </c>
      <c r="U284" s="765">
        <v>4120</v>
      </c>
      <c r="V284" s="766">
        <v>3979</v>
      </c>
      <c r="W284" s="764"/>
      <c r="X284" s="765"/>
      <c r="Y284" s="765"/>
      <c r="Z284" s="766"/>
      <c r="AA284" s="764"/>
      <c r="AB284" s="765"/>
      <c r="AC284" s="765"/>
      <c r="AD284" s="1089"/>
      <c r="AE284" s="764"/>
      <c r="AF284" s="765"/>
      <c r="AG284" s="765"/>
      <c r="AH284" s="1265"/>
      <c r="AI284" s="765"/>
      <c r="AJ284" s="765"/>
      <c r="AK284" s="765"/>
      <c r="AL284" s="766"/>
      <c r="AM284" s="765"/>
      <c r="AN284" s="765"/>
      <c r="AO284" s="765"/>
      <c r="AP284" s="766"/>
      <c r="AQ284" s="894"/>
      <c r="AS284" s="895"/>
      <c r="AT284" s="895"/>
      <c r="AU284" s="895"/>
      <c r="AV284" s="895"/>
      <c r="AW284" s="895"/>
      <c r="AX284" s="895"/>
      <c r="AY284" s="831"/>
      <c r="AZ284" s="831"/>
      <c r="BA284" s="831"/>
      <c r="BB284" s="831"/>
    </row>
    <row r="285" spans="2:54" s="875" customFormat="1">
      <c r="B285" s="879" t="s">
        <v>361</v>
      </c>
      <c r="C285" s="764"/>
      <c r="D285" s="765"/>
      <c r="E285" s="765"/>
      <c r="F285" s="766"/>
      <c r="G285" s="764"/>
      <c r="H285" s="765"/>
      <c r="I285" s="765"/>
      <c r="J285" s="766"/>
      <c r="K285" s="764"/>
      <c r="L285" s="765"/>
      <c r="M285" s="765"/>
      <c r="N285" s="766"/>
      <c r="O285" s="764">
        <v>1144</v>
      </c>
      <c r="P285" s="765">
        <v>1302</v>
      </c>
      <c r="Q285" s="765">
        <v>1520</v>
      </c>
      <c r="R285" s="766">
        <v>1603</v>
      </c>
      <c r="S285" s="764">
        <v>1317</v>
      </c>
      <c r="T285" s="765">
        <v>1817</v>
      </c>
      <c r="U285" s="765">
        <v>1915</v>
      </c>
      <c r="V285" s="766">
        <v>2230</v>
      </c>
      <c r="W285" s="874"/>
      <c r="X285" s="765"/>
      <c r="Y285" s="765"/>
      <c r="Z285" s="766"/>
      <c r="AA285" s="764"/>
      <c r="AB285" s="765"/>
      <c r="AC285" s="765"/>
      <c r="AD285" s="1089"/>
      <c r="AE285" s="764"/>
      <c r="AF285" s="765"/>
      <c r="AG285" s="765"/>
      <c r="AH285" s="1265"/>
      <c r="AI285" s="765"/>
      <c r="AJ285" s="765"/>
      <c r="AK285" s="765"/>
      <c r="AL285" s="766"/>
      <c r="AM285" s="765"/>
      <c r="AN285" s="765"/>
      <c r="AO285" s="765"/>
      <c r="AP285" s="766"/>
      <c r="AQ285" s="894"/>
      <c r="AS285" s="895"/>
      <c r="AT285" s="895"/>
      <c r="AU285" s="895"/>
      <c r="AV285" s="895"/>
      <c r="AW285" s="895"/>
      <c r="AX285" s="895"/>
      <c r="AY285" s="831"/>
      <c r="AZ285" s="831"/>
      <c r="BA285" s="831"/>
      <c r="BB285" s="831"/>
    </row>
    <row r="286" spans="2:54" s="875" customFormat="1">
      <c r="B286" s="879" t="s">
        <v>362</v>
      </c>
      <c r="C286" s="764"/>
      <c r="D286" s="765"/>
      <c r="E286" s="765"/>
      <c r="F286" s="766"/>
      <c r="G286" s="764"/>
      <c r="H286" s="765"/>
      <c r="I286" s="765"/>
      <c r="J286" s="766"/>
      <c r="K286" s="764"/>
      <c r="L286" s="765"/>
      <c r="M286" s="765"/>
      <c r="N286" s="766"/>
      <c r="O286" s="764">
        <v>67</v>
      </c>
      <c r="P286" s="765">
        <v>123</v>
      </c>
      <c r="Q286" s="765">
        <v>152</v>
      </c>
      <c r="R286" s="766">
        <v>208</v>
      </c>
      <c r="S286" s="764">
        <v>123</v>
      </c>
      <c r="T286" s="765">
        <v>155</v>
      </c>
      <c r="U286" s="765">
        <v>153</v>
      </c>
      <c r="V286" s="766">
        <v>185</v>
      </c>
      <c r="W286" s="764">
        <v>87</v>
      </c>
      <c r="X286" s="765">
        <v>145</v>
      </c>
      <c r="Y286" s="765">
        <v>151</v>
      </c>
      <c r="Z286" s="766">
        <v>132</v>
      </c>
      <c r="AA286" s="764">
        <v>123</v>
      </c>
      <c r="AB286" s="765">
        <v>89</v>
      </c>
      <c r="AC286" s="765">
        <v>191</v>
      </c>
      <c r="AD286" s="1089">
        <v>182</v>
      </c>
      <c r="AE286" s="764">
        <v>105</v>
      </c>
      <c r="AF286" s="765">
        <v>139</v>
      </c>
      <c r="AG286" s="765">
        <v>146</v>
      </c>
      <c r="AH286" s="1265">
        <v>260</v>
      </c>
      <c r="AI286" s="765">
        <v>227</v>
      </c>
      <c r="AJ286" s="765"/>
      <c r="AK286" s="765"/>
      <c r="AL286" s="766"/>
      <c r="AM286" s="765"/>
      <c r="AN286" s="765"/>
      <c r="AO286" s="765"/>
      <c r="AP286" s="766"/>
      <c r="AQ286" s="894"/>
      <c r="AS286" s="895"/>
      <c r="AT286" s="895"/>
      <c r="AU286" s="895"/>
      <c r="AV286" s="895"/>
      <c r="AW286" s="895"/>
      <c r="AX286" s="895"/>
      <c r="AY286" s="831"/>
      <c r="AZ286" s="831"/>
      <c r="BA286" s="831"/>
      <c r="BB286" s="831"/>
    </row>
    <row r="287" spans="2:54" s="875" customFormat="1">
      <c r="B287" s="879" t="s">
        <v>392</v>
      </c>
      <c r="C287" s="764"/>
      <c r="D287" s="765"/>
      <c r="E287" s="765"/>
      <c r="F287" s="766"/>
      <c r="G287" s="764"/>
      <c r="H287" s="765"/>
      <c r="I287" s="765"/>
      <c r="J287" s="766"/>
      <c r="K287" s="764"/>
      <c r="L287" s="765"/>
      <c r="M287" s="765"/>
      <c r="N287" s="766"/>
      <c r="O287" s="764">
        <v>-703</v>
      </c>
      <c r="P287" s="765">
        <v>-761</v>
      </c>
      <c r="Q287" s="765">
        <v>-810</v>
      </c>
      <c r="R287" s="766">
        <v>-874</v>
      </c>
      <c r="S287" s="764">
        <v>-929</v>
      </c>
      <c r="T287" s="765">
        <v>-1124</v>
      </c>
      <c r="U287" s="765">
        <v>-1043</v>
      </c>
      <c r="V287" s="766">
        <v>-1110</v>
      </c>
      <c r="W287" s="764"/>
      <c r="X287" s="765"/>
      <c r="Y287" s="765"/>
      <c r="Z287" s="766"/>
      <c r="AA287" s="764"/>
      <c r="AB287" s="765"/>
      <c r="AC287" s="765"/>
      <c r="AD287" s="1089"/>
      <c r="AE287" s="764"/>
      <c r="AF287" s="765"/>
      <c r="AG287" s="765"/>
      <c r="AH287" s="1265"/>
      <c r="AI287" s="765"/>
      <c r="AJ287" s="765"/>
      <c r="AK287" s="765"/>
      <c r="AL287" s="766"/>
      <c r="AM287" s="765"/>
      <c r="AN287" s="765"/>
      <c r="AO287" s="765"/>
      <c r="AP287" s="766"/>
      <c r="AQ287" s="894"/>
      <c r="AS287" s="895"/>
      <c r="AT287" s="895"/>
      <c r="AU287" s="895"/>
      <c r="AV287" s="895"/>
      <c r="AW287" s="895"/>
      <c r="AX287" s="895"/>
      <c r="AY287" s="831"/>
      <c r="AZ287" s="831"/>
      <c r="BA287" s="831"/>
      <c r="BB287" s="831"/>
    </row>
    <row r="288" spans="2:54" s="875" customFormat="1">
      <c r="B288" s="879" t="s">
        <v>395</v>
      </c>
      <c r="C288" s="764"/>
      <c r="D288" s="765"/>
      <c r="E288" s="765"/>
      <c r="F288" s="766"/>
      <c r="G288" s="764"/>
      <c r="H288" s="765"/>
      <c r="I288" s="765"/>
      <c r="J288" s="766"/>
      <c r="K288" s="764"/>
      <c r="L288" s="765"/>
      <c r="M288" s="765"/>
      <c r="N288" s="766"/>
      <c r="O288" s="764">
        <v>-6</v>
      </c>
      <c r="P288" s="765">
        <v>-1</v>
      </c>
      <c r="Q288" s="765">
        <v>1</v>
      </c>
      <c r="R288" s="766">
        <v>30</v>
      </c>
      <c r="S288" s="764">
        <v>-7</v>
      </c>
      <c r="T288" s="765">
        <v>8</v>
      </c>
      <c r="U288" s="765">
        <v>29</v>
      </c>
      <c r="V288" s="766">
        <v>25</v>
      </c>
      <c r="W288" s="764">
        <v>3</v>
      </c>
      <c r="X288" s="765">
        <v>14</v>
      </c>
      <c r="Y288" s="765">
        <v>102</v>
      </c>
      <c r="Z288" s="766">
        <v>91</v>
      </c>
      <c r="AA288" s="883"/>
      <c r="AB288" s="765"/>
      <c r="AC288" s="765"/>
      <c r="AD288" s="1089"/>
      <c r="AE288" s="883"/>
      <c r="AF288" s="765"/>
      <c r="AG288" s="765"/>
      <c r="AH288" s="1265"/>
      <c r="AI288" s="765"/>
      <c r="AJ288" s="765"/>
      <c r="AK288" s="765"/>
      <c r="AL288" s="766"/>
      <c r="AM288" s="765"/>
      <c r="AN288" s="765"/>
      <c r="AO288" s="765"/>
      <c r="AP288" s="766"/>
      <c r="AQ288" s="894"/>
      <c r="AS288" s="895"/>
      <c r="AT288" s="895"/>
      <c r="AU288" s="895"/>
      <c r="AV288" s="895"/>
      <c r="AW288" s="895"/>
      <c r="AX288" s="895"/>
      <c r="AY288" s="831"/>
      <c r="AZ288" s="831"/>
      <c r="BA288" s="831"/>
      <c r="BB288" s="831"/>
    </row>
    <row r="289" spans="2:54" s="875" customFormat="1">
      <c r="B289" s="879" t="s">
        <v>394</v>
      </c>
      <c r="C289" s="764"/>
      <c r="D289" s="765"/>
      <c r="E289" s="765"/>
      <c r="F289" s="766"/>
      <c r="G289" s="764"/>
      <c r="H289" s="765"/>
      <c r="I289" s="765"/>
      <c r="J289" s="766"/>
      <c r="K289" s="764"/>
      <c r="L289" s="765"/>
      <c r="M289" s="765"/>
      <c r="N289" s="766"/>
      <c r="O289" s="764">
        <v>-471</v>
      </c>
      <c r="P289" s="765">
        <v>-590</v>
      </c>
      <c r="Q289" s="765">
        <v>-602</v>
      </c>
      <c r="R289" s="766">
        <v>-792</v>
      </c>
      <c r="S289" s="764">
        <v>-773</v>
      </c>
      <c r="T289" s="765">
        <v>-746</v>
      </c>
      <c r="U289" s="765">
        <v>-634</v>
      </c>
      <c r="V289" s="766">
        <v>-856</v>
      </c>
      <c r="W289" s="764">
        <v>-586</v>
      </c>
      <c r="X289" s="765">
        <v>-708</v>
      </c>
      <c r="Y289" s="765">
        <v>-621</v>
      </c>
      <c r="Z289" s="766">
        <v>-817</v>
      </c>
      <c r="AA289" s="764"/>
      <c r="AB289" s="765"/>
      <c r="AC289" s="765"/>
      <c r="AD289" s="1089"/>
      <c r="AE289" s="764"/>
      <c r="AF289" s="765"/>
      <c r="AG289" s="765"/>
      <c r="AH289" s="1265"/>
      <c r="AI289" s="765"/>
      <c r="AJ289" s="765"/>
      <c r="AK289" s="765"/>
      <c r="AL289" s="766"/>
      <c r="AM289" s="765"/>
      <c r="AN289" s="765"/>
      <c r="AO289" s="765"/>
      <c r="AP289" s="766"/>
      <c r="AQ289" s="894"/>
      <c r="AS289" s="895"/>
      <c r="AT289" s="895"/>
      <c r="AU289" s="895"/>
      <c r="AV289" s="895"/>
      <c r="AW289" s="895"/>
      <c r="AX289" s="895"/>
      <c r="AY289" s="831"/>
      <c r="AZ289" s="831"/>
      <c r="BA289" s="831"/>
      <c r="BB289" s="831"/>
    </row>
    <row r="290" spans="2:54" s="875" customFormat="1">
      <c r="B290" s="879" t="s">
        <v>371</v>
      </c>
      <c r="C290" s="764"/>
      <c r="D290" s="765"/>
      <c r="E290" s="765"/>
      <c r="F290" s="766"/>
      <c r="G290" s="764"/>
      <c r="H290" s="765"/>
      <c r="I290" s="765"/>
      <c r="J290" s="766"/>
      <c r="K290" s="764"/>
      <c r="L290" s="765"/>
      <c r="M290" s="765"/>
      <c r="N290" s="766"/>
      <c r="O290" s="764"/>
      <c r="P290" s="765"/>
      <c r="Q290" s="765"/>
      <c r="R290" s="766"/>
      <c r="S290" s="764"/>
      <c r="T290" s="765"/>
      <c r="U290" s="765"/>
      <c r="V290" s="766"/>
      <c r="W290" s="764"/>
      <c r="X290" s="765"/>
      <c r="Y290" s="765"/>
      <c r="Z290" s="766"/>
      <c r="AA290" s="764">
        <v>-200</v>
      </c>
      <c r="AB290" s="765">
        <v>-62</v>
      </c>
      <c r="AC290" s="765">
        <v>-134</v>
      </c>
      <c r="AD290" s="1089">
        <v>80</v>
      </c>
      <c r="AE290" s="764">
        <v>92</v>
      </c>
      <c r="AF290" s="765">
        <v>97</v>
      </c>
      <c r="AG290" s="765">
        <v>113</v>
      </c>
      <c r="AH290" s="1265">
        <v>156</v>
      </c>
      <c r="AI290" s="765">
        <v>97</v>
      </c>
      <c r="AJ290" s="765"/>
      <c r="AK290" s="765"/>
      <c r="AL290" s="766"/>
      <c r="AM290" s="765"/>
      <c r="AN290" s="765"/>
      <c r="AO290" s="765"/>
      <c r="AP290" s="766"/>
      <c r="AQ290" s="894"/>
      <c r="AS290" s="895"/>
      <c r="AT290" s="895"/>
      <c r="AU290" s="895"/>
      <c r="AV290" s="895"/>
      <c r="AW290" s="895"/>
      <c r="AX290" s="895"/>
      <c r="AY290" s="831"/>
      <c r="AZ290" s="831"/>
      <c r="BA290" s="831"/>
      <c r="BB290" s="831"/>
    </row>
    <row r="291" spans="2:54" s="875" customFormat="1">
      <c r="B291" s="879" t="s">
        <v>377</v>
      </c>
      <c r="C291" s="764"/>
      <c r="D291" s="765"/>
      <c r="E291" s="765"/>
      <c r="F291" s="766"/>
      <c r="G291" s="764"/>
      <c r="H291" s="765"/>
      <c r="I291" s="765"/>
      <c r="J291" s="766"/>
      <c r="K291" s="764"/>
      <c r="L291" s="765"/>
      <c r="M291" s="765"/>
      <c r="N291" s="766"/>
      <c r="O291" s="764"/>
      <c r="P291" s="765"/>
      <c r="Q291" s="765"/>
      <c r="R291" s="766"/>
      <c r="S291" s="764"/>
      <c r="T291" s="765"/>
      <c r="U291" s="765"/>
      <c r="V291" s="766"/>
      <c r="W291" s="764">
        <v>72</v>
      </c>
      <c r="X291" s="765">
        <v>92</v>
      </c>
      <c r="Y291" s="765">
        <v>51</v>
      </c>
      <c r="Z291" s="766">
        <v>24</v>
      </c>
      <c r="AA291" s="764">
        <v>-95</v>
      </c>
      <c r="AB291" s="765">
        <v>-224</v>
      </c>
      <c r="AC291" s="765">
        <v>115</v>
      </c>
      <c r="AD291" s="1089">
        <v>-91</v>
      </c>
      <c r="AE291" s="764">
        <v>-129</v>
      </c>
      <c r="AF291" s="765">
        <v>-110</v>
      </c>
      <c r="AG291" s="765">
        <v>-52</v>
      </c>
      <c r="AH291" s="1265">
        <v>31</v>
      </c>
      <c r="AI291" s="765">
        <v>-81</v>
      </c>
      <c r="AJ291" s="765"/>
      <c r="AK291" s="765"/>
      <c r="AL291" s="766"/>
      <c r="AM291" s="765"/>
      <c r="AN291" s="765"/>
      <c r="AO291" s="765"/>
      <c r="AP291" s="766"/>
      <c r="AQ291" s="894"/>
      <c r="AS291" s="895"/>
      <c r="AT291" s="895"/>
      <c r="AU291" s="895"/>
      <c r="AV291" s="895"/>
      <c r="AW291" s="895"/>
      <c r="AX291" s="895"/>
      <c r="AY291" s="831"/>
      <c r="AZ291" s="831"/>
      <c r="BA291" s="831"/>
      <c r="BB291" s="831"/>
    </row>
    <row r="292" spans="2:54" s="875" customFormat="1">
      <c r="B292" s="879" t="s">
        <v>383</v>
      </c>
      <c r="C292" s="764"/>
      <c r="D292" s="765"/>
      <c r="E292" s="765"/>
      <c r="F292" s="766"/>
      <c r="G292" s="764"/>
      <c r="H292" s="765"/>
      <c r="I292" s="765"/>
      <c r="J292" s="766"/>
      <c r="K292" s="764"/>
      <c r="L292" s="765"/>
      <c r="M292" s="765"/>
      <c r="N292" s="766"/>
      <c r="O292" s="764"/>
      <c r="P292" s="765"/>
      <c r="Q292" s="765"/>
      <c r="R292" s="766"/>
      <c r="S292" s="764"/>
      <c r="T292" s="765"/>
      <c r="U292" s="765"/>
      <c r="V292" s="766"/>
      <c r="W292" s="764">
        <v>15</v>
      </c>
      <c r="X292" s="765">
        <v>22</v>
      </c>
      <c r="Y292" s="765">
        <v>97</v>
      </c>
      <c r="Z292" s="766">
        <v>79</v>
      </c>
      <c r="AA292" s="764">
        <v>85</v>
      </c>
      <c r="AB292" s="765">
        <v>97</v>
      </c>
      <c r="AC292" s="765">
        <v>78</v>
      </c>
      <c r="AD292" s="1089">
        <v>103</v>
      </c>
      <c r="AE292" s="764">
        <v>95</v>
      </c>
      <c r="AF292" s="765">
        <v>0</v>
      </c>
      <c r="AG292" s="765">
        <v>0</v>
      </c>
      <c r="AH292" s="1265">
        <v>0</v>
      </c>
      <c r="AI292" s="765">
        <v>0</v>
      </c>
      <c r="AJ292" s="765"/>
      <c r="AK292" s="765"/>
      <c r="AL292" s="766"/>
      <c r="AM292" s="765"/>
      <c r="AN292" s="765"/>
      <c r="AO292" s="765"/>
      <c r="AP292" s="766"/>
      <c r="AQ292" s="894"/>
      <c r="AS292" s="895"/>
      <c r="AT292" s="895"/>
      <c r="AU292" s="895"/>
      <c r="AV292" s="895"/>
      <c r="AW292" s="895"/>
      <c r="AX292" s="895"/>
      <c r="AY292" s="831"/>
      <c r="AZ292" s="831"/>
      <c r="BA292" s="831"/>
      <c r="BB292" s="831"/>
    </row>
    <row r="293" spans="2:54" s="875" customFormat="1">
      <c r="B293" s="879" t="s">
        <v>467</v>
      </c>
      <c r="C293" s="764"/>
      <c r="D293" s="765"/>
      <c r="E293" s="765"/>
      <c r="F293" s="766"/>
      <c r="G293" s="764"/>
      <c r="H293" s="765"/>
      <c r="I293" s="765"/>
      <c r="J293" s="766"/>
      <c r="K293" s="764"/>
      <c r="L293" s="765"/>
      <c r="M293" s="765"/>
      <c r="N293" s="766"/>
      <c r="O293" s="764"/>
      <c r="P293" s="765"/>
      <c r="Q293" s="765"/>
      <c r="R293" s="766"/>
      <c r="T293" s="765"/>
      <c r="U293" s="765"/>
      <c r="V293" s="766"/>
      <c r="W293" s="764">
        <v>-669</v>
      </c>
      <c r="X293" s="765">
        <v>-809</v>
      </c>
      <c r="Y293" s="765">
        <v>-669</v>
      </c>
      <c r="Z293" s="766">
        <v>-831</v>
      </c>
      <c r="AA293" s="764">
        <v>-994</v>
      </c>
      <c r="AB293" s="765">
        <v>-2258</v>
      </c>
      <c r="AC293" s="765">
        <v>-1225</v>
      </c>
      <c r="AD293" s="1089">
        <v>-1152</v>
      </c>
      <c r="AE293" s="764">
        <v>-1082</v>
      </c>
      <c r="AF293" s="765">
        <v>-985</v>
      </c>
      <c r="AG293" s="765">
        <v>-947</v>
      </c>
      <c r="AH293" s="1265">
        <v>-1307</v>
      </c>
      <c r="AI293" s="765">
        <v>-1166</v>
      </c>
      <c r="AJ293" s="765"/>
      <c r="AK293" s="765"/>
      <c r="AL293" s="766"/>
      <c r="AM293" s="765"/>
      <c r="AN293" s="765"/>
      <c r="AO293" s="765"/>
      <c r="AP293" s="766"/>
      <c r="AQ293" s="894"/>
      <c r="AS293" s="895"/>
      <c r="AT293" s="895"/>
      <c r="AU293" s="895"/>
      <c r="AV293" s="895"/>
      <c r="AW293" s="895"/>
      <c r="AX293" s="895"/>
      <c r="AY293" s="831"/>
      <c r="AZ293" s="831"/>
      <c r="BA293" s="831"/>
      <c r="BB293" s="831"/>
    </row>
    <row r="294" spans="2:54" s="875" customFormat="1">
      <c r="B294" s="879" t="s">
        <v>468</v>
      </c>
      <c r="C294" s="764"/>
      <c r="D294" s="765"/>
      <c r="E294" s="765"/>
      <c r="F294" s="766"/>
      <c r="G294" s="764"/>
      <c r="H294" s="765"/>
      <c r="I294" s="765"/>
      <c r="J294" s="766"/>
      <c r="K294" s="764"/>
      <c r="L294" s="765"/>
      <c r="M294" s="765"/>
      <c r="N294" s="766"/>
      <c r="O294" s="764"/>
      <c r="P294" s="765"/>
      <c r="Q294" s="765"/>
      <c r="R294" s="766"/>
      <c r="S294" s="764"/>
      <c r="T294" s="765"/>
      <c r="U294" s="765"/>
      <c r="V294" s="766"/>
      <c r="W294" s="726">
        <f>W288-W292</f>
        <v>-12</v>
      </c>
      <c r="X294" s="727">
        <f t="shared" ref="X294:Z294" si="990">X288-X292</f>
        <v>-8</v>
      </c>
      <c r="Y294" s="727">
        <f t="shared" si="990"/>
        <v>5</v>
      </c>
      <c r="Z294" s="728">
        <f t="shared" si="990"/>
        <v>12</v>
      </c>
      <c r="AA294" s="883"/>
      <c r="AB294" s="765"/>
      <c r="AC294" s="765"/>
      <c r="AD294" s="1089"/>
      <c r="AE294" s="883"/>
      <c r="AF294" s="765"/>
      <c r="AG294" s="765"/>
      <c r="AH294" s="1265"/>
      <c r="AI294" s="765"/>
      <c r="AJ294" s="765"/>
      <c r="AK294" s="765"/>
      <c r="AL294" s="766"/>
      <c r="AM294" s="765"/>
      <c r="AN294" s="765"/>
      <c r="AO294" s="765"/>
      <c r="AP294" s="766"/>
      <c r="AQ294" s="894"/>
      <c r="AS294" s="895"/>
      <c r="AT294" s="895"/>
      <c r="AU294" s="895"/>
      <c r="AV294" s="895"/>
      <c r="AW294" s="895"/>
      <c r="AX294" s="895"/>
      <c r="AY294" s="831"/>
      <c r="AZ294" s="831"/>
      <c r="BA294" s="831"/>
      <c r="BB294" s="831"/>
    </row>
    <row r="295" spans="2:54" s="875" customFormat="1" outlineLevel="1">
      <c r="B295" s="879" t="s">
        <v>435</v>
      </c>
      <c r="C295" s="764">
        <v>-29</v>
      </c>
      <c r="D295" s="765">
        <v>-18</v>
      </c>
      <c r="E295" s="765">
        <v>0</v>
      </c>
      <c r="F295" s="766">
        <v>-13</v>
      </c>
      <c r="G295" s="764">
        <v>-36</v>
      </c>
      <c r="H295" s="765">
        <v>-33</v>
      </c>
      <c r="I295" s="765">
        <v>-140</v>
      </c>
      <c r="J295" s="766">
        <v>-368</v>
      </c>
      <c r="K295" s="764">
        <v>-312</v>
      </c>
      <c r="L295" s="765">
        <v>-335</v>
      </c>
      <c r="M295" s="765">
        <v>-235</v>
      </c>
      <c r="N295" s="766">
        <v>-495</v>
      </c>
      <c r="O295" s="764">
        <v>-611</v>
      </c>
      <c r="P295" s="765">
        <v>-608</v>
      </c>
      <c r="Q295" s="765">
        <v>-606</v>
      </c>
      <c r="R295" s="766">
        <v>-620</v>
      </c>
      <c r="S295" s="764"/>
      <c r="T295" s="765"/>
      <c r="U295" s="765"/>
      <c r="V295" s="766"/>
      <c r="W295" s="764"/>
      <c r="X295" s="765"/>
      <c r="Y295" s="765"/>
      <c r="Z295" s="766"/>
      <c r="AA295" s="764"/>
      <c r="AB295" s="765"/>
      <c r="AC295" s="765"/>
      <c r="AD295" s="1089"/>
      <c r="AE295" s="764"/>
      <c r="AF295" s="765"/>
      <c r="AG295" s="765"/>
      <c r="AH295" s="1265"/>
      <c r="AI295" s="765"/>
      <c r="AJ295" s="765"/>
      <c r="AK295" s="765"/>
      <c r="AL295" s="766"/>
      <c r="AM295" s="765"/>
      <c r="AN295" s="765"/>
      <c r="AO295" s="765"/>
      <c r="AP295" s="766"/>
      <c r="AQ295" s="894"/>
      <c r="AS295" s="895"/>
      <c r="AT295" s="895"/>
      <c r="AU295" s="895"/>
      <c r="AV295" s="895"/>
      <c r="AW295" s="895"/>
      <c r="AX295" s="895"/>
      <c r="AY295" s="831"/>
      <c r="AZ295" s="831"/>
      <c r="BA295" s="831"/>
      <c r="BB295" s="831"/>
    </row>
    <row r="296" spans="2:54" s="875" customFormat="1" outlineLevel="1">
      <c r="B296" s="879" t="s">
        <v>395</v>
      </c>
      <c r="C296" s="764"/>
      <c r="D296" s="765"/>
      <c r="E296" s="765"/>
      <c r="F296" s="766"/>
      <c r="G296" s="764">
        <v>-52</v>
      </c>
      <c r="H296" s="765">
        <v>-14</v>
      </c>
      <c r="I296" s="765">
        <v>18</v>
      </c>
      <c r="J296" s="766">
        <v>16</v>
      </c>
      <c r="K296" s="764">
        <v>7</v>
      </c>
      <c r="L296" s="765">
        <v>14</v>
      </c>
      <c r="M296" s="765">
        <v>4</v>
      </c>
      <c r="N296" s="766">
        <v>-36</v>
      </c>
      <c r="O296" s="764">
        <v>-24</v>
      </c>
      <c r="P296" s="765">
        <v>-8</v>
      </c>
      <c r="Q296" s="765">
        <v>-5</v>
      </c>
      <c r="R296" s="766">
        <v>38</v>
      </c>
      <c r="S296" s="764"/>
      <c r="T296" s="765"/>
      <c r="U296" s="765"/>
      <c r="V296" s="766"/>
      <c r="W296" s="764"/>
      <c r="X296" s="765"/>
      <c r="Y296" s="765"/>
      <c r="Z296" s="766"/>
      <c r="AA296" s="764"/>
      <c r="AB296" s="765"/>
      <c r="AC296" s="765"/>
      <c r="AD296" s="1089"/>
      <c r="AE296" s="764"/>
      <c r="AF296" s="765"/>
      <c r="AG296" s="765"/>
      <c r="AH296" s="1265"/>
      <c r="AI296" s="765"/>
      <c r="AJ296" s="765"/>
      <c r="AK296" s="765"/>
      <c r="AL296" s="766"/>
      <c r="AM296" s="765"/>
      <c r="AN296" s="765"/>
      <c r="AO296" s="765"/>
      <c r="AP296" s="766"/>
      <c r="AQ296" s="894"/>
      <c r="AS296" s="895"/>
      <c r="AT296" s="895"/>
      <c r="AU296" s="895"/>
      <c r="AV296" s="895"/>
      <c r="AW296" s="895"/>
      <c r="AX296" s="895"/>
      <c r="AY296" s="831"/>
      <c r="AZ296" s="831"/>
      <c r="BA296" s="831"/>
      <c r="BB296" s="831"/>
    </row>
    <row r="297" spans="2:54" s="875" customFormat="1" outlineLevel="1">
      <c r="B297" s="879" t="s">
        <v>394</v>
      </c>
      <c r="C297" s="764"/>
      <c r="D297" s="765"/>
      <c r="E297" s="765"/>
      <c r="F297" s="766"/>
      <c r="G297" s="764">
        <v>-519</v>
      </c>
      <c r="H297" s="765">
        <v>-506</v>
      </c>
      <c r="I297" s="765">
        <v>-328</v>
      </c>
      <c r="J297" s="766">
        <v>-454</v>
      </c>
      <c r="K297" s="764">
        <v>-511</v>
      </c>
      <c r="L297" s="765">
        <v>-652</v>
      </c>
      <c r="M297" s="765">
        <v>-477</v>
      </c>
      <c r="N297" s="766">
        <v>-460</v>
      </c>
      <c r="O297" s="764">
        <v>-438</v>
      </c>
      <c r="P297" s="765">
        <v>-554</v>
      </c>
      <c r="Q297" s="765">
        <v>-538</v>
      </c>
      <c r="R297" s="766">
        <v>-726</v>
      </c>
      <c r="S297" s="764"/>
      <c r="T297" s="765"/>
      <c r="U297" s="765"/>
      <c r="V297" s="766"/>
      <c r="W297" s="764"/>
      <c r="X297" s="765"/>
      <c r="Y297" s="765"/>
      <c r="Z297" s="766"/>
      <c r="AA297" s="764"/>
      <c r="AB297" s="765"/>
      <c r="AC297" s="765"/>
      <c r="AD297" s="1089"/>
      <c r="AE297" s="764"/>
      <c r="AF297" s="765"/>
      <c r="AG297" s="765"/>
      <c r="AH297" s="1265"/>
      <c r="AI297" s="765"/>
      <c r="AJ297" s="765"/>
      <c r="AK297" s="765"/>
      <c r="AL297" s="766"/>
      <c r="AM297" s="765"/>
      <c r="AN297" s="765"/>
      <c r="AO297" s="765"/>
      <c r="AP297" s="766"/>
      <c r="AQ297" s="894"/>
      <c r="AS297" s="895"/>
      <c r="AT297" s="895"/>
      <c r="AU297" s="895"/>
      <c r="AV297" s="895"/>
      <c r="AW297" s="895"/>
      <c r="AX297" s="895"/>
      <c r="AY297" s="831"/>
      <c r="AZ297" s="831"/>
      <c r="BA297" s="831"/>
      <c r="BB297" s="831"/>
    </row>
    <row r="298" spans="2:54" s="875" customFormat="1" outlineLevel="1">
      <c r="B298" s="879" t="s">
        <v>469</v>
      </c>
      <c r="C298" s="764">
        <v>-21</v>
      </c>
      <c r="D298" s="765">
        <v>-21</v>
      </c>
      <c r="E298" s="765">
        <v>-42</v>
      </c>
      <c r="F298" s="766">
        <v>-75</v>
      </c>
      <c r="G298" s="764"/>
      <c r="H298" s="765"/>
      <c r="I298" s="765"/>
      <c r="J298" s="766"/>
      <c r="K298" s="764"/>
      <c r="L298" s="765"/>
      <c r="M298" s="765"/>
      <c r="N298" s="766"/>
      <c r="O298" s="764"/>
      <c r="P298" s="765"/>
      <c r="Q298" s="765"/>
      <c r="R298" s="766"/>
      <c r="S298" s="764"/>
      <c r="T298" s="765"/>
      <c r="U298" s="765"/>
      <c r="V298" s="766"/>
      <c r="W298" s="764"/>
      <c r="X298" s="765"/>
      <c r="Y298" s="765"/>
      <c r="Z298" s="766"/>
      <c r="AA298" s="764"/>
      <c r="AB298" s="765"/>
      <c r="AC298" s="765"/>
      <c r="AD298" s="1089"/>
      <c r="AE298" s="764"/>
      <c r="AF298" s="765"/>
      <c r="AG298" s="765"/>
      <c r="AH298" s="1265"/>
      <c r="AI298" s="765"/>
      <c r="AJ298" s="765"/>
      <c r="AK298" s="765"/>
      <c r="AL298" s="766"/>
      <c r="AM298" s="765"/>
      <c r="AN298" s="765"/>
      <c r="AO298" s="765"/>
      <c r="AP298" s="766"/>
      <c r="AQ298" s="894"/>
      <c r="AS298" s="895"/>
      <c r="AT298" s="895"/>
      <c r="AU298" s="895"/>
      <c r="AV298" s="895"/>
      <c r="AW298" s="895"/>
      <c r="AX298" s="895"/>
      <c r="AY298" s="831"/>
      <c r="AZ298" s="831"/>
      <c r="BA298" s="831"/>
      <c r="BB298" s="831"/>
    </row>
    <row r="299" spans="2:54" s="875" customFormat="1" outlineLevel="1">
      <c r="B299" s="879" t="s">
        <v>470</v>
      </c>
      <c r="C299" s="764">
        <v>-480</v>
      </c>
      <c r="D299" s="765">
        <v>-472</v>
      </c>
      <c r="E299" s="765">
        <v>-329</v>
      </c>
      <c r="F299" s="766">
        <v>-611</v>
      </c>
      <c r="G299" s="764"/>
      <c r="H299" s="765"/>
      <c r="I299" s="765"/>
      <c r="J299" s="766"/>
      <c r="K299" s="764"/>
      <c r="L299" s="765"/>
      <c r="M299" s="765"/>
      <c r="N299" s="766"/>
      <c r="O299" s="764"/>
      <c r="P299" s="765"/>
      <c r="Q299" s="765"/>
      <c r="R299" s="766"/>
      <c r="S299" s="764"/>
      <c r="T299" s="765"/>
      <c r="U299" s="765"/>
      <c r="V299" s="766"/>
      <c r="W299" s="764"/>
      <c r="X299" s="765"/>
      <c r="Y299" s="765"/>
      <c r="Z299" s="766"/>
      <c r="AA299" s="764"/>
      <c r="AB299" s="765"/>
      <c r="AC299" s="765"/>
      <c r="AD299" s="1089"/>
      <c r="AE299" s="764"/>
      <c r="AF299" s="765"/>
      <c r="AG299" s="765"/>
      <c r="AH299" s="1265"/>
      <c r="AI299" s="765"/>
      <c r="AJ299" s="765"/>
      <c r="AK299" s="765"/>
      <c r="AL299" s="766"/>
      <c r="AM299" s="765"/>
      <c r="AN299" s="765"/>
      <c r="AO299" s="765"/>
      <c r="AP299" s="766"/>
      <c r="AQ299" s="894"/>
      <c r="AS299" s="895"/>
      <c r="AT299" s="895"/>
      <c r="AU299" s="895"/>
      <c r="AV299" s="895"/>
      <c r="AW299" s="895"/>
      <c r="AX299" s="895"/>
      <c r="AY299" s="831"/>
      <c r="AZ299" s="831"/>
      <c r="BA299" s="831"/>
      <c r="BB299" s="831"/>
    </row>
    <row r="300" spans="2:54" s="892" customFormat="1">
      <c r="B300" s="890" t="s">
        <v>473</v>
      </c>
      <c r="C300" s="742">
        <f>SUM(C282:C299)</f>
        <v>3448</v>
      </c>
      <c r="D300" s="743">
        <f t="shared" ref="D300:N300" si="991">SUM(D282:D299)</f>
        <v>3981</v>
      </c>
      <c r="E300" s="743">
        <f t="shared" si="991"/>
        <v>4136</v>
      </c>
      <c r="F300" s="744">
        <f t="shared" si="991"/>
        <v>4347</v>
      </c>
      <c r="G300" s="742">
        <f t="shared" si="991"/>
        <v>4158</v>
      </c>
      <c r="H300" s="743">
        <f t="shared" si="991"/>
        <v>3935</v>
      </c>
      <c r="I300" s="743">
        <f t="shared" si="991"/>
        <v>4785</v>
      </c>
      <c r="J300" s="744">
        <f t="shared" si="991"/>
        <v>4599</v>
      </c>
      <c r="K300" s="742">
        <f t="shared" si="991"/>
        <v>3810</v>
      </c>
      <c r="L300" s="743">
        <f t="shared" si="991"/>
        <v>3832</v>
      </c>
      <c r="M300" s="743">
        <f t="shared" si="991"/>
        <v>3841</v>
      </c>
      <c r="N300" s="744">
        <f t="shared" si="991"/>
        <v>3155</v>
      </c>
      <c r="O300" s="742">
        <f>SUM(O284:O289)</f>
        <v>2519</v>
      </c>
      <c r="P300" s="743">
        <f>SUM(P284:P289)</f>
        <v>2719</v>
      </c>
      <c r="Q300" s="743">
        <f>SUM(Q284:Q289)</f>
        <v>3504</v>
      </c>
      <c r="R300" s="744">
        <f>SUM(R284:R289)</f>
        <v>3549</v>
      </c>
      <c r="S300" s="742">
        <f>SUM(S284:S289)</f>
        <v>2533</v>
      </c>
      <c r="T300" s="743">
        <f t="shared" ref="T300:V300" si="992">SUM(T284:T289)</f>
        <v>3844</v>
      </c>
      <c r="U300" s="743">
        <f t="shared" si="992"/>
        <v>4540</v>
      </c>
      <c r="V300" s="744">
        <f t="shared" si="992"/>
        <v>4453</v>
      </c>
      <c r="W300" s="742">
        <f>W280+W281+W286+W288+W289</f>
        <v>2615</v>
      </c>
      <c r="X300" s="743">
        <f t="shared" ref="X300:Z300" si="993">X280+X281+X286+X288+X289</f>
        <v>2896</v>
      </c>
      <c r="Y300" s="743">
        <f t="shared" si="993"/>
        <v>4192</v>
      </c>
      <c r="Z300" s="744">
        <f t="shared" si="993"/>
        <v>4299</v>
      </c>
      <c r="AA300" s="742">
        <f t="shared" ref="AA300:AF300" si="994">AA280+AA281+AA286+AA288+AA289+AA290+AA291+AA292+AA293</f>
        <v>2568</v>
      </c>
      <c r="AB300" s="743">
        <f t="shared" si="994"/>
        <v>1318</v>
      </c>
      <c r="AC300" s="743">
        <f t="shared" si="994"/>
        <v>4462</v>
      </c>
      <c r="AD300" s="744">
        <f t="shared" si="994"/>
        <v>4526</v>
      </c>
      <c r="AE300" s="742">
        <f t="shared" si="994"/>
        <v>3599</v>
      </c>
      <c r="AF300" s="743">
        <f t="shared" si="994"/>
        <v>3827</v>
      </c>
      <c r="AG300" s="743">
        <f t="shared" ref="AG300:AI300" si="995">AG280+AG281+AG286+AG288+AG289+AG290+AG291+AG292+AG293</f>
        <v>5115</v>
      </c>
      <c r="AH300" s="744">
        <f t="shared" si="995"/>
        <v>5395</v>
      </c>
      <c r="AI300" s="743">
        <f t="shared" si="995"/>
        <v>4470</v>
      </c>
      <c r="AJ300" s="743"/>
      <c r="AK300" s="743"/>
      <c r="AL300" s="744"/>
      <c r="AM300" s="743"/>
      <c r="AN300" s="743"/>
      <c r="AO300" s="743"/>
      <c r="AP300" s="744"/>
      <c r="AQ300" s="891"/>
      <c r="AS300" s="893"/>
      <c r="AT300" s="893"/>
      <c r="AU300" s="893"/>
      <c r="AV300" s="893"/>
      <c r="AW300" s="893"/>
      <c r="AX300" s="893"/>
      <c r="AY300" s="748"/>
      <c r="AZ300" s="748"/>
      <c r="BA300" s="748"/>
      <c r="BB300" s="748"/>
    </row>
    <row r="301" spans="2:54" s="875" customFormat="1">
      <c r="B301" s="896" t="s">
        <v>474</v>
      </c>
      <c r="C301" s="827"/>
      <c r="D301" s="828"/>
      <c r="E301" s="828"/>
      <c r="F301" s="829"/>
      <c r="G301" s="827"/>
      <c r="H301" s="828"/>
      <c r="I301" s="828"/>
      <c r="J301" s="829"/>
      <c r="K301" s="827"/>
      <c r="L301" s="828"/>
      <c r="M301" s="828"/>
      <c r="N301" s="829"/>
      <c r="O301" s="827"/>
      <c r="P301" s="828"/>
      <c r="Q301" s="828"/>
      <c r="R301" s="829"/>
      <c r="S301" s="897">
        <v>2510</v>
      </c>
      <c r="T301" s="898">
        <v>3844</v>
      </c>
      <c r="U301" s="898">
        <v>4540</v>
      </c>
      <c r="V301" s="899">
        <v>4453</v>
      </c>
      <c r="W301" s="897">
        <v>2615</v>
      </c>
      <c r="X301" s="898">
        <v>2896</v>
      </c>
      <c r="Y301" s="898">
        <v>4192</v>
      </c>
      <c r="Z301" s="899">
        <v>4299</v>
      </c>
      <c r="AA301" s="827"/>
      <c r="AB301" s="828"/>
      <c r="AC301" s="828"/>
      <c r="AD301" s="1079"/>
      <c r="AE301" s="828"/>
      <c r="AF301" s="828"/>
      <c r="AG301" s="828"/>
      <c r="AH301" s="1252"/>
      <c r="AI301" s="828"/>
      <c r="AJ301" s="828"/>
      <c r="AK301" s="828"/>
      <c r="AL301" s="829"/>
      <c r="AM301" s="828"/>
      <c r="AN301" s="828"/>
      <c r="AO301" s="828"/>
      <c r="AP301" s="829"/>
      <c r="AQ301" s="894"/>
      <c r="AS301" s="895"/>
      <c r="AT301" s="895"/>
      <c r="AU301" s="895"/>
      <c r="AV301" s="895"/>
      <c r="AW301" s="895"/>
      <c r="AX301" s="895"/>
      <c r="AY301" s="831"/>
      <c r="AZ301" s="831"/>
      <c r="BA301" s="831"/>
      <c r="BB301" s="831"/>
    </row>
    <row r="302" spans="2:54" s="875" customFormat="1">
      <c r="B302" s="900" t="s">
        <v>475</v>
      </c>
      <c r="C302" s="828"/>
      <c r="D302" s="828"/>
      <c r="E302" s="828"/>
      <c r="F302" s="829"/>
      <c r="G302" s="827"/>
      <c r="H302" s="828"/>
      <c r="I302" s="828"/>
      <c r="J302" s="829"/>
      <c r="K302" s="827"/>
      <c r="L302" s="828"/>
      <c r="M302" s="828"/>
      <c r="N302" s="829"/>
      <c r="O302" s="827"/>
      <c r="P302" s="828"/>
      <c r="Q302" s="828"/>
      <c r="R302" s="829"/>
      <c r="S302" s="897"/>
      <c r="T302" s="898"/>
      <c r="U302" s="898"/>
      <c r="V302" s="899"/>
      <c r="W302" s="897">
        <v>2615</v>
      </c>
      <c r="X302" s="898">
        <v>2897</v>
      </c>
      <c r="Y302" s="898">
        <v>4192</v>
      </c>
      <c r="Z302" s="899">
        <v>4298</v>
      </c>
      <c r="AA302" s="897">
        <v>2568</v>
      </c>
      <c r="AB302" s="898">
        <v>1318</v>
      </c>
      <c r="AC302" s="898">
        <v>4462</v>
      </c>
      <c r="AD302" s="1079"/>
      <c r="AE302" s="828"/>
      <c r="AF302" s="898"/>
      <c r="AG302" s="828"/>
      <c r="AH302" s="1252"/>
      <c r="AI302" s="828"/>
      <c r="AJ302" s="828"/>
      <c r="AK302" s="828"/>
      <c r="AL302" s="829"/>
      <c r="AM302" s="828"/>
      <c r="AN302" s="828"/>
      <c r="AO302" s="828"/>
      <c r="AP302" s="829"/>
      <c r="AQ302" s="894"/>
      <c r="AS302" s="895"/>
      <c r="AT302" s="895"/>
      <c r="AU302" s="895"/>
      <c r="AV302" s="895"/>
      <c r="AW302" s="895"/>
      <c r="AX302" s="895"/>
      <c r="AY302" s="831"/>
      <c r="AZ302" s="831"/>
      <c r="BA302" s="831"/>
      <c r="BB302" s="831"/>
    </row>
    <row r="303" spans="2:54" s="875" customFormat="1">
      <c r="B303" s="879"/>
      <c r="C303" s="827"/>
      <c r="D303" s="828"/>
      <c r="E303" s="828"/>
      <c r="F303" s="829"/>
      <c r="G303" s="827"/>
      <c r="H303" s="828"/>
      <c r="I303" s="828"/>
      <c r="J303" s="829"/>
      <c r="K303" s="827"/>
      <c r="L303" s="828"/>
      <c r="M303" s="828"/>
      <c r="N303" s="829"/>
      <c r="O303" s="827"/>
      <c r="P303" s="828"/>
      <c r="Q303" s="828"/>
      <c r="R303" s="829"/>
      <c r="S303" s="827"/>
      <c r="T303" s="828"/>
      <c r="U303" s="828"/>
      <c r="V303" s="829"/>
      <c r="W303" s="827"/>
      <c r="X303" s="828"/>
      <c r="Y303" s="828"/>
      <c r="Z303" s="829"/>
      <c r="AA303" s="827"/>
      <c r="AB303" s="828"/>
      <c r="AC303" s="898"/>
      <c r="AD303" s="829"/>
      <c r="AE303" s="828"/>
      <c r="AF303" s="828"/>
      <c r="AG303" s="828"/>
      <c r="AH303" s="1252"/>
      <c r="AI303" s="828"/>
      <c r="AJ303" s="828"/>
      <c r="AK303" s="828"/>
      <c r="AL303" s="829"/>
      <c r="AM303" s="828"/>
      <c r="AN303" s="828"/>
      <c r="AO303" s="828"/>
      <c r="AP303" s="829"/>
      <c r="AQ303" s="894"/>
      <c r="AS303" s="895"/>
      <c r="AT303" s="895"/>
      <c r="AU303" s="895"/>
      <c r="AV303" s="895"/>
      <c r="AW303" s="895"/>
      <c r="AX303" s="895"/>
      <c r="AY303" s="831"/>
      <c r="AZ303" s="831"/>
      <c r="BA303" s="831"/>
      <c r="BB303" s="831"/>
    </row>
    <row r="304" spans="2:54">
      <c r="B304" s="719" t="s">
        <v>476</v>
      </c>
      <c r="AL304" s="873"/>
      <c r="AP304" s="873"/>
    </row>
    <row r="305" spans="2:60" s="721" customFormat="1">
      <c r="B305" s="750" t="s">
        <v>477</v>
      </c>
      <c r="C305" s="751"/>
      <c r="D305" s="752"/>
      <c r="E305" s="752"/>
      <c r="F305" s="753"/>
      <c r="G305" s="751"/>
      <c r="H305" s="752"/>
      <c r="I305" s="752"/>
      <c r="J305" s="753"/>
      <c r="K305" s="751"/>
      <c r="L305" s="752"/>
      <c r="M305" s="752"/>
      <c r="N305" s="753"/>
      <c r="O305" s="751"/>
      <c r="P305" s="752"/>
      <c r="Q305" s="752"/>
      <c r="R305" s="753"/>
      <c r="S305" s="751"/>
      <c r="T305" s="752"/>
      <c r="U305" s="752"/>
      <c r="V305" s="753"/>
      <c r="W305" s="751"/>
      <c r="X305" s="752"/>
      <c r="Y305" s="752"/>
      <c r="Z305" s="753"/>
      <c r="AA305" s="751"/>
      <c r="AB305" s="752"/>
      <c r="AC305" s="752"/>
      <c r="AD305" s="753"/>
      <c r="AE305" s="752"/>
      <c r="AF305" s="752"/>
      <c r="AG305" s="752"/>
      <c r="AH305" s="1242"/>
      <c r="AI305" s="752"/>
      <c r="AJ305" s="752"/>
      <c r="AK305" s="752"/>
      <c r="AL305" s="753"/>
      <c r="AM305" s="752"/>
      <c r="AN305" s="752"/>
      <c r="AO305" s="752"/>
      <c r="AP305" s="753"/>
      <c r="AQ305" s="830"/>
      <c r="AR305" s="901" t="str">
        <f>B305</f>
        <v>CCG</v>
      </c>
      <c r="AS305" s="902"/>
      <c r="AT305" s="902"/>
      <c r="AU305" s="902"/>
      <c r="AV305" s="902"/>
      <c r="AW305" s="902"/>
      <c r="AX305" s="902"/>
      <c r="AY305" s="902"/>
      <c r="AZ305" s="902"/>
      <c r="BA305" s="902"/>
      <c r="BB305" s="902"/>
    </row>
    <row r="306" spans="2:60" s="906" customFormat="1">
      <c r="B306" s="725" t="s">
        <v>478</v>
      </c>
      <c r="C306" s="903"/>
      <c r="D306" s="904"/>
      <c r="E306" s="904"/>
      <c r="F306" s="905"/>
      <c r="G306" s="903"/>
      <c r="H306" s="904"/>
      <c r="I306" s="904"/>
      <c r="J306" s="905"/>
      <c r="K306" s="903"/>
      <c r="L306" s="904"/>
      <c r="M306" s="904"/>
      <c r="N306" s="905"/>
      <c r="O306" s="903"/>
      <c r="P306" s="904"/>
      <c r="Q306" s="904"/>
      <c r="R306" s="905"/>
      <c r="S306" s="903"/>
      <c r="T306" s="904"/>
      <c r="U306" s="904"/>
      <c r="V306" s="905"/>
      <c r="W306" s="903"/>
      <c r="X306" s="904"/>
      <c r="Y306" s="904"/>
      <c r="Z306" s="905"/>
      <c r="AA306" s="903"/>
      <c r="AB306" s="904"/>
      <c r="AC306" s="904"/>
      <c r="AD306" s="905"/>
      <c r="AE306" s="904"/>
      <c r="AF306" s="904"/>
      <c r="AG306" s="904"/>
      <c r="AH306" s="1269"/>
      <c r="AI306" s="904"/>
      <c r="AJ306" s="904"/>
      <c r="AK306" s="904"/>
      <c r="AL306" s="905"/>
      <c r="AM306" s="904"/>
      <c r="AN306" s="904"/>
      <c r="AO306" s="904"/>
      <c r="AP306" s="905"/>
      <c r="AQ306" s="877"/>
      <c r="AR306" s="907"/>
      <c r="AS306" s="908"/>
      <c r="AT306" s="908"/>
      <c r="AU306" s="908"/>
      <c r="AV306" s="908"/>
      <c r="AW306" s="908"/>
      <c r="AX306" s="908"/>
      <c r="AY306" s="938"/>
      <c r="AZ306" s="938"/>
      <c r="BA306" s="938"/>
      <c r="BB306" s="938"/>
    </row>
    <row r="307" spans="2:60" s="918" customFormat="1">
      <c r="B307" s="754" t="s">
        <v>97</v>
      </c>
      <c r="C307" s="909"/>
      <c r="D307" s="910"/>
      <c r="E307" s="910"/>
      <c r="F307" s="911"/>
      <c r="G307" s="909"/>
      <c r="H307" s="910"/>
      <c r="I307" s="910"/>
      <c r="J307" s="911"/>
      <c r="K307" s="909"/>
      <c r="L307" s="912"/>
      <c r="M307" s="912"/>
      <c r="N307" s="913"/>
      <c r="O307" s="914"/>
      <c r="P307" s="912"/>
      <c r="Q307" s="912"/>
      <c r="R307" s="913"/>
      <c r="S307" s="914"/>
      <c r="T307" s="912"/>
      <c r="U307" s="912"/>
      <c r="V307" s="913"/>
      <c r="W307" s="914">
        <v>-0.18</v>
      </c>
      <c r="X307" s="912">
        <v>0</v>
      </c>
      <c r="Y307" s="912">
        <v>0.03</v>
      </c>
      <c r="Z307" s="913">
        <v>0</v>
      </c>
      <c r="AA307" s="914">
        <v>-0.17</v>
      </c>
      <c r="AB307" s="912">
        <v>-0.01</v>
      </c>
      <c r="AC307" s="912"/>
      <c r="AD307" s="913"/>
      <c r="AE307" s="912"/>
      <c r="AF307" s="912"/>
      <c r="AG307" s="912"/>
      <c r="AH307" s="1248"/>
      <c r="AI307" s="912"/>
      <c r="AJ307" s="912"/>
      <c r="AK307" s="912"/>
      <c r="AL307" s="913"/>
      <c r="AM307" s="912"/>
      <c r="AN307" s="912"/>
      <c r="AO307" s="912"/>
      <c r="AP307" s="913"/>
      <c r="AQ307" s="916"/>
      <c r="AR307" s="917"/>
      <c r="AS307" s="915"/>
      <c r="AT307" s="915"/>
      <c r="AU307" s="915"/>
      <c r="AV307" s="915"/>
      <c r="AW307" s="915"/>
      <c r="AX307" s="915"/>
      <c r="AY307" s="915"/>
      <c r="AZ307" s="915"/>
      <c r="BA307" s="915"/>
      <c r="BB307" s="915"/>
      <c r="BC307" s="915"/>
      <c r="BD307" s="915"/>
      <c r="BE307" s="915"/>
      <c r="BF307" s="915"/>
      <c r="BG307" s="915"/>
      <c r="BH307" s="915"/>
    </row>
    <row r="308" spans="2:60" s="918" customFormat="1">
      <c r="B308" s="754" t="s">
        <v>98</v>
      </c>
      <c r="C308" s="909"/>
      <c r="D308" s="910"/>
      <c r="E308" s="910"/>
      <c r="F308" s="911"/>
      <c r="G308" s="909"/>
      <c r="H308" s="910"/>
      <c r="I308" s="910"/>
      <c r="J308" s="911"/>
      <c r="K308" s="909"/>
      <c r="L308" s="912"/>
      <c r="M308" s="912"/>
      <c r="N308" s="913"/>
      <c r="O308" s="914"/>
      <c r="P308" s="912"/>
      <c r="Q308" s="912"/>
      <c r="R308" s="913"/>
      <c r="S308" s="914"/>
      <c r="T308" s="912"/>
      <c r="U308" s="912"/>
      <c r="V308" s="913"/>
      <c r="W308" s="914">
        <v>0.06</v>
      </c>
      <c r="X308" s="912">
        <v>-0.1</v>
      </c>
      <c r="Y308" s="912">
        <v>-0.19</v>
      </c>
      <c r="Z308" s="913">
        <v>-0.16</v>
      </c>
      <c r="AA308" s="914">
        <v>-0.15</v>
      </c>
      <c r="AB308" s="912">
        <v>-0.15</v>
      </c>
      <c r="AC308" s="912"/>
      <c r="AD308" s="913"/>
      <c r="AE308" s="912"/>
      <c r="AF308" s="912"/>
      <c r="AG308" s="912"/>
      <c r="AH308" s="1248"/>
      <c r="AI308" s="912"/>
      <c r="AJ308" s="912"/>
      <c r="AK308" s="912"/>
      <c r="AL308" s="913"/>
      <c r="AM308" s="912"/>
      <c r="AN308" s="912"/>
      <c r="AO308" s="912"/>
      <c r="AP308" s="913"/>
      <c r="AQ308" s="916"/>
      <c r="AR308" s="917" t="str">
        <f t="shared" ref="AR308" si="996">B308</f>
        <v>Y/Y Change</v>
      </c>
      <c r="AS308" s="915"/>
      <c r="AT308" s="915"/>
      <c r="AU308" s="915"/>
      <c r="AV308" s="915"/>
      <c r="AW308" s="915"/>
      <c r="AX308" s="915">
        <v>-0.11</v>
      </c>
      <c r="AY308" s="915"/>
      <c r="AZ308" s="915"/>
      <c r="BA308" s="915"/>
      <c r="BB308" s="915"/>
      <c r="BC308" s="915"/>
      <c r="BD308" s="915"/>
      <c r="BE308" s="915"/>
      <c r="BF308" s="915"/>
      <c r="BG308" s="915"/>
      <c r="BH308" s="915"/>
    </row>
    <row r="309" spans="2:60" s="906" customFormat="1">
      <c r="B309" s="725" t="s">
        <v>479</v>
      </c>
      <c r="C309" s="919"/>
      <c r="D309" s="920"/>
      <c r="E309" s="920"/>
      <c r="F309" s="921"/>
      <c r="G309" s="919"/>
      <c r="H309" s="920"/>
      <c r="I309" s="920"/>
      <c r="J309" s="921"/>
      <c r="K309" s="919"/>
      <c r="L309" s="922"/>
      <c r="M309" s="922"/>
      <c r="N309" s="923"/>
      <c r="O309" s="924"/>
      <c r="P309" s="922"/>
      <c r="Q309" s="922"/>
      <c r="R309" s="923"/>
      <c r="S309" s="924"/>
      <c r="T309" s="922"/>
      <c r="U309" s="922"/>
      <c r="V309" s="923"/>
      <c r="W309" s="924"/>
      <c r="X309" s="922"/>
      <c r="Y309" s="922"/>
      <c r="Z309" s="923"/>
      <c r="AA309" s="924"/>
      <c r="AB309" s="922"/>
      <c r="AC309" s="922"/>
      <c r="AD309" s="923"/>
      <c r="AE309" s="922"/>
      <c r="AF309" s="922"/>
      <c r="AG309" s="922"/>
      <c r="AH309" s="1270"/>
      <c r="AI309" s="922"/>
      <c r="AJ309" s="922"/>
      <c r="AK309" s="922"/>
      <c r="AL309" s="923"/>
      <c r="AM309" s="922"/>
      <c r="AN309" s="922"/>
      <c r="AO309" s="922"/>
      <c r="AP309" s="923"/>
      <c r="AQ309" s="760"/>
      <c r="AR309" s="907"/>
      <c r="AS309" s="925"/>
      <c r="AT309" s="925"/>
      <c r="AU309" s="925"/>
      <c r="AV309" s="925"/>
      <c r="AW309" s="925"/>
      <c r="AX309" s="925"/>
      <c r="AY309" s="925"/>
      <c r="AZ309" s="925"/>
      <c r="BA309" s="925"/>
      <c r="BB309" s="925"/>
      <c r="BC309" s="925"/>
      <c r="BD309" s="925"/>
      <c r="BE309" s="925"/>
      <c r="BF309" s="925"/>
      <c r="BG309" s="925"/>
      <c r="BH309" s="925"/>
    </row>
    <row r="310" spans="2:60" s="918" customFormat="1">
      <c r="B310" s="754" t="s">
        <v>97</v>
      </c>
      <c r="C310" s="926"/>
      <c r="D310" s="927"/>
      <c r="E310" s="927"/>
      <c r="F310" s="928"/>
      <c r="G310" s="926"/>
      <c r="H310" s="927"/>
      <c r="I310" s="927"/>
      <c r="J310" s="928"/>
      <c r="K310" s="926"/>
      <c r="L310" s="912"/>
      <c r="M310" s="912"/>
      <c r="N310" s="913"/>
      <c r="O310" s="914"/>
      <c r="P310" s="912"/>
      <c r="Q310" s="912"/>
      <c r="R310" s="913"/>
      <c r="S310" s="914"/>
      <c r="T310" s="912"/>
      <c r="U310" s="912"/>
      <c r="V310" s="913"/>
      <c r="W310" s="914">
        <v>0.01</v>
      </c>
      <c r="X310" s="912">
        <v>0.02</v>
      </c>
      <c r="Y310" s="912">
        <v>0.09</v>
      </c>
      <c r="Z310" s="913">
        <v>0.05</v>
      </c>
      <c r="AA310" s="914">
        <v>0.02</v>
      </c>
      <c r="AB310" s="912">
        <v>-0.03</v>
      </c>
      <c r="AC310" s="912"/>
      <c r="AD310" s="913"/>
      <c r="AE310" s="912"/>
      <c r="AF310" s="912"/>
      <c r="AG310" s="912"/>
      <c r="AH310" s="1248"/>
      <c r="AI310" s="912"/>
      <c r="AJ310" s="912"/>
      <c r="AK310" s="912"/>
      <c r="AL310" s="913"/>
      <c r="AM310" s="912"/>
      <c r="AN310" s="912"/>
      <c r="AO310" s="912"/>
      <c r="AP310" s="913"/>
      <c r="AQ310" s="916"/>
      <c r="AR310" s="917"/>
      <c r="AS310" s="915"/>
      <c r="AT310" s="915"/>
      <c r="AU310" s="915"/>
      <c r="AV310" s="915"/>
      <c r="AW310" s="915"/>
      <c r="AX310" s="915"/>
      <c r="AY310" s="915"/>
      <c r="AZ310" s="915"/>
      <c r="BA310" s="915"/>
      <c r="BB310" s="915"/>
      <c r="BC310" s="915"/>
      <c r="BD310" s="915"/>
      <c r="BE310" s="915"/>
      <c r="BF310" s="915"/>
      <c r="BG310" s="915"/>
      <c r="BH310" s="915"/>
    </row>
    <row r="311" spans="2:60" s="918" customFormat="1">
      <c r="B311" s="754" t="s">
        <v>98</v>
      </c>
      <c r="C311" s="926"/>
      <c r="D311" s="927"/>
      <c r="E311" s="927"/>
      <c r="F311" s="928"/>
      <c r="G311" s="926"/>
      <c r="H311" s="927"/>
      <c r="I311" s="927"/>
      <c r="J311" s="928"/>
      <c r="K311" s="926"/>
      <c r="L311" s="912"/>
      <c r="M311" s="912"/>
      <c r="N311" s="913"/>
      <c r="O311" s="914"/>
      <c r="P311" s="912"/>
      <c r="Q311" s="912"/>
      <c r="R311" s="913"/>
      <c r="S311" s="914"/>
      <c r="T311" s="912"/>
      <c r="U311" s="912"/>
      <c r="V311" s="913"/>
      <c r="W311" s="914">
        <v>-0.13</v>
      </c>
      <c r="X311" s="912">
        <v>-0.03</v>
      </c>
      <c r="Y311" s="912">
        <v>0.15</v>
      </c>
      <c r="Z311" s="913">
        <v>0.17</v>
      </c>
      <c r="AA311" s="914">
        <v>0.19</v>
      </c>
      <c r="AB311" s="912">
        <v>0.13</v>
      </c>
      <c r="AC311" s="912"/>
      <c r="AD311" s="913"/>
      <c r="AE311" s="912"/>
      <c r="AF311" s="912"/>
      <c r="AG311" s="912"/>
      <c r="AH311" s="1248"/>
      <c r="AI311" s="912"/>
      <c r="AJ311" s="912"/>
      <c r="AK311" s="912"/>
      <c r="AL311" s="913"/>
      <c r="AM311" s="912"/>
      <c r="AN311" s="912"/>
      <c r="AO311" s="912"/>
      <c r="AP311" s="913"/>
      <c r="AQ311" s="916"/>
      <c r="AR311" s="917" t="str">
        <f t="shared" ref="AR311:AR344" si="997">B311</f>
        <v>Y/Y Change</v>
      </c>
      <c r="AS311" s="915"/>
      <c r="AT311" s="915"/>
      <c r="AU311" s="915"/>
      <c r="AV311" s="915"/>
      <c r="AW311" s="915"/>
      <c r="AX311" s="915">
        <v>0.04</v>
      </c>
      <c r="AY311" s="915"/>
      <c r="AZ311" s="915"/>
      <c r="BA311" s="915"/>
      <c r="BB311" s="915"/>
      <c r="BC311" s="915"/>
      <c r="BD311" s="915"/>
      <c r="BE311" s="915"/>
      <c r="BF311" s="915"/>
      <c r="BG311" s="915"/>
      <c r="BH311" s="915"/>
    </row>
    <row r="312" spans="2:60" s="721" customFormat="1">
      <c r="B312" s="750" t="s">
        <v>480</v>
      </c>
      <c r="C312" s="751"/>
      <c r="D312" s="752"/>
      <c r="E312" s="752"/>
      <c r="F312" s="753"/>
      <c r="G312" s="751"/>
      <c r="H312" s="752"/>
      <c r="I312" s="752"/>
      <c r="J312" s="753"/>
      <c r="K312" s="751"/>
      <c r="L312" s="752"/>
      <c r="M312" s="752"/>
      <c r="N312" s="753"/>
      <c r="O312" s="751"/>
      <c r="P312" s="752"/>
      <c r="Q312" s="752"/>
      <c r="R312" s="753"/>
      <c r="S312" s="751"/>
      <c r="T312" s="752"/>
      <c r="U312" s="752"/>
      <c r="V312" s="753"/>
      <c r="W312" s="751"/>
      <c r="X312" s="752"/>
      <c r="Y312" s="752"/>
      <c r="Z312" s="753"/>
      <c r="AA312" s="751"/>
      <c r="AB312" s="752"/>
      <c r="AC312" s="752"/>
      <c r="AD312" s="753"/>
      <c r="AE312" s="752"/>
      <c r="AF312" s="752"/>
      <c r="AG312" s="752"/>
      <c r="AH312" s="1242"/>
      <c r="AI312" s="752"/>
      <c r="AJ312" s="752"/>
      <c r="AK312" s="752"/>
      <c r="AL312" s="753"/>
      <c r="AM312" s="752"/>
      <c r="AN312" s="752"/>
      <c r="AO312" s="752"/>
      <c r="AP312" s="753"/>
      <c r="AQ312" s="830"/>
      <c r="AR312" s="901" t="str">
        <f>B312</f>
        <v>PCCG</v>
      </c>
      <c r="AS312" s="902"/>
      <c r="AT312" s="902"/>
      <c r="AU312" s="902"/>
      <c r="AV312" s="902"/>
      <c r="AW312" s="902"/>
      <c r="AX312" s="902"/>
      <c r="AY312" s="902"/>
      <c r="AZ312" s="902"/>
      <c r="BA312" s="902"/>
      <c r="BB312" s="902"/>
    </row>
    <row r="313" spans="2:60" s="906" customFormat="1" ht="25.5">
      <c r="B313" s="749" t="s">
        <v>478</v>
      </c>
      <c r="C313" s="903" t="s">
        <v>481</v>
      </c>
      <c r="D313" s="904"/>
      <c r="E313" s="904"/>
      <c r="F313" s="905"/>
      <c r="G313" s="903"/>
      <c r="H313" s="904"/>
      <c r="I313" s="904"/>
      <c r="J313" s="905"/>
      <c r="K313" s="903"/>
      <c r="L313" s="904"/>
      <c r="M313" s="904"/>
      <c r="N313" s="905"/>
      <c r="O313" s="903"/>
      <c r="P313" s="904"/>
      <c r="Q313" s="904"/>
      <c r="R313" s="905"/>
      <c r="S313" s="903"/>
      <c r="T313" s="904"/>
      <c r="U313" s="904"/>
      <c r="V313" s="905"/>
      <c r="W313" s="903"/>
      <c r="X313" s="904"/>
      <c r="Y313" s="904"/>
      <c r="Z313" s="905"/>
      <c r="AA313" s="903"/>
      <c r="AB313" s="904"/>
      <c r="AC313" s="904"/>
      <c r="AD313" s="905"/>
      <c r="AE313" s="904"/>
      <c r="AF313" s="904"/>
      <c r="AG313" s="904"/>
      <c r="AH313" s="1269"/>
      <c r="AI313" s="904"/>
      <c r="AJ313" s="904"/>
      <c r="AK313" s="904"/>
      <c r="AL313" s="905"/>
      <c r="AM313" s="904"/>
      <c r="AN313" s="904"/>
      <c r="AO313" s="904"/>
      <c r="AP313" s="905"/>
      <c r="AQ313" s="830"/>
      <c r="AR313" s="929" t="str">
        <f t="shared" si="997"/>
        <v>Total Unit</v>
      </c>
      <c r="AS313" s="908"/>
      <c r="AT313" s="908"/>
      <c r="AU313" s="908"/>
      <c r="AV313" s="908"/>
      <c r="AW313" s="908"/>
      <c r="AX313" s="908"/>
      <c r="AY313" s="938"/>
      <c r="AZ313" s="938"/>
      <c r="BA313" s="938"/>
      <c r="BB313" s="938"/>
    </row>
    <row r="314" spans="2:60" s="918" customFormat="1">
      <c r="B314" s="754" t="s">
        <v>97</v>
      </c>
      <c r="C314" s="909"/>
      <c r="D314" s="910"/>
      <c r="E314" s="910"/>
      <c r="F314" s="911"/>
      <c r="G314" s="909"/>
      <c r="H314" s="910"/>
      <c r="I314" s="910"/>
      <c r="J314" s="911"/>
      <c r="K314" s="909"/>
      <c r="L314" s="912">
        <v>0.03</v>
      </c>
      <c r="M314" s="912">
        <v>0.01</v>
      </c>
      <c r="N314" s="913">
        <v>-0.04</v>
      </c>
      <c r="O314" s="914">
        <v>-0.06</v>
      </c>
      <c r="P314" s="912">
        <v>0.05</v>
      </c>
      <c r="Q314" s="912">
        <v>0.02</v>
      </c>
      <c r="R314" s="913">
        <v>0.03</v>
      </c>
      <c r="S314" s="914">
        <v>-0.08</v>
      </c>
      <c r="T314" s="912">
        <v>0.12</v>
      </c>
      <c r="U314" s="912">
        <v>7.0000000000000007E-2</v>
      </c>
      <c r="V314" s="913">
        <v>-0.05</v>
      </c>
      <c r="W314" s="914"/>
      <c r="X314" s="912"/>
      <c r="Y314" s="912"/>
      <c r="Z314" s="913"/>
      <c r="AA314" s="914"/>
      <c r="AB314" s="912"/>
      <c r="AC314" s="912"/>
      <c r="AD314" s="913"/>
      <c r="AE314" s="912"/>
      <c r="AF314" s="912"/>
      <c r="AG314" s="912"/>
      <c r="AH314" s="1248"/>
      <c r="AI314" s="912"/>
      <c r="AJ314" s="912"/>
      <c r="AK314" s="912"/>
      <c r="AL314" s="913"/>
      <c r="AM314" s="912"/>
      <c r="AN314" s="912"/>
      <c r="AO314" s="912"/>
      <c r="AP314" s="913"/>
      <c r="AQ314" s="916"/>
      <c r="AR314" s="917" t="str">
        <f t="shared" si="997"/>
        <v>Q/Q Change</v>
      </c>
      <c r="AS314" s="915"/>
      <c r="AT314" s="915"/>
      <c r="AU314" s="915"/>
      <c r="AV314" s="915"/>
      <c r="AW314" s="915"/>
      <c r="AX314" s="915"/>
      <c r="AY314" s="915"/>
      <c r="AZ314" s="915"/>
      <c r="BA314" s="915"/>
      <c r="BB314" s="915"/>
      <c r="BC314" s="915"/>
      <c r="BD314" s="915"/>
      <c r="BE314" s="915"/>
      <c r="BF314" s="915"/>
      <c r="BG314" s="915"/>
      <c r="BH314" s="915"/>
    </row>
    <row r="315" spans="2:60" s="918" customFormat="1">
      <c r="B315" s="754" t="s">
        <v>98</v>
      </c>
      <c r="C315" s="909"/>
      <c r="D315" s="910"/>
      <c r="E315" s="910"/>
      <c r="F315" s="911"/>
      <c r="G315" s="909"/>
      <c r="H315" s="910"/>
      <c r="I315" s="910"/>
      <c r="J315" s="911"/>
      <c r="K315" s="909"/>
      <c r="L315" s="912">
        <v>7.0000000000000007E-2</v>
      </c>
      <c r="M315" s="912">
        <v>-0.04</v>
      </c>
      <c r="N315" s="913">
        <v>-0.06</v>
      </c>
      <c r="O315" s="914">
        <v>-7.0000000000000007E-2</v>
      </c>
      <c r="P315" s="912">
        <v>-0.05</v>
      </c>
      <c r="Q315" s="912">
        <v>-0.04</v>
      </c>
      <c r="R315" s="913">
        <v>0.03</v>
      </c>
      <c r="S315" s="914">
        <v>0.01</v>
      </c>
      <c r="T315" s="912">
        <v>0.09</v>
      </c>
      <c r="U315" s="912">
        <v>0.15</v>
      </c>
      <c r="V315" s="913">
        <v>0.06</v>
      </c>
      <c r="W315" s="914"/>
      <c r="X315" s="912"/>
      <c r="Y315" s="912"/>
      <c r="Z315" s="913"/>
      <c r="AA315" s="914"/>
      <c r="AB315" s="912"/>
      <c r="AC315" s="912"/>
      <c r="AD315" s="913"/>
      <c r="AE315" s="912"/>
      <c r="AF315" s="912"/>
      <c r="AG315" s="912"/>
      <c r="AH315" s="1248"/>
      <c r="AI315" s="912"/>
      <c r="AJ315" s="912"/>
      <c r="AK315" s="912"/>
      <c r="AL315" s="913"/>
      <c r="AM315" s="912"/>
      <c r="AN315" s="912"/>
      <c r="AO315" s="912"/>
      <c r="AP315" s="913"/>
      <c r="AQ315" s="916"/>
      <c r="AR315" s="917" t="str">
        <f t="shared" si="997"/>
        <v>Y/Y Change</v>
      </c>
      <c r="AS315" s="915"/>
      <c r="AT315" s="915"/>
      <c r="AU315" s="915">
        <v>-0.01</v>
      </c>
      <c r="AV315" s="915">
        <v>-0.03</v>
      </c>
      <c r="AW315" s="915">
        <v>0.08</v>
      </c>
      <c r="AX315" s="915"/>
      <c r="AY315" s="915"/>
      <c r="AZ315" s="915"/>
      <c r="BA315" s="915"/>
      <c r="BB315" s="915"/>
      <c r="BC315" s="915"/>
      <c r="BD315" s="915"/>
      <c r="BE315" s="915"/>
      <c r="BF315" s="915"/>
      <c r="BG315" s="915"/>
      <c r="BH315" s="915"/>
    </row>
    <row r="316" spans="2:60" s="906" customFormat="1">
      <c r="B316" s="725" t="s">
        <v>479</v>
      </c>
      <c r="C316" s="919"/>
      <c r="D316" s="920"/>
      <c r="E316" s="920"/>
      <c r="F316" s="921"/>
      <c r="G316" s="919"/>
      <c r="H316" s="920"/>
      <c r="I316" s="920"/>
      <c r="J316" s="921"/>
      <c r="K316" s="919"/>
      <c r="L316" s="922"/>
      <c r="M316" s="922"/>
      <c r="N316" s="923"/>
      <c r="O316" s="924"/>
      <c r="P316" s="922"/>
      <c r="Q316" s="922"/>
      <c r="R316" s="923"/>
      <c r="S316" s="924"/>
      <c r="T316" s="922"/>
      <c r="U316" s="922"/>
      <c r="V316" s="923"/>
      <c r="W316" s="924"/>
      <c r="X316" s="922"/>
      <c r="Y316" s="922"/>
      <c r="Z316" s="923"/>
      <c r="AA316" s="924"/>
      <c r="AB316" s="922"/>
      <c r="AC316" s="922"/>
      <c r="AD316" s="923"/>
      <c r="AE316" s="922"/>
      <c r="AF316" s="922"/>
      <c r="AG316" s="922"/>
      <c r="AH316" s="1270"/>
      <c r="AI316" s="922"/>
      <c r="AJ316" s="922"/>
      <c r="AK316" s="922"/>
      <c r="AL316" s="923"/>
      <c r="AM316" s="922"/>
      <c r="AN316" s="922"/>
      <c r="AO316" s="922"/>
      <c r="AP316" s="923"/>
      <c r="AQ316" s="760"/>
      <c r="AR316" s="907" t="str">
        <f t="shared" si="997"/>
        <v>Blended ASP</v>
      </c>
      <c r="AS316" s="925"/>
      <c r="AT316" s="925"/>
      <c r="AU316" s="925"/>
      <c r="AV316" s="925"/>
      <c r="AW316" s="925"/>
      <c r="AX316" s="925"/>
      <c r="AY316" s="925"/>
      <c r="AZ316" s="925"/>
      <c r="BA316" s="925"/>
      <c r="BB316" s="925"/>
      <c r="BC316" s="925"/>
      <c r="BD316" s="925"/>
      <c r="BE316" s="925"/>
      <c r="BF316" s="925"/>
      <c r="BG316" s="925"/>
      <c r="BH316" s="925"/>
    </row>
    <row r="317" spans="2:60" s="918" customFormat="1">
      <c r="B317" s="754" t="s">
        <v>97</v>
      </c>
      <c r="C317" s="926"/>
      <c r="D317" s="927"/>
      <c r="E317" s="927"/>
      <c r="F317" s="928"/>
      <c r="G317" s="926"/>
      <c r="H317" s="927"/>
      <c r="I317" s="927"/>
      <c r="J317" s="928"/>
      <c r="K317" s="926"/>
      <c r="L317" s="912">
        <v>-0.02</v>
      </c>
      <c r="M317" s="912">
        <v>-0.01</v>
      </c>
      <c r="N317" s="913">
        <v>0.02</v>
      </c>
      <c r="O317" s="914">
        <v>0.01</v>
      </c>
      <c r="P317" s="912">
        <v>-0.03</v>
      </c>
      <c r="Q317" s="912">
        <v>0</v>
      </c>
      <c r="R317" s="913">
        <v>0</v>
      </c>
      <c r="S317" s="914">
        <v>-0.01</v>
      </c>
      <c r="T317" s="912">
        <v>-0.03</v>
      </c>
      <c r="U317" s="912">
        <v>-0.02</v>
      </c>
      <c r="V317" s="913">
        <v>0.03</v>
      </c>
      <c r="W317" s="914"/>
      <c r="X317" s="912"/>
      <c r="Y317" s="912"/>
      <c r="Z317" s="913"/>
      <c r="AA317" s="914"/>
      <c r="AB317" s="912"/>
      <c r="AC317" s="912"/>
      <c r="AD317" s="913"/>
      <c r="AE317" s="912"/>
      <c r="AF317" s="912"/>
      <c r="AG317" s="912"/>
      <c r="AH317" s="1248"/>
      <c r="AI317" s="912"/>
      <c r="AJ317" s="912"/>
      <c r="AK317" s="912"/>
      <c r="AL317" s="913"/>
      <c r="AM317" s="912"/>
      <c r="AN317" s="912"/>
      <c r="AO317" s="912"/>
      <c r="AP317" s="913"/>
      <c r="AQ317" s="916"/>
      <c r="AR317" s="917" t="str">
        <f t="shared" si="997"/>
        <v>Q/Q Change</v>
      </c>
      <c r="AS317" s="915"/>
      <c r="AT317" s="915"/>
      <c r="AU317" s="915"/>
      <c r="AV317" s="915"/>
      <c r="AW317" s="915"/>
      <c r="AX317" s="915"/>
      <c r="AY317" s="915"/>
      <c r="AZ317" s="915"/>
      <c r="BA317" s="915"/>
      <c r="BB317" s="915"/>
      <c r="BC317" s="915"/>
      <c r="BD317" s="915"/>
      <c r="BE317" s="915"/>
      <c r="BF317" s="915"/>
      <c r="BG317" s="915"/>
      <c r="BH317" s="915"/>
    </row>
    <row r="318" spans="2:60" s="918" customFormat="1">
      <c r="B318" s="754" t="s">
        <v>98</v>
      </c>
      <c r="C318" s="926"/>
      <c r="D318" s="927"/>
      <c r="E318" s="927"/>
      <c r="F318" s="928"/>
      <c r="G318" s="926"/>
      <c r="H318" s="927"/>
      <c r="I318" s="927"/>
      <c r="J318" s="928"/>
      <c r="K318" s="926"/>
      <c r="L318" s="912">
        <v>-0.02</v>
      </c>
      <c r="M318" s="912">
        <v>-0.04</v>
      </c>
      <c r="N318" s="913">
        <v>0</v>
      </c>
      <c r="O318" s="914">
        <v>0.01</v>
      </c>
      <c r="P318" s="912">
        <v>0</v>
      </c>
      <c r="Q318" s="912">
        <v>0.01</v>
      </c>
      <c r="R318" s="913">
        <v>-0.02</v>
      </c>
      <c r="S318" s="914">
        <v>-0.03</v>
      </c>
      <c r="T318" s="912">
        <v>-0.04</v>
      </c>
      <c r="U318" s="912">
        <v>-0.05</v>
      </c>
      <c r="V318" s="913">
        <v>-0.02</v>
      </c>
      <c r="W318" s="914"/>
      <c r="X318" s="912"/>
      <c r="Y318" s="912"/>
      <c r="Z318" s="913"/>
      <c r="AA318" s="914"/>
      <c r="AB318" s="912"/>
      <c r="AC318" s="912"/>
      <c r="AD318" s="913"/>
      <c r="AE318" s="912"/>
      <c r="AF318" s="912"/>
      <c r="AG318" s="912"/>
      <c r="AH318" s="1248"/>
      <c r="AI318" s="912"/>
      <c r="AJ318" s="912"/>
      <c r="AK318" s="912"/>
      <c r="AL318" s="913"/>
      <c r="AM318" s="912"/>
      <c r="AN318" s="912"/>
      <c r="AO318" s="912"/>
      <c r="AP318" s="913"/>
      <c r="AQ318" s="916"/>
      <c r="AR318" s="917" t="str">
        <f t="shared" si="997"/>
        <v>Y/Y Change</v>
      </c>
      <c r="AS318" s="915"/>
      <c r="AT318" s="915"/>
      <c r="AU318" s="915">
        <v>-0.02</v>
      </c>
      <c r="AV318" s="915">
        <v>0</v>
      </c>
      <c r="AW318" s="915">
        <v>-0.04</v>
      </c>
      <c r="AX318" s="915"/>
      <c r="AY318" s="915"/>
      <c r="AZ318" s="915"/>
      <c r="BA318" s="915"/>
      <c r="BB318" s="915"/>
      <c r="BC318" s="915"/>
      <c r="BD318" s="915"/>
      <c r="BE318" s="915"/>
      <c r="BF318" s="915"/>
      <c r="BG318" s="915"/>
      <c r="BH318" s="915"/>
    </row>
    <row r="319" spans="2:60" s="906" customFormat="1">
      <c r="B319" s="930" t="s">
        <v>332</v>
      </c>
      <c r="C319" s="931"/>
      <c r="D319" s="932"/>
      <c r="E319" s="932"/>
      <c r="F319" s="933"/>
      <c r="G319" s="931"/>
      <c r="H319" s="932"/>
      <c r="I319" s="932"/>
      <c r="J319" s="933"/>
      <c r="K319" s="931"/>
      <c r="L319" s="932"/>
      <c r="M319" s="932"/>
      <c r="N319" s="933"/>
      <c r="O319" s="931"/>
      <c r="P319" s="932"/>
      <c r="Q319" s="932"/>
      <c r="R319" s="933"/>
      <c r="S319" s="931"/>
      <c r="T319" s="932"/>
      <c r="U319" s="932"/>
      <c r="V319" s="933"/>
      <c r="W319" s="931"/>
      <c r="X319" s="932"/>
      <c r="Y319" s="932"/>
      <c r="Z319" s="933"/>
      <c r="AA319" s="931"/>
      <c r="AB319" s="932"/>
      <c r="AC319" s="932"/>
      <c r="AD319" s="933"/>
      <c r="AE319" s="932"/>
      <c r="AF319" s="932"/>
      <c r="AG319" s="932"/>
      <c r="AH319" s="1271"/>
      <c r="AI319" s="932"/>
      <c r="AJ319" s="932"/>
      <c r="AK319" s="932"/>
      <c r="AL319" s="933"/>
      <c r="AM319" s="932"/>
      <c r="AN319" s="932"/>
      <c r="AO319" s="932"/>
      <c r="AP319" s="933"/>
      <c r="AQ319" s="935"/>
      <c r="AR319" s="936" t="str">
        <f t="shared" si="997"/>
        <v>Desktop</v>
      </c>
      <c r="AS319" s="937"/>
      <c r="AT319" s="937"/>
      <c r="AU319" s="937"/>
      <c r="AV319" s="937"/>
      <c r="AW319" s="937"/>
      <c r="AX319" s="937"/>
      <c r="AY319" s="937"/>
      <c r="AZ319" s="937"/>
      <c r="BA319" s="937"/>
      <c r="BB319" s="937"/>
      <c r="BC319" s="934"/>
      <c r="BD319" s="934"/>
      <c r="BE319" s="934"/>
      <c r="BF319" s="934"/>
      <c r="BG319" s="934"/>
      <c r="BH319" s="934"/>
    </row>
    <row r="320" spans="2:60" s="906" customFormat="1" ht="51">
      <c r="B320" s="725" t="s">
        <v>338</v>
      </c>
      <c r="C320" s="919"/>
      <c r="D320" s="920"/>
      <c r="E320" s="920"/>
      <c r="F320" s="921"/>
      <c r="G320" s="919"/>
      <c r="H320" s="920"/>
      <c r="I320" s="920"/>
      <c r="J320" s="921"/>
      <c r="K320" s="919"/>
      <c r="L320" s="904"/>
      <c r="M320" s="904" t="s">
        <v>482</v>
      </c>
      <c r="N320" s="905"/>
      <c r="O320" s="903"/>
      <c r="P320" s="904"/>
      <c r="Q320" s="904"/>
      <c r="R320" s="905"/>
      <c r="S320" s="903"/>
      <c r="T320" s="904"/>
      <c r="U320" s="904"/>
      <c r="V320" s="905"/>
      <c r="W320" s="903"/>
      <c r="X320" s="904"/>
      <c r="Y320" s="904"/>
      <c r="Z320" s="905"/>
      <c r="AA320" s="903"/>
      <c r="AB320" s="904"/>
      <c r="AC320" s="904"/>
      <c r="AD320" s="905"/>
      <c r="AE320" s="904"/>
      <c r="AF320" s="904"/>
      <c r="AG320" s="904"/>
      <c r="AH320" s="1269"/>
      <c r="AI320" s="904"/>
      <c r="AJ320" s="904"/>
      <c r="AK320" s="904"/>
      <c r="AL320" s="905"/>
      <c r="AM320" s="904"/>
      <c r="AN320" s="904"/>
      <c r="AO320" s="904"/>
      <c r="AP320" s="905"/>
      <c r="AQ320" s="940"/>
      <c r="AR320" s="907" t="str">
        <f t="shared" si="997"/>
        <v>Unit</v>
      </c>
      <c r="AS320" s="939"/>
      <c r="AT320" s="939"/>
      <c r="AU320" s="939"/>
      <c r="AV320" s="939"/>
      <c r="AW320" s="939"/>
      <c r="AX320" s="939"/>
      <c r="AY320" s="939"/>
      <c r="AZ320" s="939"/>
      <c r="BA320" s="939"/>
      <c r="BB320" s="939"/>
      <c r="BC320" s="939"/>
      <c r="BD320" s="939"/>
      <c r="BE320" s="939"/>
      <c r="BF320" s="939"/>
      <c r="BG320" s="939"/>
      <c r="BH320" s="939"/>
    </row>
    <row r="321" spans="2:60" s="918" customFormat="1">
      <c r="B321" s="754" t="s">
        <v>97</v>
      </c>
      <c r="C321" s="926"/>
      <c r="D321" s="927"/>
      <c r="E321" s="927"/>
      <c r="F321" s="928"/>
      <c r="G321" s="926"/>
      <c r="H321" s="927"/>
      <c r="I321" s="927"/>
      <c r="J321" s="928"/>
      <c r="K321" s="926"/>
      <c r="L321" s="912">
        <v>-0.06</v>
      </c>
      <c r="M321" s="912"/>
      <c r="N321" s="913"/>
      <c r="O321" s="914"/>
      <c r="P321" s="912"/>
      <c r="Q321" s="912"/>
      <c r="R321" s="913"/>
      <c r="S321" s="914"/>
      <c r="T321" s="912"/>
      <c r="U321" s="912"/>
      <c r="V321" s="913">
        <v>-0.02</v>
      </c>
      <c r="W321" s="914"/>
      <c r="X321" s="912"/>
      <c r="Y321" s="912"/>
      <c r="Z321" s="913"/>
      <c r="AA321" s="914"/>
      <c r="AB321" s="912"/>
      <c r="AC321" s="912"/>
      <c r="AD321" s="913"/>
      <c r="AE321" s="912"/>
      <c r="AF321" s="912"/>
      <c r="AG321" s="912"/>
      <c r="AH321" s="1248"/>
      <c r="AI321" s="912"/>
      <c r="AJ321" s="912"/>
      <c r="AK321" s="912"/>
      <c r="AL321" s="913"/>
      <c r="AM321" s="912"/>
      <c r="AN321" s="912"/>
      <c r="AO321" s="912"/>
      <c r="AP321" s="913"/>
      <c r="AQ321" s="941"/>
      <c r="AR321" s="917" t="str">
        <f t="shared" si="997"/>
        <v>Q/Q Change</v>
      </c>
      <c r="AS321" s="915"/>
      <c r="AT321" s="915"/>
      <c r="AU321" s="915"/>
      <c r="AV321" s="915"/>
      <c r="AW321" s="915"/>
      <c r="AX321" s="915"/>
      <c r="AY321" s="915"/>
      <c r="AZ321" s="915"/>
      <c r="BA321" s="915"/>
      <c r="BB321" s="915"/>
      <c r="BC321" s="942"/>
      <c r="BD321" s="942"/>
      <c r="BE321" s="942"/>
      <c r="BF321" s="942"/>
      <c r="BG321" s="942"/>
      <c r="BH321" s="942"/>
    </row>
    <row r="322" spans="2:60" s="918" customFormat="1">
      <c r="B322" s="754" t="s">
        <v>98</v>
      </c>
      <c r="C322" s="926"/>
      <c r="D322" s="927"/>
      <c r="E322" s="927"/>
      <c r="F322" s="928"/>
      <c r="G322" s="926"/>
      <c r="H322" s="927"/>
      <c r="I322" s="927"/>
      <c r="J322" s="928"/>
      <c r="K322" s="926"/>
      <c r="L322" s="912"/>
      <c r="M322" s="912">
        <v>-0.06</v>
      </c>
      <c r="N322" s="913">
        <v>-0.05</v>
      </c>
      <c r="O322" s="914">
        <v>-7.0000000000000007E-2</v>
      </c>
      <c r="P322" s="912">
        <v>-0.03</v>
      </c>
      <c r="Q322" s="912">
        <v>-0.05</v>
      </c>
      <c r="R322" s="913">
        <v>7.0000000000000007E-2</v>
      </c>
      <c r="S322" s="914">
        <v>0</v>
      </c>
      <c r="T322" s="912">
        <v>0.08</v>
      </c>
      <c r="U322" s="912">
        <v>0.06</v>
      </c>
      <c r="V322" s="913">
        <v>-0.01</v>
      </c>
      <c r="W322" s="914">
        <v>-0.16</v>
      </c>
      <c r="X322" s="912">
        <v>-0.22</v>
      </c>
      <c r="Y322" s="912">
        <v>-0.15</v>
      </c>
      <c r="Z322" s="913">
        <v>-0.09</v>
      </c>
      <c r="AA322" s="914">
        <v>-0.04</v>
      </c>
      <c r="AB322" s="912">
        <v>-7.0000000000000007E-2</v>
      </c>
      <c r="AC322" s="912">
        <v>-0.06</v>
      </c>
      <c r="AD322" s="913"/>
      <c r="AE322" s="912"/>
      <c r="AF322" s="912"/>
      <c r="AG322" s="912"/>
      <c r="AH322" s="1248"/>
      <c r="AI322" s="912"/>
      <c r="AJ322" s="912"/>
      <c r="AK322" s="912"/>
      <c r="AL322" s="913"/>
      <c r="AM322" s="912"/>
      <c r="AN322" s="912"/>
      <c r="AO322" s="912"/>
      <c r="AP322" s="913"/>
      <c r="AQ322" s="941"/>
      <c r="AR322" s="917" t="str">
        <f t="shared" si="997"/>
        <v>Y/Y Change</v>
      </c>
      <c r="AS322" s="915"/>
      <c r="AT322" s="915"/>
      <c r="AU322" s="915"/>
      <c r="AV322" s="915">
        <v>-0.02</v>
      </c>
      <c r="AW322" s="915">
        <v>0.03</v>
      </c>
      <c r="AX322" s="915">
        <v>-0.16</v>
      </c>
      <c r="AY322" s="915"/>
      <c r="AZ322" s="915"/>
      <c r="BA322" s="915"/>
      <c r="BB322" s="915"/>
      <c r="BC322" s="942"/>
      <c r="BD322" s="942"/>
      <c r="BE322" s="942"/>
      <c r="BF322" s="942"/>
      <c r="BG322" s="942"/>
      <c r="BH322" s="942"/>
    </row>
    <row r="323" spans="2:60" s="906" customFormat="1">
      <c r="B323" s="725" t="s">
        <v>483</v>
      </c>
      <c r="C323" s="919"/>
      <c r="D323" s="920"/>
      <c r="E323" s="920"/>
      <c r="F323" s="921"/>
      <c r="G323" s="919"/>
      <c r="H323" s="920"/>
      <c r="I323" s="920"/>
      <c r="J323" s="921"/>
      <c r="K323" s="919"/>
      <c r="L323" s="920"/>
      <c r="M323" s="920"/>
      <c r="N323" s="921"/>
      <c r="O323" s="919"/>
      <c r="P323" s="920"/>
      <c r="Q323" s="920"/>
      <c r="R323" s="921"/>
      <c r="S323" s="919"/>
      <c r="T323" s="920"/>
      <c r="U323" s="920"/>
      <c r="V323" s="921"/>
      <c r="W323" s="919"/>
      <c r="X323" s="920"/>
      <c r="Y323" s="920"/>
      <c r="Z323" s="921"/>
      <c r="AA323" s="919"/>
      <c r="AB323" s="920"/>
      <c r="AC323" s="920"/>
      <c r="AD323" s="921"/>
      <c r="AE323" s="920"/>
      <c r="AF323" s="920"/>
      <c r="AG323" s="920"/>
      <c r="AH323" s="1272"/>
      <c r="AI323" s="920"/>
      <c r="AJ323" s="920"/>
      <c r="AK323" s="920"/>
      <c r="AL323" s="921"/>
      <c r="AM323" s="920"/>
      <c r="AN323" s="920"/>
      <c r="AO323" s="920"/>
      <c r="AP323" s="921"/>
      <c r="AQ323" s="935"/>
      <c r="AR323" s="907" t="str">
        <f t="shared" si="997"/>
        <v>ASP</v>
      </c>
      <c r="AS323" s="938"/>
      <c r="AT323" s="938"/>
      <c r="AU323" s="938"/>
      <c r="AV323" s="938"/>
      <c r="AW323" s="938"/>
      <c r="AX323" s="938"/>
      <c r="AY323" s="938"/>
      <c r="AZ323" s="938"/>
      <c r="BA323" s="938"/>
      <c r="BB323" s="938"/>
      <c r="BC323" s="934"/>
      <c r="BD323" s="934"/>
      <c r="BE323" s="934"/>
      <c r="BF323" s="934"/>
      <c r="BG323" s="934"/>
      <c r="BH323" s="934"/>
    </row>
    <row r="324" spans="2:60" s="918" customFormat="1">
      <c r="B324" s="754" t="s">
        <v>97</v>
      </c>
      <c r="C324" s="926"/>
      <c r="D324" s="927"/>
      <c r="E324" s="927"/>
      <c r="F324" s="928"/>
      <c r="G324" s="926"/>
      <c r="H324" s="927"/>
      <c r="I324" s="927"/>
      <c r="J324" s="928"/>
      <c r="K324" s="926"/>
      <c r="L324" s="912">
        <v>0</v>
      </c>
      <c r="M324" s="927"/>
      <c r="N324" s="913"/>
      <c r="O324" s="914"/>
      <c r="P324" s="912"/>
      <c r="Q324" s="912"/>
      <c r="R324" s="913"/>
      <c r="S324" s="914"/>
      <c r="T324" s="912"/>
      <c r="U324" s="912"/>
      <c r="V324" s="913">
        <v>0.01</v>
      </c>
      <c r="W324" s="914"/>
      <c r="X324" s="912"/>
      <c r="Y324" s="912"/>
      <c r="Z324" s="913"/>
      <c r="AA324" s="914"/>
      <c r="AB324" s="912"/>
      <c r="AC324" s="912"/>
      <c r="AD324" s="913"/>
      <c r="AE324" s="912"/>
      <c r="AF324" s="912"/>
      <c r="AG324" s="912"/>
      <c r="AH324" s="1248"/>
      <c r="AI324" s="912"/>
      <c r="AJ324" s="912"/>
      <c r="AK324" s="912"/>
      <c r="AL324" s="913"/>
      <c r="AM324" s="912"/>
      <c r="AN324" s="912"/>
      <c r="AO324" s="912"/>
      <c r="AP324" s="913"/>
      <c r="AQ324" s="941"/>
      <c r="AR324" s="917" t="str">
        <f t="shared" si="997"/>
        <v>Q/Q Change</v>
      </c>
      <c r="AS324" s="915"/>
      <c r="AT324" s="915"/>
      <c r="AU324" s="915"/>
      <c r="AV324" s="915"/>
      <c r="AW324" s="915"/>
      <c r="AX324" s="915"/>
      <c r="AY324" s="915"/>
      <c r="AZ324" s="915"/>
      <c r="BA324" s="915"/>
      <c r="BB324" s="915"/>
      <c r="BC324" s="942"/>
      <c r="BD324" s="942"/>
      <c r="BE324" s="942"/>
      <c r="BF324" s="942"/>
      <c r="BG324" s="942"/>
      <c r="BH324" s="942"/>
    </row>
    <row r="325" spans="2:60" s="918" customFormat="1">
      <c r="B325" s="754" t="s">
        <v>98</v>
      </c>
      <c r="C325" s="926"/>
      <c r="D325" s="927"/>
      <c r="E325" s="927"/>
      <c r="F325" s="928"/>
      <c r="G325" s="926"/>
      <c r="H325" s="927"/>
      <c r="I325" s="927"/>
      <c r="J325" s="928"/>
      <c r="K325" s="926"/>
      <c r="L325" s="912"/>
      <c r="M325" s="927"/>
      <c r="N325" s="913">
        <v>0.04</v>
      </c>
      <c r="O325" s="914">
        <v>0.05</v>
      </c>
      <c r="P325" s="912">
        <v>0.06</v>
      </c>
      <c r="Q325" s="912">
        <v>0.06</v>
      </c>
      <c r="R325" s="913">
        <v>0.05</v>
      </c>
      <c r="S325" s="914">
        <v>0.04</v>
      </c>
      <c r="T325" s="912">
        <v>0.02</v>
      </c>
      <c r="U325" s="912">
        <v>0.02</v>
      </c>
      <c r="V325" s="913">
        <v>0</v>
      </c>
      <c r="W325" s="914">
        <v>0.02</v>
      </c>
      <c r="X325" s="912">
        <v>0.06</v>
      </c>
      <c r="Y325" s="912">
        <v>0.08</v>
      </c>
      <c r="Z325" s="913">
        <v>0.09</v>
      </c>
      <c r="AA325" s="914">
        <v>0.06</v>
      </c>
      <c r="AB325" s="912">
        <v>0.01</v>
      </c>
      <c r="AC325" s="912">
        <v>0</v>
      </c>
      <c r="AD325" s="913"/>
      <c r="AE325" s="912"/>
      <c r="AF325" s="912"/>
      <c r="AG325" s="912"/>
      <c r="AH325" s="1248"/>
      <c r="AI325" s="912"/>
      <c r="AJ325" s="912"/>
      <c r="AK325" s="912"/>
      <c r="AL325" s="913"/>
      <c r="AM325" s="912"/>
      <c r="AN325" s="912"/>
      <c r="AO325" s="912"/>
      <c r="AP325" s="913"/>
      <c r="AQ325" s="941"/>
      <c r="AR325" s="917" t="str">
        <f t="shared" si="997"/>
        <v>Y/Y Change</v>
      </c>
      <c r="AS325" s="915"/>
      <c r="AT325" s="915"/>
      <c r="AU325" s="915"/>
      <c r="AV325" s="915">
        <v>0.06</v>
      </c>
      <c r="AW325" s="915">
        <v>0.02</v>
      </c>
      <c r="AX325" s="915">
        <v>0.06</v>
      </c>
      <c r="AY325" s="915"/>
      <c r="AZ325" s="915"/>
      <c r="BA325" s="915"/>
      <c r="BB325" s="915"/>
      <c r="BC325" s="942"/>
      <c r="BD325" s="942"/>
      <c r="BE325" s="942"/>
      <c r="BF325" s="942"/>
      <c r="BG325" s="942"/>
      <c r="BH325" s="942"/>
    </row>
    <row r="326" spans="2:60" s="906" customFormat="1">
      <c r="B326" s="930" t="s">
        <v>333</v>
      </c>
      <c r="C326" s="931"/>
      <c r="D326" s="932"/>
      <c r="E326" s="932"/>
      <c r="F326" s="933"/>
      <c r="G326" s="931"/>
      <c r="H326" s="932"/>
      <c r="I326" s="932"/>
      <c r="J326" s="933"/>
      <c r="K326" s="931"/>
      <c r="L326" s="932"/>
      <c r="M326" s="932"/>
      <c r="N326" s="933"/>
      <c r="O326" s="931"/>
      <c r="P326" s="932"/>
      <c r="Q326" s="932"/>
      <c r="R326" s="933"/>
      <c r="S326" s="931"/>
      <c r="T326" s="932"/>
      <c r="U326" s="932"/>
      <c r="V326" s="933"/>
      <c r="W326" s="931"/>
      <c r="X326" s="932"/>
      <c r="Y326" s="932"/>
      <c r="Z326" s="933"/>
      <c r="AA326" s="931"/>
      <c r="AB326" s="932"/>
      <c r="AC326" s="932"/>
      <c r="AD326" s="933"/>
      <c r="AE326" s="932"/>
      <c r="AF326" s="932"/>
      <c r="AG326" s="932"/>
      <c r="AH326" s="1271"/>
      <c r="AI326" s="932"/>
      <c r="AJ326" s="932"/>
      <c r="AK326" s="932"/>
      <c r="AL326" s="933"/>
      <c r="AM326" s="932"/>
      <c r="AN326" s="932"/>
      <c r="AO326" s="932"/>
      <c r="AP326" s="933"/>
      <c r="AQ326" s="935"/>
      <c r="AR326" s="936" t="str">
        <f t="shared" si="997"/>
        <v>Notebook</v>
      </c>
      <c r="AS326" s="937"/>
      <c r="AT326" s="937"/>
      <c r="AU326" s="937"/>
      <c r="AV326" s="937"/>
      <c r="AW326" s="937"/>
      <c r="AX326" s="937"/>
      <c r="AY326" s="937"/>
      <c r="AZ326" s="937"/>
      <c r="BA326" s="937"/>
      <c r="BB326" s="937"/>
      <c r="BC326" s="934"/>
      <c r="BD326" s="934"/>
      <c r="BE326" s="934"/>
      <c r="BF326" s="934"/>
      <c r="BG326" s="934"/>
      <c r="BH326" s="934"/>
    </row>
    <row r="327" spans="2:60" s="906" customFormat="1" ht="51">
      <c r="B327" s="725" t="s">
        <v>338</v>
      </c>
      <c r="C327" s="919"/>
      <c r="D327" s="920"/>
      <c r="E327" s="920"/>
      <c r="F327" s="921"/>
      <c r="G327" s="919"/>
      <c r="H327" s="920"/>
      <c r="I327" s="904" t="s">
        <v>484</v>
      </c>
      <c r="J327" s="921"/>
      <c r="K327" s="919"/>
      <c r="L327" s="904"/>
      <c r="M327" s="904" t="s">
        <v>485</v>
      </c>
      <c r="N327" s="905"/>
      <c r="O327" s="903"/>
      <c r="P327" s="904"/>
      <c r="Q327" s="904"/>
      <c r="R327" s="905"/>
      <c r="S327" s="903"/>
      <c r="T327" s="904"/>
      <c r="U327" s="904"/>
      <c r="V327" s="905"/>
      <c r="W327" s="903"/>
      <c r="X327" s="904"/>
      <c r="Y327" s="904"/>
      <c r="Z327" s="905"/>
      <c r="AA327" s="903"/>
      <c r="AB327" s="904"/>
      <c r="AC327" s="904"/>
      <c r="AD327" s="905"/>
      <c r="AE327" s="904"/>
      <c r="AF327" s="904"/>
      <c r="AG327" s="904"/>
      <c r="AH327" s="1269"/>
      <c r="AI327" s="904"/>
      <c r="AJ327" s="904"/>
      <c r="AK327" s="904"/>
      <c r="AL327" s="905"/>
      <c r="AM327" s="904"/>
      <c r="AN327" s="904"/>
      <c r="AO327" s="904"/>
      <c r="AP327" s="905"/>
      <c r="AQ327" s="940"/>
      <c r="AR327" s="907" t="str">
        <f t="shared" si="997"/>
        <v>Unit</v>
      </c>
      <c r="AS327" s="939"/>
      <c r="AT327" s="939"/>
      <c r="AU327" s="939"/>
      <c r="AV327" s="939"/>
      <c r="AW327" s="939"/>
      <c r="AX327" s="939"/>
      <c r="AY327" s="939"/>
      <c r="AZ327" s="939"/>
      <c r="BA327" s="939"/>
      <c r="BB327" s="939"/>
      <c r="BC327" s="939"/>
      <c r="BD327" s="939"/>
      <c r="BE327" s="939"/>
      <c r="BF327" s="939"/>
      <c r="BG327" s="939"/>
      <c r="BH327" s="939"/>
    </row>
    <row r="328" spans="2:60" s="918" customFormat="1">
      <c r="B328" s="754" t="s">
        <v>97</v>
      </c>
      <c r="C328" s="926"/>
      <c r="D328" s="927"/>
      <c r="E328" s="927"/>
      <c r="F328" s="928"/>
      <c r="G328" s="926"/>
      <c r="H328" s="927"/>
      <c r="I328" s="910"/>
      <c r="J328" s="928"/>
      <c r="K328" s="926"/>
      <c r="L328" s="912">
        <v>0.1</v>
      </c>
      <c r="M328" s="927"/>
      <c r="N328" s="913"/>
      <c r="O328" s="914"/>
      <c r="P328" s="912"/>
      <c r="Q328" s="912"/>
      <c r="R328" s="913"/>
      <c r="S328" s="914"/>
      <c r="T328" s="912"/>
      <c r="U328" s="912"/>
      <c r="V328" s="913">
        <v>-0.06</v>
      </c>
      <c r="W328" s="914"/>
      <c r="X328" s="912"/>
      <c r="Y328" s="912"/>
      <c r="Z328" s="913"/>
      <c r="AA328" s="914"/>
      <c r="AB328" s="912"/>
      <c r="AC328" s="912"/>
      <c r="AD328" s="913"/>
      <c r="AE328" s="912"/>
      <c r="AF328" s="912"/>
      <c r="AG328" s="912"/>
      <c r="AH328" s="1248"/>
      <c r="AI328" s="912"/>
      <c r="AJ328" s="912"/>
      <c r="AK328" s="912"/>
      <c r="AL328" s="913"/>
      <c r="AM328" s="912"/>
      <c r="AN328" s="912"/>
      <c r="AO328" s="912"/>
      <c r="AP328" s="913"/>
      <c r="AQ328" s="941"/>
      <c r="AR328" s="917" t="str">
        <f t="shared" si="997"/>
        <v>Q/Q Change</v>
      </c>
      <c r="AS328" s="915"/>
      <c r="AT328" s="915"/>
      <c r="AU328" s="915"/>
      <c r="AV328" s="915"/>
      <c r="AW328" s="915"/>
      <c r="AX328" s="915"/>
      <c r="AY328" s="915"/>
      <c r="AZ328" s="915"/>
      <c r="BA328" s="915"/>
      <c r="BB328" s="915"/>
      <c r="BC328" s="942"/>
      <c r="BD328" s="942"/>
      <c r="BE328" s="942"/>
      <c r="BF328" s="942"/>
      <c r="BG328" s="942"/>
      <c r="BH328" s="942"/>
    </row>
    <row r="329" spans="2:60" s="918" customFormat="1">
      <c r="B329" s="754" t="s">
        <v>98</v>
      </c>
      <c r="C329" s="926"/>
      <c r="D329" s="927"/>
      <c r="E329" s="927"/>
      <c r="F329" s="928"/>
      <c r="G329" s="926"/>
      <c r="H329" s="927"/>
      <c r="I329" s="910"/>
      <c r="J329" s="928"/>
      <c r="K329" s="926"/>
      <c r="L329" s="912"/>
      <c r="M329" s="927"/>
      <c r="N329" s="913">
        <v>0.02</v>
      </c>
      <c r="O329" s="914">
        <v>-0.06</v>
      </c>
      <c r="P329" s="912">
        <v>-7.0000000000000007E-2</v>
      </c>
      <c r="Q329" s="912">
        <v>-0.03</v>
      </c>
      <c r="R329" s="913">
        <v>0</v>
      </c>
      <c r="S329" s="914">
        <v>0.02</v>
      </c>
      <c r="T329" s="912">
        <v>0.09</v>
      </c>
      <c r="U329" s="912">
        <v>0.21</v>
      </c>
      <c r="V329" s="913">
        <v>0.11</v>
      </c>
      <c r="W329" s="914">
        <v>0.03</v>
      </c>
      <c r="X329" s="912">
        <v>-0.11</v>
      </c>
      <c r="Y329" s="912">
        <v>-0.14000000000000001</v>
      </c>
      <c r="Z329" s="913">
        <v>-0.1</v>
      </c>
      <c r="AA329" s="914">
        <v>-0.02</v>
      </c>
      <c r="AB329" s="912">
        <v>-0.05</v>
      </c>
      <c r="AC329" s="912">
        <v>0.04</v>
      </c>
      <c r="AD329" s="913"/>
      <c r="AE329" s="912"/>
      <c r="AF329" s="912"/>
      <c r="AG329" s="912"/>
      <c r="AH329" s="1248"/>
      <c r="AI329" s="912"/>
      <c r="AJ329" s="912"/>
      <c r="AK329" s="912"/>
      <c r="AL329" s="913"/>
      <c r="AM329" s="912"/>
      <c r="AN329" s="912"/>
      <c r="AO329" s="912"/>
      <c r="AP329" s="913"/>
      <c r="AQ329" s="941"/>
      <c r="AR329" s="917" t="str">
        <f t="shared" si="997"/>
        <v>Y/Y Change</v>
      </c>
      <c r="AS329" s="915"/>
      <c r="AT329" s="915"/>
      <c r="AU329" s="915"/>
      <c r="AV329" s="915">
        <v>-0.04</v>
      </c>
      <c r="AW329" s="915">
        <v>0.11</v>
      </c>
      <c r="AX329" s="915">
        <v>-0.09</v>
      </c>
      <c r="AY329" s="915"/>
      <c r="AZ329" s="915"/>
      <c r="BA329" s="915"/>
      <c r="BB329" s="915"/>
      <c r="BC329" s="942"/>
      <c r="BD329" s="942"/>
      <c r="BE329" s="942"/>
      <c r="BF329" s="942"/>
      <c r="BG329" s="942"/>
      <c r="BH329" s="942"/>
    </row>
    <row r="330" spans="2:60" s="906" customFormat="1" ht="51">
      <c r="B330" s="725" t="s">
        <v>483</v>
      </c>
      <c r="C330" s="943" t="s">
        <v>486</v>
      </c>
      <c r="D330" s="944"/>
      <c r="E330" s="944"/>
      <c r="F330" s="945"/>
      <c r="G330" s="943"/>
      <c r="H330" s="944"/>
      <c r="I330" s="944"/>
      <c r="J330" s="945"/>
      <c r="K330" s="943"/>
      <c r="L330" s="904"/>
      <c r="M330" s="904" t="s">
        <v>487</v>
      </c>
      <c r="N330" s="905"/>
      <c r="O330" s="903"/>
      <c r="P330" s="904"/>
      <c r="Q330" s="904"/>
      <c r="R330" s="905"/>
      <c r="S330" s="903"/>
      <c r="T330" s="904"/>
      <c r="U330" s="904"/>
      <c r="V330" s="905"/>
      <c r="W330" s="903"/>
      <c r="X330" s="904"/>
      <c r="Y330" s="904"/>
      <c r="Z330" s="905"/>
      <c r="AA330" s="903"/>
      <c r="AB330" s="904"/>
      <c r="AC330" s="904"/>
      <c r="AD330" s="905"/>
      <c r="AE330" s="904"/>
      <c r="AF330" s="904"/>
      <c r="AG330" s="904"/>
      <c r="AH330" s="1269"/>
      <c r="AI330" s="904"/>
      <c r="AJ330" s="904"/>
      <c r="AK330" s="904"/>
      <c r="AL330" s="905"/>
      <c r="AM330" s="904"/>
      <c r="AN330" s="904"/>
      <c r="AO330" s="904"/>
      <c r="AP330" s="905"/>
      <c r="AQ330" s="940"/>
      <c r="AR330" s="907" t="str">
        <f t="shared" si="997"/>
        <v>ASP</v>
      </c>
      <c r="AS330" s="939"/>
      <c r="AT330" s="939"/>
      <c r="AU330" s="939"/>
      <c r="AV330" s="939"/>
      <c r="AW330" s="939"/>
      <c r="AX330" s="939"/>
      <c r="AY330" s="939"/>
      <c r="AZ330" s="939"/>
      <c r="BA330" s="939"/>
      <c r="BB330" s="939"/>
      <c r="BC330" s="939"/>
      <c r="BD330" s="939"/>
      <c r="BE330" s="939"/>
      <c r="BF330" s="939"/>
      <c r="BG330" s="939"/>
      <c r="BH330" s="939"/>
    </row>
    <row r="331" spans="2:60" s="918" customFormat="1">
      <c r="B331" s="754" t="s">
        <v>97</v>
      </c>
      <c r="C331" s="926"/>
      <c r="D331" s="927"/>
      <c r="E331" s="927"/>
      <c r="F331" s="928"/>
      <c r="G331" s="926"/>
      <c r="H331" s="927"/>
      <c r="I331" s="927"/>
      <c r="J331" s="928"/>
      <c r="K331" s="926"/>
      <c r="L331" s="912">
        <v>-0.03</v>
      </c>
      <c r="M331" s="927"/>
      <c r="N331" s="913"/>
      <c r="O331" s="914"/>
      <c r="P331" s="912"/>
      <c r="Q331" s="912"/>
      <c r="R331" s="913"/>
      <c r="S331" s="914"/>
      <c r="T331" s="912"/>
      <c r="U331" s="912"/>
      <c r="V331" s="913">
        <v>0.05</v>
      </c>
      <c r="W331" s="914"/>
      <c r="X331" s="912"/>
      <c r="Y331" s="912"/>
      <c r="Z331" s="913"/>
      <c r="AA331" s="914"/>
      <c r="AB331" s="912"/>
      <c r="AC331" s="912"/>
      <c r="AD331" s="913"/>
      <c r="AE331" s="912"/>
      <c r="AF331" s="912"/>
      <c r="AG331" s="912"/>
      <c r="AH331" s="1248"/>
      <c r="AI331" s="912"/>
      <c r="AJ331" s="912"/>
      <c r="AK331" s="912"/>
      <c r="AL331" s="913"/>
      <c r="AM331" s="912"/>
      <c r="AN331" s="912"/>
      <c r="AO331" s="912"/>
      <c r="AP331" s="913"/>
      <c r="AQ331" s="941"/>
      <c r="AR331" s="917" t="str">
        <f t="shared" si="997"/>
        <v>Q/Q Change</v>
      </c>
      <c r="AS331" s="915"/>
      <c r="AT331" s="915"/>
      <c r="AU331" s="915"/>
      <c r="AV331" s="915"/>
      <c r="AW331" s="915"/>
      <c r="AX331" s="915"/>
      <c r="AY331" s="915"/>
      <c r="AZ331" s="915"/>
      <c r="BA331" s="915"/>
      <c r="BB331" s="915"/>
      <c r="BC331" s="942"/>
      <c r="BD331" s="942"/>
      <c r="BE331" s="942"/>
      <c r="BF331" s="942"/>
      <c r="BG331" s="942"/>
      <c r="BH331" s="942"/>
    </row>
    <row r="332" spans="2:60" s="918" customFormat="1">
      <c r="B332" s="754" t="s">
        <v>98</v>
      </c>
      <c r="C332" s="926"/>
      <c r="D332" s="927"/>
      <c r="E332" s="927"/>
      <c r="F332" s="928"/>
      <c r="G332" s="926"/>
      <c r="H332" s="927"/>
      <c r="I332" s="927"/>
      <c r="J332" s="928"/>
      <c r="K332" s="926"/>
      <c r="L332" s="927"/>
      <c r="M332" s="912">
        <v>-0.08</v>
      </c>
      <c r="N332" s="913">
        <v>-0.06</v>
      </c>
      <c r="O332" s="914">
        <v>-0.02</v>
      </c>
      <c r="P332" s="912">
        <v>-0.04</v>
      </c>
      <c r="Q332" s="912">
        <v>-0.03</v>
      </c>
      <c r="R332" s="913">
        <v>-7.0000000000000007E-2</v>
      </c>
      <c r="S332" s="914">
        <v>-0.08</v>
      </c>
      <c r="T332" s="912">
        <v>-7.0000000000000007E-2</v>
      </c>
      <c r="U332" s="912">
        <v>-0.1</v>
      </c>
      <c r="V332" s="913">
        <v>-0.03</v>
      </c>
      <c r="W332" s="914">
        <v>-0.03</v>
      </c>
      <c r="X332" s="912">
        <v>-0.02</v>
      </c>
      <c r="Y332" s="912">
        <v>0.04</v>
      </c>
      <c r="Z332" s="913">
        <v>0.06</v>
      </c>
      <c r="AA332" s="914">
        <v>0</v>
      </c>
      <c r="AB332" s="912">
        <v>0.02</v>
      </c>
      <c r="AC332" s="912">
        <v>0.03</v>
      </c>
      <c r="AD332" s="913"/>
      <c r="AE332" s="912"/>
      <c r="AF332" s="912"/>
      <c r="AG332" s="912"/>
      <c r="AH332" s="1248"/>
      <c r="AI332" s="912"/>
      <c r="AJ332" s="912"/>
      <c r="AK332" s="912"/>
      <c r="AL332" s="913"/>
      <c r="AM332" s="912"/>
      <c r="AN332" s="912"/>
      <c r="AO332" s="912"/>
      <c r="AP332" s="913"/>
      <c r="AQ332" s="941"/>
      <c r="AR332" s="917" t="str">
        <f t="shared" si="997"/>
        <v>Y/Y Change</v>
      </c>
      <c r="AS332" s="915"/>
      <c r="AT332" s="915"/>
      <c r="AU332" s="915"/>
      <c r="AV332" s="915">
        <v>-0.04</v>
      </c>
      <c r="AW332" s="915">
        <v>-7.0000000000000007E-2</v>
      </c>
      <c r="AX332" s="915">
        <v>0.02</v>
      </c>
      <c r="AY332" s="915"/>
      <c r="AZ332" s="915"/>
      <c r="BA332" s="915"/>
      <c r="BB332" s="915"/>
      <c r="BC332" s="942"/>
      <c r="BD332" s="942"/>
      <c r="BE332" s="942"/>
      <c r="BF332" s="942"/>
      <c r="BG332" s="942"/>
      <c r="BH332" s="942"/>
    </row>
    <row r="333" spans="2:60" s="721" customFormat="1">
      <c r="B333" s="750" t="s">
        <v>488</v>
      </c>
      <c r="C333" s="751"/>
      <c r="D333" s="752"/>
      <c r="E333" s="752"/>
      <c r="F333" s="753"/>
      <c r="G333" s="751"/>
      <c r="H333" s="752"/>
      <c r="I333" s="752"/>
      <c r="J333" s="753"/>
      <c r="K333" s="751"/>
      <c r="L333" s="752"/>
      <c r="M333" s="752"/>
      <c r="N333" s="753"/>
      <c r="O333" s="751"/>
      <c r="P333" s="752"/>
      <c r="Q333" s="752"/>
      <c r="R333" s="753"/>
      <c r="S333" s="751"/>
      <c r="T333" s="752"/>
      <c r="U333" s="752"/>
      <c r="V333" s="753"/>
      <c r="W333" s="751"/>
      <c r="X333" s="752"/>
      <c r="Y333" s="752"/>
      <c r="Z333" s="753"/>
      <c r="AA333" s="751"/>
      <c r="AB333" s="752"/>
      <c r="AC333" s="752"/>
      <c r="AD333" s="753"/>
      <c r="AE333" s="752"/>
      <c r="AF333" s="752"/>
      <c r="AG333" s="752"/>
      <c r="AH333" s="1242"/>
      <c r="AI333" s="752"/>
      <c r="AJ333" s="752"/>
      <c r="AK333" s="752"/>
      <c r="AL333" s="753"/>
      <c r="AM333" s="752"/>
      <c r="AN333" s="752"/>
      <c r="AO333" s="752"/>
      <c r="AP333" s="753"/>
      <c r="AQ333" s="830"/>
      <c r="AR333" s="901" t="str">
        <f t="shared" si="997"/>
        <v>DCG</v>
      </c>
      <c r="AS333" s="902"/>
      <c r="AT333" s="902"/>
      <c r="AU333" s="902"/>
      <c r="AV333" s="902"/>
      <c r="AW333" s="902"/>
      <c r="AX333" s="902"/>
      <c r="AY333" s="902"/>
      <c r="AZ333" s="902"/>
      <c r="BA333" s="902"/>
      <c r="BB333" s="902"/>
    </row>
    <row r="334" spans="2:60" s="906" customFormat="1">
      <c r="B334" s="725" t="s">
        <v>463</v>
      </c>
      <c r="C334" s="943" t="s">
        <v>489</v>
      </c>
      <c r="D334" s="944"/>
      <c r="E334" s="944"/>
      <c r="F334" s="945"/>
      <c r="G334" s="943"/>
      <c r="H334" s="944"/>
      <c r="I334" s="944"/>
      <c r="J334" s="945"/>
      <c r="K334" s="943"/>
      <c r="L334" s="944"/>
      <c r="M334" s="944"/>
      <c r="N334" s="945"/>
      <c r="O334" s="943"/>
      <c r="P334" s="944"/>
      <c r="Q334" s="944"/>
      <c r="R334" s="945"/>
      <c r="S334" s="943"/>
      <c r="T334" s="944"/>
      <c r="U334" s="944"/>
      <c r="V334" s="945"/>
      <c r="W334" s="943"/>
      <c r="X334" s="944"/>
      <c r="Y334" s="944"/>
      <c r="Z334" s="945"/>
      <c r="AA334" s="943"/>
      <c r="AB334" s="944"/>
      <c r="AC334" s="944"/>
      <c r="AD334" s="945"/>
      <c r="AE334" s="944"/>
      <c r="AF334" s="944"/>
      <c r="AG334" s="944"/>
      <c r="AH334" s="1273"/>
      <c r="AI334" s="944"/>
      <c r="AJ334" s="944"/>
      <c r="AK334" s="944"/>
      <c r="AL334" s="945"/>
      <c r="AM334" s="944"/>
      <c r="AN334" s="944"/>
      <c r="AO334" s="944"/>
      <c r="AP334" s="945"/>
      <c r="AQ334" s="946"/>
      <c r="AR334" s="907" t="str">
        <f t="shared" si="997"/>
        <v>MPU</v>
      </c>
      <c r="AS334" s="938"/>
      <c r="AT334" s="938"/>
      <c r="AU334" s="938"/>
      <c r="AV334" s="938"/>
      <c r="AW334" s="938"/>
      <c r="AX334" s="938"/>
      <c r="AY334" s="938"/>
      <c r="AZ334" s="938"/>
      <c r="BA334" s="938"/>
      <c r="BB334" s="938"/>
      <c r="BC334" s="938"/>
      <c r="BD334" s="938"/>
      <c r="BE334" s="938"/>
      <c r="BF334" s="938"/>
      <c r="BG334" s="938"/>
      <c r="BH334" s="938"/>
    </row>
    <row r="335" spans="2:60" s="906" customFormat="1">
      <c r="B335" s="725" t="s">
        <v>338</v>
      </c>
      <c r="C335" s="943" t="s">
        <v>490</v>
      </c>
      <c r="D335" s="944" t="s">
        <v>486</v>
      </c>
      <c r="E335" s="944"/>
      <c r="F335" s="945"/>
      <c r="G335" s="943"/>
      <c r="H335" s="944"/>
      <c r="I335" s="944"/>
      <c r="J335" s="945"/>
      <c r="K335" s="943"/>
      <c r="L335" s="944"/>
      <c r="M335" s="944"/>
      <c r="N335" s="945"/>
      <c r="O335" s="943"/>
      <c r="P335" s="944"/>
      <c r="Q335" s="944"/>
      <c r="R335" s="945"/>
      <c r="S335" s="943"/>
      <c r="T335" s="944"/>
      <c r="U335" s="944"/>
      <c r="V335" s="945"/>
      <c r="W335" s="943"/>
      <c r="X335" s="944"/>
      <c r="Y335" s="944"/>
      <c r="Z335" s="945"/>
      <c r="AA335" s="943"/>
      <c r="AB335" s="944"/>
      <c r="AC335" s="944"/>
      <c r="AD335" s="945"/>
      <c r="AE335" s="944"/>
      <c r="AF335" s="944"/>
      <c r="AG335" s="944"/>
      <c r="AH335" s="1273"/>
      <c r="AI335" s="944"/>
      <c r="AJ335" s="944"/>
      <c r="AK335" s="944"/>
      <c r="AL335" s="945"/>
      <c r="AM335" s="944"/>
      <c r="AN335" s="944"/>
      <c r="AO335" s="944"/>
      <c r="AP335" s="945"/>
      <c r="AQ335" s="946"/>
      <c r="AR335" s="907" t="str">
        <f t="shared" si="997"/>
        <v>Unit</v>
      </c>
      <c r="AS335" s="938"/>
      <c r="AT335" s="938"/>
      <c r="AU335" s="938"/>
      <c r="AV335" s="938"/>
      <c r="AW335" s="938"/>
      <c r="AX335" s="938"/>
      <c r="AY335" s="938"/>
      <c r="AZ335" s="938"/>
      <c r="BA335" s="938"/>
      <c r="BB335" s="938"/>
      <c r="BC335" s="938"/>
      <c r="BD335" s="938"/>
      <c r="BE335" s="938"/>
      <c r="BF335" s="938"/>
      <c r="BG335" s="938"/>
      <c r="BH335" s="938"/>
    </row>
    <row r="336" spans="2:60" s="918" customFormat="1">
      <c r="B336" s="754" t="s">
        <v>97</v>
      </c>
      <c r="C336" s="926"/>
      <c r="D336" s="927"/>
      <c r="E336" s="927"/>
      <c r="F336" s="928"/>
      <c r="G336" s="926"/>
      <c r="H336" s="927"/>
      <c r="I336" s="927"/>
      <c r="J336" s="928"/>
      <c r="K336" s="926"/>
      <c r="L336" s="912">
        <v>0.11</v>
      </c>
      <c r="M336" s="912">
        <v>0.01</v>
      </c>
      <c r="N336" s="913">
        <v>0</v>
      </c>
      <c r="O336" s="914">
        <v>-0.06</v>
      </c>
      <c r="P336" s="912">
        <v>0.06</v>
      </c>
      <c r="Q336" s="912">
        <v>0.05</v>
      </c>
      <c r="R336" s="913">
        <v>-0.03</v>
      </c>
      <c r="S336" s="914">
        <v>-7.0000000000000007E-2</v>
      </c>
      <c r="T336" s="912">
        <v>0.12</v>
      </c>
      <c r="U336" s="912">
        <v>0.06</v>
      </c>
      <c r="V336" s="913">
        <v>0.05</v>
      </c>
      <c r="W336" s="914">
        <v>-7.0000000000000007E-2</v>
      </c>
      <c r="X336" s="912">
        <v>0.02</v>
      </c>
      <c r="Y336" s="912">
        <v>7.0000000000000007E-2</v>
      </c>
      <c r="Z336" s="913">
        <v>0.06</v>
      </c>
      <c r="AA336" s="914">
        <v>-0.01</v>
      </c>
      <c r="AB336" s="912">
        <v>-0.03</v>
      </c>
      <c r="AC336" s="912">
        <v>0.13</v>
      </c>
      <c r="AD336" s="913"/>
      <c r="AE336" s="912"/>
      <c r="AF336" s="912"/>
      <c r="AG336" s="912"/>
      <c r="AH336" s="1248"/>
      <c r="AI336" s="912"/>
      <c r="AJ336" s="912"/>
      <c r="AK336" s="912"/>
      <c r="AL336" s="913"/>
      <c r="AM336" s="912"/>
      <c r="AN336" s="912"/>
      <c r="AO336" s="912"/>
      <c r="AP336" s="913"/>
      <c r="AQ336" s="916"/>
      <c r="AR336" s="917" t="str">
        <f t="shared" si="997"/>
        <v>Q/Q Change</v>
      </c>
      <c r="AS336" s="915"/>
      <c r="AT336" s="915"/>
      <c r="AU336" s="915"/>
      <c r="AV336" s="915"/>
      <c r="AW336" s="915"/>
      <c r="AX336" s="915"/>
      <c r="AY336" s="915"/>
      <c r="AZ336" s="915"/>
      <c r="BA336" s="915"/>
      <c r="BB336" s="915"/>
      <c r="BC336" s="915"/>
      <c r="BD336" s="915"/>
      <c r="BE336" s="915"/>
      <c r="BF336" s="915"/>
      <c r="BG336" s="915"/>
      <c r="BH336" s="915"/>
    </row>
    <row r="337" spans="2:60" s="918" customFormat="1">
      <c r="B337" s="754" t="s">
        <v>98</v>
      </c>
      <c r="C337" s="926"/>
      <c r="D337" s="927"/>
      <c r="E337" s="927"/>
      <c r="F337" s="928"/>
      <c r="G337" s="926"/>
      <c r="H337" s="927"/>
      <c r="I337" s="927"/>
      <c r="J337" s="928"/>
      <c r="K337" s="926"/>
      <c r="L337" s="912">
        <v>0.04</v>
      </c>
      <c r="M337" s="912">
        <v>0.04</v>
      </c>
      <c r="N337" s="913">
        <v>-0.01</v>
      </c>
      <c r="O337" s="914">
        <v>0.06</v>
      </c>
      <c r="P337" s="912">
        <v>0.01</v>
      </c>
      <c r="Q337" s="912">
        <v>0.05</v>
      </c>
      <c r="R337" s="913">
        <v>0.01</v>
      </c>
      <c r="S337" s="914">
        <v>0.03</v>
      </c>
      <c r="T337" s="912">
        <v>0.09</v>
      </c>
      <c r="U337" s="912">
        <v>0.06</v>
      </c>
      <c r="V337" s="913">
        <v>0.15</v>
      </c>
      <c r="W337" s="914">
        <v>0.15</v>
      </c>
      <c r="X337" s="912">
        <v>0.05</v>
      </c>
      <c r="Y337" s="912">
        <v>0.06</v>
      </c>
      <c r="Z337" s="913">
        <v>7.0000000000000007E-2</v>
      </c>
      <c r="AA337" s="914">
        <v>0.13</v>
      </c>
      <c r="AB337" s="912">
        <v>0.05</v>
      </c>
      <c r="AC337" s="912">
        <v>0.12</v>
      </c>
      <c r="AD337" s="913"/>
      <c r="AE337" s="912"/>
      <c r="AF337" s="912"/>
      <c r="AG337" s="912"/>
      <c r="AH337" s="1248"/>
      <c r="AI337" s="912"/>
      <c r="AJ337" s="912"/>
      <c r="AK337" s="912"/>
      <c r="AL337" s="913"/>
      <c r="AM337" s="912"/>
      <c r="AN337" s="912"/>
      <c r="AO337" s="912"/>
      <c r="AP337" s="913"/>
      <c r="AQ337" s="916"/>
      <c r="AR337" s="917" t="str">
        <f t="shared" si="997"/>
        <v>Y/Y Change</v>
      </c>
      <c r="AS337" s="915"/>
      <c r="AT337" s="915"/>
      <c r="AU337" s="915">
        <v>-0.01</v>
      </c>
      <c r="AV337" s="915">
        <v>0.03</v>
      </c>
      <c r="AW337" s="915">
        <v>0.08</v>
      </c>
      <c r="AX337" s="915">
        <v>0.08</v>
      </c>
      <c r="AY337" s="915"/>
      <c r="AZ337" s="915"/>
      <c r="BA337" s="915"/>
      <c r="BB337" s="915"/>
      <c r="BC337" s="915"/>
      <c r="BD337" s="915"/>
      <c r="BE337" s="915"/>
      <c r="BF337" s="915"/>
      <c r="BG337" s="915"/>
      <c r="BH337" s="915"/>
    </row>
    <row r="338" spans="2:60" s="906" customFormat="1">
      <c r="B338" s="725" t="s">
        <v>483</v>
      </c>
      <c r="C338" s="943" t="s">
        <v>490</v>
      </c>
      <c r="D338" s="944"/>
      <c r="E338" s="944"/>
      <c r="F338" s="945"/>
      <c r="G338" s="943"/>
      <c r="H338" s="944"/>
      <c r="I338" s="944"/>
      <c r="J338" s="945"/>
      <c r="K338" s="943"/>
      <c r="L338" s="922"/>
      <c r="M338" s="922"/>
      <c r="N338" s="923"/>
      <c r="O338" s="924"/>
      <c r="P338" s="922"/>
      <c r="Q338" s="922"/>
      <c r="R338" s="923"/>
      <c r="S338" s="924"/>
      <c r="T338" s="922"/>
      <c r="U338" s="922"/>
      <c r="V338" s="923"/>
      <c r="W338" s="924"/>
      <c r="X338" s="922"/>
      <c r="Y338" s="922"/>
      <c r="Z338" s="923"/>
      <c r="AA338" s="924"/>
      <c r="AB338" s="922"/>
      <c r="AC338" s="922"/>
      <c r="AD338" s="923"/>
      <c r="AE338" s="922"/>
      <c r="AF338" s="922"/>
      <c r="AG338" s="922"/>
      <c r="AH338" s="1270"/>
      <c r="AI338" s="922"/>
      <c r="AJ338" s="922"/>
      <c r="AK338" s="922"/>
      <c r="AL338" s="923"/>
      <c r="AM338" s="922"/>
      <c r="AN338" s="922"/>
      <c r="AO338" s="922"/>
      <c r="AP338" s="923"/>
      <c r="AQ338" s="760"/>
      <c r="AR338" s="907" t="str">
        <f t="shared" si="997"/>
        <v>ASP</v>
      </c>
      <c r="AS338" s="925"/>
      <c r="AT338" s="925"/>
      <c r="AU338" s="925"/>
      <c r="AV338" s="925"/>
      <c r="AW338" s="925"/>
      <c r="AX338" s="925"/>
      <c r="AY338" s="925"/>
      <c r="AZ338" s="925"/>
      <c r="BA338" s="925"/>
      <c r="BB338" s="925"/>
      <c r="BC338" s="925"/>
      <c r="BD338" s="925"/>
      <c r="BE338" s="925"/>
      <c r="BF338" s="925"/>
      <c r="BG338" s="925"/>
      <c r="BH338" s="925"/>
    </row>
    <row r="339" spans="2:60" s="918" customFormat="1">
      <c r="B339" s="754" t="s">
        <v>97</v>
      </c>
      <c r="C339" s="926"/>
      <c r="D339" s="927"/>
      <c r="E339" s="927"/>
      <c r="F339" s="928"/>
      <c r="G339" s="926"/>
      <c r="H339" s="927"/>
      <c r="I339" s="927"/>
      <c r="J339" s="928"/>
      <c r="K339" s="926"/>
      <c r="L339" s="912">
        <v>0.03</v>
      </c>
      <c r="M339" s="912">
        <v>-7.0000000000000007E-2</v>
      </c>
      <c r="N339" s="913">
        <v>0.08</v>
      </c>
      <c r="O339" s="914">
        <v>-0.01</v>
      </c>
      <c r="P339" s="912">
        <v>-0.01</v>
      </c>
      <c r="Q339" s="912">
        <v>0.02</v>
      </c>
      <c r="R339" s="913">
        <v>7.0000000000000007E-2</v>
      </c>
      <c r="S339" s="914">
        <v>0.01</v>
      </c>
      <c r="T339" s="912">
        <v>0.03</v>
      </c>
      <c r="U339" s="912">
        <v>-0.01</v>
      </c>
      <c r="V339" s="913">
        <v>7.0000000000000007E-2</v>
      </c>
      <c r="W339" s="914">
        <v>-0.03</v>
      </c>
      <c r="X339" s="912">
        <v>0.03</v>
      </c>
      <c r="Y339" s="912">
        <v>0.01</v>
      </c>
      <c r="Z339" s="913">
        <v>-0.01</v>
      </c>
      <c r="AA339" s="914">
        <v>-7.0000000000000007E-2</v>
      </c>
      <c r="AB339" s="912">
        <v>0.04</v>
      </c>
      <c r="AC339" s="912">
        <v>-0.01</v>
      </c>
      <c r="AD339" s="913"/>
      <c r="AE339" s="912"/>
      <c r="AF339" s="912"/>
      <c r="AG339" s="912"/>
      <c r="AH339" s="1248"/>
      <c r="AI339" s="912"/>
      <c r="AJ339" s="912"/>
      <c r="AK339" s="912"/>
      <c r="AL339" s="913"/>
      <c r="AM339" s="912"/>
      <c r="AN339" s="912"/>
      <c r="AO339" s="912"/>
      <c r="AP339" s="913"/>
      <c r="AQ339" s="916"/>
      <c r="AR339" s="917" t="str">
        <f t="shared" si="997"/>
        <v>Q/Q Change</v>
      </c>
      <c r="AS339" s="915"/>
      <c r="AT339" s="915"/>
      <c r="AU339" s="915"/>
      <c r="AV339" s="915"/>
      <c r="AW339" s="915"/>
      <c r="AX339" s="915"/>
      <c r="AY339" s="915"/>
      <c r="AZ339" s="915"/>
      <c r="BA339" s="915"/>
      <c r="BB339" s="915"/>
      <c r="BC339" s="915"/>
      <c r="BD339" s="915"/>
      <c r="BE339" s="915"/>
      <c r="BF339" s="915"/>
      <c r="BG339" s="915"/>
      <c r="BH339" s="915"/>
    </row>
    <row r="340" spans="2:60" s="918" customFormat="1">
      <c r="B340" s="754" t="s">
        <v>98</v>
      </c>
      <c r="C340" s="926"/>
      <c r="D340" s="927"/>
      <c r="E340" s="927"/>
      <c r="F340" s="928"/>
      <c r="G340" s="926"/>
      <c r="H340" s="927"/>
      <c r="I340" s="927"/>
      <c r="J340" s="928"/>
      <c r="K340" s="926"/>
      <c r="L340" s="912">
        <v>0.12</v>
      </c>
      <c r="M340" s="912">
        <v>0.01</v>
      </c>
      <c r="N340" s="913">
        <v>0.05</v>
      </c>
      <c r="O340" s="914">
        <v>0.02</v>
      </c>
      <c r="P340" s="912">
        <v>-0.01</v>
      </c>
      <c r="Q340" s="912">
        <v>0.08</v>
      </c>
      <c r="R340" s="913">
        <v>7.0000000000000007E-2</v>
      </c>
      <c r="S340" s="914">
        <v>0.08</v>
      </c>
      <c r="T340" s="912">
        <v>0.11</v>
      </c>
      <c r="U340" s="912">
        <v>0.09</v>
      </c>
      <c r="V340" s="913">
        <v>0.1</v>
      </c>
      <c r="W340" s="914">
        <v>0.05</v>
      </c>
      <c r="X340" s="912">
        <v>0.05</v>
      </c>
      <c r="Y340" s="912">
        <v>0.06</v>
      </c>
      <c r="Z340" s="913">
        <v>-0.01</v>
      </c>
      <c r="AA340" s="914">
        <v>-0.03</v>
      </c>
      <c r="AB340" s="912">
        <v>-0.01</v>
      </c>
      <c r="AC340" s="912">
        <v>-0.03</v>
      </c>
      <c r="AD340" s="913"/>
      <c r="AE340" s="912"/>
      <c r="AF340" s="912"/>
      <c r="AG340" s="912"/>
      <c r="AH340" s="1248"/>
      <c r="AI340" s="912"/>
      <c r="AJ340" s="912"/>
      <c r="AK340" s="912"/>
      <c r="AL340" s="913"/>
      <c r="AM340" s="912"/>
      <c r="AN340" s="912"/>
      <c r="AO340" s="912"/>
      <c r="AP340" s="913"/>
      <c r="AQ340" s="916"/>
      <c r="AR340" s="917" t="str">
        <f t="shared" si="997"/>
        <v>Y/Y Change</v>
      </c>
      <c r="AS340" s="915"/>
      <c r="AT340" s="915"/>
      <c r="AU340" s="915">
        <v>0.06</v>
      </c>
      <c r="AV340" s="915">
        <v>0.04</v>
      </c>
      <c r="AW340" s="915">
        <v>0.1</v>
      </c>
      <c r="AX340" s="915">
        <v>0.03</v>
      </c>
      <c r="AY340" s="915"/>
      <c r="AZ340" s="915"/>
      <c r="BA340" s="915"/>
      <c r="BB340" s="915"/>
      <c r="BC340" s="915"/>
      <c r="BD340" s="915"/>
      <c r="BE340" s="915"/>
      <c r="BF340" s="915"/>
      <c r="BG340" s="915"/>
      <c r="BH340" s="915"/>
    </row>
    <row r="341" spans="2:60" s="721" customFormat="1">
      <c r="B341" s="750" t="s">
        <v>325</v>
      </c>
      <c r="C341" s="751"/>
      <c r="D341" s="752"/>
      <c r="E341" s="752"/>
      <c r="F341" s="753"/>
      <c r="G341" s="751"/>
      <c r="H341" s="752"/>
      <c r="I341" s="752"/>
      <c r="J341" s="753"/>
      <c r="K341" s="751"/>
      <c r="L341" s="752"/>
      <c r="M341" s="752"/>
      <c r="N341" s="753"/>
      <c r="O341" s="751"/>
      <c r="P341" s="752"/>
      <c r="Q341" s="752"/>
      <c r="R341" s="753"/>
      <c r="S341" s="751"/>
      <c r="T341" s="752"/>
      <c r="U341" s="752"/>
      <c r="V341" s="753"/>
      <c r="W341" s="751"/>
      <c r="X341" s="752"/>
      <c r="Y341" s="752"/>
      <c r="Z341" s="753"/>
      <c r="AA341" s="751"/>
      <c r="AB341" s="752"/>
      <c r="AC341" s="752"/>
      <c r="AD341" s="753"/>
      <c r="AE341" s="752"/>
      <c r="AF341" s="752"/>
      <c r="AG341" s="752"/>
      <c r="AH341" s="1242"/>
      <c r="AI341" s="752"/>
      <c r="AJ341" s="752"/>
      <c r="AK341" s="752"/>
      <c r="AL341" s="753"/>
      <c r="AM341" s="752"/>
      <c r="AN341" s="752"/>
      <c r="AO341" s="752"/>
      <c r="AP341" s="753"/>
      <c r="AQ341" s="830"/>
      <c r="AR341" s="901" t="str">
        <f t="shared" si="997"/>
        <v>Tablets</v>
      </c>
      <c r="AS341" s="902"/>
      <c r="AT341" s="902"/>
      <c r="AU341" s="902"/>
      <c r="AV341" s="902"/>
      <c r="AW341" s="902"/>
      <c r="AX341" s="902"/>
      <c r="AY341" s="902"/>
      <c r="AZ341" s="902"/>
      <c r="BA341" s="902"/>
      <c r="BB341" s="902"/>
    </row>
    <row r="342" spans="2:60" s="906" customFormat="1">
      <c r="B342" s="725" t="s">
        <v>491</v>
      </c>
      <c r="C342" s="943"/>
      <c r="D342" s="944"/>
      <c r="E342" s="944"/>
      <c r="F342" s="945"/>
      <c r="G342" s="943"/>
      <c r="H342" s="944"/>
      <c r="I342" s="944"/>
      <c r="J342" s="945"/>
      <c r="K342" s="943"/>
      <c r="L342" s="944"/>
      <c r="M342" s="944"/>
      <c r="N342" s="945"/>
      <c r="O342" s="943"/>
      <c r="P342" s="944"/>
      <c r="Q342" s="944"/>
      <c r="R342" s="945"/>
      <c r="S342" s="947">
        <f t="shared" ref="S342:U342" si="998">W342/(1+W344)</f>
        <v>4.8275862068965516</v>
      </c>
      <c r="T342" s="948">
        <f t="shared" si="998"/>
        <v>9.0090090090090076</v>
      </c>
      <c r="U342" s="948">
        <f t="shared" si="998"/>
        <v>13.114754098360656</v>
      </c>
      <c r="V342" s="949">
        <f>Z342/(1+Z344)</f>
        <v>13.432835820895523</v>
      </c>
      <c r="W342" s="950">
        <v>7</v>
      </c>
      <c r="X342" s="951">
        <v>10</v>
      </c>
      <c r="Y342" s="951">
        <v>8</v>
      </c>
      <c r="Z342" s="952">
        <v>9</v>
      </c>
      <c r="AA342" s="950">
        <v>4</v>
      </c>
      <c r="AB342" s="951">
        <v>5</v>
      </c>
      <c r="AC342" s="951">
        <f>Y342*(1+AC344)</f>
        <v>4</v>
      </c>
      <c r="AD342" s="954"/>
      <c r="AE342" s="953"/>
      <c r="AF342" s="953"/>
      <c r="AG342" s="953"/>
      <c r="AH342" s="1274"/>
      <c r="AI342" s="953"/>
      <c r="AJ342" s="953"/>
      <c r="AK342" s="953"/>
      <c r="AL342" s="954"/>
      <c r="AM342" s="953"/>
      <c r="AN342" s="953"/>
      <c r="AO342" s="953"/>
      <c r="AP342" s="954"/>
      <c r="AQ342" s="946"/>
      <c r="AR342" s="907" t="str">
        <f t="shared" si="997"/>
        <v>Unit (mn)</v>
      </c>
      <c r="AS342" s="955"/>
      <c r="AT342" s="955"/>
      <c r="AU342" s="955"/>
      <c r="AV342" s="955"/>
      <c r="AW342" s="955"/>
      <c r="AX342" s="955"/>
      <c r="AY342" s="955"/>
      <c r="AZ342" s="955"/>
      <c r="BA342" s="955"/>
      <c r="BB342" s="955"/>
      <c r="BC342" s="938"/>
      <c r="BD342" s="938"/>
      <c r="BE342" s="938"/>
      <c r="BF342" s="938"/>
      <c r="BG342" s="938"/>
      <c r="BH342" s="938"/>
    </row>
    <row r="343" spans="2:60" s="918" customFormat="1">
      <c r="B343" s="754" t="s">
        <v>97</v>
      </c>
      <c r="C343" s="926"/>
      <c r="D343" s="927"/>
      <c r="E343" s="927"/>
      <c r="F343" s="928"/>
      <c r="G343" s="926"/>
      <c r="H343" s="927"/>
      <c r="I343" s="927"/>
      <c r="J343" s="928"/>
      <c r="K343" s="926"/>
      <c r="L343" s="912"/>
      <c r="M343" s="912"/>
      <c r="N343" s="913"/>
      <c r="O343" s="914"/>
      <c r="P343" s="912"/>
      <c r="Q343" s="912"/>
      <c r="R343" s="913"/>
      <c r="S343" s="914"/>
      <c r="T343" s="912"/>
      <c r="U343" s="912"/>
      <c r="V343" s="913"/>
      <c r="W343" s="914"/>
      <c r="X343" s="912"/>
      <c r="Y343" s="912"/>
      <c r="Z343" s="913"/>
      <c r="AA343" s="914"/>
      <c r="AB343" s="912"/>
      <c r="AC343" s="912"/>
      <c r="AD343" s="913"/>
      <c r="AE343" s="912"/>
      <c r="AF343" s="912"/>
      <c r="AG343" s="912"/>
      <c r="AH343" s="1248"/>
      <c r="AI343" s="912"/>
      <c r="AJ343" s="912"/>
      <c r="AK343" s="912"/>
      <c r="AL343" s="913"/>
      <c r="AM343" s="912"/>
      <c r="AN343" s="912"/>
      <c r="AO343" s="912"/>
      <c r="AP343" s="913"/>
      <c r="AQ343" s="916"/>
      <c r="AR343" s="917" t="str">
        <f t="shared" si="997"/>
        <v>Q/Q Change</v>
      </c>
      <c r="AS343" s="915"/>
      <c r="AT343" s="915"/>
      <c r="AU343" s="915"/>
      <c r="AV343" s="915"/>
      <c r="AW343" s="915"/>
      <c r="AX343" s="915"/>
      <c r="AY343" s="915"/>
      <c r="AZ343" s="915"/>
      <c r="BA343" s="915"/>
      <c r="BB343" s="915"/>
      <c r="BC343" s="915"/>
      <c r="BD343" s="915"/>
      <c r="BE343" s="915"/>
      <c r="BF343" s="915"/>
      <c r="BG343" s="915"/>
      <c r="BH343" s="915"/>
    </row>
    <row r="344" spans="2:60" s="918" customFormat="1">
      <c r="B344" s="754" t="s">
        <v>98</v>
      </c>
      <c r="C344" s="926"/>
      <c r="D344" s="927"/>
      <c r="E344" s="927"/>
      <c r="F344" s="928"/>
      <c r="G344" s="926"/>
      <c r="H344" s="927"/>
      <c r="I344" s="927"/>
      <c r="J344" s="928"/>
      <c r="K344" s="926"/>
      <c r="L344" s="912"/>
      <c r="M344" s="912"/>
      <c r="N344" s="913"/>
      <c r="O344" s="914"/>
      <c r="P344" s="912"/>
      <c r="Q344" s="912"/>
      <c r="R344" s="913"/>
      <c r="S344" s="914"/>
      <c r="T344" s="912"/>
      <c r="U344" s="912"/>
      <c r="V344" s="913"/>
      <c r="W344" s="914">
        <v>0.45</v>
      </c>
      <c r="X344" s="912">
        <v>0.11</v>
      </c>
      <c r="Y344" s="912">
        <v>-0.39</v>
      </c>
      <c r="Z344" s="913">
        <v>-0.33</v>
      </c>
      <c r="AA344" s="914">
        <v>-0.44</v>
      </c>
      <c r="AB344" s="912">
        <v>-0.49</v>
      </c>
      <c r="AC344" s="912">
        <v>-0.5</v>
      </c>
      <c r="AD344" s="913"/>
      <c r="AE344" s="912"/>
      <c r="AF344" s="912"/>
      <c r="AG344" s="912"/>
      <c r="AH344" s="1248"/>
      <c r="AI344" s="912"/>
      <c r="AJ344" s="912"/>
      <c r="AK344" s="912"/>
      <c r="AL344" s="913"/>
      <c r="AM344" s="912"/>
      <c r="AN344" s="912"/>
      <c r="AO344" s="912"/>
      <c r="AP344" s="913"/>
      <c r="AQ344" s="916"/>
      <c r="AR344" s="917" t="str">
        <f t="shared" si="997"/>
        <v>Y/Y Change</v>
      </c>
      <c r="AS344" s="915"/>
      <c r="AT344" s="915"/>
      <c r="AU344" s="915"/>
      <c r="AV344" s="915"/>
      <c r="AW344" s="915"/>
      <c r="AX344" s="915"/>
      <c r="AY344" s="915"/>
      <c r="AZ344" s="915"/>
      <c r="BA344" s="915"/>
      <c r="BB344" s="915"/>
      <c r="BC344" s="915"/>
      <c r="BD344" s="915"/>
      <c r="BE344" s="915"/>
      <c r="BF344" s="915"/>
      <c r="BG344" s="915"/>
      <c r="BH344" s="915"/>
    </row>
    <row r="345" spans="2:60">
      <c r="Z345" s="956"/>
      <c r="AL345" s="873"/>
      <c r="AP345" s="873"/>
    </row>
    <row r="346" spans="2:60">
      <c r="AL346" s="873"/>
      <c r="AP346" s="873"/>
    </row>
    <row r="347" spans="2:60">
      <c r="AL347" s="873"/>
      <c r="AP347" s="873"/>
    </row>
    <row r="348" spans="2:60">
      <c r="AL348" s="873"/>
      <c r="AP348" s="873"/>
    </row>
    <row r="349" spans="2:60">
      <c r="AL349" s="873"/>
      <c r="AP349" s="873"/>
    </row>
    <row r="350" spans="2:60">
      <c r="AL350" s="873"/>
      <c r="AP350" s="873"/>
    </row>
    <row r="351" spans="2:60">
      <c r="AL351" s="873"/>
      <c r="AP351" s="873"/>
    </row>
    <row r="352" spans="2:60">
      <c r="AL352" s="873"/>
      <c r="AP352" s="873"/>
    </row>
    <row r="353" spans="38:42">
      <c r="AL353" s="873"/>
      <c r="AP353" s="873"/>
    </row>
    <row r="354" spans="38:42">
      <c r="AL354" s="873"/>
      <c r="AP354" s="873"/>
    </row>
    <row r="355" spans="38:42">
      <c r="AL355" s="873"/>
      <c r="AP355" s="873"/>
    </row>
    <row r="356" spans="38:42">
      <c r="AL356" s="873"/>
      <c r="AP356" s="873"/>
    </row>
    <row r="357" spans="38:42">
      <c r="AL357" s="873"/>
      <c r="AP357" s="873"/>
    </row>
    <row r="358" spans="38:42">
      <c r="AL358" s="873"/>
      <c r="AP358" s="873"/>
    </row>
    <row r="359" spans="38:42">
      <c r="AL359" s="873"/>
      <c r="AP359" s="873"/>
    </row>
    <row r="360" spans="38:42">
      <c r="AL360" s="873"/>
      <c r="AP360" s="873"/>
    </row>
    <row r="361" spans="38:42">
      <c r="AL361" s="873"/>
      <c r="AP361" s="873"/>
    </row>
    <row r="362" spans="38:42">
      <c r="AL362" s="873"/>
      <c r="AP362" s="873"/>
    </row>
    <row r="363" spans="38:42">
      <c r="AL363" s="873"/>
      <c r="AP363" s="873"/>
    </row>
    <row r="364" spans="38:42">
      <c r="AL364" s="873"/>
      <c r="AP364" s="873"/>
    </row>
    <row r="365" spans="38:42">
      <c r="AL365" s="873"/>
      <c r="AP365" s="873"/>
    </row>
    <row r="366" spans="38:42">
      <c r="AL366" s="873"/>
      <c r="AP366" s="873"/>
    </row>
    <row r="367" spans="38:42">
      <c r="AL367" s="873"/>
      <c r="AP367" s="873"/>
    </row>
    <row r="368" spans="38:42">
      <c r="AL368" s="873"/>
      <c r="AP368" s="873"/>
    </row>
    <row r="369" spans="38:42">
      <c r="AL369" s="873"/>
      <c r="AP369" s="873"/>
    </row>
    <row r="370" spans="38:42">
      <c r="AL370" s="873"/>
      <c r="AP370" s="873"/>
    </row>
    <row r="371" spans="38:42">
      <c r="AL371" s="873"/>
      <c r="AP371" s="873"/>
    </row>
    <row r="372" spans="38:42">
      <c r="AL372" s="873"/>
      <c r="AP372" s="873"/>
    </row>
    <row r="373" spans="38:42">
      <c r="AL373" s="873"/>
      <c r="AP373" s="873"/>
    </row>
    <row r="374" spans="38:42">
      <c r="AL374" s="873"/>
      <c r="AP374" s="873"/>
    </row>
    <row r="375" spans="38:42">
      <c r="AL375" s="873"/>
      <c r="AP375" s="873"/>
    </row>
    <row r="376" spans="38:42">
      <c r="AL376" s="873"/>
      <c r="AP376" s="873"/>
    </row>
    <row r="377" spans="38:42">
      <c r="AL377" s="873"/>
      <c r="AP377" s="873"/>
    </row>
    <row r="378" spans="38:42">
      <c r="AL378" s="873"/>
      <c r="AP378" s="873"/>
    </row>
    <row r="379" spans="38:42">
      <c r="AL379" s="873"/>
      <c r="AP379" s="873"/>
    </row>
    <row r="380" spans="38:42">
      <c r="AL380" s="873"/>
      <c r="AP380" s="873"/>
    </row>
    <row r="381" spans="38:42">
      <c r="AL381" s="873"/>
      <c r="AP381" s="873"/>
    </row>
    <row r="382" spans="38:42">
      <c r="AL382" s="873"/>
      <c r="AP382" s="873"/>
    </row>
    <row r="383" spans="38:42">
      <c r="AL383" s="873"/>
      <c r="AP383" s="873"/>
    </row>
    <row r="384" spans="38:42">
      <c r="AL384" s="873"/>
      <c r="AP384" s="873"/>
    </row>
    <row r="385" spans="38:42">
      <c r="AL385" s="873"/>
      <c r="AP385" s="873"/>
    </row>
    <row r="386" spans="38:42">
      <c r="AL386" s="873"/>
      <c r="AP386" s="873"/>
    </row>
    <row r="387" spans="38:42">
      <c r="AL387" s="873"/>
      <c r="AP387" s="873"/>
    </row>
    <row r="388" spans="38:42">
      <c r="AL388" s="873"/>
      <c r="AP388" s="873"/>
    </row>
    <row r="389" spans="38:42">
      <c r="AL389" s="873"/>
      <c r="AP389" s="873"/>
    </row>
    <row r="390" spans="38:42">
      <c r="AL390" s="873"/>
      <c r="AP390" s="873"/>
    </row>
    <row r="391" spans="38:42">
      <c r="AL391" s="873"/>
      <c r="AP391" s="873"/>
    </row>
    <row r="392" spans="38:42">
      <c r="AL392" s="873"/>
      <c r="AP392" s="873"/>
    </row>
    <row r="393" spans="38:42">
      <c r="AL393" s="873"/>
      <c r="AP393" s="873"/>
    </row>
    <row r="394" spans="38:42">
      <c r="AL394" s="873"/>
      <c r="AP394" s="873"/>
    </row>
    <row r="395" spans="38:42">
      <c r="AL395" s="873"/>
      <c r="AP395" s="873"/>
    </row>
    <row r="396" spans="38:42">
      <c r="AL396" s="873"/>
      <c r="AP396" s="873"/>
    </row>
    <row r="397" spans="38:42">
      <c r="AL397" s="873"/>
      <c r="AP397" s="873"/>
    </row>
    <row r="398" spans="38:42">
      <c r="AL398" s="873"/>
      <c r="AP398" s="873"/>
    </row>
    <row r="399" spans="38:42">
      <c r="AL399" s="873"/>
      <c r="AP399" s="873"/>
    </row>
    <row r="400" spans="38:42">
      <c r="AL400" s="873"/>
      <c r="AP400" s="873"/>
    </row>
    <row r="401" spans="38:42">
      <c r="AL401" s="873"/>
      <c r="AP401" s="873"/>
    </row>
    <row r="402" spans="38:42">
      <c r="AL402" s="873"/>
      <c r="AP402" s="873"/>
    </row>
    <row r="403" spans="38:42">
      <c r="AL403" s="873"/>
      <c r="AP403" s="873"/>
    </row>
    <row r="404" spans="38:42">
      <c r="AL404" s="873"/>
      <c r="AP404" s="873"/>
    </row>
    <row r="405" spans="38:42">
      <c r="AL405" s="873"/>
      <c r="AP405" s="873"/>
    </row>
    <row r="406" spans="38:42">
      <c r="AL406" s="873"/>
      <c r="AP406" s="873"/>
    </row>
    <row r="407" spans="38:42">
      <c r="AL407" s="873"/>
      <c r="AP407" s="873"/>
    </row>
    <row r="408" spans="38:42">
      <c r="AL408" s="873"/>
      <c r="AP408" s="873"/>
    </row>
    <row r="409" spans="38:42">
      <c r="AL409" s="873"/>
      <c r="AP409" s="873"/>
    </row>
    <row r="410" spans="38:42">
      <c r="AL410" s="873"/>
      <c r="AP410" s="873"/>
    </row>
    <row r="411" spans="38:42">
      <c r="AL411" s="873"/>
      <c r="AP411" s="873"/>
    </row>
    <row r="412" spans="38:42">
      <c r="AL412" s="873"/>
      <c r="AP412" s="873"/>
    </row>
    <row r="413" spans="38:42">
      <c r="AL413" s="873"/>
      <c r="AP413" s="873"/>
    </row>
    <row r="414" spans="38:42">
      <c r="AL414" s="873"/>
      <c r="AP414" s="873"/>
    </row>
    <row r="415" spans="38:42">
      <c r="AL415" s="873"/>
      <c r="AP415" s="873"/>
    </row>
    <row r="416" spans="38:42">
      <c r="AL416" s="873"/>
      <c r="AP416" s="873"/>
    </row>
    <row r="417" spans="38:42">
      <c r="AL417" s="873"/>
      <c r="AP417" s="873"/>
    </row>
    <row r="418" spans="38:42">
      <c r="AL418" s="873"/>
      <c r="AP418" s="873"/>
    </row>
    <row r="419" spans="38:42">
      <c r="AL419" s="873"/>
      <c r="AP419" s="873"/>
    </row>
    <row r="420" spans="38:42">
      <c r="AL420" s="873"/>
      <c r="AP420" s="873"/>
    </row>
    <row r="421" spans="38:42">
      <c r="AL421" s="873"/>
      <c r="AP421" s="873"/>
    </row>
    <row r="422" spans="38:42">
      <c r="AL422" s="873"/>
      <c r="AP422" s="873"/>
    </row>
    <row r="423" spans="38:42">
      <c r="AL423" s="873"/>
      <c r="AP423" s="873"/>
    </row>
    <row r="424" spans="38:42">
      <c r="AL424" s="873"/>
      <c r="AP424" s="873"/>
    </row>
    <row r="425" spans="38:42">
      <c r="AL425" s="873"/>
      <c r="AP425" s="873"/>
    </row>
    <row r="426" spans="38:42">
      <c r="AL426" s="873"/>
      <c r="AP426" s="873"/>
    </row>
    <row r="427" spans="38:42">
      <c r="AL427" s="873"/>
      <c r="AP427" s="873"/>
    </row>
    <row r="428" spans="38:42">
      <c r="AL428" s="873"/>
      <c r="AP428" s="873"/>
    </row>
    <row r="429" spans="38:42">
      <c r="AL429" s="873"/>
      <c r="AP429" s="873"/>
    </row>
    <row r="430" spans="38:42">
      <c r="AL430" s="873"/>
      <c r="AP430" s="873"/>
    </row>
    <row r="431" spans="38:42">
      <c r="AL431" s="873"/>
      <c r="AP431" s="873"/>
    </row>
    <row r="432" spans="38:42">
      <c r="AL432" s="873"/>
      <c r="AP432" s="873"/>
    </row>
    <row r="433" spans="38:42">
      <c r="AL433" s="873"/>
      <c r="AP433" s="873"/>
    </row>
    <row r="434" spans="38:42">
      <c r="AL434" s="873"/>
      <c r="AP434" s="873"/>
    </row>
    <row r="435" spans="38:42">
      <c r="AL435" s="873"/>
      <c r="AP435" s="873"/>
    </row>
    <row r="436" spans="38:42">
      <c r="AL436" s="873"/>
      <c r="AP436" s="873"/>
    </row>
    <row r="437" spans="38:42">
      <c r="AL437" s="873"/>
      <c r="AP437" s="873"/>
    </row>
    <row r="438" spans="38:42">
      <c r="AL438" s="873"/>
      <c r="AP438" s="873"/>
    </row>
    <row r="439" spans="38:42">
      <c r="AL439" s="873"/>
      <c r="AP439" s="873"/>
    </row>
    <row r="440" spans="38:42">
      <c r="AL440" s="873"/>
      <c r="AP440" s="873"/>
    </row>
    <row r="441" spans="38:42">
      <c r="AL441" s="873"/>
      <c r="AP441" s="873"/>
    </row>
    <row r="442" spans="38:42">
      <c r="AL442" s="873"/>
      <c r="AP442" s="873"/>
    </row>
    <row r="443" spans="38:42">
      <c r="AL443" s="873"/>
      <c r="AP443" s="873"/>
    </row>
    <row r="444" spans="38:42">
      <c r="AL444" s="873"/>
      <c r="AP444" s="873"/>
    </row>
    <row r="445" spans="38:42">
      <c r="AL445" s="873"/>
      <c r="AP445" s="873"/>
    </row>
    <row r="446" spans="38:42">
      <c r="AL446" s="873"/>
      <c r="AP446" s="873"/>
    </row>
    <row r="447" spans="38:42">
      <c r="AL447" s="873"/>
      <c r="AP447" s="873"/>
    </row>
    <row r="448" spans="38:42">
      <c r="AL448" s="873"/>
      <c r="AP448" s="873"/>
    </row>
    <row r="449" spans="38:42">
      <c r="AL449" s="873"/>
      <c r="AP449" s="873"/>
    </row>
    <row r="450" spans="38:42">
      <c r="AL450" s="873"/>
      <c r="AP450" s="873"/>
    </row>
    <row r="451" spans="38:42">
      <c r="AL451" s="873"/>
      <c r="AP451" s="873"/>
    </row>
    <row r="452" spans="38:42">
      <c r="AL452" s="873"/>
      <c r="AP452" s="873"/>
    </row>
    <row r="453" spans="38:42">
      <c r="AL453" s="873"/>
      <c r="AP453" s="873"/>
    </row>
    <row r="454" spans="38:42">
      <c r="AL454" s="873"/>
      <c r="AP454" s="873"/>
    </row>
    <row r="455" spans="38:42">
      <c r="AL455" s="873"/>
      <c r="AP455" s="873"/>
    </row>
    <row r="456" spans="38:42">
      <c r="AL456" s="873"/>
      <c r="AP456" s="873"/>
    </row>
    <row r="457" spans="38:42">
      <c r="AL457" s="873"/>
      <c r="AP457" s="873"/>
    </row>
    <row r="458" spans="38:42">
      <c r="AL458" s="873"/>
      <c r="AP458" s="873"/>
    </row>
    <row r="459" spans="38:42">
      <c r="AL459" s="873"/>
      <c r="AP459" s="873"/>
    </row>
    <row r="460" spans="38:42">
      <c r="AL460" s="873"/>
      <c r="AP460" s="873"/>
    </row>
    <row r="461" spans="38:42">
      <c r="AL461" s="873"/>
      <c r="AP461" s="873"/>
    </row>
    <row r="462" spans="38:42">
      <c r="AL462" s="873"/>
      <c r="AP462" s="873"/>
    </row>
    <row r="463" spans="38:42">
      <c r="AL463" s="873"/>
      <c r="AP463" s="873"/>
    </row>
    <row r="464" spans="38:42">
      <c r="AL464" s="873"/>
      <c r="AP464" s="873"/>
    </row>
    <row r="465" spans="38:42">
      <c r="AL465" s="873"/>
      <c r="AP465" s="873"/>
    </row>
    <row r="466" spans="38:42">
      <c r="AL466" s="873"/>
      <c r="AP466" s="873"/>
    </row>
    <row r="467" spans="38:42">
      <c r="AL467" s="873"/>
      <c r="AP467" s="873"/>
    </row>
    <row r="468" spans="38:42">
      <c r="AL468" s="873"/>
      <c r="AP468" s="873"/>
    </row>
    <row r="469" spans="38:42">
      <c r="AL469" s="873"/>
      <c r="AP469" s="873"/>
    </row>
    <row r="470" spans="38:42">
      <c r="AL470" s="873"/>
      <c r="AP470" s="873"/>
    </row>
    <row r="471" spans="38:42">
      <c r="AL471" s="873"/>
      <c r="AP471" s="873"/>
    </row>
    <row r="472" spans="38:42">
      <c r="AL472" s="873"/>
      <c r="AP472" s="873"/>
    </row>
    <row r="473" spans="38:42">
      <c r="AL473" s="873"/>
      <c r="AP473" s="873"/>
    </row>
    <row r="474" spans="38:42">
      <c r="AL474" s="873"/>
      <c r="AP474" s="873"/>
    </row>
    <row r="475" spans="38:42">
      <c r="AL475" s="873"/>
      <c r="AP475" s="873"/>
    </row>
    <row r="476" spans="38:42">
      <c r="AL476" s="873"/>
      <c r="AP476" s="873"/>
    </row>
    <row r="477" spans="38:42">
      <c r="AL477" s="873"/>
      <c r="AP477" s="873"/>
    </row>
    <row r="478" spans="38:42">
      <c r="AL478" s="873"/>
      <c r="AP478" s="873"/>
    </row>
    <row r="479" spans="38:42">
      <c r="AL479" s="873"/>
      <c r="AP479" s="873"/>
    </row>
    <row r="480" spans="38:42">
      <c r="AL480" s="873"/>
      <c r="AP480" s="873"/>
    </row>
    <row r="481" spans="38:42">
      <c r="AL481" s="873"/>
      <c r="AP481" s="873"/>
    </row>
    <row r="482" spans="38:42">
      <c r="AL482" s="873"/>
      <c r="AP482" s="873"/>
    </row>
    <row r="483" spans="38:42">
      <c r="AL483" s="873"/>
      <c r="AP483" s="873"/>
    </row>
    <row r="484" spans="38:42">
      <c r="AL484" s="873"/>
      <c r="AP484" s="873"/>
    </row>
    <row r="485" spans="38:42">
      <c r="AL485" s="873"/>
      <c r="AP485" s="873"/>
    </row>
    <row r="486" spans="38:42">
      <c r="AL486" s="873"/>
      <c r="AP486" s="873"/>
    </row>
    <row r="487" spans="38:42">
      <c r="AL487" s="873"/>
      <c r="AP487" s="873"/>
    </row>
    <row r="488" spans="38:42">
      <c r="AL488" s="873"/>
      <c r="AP488" s="873"/>
    </row>
    <row r="489" spans="38:42">
      <c r="AL489" s="873"/>
      <c r="AP489" s="873"/>
    </row>
    <row r="490" spans="38:42">
      <c r="AL490" s="873"/>
      <c r="AP490" s="873"/>
    </row>
    <row r="491" spans="38:42">
      <c r="AL491" s="873"/>
      <c r="AP491" s="873"/>
    </row>
    <row r="492" spans="38:42">
      <c r="AL492" s="873"/>
      <c r="AP492" s="873"/>
    </row>
    <row r="493" spans="38:42">
      <c r="AL493" s="873"/>
      <c r="AP493" s="873"/>
    </row>
    <row r="494" spans="38:42">
      <c r="AL494" s="873"/>
      <c r="AP494" s="873"/>
    </row>
    <row r="495" spans="38:42">
      <c r="AL495" s="873"/>
      <c r="AP495" s="873"/>
    </row>
    <row r="496" spans="38:42">
      <c r="AL496" s="873"/>
      <c r="AP496" s="873"/>
    </row>
    <row r="497" spans="38:42">
      <c r="AL497" s="873"/>
      <c r="AP497" s="873"/>
    </row>
    <row r="498" spans="38:42">
      <c r="AL498" s="873"/>
      <c r="AP498" s="873"/>
    </row>
    <row r="499" spans="38:42">
      <c r="AL499" s="873"/>
      <c r="AP499" s="873"/>
    </row>
    <row r="500" spans="38:42">
      <c r="AL500" s="873"/>
      <c r="AP500" s="873"/>
    </row>
    <row r="501" spans="38:42">
      <c r="AL501" s="873"/>
      <c r="AP501" s="873"/>
    </row>
    <row r="502" spans="38:42">
      <c r="AL502" s="873"/>
      <c r="AP502" s="873"/>
    </row>
    <row r="503" spans="38:42">
      <c r="AL503" s="873"/>
      <c r="AP503" s="873"/>
    </row>
    <row r="504" spans="38:42">
      <c r="AL504" s="873"/>
      <c r="AP504" s="873"/>
    </row>
    <row r="505" spans="38:42">
      <c r="AL505" s="873"/>
      <c r="AP505" s="873"/>
    </row>
    <row r="506" spans="38:42">
      <c r="AL506" s="873"/>
      <c r="AP506" s="873"/>
    </row>
    <row r="507" spans="38:42">
      <c r="AL507" s="873"/>
      <c r="AP507" s="873"/>
    </row>
    <row r="508" spans="38:42">
      <c r="AL508" s="873"/>
      <c r="AP508" s="873"/>
    </row>
    <row r="509" spans="38:42">
      <c r="AL509" s="873"/>
      <c r="AP509" s="873"/>
    </row>
    <row r="510" spans="38:42">
      <c r="AL510" s="873"/>
      <c r="AP510" s="873"/>
    </row>
    <row r="511" spans="38:42">
      <c r="AL511" s="873"/>
      <c r="AP511" s="873"/>
    </row>
    <row r="512" spans="38:42">
      <c r="AL512" s="873"/>
      <c r="AP512" s="873"/>
    </row>
    <row r="513" spans="38:42">
      <c r="AL513" s="873"/>
      <c r="AP513" s="873"/>
    </row>
    <row r="514" spans="38:42">
      <c r="AL514" s="873"/>
      <c r="AP514" s="873"/>
    </row>
    <row r="515" spans="38:42">
      <c r="AL515" s="873"/>
      <c r="AP515" s="873"/>
    </row>
    <row r="516" spans="38:42">
      <c r="AL516" s="873"/>
      <c r="AP516" s="873"/>
    </row>
    <row r="517" spans="38:42">
      <c r="AL517" s="873"/>
      <c r="AP517" s="873"/>
    </row>
    <row r="518" spans="38:42">
      <c r="AL518" s="873"/>
      <c r="AP518" s="873"/>
    </row>
    <row r="519" spans="38:42">
      <c r="AL519" s="873"/>
      <c r="AP519" s="873"/>
    </row>
    <row r="520" spans="38:42">
      <c r="AL520" s="873"/>
      <c r="AP520" s="873"/>
    </row>
    <row r="521" spans="38:42">
      <c r="AL521" s="873"/>
      <c r="AP521" s="873"/>
    </row>
    <row r="522" spans="38:42">
      <c r="AL522" s="873"/>
      <c r="AP522" s="873"/>
    </row>
    <row r="523" spans="38:42">
      <c r="AL523" s="873"/>
      <c r="AP523" s="873"/>
    </row>
    <row r="524" spans="38:42">
      <c r="AL524" s="873"/>
      <c r="AP524" s="873"/>
    </row>
    <row r="525" spans="38:42">
      <c r="AL525" s="873"/>
      <c r="AP525" s="873"/>
    </row>
    <row r="526" spans="38:42">
      <c r="AL526" s="873"/>
      <c r="AP526" s="873"/>
    </row>
    <row r="527" spans="38:42">
      <c r="AL527" s="873"/>
      <c r="AP527" s="873"/>
    </row>
    <row r="528" spans="38:42">
      <c r="AL528" s="873"/>
      <c r="AP528" s="873"/>
    </row>
    <row r="529" spans="38:42">
      <c r="AL529" s="873"/>
      <c r="AP529" s="873"/>
    </row>
    <row r="530" spans="38:42">
      <c r="AL530" s="873"/>
      <c r="AP530" s="873"/>
    </row>
    <row r="531" spans="38:42">
      <c r="AL531" s="873"/>
      <c r="AP531" s="873"/>
    </row>
    <row r="532" spans="38:42">
      <c r="AL532" s="873"/>
      <c r="AP532" s="873"/>
    </row>
    <row r="533" spans="38:42">
      <c r="AL533" s="873"/>
      <c r="AP533" s="873"/>
    </row>
    <row r="534" spans="38:42">
      <c r="AL534" s="873"/>
      <c r="AP534" s="873"/>
    </row>
    <row r="535" spans="38:42">
      <c r="AL535" s="873"/>
      <c r="AP535" s="873"/>
    </row>
    <row r="536" spans="38:42">
      <c r="AL536" s="873"/>
      <c r="AP536" s="873"/>
    </row>
    <row r="537" spans="38:42">
      <c r="AL537" s="873"/>
      <c r="AP537" s="873"/>
    </row>
    <row r="538" spans="38:42">
      <c r="AL538" s="873"/>
      <c r="AP538" s="873"/>
    </row>
    <row r="539" spans="38:42">
      <c r="AL539" s="873"/>
      <c r="AP539" s="873"/>
    </row>
    <row r="540" spans="38:42">
      <c r="AL540" s="873"/>
      <c r="AP540" s="873"/>
    </row>
    <row r="541" spans="38:42">
      <c r="AL541" s="873"/>
      <c r="AP541" s="873"/>
    </row>
    <row r="542" spans="38:42">
      <c r="AL542" s="873"/>
      <c r="AP542" s="873"/>
    </row>
    <row r="543" spans="38:42">
      <c r="AL543" s="873"/>
      <c r="AP543" s="873"/>
    </row>
    <row r="544" spans="38:42">
      <c r="AL544" s="873"/>
      <c r="AP544" s="873"/>
    </row>
    <row r="545" spans="38:42">
      <c r="AL545" s="873"/>
      <c r="AP545" s="873"/>
    </row>
  </sheetData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1166" bestFit="1" customWidth="1"/>
    <col min="2" max="2" width="19.85546875" style="1319" customWidth="1"/>
    <col min="3" max="3" width="12" style="1166" bestFit="1" customWidth="1"/>
    <col min="4" max="256" width="9.140625" style="1166"/>
    <col min="257" max="257" width="29.5703125" style="1166" bestFit="1" customWidth="1"/>
    <col min="258" max="258" width="19.85546875" style="1166" customWidth="1"/>
    <col min="259" max="259" width="12" style="1166" bestFit="1" customWidth="1"/>
    <col min="260" max="512" width="9.140625" style="1166"/>
    <col min="513" max="513" width="29.5703125" style="1166" bestFit="1" customWidth="1"/>
    <col min="514" max="514" width="19.85546875" style="1166" customWidth="1"/>
    <col min="515" max="515" width="12" style="1166" bestFit="1" customWidth="1"/>
    <col min="516" max="768" width="9.140625" style="1166"/>
    <col min="769" max="769" width="29.5703125" style="1166" bestFit="1" customWidth="1"/>
    <col min="770" max="770" width="19.85546875" style="1166" customWidth="1"/>
    <col min="771" max="771" width="12" style="1166" bestFit="1" customWidth="1"/>
    <col min="772" max="1024" width="9.140625" style="1166"/>
    <col min="1025" max="1025" width="29.5703125" style="1166" bestFit="1" customWidth="1"/>
    <col min="1026" max="1026" width="19.85546875" style="1166" customWidth="1"/>
    <col min="1027" max="1027" width="12" style="1166" bestFit="1" customWidth="1"/>
    <col min="1028" max="1280" width="9.140625" style="1166"/>
    <col min="1281" max="1281" width="29.5703125" style="1166" bestFit="1" customWidth="1"/>
    <col min="1282" max="1282" width="19.85546875" style="1166" customWidth="1"/>
    <col min="1283" max="1283" width="12" style="1166" bestFit="1" customWidth="1"/>
    <col min="1284" max="1536" width="9.140625" style="1166"/>
    <col min="1537" max="1537" width="29.5703125" style="1166" bestFit="1" customWidth="1"/>
    <col min="1538" max="1538" width="19.85546875" style="1166" customWidth="1"/>
    <col min="1539" max="1539" width="12" style="1166" bestFit="1" customWidth="1"/>
    <col min="1540" max="1792" width="9.140625" style="1166"/>
    <col min="1793" max="1793" width="29.5703125" style="1166" bestFit="1" customWidth="1"/>
    <col min="1794" max="1794" width="19.85546875" style="1166" customWidth="1"/>
    <col min="1795" max="1795" width="12" style="1166" bestFit="1" customWidth="1"/>
    <col min="1796" max="2048" width="9.140625" style="1166"/>
    <col min="2049" max="2049" width="29.5703125" style="1166" bestFit="1" customWidth="1"/>
    <col min="2050" max="2050" width="19.85546875" style="1166" customWidth="1"/>
    <col min="2051" max="2051" width="12" style="1166" bestFit="1" customWidth="1"/>
    <col min="2052" max="2304" width="9.140625" style="1166"/>
    <col min="2305" max="2305" width="29.5703125" style="1166" bestFit="1" customWidth="1"/>
    <col min="2306" max="2306" width="19.85546875" style="1166" customWidth="1"/>
    <col min="2307" max="2307" width="12" style="1166" bestFit="1" customWidth="1"/>
    <col min="2308" max="2560" width="9.140625" style="1166"/>
    <col min="2561" max="2561" width="29.5703125" style="1166" bestFit="1" customWidth="1"/>
    <col min="2562" max="2562" width="19.85546875" style="1166" customWidth="1"/>
    <col min="2563" max="2563" width="12" style="1166" bestFit="1" customWidth="1"/>
    <col min="2564" max="2816" width="9.140625" style="1166"/>
    <col min="2817" max="2817" width="29.5703125" style="1166" bestFit="1" customWidth="1"/>
    <col min="2818" max="2818" width="19.85546875" style="1166" customWidth="1"/>
    <col min="2819" max="2819" width="12" style="1166" bestFit="1" customWidth="1"/>
    <col min="2820" max="3072" width="9.140625" style="1166"/>
    <col min="3073" max="3073" width="29.5703125" style="1166" bestFit="1" customWidth="1"/>
    <col min="3074" max="3074" width="19.85546875" style="1166" customWidth="1"/>
    <col min="3075" max="3075" width="12" style="1166" bestFit="1" customWidth="1"/>
    <col min="3076" max="3328" width="9.140625" style="1166"/>
    <col min="3329" max="3329" width="29.5703125" style="1166" bestFit="1" customWidth="1"/>
    <col min="3330" max="3330" width="19.85546875" style="1166" customWidth="1"/>
    <col min="3331" max="3331" width="12" style="1166" bestFit="1" customWidth="1"/>
    <col min="3332" max="3584" width="9.140625" style="1166"/>
    <col min="3585" max="3585" width="29.5703125" style="1166" bestFit="1" customWidth="1"/>
    <col min="3586" max="3586" width="19.85546875" style="1166" customWidth="1"/>
    <col min="3587" max="3587" width="12" style="1166" bestFit="1" customWidth="1"/>
    <col min="3588" max="3840" width="9.140625" style="1166"/>
    <col min="3841" max="3841" width="29.5703125" style="1166" bestFit="1" customWidth="1"/>
    <col min="3842" max="3842" width="19.85546875" style="1166" customWidth="1"/>
    <col min="3843" max="3843" width="12" style="1166" bestFit="1" customWidth="1"/>
    <col min="3844" max="4096" width="9.140625" style="1166"/>
    <col min="4097" max="4097" width="29.5703125" style="1166" bestFit="1" customWidth="1"/>
    <col min="4098" max="4098" width="19.85546875" style="1166" customWidth="1"/>
    <col min="4099" max="4099" width="12" style="1166" bestFit="1" customWidth="1"/>
    <col min="4100" max="4352" width="9.140625" style="1166"/>
    <col min="4353" max="4353" width="29.5703125" style="1166" bestFit="1" customWidth="1"/>
    <col min="4354" max="4354" width="19.85546875" style="1166" customWidth="1"/>
    <col min="4355" max="4355" width="12" style="1166" bestFit="1" customWidth="1"/>
    <col min="4356" max="4608" width="9.140625" style="1166"/>
    <col min="4609" max="4609" width="29.5703125" style="1166" bestFit="1" customWidth="1"/>
    <col min="4610" max="4610" width="19.85546875" style="1166" customWidth="1"/>
    <col min="4611" max="4611" width="12" style="1166" bestFit="1" customWidth="1"/>
    <col min="4612" max="4864" width="9.140625" style="1166"/>
    <col min="4865" max="4865" width="29.5703125" style="1166" bestFit="1" customWidth="1"/>
    <col min="4866" max="4866" width="19.85546875" style="1166" customWidth="1"/>
    <col min="4867" max="4867" width="12" style="1166" bestFit="1" customWidth="1"/>
    <col min="4868" max="5120" width="9.140625" style="1166"/>
    <col min="5121" max="5121" width="29.5703125" style="1166" bestFit="1" customWidth="1"/>
    <col min="5122" max="5122" width="19.85546875" style="1166" customWidth="1"/>
    <col min="5123" max="5123" width="12" style="1166" bestFit="1" customWidth="1"/>
    <col min="5124" max="5376" width="9.140625" style="1166"/>
    <col min="5377" max="5377" width="29.5703125" style="1166" bestFit="1" customWidth="1"/>
    <col min="5378" max="5378" width="19.85546875" style="1166" customWidth="1"/>
    <col min="5379" max="5379" width="12" style="1166" bestFit="1" customWidth="1"/>
    <col min="5380" max="5632" width="9.140625" style="1166"/>
    <col min="5633" max="5633" width="29.5703125" style="1166" bestFit="1" customWidth="1"/>
    <col min="5634" max="5634" width="19.85546875" style="1166" customWidth="1"/>
    <col min="5635" max="5635" width="12" style="1166" bestFit="1" customWidth="1"/>
    <col min="5636" max="5888" width="9.140625" style="1166"/>
    <col min="5889" max="5889" width="29.5703125" style="1166" bestFit="1" customWidth="1"/>
    <col min="5890" max="5890" width="19.85546875" style="1166" customWidth="1"/>
    <col min="5891" max="5891" width="12" style="1166" bestFit="1" customWidth="1"/>
    <col min="5892" max="6144" width="9.140625" style="1166"/>
    <col min="6145" max="6145" width="29.5703125" style="1166" bestFit="1" customWidth="1"/>
    <col min="6146" max="6146" width="19.85546875" style="1166" customWidth="1"/>
    <col min="6147" max="6147" width="12" style="1166" bestFit="1" customWidth="1"/>
    <col min="6148" max="6400" width="9.140625" style="1166"/>
    <col min="6401" max="6401" width="29.5703125" style="1166" bestFit="1" customWidth="1"/>
    <col min="6402" max="6402" width="19.85546875" style="1166" customWidth="1"/>
    <col min="6403" max="6403" width="12" style="1166" bestFit="1" customWidth="1"/>
    <col min="6404" max="6656" width="9.140625" style="1166"/>
    <col min="6657" max="6657" width="29.5703125" style="1166" bestFit="1" customWidth="1"/>
    <col min="6658" max="6658" width="19.85546875" style="1166" customWidth="1"/>
    <col min="6659" max="6659" width="12" style="1166" bestFit="1" customWidth="1"/>
    <col min="6660" max="6912" width="9.140625" style="1166"/>
    <col min="6913" max="6913" width="29.5703125" style="1166" bestFit="1" customWidth="1"/>
    <col min="6914" max="6914" width="19.85546875" style="1166" customWidth="1"/>
    <col min="6915" max="6915" width="12" style="1166" bestFit="1" customWidth="1"/>
    <col min="6916" max="7168" width="9.140625" style="1166"/>
    <col min="7169" max="7169" width="29.5703125" style="1166" bestFit="1" customWidth="1"/>
    <col min="7170" max="7170" width="19.85546875" style="1166" customWidth="1"/>
    <col min="7171" max="7171" width="12" style="1166" bestFit="1" customWidth="1"/>
    <col min="7172" max="7424" width="9.140625" style="1166"/>
    <col min="7425" max="7425" width="29.5703125" style="1166" bestFit="1" customWidth="1"/>
    <col min="7426" max="7426" width="19.85546875" style="1166" customWidth="1"/>
    <col min="7427" max="7427" width="12" style="1166" bestFit="1" customWidth="1"/>
    <col min="7428" max="7680" width="9.140625" style="1166"/>
    <col min="7681" max="7681" width="29.5703125" style="1166" bestFit="1" customWidth="1"/>
    <col min="7682" max="7682" width="19.85546875" style="1166" customWidth="1"/>
    <col min="7683" max="7683" width="12" style="1166" bestFit="1" customWidth="1"/>
    <col min="7684" max="7936" width="9.140625" style="1166"/>
    <col min="7937" max="7937" width="29.5703125" style="1166" bestFit="1" customWidth="1"/>
    <col min="7938" max="7938" width="19.85546875" style="1166" customWidth="1"/>
    <col min="7939" max="7939" width="12" style="1166" bestFit="1" customWidth="1"/>
    <col min="7940" max="8192" width="9.140625" style="1166"/>
    <col min="8193" max="8193" width="29.5703125" style="1166" bestFit="1" customWidth="1"/>
    <col min="8194" max="8194" width="19.85546875" style="1166" customWidth="1"/>
    <col min="8195" max="8195" width="12" style="1166" bestFit="1" customWidth="1"/>
    <col min="8196" max="8448" width="9.140625" style="1166"/>
    <col min="8449" max="8449" width="29.5703125" style="1166" bestFit="1" customWidth="1"/>
    <col min="8450" max="8450" width="19.85546875" style="1166" customWidth="1"/>
    <col min="8451" max="8451" width="12" style="1166" bestFit="1" customWidth="1"/>
    <col min="8452" max="8704" width="9.140625" style="1166"/>
    <col min="8705" max="8705" width="29.5703125" style="1166" bestFit="1" customWidth="1"/>
    <col min="8706" max="8706" width="19.85546875" style="1166" customWidth="1"/>
    <col min="8707" max="8707" width="12" style="1166" bestFit="1" customWidth="1"/>
    <col min="8708" max="8960" width="9.140625" style="1166"/>
    <col min="8961" max="8961" width="29.5703125" style="1166" bestFit="1" customWidth="1"/>
    <col min="8962" max="8962" width="19.85546875" style="1166" customWidth="1"/>
    <col min="8963" max="8963" width="12" style="1166" bestFit="1" customWidth="1"/>
    <col min="8964" max="9216" width="9.140625" style="1166"/>
    <col min="9217" max="9217" width="29.5703125" style="1166" bestFit="1" customWidth="1"/>
    <col min="9218" max="9218" width="19.85546875" style="1166" customWidth="1"/>
    <col min="9219" max="9219" width="12" style="1166" bestFit="1" customWidth="1"/>
    <col min="9220" max="9472" width="9.140625" style="1166"/>
    <col min="9473" max="9473" width="29.5703125" style="1166" bestFit="1" customWidth="1"/>
    <col min="9474" max="9474" width="19.85546875" style="1166" customWidth="1"/>
    <col min="9475" max="9475" width="12" style="1166" bestFit="1" customWidth="1"/>
    <col min="9476" max="9728" width="9.140625" style="1166"/>
    <col min="9729" max="9729" width="29.5703125" style="1166" bestFit="1" customWidth="1"/>
    <col min="9730" max="9730" width="19.85546875" style="1166" customWidth="1"/>
    <col min="9731" max="9731" width="12" style="1166" bestFit="1" customWidth="1"/>
    <col min="9732" max="9984" width="9.140625" style="1166"/>
    <col min="9985" max="9985" width="29.5703125" style="1166" bestFit="1" customWidth="1"/>
    <col min="9986" max="9986" width="19.85546875" style="1166" customWidth="1"/>
    <col min="9987" max="9987" width="12" style="1166" bestFit="1" customWidth="1"/>
    <col min="9988" max="10240" width="9.140625" style="1166"/>
    <col min="10241" max="10241" width="29.5703125" style="1166" bestFit="1" customWidth="1"/>
    <col min="10242" max="10242" width="19.85546875" style="1166" customWidth="1"/>
    <col min="10243" max="10243" width="12" style="1166" bestFit="1" customWidth="1"/>
    <col min="10244" max="10496" width="9.140625" style="1166"/>
    <col min="10497" max="10497" width="29.5703125" style="1166" bestFit="1" customWidth="1"/>
    <col min="10498" max="10498" width="19.85546875" style="1166" customWidth="1"/>
    <col min="10499" max="10499" width="12" style="1166" bestFit="1" customWidth="1"/>
    <col min="10500" max="10752" width="9.140625" style="1166"/>
    <col min="10753" max="10753" width="29.5703125" style="1166" bestFit="1" customWidth="1"/>
    <col min="10754" max="10754" width="19.85546875" style="1166" customWidth="1"/>
    <col min="10755" max="10755" width="12" style="1166" bestFit="1" customWidth="1"/>
    <col min="10756" max="11008" width="9.140625" style="1166"/>
    <col min="11009" max="11009" width="29.5703125" style="1166" bestFit="1" customWidth="1"/>
    <col min="11010" max="11010" width="19.85546875" style="1166" customWidth="1"/>
    <col min="11011" max="11011" width="12" style="1166" bestFit="1" customWidth="1"/>
    <col min="11012" max="11264" width="9.140625" style="1166"/>
    <col min="11265" max="11265" width="29.5703125" style="1166" bestFit="1" customWidth="1"/>
    <col min="11266" max="11266" width="19.85546875" style="1166" customWidth="1"/>
    <col min="11267" max="11267" width="12" style="1166" bestFit="1" customWidth="1"/>
    <col min="11268" max="11520" width="9.140625" style="1166"/>
    <col min="11521" max="11521" width="29.5703125" style="1166" bestFit="1" customWidth="1"/>
    <col min="11522" max="11522" width="19.85546875" style="1166" customWidth="1"/>
    <col min="11523" max="11523" width="12" style="1166" bestFit="1" customWidth="1"/>
    <col min="11524" max="11776" width="9.140625" style="1166"/>
    <col min="11777" max="11777" width="29.5703125" style="1166" bestFit="1" customWidth="1"/>
    <col min="11778" max="11778" width="19.85546875" style="1166" customWidth="1"/>
    <col min="11779" max="11779" width="12" style="1166" bestFit="1" customWidth="1"/>
    <col min="11780" max="12032" width="9.140625" style="1166"/>
    <col min="12033" max="12033" width="29.5703125" style="1166" bestFit="1" customWidth="1"/>
    <col min="12034" max="12034" width="19.85546875" style="1166" customWidth="1"/>
    <col min="12035" max="12035" width="12" style="1166" bestFit="1" customWidth="1"/>
    <col min="12036" max="12288" width="9.140625" style="1166"/>
    <col min="12289" max="12289" width="29.5703125" style="1166" bestFit="1" customWidth="1"/>
    <col min="12290" max="12290" width="19.85546875" style="1166" customWidth="1"/>
    <col min="12291" max="12291" width="12" style="1166" bestFit="1" customWidth="1"/>
    <col min="12292" max="12544" width="9.140625" style="1166"/>
    <col min="12545" max="12545" width="29.5703125" style="1166" bestFit="1" customWidth="1"/>
    <col min="12546" max="12546" width="19.85546875" style="1166" customWidth="1"/>
    <col min="12547" max="12547" width="12" style="1166" bestFit="1" customWidth="1"/>
    <col min="12548" max="12800" width="9.140625" style="1166"/>
    <col min="12801" max="12801" width="29.5703125" style="1166" bestFit="1" customWidth="1"/>
    <col min="12802" max="12802" width="19.85546875" style="1166" customWidth="1"/>
    <col min="12803" max="12803" width="12" style="1166" bestFit="1" customWidth="1"/>
    <col min="12804" max="13056" width="9.140625" style="1166"/>
    <col min="13057" max="13057" width="29.5703125" style="1166" bestFit="1" customWidth="1"/>
    <col min="13058" max="13058" width="19.85546875" style="1166" customWidth="1"/>
    <col min="13059" max="13059" width="12" style="1166" bestFit="1" customWidth="1"/>
    <col min="13060" max="13312" width="9.140625" style="1166"/>
    <col min="13313" max="13313" width="29.5703125" style="1166" bestFit="1" customWidth="1"/>
    <col min="13314" max="13314" width="19.85546875" style="1166" customWidth="1"/>
    <col min="13315" max="13315" width="12" style="1166" bestFit="1" customWidth="1"/>
    <col min="13316" max="13568" width="9.140625" style="1166"/>
    <col min="13569" max="13569" width="29.5703125" style="1166" bestFit="1" customWidth="1"/>
    <col min="13570" max="13570" width="19.85546875" style="1166" customWidth="1"/>
    <col min="13571" max="13571" width="12" style="1166" bestFit="1" customWidth="1"/>
    <col min="13572" max="13824" width="9.140625" style="1166"/>
    <col min="13825" max="13825" width="29.5703125" style="1166" bestFit="1" customWidth="1"/>
    <col min="13826" max="13826" width="19.85546875" style="1166" customWidth="1"/>
    <col min="13827" max="13827" width="12" style="1166" bestFit="1" customWidth="1"/>
    <col min="13828" max="14080" width="9.140625" style="1166"/>
    <col min="14081" max="14081" width="29.5703125" style="1166" bestFit="1" customWidth="1"/>
    <col min="14082" max="14082" width="19.85546875" style="1166" customWidth="1"/>
    <col min="14083" max="14083" width="12" style="1166" bestFit="1" customWidth="1"/>
    <col min="14084" max="14336" width="9.140625" style="1166"/>
    <col min="14337" max="14337" width="29.5703125" style="1166" bestFit="1" customWidth="1"/>
    <col min="14338" max="14338" width="19.85546875" style="1166" customWidth="1"/>
    <col min="14339" max="14339" width="12" style="1166" bestFit="1" customWidth="1"/>
    <col min="14340" max="14592" width="9.140625" style="1166"/>
    <col min="14593" max="14593" width="29.5703125" style="1166" bestFit="1" customWidth="1"/>
    <col min="14594" max="14594" width="19.85546875" style="1166" customWidth="1"/>
    <col min="14595" max="14595" width="12" style="1166" bestFit="1" customWidth="1"/>
    <col min="14596" max="14848" width="9.140625" style="1166"/>
    <col min="14849" max="14849" width="29.5703125" style="1166" bestFit="1" customWidth="1"/>
    <col min="14850" max="14850" width="19.85546875" style="1166" customWidth="1"/>
    <col min="14851" max="14851" width="12" style="1166" bestFit="1" customWidth="1"/>
    <col min="14852" max="15104" width="9.140625" style="1166"/>
    <col min="15105" max="15105" width="29.5703125" style="1166" bestFit="1" customWidth="1"/>
    <col min="15106" max="15106" width="19.85546875" style="1166" customWidth="1"/>
    <col min="15107" max="15107" width="12" style="1166" bestFit="1" customWidth="1"/>
    <col min="15108" max="15360" width="9.140625" style="1166"/>
    <col min="15361" max="15361" width="29.5703125" style="1166" bestFit="1" customWidth="1"/>
    <col min="15362" max="15362" width="19.85546875" style="1166" customWidth="1"/>
    <col min="15363" max="15363" width="12" style="1166" bestFit="1" customWidth="1"/>
    <col min="15364" max="15616" width="9.140625" style="1166"/>
    <col min="15617" max="15617" width="29.5703125" style="1166" bestFit="1" customWidth="1"/>
    <col min="15618" max="15618" width="19.85546875" style="1166" customWidth="1"/>
    <col min="15619" max="15619" width="12" style="1166" bestFit="1" customWidth="1"/>
    <col min="15620" max="15872" width="9.140625" style="1166"/>
    <col min="15873" max="15873" width="29.5703125" style="1166" bestFit="1" customWidth="1"/>
    <col min="15874" max="15874" width="19.85546875" style="1166" customWidth="1"/>
    <col min="15875" max="15875" width="12" style="1166" bestFit="1" customWidth="1"/>
    <col min="15876" max="16128" width="9.140625" style="1166"/>
    <col min="16129" max="16129" width="29.5703125" style="1166" bestFit="1" customWidth="1"/>
    <col min="16130" max="16130" width="19.85546875" style="1166" customWidth="1"/>
    <col min="16131" max="16131" width="12" style="1166" bestFit="1" customWidth="1"/>
    <col min="16132" max="16384" width="9.140625" style="1166"/>
  </cols>
  <sheetData>
    <row r="1" spans="1:2">
      <c r="A1" s="1166" t="s">
        <v>856</v>
      </c>
      <c r="B1" s="1318">
        <v>6.1</v>
      </c>
    </row>
    <row r="2" spans="1:2">
      <c r="A2" s="1166" t="s">
        <v>857</v>
      </c>
      <c r="B2" s="1322">
        <v>43216.953055555554</v>
      </c>
    </row>
    <row r="3" spans="1:2">
      <c r="A3" s="1166" t="s">
        <v>858</v>
      </c>
      <c r="B3" s="1319" t="s">
        <v>554</v>
      </c>
    </row>
    <row r="4" spans="1:2">
      <c r="A4" s="1166" t="s">
        <v>859</v>
      </c>
      <c r="B4" s="1319" t="s">
        <v>314</v>
      </c>
    </row>
    <row r="5" spans="1:2">
      <c r="A5" s="1166" t="s">
        <v>860</v>
      </c>
      <c r="B5" s="1319" t="s">
        <v>861</v>
      </c>
    </row>
    <row r="6" spans="1:2">
      <c r="A6" s="1166" t="s">
        <v>862</v>
      </c>
    </row>
    <row r="7" spans="1:2">
      <c r="A7" s="1166" t="s">
        <v>863</v>
      </c>
      <c r="B7" s="1319" t="s">
        <v>0</v>
      </c>
    </row>
    <row r="8" spans="1:2">
      <c r="A8" s="1166" t="s">
        <v>864</v>
      </c>
      <c r="B8" s="1319" t="s">
        <v>865</v>
      </c>
    </row>
    <row r="9" spans="1:2">
      <c r="A9" s="1166" t="s">
        <v>866</v>
      </c>
      <c r="B9" s="1319" t="s">
        <v>903</v>
      </c>
    </row>
    <row r="10" spans="1:2">
      <c r="A10" s="1166" t="s">
        <v>867</v>
      </c>
    </row>
    <row r="11" spans="1:2">
      <c r="A11" s="1166" t="s">
        <v>868</v>
      </c>
    </row>
    <row r="12" spans="1:2">
      <c r="A12" s="1166" t="s">
        <v>869</v>
      </c>
    </row>
    <row r="13" spans="1:2">
      <c r="A13" s="1166" t="s">
        <v>870</v>
      </c>
    </row>
    <row r="14" spans="1:2">
      <c r="A14" s="1166" t="s">
        <v>871</v>
      </c>
    </row>
    <row r="15" spans="1:2">
      <c r="A15" s="1166" t="s">
        <v>872</v>
      </c>
    </row>
    <row r="16" spans="1:2">
      <c r="A16" s="1166" t="s">
        <v>873</v>
      </c>
    </row>
    <row r="17" spans="1:4">
      <c r="A17" s="1166" t="s">
        <v>874</v>
      </c>
      <c r="B17" s="1319" t="s">
        <v>904</v>
      </c>
    </row>
    <row r="18" spans="1:4">
      <c r="A18" s="1166" t="s">
        <v>875</v>
      </c>
      <c r="B18" s="1319" t="s">
        <v>907</v>
      </c>
    </row>
    <row r="19" spans="1:4">
      <c r="A19" s="1166" t="s">
        <v>876</v>
      </c>
      <c r="B19" s="1319" t="s">
        <v>335</v>
      </c>
    </row>
    <row r="20" spans="1:4">
      <c r="A20" s="1166" t="s">
        <v>877</v>
      </c>
      <c r="B20" s="1320">
        <v>458140100</v>
      </c>
    </row>
    <row r="21" spans="1:4">
      <c r="A21" s="1166" t="s">
        <v>878</v>
      </c>
      <c r="B21" s="1319" t="s">
        <v>335</v>
      </c>
    </row>
    <row r="22" spans="1:4">
      <c r="A22" s="1166" t="s">
        <v>879</v>
      </c>
      <c r="B22" s="1320">
        <v>2463247</v>
      </c>
    </row>
    <row r="23" spans="1:4">
      <c r="A23" s="1166" t="s">
        <v>337</v>
      </c>
      <c r="B23" s="1318">
        <v>53.05</v>
      </c>
    </row>
    <row r="24" spans="1:4">
      <c r="A24" s="1166" t="s">
        <v>336</v>
      </c>
      <c r="B24" s="1319" t="s">
        <v>340</v>
      </c>
      <c r="D24" s="1166" t="s">
        <v>2</v>
      </c>
    </row>
    <row r="25" spans="1:4">
      <c r="A25" s="1166" t="s">
        <v>880</v>
      </c>
      <c r="B25" s="1319" t="s">
        <v>908</v>
      </c>
    </row>
    <row r="26" spans="1:4">
      <c r="A26" s="1166" t="s">
        <v>881</v>
      </c>
      <c r="B26" s="1319">
        <v>0</v>
      </c>
    </row>
    <row r="27" spans="1:4">
      <c r="A27" s="1166" t="s">
        <v>882</v>
      </c>
      <c r="B27" s="1319" t="s">
        <v>883</v>
      </c>
    </row>
    <row r="28" spans="1:4">
      <c r="A28" s="1166" t="s">
        <v>884</v>
      </c>
      <c r="B28" s="1319" t="s">
        <v>885</v>
      </c>
    </row>
    <row r="29" spans="1:4">
      <c r="A29" s="1166" t="s">
        <v>886</v>
      </c>
    </row>
    <row r="30" spans="1:4">
      <c r="A30" s="1166" t="s">
        <v>887</v>
      </c>
    </row>
    <row r="31" spans="1:4">
      <c r="A31" s="1166" t="s">
        <v>888</v>
      </c>
    </row>
    <row r="32" spans="1:4">
      <c r="A32" s="1166" t="s">
        <v>889</v>
      </c>
      <c r="B32" s="1318"/>
    </row>
    <row r="33" spans="1:2">
      <c r="A33" s="1166" t="s">
        <v>890</v>
      </c>
      <c r="B33" s="1318"/>
    </row>
    <row r="34" spans="1:2">
      <c r="A34" s="1166" t="s">
        <v>891</v>
      </c>
      <c r="B34" s="1318"/>
    </row>
    <row r="35" spans="1:2">
      <c r="A35" s="1166" t="s">
        <v>892</v>
      </c>
      <c r="B35" s="1319">
        <v>1000000</v>
      </c>
    </row>
    <row r="36" spans="1:2">
      <c r="A36" s="1166" t="s">
        <v>893</v>
      </c>
      <c r="B36" s="1319" t="s">
        <v>905</v>
      </c>
    </row>
    <row r="37" spans="1:2">
      <c r="A37" s="1166" t="s">
        <v>894</v>
      </c>
      <c r="B37" s="1319" t="s">
        <v>895</v>
      </c>
    </row>
    <row r="38" spans="1:2">
      <c r="A38" s="1166" t="s">
        <v>896</v>
      </c>
      <c r="B38" s="1319" t="s">
        <v>897</v>
      </c>
    </row>
    <row r="39" spans="1:2">
      <c r="A39" s="1166" t="s">
        <v>898</v>
      </c>
      <c r="B39" s="1319" t="s">
        <v>906</v>
      </c>
    </row>
    <row r="40" spans="1:2">
      <c r="A40" s="1166" t="s">
        <v>899</v>
      </c>
      <c r="B40" s="1319">
        <v>1500000092</v>
      </c>
    </row>
    <row r="41" spans="1:2">
      <c r="A41" s="1166" t="s">
        <v>900</v>
      </c>
      <c r="B41" s="1319">
        <v>1</v>
      </c>
    </row>
    <row r="42" spans="1:2">
      <c r="A42" s="1321" t="s">
        <v>901</v>
      </c>
      <c r="B42" s="1319" t="s">
        <v>909</v>
      </c>
    </row>
    <row r="43" spans="1:2">
      <c r="A43" s="1166" t="s">
        <v>902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1166" bestFit="1" customWidth="1"/>
    <col min="2" max="256" width="9.140625" style="1166"/>
    <col min="257" max="257" width="28.5703125" style="1166" bestFit="1" customWidth="1"/>
    <col min="258" max="512" width="9.140625" style="1166"/>
    <col min="513" max="513" width="28.5703125" style="1166" bestFit="1" customWidth="1"/>
    <col min="514" max="768" width="9.140625" style="1166"/>
    <col min="769" max="769" width="28.5703125" style="1166" bestFit="1" customWidth="1"/>
    <col min="770" max="1024" width="9.140625" style="1166"/>
    <col min="1025" max="1025" width="28.5703125" style="1166" bestFit="1" customWidth="1"/>
    <col min="1026" max="1280" width="9.140625" style="1166"/>
    <col min="1281" max="1281" width="28.5703125" style="1166" bestFit="1" customWidth="1"/>
    <col min="1282" max="1536" width="9.140625" style="1166"/>
    <col min="1537" max="1537" width="28.5703125" style="1166" bestFit="1" customWidth="1"/>
    <col min="1538" max="1792" width="9.140625" style="1166"/>
    <col min="1793" max="1793" width="28.5703125" style="1166" bestFit="1" customWidth="1"/>
    <col min="1794" max="2048" width="9.140625" style="1166"/>
    <col min="2049" max="2049" width="28.5703125" style="1166" bestFit="1" customWidth="1"/>
    <col min="2050" max="2304" width="9.140625" style="1166"/>
    <col min="2305" max="2305" width="28.5703125" style="1166" bestFit="1" customWidth="1"/>
    <col min="2306" max="2560" width="9.140625" style="1166"/>
    <col min="2561" max="2561" width="28.5703125" style="1166" bestFit="1" customWidth="1"/>
    <col min="2562" max="2816" width="9.140625" style="1166"/>
    <col min="2817" max="2817" width="28.5703125" style="1166" bestFit="1" customWidth="1"/>
    <col min="2818" max="3072" width="9.140625" style="1166"/>
    <col min="3073" max="3073" width="28.5703125" style="1166" bestFit="1" customWidth="1"/>
    <col min="3074" max="3328" width="9.140625" style="1166"/>
    <col min="3329" max="3329" width="28.5703125" style="1166" bestFit="1" customWidth="1"/>
    <col min="3330" max="3584" width="9.140625" style="1166"/>
    <col min="3585" max="3585" width="28.5703125" style="1166" bestFit="1" customWidth="1"/>
    <col min="3586" max="3840" width="9.140625" style="1166"/>
    <col min="3841" max="3841" width="28.5703125" style="1166" bestFit="1" customWidth="1"/>
    <col min="3842" max="4096" width="9.140625" style="1166"/>
    <col min="4097" max="4097" width="28.5703125" style="1166" bestFit="1" customWidth="1"/>
    <col min="4098" max="4352" width="9.140625" style="1166"/>
    <col min="4353" max="4353" width="28.5703125" style="1166" bestFit="1" customWidth="1"/>
    <col min="4354" max="4608" width="9.140625" style="1166"/>
    <col min="4609" max="4609" width="28.5703125" style="1166" bestFit="1" customWidth="1"/>
    <col min="4610" max="4864" width="9.140625" style="1166"/>
    <col min="4865" max="4865" width="28.5703125" style="1166" bestFit="1" customWidth="1"/>
    <col min="4866" max="5120" width="9.140625" style="1166"/>
    <col min="5121" max="5121" width="28.5703125" style="1166" bestFit="1" customWidth="1"/>
    <col min="5122" max="5376" width="9.140625" style="1166"/>
    <col min="5377" max="5377" width="28.5703125" style="1166" bestFit="1" customWidth="1"/>
    <col min="5378" max="5632" width="9.140625" style="1166"/>
    <col min="5633" max="5633" width="28.5703125" style="1166" bestFit="1" customWidth="1"/>
    <col min="5634" max="5888" width="9.140625" style="1166"/>
    <col min="5889" max="5889" width="28.5703125" style="1166" bestFit="1" customWidth="1"/>
    <col min="5890" max="6144" width="9.140625" style="1166"/>
    <col min="6145" max="6145" width="28.5703125" style="1166" bestFit="1" customWidth="1"/>
    <col min="6146" max="6400" width="9.140625" style="1166"/>
    <col min="6401" max="6401" width="28.5703125" style="1166" bestFit="1" customWidth="1"/>
    <col min="6402" max="6656" width="9.140625" style="1166"/>
    <col min="6657" max="6657" width="28.5703125" style="1166" bestFit="1" customWidth="1"/>
    <col min="6658" max="6912" width="9.140625" style="1166"/>
    <col min="6913" max="6913" width="28.5703125" style="1166" bestFit="1" customWidth="1"/>
    <col min="6914" max="7168" width="9.140625" style="1166"/>
    <col min="7169" max="7169" width="28.5703125" style="1166" bestFit="1" customWidth="1"/>
    <col min="7170" max="7424" width="9.140625" style="1166"/>
    <col min="7425" max="7425" width="28.5703125" style="1166" bestFit="1" customWidth="1"/>
    <col min="7426" max="7680" width="9.140625" style="1166"/>
    <col min="7681" max="7681" width="28.5703125" style="1166" bestFit="1" customWidth="1"/>
    <col min="7682" max="7936" width="9.140625" style="1166"/>
    <col min="7937" max="7937" width="28.5703125" style="1166" bestFit="1" customWidth="1"/>
    <col min="7938" max="8192" width="9.140625" style="1166"/>
    <col min="8193" max="8193" width="28.5703125" style="1166" bestFit="1" customWidth="1"/>
    <col min="8194" max="8448" width="9.140625" style="1166"/>
    <col min="8449" max="8449" width="28.5703125" style="1166" bestFit="1" customWidth="1"/>
    <col min="8450" max="8704" width="9.140625" style="1166"/>
    <col min="8705" max="8705" width="28.5703125" style="1166" bestFit="1" customWidth="1"/>
    <col min="8706" max="8960" width="9.140625" style="1166"/>
    <col min="8961" max="8961" width="28.5703125" style="1166" bestFit="1" customWidth="1"/>
    <col min="8962" max="9216" width="9.140625" style="1166"/>
    <col min="9217" max="9217" width="28.5703125" style="1166" bestFit="1" customWidth="1"/>
    <col min="9218" max="9472" width="9.140625" style="1166"/>
    <col min="9473" max="9473" width="28.5703125" style="1166" bestFit="1" customWidth="1"/>
    <col min="9474" max="9728" width="9.140625" style="1166"/>
    <col min="9729" max="9729" width="28.5703125" style="1166" bestFit="1" customWidth="1"/>
    <col min="9730" max="9984" width="9.140625" style="1166"/>
    <col min="9985" max="9985" width="28.5703125" style="1166" bestFit="1" customWidth="1"/>
    <col min="9986" max="10240" width="9.140625" style="1166"/>
    <col min="10241" max="10241" width="28.5703125" style="1166" bestFit="1" customWidth="1"/>
    <col min="10242" max="10496" width="9.140625" style="1166"/>
    <col min="10497" max="10497" width="28.5703125" style="1166" bestFit="1" customWidth="1"/>
    <col min="10498" max="10752" width="9.140625" style="1166"/>
    <col min="10753" max="10753" width="28.5703125" style="1166" bestFit="1" customWidth="1"/>
    <col min="10754" max="11008" width="9.140625" style="1166"/>
    <col min="11009" max="11009" width="28.5703125" style="1166" bestFit="1" customWidth="1"/>
    <col min="11010" max="11264" width="9.140625" style="1166"/>
    <col min="11265" max="11265" width="28.5703125" style="1166" bestFit="1" customWidth="1"/>
    <col min="11266" max="11520" width="9.140625" style="1166"/>
    <col min="11521" max="11521" width="28.5703125" style="1166" bestFit="1" customWidth="1"/>
    <col min="11522" max="11776" width="9.140625" style="1166"/>
    <col min="11777" max="11777" width="28.5703125" style="1166" bestFit="1" customWidth="1"/>
    <col min="11778" max="12032" width="9.140625" style="1166"/>
    <col min="12033" max="12033" width="28.5703125" style="1166" bestFit="1" customWidth="1"/>
    <col min="12034" max="12288" width="9.140625" style="1166"/>
    <col min="12289" max="12289" width="28.5703125" style="1166" bestFit="1" customWidth="1"/>
    <col min="12290" max="12544" width="9.140625" style="1166"/>
    <col min="12545" max="12545" width="28.5703125" style="1166" bestFit="1" customWidth="1"/>
    <col min="12546" max="12800" width="9.140625" style="1166"/>
    <col min="12801" max="12801" width="28.5703125" style="1166" bestFit="1" customWidth="1"/>
    <col min="12802" max="13056" width="9.140625" style="1166"/>
    <col min="13057" max="13057" width="28.5703125" style="1166" bestFit="1" customWidth="1"/>
    <col min="13058" max="13312" width="9.140625" style="1166"/>
    <col min="13313" max="13313" width="28.5703125" style="1166" bestFit="1" customWidth="1"/>
    <col min="13314" max="13568" width="9.140625" style="1166"/>
    <col min="13569" max="13569" width="28.5703125" style="1166" bestFit="1" customWidth="1"/>
    <col min="13570" max="13824" width="9.140625" style="1166"/>
    <col min="13825" max="13825" width="28.5703125" style="1166" bestFit="1" customWidth="1"/>
    <col min="13826" max="14080" width="9.140625" style="1166"/>
    <col min="14081" max="14081" width="28.5703125" style="1166" bestFit="1" customWidth="1"/>
    <col min="14082" max="14336" width="9.140625" style="1166"/>
    <col min="14337" max="14337" width="28.5703125" style="1166" bestFit="1" customWidth="1"/>
    <col min="14338" max="14592" width="9.140625" style="1166"/>
    <col min="14593" max="14593" width="28.5703125" style="1166" bestFit="1" customWidth="1"/>
    <col min="14594" max="14848" width="9.140625" style="1166"/>
    <col min="14849" max="14849" width="28.5703125" style="1166" bestFit="1" customWidth="1"/>
    <col min="14850" max="15104" width="9.140625" style="1166"/>
    <col min="15105" max="15105" width="28.5703125" style="1166" bestFit="1" customWidth="1"/>
    <col min="15106" max="15360" width="9.140625" style="1166"/>
    <col min="15361" max="15361" width="28.5703125" style="1166" bestFit="1" customWidth="1"/>
    <col min="15362" max="15616" width="9.140625" style="1166"/>
    <col min="15617" max="15617" width="28.5703125" style="1166" bestFit="1" customWidth="1"/>
    <col min="15618" max="15872" width="9.140625" style="1166"/>
    <col min="15873" max="15873" width="28.5703125" style="1166" bestFit="1" customWidth="1"/>
    <col min="15874" max="16128" width="9.140625" style="1166"/>
    <col min="16129" max="16129" width="28.5703125" style="1166" bestFit="1" customWidth="1"/>
    <col min="16130" max="16384" width="9.140625" style="1166"/>
  </cols>
  <sheetData>
    <row r="1" spans="1:1">
      <c r="A1" s="1323" t="s">
        <v>910</v>
      </c>
    </row>
    <row r="2" spans="1:1">
      <c r="A2" s="1323" t="s">
        <v>915</v>
      </c>
    </row>
    <row r="3" spans="1:1">
      <c r="A3" s="1323" t="s">
        <v>916</v>
      </c>
    </row>
    <row r="4" spans="1:1">
      <c r="A4" s="1323" t="s">
        <v>917</v>
      </c>
    </row>
    <row r="5" spans="1:1">
      <c r="A5" s="1323" t="s">
        <v>918</v>
      </c>
    </row>
    <row r="6" spans="1:1">
      <c r="A6" s="1323" t="s">
        <v>911</v>
      </c>
    </row>
    <row r="7" spans="1:1">
      <c r="A7" s="1323" t="s">
        <v>919</v>
      </c>
    </row>
    <row r="8" spans="1:1">
      <c r="A8" s="1323" t="s">
        <v>920</v>
      </c>
    </row>
    <row r="9" spans="1:1">
      <c r="A9" s="1323" t="s">
        <v>921</v>
      </c>
    </row>
    <row r="10" spans="1:1">
      <c r="A10" s="1323" t="s">
        <v>912</v>
      </c>
    </row>
    <row r="11" spans="1:1">
      <c r="A11" s="1323" t="s">
        <v>922</v>
      </c>
    </row>
    <row r="12" spans="1:1">
      <c r="A12" s="1323" t="s">
        <v>913</v>
      </c>
    </row>
    <row r="13" spans="1:1">
      <c r="A13" s="1323" t="s">
        <v>914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"/>
  <sheetViews>
    <sheetView workbookViewId="0"/>
  </sheetViews>
  <sheetFormatPr defaultRowHeight="12.75"/>
  <sheetData>
    <row r="1" spans="1:6">
      <c r="A1" t="s">
        <v>347</v>
      </c>
    </row>
    <row r="2" spans="1:6">
      <c r="A2" s="624" t="s">
        <v>344</v>
      </c>
      <c r="B2" s="624" t="s">
        <v>550</v>
      </c>
      <c r="C2" s="624" t="s">
        <v>345</v>
      </c>
      <c r="D2" s="624" t="s">
        <v>348</v>
      </c>
      <c r="E2" s="624" t="s">
        <v>346</v>
      </c>
      <c r="F2" s="624" t="s">
        <v>340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6f6f85b5-0ae2-4a43-b69f-25f904f45d2c</GUID>
    <SOURCE_ALTADDRESS>$B$5:$AY$43</SOURCE_ALTADDRESS>
    <SOURCETYPE>Table</SOURCETYPE>
    <SOURCE_OBJECTNAME>Linking_Range_63</SOURCE_OBJECTNAME>
    <OBJECTTYPE>Native</OBJECTTYPE>
    <SOURCE_SHEETCODE>Sheet3</SOURCE_SHEETCODE>
    <SOURCE_SHEETNAME>BS</SOURCE_SHEETNAME>
    <SOURCEAPPLICATION>EXCEL_SOURCE</SOURCEAPPLICATION>
    <UPDATEDAT>3/12/2015 6:43:28 PM</UPDATEDAT>
    <SOURCE_ISOUTOFDATE>False</SOURCE_ISOUTOFDATE>
    <SOURCE_WORKBOOKNAME>INTC_WIP.xls</SOURCE_WORKBOOKNAME>
    <SOURCE_WORKBOOKPATH>\\MSAD\ROOT\NA\NY\LIB\ER\SEMI CAP\Joe Files\Companies\INTC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/MSResearch/Content/ExternalAssets/2015-03/Images/lu_VY1QovU6USUBjgzG1OQ--.png</TARGET_BINARYFULLNAME>
    <TARGET_STORYFULLNAME>/MSResearch/Content/ExternalAssets/2015-03/Sections/20150312_064326_Linking_Range_63.xml</TARGET_STORYFULLNAME>
    <TARGET_UUID>322d8828-c909-11e4-96df-6c230f6d8cc6</TARGET_UUID>
  </Link>
  <Link>
    <GUID>e6bae3e1-fe1e-438e-b391-13448a4fc6bb</GUID>
    <SOURCE_ALTADDRESS>$D$7:$R$15</SOURCE_ALTADDRESS>
    <SOURCETYPE>Table</SOURCETYPE>
    <SOURCE_OBJECTNAME>Linking_Range_31</SOURCE_OBJECTNAME>
    <OBJECTTYPE>Native</OBJECTTYPE>
    <SOURCE_SHEETCODE>Sheet34</SOURCE_SHEETCODE>
    <SOURCE_SHEETNAME>MS vs. Cons.</SOURCE_SHEETNAME>
    <SOURCEAPPLICATION>EXCEL_SOURCE</SOURCEAPPLICATION>
    <UPDATEDAT>4/7/2015 5:26:46 PM</UPDATEDAT>
    <SOURCE_ISOUTOFDATE>False</SOURCE_ISOUTOFDATE>
    <SOURCE_WORKBOOKNAME>INTC_WIP.xls</SOURCE_WORKBOOKNAME>
    <SOURCE_WORKBOOKPATH>\\MSAD\ROOT\NA\NY\LIB\ER\SEMI CAP\Joe Files\Companies\INTC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/MSResearch/Content/ExternalAssets/2015-04/Images/KgP5oSiCy0WXuc9vGdJ59w--.png</TARGET_BINARYFULLNAME>
    <TARGET_STORYFULLNAME>/MSResearch/Content/ExternalAssets/2015-04/Sections/20150407_052643_Linking_Range_31.xml</TARGET_STORYFULLNAME>
    <TARGET_UUID>c9be9ebc-dd6c-11e4-9cfb-6eb77350c59b</TARGET_UUID>
  </Link>
  <Link>
    <GUID>9ac46279-8e0c-446d-bb9b-b682822a68f4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4/14/2015 8:26:22 PM</UPDATEDAT>
    <SOURCE_ISOUTOFDATE>False</SOURCE_ISOUTOFDATE>
    <SOURCE_WORKBOOKNAME>INTC_WIP.xls</SOURCE_WORKBOOKNAME>
    <SOURCE_WORKBOOKPATH>\\MSAD\ROOT\NA\NY\LIB\ER\SEMI CAP\Joe Files\Companies\INTC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/MSResearch/Content/ExternalAssets/2015-03/Images/JLgIIoRZBqzYyk1wn3Bw--.png</TARGET_BINARYFULLNAME>
    <TARGET_STORYFULLNAME>/MSResearch/Content/ExternalAssets/2015-03/Sections/20150312_070317_MWA_Risk_Reward.xml</TARGET_STORYFULLNAME>
    <TARGET_UUID>f823031c-c90b-11e4-96df-6c230f6d8cc6</TARGET_UUID>
    <HIDEGRIDLINES>False</HIDEGRIDLINES>
  </Link>
  <Link>
    <GUID>3548cedf-1bec-4aa4-b1e5-177f4dfb77f8</GUID>
    <SOURCE_ALTADDRESS>$C$9:$L$19</SOURCE_ALTADDRESS>
    <SOURCETYPE>Table</SOURCETYPE>
    <SOURCE_OBJECTNAME>Linking_Range_41</SOURCE_OBJECTNAME>
    <OBJECTTYPE>Native</OBJECTTYPE>
    <SOURCE_SHEETCODE>Sheet13</SOURCE_SHEETCODE>
    <SOURCE_SHEETNAME>Snapshot</SOURCE_SHEETNAME>
    <SOURCEAPPLICATION>EXCEL_SOURCE</SOURCEAPPLICATION>
    <UPDATEDAT>4/14/2015 8:30:52 PM</UPDATEDAT>
    <SOURCE_ISOUTOFDATE>False</SOURCE_ISOUTOFDATE>
    <SOURCE_WORKBOOKNAME>INTC_WIP.xls</SOURCE_WORKBOOKNAME>
    <SOURCE_WORKBOOKPATH>\\MSAD\ROOT\NA\NY\LIB\ER\SEMI CAP\Joe Files\Companies\INTC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/MSResearch/Content/ExternalAssets/2015-04/Images/tJQEtAXPIEmVZovH7Utf8g--.png</TARGET_BINARYFULLNAME>
    <TARGET_STORYFULLNAME>/MSResearch/Content/ExternalAssets/2015-04/Sections/20150414_083050_Linking_Range_41.xml</TARGET_STORYFULLNAME>
    <TARGET_UUID>aad21908-e306-11e4-8428-e799a3b9280a</TARGET_UUID>
  </Link>
  <Link>
    <GUID>db90dacc-fcc9-4f97-aea6-28486462f5a9</GUID>
    <SOURCE_ALTADDRESS>$C$21:$J$28</SOURCE_ALTADDRESS>
    <SOURCETYPE>Table</SOURCETYPE>
    <SOURCE_OBJECTNAME>Linking_Range_64</SOURCE_OBJECTNAME>
    <OBJECTTYPE>Native</OBJECTTYPE>
    <SOURCE_SHEETCODE>Sheet13</SOURCE_SHEETCODE>
    <SOURCE_SHEETNAME>Snapshot</SOURCE_SHEETNAME>
    <SOURCEAPPLICATION>EXCEL_SOURCE</SOURCEAPPLICATION>
    <UPDATEDAT>4/14/2015 8:31:04 PM</UPDATEDAT>
    <SOURCE_ISOUTOFDATE>False</SOURCE_ISOUTOFDATE>
    <SOURCE_WORKBOOKNAME>INTC_WIP.xls</SOURCE_WORKBOOKNAME>
    <SOURCE_WORKBOOKPATH>\\MSAD\ROOT\NA\NY\LIB\ER\SEMI CAP\Joe Files\Companies\INTC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/MSResearch/Content/ExternalAssets/2015-04/Images/mP-bzONqt0K2MEcbhQ_53g--.png</TARGET_BINARYFULLNAME>
    <TARGET_STORYFULLNAME>/MSResearch/Content/ExternalAssets/2015-04/Sections/20150414_083102_Linking_Range_64.xml</TARGET_STORYFULLNAME>
    <TARGET_UUID>b1ea4d28-e306-11e4-8428-e799a3b9280a</TARGET_UUID>
  </Link>
  <Link>
    <GUID>09d550d5-bf62-4eda-8a0e-4547d3286cf6</GUID>
    <SOURCE_ALTADDRESS>$B$5:$J$35</SOURCE_ALTADDRESS>
    <SOURCETYPE>Table</SOURCETYPE>
    <SOURCE_OBJECTNAME>Linking_Range_25</SOURCE_OBJECTNAME>
    <OBJECTTYPE>Native</OBJECTTYPE>
    <SOURCE_SHEETCODE>Sheet15</SOURCE_SHEETCODE>
    <SOURCE_SHEETNAME>QoQ Comp</SOURCE_SHEETNAME>
    <SOURCEAPPLICATION>EXCEL_SOURCE</SOURCEAPPLICATION>
    <UPDATEDAT>4/14/2015 8:31:19 PM</UPDATEDAT>
    <SOURCE_ISOUTOFDATE>False</SOURCE_ISOUTOFDATE>
    <SOURCE_WORKBOOKNAME>INTC_WIP.xls</SOURCE_WORKBOOKNAME>
    <SOURCE_WORKBOOKPATH>\\MSAD\ROOT\NA\NY\LIB\ER\SEMI CAP\Joe Files\Companies\INTC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/MSResearch/Content/ExternalAssets/2015-04/Images/0sM7h_syeUCQ2no25OpsIQ--.png</TARGET_BINARYFULLNAME>
    <TARGET_STORYFULLNAME>/MSResearch/Content/ExternalAssets/2015-04/Sections/20150414_083117_Linking_Range_25.xml</TARGET_STORYFULLNAME>
    <TARGET_UUID>baf4b50c-e306-11e4-8428-e799a3b9280a</TARGET_UUID>
  </Link>
  <Link>
    <GUID>f2200995-6e81-435a-a7ae-8e93b757bdce</GUID>
    <SOURCE_ALTADDRESS>$B$5:$BL$92</SOURCE_ALTADDRESS>
    <SOURCETYPE>Table</SOURCETYPE>
    <SOURCE_OBJECTNAME>Linking_Range_51</SOURCE_OBJECTNAME>
    <OBJECTTYPE>Native</OBJECTTYPE>
    <SOURCE_SHEETCODE>Sheet2</SOURCE_SHEETCODE>
    <SOURCE_SHEETNAME>IS</SOURCE_SHEETNAME>
    <SOURCEAPPLICATION>EXCEL_SOURCE</SOURCEAPPLICATION>
    <UPDATEDAT>4/14/2015 8:32:38 PM</UPDATEDAT>
    <SOURCE_ISOUTOFDATE>False</SOURCE_ISOUTOFDATE>
    <SOURCE_WORKBOOKNAME>INTC_WIP.xls</SOURCE_WORKBOOKNAME>
    <SOURCE_WORKBOOKPATH>\\MSAD\ROOT\NA\NY\LIB\ER\SEMI CAP\Joe Files\Companies\INTC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/MSResearch/Content/ExternalAssets/2015-03/Images/fVd7d55xs62_pW_KM91g--.png</TARGET_BINARYFULLNAME>
    <TARGET_STORYFULLNAME>/MSResearch/Content/ExternalAssets/2015-03/Sections/20150312_064247_Linking_Range_51.xml</TARGET_STORYFULLNAME>
    <TARGET_UUID>1ada1c36-c909-11e4-96df-6c230f6d8cc6</TARGET_UUID>
    <TRANSPARENTBACKGROUND>False</TRANSPARENTBACKGROUND>
    <TRANSPARENTPLOTAREA>False</TRANSPARENTPLOTAREA>
  </Link>
  <Link>
    <GUID>045f179f-cd16-43c5-b1a3-1c6cb5fe3b5a</GUID>
    <SOURCE_ALTADDRESS>$B$5:$BL$43</SOURCE_ALTADDRESS>
    <SOURCETYPE>Table</SOURCETYPE>
    <SOURCE_OBJECTNAME>Linking_Range_61</SOURCE_OBJECTNAME>
    <OBJECTTYPE>Native</OBJECTTYPE>
    <SOURCE_SHEETCODE>Sheet3</SOURCE_SHEETCODE>
    <SOURCE_SHEETNAME>BS</SOURCE_SHEETNAME>
    <SOURCEAPPLICATION>EXCEL_SOURCE</SOURCEAPPLICATION>
    <UPDATEDAT>4/14/2015 8:33:15 PM</UPDATEDAT>
    <SOURCE_ISOUTOFDATE>False</SOURCE_ISOUTOFDATE>
    <SOURCE_WORKBOOKNAME>INTC_WIP.xls</SOURCE_WORKBOOKNAME>
    <SOURCE_WORKBOOKPATH>\\MSAD\ROOT\NA\NY\LIB\ER\SEMI CAP\Joe Files\Companies\INTC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/MSResearch/Content/ExternalAssets/2015-04/Images/MvotLdOTREa7Wp8GgWSuYA--.png</TARGET_BINARYFULLNAME>
    <TARGET_STORYFULLNAME>/MSResearch/Content/ExternalAssets/2015-04/Sections/20150414_083314_Linking_Range_61.xml</TARGET_STORYFULLNAME>
    <TARGET_UUID>00b5c054-e307-11e4-8428-e799a3b9280a</TARGET_UUID>
  </Link>
  <Link>
    <GUID>0010c33f-ae7a-44e2-802b-a8c451b54782</GUID>
    <SOURCE_ALTADDRESS>$B$5:$BL$57</SOURCE_ALTADDRESS>
    <SOURCETYPE>Table</SOURCETYPE>
    <SOURCE_OBJECTNAME>Linking_Range_62</SOURCE_OBJECTNAME>
    <OBJECTTYPE>Native</OBJECTTYPE>
    <SOURCE_SHEETCODE>Sheet4</SOURCE_SHEETCODE>
    <SOURCE_SHEETNAME>CFS</SOURCE_SHEETNAME>
    <SOURCEAPPLICATION>EXCEL_SOURCE</SOURCEAPPLICATION>
    <UPDATEDAT>4/14/2015 8:34:09 PM</UPDATEDAT>
    <SOURCE_ISOUTOFDATE>False</SOURCE_ISOUTOFDATE>
    <SOURCE_WORKBOOKNAME>INTC_WIP.xls</SOURCE_WORKBOOKNAME>
    <SOURCE_WORKBOOKPATH>\\MSAD\ROOT\NA\NY\LIB\ER\SEMI CAP\Joe Files\Companies\INTC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/MSResearch/Content/ExternalAssets/2015-03/Images/Vegk3mREIk_1dGDAFHTJJA--.png</TARGET_BINARYFULLNAME>
    <TARGET_STORYFULLNAME>/MSResearch/Content/ExternalAssets/2015-03/Sections/20150312_064406_Linking_Range_62.xml</TARGET_STORYFULLNAME>
    <TARGET_UUID>4a06840e-c909-11e4-96df-6c230f6d8cc6</TARGET_UUID>
    <TRANSPARENTBACKGROUND>False</TRANSPARENTBACKGROUND>
    <TRANSPARENTPLOTAREA>False</TRANSPARENTPLOTAREA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EE7CA04D-D551-4BEF-BF1F-B1D7A1A60288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DDCA07AB-3684-4D07-908D-E154F7717B6A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ImportantDisclosures</vt:lpstr>
      <vt:lpstr>IS</vt:lpstr>
      <vt:lpstr>BS</vt:lpstr>
      <vt:lpstr>CFS</vt:lpstr>
      <vt:lpstr>New Segment Results</vt:lpstr>
      <vt:lpstr>Segment Detail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Linking_10</vt:lpstr>
      <vt:lpstr>Linking_11</vt:lpstr>
      <vt:lpstr>Linking_13</vt:lpstr>
      <vt:lpstr>Linking_16</vt:lpstr>
      <vt:lpstr>Linking_17</vt:lpstr>
      <vt:lpstr>Linking_18</vt:lpstr>
      <vt:lpstr>Linking_20</vt:lpstr>
      <vt:lpstr>Linking_21</vt:lpstr>
      <vt:lpstr>Linking_22</vt:lpstr>
      <vt:lpstr>Linking_23</vt:lpstr>
      <vt:lpstr>Linking_6</vt:lpstr>
      <vt:lpstr>Linking_9</vt:lpstr>
      <vt:lpstr>Linking_Range_1</vt:lpstr>
      <vt:lpstr>Linking_Range_13</vt:lpstr>
      <vt:lpstr>Linking_Range_14</vt:lpstr>
      <vt:lpstr>Linking_Range_15</vt:lpstr>
      <vt:lpstr>Linking_Range_17</vt:lpstr>
      <vt:lpstr>Linking_Range_18</vt:lpstr>
      <vt:lpstr>Linking_Range_19</vt:lpstr>
      <vt:lpstr>Linking_Range_2</vt:lpstr>
      <vt:lpstr>Linking_Range_3</vt:lpstr>
      <vt:lpstr>Linking_Range_32</vt:lpstr>
      <vt:lpstr>Linking_Range_33</vt:lpstr>
      <vt:lpstr>Linking_Range_34</vt:lpstr>
      <vt:lpstr>Linking_Range_35</vt:lpstr>
      <vt:lpstr>Linking_Range_4</vt:lpstr>
      <vt:lpstr>Linking_Range_51</vt:lpstr>
      <vt:lpstr>Linking_Range_52</vt:lpstr>
      <vt:lpstr>Linking_Range_53</vt:lpstr>
      <vt:lpstr>Linking_Range_58</vt:lpstr>
      <vt:lpstr>Linking_Range_61</vt:lpstr>
      <vt:lpstr>Linking_Range_62</vt:lpstr>
      <vt:lpstr>Linking_Range_63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CFS!Print_Area</vt:lpstr>
      <vt:lpstr>IS!Print_Area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2014-11-17T15:31:37Z</dcterms:created>
  <dc:creator>Lim, Alvin (Research)</dc:creator>
  <cp:lastModifiedBy>Jenson, Andrea (Research)</cp:lastModifiedBy>
  <cp:lastPrinted>2018-04-27T00:44:52Z</cp:lastPrinted>
  <dcterms:modified xsi:type="dcterms:W3CDTF">2018-04-27T02:58:41Z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64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764543</vt:lpwstr>
  </property>
  <property fmtid="{D5CDD505-2E9C-101B-9397-08002B2CF9AE}" name="ERModPubCompanyName" pid="6">
    <vt:lpwstr>Intel Corporation</vt:lpwstr>
  </property>
  <property fmtid="{D5CDD505-2E9C-101B-9397-08002B2CF9AE}" name="MSDH34TAG" pid="7">
    <vt:lpwstr>.TEZUF76X5TAHATHESADREYAK-00-INB160+*94600-06=07ed18b2/-49c6/-11e8/-adef/-6a0a1ce82510,MD=20180426232152/-0400,ZZ=000Z-1a3f.</vt:lpwstr>
  </property>
</Properties>
</file>