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585" windowWidth="18945" windowHeight="9525" tabRatio="733" firstSheet="1" activeTab="1"/>
  </bookViews>
  <sheets>
    <sheet name="__FDSCACHE__" sheetId="25" state="veryHidden" r:id="rId1"/>
    <sheet name="ImportantDisclosures" sheetId="58" r:id="rId2"/>
    <sheet name="Financials" sheetId="5" r:id="rId3"/>
    <sheet name="IndexInformation" sheetId="59" r:id="rId4"/>
    <sheet name="ModPubIndex" sheetId="60" r:id="rId5"/>
    <sheet name="MW-Cache" sheetId="14" state="veryHidden" r:id="rId6"/>
  </sheets>
  <definedNames>
    <definedName name="__FDS_HYPERLINK_TOGGLE_STATE__" hidden="1">"ON"</definedName>
    <definedName name="__FDS_UNIQUE_RANGE_ID_GENERATOR_COUNTER" hidden="1">23</definedName>
    <definedName name="__FDS_USED_FOR_REUSING_RANGE_IDS_RECYCLE" hidden="1">{1,1,1,1,1,1,1,1,1,1,1,1,1,1,1,1,1,1,1,1,1,1,1,1,1,1,1,1,1,1}</definedName>
    <definedName name="__old1" hidden="1">{"PPE-1",#N/A,TRUE,"SNT";"PPE-2",#N/A,TRUE,"SNT";"INC-SNT",#N/A,TRUE,"SNT";"EARN-SNT",#N/A,TRUE,"SNT";"SUMM-SNT",#N/A,TRUE,"SNT";"CASH-SNT",#N/A,TRUE,"SNT";"BAL-SNT",#N/A,TRUE,"SNT";"RATIO-1",#N/A,TRUE,"SNT";"SIP-SNT",#N/A,TRUE,"SNT";"SOP-SNT",#N/A,TRUE,"SNT";"valuation-snt",#N/A,TRUE,"Valuation";"TRANS-SNT",#N/A,TRUE,"Transmission";"reserve-snt",#N/A,TRUE,"E&amp;P";"e&amp;p-snt",#N/A,TRUE,"E&amp;P";"energy-snt",#N/A,TRUE,"Energy Services";"RATIO-2",#N/A,TRUE,"SNT"}</definedName>
    <definedName name="__old2" hidden="1">{"PPE-1",#N/A,TRUE,"SNT";"PPE-2",#N/A,TRUE,"SNT";"INC-SNT",#N/A,TRUE,"SNT";"EARN-SNT",#N/A,TRUE,"SNT";"SUMM-SNT",#N/A,TRUE,"SNT";"CASH-SNT",#N/A,TRUE,"SNT";"BAL-SNT",#N/A,TRUE,"SNT";"RATIO-1",#N/A,TRUE,"SNT";"SIP-SNT",#N/A,TRUE,"SNT";"SOP-SNT",#N/A,TRUE,"SNT";"valuation-snt",#N/A,TRUE,"Valuation";"TRANS-SNT",#N/A,TRUE,"Transmission";"reserve-snt",#N/A,TRUE,"E&amp;P";"e&amp;p-snt",#N/A,TRUE,"E&amp;P";"energy-snt",#N/A,TRUE,"Energy Services";"RATIO-2",#N/A,TRUE,"SNT"}</definedName>
    <definedName name="_1__FDSAUDITLINK__" hidden="1">{"fdsup://directions/FAT Viewer?action=UPDATE&amp;creator=factset&amp;DYN_ARGS=TRUE&amp;DOC_NAME=FAT:FQL_AUDITING_CLIENT_TEMPLATE.FAT&amp;display_string=Audit&amp;VAR:KEY=TCRCXCFGVI&amp;VAR:QUERY=RkZfREVCVChBTk4sMjAwOSk=&amp;WINDOW=FIRST_POPUP&amp;HEIGHT=450&amp;WIDTH=450&amp;START_MAXIMIZED=FALS","E&amp;VAR:CALENDAR=US&amp;VAR:SYMBOL=EROC&amp;VAR:INDEX=0"}</definedName>
    <definedName name="_10__FDSAUDITLINK__" hidden="1">{"fdsup://directions/FAT Viewer?action=UPDATE&amp;creator=factset&amp;DYN_ARGS=TRUE&amp;DOC_NAME=FAT:FQL_AUDITING_CLIENT_TEMPLATE.FAT&amp;display_string=Audit&amp;VAR:KEY=DIBWLENIFA&amp;VAR:QUERY=RkZfREVCVChBTk4sMjAwOSk=&amp;WINDOW=FIRST_POPUP&amp;HEIGHT=450&amp;WIDTH=450&amp;START_MAXIMIZED=FALS","E&amp;VAR:CALENDAR=US&amp;VAR:SYMBOL=TLLP&amp;VAR:INDEX=0"}</definedName>
    <definedName name="_100__FDSAUDITLINK__" hidden="1">{"fdsup://IBCentral/FAT Viewer?action=UPDATE&amp;creator=factset&amp;DOC_NAME=fat:reuters_qtrly_source_window.fat&amp;display_string=Audit&amp;DYN_ARGS=TRUE&amp;VAR:ID1=72018610&amp;VAR:RCODE=STLD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0__FDSAUDITLINK__" hidden="1">{"fdsup://IBCentral/FAT Viewer?action=UPDATE&amp;creator=factset&amp;DOC_NAME=fat:reuters_qtrly_source_window.fat&amp;display_string=Audit&amp;DYN_ARGS=TRUE&amp;VAR:ID1=64602510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1__FDSAUDITLINK__" hidden="1">{"fdsup://IBCentral/FAT Viewer?action=UPDATE&amp;creator=factset&amp;DOC_NAME=fat:reuters_qtrly_source_window.fat&amp;display_string=Audit&amp;DYN_ARGS=TRUE&amp;VAR:ID1=64602510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2__FDSAUDITLINK__" hidden="1">{"fdsup://IBCentral/FAT Viewer?action=UPDATE&amp;creator=factset&amp;DOC_NAME=fat:reuters_qtrly_source_window.fat&amp;display_string=Audit&amp;DYN_ARGS=TRUE&amp;VAR:ID1=64602510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3__FDSAUDITLINK__" hidden="1">{"fdsup://IBCentral/FAT Viewer?action=UPDATE&amp;creator=factset&amp;DOC_NAME=fat:reuters_qtrly_source_window.fat&amp;display_string=Audit&amp;DYN_ARGS=TRUE&amp;VAR:ID1=64602510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4__FDSAUDITLINK__" hidden="1">{"fdsup://IBCentral/FAT Viewer?action=UPDATE&amp;creator=factset&amp;DOC_NAME=fat:reuters_qtrly_source_window.fat&amp;display_string=Audit&amp;DYN_ARGS=TRUE&amp;VAR:ID1=64602510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5__FDSAUDITLINK__" hidden="1">{"fdsup://IBCentral/FAT Viewer?action=UPDATE&amp;creator=factset&amp;DOC_NAME=fat:reuters_qtrly_source_window.fat&amp;display_string=Audit&amp;DYN_ARGS=TRUE&amp;VAR:ID1=81685110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06__FDSAUDITLINK__" hidden="1">{"fdsup://IBCentral/FAT Viewer?action=UPDATE&amp;creator=factset&amp;DOC_NAME=fat:reuters_qtrly_source_window.fat&amp;display_string=Audit&amp;DYN_ARGS=TRUE&amp;VAR:ID1=81685110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07__FDSAUDITLINK__" hidden="1">{"fdsup://IBCentral/FAT Viewer?action=UPDATE&amp;creator=factset&amp;DOC_NAME=fat:reuters_qtrly_source_window.fat&amp;display_string=Audit&amp;DYN_ARGS=TRUE&amp;VAR:ID1=81685110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8__FDSAUDITLINK__" hidden="1">{"fdsup://IBCentral/FAT Viewer?action=UPDATE&amp;creator=factset&amp;DOC_NAME=fat:reuters_qtrly_source_window.fat&amp;display_string=Audit&amp;DYN_ARGS=TRUE&amp;VAR:ID1=81685110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09__FDSAUDITLINK__" hidden="1">{"fdsup://IBCentral/FAT Viewer?action=UPDATE&amp;creator=factset&amp;DOC_NAME=fat:reuters_qtrly_source_window.fat&amp;display_string=Audit&amp;DYN_ARGS=TRUE&amp;VAR:ID1=81685110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__FDSAUDITLINK__" hidden="1">{"fdsup://IBCentral/FAT Viewer?action=UPDATE&amp;creator=factset&amp;DOC_NAME=fat:reuters_qtrly_source_window.fat&amp;display_string=Audit&amp;DYN_ARGS=TRUE&amp;VAR:ID1=72018610&amp;VAR:RCODE=DSTT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0__FDSAUDITLINK__" hidden="1">{"fdsup://IBCentral/FAT Viewer?action=UPDATE&amp;creator=factset&amp;DOC_NAME=fat:reuters_qtrly_source_window.fat&amp;display_string=Audit&amp;DYN_ARGS=TRUE&amp;VAR:ID1=81685110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1__FDSAUDITLINK__" hidden="1">{"fdsup://IBCentral/FAT Viewer?action=UPDATE&amp;creator=factset&amp;DOC_NAME=fat:reuters_qtrly_source_window.fat&amp;display_string=Audit&amp;DYN_ARGS=TRUE&amp;VAR:ID1=81685110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2__FDSAUDITLINK__" hidden="1">{"fdsup://IBCentral/FAT Viewer?action=UPDATE&amp;creator=factset&amp;DOC_NAME=fat:reuters_qtrly_source_window.fat&amp;display_string=Audit&amp;DYN_ARGS=TRUE&amp;VAR:ID1=81685110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3__FDSAUDITLINK__" hidden="1">{"fdsup://IBCentral/FAT Viewer?action=UPDATE&amp;creator=factset&amp;DOC_NAME=fat:reuters_qtrly_source_window.fat&amp;display_string=Audit&amp;DYN_ARGS=TRUE&amp;VAR:ID1=26884L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14__FDSAUDITLINK__" hidden="1">{"fdsup://IBCentral/FAT Viewer?action=UPDATE&amp;creator=factset&amp;DOC_NAME=fat:reuters_qtrly_source_window.fat&amp;display_string=Audit&amp;DYN_ARGS=TRUE&amp;VAR:ID1=26884L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15__FDSAUDITLINK__" hidden="1">{"fdsup://IBCentral/FAT Viewer?action=UPDATE&amp;creator=factset&amp;DOC_NAME=fat:reuters_qtrly_source_window.fat&amp;display_string=Audit&amp;DYN_ARGS=TRUE&amp;VAR:ID1=26884L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6__FDSAUDITLINK__" hidden="1">{"fdsup://IBCentral/FAT Viewer?action=UPDATE&amp;creator=factset&amp;DOC_NAME=fat:reuters_qtrly_source_window.fat&amp;display_string=Audit&amp;DYN_ARGS=TRUE&amp;VAR:ID1=26884L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7__FDSAUDITLINK__" hidden="1">{"fdsup://IBCentral/FAT Viewer?action=UPDATE&amp;creator=factset&amp;DOC_NAME=fat:reuters_qtrly_source_window.fat&amp;display_string=Audit&amp;DYN_ARGS=TRUE&amp;VAR:ID1=26884L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8__FDSAUDITLINK__" hidden="1">{"fdsup://IBCentral/FAT Viewer?action=UPDATE&amp;creator=factset&amp;DOC_NAME=fat:reuters_qtrly_source_window.fat&amp;display_string=Audit&amp;DYN_ARGS=TRUE&amp;VAR:ID1=26884L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19__FDSAUDITLINK__" hidden="1">{"fdsup://IBCentral/FAT Viewer?action=UPDATE&amp;creator=factset&amp;DOC_NAME=fat:reuters_qtrly_source_window.fat&amp;display_string=Audit&amp;DYN_ARGS=TRUE&amp;VAR:ID1=26884L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2__FDSAUDITLINK__" hidden="1">{"fdsup://IBCentral/FAT Viewer?action=UPDATE&amp;creator=factset&amp;DOC_NAME=fat:reuters_qtrly_source_window.fat&amp;display_string=Audit&amp;DYN_ARGS=TRUE&amp;VAR:ID1=72018610&amp;VAR:RCODE=LTCL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20__FDSAUDITLINK__" hidden="1">{"fdsup://IBCentral/FAT Viewer?action=UPDATE&amp;creator=factset&amp;DOC_NAME=fat:reuters_qtrly_source_window.fat&amp;display_string=Audit&amp;DYN_ARGS=TRUE&amp;VAR:ID1=26884L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21__FDSAUDITLINK__" hidden="1">{"fdsup://IBCentral/FAT Viewer?action=UPDATE&amp;creator=factset&amp;DOC_NAME=fat:reuters_qtrly_source_window.fat&amp;display_string=Audit&amp;DYN_ARGS=TRUE&amp;VAR:ID1=211850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22__FDSAUDITLINK__" hidden="1">{"fdsup://IBCentral/FAT Viewer?action=UPDATE&amp;creator=factset&amp;DOC_NAME=fat:reuters_qtrly_source_window.fat&amp;display_string=Audit&amp;DYN_ARGS=TRUE&amp;VAR:ID1=211850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023__FDSAUDITLINK__" hidden="1">{"fdsup://IBCentral/FAT Viewer?action=UPDATE&amp;creator=factset&amp;DOC_NAME=fat:reuters_qtrly_source_window.fat&amp;display_string=Audit&amp;DYN_ARGS=TRUE&amp;VAR:ID1=211850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24__FDSAUDITLINK__" hidden="1">{"fdsup://IBCentral/FAT Viewer?action=UPDATE&amp;creator=factset&amp;DOC_NAME=fat:reuters_qtrly_source_window.fat&amp;display_string=Audit&amp;DYN_ARGS=TRUE&amp;VAR:ID1=211850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25__FDSAUDITLINK__" hidden="1">{"fdsup://IBCentral/FAT Viewer?action=UPDATE&amp;creator=factset&amp;DOC_NAME=fat:reuters_qtrly_source_window.fat&amp;display_string=Audit&amp;DYN_ARGS=TRUE&amp;VAR:ID1=211850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26__FDSAUDITLINK__" hidden="1">{"fdsup://IBCentral/FAT Viewer?action=UPDATE&amp;creator=factset&amp;DOC_NAME=fat:reuters_qtrly_source_window.fat&amp;display_string=Audit&amp;DYN_ARGS=TRUE&amp;VAR:ID1=211850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27__FDSAUDITLINK__" hidden="1">{"fdsup://IBCentral/FAT Viewer?action=UPDATE&amp;creator=factset&amp;DOC_NAME=fat:reuters_qtrly_source_window.fat&amp;display_string=Audit&amp;DYN_ARGS=TRUE&amp;VAR:ID1=211850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28__FDSAUDITLINK__" hidden="1">{"fdsup://IBCentral/FAT Viewer?action=UPDATE&amp;creator=factset&amp;DOC_NAME=fat:reuters_qtrly_source_window.fat&amp;display_string=Audit&amp;DYN_ARGS=TRUE&amp;VAR:ID1=211850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29__FDSAUDITLINK__" hidden="1">{"fdsup://IBCentral/FAT Viewer?action=UPDATE&amp;creator=factset&amp;DOC_NAME=fat:reuters_qtrly_source_window.fat&amp;display_string=Audit&amp;DYN_ARGS=TRUE&amp;VAR:ID1=231909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3__FDSAUDITLINK__" hidden="1">{"fdsup://IBCentral/FAT Viewer?action=UPDATE&amp;creator=factset&amp;DOC_NAME=fat:reuters_qtrly_source_window.fat&amp;display_string=Audit&amp;DYN_ARGS=TRUE&amp;VAR:ID1=72018610&amp;VAR:RCODE=ATCA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30__FDSAUDITLINK__" hidden="1">{"fdsup://IBCentral/FAT Viewer?action=UPDATE&amp;creator=factset&amp;DOC_NAME=fat:reuters_qtrly_source_window.fat&amp;display_string=Audit&amp;DYN_ARGS=TRUE&amp;VAR:ID1=231909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031__FDSAUDITLINK__" hidden="1">{"fdsup://IBCentral/FAT Viewer?action=UPDATE&amp;creator=factset&amp;DOC_NAME=fat:reuters_qtrly_source_window.fat&amp;display_string=Audit&amp;DYN_ARGS=TRUE&amp;VAR:ID1=231909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32__FDSAUDITLINK__" hidden="1">{"fdsup://IBCentral/FAT Viewer?action=UPDATE&amp;creator=factset&amp;DOC_NAME=fat:reuters_qtrly_source_window.fat&amp;display_string=Audit&amp;DYN_ARGS=TRUE&amp;VAR:ID1=231909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33__FDSAUDITLINK__" hidden="1">{"fdsup://IBCentral/FAT Viewer?action=UPDATE&amp;creator=factset&amp;DOC_NAME=fat:reuters_qtrly_source_window.fat&amp;display_string=Audit&amp;DYN_ARGS=TRUE&amp;VAR:ID1=231909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34__FDSAUDITLINK__" hidden="1">{"fdsup://IBCentral/FAT Viewer?action=UPDATE&amp;creator=factset&amp;DOC_NAME=fat:reuters_qtrly_source_window.fat&amp;display_string=Audit&amp;DYN_ARGS=TRUE&amp;VAR:ID1=231909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35__FDSAUDITLINK__" hidden="1">{"fdsup://IBCentral/FAT Viewer?action=UPDATE&amp;creator=factset&amp;DOC_NAME=fat:reuters_qtrly_source_window.fat&amp;display_string=Audit&amp;DYN_ARGS=TRUE&amp;VAR:ID1=231909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36__FDSAUDITLINK__" hidden="1">{"fdsup://IBCentral/FAT Viewer?action=UPDATE&amp;creator=factset&amp;DOC_NAME=fat:reuters_qtrly_source_window.fat&amp;display_string=Audit&amp;DYN_ARGS=TRUE&amp;VAR:ID1=231909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37__FDSAUDITLINK__" hidden="1">{"fdsup://IBCentral/FAT Viewer?action=UPDATE&amp;creator=factset&amp;DOC_NAME=fat:reuters_qtrly_source_window.fat&amp;display_string=Audit&amp;DYN_ARGS=TRUE&amp;VAR:ID1=213950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38__FDSAUDITLINK__" hidden="1">{"fdsup://IBCentral/FAT Viewer?action=UPDATE&amp;creator=factset&amp;DOC_NAME=fat:reuters_qtrly_source_window.fat&amp;display_string=Audit&amp;DYN_ARGS=TRUE&amp;VAR:ID1=213950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039__FDSAUDITLINK__" hidden="1">{"fdsup://IBCentral/FAT Viewer?action=UPDATE&amp;creator=factset&amp;DOC_NAME=fat:reuters_qtrly_source_window.fat&amp;display_string=Audit&amp;DYN_ARGS=TRUE&amp;VAR:ID1=213950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__FDSAUDITLINK__" hidden="1">{"fdsup://IBCentral/FAT Viewer?action=UPDATE&amp;creator=factset&amp;DOC_NAME=fat:reuters_qtrly_source_window.fat&amp;display_string=Audit&amp;DYN_ARGS=TRUE&amp;VAR:ID1=72018610&amp;VAR:RCODE=ATOT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40__FDSAUDITLINK__" hidden="1">{"fdsup://IBCentral/FAT Viewer?action=UPDATE&amp;creator=factset&amp;DOC_NAME=fat:reuters_qtrly_source_window.fat&amp;display_string=Audit&amp;DYN_ARGS=TRUE&amp;VAR:ID1=213950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1__FDSAUDITLINK__" hidden="1">{"fdsup://IBCentral/FAT Viewer?action=UPDATE&amp;creator=factset&amp;DOC_NAME=fat:reuters_qtrly_source_window.fat&amp;display_string=Audit&amp;DYN_ARGS=TRUE&amp;VAR:ID1=213950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2__FDSAUDITLINK__" hidden="1">{"fdsup://IBCentral/FAT Viewer?action=UPDATE&amp;creator=factset&amp;DOC_NAME=fat:reuters_qtrly_source_window.fat&amp;display_string=Audit&amp;DYN_ARGS=TRUE&amp;VAR:ID1=213950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3__FDSAUDITLINK__" hidden="1">{"fdsup://IBCentral/FAT Viewer?action=UPDATE&amp;creator=factset&amp;DOC_NAME=fat:reuters_qtrly_source_window.fat&amp;display_string=Audit&amp;DYN_ARGS=TRUE&amp;VAR:ID1=213950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4__FDSAUDITLINK__" hidden="1">{"fdsup://IBCentral/FAT Viewer?action=UPDATE&amp;creator=factset&amp;DOC_NAME=fat:reuters_qtrly_source_window.fat&amp;display_string=Audit&amp;DYN_ARGS=TRUE&amp;VAR:ID1=213950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5__FDSAUDITLINK__" hidden="1">{"fdsup://IBCentral/FAT Viewer?action=UPDATE&amp;creator=factset&amp;DOC_NAME=fat:reuters_qtrly_source_window.fat&amp;display_string=Audit&amp;DYN_ARGS=TRUE&amp;VAR:ID1=236241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46__FDSAUDITLINK__" hidden="1">{"fdsup://IBCentral/FAT Viewer?action=UPDATE&amp;creator=factset&amp;DOC_NAME=fat:reuters_qtrly_source_window.fat&amp;display_string=Audit&amp;DYN_ARGS=TRUE&amp;VAR:ID1=236241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047__FDSAUDITLINK__" hidden="1">{"fdsup://IBCentral/FAT Viewer?action=UPDATE&amp;creator=factset&amp;DOC_NAME=fat:reuters_qtrly_source_window.fat&amp;display_string=Audit&amp;DYN_ARGS=TRUE&amp;VAR:ID1=236241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8__FDSAUDITLINK__" hidden="1">{"fdsup://IBCentral/FAT Viewer?action=UPDATE&amp;creator=factset&amp;DOC_NAME=fat:reuters_qtrly_source_window.fat&amp;display_string=Audit&amp;DYN_ARGS=TRUE&amp;VAR:ID1=236241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49__FDSAUDITLINK__" hidden="1">{"fdsup://IBCentral/FAT Viewer?action=UPDATE&amp;creator=factset&amp;DOC_NAME=fat:reuters_qtrly_source_window.fat&amp;display_string=Audit&amp;DYN_ARGS=TRUE&amp;VAR:ID1=236241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__FDSAUDITLINK__" hidden="1">{"fdsup://IBCentral/FAT Viewer?action=UPDATE&amp;creator=factset&amp;DOC_NAME=fat:reuters_qtrly_source_window.fat&amp;display_string=Audit&amp;DYN_ARGS=TRUE&amp;VAR:ID1=66765510&amp;VAR:RCODE=FDSPFDSTKTOTAL&amp;VAR:SDATE=20081299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50__FDSAUDITLINK__" hidden="1">{"fdsup://IBCentral/FAT Viewer?action=UPDATE&amp;creator=factset&amp;DOC_NAME=fat:reuters_qtrly_source_window.fat&amp;display_string=Audit&amp;DYN_ARGS=TRUE&amp;VAR:ID1=236241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1__FDSAUDITLINK__" hidden="1">{"fdsup://IBCentral/FAT Viewer?action=UPDATE&amp;creator=factset&amp;DOC_NAME=fat:reuters_qtrly_source_window.fat&amp;display_string=Audit&amp;DYN_ARGS=TRUE&amp;VAR:ID1=236241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2__FDSAUDITLINK__" hidden="1">{"fdsup://IBCentral/FAT Viewer?action=UPDATE&amp;creator=factset&amp;DOC_NAME=fat:reuters_qtrly_source_window.fat&amp;display_string=Audit&amp;DYN_ARGS=TRUE&amp;VAR:ID1=236241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3__FDSAUDITLINK__" hidden="1">{"fdsup://IBCentral/FAT Viewer?action=UPDATE&amp;creator=factset&amp;DOC_NAME=fat:reuters_qtrly_source_window.fat&amp;display_string=Audit&amp;DYN_ARGS=TRUE&amp;VAR:ID1=266518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54__FDSAUDITLINK__" hidden="1">{"fdsup://IBCentral/FAT Viewer?action=UPDATE&amp;creator=factset&amp;DOC_NAME=fat:reuters_qtrly_source_window.fat&amp;display_string=Audit&amp;DYN_ARGS=TRUE&amp;VAR:ID1=266518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055__FDSAUDITLINK__" hidden="1">{"fdsup://IBCentral/FAT Viewer?action=UPDATE&amp;creator=factset&amp;DOC_NAME=fat:reuters_qtrly_source_window.fat&amp;display_string=Audit&amp;DYN_ARGS=TRUE&amp;VAR:ID1=266518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6__FDSAUDITLINK__" hidden="1">{"fdsup://IBCentral/FAT Viewer?action=UPDATE&amp;creator=factset&amp;DOC_NAME=fat:reuters_qtrly_source_window.fat&amp;display_string=Audit&amp;DYN_ARGS=TRUE&amp;VAR:ID1=266518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7__FDSAUDITLINK__" hidden="1">{"fdsup://IBCentral/FAT Viewer?action=UPDATE&amp;creator=factset&amp;DOC_NAME=fat:reuters_qtrly_source_window.fat&amp;display_string=Audit&amp;DYN_ARGS=TRUE&amp;VAR:ID1=266518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8__FDSAUDITLINK__" hidden="1">{"fdsup://IBCentral/FAT Viewer?action=UPDATE&amp;creator=factset&amp;DOC_NAME=fat:reuters_qtrly_source_window.fat&amp;display_string=Audit&amp;DYN_ARGS=TRUE&amp;VAR:ID1=266518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59__FDSAUDITLINK__" hidden="1">{"fdsup://IBCentral/FAT Viewer?action=UPDATE&amp;creator=factset&amp;DOC_NAME=fat:reuters_qtrly_source_window.fat&amp;display_string=Audit&amp;DYN_ARGS=TRUE&amp;VAR:ID1=266518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__FDSAUDITLINK__" hidden="1">{"fdsup://IBCentral/FAT Viewer?action=UPDATE&amp;creator=factset&amp;DOC_NAME=fat:reuters_qtrly_source_window.fat&amp;display_string=Audit&amp;DYN_ARGS=TRUE&amp;VAR:ID1=66765510&amp;VAR:RCODE=CMNEQ&amp;VAR:SDATE=20081299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60__FDSAUDITLINK__" hidden="1">{"fdsup://IBCentral/FAT Viewer?action=UPDATE&amp;creator=factset&amp;DOC_NAME=fat:reuters_qtrly_source_window.fat&amp;display_string=Audit&amp;DYN_ARGS=TRUE&amp;VAR:ID1=266518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1__FDSAUDITLINK__" hidden="1">{"fdsup://IBCentral/FAT Viewer?action=UPDATE&amp;creator=factset&amp;DOC_NAME=fat:reuters_qtrly_source_window.fat&amp;display_string=Audit&amp;DYN_ARGS=TRUE&amp;VAR:ID1=246614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62__FDSAUDITLINK__" hidden="1">{"fdsup://IBCentral/FAT Viewer?action=UPDATE&amp;creator=factset&amp;DOC_NAME=fat:reuters_qtrly_source_window.fat&amp;display_string=Audit&amp;DYN_ARGS=TRUE&amp;VAR:ID1=246614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063__FDSAUDITLINK__" hidden="1">{"fdsup://IBCentral/FAT Viewer?action=UPDATE&amp;creator=factset&amp;DOC_NAME=fat:reuters_qtrly_source_window.fat&amp;display_string=Audit&amp;DYN_ARGS=TRUE&amp;VAR:ID1=246614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4__FDSAUDITLINK__" hidden="1">{"fdsup://IBCentral/FAT Viewer?action=UPDATE&amp;creator=factset&amp;DOC_NAME=fat:reuters_qtrly_source_window.fat&amp;display_string=Audit&amp;DYN_ARGS=TRUE&amp;VAR:ID1=246614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5__FDSAUDITLINK__" hidden="1">{"fdsup://IBCentral/FAT Viewer?action=UPDATE&amp;creator=factset&amp;DOC_NAME=fat:reuters_qtrly_source_window.fat&amp;display_string=Audit&amp;DYN_ARGS=TRUE&amp;VAR:ID1=246614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6__FDSAUDITLINK__" hidden="1">{"fdsup://IBCentral/FAT Viewer?action=UPDATE&amp;creator=factset&amp;DOC_NAME=fat:reuters_qtrly_source_window.fat&amp;display_string=Audit&amp;DYN_ARGS=TRUE&amp;VAR:ID1=246614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7__FDSAUDITLINK__" hidden="1">{"fdsup://IBCentral/FAT Viewer?action=UPDATE&amp;creator=factset&amp;DOC_NAME=fat:reuters_qtrly_source_window.fat&amp;display_string=Audit&amp;DYN_ARGS=TRUE&amp;VAR:ID1=246614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8__FDSAUDITLINK__" hidden="1">{"fdsup://IBCentral/FAT Viewer?action=UPDATE&amp;creator=factset&amp;DOC_NAME=fat:reuters_qtrly_source_window.fat&amp;display_string=Audit&amp;DYN_ARGS=TRUE&amp;VAR:ID1=246614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069__FDSAUDITLINK__" hidden="1">{"fdsup://IBCentral/FAT Viewer?action=UPDATE&amp;creator=factset&amp;DOC_NAME=fat:reuters_qtrly_source_window.fat&amp;display_string=Audit&amp;DYN_ARGS=TRUE&amp;VAR:ID1=16411R20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7__FDSAUDITLINK__" hidden="1">{"fdsup://IBCentral/FAT Viewer?action=UPDATE&amp;creator=factset&amp;DOC_NAME=fat:reuters_qtrly_source_window.fat&amp;display_string=Audit&amp;DYN_ARGS=TRUE&amp;VAR:ID1=290162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070__FDSAUDITLINK__" hidden="1">{"fdsup://IBCentral/FAT Viewer?action=UPDATE&amp;creator=factset&amp;DOC_NAME=fat:reuters_qtrly_source_window.fat&amp;display_string=Audit&amp;DYN_ARGS=TRUE&amp;VAR:ID1=16411R20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71__FDSAUDITLINK__" hidden="1">{"fdsup://IBCentral/FAT Viewer?action=UPDATE&amp;creator=factset&amp;DOC_NAME=fat:reuters_qtrly_source_window.fat&amp;display_string=Audit&amp;DYN_ARGS=TRUE&amp;VAR:ID1=16411R20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72__FDSAUDITLINK__" hidden="1">{"fdsup://IBCentral/FAT Viewer?action=UPDATE&amp;creator=factset&amp;DOC_NAME=fat:reuters_qtrly_source_window.fat&amp;display_string=Audit&amp;DYN_ARGS=TRUE&amp;VAR:ID1=16411R20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73__FDSAUDITLINK__" hidden="1">{"fdsup://IBCentral/FAT Viewer?action=UPDATE&amp;creator=factset&amp;DOC_NAME=fat:reuters_qtrly_source_window.fat&amp;display_string=Audit&amp;DYN_ARGS=TRUE&amp;VAR:ID1=16411R20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74__FDSAUDITLINK__" hidden="1">{"fdsup://IBCentral/FAT Viewer?action=UPDATE&amp;creator=factset&amp;DOC_NAME=fat:reuters_qtrly_source_window.fat&amp;display_string=Audit&amp;DYN_ARGS=TRUE&amp;VAR:ID1=16411R20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75__FDSAUDITLINK__" hidden="1">{"fdsup://IBCentral/FAT Viewer?action=UPDATE&amp;creator=factset&amp;DOC_NAME=fat:reuters_qtrly_source_window.fat&amp;display_string=Audit&amp;DYN_ARGS=TRUE&amp;VAR:ID1=16411R20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76__FDSAUDITLINK__" hidden="1">{"fdsup://IBCentral/FAT Viewer?action=UPDATE&amp;creator=factset&amp;DOC_NAME=fat:reuters_qtrly_source_window.fat&amp;display_string=Audit&amp;DYN_ARGS=TRUE&amp;VAR:ID1=16411R20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77__FDSAUDITLINK__" hidden="1">{"fdsup://IBCentral/FAT Viewer?action=UPDATE&amp;creator=factset&amp;DOC_NAME=fat:reuters_qtrly_source_window.fat&amp;display_string=Audit&amp;DYN_ARGS=TRUE&amp;VAR:ID1=90268110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78__FDSAUDITLINK__" hidden="1">{"fdsup://IBCentral/FAT Viewer?action=UPDATE&amp;creator=factset&amp;DOC_NAME=fat:reuters_qtrly_source_window.fat&amp;display_string=Audit&amp;DYN_ARGS=TRUE&amp;VAR:ID1=90268110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79__FDSAUDITLINK__" hidden="1">{"fdsup://IBCentral/FAT Viewer?action=UPDATE&amp;creator=factset&amp;DOC_NAME=fat:reuters_qtrly_source_window.fat&amp;display_string=Audit&amp;DYN_ARGS=TRUE&amp;VAR:ID1=90268110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__FDSAUDITLINK__" hidden="1">{"fdsup://IBCentral/FAT Viewer?action=UPDATE&amp;creator=factset&amp;DOC_NAME=fat:reuters_qtrly_source_window.fat&amp;display_string=Audit&amp;DYN_ARGS=TRUE&amp;VAR:ID1=225914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080__FDSAUDITLINK__" hidden="1">{"fdsup://IBCentral/FAT Viewer?action=UPDATE&amp;creator=factset&amp;DOC_NAME=fat:reuters_qtrly_source_window.fat&amp;display_string=Audit&amp;DYN_ARGS=TRUE&amp;VAR:ID1=90268110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1__FDSAUDITLINK__" hidden="1">{"fdsup://IBCentral/FAT Viewer?action=UPDATE&amp;creator=factset&amp;DOC_NAME=fat:reuters_qtrly_source_window.fat&amp;display_string=Audit&amp;DYN_ARGS=TRUE&amp;VAR:ID1=90268110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2__FDSAUDITLINK__" hidden="1">{"fdsup://IBCentral/FAT Viewer?action=UPDATE&amp;creator=factset&amp;DOC_NAME=fat:reuters_qtrly_source_window.fat&amp;display_string=Audit&amp;DYN_ARGS=TRUE&amp;VAR:ID1=90268110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3__FDSAUDITLINK__" hidden="1">{"fdsup://IBCentral/FAT Viewer?action=UPDATE&amp;creator=factset&amp;DOC_NAME=fat:reuters_qtrly_source_window.fat&amp;display_string=Audit&amp;DYN_ARGS=TRUE&amp;VAR:ID1=90268110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4__FDSAUDITLINK__" hidden="1">{"fdsup://IBCentral/FAT Viewer?action=UPDATE&amp;creator=factset&amp;DOC_NAME=fat:reuters_qtrly_source_window.fat&amp;display_string=Audit&amp;DYN_ARGS=TRUE&amp;VAR:ID1=90268110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5__FDSAUDITLINK__" hidden="1">{"fdsup://IBCentral/FAT Viewer?action=UPDATE&amp;creator=factset&amp;DOC_NAME=fat:reuters_qtrly_source_window.fat&amp;display_string=Audit&amp;DYN_ARGS=TRUE&amp;VAR:ID1=65473P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86__FDSAUDITLINK__" hidden="1">{"fdsup://IBCentral/FAT Viewer?action=UPDATE&amp;creator=factset&amp;DOC_NAME=fat:reuters_qtrly_source_window.fat&amp;display_string=Audit&amp;DYN_ARGS=TRUE&amp;VAR:ID1=65473P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87__FDSAUDITLINK__" hidden="1">{"fdsup://IBCentral/FAT Viewer?action=UPDATE&amp;creator=factset&amp;DOC_NAME=fat:reuters_qtrly_source_window.fat&amp;display_string=Audit&amp;DYN_ARGS=TRUE&amp;VAR:ID1=65473P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8__FDSAUDITLINK__" hidden="1">{"fdsup://IBCentral/FAT Viewer?action=UPDATE&amp;creator=factset&amp;DOC_NAME=fat:reuters_qtrly_source_window.fat&amp;display_string=Audit&amp;DYN_ARGS=TRUE&amp;VAR:ID1=65473P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89__FDSAUDITLINK__" hidden="1">{"fdsup://IBCentral/FAT Viewer?action=UPDATE&amp;creator=factset&amp;DOC_NAME=fat:reuters_qtrly_source_window.fat&amp;display_string=Audit&amp;DYN_ARGS=TRUE&amp;VAR:ID1=65473P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__FDSAUDITLINK__" hidden="1">{"fdsup://IBCentral/FAT Viewer?action=UPDATE&amp;creator=factset&amp;DOC_NAME=fat:reuters_qtrly_source_window.fat&amp;display_string=Audit&amp;DYN_ARGS=TRUE&amp;VAR:ID1=B29TNV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090__FDSAUDITLINK__" hidden="1">{"fdsup://IBCentral/FAT Viewer?action=UPDATE&amp;creator=factset&amp;DOC_NAME=fat:reuters_qtrly_source_window.fat&amp;display_string=Audit&amp;DYN_ARGS=TRUE&amp;VAR:ID1=65473P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1__FDSAUDITLINK__" hidden="1">{"fdsup://IBCentral/FAT Viewer?action=UPDATE&amp;creator=factset&amp;DOC_NAME=fat:reuters_qtrly_source_window.fat&amp;display_string=Audit&amp;DYN_ARGS=TRUE&amp;VAR:ID1=65473P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2__FDSAUDITLINK__" hidden="1">{"fdsup://IBCentral/FAT Viewer?action=UPDATE&amp;creator=factset&amp;DOC_NAME=fat:reuters_qtrly_source_window.fat&amp;display_string=Audit&amp;DYN_ARGS=TRUE&amp;VAR:ID1=65473P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3__FDSAUDITLINK__" hidden="1">{"fdsup://IBCentral/FAT Viewer?action=UPDATE&amp;creator=factset&amp;DOC_NAME=fat:reuters_qtrly_source_window.fat&amp;display_string=Audit&amp;DYN_ARGS=TRUE&amp;VAR:ID1=15189T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094__FDSAUDITLINK__" hidden="1">{"fdsup://IBCentral/FAT Viewer?action=UPDATE&amp;creator=factset&amp;DOC_NAME=fat:reuters_qtrly_source_window.fat&amp;display_string=Audit&amp;DYN_ARGS=TRUE&amp;VAR:ID1=15189T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095__FDSAUDITLINK__" hidden="1">{"fdsup://IBCentral/FAT Viewer?action=UPDATE&amp;creator=factset&amp;DOC_NAME=fat:reuters_qtrly_source_window.fat&amp;display_string=Audit&amp;DYN_ARGS=TRUE&amp;VAR:ID1=15189T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6__FDSAUDITLINK__" hidden="1">{"fdsup://IBCentral/FAT Viewer?action=UPDATE&amp;creator=factset&amp;DOC_NAME=fat:reuters_qtrly_source_window.fat&amp;display_string=Audit&amp;DYN_ARGS=TRUE&amp;VAR:ID1=15189T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7__FDSAUDITLINK__" hidden="1">{"fdsup://IBCentral/FAT Viewer?action=UPDATE&amp;creator=factset&amp;DOC_NAME=fat:reuters_qtrly_source_window.fat&amp;display_string=Audit&amp;DYN_ARGS=TRUE&amp;VAR:ID1=15189T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8__FDSAUDITLINK__" hidden="1">{"fdsup://IBCentral/FAT Viewer?action=UPDATE&amp;creator=factset&amp;DOC_NAME=fat:reuters_qtrly_source_window.fat&amp;display_string=Audit&amp;DYN_ARGS=TRUE&amp;VAR:ID1=15189T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099__FDSAUDITLINK__" hidden="1">{"fdsup://IBCentral/FAT Viewer?action=UPDATE&amp;creator=factset&amp;DOC_NAME=fat:reuters_qtrly_source_window.fat&amp;display_string=Audit&amp;DYN_ARGS=TRUE&amp;VAR:ID1=15189T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__FDSAUDITLINK__" hidden="1">{"fdsup://directions/FAT Viewer?action=UPDATE&amp;creator=factset&amp;DYN_ARGS=TRUE&amp;DOC_NAME=FAT:FQL_AUDITING_CLIENT_TEMPLATE.FAT&amp;display_string=Audit&amp;VAR:KEY=DIBWLENIFA&amp;VAR:QUERY=RkZfREVCVChBTk4sMjAwOSk=&amp;WINDOW=FIRST_POPUP&amp;HEIGHT=450&amp;WIDTH=450&amp;START_MAXIMIZED=FALS","E&amp;VAR:CALENDAR=US&amp;VAR:SYMBOL=TLLP&amp;VAR:INDEX=0"}</definedName>
    <definedName name="_110__FDSAUDITLINK__" hidden="1">{"fdsup://IBCentral/FAT Viewer?action=UPDATE&amp;creator=factset&amp;DOC_NAME=fat:reuters_qtrly_source_window.fat&amp;display_string=Audit&amp;DYN_ARGS=TRUE&amp;VAR:ID1=B29TNV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100__FDSAUDITLINK__" hidden="1">{"fdsup://IBCentral/FAT Viewer?action=UPDATE&amp;creator=factset&amp;DOC_NAME=fat:reuters_qtrly_source_window.fat&amp;display_string=Audit&amp;DYN_ARGS=TRUE&amp;VAR:ID1=15189T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1__FDSAUDITLINK__" hidden="1">{"fdsup://IBCentral/FAT Viewer?action=UPDATE&amp;creator=factset&amp;DOC_NAME=fat:reuters_qtrly_source_window.fat&amp;display_string=Audit&amp;DYN_ARGS=TRUE&amp;VAR:ID1=00120410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02__FDSAUDITLINK__" hidden="1">{"fdsup://IBCentral/FAT Viewer?action=UPDATE&amp;creator=factset&amp;DOC_NAME=fat:reuters_qtrly_source_window.fat&amp;display_string=Audit&amp;DYN_ARGS=TRUE&amp;VAR:ID1=00120410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03__FDSAUDITLINK__" hidden="1">{"fdsup://IBCentral/FAT Viewer?action=UPDATE&amp;creator=factset&amp;DOC_NAME=fat:reuters_qtrly_source_window.fat&amp;display_string=Audit&amp;DYN_ARGS=TRUE&amp;VAR:ID1=00120410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4__FDSAUDITLINK__" hidden="1">{"fdsup://IBCentral/FAT Viewer?action=UPDATE&amp;creator=factset&amp;DOC_NAME=fat:reuters_qtrly_source_window.fat&amp;display_string=Audit&amp;DYN_ARGS=TRUE&amp;VAR:ID1=00120410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5__FDSAUDITLINK__" hidden="1">{"fdsup://IBCentral/FAT Viewer?action=UPDATE&amp;creator=factset&amp;DOC_NAME=fat:reuters_qtrly_source_window.fat&amp;display_string=Audit&amp;DYN_ARGS=TRUE&amp;VAR:ID1=00120410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6__FDSAUDITLINK__" hidden="1">{"fdsup://IBCentral/FAT Viewer?action=UPDATE&amp;creator=factset&amp;DOC_NAME=fat:reuters_qtrly_source_window.fat&amp;display_string=Audit&amp;DYN_ARGS=TRUE&amp;VAR:ID1=00120410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7__FDSAUDITLINK__" hidden="1">{"fdsup://IBCentral/FAT Viewer?action=UPDATE&amp;creator=factset&amp;DOC_NAME=fat:reuters_qtrly_source_window.fat&amp;display_string=Audit&amp;DYN_ARGS=TRUE&amp;VAR:ID1=00120410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8__FDSAUDITLINK__" hidden="1">{"fdsup://IBCentral/FAT Viewer?action=UPDATE&amp;creator=factset&amp;DOC_NAME=fat:reuters_qtrly_source_window.fat&amp;display_string=Audit&amp;DYN_ARGS=TRUE&amp;VAR:ID1=00120410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09__FDSAUDITLINK__" hidden="1">{"fdsup://IBCentral/FAT Viewer?action=UPDATE&amp;creator=factset&amp;DOC_NAME=fat:reuters_qtrly_source_window.fat&amp;display_string=Audit&amp;DYN_ARGS=TRUE&amp;VAR:ID1=96945710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1__FDSAUDITLINK__" hidden="1">{"fdsup://IBCentral/FAT Viewer?action=UPDATE&amp;creator=factset&amp;DOC_NAME=fat:reuters_qtrly_source_window.fat&amp;display_string=Audit&amp;DYN_ARGS=TRUE&amp;VAR:ID1=B29TNV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10__FDSAUDITLINK__" hidden="1">{"fdsup://IBCentral/FAT Viewer?action=UPDATE&amp;creator=factset&amp;DOC_NAME=fat:reuters_qtrly_source_window.fat&amp;display_string=Audit&amp;DYN_ARGS=TRUE&amp;VAR:ID1=96945710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11__FDSAUDITLINK__" hidden="1">{"fdsup://IBCentral/FAT Viewer?action=UPDATE&amp;creator=factset&amp;DOC_NAME=fat:reuters_qtrly_source_window.fat&amp;display_string=Audit&amp;DYN_ARGS=TRUE&amp;VAR:ID1=96945710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12__FDSAUDITLINK__" hidden="1">{"fdsup://IBCentral/FAT Viewer?action=UPDATE&amp;creator=factset&amp;DOC_NAME=fat:reuters_qtrly_source_window.fat&amp;display_string=Audit&amp;DYN_ARGS=TRUE&amp;VAR:ID1=96945710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13__FDSAUDITLINK__" hidden="1">{"fdsup://IBCentral/FAT Viewer?action=UPDATE&amp;creator=factset&amp;DOC_NAME=fat:reuters_qtrly_source_window.fat&amp;display_string=Audit&amp;DYN_ARGS=TRUE&amp;VAR:ID1=96945710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14__FDSAUDITLINK__" hidden="1">{"fdsup://IBCentral/FAT Viewer?action=UPDATE&amp;creator=factset&amp;DOC_NAME=fat:reuters_qtrly_source_window.fat&amp;display_string=Audit&amp;DYN_ARGS=TRUE&amp;VAR:ID1=96945710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15__FDSAUDITLINK__" hidden="1">{"fdsup://IBCentral/FAT Viewer?action=UPDATE&amp;creator=factset&amp;DOC_NAME=fat:reuters_qtrly_source_window.fat&amp;display_string=Audit&amp;DYN_ARGS=TRUE&amp;VAR:ID1=96945710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16__FDSAUDITLINK__" hidden="1">{"fdsup://IBCentral/FAT Viewer?action=UPDATE&amp;creator=factset&amp;DOC_NAME=fat:reuters_qtrly_source_window.fat&amp;display_string=Audit&amp;DYN_ARGS=TRUE&amp;VAR:ID1=96945710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17__FDSAUDITLINK__" hidden="1">{"fdsup://IBCentral/FAT Viewer?action=UPDATE&amp;creator=factset&amp;DOC_NAME=fat:reuters_qtrly_source_window.fat&amp;display_string=Audit&amp;DYN_ARGS=TRUE&amp;VAR:ID1=84756010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18__FDSAUDITLINK__" hidden="1">{"fdsup://IBCentral/FAT Viewer?action=UPDATE&amp;creator=factset&amp;DOC_NAME=fat:reuters_qtrly_source_window.fat&amp;display_string=Audit&amp;DYN_ARGS=TRUE&amp;VAR:ID1=84756010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19__FDSAUDITLINK__" hidden="1">{"fdsup://IBCentral/FAT Viewer?action=UPDATE&amp;creator=factset&amp;DOC_NAME=fat:reuters_qtrly_source_window.fat&amp;display_string=Audit&amp;DYN_ARGS=TRUE&amp;VAR:ID1=84756010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__FDSAUDITLINK__" hidden="1">{"fdsup://IBCentral/FAT Viewer?action=UPDATE&amp;creator=factset&amp;DOC_NAME=fat:reuters_qtrly_source_window.fat&amp;display_string=Audit&amp;DYN_ARGS=TRUE&amp;VAR:ID1=B29TNV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20__FDSAUDITLINK__" hidden="1">{"fdsup://IBCentral/FAT Viewer?action=UPDATE&amp;creator=factset&amp;DOC_NAME=fat:reuters_qtrly_source_window.fat&amp;display_string=Audit&amp;DYN_ARGS=TRUE&amp;VAR:ID1=84756010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1__FDSAUDITLINK__" hidden="1">{"fdsup://IBCentral/FAT Viewer?action=UPDATE&amp;creator=factset&amp;DOC_NAME=fat:reuters_qtrly_source_window.fat&amp;display_string=Audit&amp;DYN_ARGS=TRUE&amp;VAR:ID1=84756010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2__FDSAUDITLINK__" hidden="1">{"fdsup://IBCentral/FAT Viewer?action=UPDATE&amp;creator=factset&amp;DOC_NAME=fat:reuters_qtrly_source_window.fat&amp;display_string=Audit&amp;DYN_ARGS=TRUE&amp;VAR:ID1=84756010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3__FDSAUDITLINK__" hidden="1">{"fdsup://IBCentral/FAT Viewer?action=UPDATE&amp;creator=factset&amp;DOC_NAME=fat:reuters_qtrly_source_window.fat&amp;display_string=Audit&amp;DYN_ARGS=TRUE&amp;VAR:ID1=84756010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4__FDSAUDITLINK__" hidden="1">{"fdsup://IBCentral/FAT Viewer?action=UPDATE&amp;creator=factset&amp;DOC_NAME=fat:reuters_qtrly_source_window.fat&amp;display_string=Audit&amp;DYN_ARGS=TRUE&amp;VAR:ID1=84756010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5__FDSAUDITLINK__" hidden="1">{"fdsup://IBCentral/FAT Viewer?action=UPDATE&amp;creator=factset&amp;DOC_NAME=fat:reuters_qtrly_source_window.fat&amp;display_string=Audit&amp;DYN_ARGS=TRUE&amp;VAR:ID1=84403010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26__FDSAUDITLINK__" hidden="1">{"fdsup://IBCentral/FAT Viewer?action=UPDATE&amp;creator=factset&amp;DOC_NAME=fat:reuters_qtrly_source_window.fat&amp;display_string=Audit&amp;DYN_ARGS=TRUE&amp;VAR:ID1=84403010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27__FDSAUDITLINK__" hidden="1">{"fdsup://IBCentral/FAT Viewer?action=UPDATE&amp;creator=factset&amp;DOC_NAME=fat:reuters_qtrly_source_window.fat&amp;display_string=Audit&amp;DYN_ARGS=TRUE&amp;VAR:ID1=84403010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8__FDSAUDITLINK__" hidden="1">{"fdsup://IBCentral/FAT Viewer?action=UPDATE&amp;creator=factset&amp;DOC_NAME=fat:reuters_qtrly_source_window.fat&amp;display_string=Audit&amp;DYN_ARGS=TRUE&amp;VAR:ID1=84403010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29__FDSAUDITLINK__" hidden="1">{"fdsup://IBCentral/FAT Viewer?action=UPDATE&amp;creator=factset&amp;DOC_NAME=fat:reuters_qtrly_source_window.fat&amp;display_string=Audit&amp;DYN_ARGS=TRUE&amp;VAR:ID1=84403010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__FDSAUDITLINK__" hidden="1">{"fdsup://IBCentral/FAT Viewer?action=UPDATE&amp;creator=factset&amp;DOC_NAME=fat:reuters_qtrly_source_window.fat&amp;display_string=Audit&amp;DYN_ARGS=TRUE&amp;VAR:ID1=B29TNV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130__FDSAUDITLINK__" hidden="1">{"fdsup://IBCentral/FAT Viewer?action=UPDATE&amp;creator=factset&amp;DOC_NAME=fat:reuters_qtrly_source_window.fat&amp;display_string=Audit&amp;DYN_ARGS=TRUE&amp;VAR:ID1=84403010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1__FDSAUDITLINK__" hidden="1">{"fdsup://IBCentral/FAT Viewer?action=UPDATE&amp;creator=factset&amp;DOC_NAME=fat:reuters_qtrly_source_window.fat&amp;display_string=Audit&amp;DYN_ARGS=TRUE&amp;VAR:ID1=84403010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2__FDSAUDITLINK__" hidden="1">{"fdsup://IBCentral/FAT Viewer?action=UPDATE&amp;creator=factset&amp;DOC_NAME=fat:reuters_qtrly_source_window.fat&amp;display_string=Audit&amp;DYN_ARGS=TRUE&amp;VAR:ID1=84403010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3__FDSAUDITLINK__" hidden="1">{"fdsup://IBCentral/FAT Viewer?action=UPDATE&amp;creator=factset&amp;DOC_NAME=fat:reuters_qtrly_source_window.fat&amp;display_string=Audit&amp;DYN_ARGS=TRUE&amp;VAR:ID1=74835610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34__FDSAUDITLINK__" hidden="1">{"fdsup://IBCentral/FAT Viewer?action=UPDATE&amp;creator=factset&amp;DOC_NAME=fat:reuters_qtrly_source_window.fat&amp;display_string=Audit&amp;DYN_ARGS=TRUE&amp;VAR:ID1=74835610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35__FDSAUDITLINK__" hidden="1">{"fdsup://IBCentral/FAT Viewer?action=UPDATE&amp;creator=factset&amp;DOC_NAME=fat:reuters_qtrly_source_window.fat&amp;display_string=Audit&amp;DYN_ARGS=TRUE&amp;VAR:ID1=74835610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6__FDSAUDITLINK__" hidden="1">{"fdsup://IBCentral/FAT Viewer?action=UPDATE&amp;creator=factset&amp;DOC_NAME=fat:reuters_qtrly_source_window.fat&amp;display_string=Audit&amp;DYN_ARGS=TRUE&amp;VAR:ID1=74835610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7__FDSAUDITLINK__" hidden="1">{"fdsup://IBCentral/FAT Viewer?action=UPDATE&amp;creator=factset&amp;DOC_NAME=fat:reuters_qtrly_source_window.fat&amp;display_string=Audit&amp;DYN_ARGS=TRUE&amp;VAR:ID1=74835610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8__FDSAUDITLINK__" hidden="1">{"fdsup://IBCentral/FAT Viewer?action=UPDATE&amp;creator=factset&amp;DOC_NAME=fat:reuters_qtrly_source_window.fat&amp;display_string=Audit&amp;DYN_ARGS=TRUE&amp;VAR:ID1=74835610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39__FDSAUDITLINK__" hidden="1">{"fdsup://IBCentral/FAT Viewer?action=UPDATE&amp;creator=factset&amp;DOC_NAME=fat:reuters_qtrly_source_window.fat&amp;display_string=Audit&amp;DYN_ARGS=TRUE&amp;VAR:ID1=74835610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__FDSAUDITLINK__" hidden="1">{"fdsup://IBCentral/FAT Viewer?action=UPDATE&amp;creator=factset&amp;DOC_NAME=fat:reuters_qtrly_source_window.fat&amp;display_string=Audit&amp;DYN_ARGS=TRUE&amp;VAR:ID1=B29TNV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40__FDSAUDITLINK__" hidden="1">{"fdsup://IBCentral/FAT Viewer?action=UPDATE&amp;creator=factset&amp;DOC_NAME=fat:reuters_qtrly_source_window.fat&amp;display_string=Audit&amp;DYN_ARGS=TRUE&amp;VAR:ID1=74835610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1__FDSAUDITLINK__" hidden="1">{"fdsup://IBCentral/FAT Viewer?action=UPDATE&amp;creator=factset&amp;DOC_NAME=fat:reuters_qtrly_source_window.fat&amp;display_string=Audit&amp;DYN_ARGS=TRUE&amp;VAR:ID1=68268010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42__FDSAUDITLINK__" hidden="1">{"fdsup://IBCentral/FAT Viewer?action=UPDATE&amp;creator=factset&amp;DOC_NAME=fat:reuters_qtrly_source_window.fat&amp;display_string=Audit&amp;DYN_ARGS=TRUE&amp;VAR:ID1=68268010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43__FDSAUDITLINK__" hidden="1">{"fdsup://IBCentral/FAT Viewer?action=UPDATE&amp;creator=factset&amp;DOC_NAME=fat:reuters_qtrly_source_window.fat&amp;display_string=Audit&amp;DYN_ARGS=TRUE&amp;VAR:ID1=68268010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4__FDSAUDITLINK__" hidden="1">{"fdsup://IBCentral/FAT Viewer?action=UPDATE&amp;creator=factset&amp;DOC_NAME=fat:reuters_qtrly_source_window.fat&amp;display_string=Audit&amp;DYN_ARGS=TRUE&amp;VAR:ID1=68268010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5__FDSAUDITLINK__" hidden="1">{"fdsup://IBCentral/FAT Viewer?action=UPDATE&amp;creator=factset&amp;DOC_NAME=fat:reuters_qtrly_source_window.fat&amp;display_string=Audit&amp;DYN_ARGS=TRUE&amp;VAR:ID1=68268010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6__FDSAUDITLINK__" hidden="1">{"fdsup://IBCentral/FAT Viewer?action=UPDATE&amp;creator=factset&amp;DOC_NAME=fat:reuters_qtrly_source_window.fat&amp;display_string=Audit&amp;DYN_ARGS=TRUE&amp;VAR:ID1=68268010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7__FDSAUDITLINK__" hidden="1">{"fdsup://IBCentral/FAT Viewer?action=UPDATE&amp;creator=factset&amp;DOC_NAME=fat:reuters_qtrly_source_window.fat&amp;display_string=Audit&amp;DYN_ARGS=TRUE&amp;VAR:ID1=68268010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8__FDSAUDITLINK__" hidden="1">{"fdsup://IBCentral/FAT Viewer?action=UPDATE&amp;creator=factset&amp;DOC_NAME=fat:reuters_qtrly_source_window.fat&amp;display_string=Audit&amp;DYN_ARGS=TRUE&amp;VAR:ID1=68268010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49__FDSAUDITLINK__" hidden="1">{"fdsup://IBCentral/FAT Viewer?action=UPDATE&amp;creator=factset&amp;DOC_NAME=fat:reuters_qtrly_source_window.fat&amp;display_string=Audit&amp;DYN_ARGS=TRUE&amp;VAR:ID1=63618010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5__FDSAUDITLINK__" hidden="1">{"fdsup://IBCentral/FAT Viewer?action=UPDATE&amp;creator=factset&amp;DOC_NAME=fat:reuters_qtrly_source_window.fat&amp;display_string=Audit&amp;DYN_ARGS=TRUE&amp;VAR:ID1=B29TNV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50__FDSAUDITLINK__" hidden="1">{"fdsup://IBCentral/FAT Viewer?action=UPDATE&amp;creator=factset&amp;DOC_NAME=fat:reuters_qtrly_source_window.fat&amp;display_string=Audit&amp;DYN_ARGS=TRUE&amp;VAR:ID1=63618010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51__FDSAUDITLINK__" hidden="1">{"fdsup://IBCentral/FAT Viewer?action=UPDATE&amp;creator=factset&amp;DOC_NAME=fat:reuters_qtrly_source_window.fat&amp;display_string=Audit&amp;DYN_ARGS=TRUE&amp;VAR:ID1=63618010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52__FDSAUDITLINK__" hidden="1">{"fdsup://IBCentral/FAT Viewer?action=UPDATE&amp;creator=factset&amp;DOC_NAME=fat:reuters_qtrly_source_window.fat&amp;display_string=Audit&amp;DYN_ARGS=TRUE&amp;VAR:ID1=212147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153__FDSAUDITLINK__" hidden="1">{"fdsup://IBCentral/FAT Viewer?action=UPDATE&amp;creator=factset&amp;DOC_NAME=fat:reuters_qtrly_source_window.fat&amp;display_string=Audit&amp;DYN_ARGS=TRUE&amp;VAR:ID1=212147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154__FDSAUDITLINK__" hidden="1">{"fdsup://IBCentral/FAT Viewer?action=UPDATE&amp;creator=factset&amp;DOC_NAME=fat:reuters_qtrly_source_window.fat&amp;display_string=Audit&amp;DYN_ARGS=TRUE&amp;VAR:ID1=212147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55__FDSAUDITLINK__" hidden="1">{"fdsup://IBCentral/FAT Viewer?action=UPDATE&amp;creator=factset&amp;DOC_NAME=fat:reuters_qtrly_source_window.fat&amp;display_string=Audit&amp;DYN_ARGS=TRUE&amp;VAR:ID1=212147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56__FDSAUDITLINK__" hidden="1">{"fdsup://IBCentral/FAT Viewer?action=UPDATE&amp;creator=factset&amp;DOC_NAME=fat:reuters_qtrly_source_window.fat&amp;display_string=Audit&amp;DYN_ARGS=TRUE&amp;VAR:ID1=212147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57__FDSAUDITLINK__" hidden="1">{"fdsup://IBCentral/FAT Viewer?action=UPDATE&amp;creator=factset&amp;DOC_NAME=fat:reuters_qtrly_source_window.fat&amp;display_string=Audit&amp;DYN_ARGS=TRUE&amp;VAR:ID1=212147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58__FDSAUDITLINK__" hidden="1">{"fdsup://IBCentral/FAT Viewer?action=UPDATE&amp;creator=factset&amp;DOC_NAME=fat:reuters_qtrly_source_window.fat&amp;display_string=Audit&amp;DYN_ARGS=TRUE&amp;VAR:ID1=212147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59__FDSAUDITLINK__" hidden="1">{"fdsup://IBCentral/FAT Viewer?action=UPDATE&amp;creator=factset&amp;DOC_NAME=fat:reuters_qtrly_source_window.fat&amp;display_string=Audit&amp;DYN_ARGS=TRUE&amp;VAR:ID1=212147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__FDSAUDITLINK__" hidden="1">{"fdsup://IBCentral/FAT Viewer?action=UPDATE&amp;creator=factset&amp;DOC_NAME=fat:reuters_qtrly_source_window.fat&amp;display_string=Audit&amp;DYN_ARGS=TRUE&amp;VAR:ID1=B29TNV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0__FDSAUDITLINK__" hidden="1">{"fdsup://IBCentral/FAT Viewer?action=UPDATE&amp;creator=factset&amp;DOC_NAME=fat:reuters_qtrly_source_window.fat&amp;display_string=Audit&amp;DYN_ARGS=TRUE&amp;VAR:ID1=252416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161__FDSAUDITLINK__" hidden="1">{"fdsup://IBCentral/FAT Viewer?action=UPDATE&amp;creator=factset&amp;DOC_NAME=fat:reuters_qtrly_source_window.fat&amp;display_string=Audit&amp;DYN_ARGS=TRUE&amp;VAR:ID1=252416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162__FDSAUDITLINK__" hidden="1">{"fdsup://IBCentral/FAT Viewer?action=UPDATE&amp;creator=factset&amp;DOC_NAME=fat:reuters_qtrly_source_window.fat&amp;display_string=Audit&amp;DYN_ARGS=TRUE&amp;VAR:ID1=252416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3__FDSAUDITLINK__" hidden="1">{"fdsup://IBCentral/FAT Viewer?action=UPDATE&amp;creator=factset&amp;DOC_NAME=fat:reuters_qtrly_source_window.fat&amp;display_string=Audit&amp;DYN_ARGS=TRUE&amp;VAR:ID1=252416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4__FDSAUDITLINK__" hidden="1">{"fdsup://IBCentral/FAT Viewer?action=UPDATE&amp;creator=factset&amp;DOC_NAME=fat:reuters_qtrly_source_window.fat&amp;display_string=Audit&amp;DYN_ARGS=TRUE&amp;VAR:ID1=252416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5__FDSAUDITLINK__" hidden="1">{"fdsup://IBCentral/FAT Viewer?action=UPDATE&amp;creator=factset&amp;DOC_NAME=fat:reuters_qtrly_source_window.fat&amp;display_string=Audit&amp;DYN_ARGS=TRUE&amp;VAR:ID1=252416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6__FDSAUDITLINK__" hidden="1">{"fdsup://IBCentral/FAT Viewer?action=UPDATE&amp;creator=factset&amp;DOC_NAME=fat:reuters_qtrly_source_window.fat&amp;display_string=Audit&amp;DYN_ARGS=TRUE&amp;VAR:ID1=252416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7__FDSAUDITLINK__" hidden="1">{"fdsup://IBCentral/FAT Viewer?action=UPDATE&amp;creator=factset&amp;DOC_NAME=fat:reuters_qtrly_source_window.fat&amp;display_string=Audit&amp;DYN_ARGS=TRUE&amp;VAR:ID1=252416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168__FDSAUDITLINK__" hidden="1">{"fdsup://IBCentral/FAT Viewer?action=UPDATE&amp;creator=factset&amp;DOC_NAME=fat:reuters_qtrly_source_window.fat&amp;display_string=Audit&amp;DYN_ARGS=TRUE&amp;VAR:ID1=65408610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69__FDSAUDITLINK__" hidden="1">{"fdsup://IBCentral/FAT Viewer?action=UPDATE&amp;creator=factset&amp;DOC_NAME=fat:reuters_qtrly_source_window.fat&amp;display_string=Audit&amp;DYN_ARGS=TRUE&amp;VAR:ID1=65408610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__FDSAUDITLINK__" hidden="1">{"fdsup://IBCentral/FAT Viewer?action=UPDATE&amp;creator=factset&amp;DOC_NAME=fat:reuters_qtrly_source_window.fat&amp;display_string=Audit&amp;DYN_ARGS=TRUE&amp;VAR:ID1=234720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170__FDSAUDITLINK__" hidden="1">{"fdsup://IBCentral/FAT Viewer?action=UPDATE&amp;creator=factset&amp;DOC_NAME=fat:reuters_qtrly_source_window.fat&amp;display_string=Audit&amp;DYN_ARGS=TRUE&amp;VAR:ID1=50559710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71__FDSAUDITLINK__" hidden="1">{"fdsup://IBCentral/FAT Viewer?action=UPDATE&amp;creator=factset&amp;DOC_NAME=fat:reuters_qtrly_source_window.fat&amp;display_string=Audit&amp;DYN_ARGS=TRUE&amp;VAR:ID1=50559710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72__FDSAUDITLINK__" hidden="1">{"fdsup://IBCentral/FAT Viewer?action=UPDATE&amp;creator=factset&amp;DOC_NAME=fat:reuters_qtrly_source_window.fat&amp;display_string=Audit&amp;DYN_ARGS=TRUE&amp;VAR:ID1=50559710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3__FDSAUDITLINK__" hidden="1">{"fdsup://IBCentral/FAT Viewer?action=UPDATE&amp;creator=factset&amp;DOC_NAME=fat:reuters_qtrly_source_window.fat&amp;display_string=Audit&amp;DYN_ARGS=TRUE&amp;VAR:ID1=50559710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4__FDSAUDITLINK__" hidden="1">{"fdsup://IBCentral/FAT Viewer?action=UPDATE&amp;creator=factset&amp;DOC_NAME=fat:reuters_qtrly_source_window.fat&amp;display_string=Audit&amp;DYN_ARGS=TRUE&amp;VAR:ID1=50559710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5__FDSAUDITLINK__" hidden="1">{"fdsup://IBCentral/FAT Viewer?action=UPDATE&amp;creator=factset&amp;DOC_NAME=fat:reuters_qtrly_source_window.fat&amp;display_string=Audit&amp;DYN_ARGS=TRUE&amp;VAR:ID1=50559710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6__FDSAUDITLINK__" hidden="1">{"fdsup://IBCentral/FAT Viewer?action=UPDATE&amp;creator=factset&amp;DOC_NAME=fat:reuters_qtrly_source_window.fat&amp;display_string=Audit&amp;DYN_ARGS=TRUE&amp;VAR:ID1=50559710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7__FDSAUDITLINK__" hidden="1">{"fdsup://IBCentral/FAT Viewer?action=UPDATE&amp;creator=factset&amp;DOC_NAME=fat:reuters_qtrly_source_window.fat&amp;display_string=Audit&amp;DYN_ARGS=TRUE&amp;VAR:ID1=50559710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78__FDSAUDITLINK__" hidden="1">{"fdsup://IBCentral/FAT Viewer?action=UPDATE&amp;creator=factset&amp;DOC_NAME=fat:reuters_qtrly_source_window.fat&amp;display_string=Audit&amp;DYN_ARGS=TRUE&amp;VAR:ID1=45822P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79__FDSAUDITLINK__" hidden="1">{"fdsup://IBCentral/FAT Viewer?action=UPDATE&amp;creator=factset&amp;DOC_NAME=fat:reuters_qtrly_source_window.fat&amp;display_string=Audit&amp;DYN_ARGS=TRUE&amp;VAR:ID1=45822P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8__FDSAUDITLINK__" hidden="1">{"fdsup://IBCentral/FAT Viewer?action=UPDATE&amp;creator=factset&amp;DOC_NAME=fat:reuters_qtrly_source_window.fat&amp;display_string=Audit&amp;DYN_ARGS=TRUE&amp;VAR:ID1=265005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180__FDSAUDITLINK__" hidden="1">{"fdsup://IBCentral/FAT Viewer?action=UPDATE&amp;creator=factset&amp;DOC_NAME=fat:reuters_qtrly_source_window.fat&amp;display_string=Audit&amp;DYN_ARGS=TRUE&amp;VAR:ID1=45822P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1__FDSAUDITLINK__" hidden="1">{"fdsup://IBCentral/FAT Viewer?action=UPDATE&amp;creator=factset&amp;DOC_NAME=fat:reuters_qtrly_source_window.fat&amp;display_string=Audit&amp;DYN_ARGS=TRUE&amp;VAR:ID1=45822P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2__FDSAUDITLINK__" hidden="1">{"fdsup://IBCentral/FAT Viewer?action=UPDATE&amp;creator=factset&amp;DOC_NAME=fat:reuters_qtrly_source_window.fat&amp;display_string=Audit&amp;DYN_ARGS=TRUE&amp;VAR:ID1=45822P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3__FDSAUDITLINK__" hidden="1">{"fdsup://IBCentral/FAT Viewer?action=UPDATE&amp;creator=factset&amp;DOC_NAME=fat:reuters_qtrly_source_window.fat&amp;display_string=Audit&amp;DYN_ARGS=TRUE&amp;VAR:ID1=45822P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4__FDSAUDITLINK__" hidden="1">{"fdsup://IBCentral/FAT Viewer?action=UPDATE&amp;creator=factset&amp;DOC_NAME=fat:reuters_qtrly_source_window.fat&amp;display_string=Audit&amp;DYN_ARGS=TRUE&amp;VAR:ID1=45822P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5__FDSAUDITLINK__" hidden="1">{"fdsup://IBCentral/FAT Viewer?action=UPDATE&amp;creator=factset&amp;DOC_NAME=fat:reuters_qtrly_source_window.fat&amp;display_string=Audit&amp;DYN_ARGS=TRUE&amp;VAR:ID1=45822P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6__FDSAUDITLINK__" hidden="1">{"fdsup://IBCentral/FAT Viewer?action=UPDATE&amp;creator=factset&amp;DOC_NAME=fat:reuters_qtrly_source_window.fat&amp;display_string=Audit&amp;DYN_ARGS=TRUE&amp;VAR:ID1=04956010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1187__FDSAUDITLINK__" hidden="1">{"fdsup://IBCentral/FAT Viewer?action=UPDATE&amp;creator=factset&amp;DOC_NAME=fat:reuters_qtrly_source_window.fat&amp;display_string=Audit&amp;DYN_ARGS=TRUE&amp;VAR:ID1=04956010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1188__FDSAUDITLINK__" hidden="1">{"fdsup://IBCentral/FAT Viewer?action=UPDATE&amp;creator=factset&amp;DOC_NAME=fat:reuters_qtrly_source_window.fat&amp;display_string=Audit&amp;DYN_ARGS=TRUE&amp;VAR:ID1=04956010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89__FDSAUDITLINK__" hidden="1">{"fdsup://IBCentral/FAT Viewer?action=UPDATE&amp;creator=factset&amp;DOC_NAME=fat:reuters_qtrly_source_window.fat&amp;display_string=Audit&amp;DYN_ARGS=TRUE&amp;VAR:ID1=04956010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9__FDSAUDITLINK__" hidden="1">{"fdsup://IBCentral/FAT Viewer?action=UPDATE&amp;creator=factset&amp;DOC_NAME=fat:reuters_qtrly_source_window.fat&amp;display_string=Audit&amp;DYN_ARGS=TRUE&amp;VAR:ID1=217263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190__FDSAUDITLINK__" hidden="1">{"fdsup://IBCentral/FAT Viewer?action=UPDATE&amp;creator=factset&amp;DOC_NAME=fat:reuters_qtrly_source_window.fat&amp;display_string=Audit&amp;DYN_ARGS=TRUE&amp;VAR:ID1=04956010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91__FDSAUDITLINK__" hidden="1">{"fdsup://IBCentral/FAT Viewer?action=UPDATE&amp;creator=factset&amp;DOC_NAME=fat:reuters_qtrly_source_window.fat&amp;display_string=Audit&amp;DYN_ARGS=TRUE&amp;VAR:ID1=04956010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92__FDSAUDITLINK__" hidden="1">{"fdsup://IBCentral/FAT Viewer?action=UPDATE&amp;creator=factset&amp;DOC_NAME=fat:reuters_qtrly_source_window.fat&amp;display_string=Audit&amp;DYN_ARGS=TRUE&amp;VAR:ID1=04956010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193__FDSAUDITLINK__" hidden="1">{"fdsup://IBCentral/FAT Viewer?action=UPDATE&amp;creator=factset&amp;DOC_NAME=fat:reuters_qtrly_source_window.fat&amp;display_string=Audit&amp;DYN_ARGS=TRUE&amp;VAR:ID1=04956010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12__FDSAUDITLINK__" hidden="1">{"fdsup://directions/FAT Viewer?action=UPDATE&amp;creator=factset&amp;DYN_ARGS=TRUE&amp;DOC_NAME=FAT:FQL_AUDITING_CLIENT_TEMPLATE.FAT&amp;display_string=Audit&amp;VAR:KEY=DIBWLENIFA&amp;VAR:QUERY=RkZfREVCVChBTk4sMjAwOSk=&amp;WINDOW=FIRST_POPUP&amp;HEIGHT=450&amp;WIDTH=450&amp;START_MAXIMIZED=FALS","E&amp;VAR:CALENDAR=US&amp;VAR:SYMBOL=TLLP&amp;VAR:INDEX=0"}</definedName>
    <definedName name="_120__FDSAUDITLINK__" hidden="1">{"fdsup://IBCentral/FAT Viewer?action=UPDATE&amp;creator=factset&amp;DOC_NAME=fat:reuters_qtrly_source_window.fat&amp;display_string=Audit&amp;DYN_ARGS=TRUE&amp;VAR:ID1=217522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21__FDSAUDITLINK__" hidden="1">{"fdsup://IBCentral/FAT Viewer?action=UPDATE&amp;creator=factset&amp;DOC_NAME=fat:reuters_qtrly_source_window.fat&amp;display_string=Audit&amp;DYN_ARGS=TRUE&amp;VAR:ID1=217522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22__FDSAUDITLINK__" hidden="1">{"fdsup://IBCentral/FAT Viewer?action=UPDATE&amp;creator=factset&amp;DOC_NAME=fat:reuters_qtrly_source_window.fat&amp;display_string=Audit&amp;DYN_ARGS=TRUE&amp;VAR:ID1=217522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23__FDSAUDITLINK__" hidden="1">{"fdsup://IBCentral/FAT Viewer?action=UPDATE&amp;creator=factset&amp;DOC_NAME=fat:reuters_qtrly_source_window.fat&amp;display_string=Audit&amp;DYN_ARGS=TRUE&amp;VAR:ID1=217522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24__FDSAUDITLINK__" hidden="1">{"fdsup://IBCentral/FAT Viewer?action=UPDATE&amp;creator=factset&amp;DOC_NAME=fat:reuters_qtrly_source_window.fat&amp;display_string=Audit&amp;DYN_ARGS=TRUE&amp;VAR:ID1=217522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25__FDSAUDITLINK__" hidden="1">{"fdsup://IBCentral/FAT Viewer?action=UPDATE&amp;creator=factset&amp;DOC_NAME=fat:reuters_qtrly_source_window.fat&amp;display_string=Audit&amp;DYN_ARGS=TRUE&amp;VAR:ID1=217522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26__FDSAUDITLINK__" hidden="1">{"fdsup://IBCentral/FAT Viewer?action=UPDATE&amp;creator=factset&amp;DOC_NAME=fat:reuters_qtrly_source_window.fat&amp;display_string=Audit&amp;DYN_ARGS=TRUE&amp;VAR:ID1=217522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27__FDSAUDITLINK__" hidden="1">{"fdsup://IBCentral/FAT Viewer?action=UPDATE&amp;creator=factset&amp;DOC_NAME=fat:reuters_qtrly_source_window.fat&amp;display_string=Audit&amp;DYN_ARGS=TRUE&amp;VAR:ID1=217522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28__FDSAUDITLINK__" hidden="1">{"fdsup://IBCentral/FAT Viewer?action=UPDATE&amp;creator=factset&amp;DOC_NAME=fat:reuters_qtrly_source_window.fat&amp;display_string=Audit&amp;DYN_ARGS=TRUE&amp;VAR:ID1=212147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29__FDSAUDITLINK__" hidden="1">{"fdsup://IBCentral/FAT Viewer?action=UPDATE&amp;creator=factset&amp;DOC_NAME=fat:reuters_qtrly_source_window.fat&amp;display_string=Audit&amp;DYN_ARGS=TRUE&amp;VAR:ID1=212147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3__FDSAUDITLINK__" hidden="1">{"fdsup://directions/FAT Viewer?action=UPDATE&amp;creator=factset&amp;DYN_ARGS=TRUE&amp;DOC_NAME=FAT:FQL_AUDITING_CLIENT_TEMPLATE.FAT&amp;display_string=Audit&amp;VAR:KEY=DIBWLENIFA&amp;VAR:QUERY=RkZfREVCVChBTk4sMjAwOSk=&amp;WINDOW=FIRST_POPUP&amp;HEIGHT=450&amp;WIDTH=450&amp;START_MAXIMIZED=FALS","E&amp;VAR:CALENDAR=US&amp;VAR:SYMBOL=TLLP&amp;VAR:INDEX=0"}</definedName>
    <definedName name="_130__FDSAUDITLINK__" hidden="1">{"fdsup://IBCentral/FAT Viewer?action=UPDATE&amp;creator=factset&amp;DOC_NAME=fat:reuters_qtrly_source_window.fat&amp;display_string=Audit&amp;DYN_ARGS=TRUE&amp;VAR:ID1=212147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31__FDSAUDITLINK__" hidden="1">{"fdsup://IBCentral/FAT Viewer?action=UPDATE&amp;creator=factset&amp;DOC_NAME=fat:reuters_qtrly_source_window.fat&amp;display_string=Audit&amp;DYN_ARGS=TRUE&amp;VAR:ID1=212147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32__FDSAUDITLINK__" hidden="1">{"fdsup://IBCentral/FAT Viewer?action=UPDATE&amp;creator=factset&amp;DOC_NAME=fat:reuters_qtrly_source_window.fat&amp;display_string=Audit&amp;DYN_ARGS=TRUE&amp;VAR:ID1=212147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33__FDSAUDITLINK__" hidden="1">{"fdsup://IBCentral/FAT Viewer?action=UPDATE&amp;creator=factset&amp;DOC_NAME=fat:reuters_qtrly_source_window.fat&amp;display_string=Audit&amp;DYN_ARGS=TRUE&amp;VAR:ID1=212147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34__FDSAUDITLINK__" hidden="1">{"fdsup://IBCentral/FAT Viewer?action=UPDATE&amp;creator=factset&amp;DOC_NAME=fat:reuters_qtrly_source_window.fat&amp;display_string=Audit&amp;DYN_ARGS=TRUE&amp;VAR:ID1=212147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35__FDSAUDITLINK__" hidden="1">{"fdsup://IBCentral/FAT Viewer?action=UPDATE&amp;creator=factset&amp;DOC_NAME=fat:reuters_qtrly_source_window.fat&amp;display_string=Audit&amp;DYN_ARGS=TRUE&amp;VAR:ID1=212147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36__FDSAUDITLINK__" hidden="1">{"fdsup://IBCentral/FAT Viewer?action=UPDATE&amp;creator=factset&amp;DOC_NAME=fat:reuters_qtrly_source_window.fat&amp;display_string=Audit&amp;DYN_ARGS=TRUE&amp;VAR:ID1=B010DZ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37__FDSAUDITLINK__" hidden="1">{"fdsup://IBCentral/FAT Viewer?action=UPDATE&amp;creator=factset&amp;DOC_NAME=fat:reuters_qtrly_source_window.fat&amp;display_string=Audit&amp;DYN_ARGS=TRUE&amp;VAR:ID1=284221&amp;VAR:RCODE=DSTT&amp;VAR:SDATE=20081299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38__FDSAUDITLINK__" hidden="1">{"fdsup://IBCentral/FAT Viewer?action=UPDATE&amp;creator=factset&amp;DOC_NAME=fat:reuters_qtrly_source_window.fat&amp;display_string=Audit&amp;DYN_ARGS=TRUE&amp;VAR:ID1=252416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39__FDSAUDITLINK__" hidden="1">{"fdsup://IBCentral/FAT Viewer?action=UPDATE&amp;creator=factset&amp;DOC_NAME=fat:reuters_qtrly_source_window.fat&amp;display_string=Audit&amp;DYN_ARGS=TRUE&amp;VAR:ID1=252416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4__FDSAUDITLINK__" hidden="1">{"fdsup://directions/FAT Viewer?action=UPDATE&amp;creator=factset&amp;DYN_ARGS=TRUE&amp;DOC_NAME=FAT:FQL_AUDITING_CLIENT_TEMPLATE.FAT&amp;display_string=Audit&amp;VAR:KEY=RQRSFALYNW&amp;VAR:QUERY=RkZfREVCVChBTk4sMjAwOSk=&amp;WINDOW=FIRST_POPUP&amp;HEIGHT=450&amp;WIDTH=450&amp;START_MAXIMIZED=FALS","E&amp;VAR:CALENDAR=US&amp;VAR:SYMBOL=TLP&amp;VAR:INDEX=0"}</definedName>
    <definedName name="_140__FDSAUDITLINK__" hidden="1">{"fdsup://IBCentral/FAT Viewer?action=UPDATE&amp;creator=factset&amp;DOC_NAME=fat:reuters_qtrly_source_window.fat&amp;display_string=Audit&amp;DYN_ARGS=TRUE&amp;VAR:ID1=252416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41__FDSAUDITLINK__" hidden="1">{"fdsup://IBCentral/FAT Viewer?action=UPDATE&amp;creator=factset&amp;DOC_NAME=fat:reuters_qtrly_source_window.fat&amp;display_string=Audit&amp;DYN_ARGS=TRUE&amp;VAR:ID1=252416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42__FDSAUDITLINK__" hidden="1">{"fdsup://IBCentral/FAT Viewer?action=UPDATE&amp;creator=factset&amp;DOC_NAME=fat:reuters_qtrly_source_window.fat&amp;display_string=Audit&amp;DYN_ARGS=TRUE&amp;VAR:ID1=252416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43__FDSAUDITLINK__" hidden="1">{"fdsup://IBCentral/FAT Viewer?action=UPDATE&amp;creator=factset&amp;DOC_NAME=fat:reuters_qtrly_source_window.fat&amp;display_string=Audit&amp;DYN_ARGS=TRUE&amp;VAR:ID1=252416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44__FDSAUDITLINK__" hidden="1">{"fdsup://IBCentral/FAT Viewer?action=UPDATE&amp;creator=factset&amp;DOC_NAME=fat:reuters_qtrly_source_window.fat&amp;display_string=Audit&amp;DYN_ARGS=TRUE&amp;VAR:ID1=252416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45__FDSAUDITLINK__" hidden="1">{"fdsup://IBCentral/FAT Viewer?action=UPDATE&amp;creator=factset&amp;DOC_NAME=fat:reuters_qtrly_source_window.fat&amp;display_string=Audit&amp;DYN_ARGS=TRUE&amp;VAR:ID1=252416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46__FDSAUDITLINK__" hidden="1">{"fdsup://IBCentral/FAT Viewer?action=UPDATE&amp;creator=factset&amp;DOC_NAME=fat:reuters_qtrly_source_window.fat&amp;display_string=Audit&amp;DYN_ARGS=TRUE&amp;VAR:ID1=201963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47__FDSAUDITLINK__" hidden="1">{"fdsup://IBCentral/FAT Viewer?action=UPDATE&amp;creator=factset&amp;DOC_NAME=fat:reuters_qtrly_source_window.fat&amp;display_string=Audit&amp;DYN_ARGS=TRUE&amp;VAR:ID1=285262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48__FDSAUDITLINK__" hidden="1">{"fdsup://IBCentral/FAT Viewer?action=UPDATE&amp;creator=factset&amp;DOC_NAME=fat:reuters_qtrly_source_window.fat&amp;display_string=Audit&amp;DYN_ARGS=TRUE&amp;VAR:ID1=284925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49__FDSAUDITLINK__" hidden="1">{"fdsup://IBCentral/FAT Viewer?action=UPDATE&amp;creator=factset&amp;DOC_NAME=fat:reuters_qtrly_source_window.fat&amp;display_string=Audit&amp;DYN_ARGS=TRUE&amp;VAR:ID1=B046P4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15__FDSAUDITLINK__" hidden="1">{"fdsup://directions/FAT Viewer?action=UPDATE&amp;creator=factset&amp;DYN_ARGS=TRUE&amp;DOC_NAME=FAT:FQL_AUDITING_CLIENT_TEMPLATE.FAT&amp;display_string=Audit&amp;VAR:KEY=RQRSFALYNW&amp;VAR:QUERY=RkZfREVCVChBTk4sMjAwOSk=&amp;WINDOW=FIRST_POPUP&amp;HEIGHT=450&amp;WIDTH=450&amp;START_MAXIMIZED=FALS","E&amp;VAR:CALENDAR=US&amp;VAR:SYMBOL=TLP&amp;VAR:INDEX=0"}</definedName>
    <definedName name="_150__FDSAUDITLINK__" hidden="1">{"fdsup://IBCentral/FAT Viewer?action=UPDATE&amp;creator=factset&amp;DOC_NAME=fat:reuters_qtrly_source_window.fat&amp;display_string=Audit&amp;DYN_ARGS=TRUE&amp;VAR:ID1=B046P4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151__FDSAUDITLINK__" hidden="1">{"fdsup://IBCentral/FAT Viewer?action=UPDATE&amp;creator=factset&amp;DOC_NAME=fat:reuters_qtrly_source_window.fat&amp;display_string=Audit&amp;DYN_ARGS=TRUE&amp;VAR:ID1=B046P4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52__FDSAUDITLINK__" hidden="1">{"fdsup://IBCentral/FAT Viewer?action=UPDATE&amp;creator=factset&amp;DOC_NAME=fat:reuters_qtrly_source_window.fat&amp;display_string=Audit&amp;DYN_ARGS=TRUE&amp;VAR:ID1=B046P4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53__FDSAUDITLINK__" hidden="1">{"fdsup://IBCentral/FAT Viewer?action=UPDATE&amp;creator=factset&amp;DOC_NAME=fat:reuters_qtrly_source_window.fat&amp;display_string=Audit&amp;DYN_ARGS=TRUE&amp;VAR:ID1=B046P4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54__FDSAUDITLINK__" hidden="1">{"fdsup://IBCentral/FAT Viewer?action=UPDATE&amp;creator=factset&amp;DOC_NAME=fat:reuters_qtrly_source_window.fat&amp;display_string=Audit&amp;DYN_ARGS=TRUE&amp;VAR:ID1=B046P4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55__FDSAUDITLINK__" hidden="1">{"fdsup://IBCentral/FAT Viewer?action=UPDATE&amp;creator=factset&amp;DOC_NAME=fat:reuters_qtrly_source_window.fat&amp;display_string=Audit&amp;DYN_ARGS=TRUE&amp;VAR:ID1=B046P4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56__FDSAUDITLINK__" hidden="1">{"fdsup://IBCentral/FAT Viewer?action=UPDATE&amp;creator=factset&amp;DOC_NAME=fat:reuters_qtrly_source_window.fat&amp;display_string=Audit&amp;DYN_ARGS=TRUE&amp;VAR:ID1=B046P4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157__FDSAUDITLINK__" hidden="1">{"fdsup://IBCentral/FAT Viewer?action=UPDATE&amp;creator=factset&amp;DOC_NAME=fat:reuters_qtrly_source_window.fat&amp;display_string=Audit&amp;DYN_ARGS=TRUE&amp;VAR:ID1=213615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58__FDSAUDITLINK__" hidden="1">{"fdsup://IBCentral/FAT Viewer?action=UPDATE&amp;creator=factset&amp;DOC_NAME=fat:reuters_qtrly_source_window.fat&amp;display_string=Audit&amp;DYN_ARGS=TRUE&amp;VAR:ID1=98389B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59__FDSAUDITLINK__" hidden="1">{"fdsup://IBCentral/FAT Viewer?action=UPDATE&amp;creator=factset&amp;DOC_NAME=fat:reuters_qtrly_source_window.fat&amp;display_string=Audit&amp;DYN_ARGS=TRUE&amp;VAR:ID1=84258710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__FDSAUDITLINK__" hidden="1">{"fdsup://directions/FAT Viewer?action=UPDATE&amp;creator=factset&amp;DYN_ARGS=TRUE&amp;DOC_NAME=FAT:FQL_AUDITING_CLIENT_TEMPLATE.FAT&amp;display_string=Audit&amp;VAR:KEY=RQRSFALYNW&amp;VAR:QUERY=RkZfREVCVChBTk4sMjAwOSk=&amp;WINDOW=FIRST_POPUP&amp;HEIGHT=450&amp;WIDTH=450&amp;START_MAXIMIZED=FALS","E&amp;VAR:CALENDAR=US&amp;VAR:SYMBOL=TLP&amp;VAR:INDEX=0"}</definedName>
    <definedName name="_160__FDSAUDITLINK__" hidden="1">{"fdsup://IBCentral/FAT Viewer?action=UPDATE&amp;creator=factset&amp;DOC_NAME=fat:reuters_qtrly_source_window.fat&amp;display_string=Audit&amp;DYN_ARGS=TRUE&amp;VAR:ID1=74326310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1__FDSAUDITLINK__" hidden="1">{"fdsup://IBCentral/FAT Viewer?action=UPDATE&amp;creator=factset&amp;DOC_NAME=fat:reuters_qtrly_source_window.fat&amp;display_string=Audit&amp;DYN_ARGS=TRUE&amp;VAR:ID1=69331C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2__FDSAUDITLINK__" hidden="1">{"fdsup://IBCentral/FAT Viewer?action=UPDATE&amp;creator=factset&amp;DOC_NAME=fat:reuters_qtrly_source_window.fat&amp;display_string=Audit&amp;DYN_ARGS=TRUE&amp;VAR:ID1=20911510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3__FDSAUDITLINK__" hidden="1">{"fdsup://IBCentral/FAT Viewer?action=UPDATE&amp;creator=factset&amp;DOC_NAME=fat:reuters_qtrly_source_window.fat&amp;display_string=Audit&amp;DYN_ARGS=TRUE&amp;VAR:ID1=02360810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4__FDSAUDITLINK__" hidden="1">{"fdsup://IBCentral/FAT Viewer?action=UPDATE&amp;creator=factset&amp;DOC_NAME=fat:reuters_qtrly_source_window.fat&amp;display_string=Audit&amp;DYN_ARGS=TRUE&amp;VAR:ID1=26441C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5__FDSAUDITLINK__" hidden="1">{"fdsup://IBCentral/FAT Viewer?action=UPDATE&amp;creator=factset&amp;DOC_NAME=fat:reuters_qtrly_source_window.fat&amp;display_string=Audit&amp;DYN_ARGS=TRUE&amp;VAR:ID1=25746U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6__FDSAUDITLINK__" hidden="1">{"fdsup://IBCentral/FAT Viewer?action=UPDATE&amp;creator=factset&amp;DOC_NAME=fat:reuters_qtrly_source_window.fat&amp;display_string=Audit&amp;DYN_ARGS=TRUE&amp;VAR:ID1=02553710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7__FDSAUDITLINK__" hidden="1">{"fdsup://IBCentral/FAT Viewer?action=UPDATE&amp;creator=factset&amp;DOC_NAME=fat:reuters_qtrly_source_window.fat&amp;display_string=Audit&amp;DYN_ARGS=TRUE&amp;VAR:ID1=01736110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8__FDSAUDITLINK__" hidden="1">{"fdsup://IBCentral/FAT Viewer?action=UPDATE&amp;creator=factset&amp;DOC_NAME=fat:reuters_qtrly_source_window.fat&amp;display_string=Audit&amp;DYN_ARGS=TRUE&amp;VAR:ID1=09662710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69__FDSAUDITLINK__" hidden="1">{"fdsup://IBCentral/FAT Viewer?action=UPDATE&amp;creator=factset&amp;DOC_NAME=fat:reuters_qtrly_source_window.fat&amp;display_string=Audit&amp;DYN_ARGS=TRUE&amp;VAR:ID1=29379210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__FDSAUDITLINK__" hidden="1">{"fdsup://directions/FAT Viewer?action=UPDATE&amp;creator=factset&amp;DYN_ARGS=TRUE&amp;DOC_NAME=FAT:FQL_AUDITING_CLIENT_TEMPLATE.FAT&amp;display_string=Audit&amp;VAR:KEY=RQRSFALYNW&amp;VAR:QUERY=RkZfREVCVChBTk4sMjAwOSk=&amp;WINDOW=FIRST_POPUP&amp;HEIGHT=450&amp;WIDTH=450&amp;START_MAXIMIZED=FALS","E&amp;VAR:CALENDAR=US&amp;VAR:SYMBOL=TLP&amp;VAR:INDEX=0"}</definedName>
    <definedName name="_170__FDSAUDITLINK__" hidden="1">{"fdsup://IBCentral/FAT Viewer?action=UPDATE&amp;creator=factset&amp;DOC_NAME=fat:reuters_qtrly_source_window.fat&amp;display_string=Audit&amp;DYN_ARGS=TRUE&amp;VAR:ID1=49455010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1__FDSAUDITLINK__" hidden="1">{"fdsup://IBCentral/FAT Viewer?action=UPDATE&amp;creator=factset&amp;DOC_NAME=fat:reuters_qtrly_source_window.fat&amp;display_string=Audit&amp;DYN_ARGS=TRUE&amp;VAR:ID1=68268N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2__FDSAUDITLINK__" hidden="1">{"fdsup://IBCentral/FAT Viewer?action=UPDATE&amp;creator=factset&amp;DOC_NAME=fat:reuters_qtrly_source_window.fat&amp;display_string=Audit&amp;DYN_ARGS=TRUE&amp;VAR:ID1=23311P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3__FDSAUDITLINK__" hidden="1">{"fdsup://IBCentral/FAT Viewer?action=UPDATE&amp;creator=factset&amp;DOC_NAME=fat:reuters_qtrly_source_window.fat&amp;display_string=Audit&amp;DYN_ARGS=TRUE&amp;VAR:ID1=84756N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4__FDSAUDITLINK__" hidden="1">{"fdsup://IBCentral/FAT Viewer?action=UPDATE&amp;creator=factset&amp;DOC_NAME=fat:reuters_qtrly_source_window.fat&amp;display_string=Audit&amp;DYN_ARGS=TRUE&amp;VAR:ID1=96950F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5__FDSAUDITLINK__" hidden="1">{"fdsup://IBCentral/FAT Viewer?action=UPDATE&amp;creator=factset&amp;DOC_NAME=fat:reuters_qtrly_source_window.fat&amp;display_string=Audit&amp;DYN_ARGS=TRUE&amp;VAR:ID1=96950K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6__FDSAUDITLINK__" hidden="1">{"fdsup://IBCentral/FAT Viewer?action=UPDATE&amp;creator=factset&amp;DOC_NAME=fat:reuters_qtrly_source_window.fat&amp;display_string=Audit&amp;DYN_ARGS=TRUE&amp;VAR:ID1=16411Q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7__FDSAUDITLINK__" hidden="1">{"fdsup://IBCentral/FAT Viewer?action=UPDATE&amp;creator=factset&amp;DOC_NAME=fat:reuters_qtrly_source_window.fat&amp;display_string=Audit&amp;DYN_ARGS=TRUE&amp;VAR:ID1=28370210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8__FDSAUDITLINK__" hidden="1">{"fdsup://IBCentral/FAT Viewer?action=UPDATE&amp;creator=factset&amp;DOC_NAME=fat:reuters_qtrly_source_window.fat&amp;display_string=Audit&amp;DYN_ARGS=TRUE&amp;VAR:ID1=29250X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79__FDSAUDITLINK__" hidden="1">{"fdsup://IBCentral/FAT Viewer?action=UPDATE&amp;creator=factset&amp;DOC_NAME=fat:reuters_qtrly_source_window.fat&amp;display_string=Audit&amp;DYN_ARGS=TRUE&amp;VAR:ID1=29250R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__FDSAUDITLINK__" hidden="1">{"fdsup://directions/FAT Viewer?action=UPDATE&amp;creator=factset&amp;DYN_ARGS=TRUE&amp;DOC_NAME=FAT:FQL_AUDITING_CLIENT_TEMPLATE.FAT&amp;display_string=Audit&amp;VAR:KEY=VUDSHWRYRO&amp;VAR:QUERY=RkZfREVCVChBTk4sMjAwOSk=&amp;WINDOW=FIRST_POPUP&amp;HEIGHT=450&amp;WIDTH=450&amp;START_MAXIMIZED=FALS","E&amp;VAR:CALENDAR=US&amp;VAR:SYMBOL=HEP&amp;VAR:INDEX=0"}</definedName>
    <definedName name="_180__FDSAUDITLINK__" hidden="1">{"fdsup://IBCentral/FAT Viewer?action=UPDATE&amp;creator=factset&amp;DOC_NAME=fat:reuters_qtrly_source_window.fat&amp;display_string=Audit&amp;DYN_ARGS=TRUE&amp;VAR:ID1=87233Q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1__FDSAUDITLINK__" hidden="1">{"fdsup://IBCentral/FAT Viewer?action=UPDATE&amp;creator=factset&amp;DOC_NAME=fat:reuters_qtrly_source_window.fat&amp;display_string=Audit&amp;DYN_ARGS=TRUE&amp;VAR:ID1=03097510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2__FDSAUDITLINK__" hidden="1">{"fdsup://IBCentral/FAT Viewer?action=UPDATE&amp;creator=factset&amp;DOC_NAME=fat:reuters_qtrly_source_window.fat&amp;display_string=Audit&amp;DYN_ARGS=TRUE&amp;VAR:ID1=92924F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3__FDSAUDITLINK__" hidden="1">{"fdsup://IBCentral/FAT Viewer?action=UPDATE&amp;creator=factset&amp;DOC_NAME=fat:reuters_qtrly_source_window.fat&amp;display_string=Audit&amp;DYN_ARGS=TRUE&amp;VAR:ID1=92240G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4__FDSAUDITLINK__" hidden="1">{"fdsup://IBCentral/FAT Viewer?action=UPDATE&amp;creator=factset&amp;DOC_NAME=fat:reuters_qtrly_source_window.fat&amp;display_string=Audit&amp;DYN_ARGS=TRUE&amp;VAR:ID1=83851810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5__FDSAUDITLINK__" hidden="1">{"fdsup://IBCentral/FAT Viewer?action=UPDATE&amp;creator=factset&amp;DOC_NAME=fat:reuters_qtrly_source_window.fat&amp;display_string=Audit&amp;DYN_ARGS=TRUE&amp;VAR:ID1=72018610&amp;VAR:RCODE=DSTT&amp;VAR:SDATE=20090199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6__FDSAUDITLINK__" hidden="1">{"fdsup://IBCentral/FAT Viewer?action=UPDATE&amp;creator=factset&amp;DOC_NAME=fat:reuters_qtrly_source_window.fat&amp;display_string=Audit&amp;DYN_ARGS=TRUE&amp;VAR:ID1=66765510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7__FDSAUDITLINK__" hidden="1">{"fdsup://IBCentral/FAT Viewer?action=UPDATE&amp;creator=factset&amp;DOC_NAME=fat:reuters_qtrly_source_window.fat&amp;display_string=Audit&amp;DYN_ARGS=TRUE&amp;VAR:ID1=65408610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8__FDSAUDITLINK__" hidden="1">{"fdsup://IBCentral/FAT Viewer?action=UPDATE&amp;creator=factset&amp;DOC_NAME=fat:reuters_qtrly_source_window.fat&amp;display_string=Audit&amp;DYN_ARGS=TRUE&amp;VAR:ID1=64602510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89__FDSAUDITLINK__" hidden="1">{"fdsup://IBCentral/FAT Viewer?action=UPDATE&amp;creator=factset&amp;DOC_NAME=fat:reuters_qtrly_source_window.fat&amp;display_string=Audit&amp;DYN_ARGS=TRUE&amp;VAR:ID1=50559710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9__FDSAUDITLINK__" hidden="1">{"fdsup://directions/FAT Viewer?action=UPDATE&amp;creator=factset&amp;DYN_ARGS=TRUE&amp;DOC_NAME=FAT:FQL_AUDITING_CLIENT_TEMPLATE.FAT&amp;display_string=Audit&amp;VAR:KEY=VUDSHWRYRO&amp;VAR:QUERY=RkZfREVCVChBTk4sMjAwOSk=&amp;WINDOW=FIRST_POPUP&amp;HEIGHT=450&amp;WIDTH=450&amp;START_MAXIMIZED=FALS","E&amp;VAR:CALENDAR=US&amp;VAR:SYMBOL=HEP&amp;VAR:INDEX=0"}</definedName>
    <definedName name="_190__FDSAUDITLINK__" hidden="1">{"fdsup://IBCentral/FAT Viewer?action=UPDATE&amp;creator=factset&amp;DOC_NAME=fat:reuters_qtrly_source_window.fat&amp;display_string=Audit&amp;DYN_ARGS=TRUE&amp;VAR:ID1=45822P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91__FDSAUDITLINK__" hidden="1">{"fdsup://IBCentral/FAT Viewer?action=UPDATE&amp;creator=factset&amp;DOC_NAME=fat:reuters_qtrly_source_window.fat&amp;display_string=Audit&amp;DYN_ARGS=TRUE&amp;VAR:ID1=04956010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92__FDSAUDITLINK__" hidden="1">{"fdsup://IBCentral/FAT Viewer?action=UPDATE&amp;creator=factset&amp;DOC_NAME=fat:reuters_qtrly_source_window.fat&amp;display_string=Audit&amp;DYN_ARGS=TRUE&amp;VAR:ID1=81685110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93__FDSAUDITLINK__" hidden="1">{"fdsup://IBCentral/FAT Viewer?action=UPDATE&amp;creator=factset&amp;DOC_NAME=fat:reuters_qtrly_source_window.fat&amp;display_string=Audit&amp;DYN_ARGS=TRUE&amp;VAR:ID1=26884L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194__FDSAUDITLINK__" hidden="1">{"fdsup://IBCentral/FAT Viewer?action=UPDATE&amp;creator=factset&amp;DOC_NAME=fat:reuters_qtrly_source_window.fat&amp;display_string=Audit&amp;DYN_ARGS=TRUE&amp;VAR:ID1=211850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95__FDSAUDITLINK__" hidden="1">{"fdsup://IBCentral/FAT Viewer?action=UPDATE&amp;creator=factset&amp;DOC_NAME=fat:reuters_qtrly_source_window.fat&amp;display_string=Audit&amp;DYN_ARGS=TRUE&amp;VAR:ID1=231909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96__FDSAUDITLINK__" hidden="1">{"fdsup://IBCentral/FAT Viewer?action=UPDATE&amp;creator=factset&amp;DOC_NAME=fat:reuters_qtrly_source_window.fat&amp;display_string=Audit&amp;DYN_ARGS=TRUE&amp;VAR:ID1=213950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97__FDSAUDITLINK__" hidden="1">{"fdsup://IBCentral/FAT Viewer?action=UPDATE&amp;creator=factset&amp;DOC_NAME=fat:reuters_qtrly_source_window.fat&amp;display_string=Audit&amp;DYN_ARGS=TRUE&amp;VAR:ID1=236241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98__FDSAUDITLINK__" hidden="1">{"fdsup://IBCentral/FAT Viewer?action=UPDATE&amp;creator=factset&amp;DOC_NAME=fat:reuters_qtrly_source_window.fat&amp;display_string=Audit&amp;DYN_ARGS=TRUE&amp;VAR:ID1=266518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199__FDSAUDITLINK__" hidden="1">{"fdsup://IBCentral/FAT Viewer?action=UPDATE&amp;creator=factset&amp;DOC_NAME=fat:reuters_qtrly_source_window.fat&amp;display_string=Audit&amp;DYN_ARGS=TRUE&amp;VAR:ID1=246614&amp;VAR:RCODE=DSTT&amp;VAR:SDATE=20090399&amp;VAR:FREQ=Quarterly&amp;VAR:RELITEM=NOAUDIT&amp;VAR:CURRENCY=&amp;VAR:CURRSOURCE","=EXSHARE&amp;VAR:NATFREQ=QUARTERLY&amp;VAR:RFIELD=FINALIZED&amp;VAR:DB_TYPE=&amp;VAR:UNITS=M&amp;window=popup&amp;width=450&amp;height=300&amp;START_MAXIMIZED=FALSE"}</definedName>
    <definedName name="_2__FDSAUDITLINK__" hidden="1">{"fdsup://directions/FAT Viewer?action=UPDATE&amp;creator=factset&amp;DYN_ARGS=TRUE&amp;DOC_NAME=FAT:FQL_AUDITING_CLIENT_TEMPLATE.FAT&amp;display_string=Audit&amp;VAR:KEY=TCRCXCFGVI&amp;VAR:QUERY=RkZfREVCVChBTk4sMjAwOSk=&amp;WINDOW=FIRST_POPUP&amp;HEIGHT=450&amp;WIDTH=450&amp;START_MAXIMIZED=FALS","E&amp;VAR:CALENDAR=US&amp;VAR:SYMBOL=EROC&amp;VAR:INDEX=0"}</definedName>
    <definedName name="_20__FDSAUDITLINK__" hidden="1">{"fdsup://directions/FAT Viewer?action=UPDATE&amp;creator=factset&amp;DYN_ARGS=TRUE&amp;DOC_NAME=FAT:FQL_AUDITING_CLIENT_TEMPLATE.FAT&amp;display_string=Audit&amp;VAR:KEY=VUDSHWRYRO&amp;VAR:QUERY=RkZfREVCVChBTk4sMjAwOSk=&amp;WINDOW=FIRST_POPUP&amp;HEIGHT=450&amp;WIDTH=450&amp;START_MAXIMIZED=FALS","E&amp;VAR:CALENDAR=US&amp;VAR:SYMBOL=HEP&amp;VAR:INDEX=0"}</definedName>
    <definedName name="_200__FDSAUDITLINK__" hidden="1">{"fdsup://IBCentral/FAT Viewer?action=UPDATE&amp;creator=factset&amp;DOC_NAME=fat:reuters_qtrly_source_window.fat&amp;display_string=Audit&amp;DYN_ARGS=TRUE&amp;VAR:ID1=16411R20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1__FDSAUDITLINK__" hidden="1">{"fdsup://IBCentral/FAT Viewer?action=UPDATE&amp;creator=factset&amp;DOC_NAME=fat:reuters_qtrly_source_window.fat&amp;display_string=Audit&amp;DYN_ARGS=TRUE&amp;VAR:ID1=90268110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2__FDSAUDITLINK__" hidden="1">{"fdsup://IBCentral/FAT Viewer?action=UPDATE&amp;creator=factset&amp;DOC_NAME=fat:reuters_qtrly_source_window.fat&amp;display_string=Audit&amp;DYN_ARGS=TRUE&amp;VAR:ID1=65473P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3__FDSAUDITLINK__" hidden="1">{"fdsup://IBCentral/FAT Viewer?action=UPDATE&amp;creator=factset&amp;DOC_NAME=fat:reuters_qtrly_source_window.fat&amp;display_string=Audit&amp;DYN_ARGS=TRUE&amp;VAR:ID1=15189T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4__FDSAUDITLINK__" hidden="1">{"fdsup://IBCentral/FAT Viewer?action=UPDATE&amp;creator=factset&amp;DOC_NAME=fat:reuters_qtrly_source_window.fat&amp;display_string=Audit&amp;DYN_ARGS=TRUE&amp;VAR:ID1=00120410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5__FDSAUDITLINK__" hidden="1">{"fdsup://IBCentral/FAT Viewer?action=UPDATE&amp;creator=factset&amp;DOC_NAME=fat:reuters_qtrly_source_window.fat&amp;display_string=Audit&amp;DYN_ARGS=TRUE&amp;VAR:ID1=96945710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6__FDSAUDITLINK__" hidden="1">{"fdsup://IBCentral/FAT Viewer?action=UPDATE&amp;creator=factset&amp;DOC_NAME=fat:reuters_qtrly_source_window.fat&amp;display_string=Audit&amp;DYN_ARGS=TRUE&amp;VAR:ID1=84756010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7__FDSAUDITLINK__" hidden="1">{"fdsup://IBCentral/FAT Viewer?action=UPDATE&amp;creator=factset&amp;DOC_NAME=fat:reuters_qtrly_source_window.fat&amp;display_string=Audit&amp;DYN_ARGS=TRUE&amp;VAR:ID1=84403010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8__FDSAUDITLINK__" hidden="1">{"fdsup://IBCentral/FAT Viewer?action=UPDATE&amp;creator=factset&amp;DOC_NAME=fat:reuters_qtrly_source_window.fat&amp;display_string=Audit&amp;DYN_ARGS=TRUE&amp;VAR:ID1=74835610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09__FDSAUDITLINK__" hidden="1">{"fdsup://IBCentral/FAT Viewer?action=UPDATE&amp;creator=factset&amp;DOC_NAME=fat:reuters_qtrly_source_window.fat&amp;display_string=Audit&amp;DYN_ARGS=TRUE&amp;VAR:ID1=68268010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1__FDSAUDITLINK__" hidden="1">{"fdsup://directions/FAT Viewer?action=UPDATE&amp;creator=factset&amp;DYN_ARGS=TRUE&amp;DOC_NAME=FAT:FQL_AUDITING_CLIENT_TEMPLATE.FAT&amp;display_string=Audit&amp;VAR:KEY=VUDSHWRYRO&amp;VAR:QUERY=RkZfREVCVChBTk4sMjAwOSk=&amp;WINDOW=FIRST_POPUP&amp;HEIGHT=450&amp;WIDTH=450&amp;START_MAXIMIZED=FALS","E&amp;VAR:CALENDAR=US&amp;VAR:SYMBOL=HEP&amp;VAR:INDEX=0"}</definedName>
    <definedName name="_210__FDSAUDITLINK__" hidden="1">{"fdsup://IBCentral/FAT Viewer?action=UPDATE&amp;creator=factset&amp;DOC_NAME=fat:reuters_qtrly_source_window.fat&amp;display_string=Audit&amp;DYN_ARGS=TRUE&amp;VAR:ID1=63618010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11__FDSAUDITLINK__" hidden="1">{"fdsup://IBCentral/FAT Viewer?action=UPDATE&amp;creator=factset&amp;DOC_NAME=fat:reuters_qtrly_source_window.fat&amp;display_string=Audit&amp;DYN_ARGS=TRUE&amp;VAR:ID1=29265N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12__FDSAUDITLINK__" hidden="1">{"fdsup://IBCentral/FAT Viewer?action=UPDATE&amp;creator=factset&amp;DOC_NAME=fat:reuters_qtrly_source_window.fat&amp;display_string=Audit&amp;DYN_ARGS=TRUE&amp;VAR:ID1=28336L10&amp;VAR:RCODE=DSTT&amp;VAR:SDATE=20090399&amp;VAR:FREQ=Quarterly&amp;VAR:RELITEM=NOAUDIT&amp;VAR:CURRENCY=&amp;VAR:CURRSOUR","CE=EXSHARE&amp;VAR:NATFREQ=QUARTERLY&amp;VAR:RFIELD=FINALIZED&amp;VAR:DB_TYPE=&amp;VAR:UNITS=M&amp;window=popup&amp;width=450&amp;height=300&amp;START_MAXIMIZED=FALSE"}</definedName>
    <definedName name="_213__FDSAUDITLINK__" hidden="1">{"fdsup://IBCentral/FAT Viewer?action=UPDATE&amp;creator=factset&amp;DOC_NAME=fat:reuters_qtrly_source_window.fat&amp;display_string=Audit&amp;DYN_ARGS=TRUE&amp;VAR:ID1=284925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14__FDSAUDITLINK__" hidden="1">{"fdsup://IBCentral/FAT Viewer?action=UPDATE&amp;creator=factset&amp;DOC_NAME=fat:reuters_qtrly_source_window.fat&amp;display_string=Audit&amp;DYN_ARGS=TRUE&amp;VAR:ID1=284925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15__FDSAUDITLINK__" hidden="1">{"fdsup://IBCentral/FAT Viewer?action=UPDATE&amp;creator=factset&amp;DOC_NAME=fat:reuters_qtrly_source_window.fat&amp;display_string=Audit&amp;DYN_ARGS=TRUE&amp;VAR:ID1=284925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16__FDSAUDITLINK__" hidden="1">{"fdsup://IBCentral/FAT Viewer?action=UPDATE&amp;creator=factset&amp;DOC_NAME=fat:reuters_qtrly_source_window.fat&amp;display_string=Audit&amp;DYN_ARGS=TRUE&amp;VAR:ID1=284925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17__FDSAUDITLINK__" hidden="1">{"fdsup://IBCentral/FAT Viewer?action=UPDATE&amp;creator=factset&amp;DOC_NAME=fat:reuters_qtrly_source_window.fat&amp;display_string=Audit&amp;DYN_ARGS=TRUE&amp;VAR:ID1=B046P4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218__FDSAUDITLINK__" hidden="1">{"fdsup://IBCentral/FAT Viewer?action=UPDATE&amp;creator=factset&amp;DOC_NAME=fat:reuters_qtrly_source_window.fat&amp;display_string=Audit&amp;DYN_ARGS=TRUE&amp;VAR:ID1=B046P4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219__FDSAUDITLINK__" hidden="1">{"fdsup://IBCentral/FAT Viewer?action=UPDATE&amp;creator=factset&amp;DOC_NAME=fat:reuters_qtrly_source_window.fat&amp;display_string=Audit&amp;DYN_ARGS=TRUE&amp;VAR:ID1=B046P4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__FDSAUDITLINK__" hidden="1">{"fdsup://directions/FAT Viewer?action=UPDATE&amp;creator=factset&amp;DYN_ARGS=TRUE&amp;DOC_NAME=FAT:FQL_AUDITING_CLIENT_TEMPLATE.FAT&amp;display_string=Audit&amp;VAR:KEY=VUDSHWRYRO&amp;VAR:QUERY=RkZfREVCVChBTk4sMjAwOSk=&amp;WINDOW=FIRST_POPUP&amp;HEIGHT=450&amp;WIDTH=450&amp;START_MAXIMIZED=FALS","E&amp;VAR:CALENDAR=US&amp;VAR:SYMBOL=HEP&amp;VAR:INDEX=0"}</definedName>
    <definedName name="_220__FDSAUDITLINK__" hidden="1">{"fdsup://IBCentral/FAT Viewer?action=UPDATE&amp;creator=factset&amp;DOC_NAME=fat:reuters_qtrly_source_window.fat&amp;display_string=Audit&amp;DYN_ARGS=TRUE&amp;VAR:ID1=B046P4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1__FDSAUDITLINK__" hidden="1">{"fdsup://IBCentral/FAT Viewer?action=UPDATE&amp;creator=factset&amp;DOC_NAME=fat:reuters_qtrly_source_window.fat&amp;display_string=Audit&amp;DYN_ARGS=TRUE&amp;VAR:ID1=B046P4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2__FDSAUDITLINK__" hidden="1">{"fdsup://IBCentral/FAT Viewer?action=UPDATE&amp;creator=factset&amp;DOC_NAME=fat:reuters_qtrly_source_window.fat&amp;display_string=Audit&amp;DYN_ARGS=TRUE&amp;VAR:ID1=B046P4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3__FDSAUDITLINK__" hidden="1">{"fdsup://IBCentral/FAT Viewer?action=UPDATE&amp;creator=factset&amp;DOC_NAME=fat:reuters_qtrly_source_window.fat&amp;display_string=Audit&amp;DYN_ARGS=TRUE&amp;VAR:ID1=B046P4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4__FDSAUDITLINK__" hidden="1">{"fdsup://IBCentral/FAT Viewer?action=UPDATE&amp;creator=factset&amp;DOC_NAME=fat:reuters_qtrly_source_window.fat&amp;display_string=Audit&amp;DYN_ARGS=TRUE&amp;VAR:ID1=B046P4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5__FDSAUDITLINK__" hidden="1">{"fdsup://IBCentral/FAT Viewer?action=UPDATE&amp;creator=factset&amp;DOC_NAME=fat:reuters_qtrly_source_window.fat&amp;display_string=Audit&amp;DYN_ARGS=TRUE&amp;VAR:ID1=213615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226__FDSAUDITLINK__" hidden="1">{"fdsup://IBCentral/FAT Viewer?action=UPDATE&amp;creator=factset&amp;DOC_NAME=fat:reuters_qtrly_source_window.fat&amp;display_string=Audit&amp;DYN_ARGS=TRUE&amp;VAR:ID1=213615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227__FDSAUDITLINK__" hidden="1">{"fdsup://IBCentral/FAT Viewer?action=UPDATE&amp;creator=factset&amp;DOC_NAME=fat:reuters_qtrly_source_window.fat&amp;display_string=Audit&amp;DYN_ARGS=TRUE&amp;VAR:ID1=213615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8__FDSAUDITLINK__" hidden="1">{"fdsup://IBCentral/FAT Viewer?action=UPDATE&amp;creator=factset&amp;DOC_NAME=fat:reuters_qtrly_source_window.fat&amp;display_string=Audit&amp;DYN_ARGS=TRUE&amp;VAR:ID1=213615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29__FDSAUDITLINK__" hidden="1">{"fdsup://IBCentral/FAT Viewer?action=UPDATE&amp;creator=factset&amp;DOC_NAME=fat:reuters_qtrly_source_window.fat&amp;display_string=Audit&amp;DYN_ARGS=TRUE&amp;VAR:ID1=213615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3__FDSAUDITLINK__" hidden="1">{"fdsup://directions/FAT%20Viewer?VAR:PED=20071231&amp;VAR:PERIOD=FIXED&amp;VAR:V=6.031065&amp;VAR:PCT=N&amp;VAR:AUDIT_ID=71692910&amp;VAR:DATE=20100706&amp;action=UPDATE&amp;creator=factset&amp;DOC_NAME=FAT:FMA_audit_DETAIL.fat&amp;DISPLAY_STRING=Display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30__FDSAUDITLINK__" hidden="1">{"fdsup://IBCentral/FAT Viewer?action=UPDATE&amp;creator=factset&amp;DOC_NAME=fat:reuters_qtrly_source_window.fat&amp;display_string=Audit&amp;DYN_ARGS=TRUE&amp;VAR:ID1=213615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31__FDSAUDITLINK__" hidden="1">{"fdsup://IBCentral/FAT Viewer?action=UPDATE&amp;creator=factset&amp;DOC_NAME=fat:reuters_qtrly_source_window.fat&amp;display_string=Audit&amp;DYN_ARGS=TRUE&amp;VAR:ID1=213615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32__FDSAUDITLINK__" hidden="1">{"fdsup://IBCentral/FAT Viewer?action=UPDATE&amp;creator=factset&amp;DOC_NAME=fat:reuters_qtrly_source_window.fat&amp;display_string=Audit&amp;DYN_ARGS=TRUE&amp;VAR:ID1=213615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233__FDSAUDITLINK__" hidden="1">{"fdsup://IBCentral/FAT Viewer?action=UPDATE&amp;creator=factset&amp;DOC_NAME=fat:reuters_qtrly_source_window.fat&amp;display_string=Audit&amp;DYN_ARGS=TRUE&amp;VAR:ID1=98389B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34__FDSAUDITLINK__" hidden="1">{"fdsup://IBCentral/FAT Viewer?action=UPDATE&amp;creator=factset&amp;DOC_NAME=fat:reuters_qtrly_source_window.fat&amp;display_string=Audit&amp;DYN_ARGS=TRUE&amp;VAR:ID1=98389B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35__FDSAUDITLINK__" hidden="1">{"fdsup://IBCentral/FAT Viewer?action=UPDATE&amp;creator=factset&amp;DOC_NAME=fat:reuters_qtrly_source_window.fat&amp;display_string=Audit&amp;DYN_ARGS=TRUE&amp;VAR:ID1=98389B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36__FDSAUDITLINK__" hidden="1">{"fdsup://IBCentral/FAT Viewer?action=UPDATE&amp;creator=factset&amp;DOC_NAME=fat:reuters_qtrly_source_window.fat&amp;display_string=Audit&amp;DYN_ARGS=TRUE&amp;VAR:ID1=98389B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37__FDSAUDITLINK__" hidden="1">{"fdsup://IBCentral/FAT Viewer?action=UPDATE&amp;creator=factset&amp;DOC_NAME=fat:reuters_qtrly_source_window.fat&amp;display_string=Audit&amp;DYN_ARGS=TRUE&amp;VAR:ID1=98389B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38__FDSAUDITLINK__" hidden="1">{"fdsup://IBCentral/FAT Viewer?action=UPDATE&amp;creator=factset&amp;DOC_NAME=fat:reuters_qtrly_source_window.fat&amp;display_string=Audit&amp;DYN_ARGS=TRUE&amp;VAR:ID1=98389B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39__FDSAUDITLINK__" hidden="1">{"fdsup://IBCentral/FAT Viewer?action=UPDATE&amp;creator=factset&amp;DOC_NAME=fat:reuters_qtrly_source_window.fat&amp;display_string=Audit&amp;DYN_ARGS=TRUE&amp;VAR:ID1=98389B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__FDSAUDITLINK__" hidden="1">{"fdsup://directions/FAT%20Viewer?VAR:PED=20071231&amp;VAR:PERIOD=FIXED&amp;VAR:V=10.466925&amp;VAR:PCT=N&amp;VAR:AUDIT_ID=00000117&amp;VAR:DATE=20100706&amp;action=UPDATE&amp;creator=factset&amp;DOC_NAME=FAT:FMA_audit_DETAIL.fat&amp;DISPLAY_STRING=Display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40__FDSAUDITLINK__" hidden="1">{"fdsup://IBCentral/FAT Viewer?action=UPDATE&amp;creator=factset&amp;DOC_NAME=fat:reuters_qtrly_source_window.fat&amp;display_string=Audit&amp;DYN_ARGS=TRUE&amp;VAR:ID1=98389B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1__FDSAUDITLINK__" hidden="1">{"fdsup://IBCentral/FAT Viewer?action=UPDATE&amp;creator=factset&amp;DOC_NAME=fat:reuters_qtrly_source_window.fat&amp;display_string=Audit&amp;DYN_ARGS=TRUE&amp;VAR:ID1=84258710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42__FDSAUDITLINK__" hidden="1">{"fdsup://IBCentral/FAT Viewer?action=UPDATE&amp;creator=factset&amp;DOC_NAME=fat:reuters_qtrly_source_window.fat&amp;display_string=Audit&amp;DYN_ARGS=TRUE&amp;VAR:ID1=84258710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43__FDSAUDITLINK__" hidden="1">{"fdsup://IBCentral/FAT Viewer?action=UPDATE&amp;creator=factset&amp;DOC_NAME=fat:reuters_qtrly_source_window.fat&amp;display_string=Audit&amp;DYN_ARGS=TRUE&amp;VAR:ID1=84258710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4__FDSAUDITLINK__" hidden="1">{"fdsup://IBCentral/FAT Viewer?action=UPDATE&amp;creator=factset&amp;DOC_NAME=fat:reuters_qtrly_source_window.fat&amp;display_string=Audit&amp;DYN_ARGS=TRUE&amp;VAR:ID1=84258710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5__FDSAUDITLINK__" hidden="1">{"fdsup://IBCentral/FAT Viewer?action=UPDATE&amp;creator=factset&amp;DOC_NAME=fat:reuters_qtrly_source_window.fat&amp;display_string=Audit&amp;DYN_ARGS=TRUE&amp;VAR:ID1=84258710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6__FDSAUDITLINK__" hidden="1">{"fdsup://IBCentral/FAT Viewer?action=UPDATE&amp;creator=factset&amp;DOC_NAME=fat:reuters_qtrly_source_window.fat&amp;display_string=Audit&amp;DYN_ARGS=TRUE&amp;VAR:ID1=84258710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7__FDSAUDITLINK__" hidden="1">{"fdsup://IBCentral/FAT Viewer?action=UPDATE&amp;creator=factset&amp;DOC_NAME=fat:reuters_qtrly_source_window.fat&amp;display_string=Audit&amp;DYN_ARGS=TRUE&amp;VAR:ID1=84258710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8__FDSAUDITLINK__" hidden="1">{"fdsup://IBCentral/FAT Viewer?action=UPDATE&amp;creator=factset&amp;DOC_NAME=fat:reuters_qtrly_source_window.fat&amp;display_string=Audit&amp;DYN_ARGS=TRUE&amp;VAR:ID1=84258710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49__FDSAUDITLINK__" hidden="1">{"fdsup://IBCentral/FAT Viewer?action=UPDATE&amp;creator=factset&amp;DOC_NAME=fat:reuters_qtrly_source_window.fat&amp;display_string=Audit&amp;DYN_ARGS=TRUE&amp;VAR:ID1=74326310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5__FDSAUDITLINK__" hidden="1">{"fdsup://directions/FAT%20Viewer?VAR:PED=20071231&amp;VAR:PERIOD=FIXED&amp;VAR:V=5.602277&amp;VAR:PCT=N&amp;VAR:AUDIT_ID=71692910&amp;VAR:DATE=20100804&amp;action=UPDATE&amp;creator=factset&amp;DOC_NAME=FAT:FMA_audit_DETAIL.fat&amp;DISPLAY_STRING=Display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50__FDSAUDITLINK__" hidden="1">{"fdsup://IBCentral/FAT Viewer?action=UPDATE&amp;creator=factset&amp;DOC_NAME=fat:reuters_qtrly_source_window.fat&amp;display_string=Audit&amp;DYN_ARGS=TRUE&amp;VAR:ID1=74326310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51__FDSAUDITLINK__" hidden="1">{"fdsup://IBCentral/FAT Viewer?action=UPDATE&amp;creator=factset&amp;DOC_NAME=fat:reuters_qtrly_source_window.fat&amp;display_string=Audit&amp;DYN_ARGS=TRUE&amp;VAR:ID1=74326310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2__FDSAUDITLINK__" hidden="1">{"fdsup://IBCentral/FAT Viewer?action=UPDATE&amp;creator=factset&amp;DOC_NAME=fat:reuters_qtrly_source_window.fat&amp;display_string=Audit&amp;DYN_ARGS=TRUE&amp;VAR:ID1=74326310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3__FDSAUDITLINK__" hidden="1">{"fdsup://IBCentral/FAT Viewer?action=UPDATE&amp;creator=factset&amp;DOC_NAME=fat:reuters_qtrly_source_window.fat&amp;display_string=Audit&amp;DYN_ARGS=TRUE&amp;VAR:ID1=74326310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4__FDSAUDITLINK__" hidden="1">{"fdsup://IBCentral/FAT Viewer?action=UPDATE&amp;creator=factset&amp;DOC_NAME=fat:reuters_qtrly_source_window.fat&amp;display_string=Audit&amp;DYN_ARGS=TRUE&amp;VAR:ID1=74326310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5__FDSAUDITLINK__" hidden="1">{"fdsup://IBCentral/FAT Viewer?action=UPDATE&amp;creator=factset&amp;DOC_NAME=fat:reuters_qtrly_source_window.fat&amp;display_string=Audit&amp;DYN_ARGS=TRUE&amp;VAR:ID1=74326310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6__FDSAUDITLINK__" hidden="1">{"fdsup://IBCentral/FAT Viewer?action=UPDATE&amp;creator=factset&amp;DOC_NAME=fat:reuters_qtrly_source_window.fat&amp;display_string=Audit&amp;DYN_ARGS=TRUE&amp;VAR:ID1=74326310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57__FDSAUDITLINK__" hidden="1">{"fdsup://IBCentral/FAT Viewer?action=UPDATE&amp;creator=factset&amp;DOC_NAME=fat:reuters_qtrly_source_window.fat&amp;display_string=Audit&amp;DYN_ARGS=TRUE&amp;VAR:ID1=69331C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58__FDSAUDITLINK__" hidden="1">{"fdsup://IBCentral/FAT Viewer?action=UPDATE&amp;creator=factset&amp;DOC_NAME=fat:reuters_qtrly_source_window.fat&amp;display_string=Audit&amp;DYN_ARGS=TRUE&amp;VAR:ID1=69331C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59__FDSAUDITLINK__" hidden="1">{"fdsup://IBCentral/FAT Viewer?action=UPDATE&amp;creator=factset&amp;DOC_NAME=fat:reuters_qtrly_source_window.fat&amp;display_string=Audit&amp;DYN_ARGS=TRUE&amp;VAR:ID1=69331C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__FDSAUDITLINK__" hidden="1">{"fdsup://directions/FAT%20Viewer?VAR:PED=20071231&amp;VAR:PERIOD=FIXED&amp;VAR:V=10.555395&amp;VAR:PCT=N&amp;VAR:AUDIT_ID=00000117&amp;VAR:DATE=20100804&amp;action=UPDATE&amp;creator=factset&amp;DOC_NAME=FAT:FMA_audit_DETAIL.fat&amp;DISPLAY_STRING=Display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60__FDSAUDITLINK__" hidden="1">{"fdsup://IBCentral/FAT Viewer?action=UPDATE&amp;creator=factset&amp;DOC_NAME=fat:reuters_qtrly_source_window.fat&amp;display_string=Audit&amp;DYN_ARGS=TRUE&amp;VAR:ID1=69331C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1__FDSAUDITLINK__" hidden="1">{"fdsup://IBCentral/FAT Viewer?action=UPDATE&amp;creator=factset&amp;DOC_NAME=fat:reuters_qtrly_source_window.fat&amp;display_string=Audit&amp;DYN_ARGS=TRUE&amp;VAR:ID1=69331C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2__FDSAUDITLINK__" hidden="1">{"fdsup://IBCentral/FAT Viewer?action=UPDATE&amp;creator=factset&amp;DOC_NAME=fat:reuters_qtrly_source_window.fat&amp;display_string=Audit&amp;DYN_ARGS=TRUE&amp;VAR:ID1=69331C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3__FDSAUDITLINK__" hidden="1">{"fdsup://IBCentral/FAT Viewer?action=UPDATE&amp;creator=factset&amp;DOC_NAME=fat:reuters_qtrly_source_window.fat&amp;display_string=Audit&amp;DYN_ARGS=TRUE&amp;VAR:ID1=69331C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4__FDSAUDITLINK__" hidden="1">{"fdsup://IBCentral/FAT Viewer?action=UPDATE&amp;creator=factset&amp;DOC_NAME=fat:reuters_qtrly_source_window.fat&amp;display_string=Audit&amp;DYN_ARGS=TRUE&amp;VAR:ID1=69331C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5__FDSAUDITLINK__" hidden="1">{"fdsup://IBCentral/FAT Viewer?action=UPDATE&amp;creator=factset&amp;DOC_NAME=fat:reuters_qtrly_source_window.fat&amp;display_string=Audit&amp;DYN_ARGS=TRUE&amp;VAR:ID1=20911510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66__FDSAUDITLINK__" hidden="1">{"fdsup://IBCentral/FAT Viewer?action=UPDATE&amp;creator=factset&amp;DOC_NAME=fat:reuters_qtrly_source_window.fat&amp;display_string=Audit&amp;DYN_ARGS=TRUE&amp;VAR:ID1=20911510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67__FDSAUDITLINK__" hidden="1">{"fdsup://IBCentral/FAT Viewer?action=UPDATE&amp;creator=factset&amp;DOC_NAME=fat:reuters_qtrly_source_window.fat&amp;display_string=Audit&amp;DYN_ARGS=TRUE&amp;VAR:ID1=20911510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8__FDSAUDITLINK__" hidden="1">{"fdsup://IBCentral/FAT Viewer?action=UPDATE&amp;creator=factset&amp;DOC_NAME=fat:reuters_qtrly_source_window.fat&amp;display_string=Audit&amp;DYN_ARGS=TRUE&amp;VAR:ID1=20911510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69__FDSAUDITLINK__" hidden="1">{"fdsup://IBCentral/FAT Viewer?action=UPDATE&amp;creator=factset&amp;DOC_NAME=fat:reuters_qtrly_source_window.fat&amp;display_string=Audit&amp;DYN_ARGS=TRUE&amp;VAR:ID1=20911510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__FDSAUDITLINK__" hidden="1">{"fdsup://directions/FAT%20Viewer?VAR:PED=20071231&amp;VAR:PERIOD=FIXED&amp;VAR:V=5.617591&amp;VAR:PCT=N&amp;VAR:AUDIT_ID=71692910&amp;VAR:DATE=20100817&amp;action=UPDATE&amp;creator=factset&amp;DOC_NAME=FAT:FMA_audit_DETAIL.fat&amp;DISPLAY_STRING=Display Audit for EPS LTG&amp;DYN_ARGS=TRUE&amp;WINDO","W=first_popup&amp;START_MAXIMIZED=FALSE&amp;width=910&amp;height=525&amp;TITLEBAR=FactSet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70__FDSAUDITLINK__" hidden="1">{"fdsup://IBCentral/FAT Viewer?action=UPDATE&amp;creator=factset&amp;DOC_NAME=fat:reuters_qtrly_source_window.fat&amp;display_string=Audit&amp;DYN_ARGS=TRUE&amp;VAR:ID1=20911510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1__FDSAUDITLINK__" hidden="1">{"fdsup://IBCentral/FAT Viewer?action=UPDATE&amp;creator=factset&amp;DOC_NAME=fat:reuters_qtrly_source_window.fat&amp;display_string=Audit&amp;DYN_ARGS=TRUE&amp;VAR:ID1=20911510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2__FDSAUDITLINK__" hidden="1">{"fdsup://IBCentral/FAT Viewer?action=UPDATE&amp;creator=factset&amp;DOC_NAME=fat:reuters_qtrly_source_window.fat&amp;display_string=Audit&amp;DYN_ARGS=TRUE&amp;VAR:ID1=20911510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3__FDSAUDITLINK__" hidden="1">{"fdsup://IBCentral/FAT Viewer?action=UPDATE&amp;creator=factset&amp;DOC_NAME=fat:reuters_qtrly_source_window.fat&amp;display_string=Audit&amp;DYN_ARGS=TRUE&amp;VAR:ID1=02360810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74__FDSAUDITLINK__" hidden="1">{"fdsup://IBCentral/FAT Viewer?action=UPDATE&amp;creator=factset&amp;DOC_NAME=fat:reuters_qtrly_source_window.fat&amp;display_string=Audit&amp;DYN_ARGS=TRUE&amp;VAR:ID1=02360810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75__FDSAUDITLINK__" hidden="1">{"fdsup://IBCentral/FAT Viewer?action=UPDATE&amp;creator=factset&amp;DOC_NAME=fat:reuters_qtrly_source_window.fat&amp;display_string=Audit&amp;DYN_ARGS=TRUE&amp;VAR:ID1=02360810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6__FDSAUDITLINK__" hidden="1">{"fdsup://IBCentral/FAT Viewer?action=UPDATE&amp;creator=factset&amp;DOC_NAME=fat:reuters_qtrly_source_window.fat&amp;display_string=Audit&amp;DYN_ARGS=TRUE&amp;VAR:ID1=02360810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7__FDSAUDITLINK__" hidden="1">{"fdsup://IBCentral/FAT Viewer?action=UPDATE&amp;creator=factset&amp;DOC_NAME=fat:reuters_qtrly_source_window.fat&amp;display_string=Audit&amp;DYN_ARGS=TRUE&amp;VAR:ID1=02360810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8__FDSAUDITLINK__" hidden="1">{"fdsup://IBCentral/FAT Viewer?action=UPDATE&amp;creator=factset&amp;DOC_NAME=fat:reuters_qtrly_source_window.fat&amp;display_string=Audit&amp;DYN_ARGS=TRUE&amp;VAR:ID1=02360810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79__FDSAUDITLINK__" hidden="1">{"fdsup://IBCentral/FAT Viewer?action=UPDATE&amp;creator=factset&amp;DOC_NAME=fat:reuters_qtrly_source_window.fat&amp;display_string=Audit&amp;DYN_ARGS=TRUE&amp;VAR:ID1=02360810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__FDSAUDITLINK__" hidden="1">{"fdsup://directions/FAT%20Viewer?VAR:PED=20071231&amp;VAR:PERIOD=FIXED&amp;VAR:V=10.494746&amp;VAR:PCT=N&amp;VAR:AUDIT_ID=00000117&amp;VAR:DATE=20100817&amp;action=UPDATE&amp;creator=factset&amp;DOC_NAME=FAT:FMA_audit_DETAIL.fat&amp;DISPLAY_STRING=Display Audit for EPS LTG&amp;DYN_ARGS=TRUE&amp;WIND","OW=first_popup&amp;START_MAXIMIZED=FALSE&amp;width=910&amp;height=525&amp;TITLEBAR=FactSet Market Aggregates&amp;VAR:MEASURE=LTG_EPS&amp;VAR:CALC_MODE=PORTFOLIO&amp;VAR:CHGPERIOD=NA&amp;VAR:FQLFORMULA=FMA_LTG_EPS&amp;VAR:CURRENCY=USD&amp;VAR:P=NA&amp;VAR:THRESH=||||&amp;VAR:null=.html"}</definedName>
    <definedName name="_280__FDSAUDITLINK__" hidden="1">{"fdsup://IBCentral/FAT Viewer?action=UPDATE&amp;creator=factset&amp;DOC_NAME=fat:reuters_qtrly_source_window.fat&amp;display_string=Audit&amp;DYN_ARGS=TRUE&amp;VAR:ID1=02360810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1__FDSAUDITLINK__" hidden="1">{"fdsup://IBCentral/FAT Viewer?action=UPDATE&amp;creator=factset&amp;DOC_NAME=fat:reuters_qtrly_source_window.fat&amp;display_string=Audit&amp;DYN_ARGS=TRUE&amp;VAR:ID1=26441C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82__FDSAUDITLINK__" hidden="1">{"fdsup://IBCentral/FAT Viewer?action=UPDATE&amp;creator=factset&amp;DOC_NAME=fat:reuters_qtrly_source_window.fat&amp;display_string=Audit&amp;DYN_ARGS=TRUE&amp;VAR:ID1=26441C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83__FDSAUDITLINK__" hidden="1">{"fdsup://IBCentral/FAT Viewer?action=UPDATE&amp;creator=factset&amp;DOC_NAME=fat:reuters_qtrly_source_window.fat&amp;display_string=Audit&amp;DYN_ARGS=TRUE&amp;VAR:ID1=26441C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4__FDSAUDITLINK__" hidden="1">{"fdsup://IBCentral/FAT Viewer?action=UPDATE&amp;creator=factset&amp;DOC_NAME=fat:reuters_qtrly_source_window.fat&amp;display_string=Audit&amp;DYN_ARGS=TRUE&amp;VAR:ID1=26441C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5__FDSAUDITLINK__" hidden="1">{"fdsup://IBCentral/FAT Viewer?action=UPDATE&amp;creator=factset&amp;DOC_NAME=fat:reuters_qtrly_source_window.fat&amp;display_string=Audit&amp;DYN_ARGS=TRUE&amp;VAR:ID1=26441C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6__FDSAUDITLINK__" hidden="1">{"fdsup://IBCentral/FAT Viewer?action=UPDATE&amp;creator=factset&amp;DOC_NAME=fat:reuters_qtrly_source_window.fat&amp;display_string=Audit&amp;DYN_ARGS=TRUE&amp;VAR:ID1=26441C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7__FDSAUDITLINK__" hidden="1">{"fdsup://IBCentral/FAT Viewer?action=UPDATE&amp;creator=factset&amp;DOC_NAME=fat:reuters_qtrly_source_window.fat&amp;display_string=Audit&amp;DYN_ARGS=TRUE&amp;VAR:ID1=26441C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8__FDSAUDITLINK__" hidden="1">{"fdsup://IBCentral/FAT Viewer?action=UPDATE&amp;creator=factset&amp;DOC_NAME=fat:reuters_qtrly_source_window.fat&amp;display_string=Audit&amp;DYN_ARGS=TRUE&amp;VAR:ID1=26441C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89__FDSAUDITLINK__" hidden="1">{"fdsup://IBCentral/FAT Viewer?action=UPDATE&amp;creator=factset&amp;DOC_NAME=fat:reuters_qtrly_source_window.fat&amp;display_string=Audit&amp;DYN_ARGS=TRUE&amp;VAR:ID1=25746U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9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290__FDSAUDITLINK__" hidden="1">{"fdsup://IBCentral/FAT Viewer?action=UPDATE&amp;creator=factset&amp;DOC_NAME=fat:reuters_qtrly_source_window.fat&amp;display_string=Audit&amp;DYN_ARGS=TRUE&amp;VAR:ID1=25746U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91__FDSAUDITLINK__" hidden="1">{"fdsup://IBCentral/FAT Viewer?action=UPDATE&amp;creator=factset&amp;DOC_NAME=fat:reuters_qtrly_source_window.fat&amp;display_string=Audit&amp;DYN_ARGS=TRUE&amp;VAR:ID1=25746U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92__FDSAUDITLINK__" hidden="1">{"fdsup://IBCentral/FAT Viewer?action=UPDATE&amp;creator=factset&amp;DOC_NAME=fat:reuters_qtrly_source_window.fat&amp;display_string=Audit&amp;DYN_ARGS=TRUE&amp;VAR:ID1=25746U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93__FDSAUDITLINK__" hidden="1">{"fdsup://IBCentral/FAT Viewer?action=UPDATE&amp;creator=factset&amp;DOC_NAME=fat:reuters_qtrly_source_window.fat&amp;display_string=Audit&amp;DYN_ARGS=TRUE&amp;VAR:ID1=25746U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94__FDSAUDITLINK__" hidden="1">{"fdsup://IBCentral/FAT Viewer?action=UPDATE&amp;creator=factset&amp;DOC_NAME=fat:reuters_qtrly_source_window.fat&amp;display_string=Audit&amp;DYN_ARGS=TRUE&amp;VAR:ID1=25746U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95__FDSAUDITLINK__" hidden="1">{"fdsup://IBCentral/FAT Viewer?action=UPDATE&amp;creator=factset&amp;DOC_NAME=fat:reuters_qtrly_source_window.fat&amp;display_string=Audit&amp;DYN_ARGS=TRUE&amp;VAR:ID1=25746U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96__FDSAUDITLINK__" hidden="1">{"fdsup://IBCentral/FAT Viewer?action=UPDATE&amp;creator=factset&amp;DOC_NAME=fat:reuters_qtrly_source_window.fat&amp;display_string=Audit&amp;DYN_ARGS=TRUE&amp;VAR:ID1=25746U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297__FDSAUDITLINK__" hidden="1">{"fdsup://IBCentral/FAT Viewer?action=UPDATE&amp;creator=factset&amp;DOC_NAME=fat:reuters_qtrly_source_window.fat&amp;display_string=Audit&amp;DYN_ARGS=TRUE&amp;VAR:ID1=02553710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298__FDSAUDITLINK__" hidden="1">{"fdsup://IBCentral/FAT Viewer?action=UPDATE&amp;creator=factset&amp;DOC_NAME=fat:reuters_qtrly_source_window.fat&amp;display_string=Audit&amp;DYN_ARGS=TRUE&amp;VAR:ID1=02553710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299__FDSAUDITLINK__" hidden="1">{"fdsup://IBCentral/FAT Viewer?action=UPDATE&amp;creator=factset&amp;DOC_NAME=fat:reuters_qtrly_source_window.fat&amp;display_string=Audit&amp;DYN_ARGS=TRUE&amp;VAR:ID1=02553710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__FDSAUDITLINK__" hidden="1">{"fdsup://directions/FAT Viewer?action=UPDATE&amp;creator=factset&amp;DYN_ARGS=TRUE&amp;DOC_NAME=FAT:FQL_AUDITING_CLIENT_TEMPLATE.FAT&amp;display_string=Audit&amp;VAR:KEY=TCRCXCFGVI&amp;VAR:QUERY=RkZfREVCVChBTk4sMjAwOSk=&amp;WINDOW=FIRST_POPUP&amp;HEIGHT=450&amp;WIDTH=450&amp;START_MAXIMIZED=FALS","E&amp;VAR:CALENDAR=US&amp;VAR:SYMBOL=EROC&amp;VAR:INDEX=0"}</definedName>
    <definedName name="_30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300__FDSAUDITLINK__" hidden="1">{"fdsup://IBCentral/FAT Viewer?action=UPDATE&amp;creator=factset&amp;DOC_NAME=fat:reuters_qtrly_source_window.fat&amp;display_string=Audit&amp;DYN_ARGS=TRUE&amp;VAR:ID1=02553710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1__FDSAUDITLINK__" hidden="1">{"fdsup://IBCentral/FAT Viewer?action=UPDATE&amp;creator=factset&amp;DOC_NAME=fat:reuters_qtrly_source_window.fat&amp;display_string=Audit&amp;DYN_ARGS=TRUE&amp;VAR:ID1=02553710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2__FDSAUDITLINK__" hidden="1">{"fdsup://IBCentral/FAT Viewer?action=UPDATE&amp;creator=factset&amp;DOC_NAME=fat:reuters_qtrly_source_window.fat&amp;display_string=Audit&amp;DYN_ARGS=TRUE&amp;VAR:ID1=02553710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3__FDSAUDITLINK__" hidden="1">{"fdsup://IBCentral/FAT Viewer?action=UPDATE&amp;creator=factset&amp;DOC_NAME=fat:reuters_qtrly_source_window.fat&amp;display_string=Audit&amp;DYN_ARGS=TRUE&amp;VAR:ID1=02553710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4__FDSAUDITLINK__" hidden="1">{"fdsup://IBCentral/FAT Viewer?action=UPDATE&amp;creator=factset&amp;DOC_NAME=fat:reuters_qtrly_source_window.fat&amp;display_string=Audit&amp;DYN_ARGS=TRUE&amp;VAR:ID1=02553710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5__FDSAUDITLINK__" hidden="1">{"fdsup://IBCentral/FAT Viewer?action=UPDATE&amp;creator=factset&amp;DOC_NAME=fat:reuters_qtrly_source_window.fat&amp;display_string=Audit&amp;DYN_ARGS=TRUE&amp;VAR:ID1=01736110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06__FDSAUDITLINK__" hidden="1">{"fdsup://IBCentral/FAT Viewer?action=UPDATE&amp;creator=factset&amp;DOC_NAME=fat:reuters_qtrly_source_window.fat&amp;display_string=Audit&amp;DYN_ARGS=TRUE&amp;VAR:ID1=01736110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07__FDSAUDITLINK__" hidden="1">{"fdsup://IBCentral/FAT Viewer?action=UPDATE&amp;creator=factset&amp;DOC_NAME=fat:reuters_qtrly_source_window.fat&amp;display_string=Audit&amp;DYN_ARGS=TRUE&amp;VAR:ID1=01736110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8__FDSAUDITLINK__" hidden="1">{"fdsup://IBCentral/FAT Viewer?action=UPDATE&amp;creator=factset&amp;DOC_NAME=fat:reuters_qtrly_source_window.fat&amp;display_string=Audit&amp;DYN_ARGS=TRUE&amp;VAR:ID1=01736110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09__FDSAUDITLINK__" hidden="1">{"fdsup://IBCentral/FAT Viewer?action=UPDATE&amp;creator=factset&amp;DOC_NAME=fat:reuters_qtrly_source_window.fat&amp;display_string=Audit&amp;DYN_ARGS=TRUE&amp;VAR:ID1=01736110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__FDSAUDITLINK__" hidden="1">{"fdsup://directions/FAT Viewer?action=UPDATE&amp;creator=factset&amp;DYN_ARGS=TRUE&amp;DOC_NAME=FAT:FQL_AUDITING_CLIENT_TEMPLATE.FAT&amp;display_string=Audit&amp;VAR:KEY=NETSDEDKXA&amp;VAR:QUERY=RkZfREVCVChBTk4sMjAwOSk=&amp;WINDOW=FIRST_POPUP&amp;HEIGHT=450&amp;WIDTH=450&amp;START_MAXIMIZED=FALS","E&amp;VAR:CALENDAR=US&amp;VAR:SYMBOL=TLLP&amp;VAR:INDEX=0"}</definedName>
    <definedName name="_310__FDSAUDITLINK__" hidden="1">{"fdsup://IBCentral/FAT Viewer?action=UPDATE&amp;creator=factset&amp;DOC_NAME=fat:reuters_qtrly_source_window.fat&amp;display_string=Audit&amp;DYN_ARGS=TRUE&amp;VAR:ID1=01736110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1__FDSAUDITLINK__" hidden="1">{"fdsup://IBCentral/FAT Viewer?action=UPDATE&amp;creator=factset&amp;DOC_NAME=fat:reuters_qtrly_source_window.fat&amp;display_string=Audit&amp;DYN_ARGS=TRUE&amp;VAR:ID1=01736110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2__FDSAUDITLINK__" hidden="1">{"fdsup://IBCentral/FAT Viewer?action=UPDATE&amp;creator=factset&amp;DOC_NAME=fat:reuters_qtrly_source_window.fat&amp;display_string=Audit&amp;DYN_ARGS=TRUE&amp;VAR:ID1=01736110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3__FDSAUDITLINK__" hidden="1">{"fdsup://IBCentral/FAT Viewer?action=UPDATE&amp;creator=factset&amp;DOC_NAME=fat:reuters_qtrly_source_window.fat&amp;display_string=Audit&amp;DYN_ARGS=TRUE&amp;VAR:ID1=09662710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14__FDSAUDITLINK__" hidden="1">{"fdsup://IBCentral/FAT Viewer?action=UPDATE&amp;creator=factset&amp;DOC_NAME=fat:reuters_qtrly_source_window.fat&amp;display_string=Audit&amp;DYN_ARGS=TRUE&amp;VAR:ID1=09662710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15__FDSAUDITLINK__" hidden="1">{"fdsup://IBCentral/FAT Viewer?action=UPDATE&amp;creator=factset&amp;DOC_NAME=fat:reuters_qtrly_source_window.fat&amp;display_string=Audit&amp;DYN_ARGS=TRUE&amp;VAR:ID1=09662710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6__FDSAUDITLINK__" hidden="1">{"fdsup://IBCentral/FAT Viewer?action=UPDATE&amp;creator=factset&amp;DOC_NAME=fat:reuters_qtrly_source_window.fat&amp;display_string=Audit&amp;DYN_ARGS=TRUE&amp;VAR:ID1=09662710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7__FDSAUDITLINK__" hidden="1">{"fdsup://IBCentral/FAT Viewer?action=UPDATE&amp;creator=factset&amp;DOC_NAME=fat:reuters_qtrly_source_window.fat&amp;display_string=Audit&amp;DYN_ARGS=TRUE&amp;VAR:ID1=09662710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8__FDSAUDITLINK__" hidden="1">{"fdsup://IBCentral/FAT Viewer?action=UPDATE&amp;creator=factset&amp;DOC_NAME=fat:reuters_qtrly_source_window.fat&amp;display_string=Audit&amp;DYN_ARGS=TRUE&amp;VAR:ID1=09662710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19__FDSAUDITLINK__" hidden="1">{"fdsup://IBCentral/FAT Viewer?action=UPDATE&amp;creator=factset&amp;DOC_NAME=fat:reuters_qtrly_source_window.fat&amp;display_string=Audit&amp;DYN_ARGS=TRUE&amp;VAR:ID1=09662710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__FDSAUDITLINK__" hidden="1">{"fdsup://directions/FAT Viewer?action=UPDATE&amp;creator=factset&amp;DYN_ARGS=TRUE&amp;DOC_NAME=FAT:FQL_AUDITING_CLIENT_TEMPLATE.FAT&amp;display_string=Audit&amp;VAR:KEY=NETSDEDKXA&amp;VAR:QUERY=RkZfREVCVChBTk4sMjAwOSk=&amp;WINDOW=FIRST_POPUP&amp;HEIGHT=450&amp;WIDTH=450&amp;START_MAXIMIZED=FALS","E&amp;VAR:CALENDAR=US&amp;VAR:SYMBOL=TLLP&amp;VAR:INDEX=0"}</definedName>
    <definedName name="_320__FDSAUDITLINK__" hidden="1">{"fdsup://IBCentral/FAT Viewer?action=UPDATE&amp;creator=factset&amp;DOC_NAME=fat:reuters_qtrly_source_window.fat&amp;display_string=Audit&amp;DYN_ARGS=TRUE&amp;VAR:ID1=09662710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1__FDSAUDITLINK__" hidden="1">{"fdsup://IBCentral/FAT Viewer?action=UPDATE&amp;creator=factset&amp;DOC_NAME=fat:reuters_qtrly_source_window.fat&amp;display_string=Audit&amp;DYN_ARGS=TRUE&amp;VAR:ID1=29379210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22__FDSAUDITLINK__" hidden="1">{"fdsup://IBCentral/FAT Viewer?action=UPDATE&amp;creator=factset&amp;DOC_NAME=fat:reuters_qtrly_source_window.fat&amp;display_string=Audit&amp;DYN_ARGS=TRUE&amp;VAR:ID1=29379210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23__FDSAUDITLINK__" hidden="1">{"fdsup://IBCentral/FAT Viewer?action=UPDATE&amp;creator=factset&amp;DOC_NAME=fat:reuters_qtrly_source_window.fat&amp;display_string=Audit&amp;DYN_ARGS=TRUE&amp;VAR:ID1=29379210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4__FDSAUDITLINK__" hidden="1">{"fdsup://IBCentral/FAT Viewer?action=UPDATE&amp;creator=factset&amp;DOC_NAME=fat:reuters_qtrly_source_window.fat&amp;display_string=Audit&amp;DYN_ARGS=TRUE&amp;VAR:ID1=29379210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5__FDSAUDITLINK__" hidden="1">{"fdsup://IBCentral/FAT Viewer?action=UPDATE&amp;creator=factset&amp;DOC_NAME=fat:reuters_qtrly_source_window.fat&amp;display_string=Audit&amp;DYN_ARGS=TRUE&amp;VAR:ID1=29379210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6__FDSAUDITLINK__" hidden="1">{"fdsup://IBCentral/FAT Viewer?action=UPDATE&amp;creator=factset&amp;DOC_NAME=fat:reuters_qtrly_source_window.fat&amp;display_string=Audit&amp;DYN_ARGS=TRUE&amp;VAR:ID1=29379210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7__FDSAUDITLINK__" hidden="1">{"fdsup://IBCentral/FAT Viewer?action=UPDATE&amp;creator=factset&amp;DOC_NAME=fat:reuters_qtrly_source_window.fat&amp;display_string=Audit&amp;DYN_ARGS=TRUE&amp;VAR:ID1=29379210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8__FDSAUDITLINK__" hidden="1">{"fdsup://IBCentral/FAT Viewer?action=UPDATE&amp;creator=factset&amp;DOC_NAME=fat:reuters_qtrly_source_window.fat&amp;display_string=Audit&amp;DYN_ARGS=TRUE&amp;VAR:ID1=29379210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29__FDSAUDITLINK__" hidden="1">{"fdsup://IBCentral/FAT Viewer?action=UPDATE&amp;creator=factset&amp;DOC_NAME=fat:reuters_qtrly_source_window.fat&amp;display_string=Audit&amp;DYN_ARGS=TRUE&amp;VAR:ID1=49455010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3__FDSAUDITLINK__" hidden="1">{"fdsup://directions/FAT Viewer?action=UPDATE&amp;creator=factset&amp;DYN_ARGS=TRUE&amp;DOC_NAME=FAT:FQL_AUDITING_CLIENT_TEMPLATE.FAT&amp;display_string=Audit&amp;VAR:KEY=NETSDEDKXA&amp;VAR:QUERY=RkZfREVCVChBTk4sMjAwOSk=&amp;WINDOW=FIRST_POPUP&amp;HEIGHT=450&amp;WIDTH=450&amp;START_MAXIMIZED=FALS","E&amp;VAR:CALENDAR=US&amp;VAR:SYMBOL=TLLP&amp;VAR:INDEX=0"}</definedName>
    <definedName name="_330__FDSAUDITLINK__" hidden="1">{"fdsup://IBCentral/FAT Viewer?action=UPDATE&amp;creator=factset&amp;DOC_NAME=fat:reuters_qtrly_source_window.fat&amp;display_string=Audit&amp;DYN_ARGS=TRUE&amp;VAR:ID1=49455010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31__FDSAUDITLINK__" hidden="1">{"fdsup://IBCentral/FAT Viewer?action=UPDATE&amp;creator=factset&amp;DOC_NAME=fat:reuters_qtrly_source_window.fat&amp;display_string=Audit&amp;DYN_ARGS=TRUE&amp;VAR:ID1=49455010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2__FDSAUDITLINK__" hidden="1">{"fdsup://IBCentral/FAT Viewer?action=UPDATE&amp;creator=factset&amp;DOC_NAME=fat:reuters_qtrly_source_window.fat&amp;display_string=Audit&amp;DYN_ARGS=TRUE&amp;VAR:ID1=49455010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3__FDSAUDITLINK__" hidden="1">{"fdsup://IBCentral/FAT Viewer?action=UPDATE&amp;creator=factset&amp;DOC_NAME=fat:reuters_qtrly_source_window.fat&amp;display_string=Audit&amp;DYN_ARGS=TRUE&amp;VAR:ID1=49455010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4__FDSAUDITLINK__" hidden="1">{"fdsup://IBCentral/FAT Viewer?action=UPDATE&amp;creator=factset&amp;DOC_NAME=fat:reuters_qtrly_source_window.fat&amp;display_string=Audit&amp;DYN_ARGS=TRUE&amp;VAR:ID1=49455010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5__FDSAUDITLINK__" hidden="1">{"fdsup://IBCentral/FAT Viewer?action=UPDATE&amp;creator=factset&amp;DOC_NAME=fat:reuters_qtrly_source_window.fat&amp;display_string=Audit&amp;DYN_ARGS=TRUE&amp;VAR:ID1=49455010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6__FDSAUDITLINK__" hidden="1">{"fdsup://IBCentral/FAT Viewer?action=UPDATE&amp;creator=factset&amp;DOC_NAME=fat:reuters_qtrly_source_window.fat&amp;display_string=Audit&amp;DYN_ARGS=TRUE&amp;VAR:ID1=49455010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7__FDSAUDITLINK__" hidden="1">{"fdsup://IBCentral/FAT Viewer?action=UPDATE&amp;creator=factset&amp;DOC_NAME=fat:reuters_qtrly_source_window.fat&amp;display_string=Audit&amp;DYN_ARGS=TRUE&amp;VAR:ID1=68268N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38__FDSAUDITLINK__" hidden="1">{"fdsup://IBCentral/FAT Viewer?action=UPDATE&amp;creator=factset&amp;DOC_NAME=fat:reuters_qtrly_source_window.fat&amp;display_string=Audit&amp;DYN_ARGS=TRUE&amp;VAR:ID1=68268N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39__FDSAUDITLINK__" hidden="1">{"fdsup://IBCentral/FAT Viewer?action=UPDATE&amp;creator=factset&amp;DOC_NAME=fat:reuters_qtrly_source_window.fat&amp;display_string=Audit&amp;DYN_ARGS=TRUE&amp;VAR:ID1=68268N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__FDSAUDITLINK__" hidden="1">{"fdsup://directions/FAT Viewer?action=UPDATE&amp;creator=factset&amp;DYN_ARGS=TRUE&amp;DOC_NAME=FAT:FQL_AUDITING_CLIENT_TEMPLATE.FAT&amp;display_string=Audit&amp;VAR:KEY=NETSDEDKXA&amp;VAR:QUERY=RkZfREVCVChBTk4sMjAwOSk=&amp;WINDOW=FIRST_POPUP&amp;HEIGHT=450&amp;WIDTH=450&amp;START_MAXIMIZED=FALS","E&amp;VAR:CALENDAR=US&amp;VAR:SYMBOL=TLLP&amp;VAR:INDEX=0"}</definedName>
    <definedName name="_340__FDSAUDITLINK__" hidden="1">{"fdsup://IBCentral/FAT Viewer?action=UPDATE&amp;creator=factset&amp;DOC_NAME=fat:reuters_qtrly_source_window.fat&amp;display_string=Audit&amp;DYN_ARGS=TRUE&amp;VAR:ID1=68268N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1__FDSAUDITLINK__" hidden="1">{"fdsup://IBCentral/FAT Viewer?action=UPDATE&amp;creator=factset&amp;DOC_NAME=fat:reuters_qtrly_source_window.fat&amp;display_string=Audit&amp;DYN_ARGS=TRUE&amp;VAR:ID1=68268N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2__FDSAUDITLINK__" hidden="1">{"fdsup://IBCentral/FAT Viewer?action=UPDATE&amp;creator=factset&amp;DOC_NAME=fat:reuters_qtrly_source_window.fat&amp;display_string=Audit&amp;DYN_ARGS=TRUE&amp;VAR:ID1=68268N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3__FDSAUDITLINK__" hidden="1">{"fdsup://IBCentral/FAT Viewer?action=UPDATE&amp;creator=factset&amp;DOC_NAME=fat:reuters_qtrly_source_window.fat&amp;display_string=Audit&amp;DYN_ARGS=TRUE&amp;VAR:ID1=68268N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4__FDSAUDITLINK__" hidden="1">{"fdsup://IBCentral/FAT Viewer?action=UPDATE&amp;creator=factset&amp;DOC_NAME=fat:reuters_qtrly_source_window.fat&amp;display_string=Audit&amp;DYN_ARGS=TRUE&amp;VAR:ID1=68268N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5__FDSAUDITLINK__" hidden="1">{"fdsup://IBCentral/FAT Viewer?action=UPDATE&amp;creator=factset&amp;DOC_NAME=fat:reuters_qtrly_source_window.fat&amp;display_string=Audit&amp;DYN_ARGS=TRUE&amp;VAR:ID1=23311P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46__FDSAUDITLINK__" hidden="1">{"fdsup://IBCentral/FAT Viewer?action=UPDATE&amp;creator=factset&amp;DOC_NAME=fat:reuters_qtrly_source_window.fat&amp;display_string=Audit&amp;DYN_ARGS=TRUE&amp;VAR:ID1=23311P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47__FDSAUDITLINK__" hidden="1">{"fdsup://IBCentral/FAT Viewer?action=UPDATE&amp;creator=factset&amp;DOC_NAME=fat:reuters_qtrly_source_window.fat&amp;display_string=Audit&amp;DYN_ARGS=TRUE&amp;VAR:ID1=23311P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8__FDSAUDITLINK__" hidden="1">{"fdsup://IBCentral/FAT Viewer?action=UPDATE&amp;creator=factset&amp;DOC_NAME=fat:reuters_qtrly_source_window.fat&amp;display_string=Audit&amp;DYN_ARGS=TRUE&amp;VAR:ID1=23311P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9__FDSAUDITLINK__" hidden="1">{"fdsup://IBCentral/FAT Viewer?action=UPDATE&amp;creator=factset&amp;DOC_NAME=fat:reuters_qtrly_source_window.fat&amp;display_string=Audit&amp;DYN_ARGS=TRUE&amp;VAR:ID1=23311P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__FDSAUDITLINK__" hidden="1">{"fdsup://directions/FAT Viewer?action=UPDATE&amp;creator=factset&amp;DYN_ARGS=TRUE&amp;DOC_NAME=FAT:FQL_AUDITING_CLIENT_TEMPLATE.FAT&amp;display_string=Audit&amp;VAR:KEY=NETSDEDKXA&amp;VAR:QUERY=RkZfREVCVChBTk4sMjAwOSk=&amp;WINDOW=FIRST_POPUP&amp;HEIGHT=450&amp;WIDTH=450&amp;START_MAXIMIZED=FALS","E&amp;VAR:CALENDAR=US&amp;VAR:SYMBOL=TLLP&amp;VAR:INDEX=0"}</definedName>
    <definedName name="_350__FDSAUDITLINK__" hidden="1">{"fdsup://IBCentral/FAT Viewer?action=UPDATE&amp;creator=factset&amp;DOC_NAME=fat:reuters_qtrly_source_window.fat&amp;display_string=Audit&amp;DYN_ARGS=TRUE&amp;VAR:ID1=23311P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1__FDSAUDITLINK__" hidden="1">{"fdsup://IBCentral/FAT Viewer?action=UPDATE&amp;creator=factset&amp;DOC_NAME=fat:reuters_qtrly_source_window.fat&amp;display_string=Audit&amp;DYN_ARGS=TRUE&amp;VAR:ID1=23311P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2__FDSAUDITLINK__" hidden="1">{"fdsup://IBCentral/FAT Viewer?action=UPDATE&amp;creator=factset&amp;DOC_NAME=fat:reuters_qtrly_source_window.fat&amp;display_string=Audit&amp;DYN_ARGS=TRUE&amp;VAR:ID1=23311P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3__FDSAUDITLINK__" hidden="1">{"fdsup://IBCentral/FAT Viewer?action=UPDATE&amp;creator=factset&amp;DOC_NAME=fat:reuters_qtrly_source_window.fat&amp;display_string=Audit&amp;DYN_ARGS=TRUE&amp;VAR:ID1=84756N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54__FDSAUDITLINK__" hidden="1">{"fdsup://IBCentral/FAT Viewer?action=UPDATE&amp;creator=factset&amp;DOC_NAME=fat:reuters_qtrly_source_window.fat&amp;display_string=Audit&amp;DYN_ARGS=TRUE&amp;VAR:ID1=84756N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55__FDSAUDITLINK__" hidden="1">{"fdsup://IBCentral/FAT Viewer?action=UPDATE&amp;creator=factset&amp;DOC_NAME=fat:reuters_qtrly_source_window.fat&amp;display_string=Audit&amp;DYN_ARGS=TRUE&amp;VAR:ID1=84756N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6__FDSAUDITLINK__" hidden="1">{"fdsup://IBCentral/FAT Viewer?action=UPDATE&amp;creator=factset&amp;DOC_NAME=fat:reuters_qtrly_source_window.fat&amp;display_string=Audit&amp;DYN_ARGS=TRUE&amp;VAR:ID1=84756N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7__FDSAUDITLINK__" hidden="1">{"fdsup://IBCentral/FAT Viewer?action=UPDATE&amp;creator=factset&amp;DOC_NAME=fat:reuters_qtrly_source_window.fat&amp;display_string=Audit&amp;DYN_ARGS=TRUE&amp;VAR:ID1=84756N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8__FDSAUDITLINK__" hidden="1">{"fdsup://IBCentral/FAT Viewer?action=UPDATE&amp;creator=factset&amp;DOC_NAME=fat:reuters_qtrly_source_window.fat&amp;display_string=Audit&amp;DYN_ARGS=TRUE&amp;VAR:ID1=84756N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9__FDSAUDITLINK__" hidden="1">{"fdsup://IBCentral/FAT Viewer?action=UPDATE&amp;creator=factset&amp;DOC_NAME=fat:reuters_qtrly_source_window.fat&amp;display_string=Audit&amp;DYN_ARGS=TRUE&amp;VAR:ID1=84756N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360__FDSAUDITLINK__" hidden="1">{"fdsup://IBCentral/FAT Viewer?action=UPDATE&amp;creator=factset&amp;DOC_NAME=fat:reuters_qtrly_source_window.fat&amp;display_string=Audit&amp;DYN_ARGS=TRUE&amp;VAR:ID1=84756N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1__FDSAUDITLINK__" hidden="1">{"fdsup://IBCentral/FAT Viewer?action=UPDATE&amp;creator=factset&amp;DOC_NAME=fat:reuters_qtrly_source_window.fat&amp;display_string=Audit&amp;DYN_ARGS=TRUE&amp;VAR:ID1=96950F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62__FDSAUDITLINK__" hidden="1">{"fdsup://IBCentral/FAT Viewer?action=UPDATE&amp;creator=factset&amp;DOC_NAME=fat:reuters_qtrly_source_window.fat&amp;display_string=Audit&amp;DYN_ARGS=TRUE&amp;VAR:ID1=96950F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63__FDSAUDITLINK__" hidden="1">{"fdsup://IBCentral/FAT Viewer?action=UPDATE&amp;creator=factset&amp;DOC_NAME=fat:reuters_qtrly_source_window.fat&amp;display_string=Audit&amp;DYN_ARGS=TRUE&amp;VAR:ID1=96950F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4__FDSAUDITLINK__" hidden="1">{"fdsup://IBCentral/FAT Viewer?action=UPDATE&amp;creator=factset&amp;DOC_NAME=fat:reuters_qtrly_source_window.fat&amp;display_string=Audit&amp;DYN_ARGS=TRUE&amp;VAR:ID1=96950F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5__FDSAUDITLINK__" hidden="1">{"fdsup://IBCentral/FAT Viewer?action=UPDATE&amp;creator=factset&amp;DOC_NAME=fat:reuters_qtrly_source_window.fat&amp;display_string=Audit&amp;DYN_ARGS=TRUE&amp;VAR:ID1=96950F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6__FDSAUDITLINK__" hidden="1">{"fdsup://IBCentral/FAT Viewer?action=UPDATE&amp;creator=factset&amp;DOC_NAME=fat:reuters_qtrly_source_window.fat&amp;display_string=Audit&amp;DYN_ARGS=TRUE&amp;VAR:ID1=96950F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7__FDSAUDITLINK__" hidden="1">{"fdsup://IBCentral/FAT Viewer?action=UPDATE&amp;creator=factset&amp;DOC_NAME=fat:reuters_qtrly_source_window.fat&amp;display_string=Audit&amp;DYN_ARGS=TRUE&amp;VAR:ID1=96950F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8__FDSAUDITLINK__" hidden="1">{"fdsup://IBCentral/FAT Viewer?action=UPDATE&amp;creator=factset&amp;DOC_NAME=fat:reuters_qtrly_source_window.fat&amp;display_string=Audit&amp;DYN_ARGS=TRUE&amp;VAR:ID1=96950F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9__FDSAUDITLINK__" hidden="1">{"fdsup://IBCentral/FAT Viewer?action=UPDATE&amp;creator=factset&amp;DOC_NAME=fat:reuters_qtrly_source_window.fat&amp;display_string=Audit&amp;DYN_ARGS=TRUE&amp;VAR:ID1=96950K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7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370__FDSAUDITLINK__" hidden="1">{"fdsup://IBCentral/FAT Viewer?action=UPDATE&amp;creator=factset&amp;DOC_NAME=fat:reuters_qtrly_source_window.fat&amp;display_string=Audit&amp;DYN_ARGS=TRUE&amp;VAR:ID1=96950K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71__FDSAUDITLINK__" hidden="1">{"fdsup://IBCentral/FAT Viewer?action=UPDATE&amp;creator=factset&amp;DOC_NAME=fat:reuters_qtrly_source_window.fat&amp;display_string=Audit&amp;DYN_ARGS=TRUE&amp;VAR:ID1=96950K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2__FDSAUDITLINK__" hidden="1">{"fdsup://IBCentral/FAT Viewer?action=UPDATE&amp;creator=factset&amp;DOC_NAME=fat:reuters_qtrly_source_window.fat&amp;display_string=Audit&amp;DYN_ARGS=TRUE&amp;VAR:ID1=96950K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3__FDSAUDITLINK__" hidden="1">{"fdsup://IBCentral/FAT Viewer?action=UPDATE&amp;creator=factset&amp;DOC_NAME=fat:reuters_qtrly_source_window.fat&amp;display_string=Audit&amp;DYN_ARGS=TRUE&amp;VAR:ID1=96950K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4__FDSAUDITLINK__" hidden="1">{"fdsup://IBCentral/FAT Viewer?action=UPDATE&amp;creator=factset&amp;DOC_NAME=fat:reuters_qtrly_source_window.fat&amp;display_string=Audit&amp;DYN_ARGS=TRUE&amp;VAR:ID1=96950K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5__FDSAUDITLINK__" hidden="1">{"fdsup://IBCentral/FAT Viewer?action=UPDATE&amp;creator=factset&amp;DOC_NAME=fat:reuters_qtrly_source_window.fat&amp;display_string=Audit&amp;DYN_ARGS=TRUE&amp;VAR:ID1=96950K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6__FDSAUDITLINK__" hidden="1">{"fdsup://IBCentral/FAT Viewer?action=UPDATE&amp;creator=factset&amp;DOC_NAME=fat:reuters_qtrly_source_window.fat&amp;display_string=Audit&amp;DYN_ARGS=TRUE&amp;VAR:ID1=96950K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7__FDSAUDITLINK__" hidden="1">{"fdsup://IBCentral/FAT Viewer?action=UPDATE&amp;creator=factset&amp;DOC_NAME=fat:reuters_qtrly_source_window.fat&amp;display_string=Audit&amp;DYN_ARGS=TRUE&amp;VAR:ID1=16411Q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78__FDSAUDITLINK__" hidden="1">{"fdsup://IBCentral/FAT Viewer?action=UPDATE&amp;creator=factset&amp;DOC_NAME=fat:reuters_qtrly_source_window.fat&amp;display_string=Audit&amp;DYN_ARGS=TRUE&amp;VAR:ID1=16411Q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79__FDSAUDITLINK__" hidden="1">{"fdsup://IBCentral/FAT Viewer?action=UPDATE&amp;creator=factset&amp;DOC_NAME=fat:reuters_qtrly_source_window.fat&amp;display_string=Audit&amp;DYN_ARGS=TRUE&amp;VAR:ID1=16411Q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380__FDSAUDITLINK__" hidden="1">{"fdsup://IBCentral/FAT Viewer?action=UPDATE&amp;creator=factset&amp;DOC_NAME=fat:reuters_qtrly_source_window.fat&amp;display_string=Audit&amp;DYN_ARGS=TRUE&amp;VAR:ID1=16411Q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1__FDSAUDITLINK__" hidden="1">{"fdsup://IBCentral/FAT Viewer?action=UPDATE&amp;creator=factset&amp;DOC_NAME=fat:reuters_qtrly_source_window.fat&amp;display_string=Audit&amp;DYN_ARGS=TRUE&amp;VAR:ID1=16411Q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2__FDSAUDITLINK__" hidden="1">{"fdsup://IBCentral/FAT Viewer?action=UPDATE&amp;creator=factset&amp;DOC_NAME=fat:reuters_qtrly_source_window.fat&amp;display_string=Audit&amp;DYN_ARGS=TRUE&amp;VAR:ID1=16411Q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3__FDSAUDITLINK__" hidden="1">{"fdsup://IBCentral/FAT Viewer?action=UPDATE&amp;creator=factset&amp;DOC_NAME=fat:reuters_qtrly_source_window.fat&amp;display_string=Audit&amp;DYN_ARGS=TRUE&amp;VAR:ID1=16411Q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4__FDSAUDITLINK__" hidden="1">{"fdsup://IBCentral/FAT Viewer?action=UPDATE&amp;creator=factset&amp;DOC_NAME=fat:reuters_qtrly_source_window.fat&amp;display_string=Audit&amp;DYN_ARGS=TRUE&amp;VAR:ID1=16411Q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5__FDSAUDITLINK__" hidden="1">{"fdsup://IBCentral/FAT Viewer?action=UPDATE&amp;creator=factset&amp;DOC_NAME=fat:reuters_qtrly_source_window.fat&amp;display_string=Audit&amp;DYN_ARGS=TRUE&amp;VAR:ID1=28370210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86__FDSAUDITLINK__" hidden="1">{"fdsup://IBCentral/FAT Viewer?action=UPDATE&amp;creator=factset&amp;DOC_NAME=fat:reuters_qtrly_source_window.fat&amp;display_string=Audit&amp;DYN_ARGS=TRUE&amp;VAR:ID1=28370210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87__FDSAUDITLINK__" hidden="1">{"fdsup://IBCentral/FAT Viewer?action=UPDATE&amp;creator=factset&amp;DOC_NAME=fat:reuters_qtrly_source_window.fat&amp;display_string=Audit&amp;DYN_ARGS=TRUE&amp;VAR:ID1=28370210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8__FDSAUDITLINK__" hidden="1">{"fdsup://IBCentral/FAT Viewer?action=UPDATE&amp;creator=factset&amp;DOC_NAME=fat:reuters_qtrly_source_window.fat&amp;display_string=Audit&amp;DYN_ARGS=TRUE&amp;VAR:ID1=28370210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9__FDSAUDITLINK__" hidden="1">{"fdsup://IBCentral/FAT Viewer?action=UPDATE&amp;creator=factset&amp;DOC_NAME=fat:reuters_qtrly_source_window.fat&amp;display_string=Audit&amp;DYN_ARGS=TRUE&amp;VAR:ID1=28370210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390__FDSAUDITLINK__" hidden="1">{"fdsup://IBCentral/FAT Viewer?action=UPDATE&amp;creator=factset&amp;DOC_NAME=fat:reuters_qtrly_source_window.fat&amp;display_string=Audit&amp;DYN_ARGS=TRUE&amp;VAR:ID1=28370210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1__FDSAUDITLINK__" hidden="1">{"fdsup://IBCentral/FAT Viewer?action=UPDATE&amp;creator=factset&amp;DOC_NAME=fat:reuters_qtrly_source_window.fat&amp;display_string=Audit&amp;DYN_ARGS=TRUE&amp;VAR:ID1=28370210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2__FDSAUDITLINK__" hidden="1">{"fdsup://IBCentral/FAT Viewer?action=UPDATE&amp;creator=factset&amp;DOC_NAME=fat:reuters_qtrly_source_window.fat&amp;display_string=Audit&amp;DYN_ARGS=TRUE&amp;VAR:ID1=28370210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3__FDSAUDITLINK__" hidden="1">{"fdsup://IBCentral/FAT Viewer?action=UPDATE&amp;creator=factset&amp;DOC_NAME=fat:reuters_qtrly_source_window.fat&amp;display_string=Audit&amp;DYN_ARGS=TRUE&amp;VAR:ID1=29250X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394__FDSAUDITLINK__" hidden="1">{"fdsup://IBCentral/FAT Viewer?action=UPDATE&amp;creator=factset&amp;DOC_NAME=fat:reuters_qtrly_source_window.fat&amp;display_string=Audit&amp;DYN_ARGS=TRUE&amp;VAR:ID1=29250X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395__FDSAUDITLINK__" hidden="1">{"fdsup://IBCentral/FAT Viewer?action=UPDATE&amp;creator=factset&amp;DOC_NAME=fat:reuters_qtrly_source_window.fat&amp;display_string=Audit&amp;DYN_ARGS=TRUE&amp;VAR:ID1=29250X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6__FDSAUDITLINK__" hidden="1">{"fdsup://IBCentral/FAT Viewer?action=UPDATE&amp;creator=factset&amp;DOC_NAME=fat:reuters_qtrly_source_window.fat&amp;display_string=Audit&amp;DYN_ARGS=TRUE&amp;VAR:ID1=29250X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7__FDSAUDITLINK__" hidden="1">{"fdsup://IBCentral/FAT Viewer?action=UPDATE&amp;creator=factset&amp;DOC_NAME=fat:reuters_qtrly_source_window.fat&amp;display_string=Audit&amp;DYN_ARGS=TRUE&amp;VAR:ID1=29250X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8__FDSAUDITLINK__" hidden="1">{"fdsup://IBCentral/FAT Viewer?action=UPDATE&amp;creator=factset&amp;DOC_NAME=fat:reuters_qtrly_source_window.fat&amp;display_string=Audit&amp;DYN_ARGS=TRUE&amp;VAR:ID1=29250X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9__FDSAUDITLINK__" hidden="1">{"fdsup://IBCentral/FAT Viewer?action=UPDATE&amp;creator=factset&amp;DOC_NAME=fat:reuters_qtrly_source_window.fat&amp;display_string=Audit&amp;DYN_ARGS=TRUE&amp;VAR:ID1=29250X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__FDSAUDITLINK__" hidden="1">{"fdsup://directions/FAT Viewer?action=UPDATE&amp;creator=factset&amp;DYN_ARGS=TRUE&amp;DOC_NAME=FAT:FQL_AUDITING_CLIENT_TEMPLATE.FAT&amp;display_string=Audit&amp;VAR:KEY=TCRCXCFGVI&amp;VAR:QUERY=RkZfREVCVChBTk4sMjAwOSk=&amp;WINDOW=FIRST_POPUP&amp;HEIGHT=450&amp;WIDTH=450&amp;START_MAXIMIZED=FALS","E&amp;VAR:CALENDAR=US&amp;VAR:SYMBOL=EROC&amp;VAR:INDEX=0"}</definedName>
    <definedName name="_40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400__FDSAUDITLINK__" hidden="1">{"fdsup://IBCentral/FAT Viewer?action=UPDATE&amp;creator=factset&amp;DOC_NAME=fat:reuters_qtrly_source_window.fat&amp;display_string=Audit&amp;DYN_ARGS=TRUE&amp;VAR:ID1=29250X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1__FDSAUDITLINK__" hidden="1">{"fdsup://IBCentral/FAT Viewer?action=UPDATE&amp;creator=factset&amp;DOC_NAME=fat:reuters_qtrly_source_window.fat&amp;display_string=Audit&amp;DYN_ARGS=TRUE&amp;VAR:ID1=29250R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02__FDSAUDITLINK__" hidden="1">{"fdsup://IBCentral/FAT Viewer?action=UPDATE&amp;creator=factset&amp;DOC_NAME=fat:reuters_qtrly_source_window.fat&amp;display_string=Audit&amp;DYN_ARGS=TRUE&amp;VAR:ID1=29250R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03__FDSAUDITLINK__" hidden="1">{"fdsup://IBCentral/FAT Viewer?action=UPDATE&amp;creator=factset&amp;DOC_NAME=fat:reuters_qtrly_source_window.fat&amp;display_string=Audit&amp;DYN_ARGS=TRUE&amp;VAR:ID1=29250R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4__FDSAUDITLINK__" hidden="1">{"fdsup://IBCentral/FAT Viewer?action=UPDATE&amp;creator=factset&amp;DOC_NAME=fat:reuters_qtrly_source_window.fat&amp;display_string=Audit&amp;DYN_ARGS=TRUE&amp;VAR:ID1=29250R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5__FDSAUDITLINK__" hidden="1">{"fdsup://IBCentral/FAT Viewer?action=UPDATE&amp;creator=factset&amp;DOC_NAME=fat:reuters_qtrly_source_window.fat&amp;display_string=Audit&amp;DYN_ARGS=TRUE&amp;VAR:ID1=29250R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6__FDSAUDITLINK__" hidden="1">{"fdsup://IBCentral/FAT Viewer?action=UPDATE&amp;creator=factset&amp;DOC_NAME=fat:reuters_qtrly_source_window.fat&amp;display_string=Audit&amp;DYN_ARGS=TRUE&amp;VAR:ID1=29250R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7__FDSAUDITLINK__" hidden="1">{"fdsup://IBCentral/FAT Viewer?action=UPDATE&amp;creator=factset&amp;DOC_NAME=fat:reuters_qtrly_source_window.fat&amp;display_string=Audit&amp;DYN_ARGS=TRUE&amp;VAR:ID1=29250R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8__FDSAUDITLINK__" hidden="1">{"fdsup://IBCentral/FAT Viewer?action=UPDATE&amp;creator=factset&amp;DOC_NAME=fat:reuters_qtrly_source_window.fat&amp;display_string=Audit&amp;DYN_ARGS=TRUE&amp;VAR:ID1=29250R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9__FDSAUDITLINK__" hidden="1">{"fdsup://IBCentral/FAT Viewer?action=UPDATE&amp;creator=factset&amp;DOC_NAME=fat:reuters_qtrly_source_window.fat&amp;display_string=Audit&amp;DYN_ARGS=TRUE&amp;VAR:ID1=87233Q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1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410__FDSAUDITLINK__" hidden="1">{"fdsup://IBCentral/FAT Viewer?action=UPDATE&amp;creator=factset&amp;DOC_NAME=fat:reuters_qtrly_source_window.fat&amp;display_string=Audit&amp;DYN_ARGS=TRUE&amp;VAR:ID1=87233Q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11__FDSAUDITLINK__" hidden="1">{"fdsup://IBCentral/FAT Viewer?action=UPDATE&amp;creator=factset&amp;DOC_NAME=fat:reuters_qtrly_source_window.fat&amp;display_string=Audit&amp;DYN_ARGS=TRUE&amp;VAR:ID1=87233Q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2__FDSAUDITLINK__" hidden="1">{"fdsup://IBCentral/FAT Viewer?action=UPDATE&amp;creator=factset&amp;DOC_NAME=fat:reuters_qtrly_source_window.fat&amp;display_string=Audit&amp;DYN_ARGS=TRUE&amp;VAR:ID1=87233Q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3__FDSAUDITLINK__" hidden="1">{"fdsup://IBCentral/FAT Viewer?action=UPDATE&amp;creator=factset&amp;DOC_NAME=fat:reuters_qtrly_source_window.fat&amp;display_string=Audit&amp;DYN_ARGS=TRUE&amp;VAR:ID1=87233Q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4__FDSAUDITLINK__" hidden="1">{"fdsup://IBCentral/FAT Viewer?action=UPDATE&amp;creator=factset&amp;DOC_NAME=fat:reuters_qtrly_source_window.fat&amp;display_string=Audit&amp;DYN_ARGS=TRUE&amp;VAR:ID1=87233Q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5__FDSAUDITLINK__" hidden="1">{"fdsup://IBCentral/FAT Viewer?action=UPDATE&amp;creator=factset&amp;DOC_NAME=fat:reuters_qtrly_source_window.fat&amp;display_string=Audit&amp;DYN_ARGS=TRUE&amp;VAR:ID1=87233Q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6__FDSAUDITLINK__" hidden="1">{"fdsup://IBCentral/FAT Viewer?action=UPDATE&amp;creator=factset&amp;DOC_NAME=fat:reuters_qtrly_source_window.fat&amp;display_string=Audit&amp;DYN_ARGS=TRUE&amp;VAR:ID1=87233Q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7__FDSAUDITLINK__" hidden="1">{"fdsup://IBCentral/FAT Viewer?action=UPDATE&amp;creator=factset&amp;DOC_NAME=fat:reuters_qtrly_source_window.fat&amp;display_string=Audit&amp;DYN_ARGS=TRUE&amp;VAR:ID1=03097510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18__FDSAUDITLINK__" hidden="1">{"fdsup://IBCentral/FAT Viewer?action=UPDATE&amp;creator=factset&amp;DOC_NAME=fat:reuters_qtrly_source_window.fat&amp;display_string=Audit&amp;DYN_ARGS=TRUE&amp;VAR:ID1=03097510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19__FDSAUDITLINK__" hidden="1">{"fdsup://IBCentral/FAT Viewer?action=UPDATE&amp;creator=factset&amp;DOC_NAME=fat:reuters_qtrly_source_window.fat&amp;display_string=Audit&amp;DYN_ARGS=TRUE&amp;VAR:ID1=03097510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420__FDSAUDITLINK__" hidden="1">{"fdsup://IBCentral/FAT Viewer?action=UPDATE&amp;creator=factset&amp;DOC_NAME=fat:reuters_qtrly_source_window.fat&amp;display_string=Audit&amp;DYN_ARGS=TRUE&amp;VAR:ID1=03097510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1__FDSAUDITLINK__" hidden="1">{"fdsup://IBCentral/FAT Viewer?action=UPDATE&amp;creator=factset&amp;DOC_NAME=fat:reuters_qtrly_source_window.fat&amp;display_string=Audit&amp;DYN_ARGS=TRUE&amp;VAR:ID1=03097510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2__FDSAUDITLINK__" hidden="1">{"fdsup://IBCentral/FAT Viewer?action=UPDATE&amp;creator=factset&amp;DOC_NAME=fat:reuters_qtrly_source_window.fat&amp;display_string=Audit&amp;DYN_ARGS=TRUE&amp;VAR:ID1=03097510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3__FDSAUDITLINK__" hidden="1">{"fdsup://IBCentral/FAT Viewer?action=UPDATE&amp;creator=factset&amp;DOC_NAME=fat:reuters_qtrly_source_window.fat&amp;display_string=Audit&amp;DYN_ARGS=TRUE&amp;VAR:ID1=03097510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4__FDSAUDITLINK__" hidden="1">{"fdsup://IBCentral/FAT Viewer?action=UPDATE&amp;creator=factset&amp;DOC_NAME=fat:reuters_qtrly_source_window.fat&amp;display_string=Audit&amp;DYN_ARGS=TRUE&amp;VAR:ID1=03097510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5__FDSAUDITLINK__" hidden="1">{"fdsup://IBCentral/FAT Viewer?action=UPDATE&amp;creator=factset&amp;DOC_NAME=fat:reuters_qtrly_source_window.fat&amp;display_string=Audit&amp;DYN_ARGS=TRUE&amp;VAR:ID1=92924F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26__FDSAUDITLINK__" hidden="1">{"fdsup://IBCentral/FAT Viewer?action=UPDATE&amp;creator=factset&amp;DOC_NAME=fat:reuters_qtrly_source_window.fat&amp;display_string=Audit&amp;DYN_ARGS=TRUE&amp;VAR:ID1=92924F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27__FDSAUDITLINK__" hidden="1">{"fdsup://IBCentral/FAT Viewer?action=UPDATE&amp;creator=factset&amp;DOC_NAME=fat:reuters_qtrly_source_window.fat&amp;display_string=Audit&amp;DYN_ARGS=TRUE&amp;VAR:ID1=92924F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8__FDSAUDITLINK__" hidden="1">{"fdsup://IBCentral/FAT Viewer?action=UPDATE&amp;creator=factset&amp;DOC_NAME=fat:reuters_qtrly_source_window.fat&amp;display_string=Audit&amp;DYN_ARGS=TRUE&amp;VAR:ID1=92924F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9__FDSAUDITLINK__" hidden="1">{"fdsup://IBCentral/FAT Viewer?action=UPDATE&amp;creator=factset&amp;DOC_NAME=fat:reuters_qtrly_source_window.fat&amp;display_string=Audit&amp;DYN_ARGS=TRUE&amp;VAR:ID1=92924F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430__FDSAUDITLINK__" hidden="1">{"fdsup://IBCentral/FAT Viewer?action=UPDATE&amp;creator=factset&amp;DOC_NAME=fat:reuters_qtrly_source_window.fat&amp;display_string=Audit&amp;DYN_ARGS=TRUE&amp;VAR:ID1=92924F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1__FDSAUDITLINK__" hidden="1">{"fdsup://IBCentral/FAT Viewer?action=UPDATE&amp;creator=factset&amp;DOC_NAME=fat:reuters_qtrly_source_window.fat&amp;display_string=Audit&amp;DYN_ARGS=TRUE&amp;VAR:ID1=92924F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2__FDSAUDITLINK__" hidden="1">{"fdsup://IBCentral/FAT Viewer?action=UPDATE&amp;creator=factset&amp;DOC_NAME=fat:reuters_qtrly_source_window.fat&amp;display_string=Audit&amp;DYN_ARGS=TRUE&amp;VAR:ID1=92924F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3__FDSAUDITLINK__" hidden="1">{"fdsup://IBCentral/FAT Viewer?action=UPDATE&amp;creator=factset&amp;DOC_NAME=fat:reuters_qtrly_source_window.fat&amp;display_string=Audit&amp;DYN_ARGS=TRUE&amp;VAR:ID1=92240G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34__FDSAUDITLINK__" hidden="1">{"fdsup://IBCentral/FAT Viewer?action=UPDATE&amp;creator=factset&amp;DOC_NAME=fat:reuters_qtrly_source_window.fat&amp;display_string=Audit&amp;DYN_ARGS=TRUE&amp;VAR:ID1=92240G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35__FDSAUDITLINK__" hidden="1">{"fdsup://IBCentral/FAT Viewer?action=UPDATE&amp;creator=factset&amp;DOC_NAME=fat:reuters_qtrly_source_window.fat&amp;display_string=Audit&amp;DYN_ARGS=TRUE&amp;VAR:ID1=92240G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6__FDSAUDITLINK__" hidden="1">{"fdsup://IBCentral/FAT Viewer?action=UPDATE&amp;creator=factset&amp;DOC_NAME=fat:reuters_qtrly_source_window.fat&amp;display_string=Audit&amp;DYN_ARGS=TRUE&amp;VAR:ID1=92240G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7__FDSAUDITLINK__" hidden="1">{"fdsup://IBCentral/FAT Viewer?action=UPDATE&amp;creator=factset&amp;DOC_NAME=fat:reuters_qtrly_source_window.fat&amp;display_string=Audit&amp;DYN_ARGS=TRUE&amp;VAR:ID1=92240G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8__FDSAUDITLINK__" hidden="1">{"fdsup://IBCentral/FAT Viewer?action=UPDATE&amp;creator=factset&amp;DOC_NAME=fat:reuters_qtrly_source_window.fat&amp;display_string=Audit&amp;DYN_ARGS=TRUE&amp;VAR:ID1=92240G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9__FDSAUDITLINK__" hidden="1">{"fdsup://IBCentral/FAT Viewer?action=UPDATE&amp;creator=factset&amp;DOC_NAME=fat:reuters_qtrly_source_window.fat&amp;display_string=Audit&amp;DYN_ARGS=TRUE&amp;VAR:ID1=92240G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440__FDSAUDITLINK__" hidden="1">{"fdsup://IBCentral/FAT Viewer?action=UPDATE&amp;creator=factset&amp;DOC_NAME=fat:reuters_qtrly_source_window.fat&amp;display_string=Audit&amp;DYN_ARGS=TRUE&amp;VAR:ID1=92240G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1__FDSAUDITLINK__" hidden="1">{"fdsup://IBCentral/FAT Viewer?action=UPDATE&amp;creator=factset&amp;DOC_NAME=fat:reuters_qtrly_source_window.fat&amp;display_string=Audit&amp;DYN_ARGS=TRUE&amp;VAR:ID1=83851810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42__FDSAUDITLINK__" hidden="1">{"fdsup://IBCentral/FAT Viewer?action=UPDATE&amp;creator=factset&amp;DOC_NAME=fat:reuters_qtrly_source_window.fat&amp;display_string=Audit&amp;DYN_ARGS=TRUE&amp;VAR:ID1=83851810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43__FDSAUDITLINK__" hidden="1">{"fdsup://IBCentral/FAT Viewer?action=UPDATE&amp;creator=factset&amp;DOC_NAME=fat:reuters_qtrly_source_window.fat&amp;display_string=Audit&amp;DYN_ARGS=TRUE&amp;VAR:ID1=83851810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4__FDSAUDITLINK__" hidden="1">{"fdsup://IBCentral/FAT Viewer?action=UPDATE&amp;creator=factset&amp;DOC_NAME=fat:reuters_qtrly_source_window.fat&amp;display_string=Audit&amp;DYN_ARGS=TRUE&amp;VAR:ID1=83851810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5__FDSAUDITLINK__" hidden="1">{"fdsup://IBCentral/FAT Viewer?action=UPDATE&amp;creator=factset&amp;DOC_NAME=fat:reuters_qtrly_source_window.fat&amp;display_string=Audit&amp;DYN_ARGS=TRUE&amp;VAR:ID1=83851810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6__FDSAUDITLINK__" hidden="1">{"fdsup://IBCentral/FAT Viewer?action=UPDATE&amp;creator=factset&amp;DOC_NAME=fat:reuters_qtrly_source_window.fat&amp;display_string=Audit&amp;DYN_ARGS=TRUE&amp;VAR:ID1=83851810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7__FDSAUDITLINK__" hidden="1">{"fdsup://IBCentral/FAT Viewer?action=UPDATE&amp;creator=factset&amp;DOC_NAME=fat:reuters_qtrly_source_window.fat&amp;display_string=Audit&amp;DYN_ARGS=TRUE&amp;VAR:ID1=83851810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8__FDSAUDITLINK__" hidden="1">{"fdsup://IBCentral/FAT Viewer?action=UPDATE&amp;creator=factset&amp;DOC_NAME=fat:reuters_qtrly_source_window.fat&amp;display_string=Audit&amp;DYN_ARGS=TRUE&amp;VAR:ID1=83851810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9__FDSAUDITLINK__" hidden="1">{"fdsup://IBCentral/FAT Viewer?action=UPDATE&amp;creator=factset&amp;DOC_NAME=fat:reuters_qtrly_source_window.fat&amp;display_string=Audit&amp;DYN_ARGS=TRUE&amp;VAR:ID1=72018610&amp;VAR:RCODE=FDSPFDSTKTOTAL&amp;VAR:SDATE=20090199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5__FDSAUDITLINK__" hidden="1">{"fdsup://directions/FAT Viewer?action=UPDATE&amp;creator=factset&amp;DYN_ARGS=TRUE&amp;DOC_NAME=FAT:FQL_AUDITING_CLIENT_TEMPLATE.FAT&amp;display_string=Audit&amp;VAR:KEY=TYNEDYRWBQ&amp;VAR:QUERY=RkZfREVCVChBTk4sMjAwOSk=&amp;WINDOW=FIRST_POPUP&amp;HEIGHT=450&amp;WIDTH=450&amp;START_MAXIMIZED=FALS","E&amp;VAR:CALENDAR=US&amp;VAR:SYMBOL=EROC&amp;VAR:INDEX=0"}</definedName>
    <definedName name="_450__FDSAUDITLINK__" hidden="1">{"fdsup://IBCentral/FAT Viewer?action=UPDATE&amp;creator=factset&amp;DOC_NAME=fat:reuters_qtrly_source_window.fat&amp;display_string=Audit&amp;DYN_ARGS=TRUE&amp;VAR:ID1=72018610&amp;VAR:RCODE=CMNEQ&amp;VAR:SDATE=20090199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51__FDSAUDITLINK__" hidden="1">{"fdsup://IBCentral/FAT Viewer?action=UPDATE&amp;creator=factset&amp;DOC_NAME=fat:reuters_qtrly_source_window.fat&amp;display_string=Audit&amp;DYN_ARGS=TRUE&amp;VAR:ID1=72018610&amp;VAR:RCODE=SCSI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2__FDSAUDITLINK__" hidden="1">{"fdsup://IBCentral/FAT Viewer?action=UPDATE&amp;creator=factset&amp;DOC_NAME=fat:reuters_qtrly_source_window.fat&amp;display_string=Audit&amp;DYN_ARGS=TRUE&amp;VAR:ID1=72018610&amp;VAR:RCODE=STLD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3__FDSAUDITLINK__" hidden="1">{"fdsup://IBCentral/FAT Viewer?action=UPDATE&amp;creator=factset&amp;DOC_NAME=fat:reuters_qtrly_source_window.fat&amp;display_string=Audit&amp;DYN_ARGS=TRUE&amp;VAR:ID1=72018610&amp;VAR:RCODE=DSTT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4__FDSAUDITLINK__" hidden="1">{"fdsup://IBCentral/FAT Viewer?action=UPDATE&amp;creator=factset&amp;DOC_NAME=fat:reuters_qtrly_source_window.fat&amp;display_string=Audit&amp;DYN_ARGS=TRUE&amp;VAR:ID1=72018610&amp;VAR:RCODE=LTCL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5__FDSAUDITLINK__" hidden="1">{"fdsup://IBCentral/FAT Viewer?action=UPDATE&amp;creator=factset&amp;DOC_NAME=fat:reuters_qtrly_source_window.fat&amp;display_string=Audit&amp;DYN_ARGS=TRUE&amp;VAR:ID1=72018610&amp;VAR:RCODE=ATCA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6__FDSAUDITLINK__" hidden="1">{"fdsup://IBCentral/FAT Viewer?action=UPDATE&amp;creator=factset&amp;DOC_NAME=fat:reuters_qtrly_source_window.fat&amp;display_string=Audit&amp;DYN_ARGS=TRUE&amp;VAR:ID1=72018610&amp;VAR:RCODE=ATOT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7__FDSAUDITLINK__" hidden="1">{"fdsup://IBCentral/FAT Viewer?action=UPDATE&amp;creator=factset&amp;DOC_NAME=fat:reuters_qtrly_source_window.fat&amp;display_string=Audit&amp;DYN_ARGS=TRUE&amp;VAR:ID1=66765510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58__FDSAUDITLINK__" hidden="1">{"fdsup://IBCentral/FAT Viewer?action=UPDATE&amp;creator=factset&amp;DOC_NAME=fat:reuters_qtrly_source_window.fat&amp;display_string=Audit&amp;DYN_ARGS=TRUE&amp;VAR:ID1=66765510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59__FDSAUDITLINK__" hidden="1">{"fdsup://IBCentral/FAT Viewer?action=UPDATE&amp;creator=factset&amp;DOC_NAME=fat:reuters_qtrly_source_window.fat&amp;display_string=Audit&amp;DYN_ARGS=TRUE&amp;VAR:ID1=66765510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__FDSAUDITLINK__" hidden="1">{"fdsup://directions/FAT Viewer?action=UPDATE&amp;creator=factset&amp;DYN_ARGS=TRUE&amp;DOC_NAME=FAT:FQL_AUDITING_CLIENT_TEMPLATE.FAT&amp;display_string=Audit&amp;VAR:KEY=TYNEDYRWBQ&amp;VAR:QUERY=RkZfREVCVChBTk4sMjAwOSk=&amp;WINDOW=FIRST_POPUP&amp;HEIGHT=450&amp;WIDTH=450&amp;START_MAXIMIZED=FALS","E&amp;VAR:CALENDAR=US&amp;VAR:SYMBOL=EROC&amp;VAR:INDEX=0"}</definedName>
    <definedName name="_460__FDSAUDITLINK__" hidden="1">{"fdsup://IBCentral/FAT Viewer?action=UPDATE&amp;creator=factset&amp;DOC_NAME=fat:reuters_qtrly_source_window.fat&amp;display_string=Audit&amp;DYN_ARGS=TRUE&amp;VAR:ID1=66765510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1__FDSAUDITLINK__" hidden="1">{"fdsup://IBCentral/FAT Viewer?action=UPDATE&amp;creator=factset&amp;DOC_NAME=fat:reuters_qtrly_source_window.fat&amp;display_string=Audit&amp;DYN_ARGS=TRUE&amp;VAR:ID1=66765510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2__FDSAUDITLINK__" hidden="1">{"fdsup://IBCentral/FAT Viewer?action=UPDATE&amp;creator=factset&amp;DOC_NAME=fat:reuters_qtrly_source_window.fat&amp;display_string=Audit&amp;DYN_ARGS=TRUE&amp;VAR:ID1=66765510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3__FDSAUDITLINK__" hidden="1">{"fdsup://IBCentral/FAT Viewer?action=UPDATE&amp;creator=factset&amp;DOC_NAME=fat:reuters_qtrly_source_window.fat&amp;display_string=Audit&amp;DYN_ARGS=TRUE&amp;VAR:ID1=66765510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4__FDSAUDITLINK__" hidden="1">{"fdsup://IBCentral/FAT Viewer?action=UPDATE&amp;creator=factset&amp;DOC_NAME=fat:reuters_qtrly_source_window.fat&amp;display_string=Audit&amp;DYN_ARGS=TRUE&amp;VAR:ID1=66765510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5__FDSAUDITLINK__" hidden="1">{"fdsup://IBCentral/FAT Viewer?action=UPDATE&amp;creator=factset&amp;DOC_NAME=fat:reuters_qtrly_source_window.fat&amp;display_string=Audit&amp;DYN_ARGS=TRUE&amp;VAR:ID1=65408610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66__FDSAUDITLINK__" hidden="1">{"fdsup://IBCentral/FAT Viewer?action=UPDATE&amp;creator=factset&amp;DOC_NAME=fat:reuters_qtrly_source_window.fat&amp;display_string=Audit&amp;DYN_ARGS=TRUE&amp;VAR:ID1=65408610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67__FDSAUDITLINK__" hidden="1">{"fdsup://IBCentral/FAT Viewer?action=UPDATE&amp;creator=factset&amp;DOC_NAME=fat:reuters_qtrly_source_window.fat&amp;display_string=Audit&amp;DYN_ARGS=TRUE&amp;VAR:ID1=65408610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8__FDSAUDITLINK__" hidden="1">{"fdsup://IBCentral/FAT Viewer?action=UPDATE&amp;creator=factset&amp;DOC_NAME=fat:reuters_qtrly_source_window.fat&amp;display_string=Audit&amp;DYN_ARGS=TRUE&amp;VAR:ID1=65408610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9__FDSAUDITLINK__" hidden="1">{"fdsup://IBCentral/FAT Viewer?action=UPDATE&amp;creator=factset&amp;DOC_NAME=fat:reuters_qtrly_source_window.fat&amp;display_string=Audit&amp;DYN_ARGS=TRUE&amp;VAR:ID1=65408610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__FDSAUDITLINK__" hidden="1">{"fdsup://directions/FAT Viewer?action=UPDATE&amp;creator=factset&amp;DYN_ARGS=TRUE&amp;DOC_NAME=FAT:FQL_AUDITING_CLIENT_TEMPLATE.FAT&amp;display_string=Audit&amp;VAR:KEY=TYNEDYRWBQ&amp;VAR:QUERY=RkZfREVCVChBTk4sMjAwOSk=&amp;WINDOW=FIRST_POPUP&amp;HEIGHT=450&amp;WIDTH=450&amp;START_MAXIMIZED=FALS","E&amp;VAR:CALENDAR=US&amp;VAR:SYMBOL=EROC&amp;VAR:INDEX=0"}</definedName>
    <definedName name="_470__FDSAUDITLINK__" hidden="1">{"fdsup://IBCentral/FAT Viewer?action=UPDATE&amp;creator=factset&amp;DOC_NAME=fat:reuters_qtrly_source_window.fat&amp;display_string=Audit&amp;DYN_ARGS=TRUE&amp;VAR:ID1=65408610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1__FDSAUDITLINK__" hidden="1">{"fdsup://IBCentral/FAT Viewer?action=UPDATE&amp;creator=factset&amp;DOC_NAME=fat:reuters_qtrly_source_window.fat&amp;display_string=Audit&amp;DYN_ARGS=TRUE&amp;VAR:ID1=64602510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72__FDSAUDITLINK__" hidden="1">{"fdsup://IBCentral/FAT Viewer?action=UPDATE&amp;creator=factset&amp;DOC_NAME=fat:reuters_qtrly_source_window.fat&amp;display_string=Audit&amp;DYN_ARGS=TRUE&amp;VAR:ID1=64602510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73__FDSAUDITLINK__" hidden="1">{"fdsup://IBCentral/FAT Viewer?action=UPDATE&amp;creator=factset&amp;DOC_NAME=fat:reuters_qtrly_source_window.fat&amp;display_string=Audit&amp;DYN_ARGS=TRUE&amp;VAR:ID1=64602510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4__FDSAUDITLINK__" hidden="1">{"fdsup://IBCentral/FAT Viewer?action=UPDATE&amp;creator=factset&amp;DOC_NAME=fat:reuters_qtrly_source_window.fat&amp;display_string=Audit&amp;DYN_ARGS=TRUE&amp;VAR:ID1=64602510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5__FDSAUDITLINK__" hidden="1">{"fdsup://IBCentral/FAT Viewer?action=UPDATE&amp;creator=factset&amp;DOC_NAME=fat:reuters_qtrly_source_window.fat&amp;display_string=Audit&amp;DYN_ARGS=TRUE&amp;VAR:ID1=64602510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6__FDSAUDITLINK__" hidden="1">{"fdsup://IBCentral/FAT Viewer?action=UPDATE&amp;creator=factset&amp;DOC_NAME=fat:reuters_qtrly_source_window.fat&amp;display_string=Audit&amp;DYN_ARGS=TRUE&amp;VAR:ID1=64602510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7__FDSAUDITLINK__" hidden="1">{"fdsup://IBCentral/FAT Viewer?action=UPDATE&amp;creator=factset&amp;DOC_NAME=fat:reuters_qtrly_source_window.fat&amp;display_string=Audit&amp;DYN_ARGS=TRUE&amp;VAR:ID1=64602510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8__FDSAUDITLINK__" hidden="1">{"fdsup://IBCentral/FAT Viewer?action=UPDATE&amp;creator=factset&amp;DOC_NAME=fat:reuters_qtrly_source_window.fat&amp;display_string=Audit&amp;DYN_ARGS=TRUE&amp;VAR:ID1=64602510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9__FDSAUDITLINK__" hidden="1">{"fdsup://IBCentral/FAT Viewer?action=UPDATE&amp;creator=factset&amp;DOC_NAME=fat:reuters_qtrly_source_window.fat&amp;display_string=Audit&amp;DYN_ARGS=TRUE&amp;VAR:ID1=81685110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8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480__FDSAUDITLINK__" hidden="1">{"fdsup://IBCentral/FAT Viewer?action=UPDATE&amp;creator=factset&amp;DOC_NAME=fat:reuters_qtrly_source_window.fat&amp;display_string=Audit&amp;DYN_ARGS=TRUE&amp;VAR:ID1=81685110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81__FDSAUDITLINK__" hidden="1">{"fdsup://IBCentral/FAT Viewer?action=UPDATE&amp;creator=factset&amp;DOC_NAME=fat:reuters_qtrly_source_window.fat&amp;display_string=Audit&amp;DYN_ARGS=TRUE&amp;VAR:ID1=81685110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2__FDSAUDITLINK__" hidden="1">{"fdsup://IBCentral/FAT Viewer?action=UPDATE&amp;creator=factset&amp;DOC_NAME=fat:reuters_qtrly_source_window.fat&amp;display_string=Audit&amp;DYN_ARGS=TRUE&amp;VAR:ID1=81685110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3__FDSAUDITLINK__" hidden="1">{"fdsup://IBCentral/FAT Viewer?action=UPDATE&amp;creator=factset&amp;DOC_NAME=fat:reuters_qtrly_source_window.fat&amp;display_string=Audit&amp;DYN_ARGS=TRUE&amp;VAR:ID1=81685110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4__FDSAUDITLINK__" hidden="1">{"fdsup://IBCentral/FAT Viewer?action=UPDATE&amp;creator=factset&amp;DOC_NAME=fat:reuters_qtrly_source_window.fat&amp;display_string=Audit&amp;DYN_ARGS=TRUE&amp;VAR:ID1=81685110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5__FDSAUDITLINK__" hidden="1">{"fdsup://IBCentral/FAT Viewer?action=UPDATE&amp;creator=factset&amp;DOC_NAME=fat:reuters_qtrly_source_window.fat&amp;display_string=Audit&amp;DYN_ARGS=TRUE&amp;VAR:ID1=81685110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6__FDSAUDITLINK__" hidden="1">{"fdsup://IBCentral/FAT Viewer?action=UPDATE&amp;creator=factset&amp;DOC_NAME=fat:reuters_qtrly_source_window.fat&amp;display_string=Audit&amp;DYN_ARGS=TRUE&amp;VAR:ID1=81685110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7__FDSAUDITLINK__" hidden="1">{"fdsup://IBCentral/FAT Viewer?action=UPDATE&amp;creator=factset&amp;DOC_NAME=fat:reuters_qtrly_source_window.fat&amp;display_string=Audit&amp;DYN_ARGS=TRUE&amp;VAR:ID1=26884L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488__FDSAUDITLINK__" hidden="1">{"fdsup://IBCentral/FAT Viewer?action=UPDATE&amp;creator=factset&amp;DOC_NAME=fat:reuters_qtrly_source_window.fat&amp;display_string=Audit&amp;DYN_ARGS=TRUE&amp;VAR:ID1=26884L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489__FDSAUDITLINK__" hidden="1">{"fdsup://IBCentral/FAT Viewer?action=UPDATE&amp;creator=factset&amp;DOC_NAME=fat:reuters_qtrly_source_window.fat&amp;display_string=Audit&amp;DYN_ARGS=TRUE&amp;VAR:ID1=26884L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490__FDSAUDITLINK__" hidden="1">{"fdsup://IBCentral/FAT Viewer?action=UPDATE&amp;creator=factset&amp;DOC_NAME=fat:reuters_qtrly_source_window.fat&amp;display_string=Audit&amp;DYN_ARGS=TRUE&amp;VAR:ID1=26884L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1__FDSAUDITLINK__" hidden="1">{"fdsup://IBCentral/FAT Viewer?action=UPDATE&amp;creator=factset&amp;DOC_NAME=fat:reuters_qtrly_source_window.fat&amp;display_string=Audit&amp;DYN_ARGS=TRUE&amp;VAR:ID1=26884L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2__FDSAUDITLINK__" hidden="1">{"fdsup://IBCentral/FAT Viewer?action=UPDATE&amp;creator=factset&amp;DOC_NAME=fat:reuters_qtrly_source_window.fat&amp;display_string=Audit&amp;DYN_ARGS=TRUE&amp;VAR:ID1=26884L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3__FDSAUDITLINK__" hidden="1">{"fdsup://IBCentral/FAT Viewer?action=UPDATE&amp;creator=factset&amp;DOC_NAME=fat:reuters_qtrly_source_window.fat&amp;display_string=Audit&amp;DYN_ARGS=TRUE&amp;VAR:ID1=26884L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4__FDSAUDITLINK__" hidden="1">{"fdsup://IBCentral/FAT Viewer?action=UPDATE&amp;creator=factset&amp;DOC_NAME=fat:reuters_qtrly_source_window.fat&amp;display_string=Audit&amp;DYN_ARGS=TRUE&amp;VAR:ID1=26884L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5__FDSAUDITLINK__" hidden="1">{"fdsup://IBCentral/FAT Viewer?action=UPDATE&amp;creator=factset&amp;DOC_NAME=fat:reuters_qtrly_source_window.fat&amp;display_string=Audit&amp;DYN_ARGS=TRUE&amp;VAR:ID1=211850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496__FDSAUDITLINK__" hidden="1">{"fdsup://IBCentral/FAT Viewer?action=UPDATE&amp;creator=factset&amp;DOC_NAME=fat:reuters_qtrly_source_window.fat&amp;display_string=Audit&amp;DYN_ARGS=TRUE&amp;VAR:ID1=211850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497__FDSAUDITLINK__" hidden="1">{"fdsup://IBCentral/FAT Viewer?action=UPDATE&amp;creator=factset&amp;DOC_NAME=fat:reuters_qtrly_source_window.fat&amp;display_string=Audit&amp;DYN_ARGS=TRUE&amp;VAR:ID1=211850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498__FDSAUDITLINK__" hidden="1">{"fdsup://IBCentral/FAT Viewer?action=UPDATE&amp;creator=factset&amp;DOC_NAME=fat:reuters_qtrly_source_window.fat&amp;display_string=Audit&amp;DYN_ARGS=TRUE&amp;VAR:ID1=211850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499__FDSAUDITLINK__" hidden="1">{"fdsup://IBCentral/FAT Viewer?action=UPDATE&amp;creator=factset&amp;DOC_NAME=fat:reuters_qtrly_source_window.fat&amp;display_string=Audit&amp;DYN_ARGS=TRUE&amp;VAR:ID1=211850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__FDSAUDITLINK__" hidden="1">{"fdsup://directions/FAT Viewer?action=UPDATE&amp;creator=factset&amp;DYN_ARGS=TRUE&amp;DOC_NAME=FAT:FQL_AUDITING_CLIENT_TEMPLATE.FAT&amp;display_string=Audit&amp;VAR:KEY=XUNOBIDYXK&amp;VAR:QUERY=RkZfREVCVChBTk4sMjAwOSk=&amp;WINDOW=FIRST_POPUP&amp;HEIGHT=450&amp;WIDTH=450&amp;START_MAXIMIZED=FALS","E&amp;VAR:CALENDAR=US&amp;VAR:SYMBOL=CMLP&amp;VAR:INDEX=0"}</definedName>
    <definedName name="_50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500__FDSAUDITLINK__" hidden="1">{"fdsup://IBCentral/FAT Viewer?action=UPDATE&amp;creator=factset&amp;DOC_NAME=fat:reuters_qtrly_source_window.fat&amp;display_string=Audit&amp;DYN_ARGS=TRUE&amp;VAR:ID1=211850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1__FDSAUDITLINK__" hidden="1">{"fdsup://IBCentral/FAT Viewer?action=UPDATE&amp;creator=factset&amp;DOC_NAME=fat:reuters_qtrly_source_window.fat&amp;display_string=Audit&amp;DYN_ARGS=TRUE&amp;VAR:ID1=211850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2__FDSAUDITLINK__" hidden="1">{"fdsup://IBCentral/FAT Viewer?action=UPDATE&amp;creator=factset&amp;DOC_NAME=fat:reuters_qtrly_source_window.fat&amp;display_string=Audit&amp;DYN_ARGS=TRUE&amp;VAR:ID1=211850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3__FDSAUDITLINK__" hidden="1">{"fdsup://IBCentral/FAT Viewer?action=UPDATE&amp;creator=factset&amp;DOC_NAME=fat:reuters_qtrly_source_window.fat&amp;display_string=Audit&amp;DYN_ARGS=TRUE&amp;VAR:ID1=231909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504__FDSAUDITLINK__" hidden="1">{"fdsup://IBCentral/FAT Viewer?action=UPDATE&amp;creator=factset&amp;DOC_NAME=fat:reuters_qtrly_source_window.fat&amp;display_string=Audit&amp;DYN_ARGS=TRUE&amp;VAR:ID1=231909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505__FDSAUDITLINK__" hidden="1">{"fdsup://IBCentral/FAT Viewer?action=UPDATE&amp;creator=factset&amp;DOC_NAME=fat:reuters_qtrly_source_window.fat&amp;display_string=Audit&amp;DYN_ARGS=TRUE&amp;VAR:ID1=231909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6__FDSAUDITLINK__" hidden="1">{"fdsup://IBCentral/FAT Viewer?action=UPDATE&amp;creator=factset&amp;DOC_NAME=fat:reuters_qtrly_source_window.fat&amp;display_string=Audit&amp;DYN_ARGS=TRUE&amp;VAR:ID1=231909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7__FDSAUDITLINK__" hidden="1">{"fdsup://IBCentral/FAT Viewer?action=UPDATE&amp;creator=factset&amp;DOC_NAME=fat:reuters_qtrly_source_window.fat&amp;display_string=Audit&amp;DYN_ARGS=TRUE&amp;VAR:ID1=231909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8__FDSAUDITLINK__" hidden="1">{"fdsup://IBCentral/FAT Viewer?action=UPDATE&amp;creator=factset&amp;DOC_NAME=fat:reuters_qtrly_source_window.fat&amp;display_string=Audit&amp;DYN_ARGS=TRUE&amp;VAR:ID1=231909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09__FDSAUDITLINK__" hidden="1">{"fdsup://IBCentral/FAT Viewer?action=UPDATE&amp;creator=factset&amp;DOC_NAME=fat:reuters_qtrly_source_window.fat&amp;display_string=Audit&amp;DYN_ARGS=TRUE&amp;VAR:ID1=231909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510__FDSAUDITLINK__" hidden="1">{"fdsup://IBCentral/FAT Viewer?action=UPDATE&amp;creator=factset&amp;DOC_NAME=fat:reuters_qtrly_source_window.fat&amp;display_string=Audit&amp;DYN_ARGS=TRUE&amp;VAR:ID1=231909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1__FDSAUDITLINK__" hidden="1">{"fdsup://IBCentral/FAT Viewer?action=UPDATE&amp;creator=factset&amp;DOC_NAME=fat:reuters_qtrly_source_window.fat&amp;display_string=Audit&amp;DYN_ARGS=TRUE&amp;VAR:ID1=213950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512__FDSAUDITLINK__" hidden="1">{"fdsup://IBCentral/FAT Viewer?action=UPDATE&amp;creator=factset&amp;DOC_NAME=fat:reuters_qtrly_source_window.fat&amp;display_string=Audit&amp;DYN_ARGS=TRUE&amp;VAR:ID1=213950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513__FDSAUDITLINK__" hidden="1">{"fdsup://IBCentral/FAT Viewer?action=UPDATE&amp;creator=factset&amp;DOC_NAME=fat:reuters_qtrly_source_window.fat&amp;display_string=Audit&amp;DYN_ARGS=TRUE&amp;VAR:ID1=213950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4__FDSAUDITLINK__" hidden="1">{"fdsup://IBCentral/FAT Viewer?action=UPDATE&amp;creator=factset&amp;DOC_NAME=fat:reuters_qtrly_source_window.fat&amp;display_string=Audit&amp;DYN_ARGS=TRUE&amp;VAR:ID1=213950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5__FDSAUDITLINK__" hidden="1">{"fdsup://IBCentral/FAT Viewer?action=UPDATE&amp;creator=factset&amp;DOC_NAME=fat:reuters_qtrly_source_window.fat&amp;display_string=Audit&amp;DYN_ARGS=TRUE&amp;VAR:ID1=213950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6__FDSAUDITLINK__" hidden="1">{"fdsup://IBCentral/FAT Viewer?action=UPDATE&amp;creator=factset&amp;DOC_NAME=fat:reuters_qtrly_source_window.fat&amp;display_string=Audit&amp;DYN_ARGS=TRUE&amp;VAR:ID1=213950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7__FDSAUDITLINK__" hidden="1">{"fdsup://IBCentral/FAT Viewer?action=UPDATE&amp;creator=factset&amp;DOC_NAME=fat:reuters_qtrly_source_window.fat&amp;display_string=Audit&amp;DYN_ARGS=TRUE&amp;VAR:ID1=213950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8__FDSAUDITLINK__" hidden="1">{"fdsup://IBCentral/FAT Viewer?action=UPDATE&amp;creator=factset&amp;DOC_NAME=fat:reuters_qtrly_source_window.fat&amp;display_string=Audit&amp;DYN_ARGS=TRUE&amp;VAR:ID1=213950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19__FDSAUDITLINK__" hidden="1">{"fdsup://IBCentral/FAT Viewer?action=UPDATE&amp;creator=factset&amp;DOC_NAME=fat:reuters_qtrly_source_window.fat&amp;display_string=Audit&amp;DYN_ARGS=TRUE&amp;VAR:ID1=236241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52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520__FDSAUDITLINK__" hidden="1">{"fdsup://IBCentral/FAT Viewer?action=UPDATE&amp;creator=factset&amp;DOC_NAME=fat:reuters_qtrly_source_window.fat&amp;display_string=Audit&amp;DYN_ARGS=TRUE&amp;VAR:ID1=236241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521__FDSAUDITLINK__" hidden="1">{"fdsup://IBCentral/FAT Viewer?action=UPDATE&amp;creator=factset&amp;DOC_NAME=fat:reuters_qtrly_source_window.fat&amp;display_string=Audit&amp;DYN_ARGS=TRUE&amp;VAR:ID1=236241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22__FDSAUDITLINK__" hidden="1">{"fdsup://IBCentral/FAT Viewer?action=UPDATE&amp;creator=factset&amp;DOC_NAME=fat:reuters_qtrly_source_window.fat&amp;display_string=Audit&amp;DYN_ARGS=TRUE&amp;VAR:ID1=236241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23__FDSAUDITLINK__" hidden="1">{"fdsup://IBCentral/FAT Viewer?action=UPDATE&amp;creator=factset&amp;DOC_NAME=fat:reuters_qtrly_source_window.fat&amp;display_string=Audit&amp;DYN_ARGS=TRUE&amp;VAR:ID1=236241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24__FDSAUDITLINK__" hidden="1">{"fdsup://IBCentral/FAT Viewer?action=UPDATE&amp;creator=factset&amp;DOC_NAME=fat:reuters_qtrly_source_window.fat&amp;display_string=Audit&amp;DYN_ARGS=TRUE&amp;VAR:ID1=236241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25__FDSAUDITLINK__" hidden="1">{"fdsup://IBCentral/FAT Viewer?action=UPDATE&amp;creator=factset&amp;DOC_NAME=fat:reuters_qtrly_source_window.fat&amp;display_string=Audit&amp;DYN_ARGS=TRUE&amp;VAR:ID1=236241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26__FDSAUDITLINK__" hidden="1">{"fdsup://IBCentral/FAT Viewer?action=UPDATE&amp;creator=factset&amp;DOC_NAME=fat:reuters_qtrly_source_window.fat&amp;display_string=Audit&amp;DYN_ARGS=TRUE&amp;VAR:ID1=236241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27__FDSAUDITLINK__" hidden="1">{"fdsup://IBCentral/FAT Viewer?action=UPDATE&amp;creator=factset&amp;DOC_NAME=fat:reuters_qtrly_source_window.fat&amp;display_string=Audit&amp;DYN_ARGS=TRUE&amp;VAR:ID1=266518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528__FDSAUDITLINK__" hidden="1">{"fdsup://IBCentral/FAT Viewer?action=UPDATE&amp;creator=factset&amp;DOC_NAME=fat:reuters_qtrly_source_window.fat&amp;display_string=Audit&amp;DYN_ARGS=TRUE&amp;VAR:ID1=266518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529__FDSAUDITLINK__" hidden="1">{"fdsup://IBCentral/FAT Viewer?action=UPDATE&amp;creator=factset&amp;DOC_NAME=fat:reuters_qtrly_source_window.fat&amp;display_string=Audit&amp;DYN_ARGS=TRUE&amp;VAR:ID1=266518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530__FDSAUDITLINK__" hidden="1">{"fdsup://IBCentral/FAT Viewer?action=UPDATE&amp;creator=factset&amp;DOC_NAME=fat:reuters_qtrly_source_window.fat&amp;display_string=Audit&amp;DYN_ARGS=TRUE&amp;VAR:ID1=266518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1__FDSAUDITLINK__" hidden="1">{"fdsup://IBCentral/FAT Viewer?action=UPDATE&amp;creator=factset&amp;DOC_NAME=fat:reuters_qtrly_source_window.fat&amp;display_string=Audit&amp;DYN_ARGS=TRUE&amp;VAR:ID1=266518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2__FDSAUDITLINK__" hidden="1">{"fdsup://IBCentral/FAT Viewer?action=UPDATE&amp;creator=factset&amp;DOC_NAME=fat:reuters_qtrly_source_window.fat&amp;display_string=Audit&amp;DYN_ARGS=TRUE&amp;VAR:ID1=266518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3__FDSAUDITLINK__" hidden="1">{"fdsup://IBCentral/FAT Viewer?action=UPDATE&amp;creator=factset&amp;DOC_NAME=fat:reuters_qtrly_source_window.fat&amp;display_string=Audit&amp;DYN_ARGS=TRUE&amp;VAR:ID1=266518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4__FDSAUDITLINK__" hidden="1">{"fdsup://IBCentral/FAT Viewer?action=UPDATE&amp;creator=factset&amp;DOC_NAME=fat:reuters_qtrly_source_window.fat&amp;display_string=Audit&amp;DYN_ARGS=TRUE&amp;VAR:ID1=266518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5__FDSAUDITLINK__" hidden="1">{"fdsup://IBCentral/FAT Viewer?action=UPDATE&amp;creator=factset&amp;DOC_NAME=fat:reuters_qtrly_source_window.fat&amp;display_string=Audit&amp;DYN_ARGS=TRUE&amp;VAR:ID1=246614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536__FDSAUDITLINK__" hidden="1">{"fdsup://IBCentral/FAT Viewer?action=UPDATE&amp;creator=factset&amp;DOC_NAME=fat:reuters_qtrly_source_window.fat&amp;display_string=Audit&amp;DYN_ARGS=TRUE&amp;VAR:ID1=246614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537__FDSAUDITLINK__" hidden="1">{"fdsup://IBCentral/FAT Viewer?action=UPDATE&amp;creator=factset&amp;DOC_NAME=fat:reuters_qtrly_source_window.fat&amp;display_string=Audit&amp;DYN_ARGS=TRUE&amp;VAR:ID1=246614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8__FDSAUDITLINK__" hidden="1">{"fdsup://IBCentral/FAT Viewer?action=UPDATE&amp;creator=factset&amp;DOC_NAME=fat:reuters_qtrly_source_window.fat&amp;display_string=Audit&amp;DYN_ARGS=TRUE&amp;VAR:ID1=246614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39__FDSAUDITLINK__" hidden="1">{"fdsup://IBCentral/FAT Viewer?action=UPDATE&amp;creator=factset&amp;DOC_NAME=fat:reuters_qtrly_source_window.fat&amp;display_string=Audit&amp;DYN_ARGS=TRUE&amp;VAR:ID1=246614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4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540__FDSAUDITLINK__" hidden="1">{"fdsup://IBCentral/FAT Viewer?action=UPDATE&amp;creator=factset&amp;DOC_NAME=fat:reuters_qtrly_source_window.fat&amp;display_string=Audit&amp;DYN_ARGS=TRUE&amp;VAR:ID1=246614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41__FDSAUDITLINK__" hidden="1">{"fdsup://IBCentral/FAT Viewer?action=UPDATE&amp;creator=factset&amp;DOC_NAME=fat:reuters_qtrly_source_window.fat&amp;display_string=Audit&amp;DYN_ARGS=TRUE&amp;VAR:ID1=246614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42__FDSAUDITLINK__" hidden="1">{"fdsup://IBCentral/FAT Viewer?action=UPDATE&amp;creator=factset&amp;DOC_NAME=fat:reuters_qtrly_source_window.fat&amp;display_string=Audit&amp;DYN_ARGS=TRUE&amp;VAR:ID1=246614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543__FDSAUDITLINK__" hidden="1">{"fdsup://IBCentral/FAT Viewer?action=UPDATE&amp;creator=factset&amp;DOC_NAME=fat:reuters_qtrly_source_window.fat&amp;display_string=Audit&amp;DYN_ARGS=TRUE&amp;VAR:ID1=16411R20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44__FDSAUDITLINK__" hidden="1">{"fdsup://IBCentral/FAT Viewer?action=UPDATE&amp;creator=factset&amp;DOC_NAME=fat:reuters_qtrly_source_window.fat&amp;display_string=Audit&amp;DYN_ARGS=TRUE&amp;VAR:ID1=16411R20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45__FDSAUDITLINK__" hidden="1">{"fdsup://IBCentral/FAT Viewer?action=UPDATE&amp;creator=factset&amp;DOC_NAME=fat:reuters_qtrly_source_window.fat&amp;display_string=Audit&amp;DYN_ARGS=TRUE&amp;VAR:ID1=16411R20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6__FDSAUDITLINK__" hidden="1">{"fdsup://IBCentral/FAT Viewer?action=UPDATE&amp;creator=factset&amp;DOC_NAME=fat:reuters_qtrly_source_window.fat&amp;display_string=Audit&amp;DYN_ARGS=TRUE&amp;VAR:ID1=16411R20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7__FDSAUDITLINK__" hidden="1">{"fdsup://IBCentral/FAT Viewer?action=UPDATE&amp;creator=factset&amp;DOC_NAME=fat:reuters_qtrly_source_window.fat&amp;display_string=Audit&amp;DYN_ARGS=TRUE&amp;VAR:ID1=16411R20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8__FDSAUDITLINK__" hidden="1">{"fdsup://IBCentral/FAT Viewer?action=UPDATE&amp;creator=factset&amp;DOC_NAME=fat:reuters_qtrly_source_window.fat&amp;display_string=Audit&amp;DYN_ARGS=TRUE&amp;VAR:ID1=16411R20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9__FDSAUDITLINK__" hidden="1">{"fdsup://IBCentral/FAT Viewer?action=UPDATE&amp;creator=factset&amp;DOC_NAME=fat:reuters_qtrly_source_window.fat&amp;display_string=Audit&amp;DYN_ARGS=TRUE&amp;VAR:ID1=16411R20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550__FDSAUDITLINK__" hidden="1">{"fdsup://IBCentral/FAT Viewer?action=UPDATE&amp;creator=factset&amp;DOC_NAME=fat:reuters_qtrly_source_window.fat&amp;display_string=Audit&amp;DYN_ARGS=TRUE&amp;VAR:ID1=16411R20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1__FDSAUDITLINK__" hidden="1">{"fdsup://IBCentral/FAT Viewer?action=UPDATE&amp;creator=factset&amp;DOC_NAME=fat:reuters_qtrly_source_window.fat&amp;display_string=Audit&amp;DYN_ARGS=TRUE&amp;VAR:ID1=90268110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52__FDSAUDITLINK__" hidden="1">{"fdsup://IBCentral/FAT Viewer?action=UPDATE&amp;creator=factset&amp;DOC_NAME=fat:reuters_qtrly_source_window.fat&amp;display_string=Audit&amp;DYN_ARGS=TRUE&amp;VAR:ID1=90268110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53__FDSAUDITLINK__" hidden="1">{"fdsup://IBCentral/FAT Viewer?action=UPDATE&amp;creator=factset&amp;DOC_NAME=fat:reuters_qtrly_source_window.fat&amp;display_string=Audit&amp;DYN_ARGS=TRUE&amp;VAR:ID1=90268110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4__FDSAUDITLINK__" hidden="1">{"fdsup://IBCentral/FAT Viewer?action=UPDATE&amp;creator=factset&amp;DOC_NAME=fat:reuters_qtrly_source_window.fat&amp;display_string=Audit&amp;DYN_ARGS=TRUE&amp;VAR:ID1=90268110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5__FDSAUDITLINK__" hidden="1">{"fdsup://IBCentral/FAT Viewer?action=UPDATE&amp;creator=factset&amp;DOC_NAME=fat:reuters_qtrly_source_window.fat&amp;display_string=Audit&amp;DYN_ARGS=TRUE&amp;VAR:ID1=90268110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6__FDSAUDITLINK__" hidden="1">{"fdsup://IBCentral/FAT Viewer?action=UPDATE&amp;creator=factset&amp;DOC_NAME=fat:reuters_qtrly_source_window.fat&amp;display_string=Audit&amp;DYN_ARGS=TRUE&amp;VAR:ID1=90268110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7__FDSAUDITLINK__" hidden="1">{"fdsup://IBCentral/FAT Viewer?action=UPDATE&amp;creator=factset&amp;DOC_NAME=fat:reuters_qtrly_source_window.fat&amp;display_string=Audit&amp;DYN_ARGS=TRUE&amp;VAR:ID1=90268110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8__FDSAUDITLINK__" hidden="1">{"fdsup://IBCentral/FAT Viewer?action=UPDATE&amp;creator=factset&amp;DOC_NAME=fat:reuters_qtrly_source_window.fat&amp;display_string=Audit&amp;DYN_ARGS=TRUE&amp;VAR:ID1=90268110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9__FDSAUDITLINK__" hidden="1">{"fdsup://IBCentral/FAT Viewer?action=UPDATE&amp;creator=factset&amp;DOC_NAME=fat:reuters_qtrly_source_window.fat&amp;display_string=Audit&amp;DYN_ARGS=TRUE&amp;VAR:ID1=65473P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6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560__FDSAUDITLINK__" hidden="1">{"fdsup://IBCentral/FAT Viewer?action=UPDATE&amp;creator=factset&amp;DOC_NAME=fat:reuters_qtrly_source_window.fat&amp;display_string=Audit&amp;DYN_ARGS=TRUE&amp;VAR:ID1=65473P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61__FDSAUDITLINK__" hidden="1">{"fdsup://IBCentral/FAT Viewer?action=UPDATE&amp;creator=factset&amp;DOC_NAME=fat:reuters_qtrly_source_window.fat&amp;display_string=Audit&amp;DYN_ARGS=TRUE&amp;VAR:ID1=65473P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2__FDSAUDITLINK__" hidden="1">{"fdsup://IBCentral/FAT Viewer?action=UPDATE&amp;creator=factset&amp;DOC_NAME=fat:reuters_qtrly_source_window.fat&amp;display_string=Audit&amp;DYN_ARGS=TRUE&amp;VAR:ID1=65473P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3__FDSAUDITLINK__" hidden="1">{"fdsup://IBCentral/FAT Viewer?action=UPDATE&amp;creator=factset&amp;DOC_NAME=fat:reuters_qtrly_source_window.fat&amp;display_string=Audit&amp;DYN_ARGS=TRUE&amp;VAR:ID1=65473P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4__FDSAUDITLINK__" hidden="1">{"fdsup://IBCentral/FAT Viewer?action=UPDATE&amp;creator=factset&amp;DOC_NAME=fat:reuters_qtrly_source_window.fat&amp;display_string=Audit&amp;DYN_ARGS=TRUE&amp;VAR:ID1=65473P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5__FDSAUDITLINK__" hidden="1">{"fdsup://IBCentral/FAT Viewer?action=UPDATE&amp;creator=factset&amp;DOC_NAME=fat:reuters_qtrly_source_window.fat&amp;display_string=Audit&amp;DYN_ARGS=TRUE&amp;VAR:ID1=65473P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6__FDSAUDITLINK__" hidden="1">{"fdsup://IBCentral/FAT Viewer?action=UPDATE&amp;creator=factset&amp;DOC_NAME=fat:reuters_qtrly_source_window.fat&amp;display_string=Audit&amp;DYN_ARGS=TRUE&amp;VAR:ID1=65473P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7__FDSAUDITLINK__" hidden="1">{"fdsup://IBCentral/FAT Viewer?action=UPDATE&amp;creator=factset&amp;DOC_NAME=fat:reuters_qtrly_source_window.fat&amp;display_string=Audit&amp;DYN_ARGS=TRUE&amp;VAR:ID1=15189T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68__FDSAUDITLINK__" hidden="1">{"fdsup://IBCentral/FAT Viewer?action=UPDATE&amp;creator=factset&amp;DOC_NAME=fat:reuters_qtrly_source_window.fat&amp;display_string=Audit&amp;DYN_ARGS=TRUE&amp;VAR:ID1=15189T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69__FDSAUDITLINK__" hidden="1">{"fdsup://IBCentral/FAT Viewer?action=UPDATE&amp;creator=factset&amp;DOC_NAME=fat:reuters_qtrly_source_window.fat&amp;display_string=Audit&amp;DYN_ARGS=TRUE&amp;VAR:ID1=15189T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__FDSAUDITLINK__" hidden="1">{"fdsup://directions/FAT Viewer?action=UPDATE&amp;creator=factset&amp;DYN_ARGS=TRUE&amp;DOC_NAME=FAT:FQL_AUDITING_CLIENT_TEMPLATE.FAT&amp;display_string=Audit&amp;VAR:KEY=TYNEDYRWBQ&amp;VAR:QUERY=RkZfREVCVChBTk4sMjAwOSk=&amp;WINDOW=FIRST_POPUP&amp;HEIGHT=450&amp;WIDTH=450&amp;START_MAXIMIZED=FALS","E&amp;VAR:CALENDAR=US&amp;VAR:SYMBOL=EROC&amp;VAR:INDEX=0"}</definedName>
    <definedName name="_570__FDSAUDITLINK__" hidden="1">{"fdsup://IBCentral/FAT Viewer?action=UPDATE&amp;creator=factset&amp;DOC_NAME=fat:reuters_qtrly_source_window.fat&amp;display_string=Audit&amp;DYN_ARGS=TRUE&amp;VAR:ID1=15189T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1__FDSAUDITLINK__" hidden="1">{"fdsup://IBCentral/FAT Viewer?action=UPDATE&amp;creator=factset&amp;DOC_NAME=fat:reuters_qtrly_source_window.fat&amp;display_string=Audit&amp;DYN_ARGS=TRUE&amp;VAR:ID1=15189T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2__FDSAUDITLINK__" hidden="1">{"fdsup://IBCentral/FAT Viewer?action=UPDATE&amp;creator=factset&amp;DOC_NAME=fat:reuters_qtrly_source_window.fat&amp;display_string=Audit&amp;DYN_ARGS=TRUE&amp;VAR:ID1=15189T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3__FDSAUDITLINK__" hidden="1">{"fdsup://IBCentral/FAT Viewer?action=UPDATE&amp;creator=factset&amp;DOC_NAME=fat:reuters_qtrly_source_window.fat&amp;display_string=Audit&amp;DYN_ARGS=TRUE&amp;VAR:ID1=15189T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4__FDSAUDITLINK__" hidden="1">{"fdsup://IBCentral/FAT Viewer?action=UPDATE&amp;creator=factset&amp;DOC_NAME=fat:reuters_qtrly_source_window.fat&amp;display_string=Audit&amp;DYN_ARGS=TRUE&amp;VAR:ID1=15189T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5__FDSAUDITLINK__" hidden="1">{"fdsup://IBCentral/FAT Viewer?action=UPDATE&amp;creator=factset&amp;DOC_NAME=fat:reuters_qtrly_source_window.fat&amp;display_string=Audit&amp;DYN_ARGS=TRUE&amp;VAR:ID1=00120410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76__FDSAUDITLINK__" hidden="1">{"fdsup://IBCentral/FAT Viewer?action=UPDATE&amp;creator=factset&amp;DOC_NAME=fat:reuters_qtrly_source_window.fat&amp;display_string=Audit&amp;DYN_ARGS=TRUE&amp;VAR:ID1=00120410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77__FDSAUDITLINK__" hidden="1">{"fdsup://IBCentral/FAT Viewer?action=UPDATE&amp;creator=factset&amp;DOC_NAME=fat:reuters_qtrly_source_window.fat&amp;display_string=Audit&amp;DYN_ARGS=TRUE&amp;VAR:ID1=00120410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8__FDSAUDITLINK__" hidden="1">{"fdsup://IBCentral/FAT Viewer?action=UPDATE&amp;creator=factset&amp;DOC_NAME=fat:reuters_qtrly_source_window.fat&amp;display_string=Audit&amp;DYN_ARGS=TRUE&amp;VAR:ID1=00120410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9__FDSAUDITLINK__" hidden="1">{"fdsup://IBCentral/FAT Viewer?action=UPDATE&amp;creator=factset&amp;DOC_NAME=fat:reuters_qtrly_source_window.fat&amp;display_string=Audit&amp;DYN_ARGS=TRUE&amp;VAR:ID1=00120410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__FDSAUDITLINK__" hidden="1">{"fdsup://directions/FAT Viewer?action=UPDATE&amp;creator=factset&amp;DYN_ARGS=TRUE&amp;DOC_NAME=FAT:FQL_AUDITING_CLIENT_TEMPLATE.FAT&amp;display_string=Audit&amp;VAR:KEY=TYNEDYRWBQ&amp;VAR:QUERY=RkZfREVCVChBTk4sMjAwOSk=&amp;WINDOW=FIRST_POPUP&amp;HEIGHT=450&amp;WIDTH=450&amp;START_MAXIMIZED=FALS","E&amp;VAR:CALENDAR=US&amp;VAR:SYMBOL=EROC&amp;VAR:INDEX=0"}</definedName>
    <definedName name="_580__FDSAUDITLINK__" hidden="1">{"fdsup://IBCentral/FAT Viewer?action=UPDATE&amp;creator=factset&amp;DOC_NAME=fat:reuters_qtrly_source_window.fat&amp;display_string=Audit&amp;DYN_ARGS=TRUE&amp;VAR:ID1=00120410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1__FDSAUDITLINK__" hidden="1">{"fdsup://IBCentral/FAT Viewer?action=UPDATE&amp;creator=factset&amp;DOC_NAME=fat:reuters_qtrly_source_window.fat&amp;display_string=Audit&amp;DYN_ARGS=TRUE&amp;VAR:ID1=00120410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2__FDSAUDITLINK__" hidden="1">{"fdsup://IBCentral/FAT Viewer?action=UPDATE&amp;creator=factset&amp;DOC_NAME=fat:reuters_qtrly_source_window.fat&amp;display_string=Audit&amp;DYN_ARGS=TRUE&amp;VAR:ID1=00120410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3__FDSAUDITLINK__" hidden="1">{"fdsup://IBCentral/FAT Viewer?action=UPDATE&amp;creator=factset&amp;DOC_NAME=fat:reuters_qtrly_source_window.fat&amp;display_string=Audit&amp;DYN_ARGS=TRUE&amp;VAR:ID1=96945710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84__FDSAUDITLINK__" hidden="1">{"fdsup://IBCentral/FAT Viewer?action=UPDATE&amp;creator=factset&amp;DOC_NAME=fat:reuters_qtrly_source_window.fat&amp;display_string=Audit&amp;DYN_ARGS=TRUE&amp;VAR:ID1=96945710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85__FDSAUDITLINK__" hidden="1">{"fdsup://IBCentral/FAT Viewer?action=UPDATE&amp;creator=factset&amp;DOC_NAME=fat:reuters_qtrly_source_window.fat&amp;display_string=Audit&amp;DYN_ARGS=TRUE&amp;VAR:ID1=96945710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6__FDSAUDITLINK__" hidden="1">{"fdsup://IBCentral/FAT Viewer?action=UPDATE&amp;creator=factset&amp;DOC_NAME=fat:reuters_qtrly_source_window.fat&amp;display_string=Audit&amp;DYN_ARGS=TRUE&amp;VAR:ID1=96945710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7__FDSAUDITLINK__" hidden="1">{"fdsup://IBCentral/FAT Viewer?action=UPDATE&amp;creator=factset&amp;DOC_NAME=fat:reuters_qtrly_source_window.fat&amp;display_string=Audit&amp;DYN_ARGS=TRUE&amp;VAR:ID1=96945710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8__FDSAUDITLINK__" hidden="1">{"fdsup://IBCentral/FAT Viewer?action=UPDATE&amp;creator=factset&amp;DOC_NAME=fat:reuters_qtrly_source_window.fat&amp;display_string=Audit&amp;DYN_ARGS=TRUE&amp;VAR:ID1=96945710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9__FDSAUDITLINK__" hidden="1">{"fdsup://IBCentral/FAT Viewer?action=UPDATE&amp;creator=factset&amp;DOC_NAME=fat:reuters_qtrly_source_window.fat&amp;display_string=Audit&amp;DYN_ARGS=TRUE&amp;VAR:ID1=96945710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590__FDSAUDITLINK__" hidden="1">{"fdsup://IBCentral/FAT Viewer?action=UPDATE&amp;creator=factset&amp;DOC_NAME=fat:reuters_qtrly_source_window.fat&amp;display_string=Audit&amp;DYN_ARGS=TRUE&amp;VAR:ID1=96945710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1__FDSAUDITLINK__" hidden="1">{"fdsup://IBCentral/FAT Viewer?action=UPDATE&amp;creator=factset&amp;DOC_NAME=fat:reuters_qtrly_source_window.fat&amp;display_string=Audit&amp;DYN_ARGS=TRUE&amp;VAR:ID1=84756010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592__FDSAUDITLINK__" hidden="1">{"fdsup://IBCentral/FAT Viewer?action=UPDATE&amp;creator=factset&amp;DOC_NAME=fat:reuters_qtrly_source_window.fat&amp;display_string=Audit&amp;DYN_ARGS=TRUE&amp;VAR:ID1=84756010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593__FDSAUDITLINK__" hidden="1">{"fdsup://IBCentral/FAT Viewer?action=UPDATE&amp;creator=factset&amp;DOC_NAME=fat:reuters_qtrly_source_window.fat&amp;display_string=Audit&amp;DYN_ARGS=TRUE&amp;VAR:ID1=84756010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4__FDSAUDITLINK__" hidden="1">{"fdsup://IBCentral/FAT Viewer?action=UPDATE&amp;creator=factset&amp;DOC_NAME=fat:reuters_qtrly_source_window.fat&amp;display_string=Audit&amp;DYN_ARGS=TRUE&amp;VAR:ID1=84756010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5__FDSAUDITLINK__" hidden="1">{"fdsup://IBCentral/FAT Viewer?action=UPDATE&amp;creator=factset&amp;DOC_NAME=fat:reuters_qtrly_source_window.fat&amp;display_string=Audit&amp;DYN_ARGS=TRUE&amp;VAR:ID1=84756010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6__FDSAUDITLINK__" hidden="1">{"fdsup://IBCentral/FAT Viewer?action=UPDATE&amp;creator=factset&amp;DOC_NAME=fat:reuters_qtrly_source_window.fat&amp;display_string=Audit&amp;DYN_ARGS=TRUE&amp;VAR:ID1=84756010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7__FDSAUDITLINK__" hidden="1">{"fdsup://IBCentral/FAT Viewer?action=UPDATE&amp;creator=factset&amp;DOC_NAME=fat:reuters_qtrly_source_window.fat&amp;display_string=Audit&amp;DYN_ARGS=TRUE&amp;VAR:ID1=84756010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8__FDSAUDITLINK__" hidden="1">{"fdsup://IBCentral/FAT Viewer?action=UPDATE&amp;creator=factset&amp;DOC_NAME=fat:reuters_qtrly_source_window.fat&amp;display_string=Audit&amp;DYN_ARGS=TRUE&amp;VAR:ID1=84756010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9__FDSAUDITLINK__" hidden="1">{"fdsup://IBCentral/FAT Viewer?action=UPDATE&amp;creator=factset&amp;DOC_NAME=fat:reuters_qtrly_source_window.fat&amp;display_string=Audit&amp;DYN_ARGS=TRUE&amp;VAR:ID1=84403010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6__FDSAUDITLINK__" hidden="1">{"fdsup://directions/FAT Viewer?action=UPDATE&amp;creator=factset&amp;DYN_ARGS=TRUE&amp;DOC_NAME=FAT:FQL_AUDITING_CLIENT_TEMPLATE.FAT&amp;display_string=Audit&amp;VAR:KEY=XGXCNALUJK&amp;VAR:QUERY=RkZfREVCVChBTk4sMjAxMCk=&amp;WINDOW=FIRST_POPUP&amp;HEIGHT=450&amp;WIDTH=450&amp;START_MAXIMIZED=FALS","E&amp;VAR:CALENDAR=US&amp;VAR:SYMBOL=CMLP&amp;VAR:INDEX=0"}</definedName>
    <definedName name="_60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600__FDSAUDITLINK__" hidden="1">{"fdsup://IBCentral/FAT Viewer?action=UPDATE&amp;creator=factset&amp;DOC_NAME=fat:reuters_qtrly_source_window.fat&amp;display_string=Audit&amp;DYN_ARGS=TRUE&amp;VAR:ID1=84403010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601__FDSAUDITLINK__" hidden="1">{"fdsup://IBCentral/FAT Viewer?action=UPDATE&amp;creator=factset&amp;DOC_NAME=fat:reuters_qtrly_source_window.fat&amp;display_string=Audit&amp;DYN_ARGS=TRUE&amp;VAR:ID1=84403010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2__FDSAUDITLINK__" hidden="1">{"fdsup://IBCentral/FAT Viewer?action=UPDATE&amp;creator=factset&amp;DOC_NAME=fat:reuters_qtrly_source_window.fat&amp;display_string=Audit&amp;DYN_ARGS=TRUE&amp;VAR:ID1=84403010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3__FDSAUDITLINK__" hidden="1">{"fdsup://IBCentral/FAT Viewer?action=UPDATE&amp;creator=factset&amp;DOC_NAME=fat:reuters_qtrly_source_window.fat&amp;display_string=Audit&amp;DYN_ARGS=TRUE&amp;VAR:ID1=84403010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4__FDSAUDITLINK__" hidden="1">{"fdsup://IBCentral/FAT Viewer?action=UPDATE&amp;creator=factset&amp;DOC_NAME=fat:reuters_qtrly_source_window.fat&amp;display_string=Audit&amp;DYN_ARGS=TRUE&amp;VAR:ID1=84403010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5__FDSAUDITLINK__" hidden="1">{"fdsup://IBCentral/FAT Viewer?action=UPDATE&amp;creator=factset&amp;DOC_NAME=fat:reuters_qtrly_source_window.fat&amp;display_string=Audit&amp;DYN_ARGS=TRUE&amp;VAR:ID1=84403010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6__FDSAUDITLINK__" hidden="1">{"fdsup://IBCentral/FAT Viewer?action=UPDATE&amp;creator=factset&amp;DOC_NAME=fat:reuters_qtrly_source_window.fat&amp;display_string=Audit&amp;DYN_ARGS=TRUE&amp;VAR:ID1=84403010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7__FDSAUDITLINK__" hidden="1">{"fdsup://IBCentral/FAT Viewer?action=UPDATE&amp;creator=factset&amp;DOC_NAME=fat:reuters_qtrly_source_window.fat&amp;display_string=Audit&amp;DYN_ARGS=TRUE&amp;VAR:ID1=74835610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608__FDSAUDITLINK__" hidden="1">{"fdsup://IBCentral/FAT Viewer?action=UPDATE&amp;creator=factset&amp;DOC_NAME=fat:reuters_qtrly_source_window.fat&amp;display_string=Audit&amp;DYN_ARGS=TRUE&amp;VAR:ID1=74835610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609__FDSAUDITLINK__" hidden="1">{"fdsup://IBCentral/FAT Viewer?action=UPDATE&amp;creator=factset&amp;DOC_NAME=fat:reuters_qtrly_source_window.fat&amp;display_string=Audit&amp;DYN_ARGS=TRUE&amp;VAR:ID1=74835610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__FDSAUDITLINK__" hidden="1">{"fdsup://directions/FAT Viewer?action=UPDATE&amp;creator=factset&amp;DYN_ARGS=TRUE&amp;DOC_NAME=FAT:FQL_AUDITING_CLIENT_TEMPLATE.FAT&amp;display_string=Audit&amp;VAR:KEY=TSDUBSJCPM&amp;VAR:QUERY=RkZfREVCVChBTk4sMjAxMCk=&amp;WINDOW=FIRST_POPUP&amp;HEIGHT=450&amp;WIDTH=450&amp;START_MAXIMIZED=FALS","E&amp;VAR:CALENDAR=US&amp;VAR:SYMBOL=CMLP&amp;VAR:INDEX=0"}</definedName>
    <definedName name="_610__FDSAUDITLINK__" hidden="1">{"fdsup://IBCentral/FAT Viewer?action=UPDATE&amp;creator=factset&amp;DOC_NAME=fat:reuters_qtrly_source_window.fat&amp;display_string=Audit&amp;DYN_ARGS=TRUE&amp;VAR:ID1=74835610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1__FDSAUDITLINK__" hidden="1">{"fdsup://IBCentral/FAT Viewer?action=UPDATE&amp;creator=factset&amp;DOC_NAME=fat:reuters_qtrly_source_window.fat&amp;display_string=Audit&amp;DYN_ARGS=TRUE&amp;VAR:ID1=74835610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2__FDSAUDITLINK__" hidden="1">{"fdsup://IBCentral/FAT Viewer?action=UPDATE&amp;creator=factset&amp;DOC_NAME=fat:reuters_qtrly_source_window.fat&amp;display_string=Audit&amp;DYN_ARGS=TRUE&amp;VAR:ID1=74835610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3__FDSAUDITLINK__" hidden="1">{"fdsup://IBCentral/FAT Viewer?action=UPDATE&amp;creator=factset&amp;DOC_NAME=fat:reuters_qtrly_source_window.fat&amp;display_string=Audit&amp;DYN_ARGS=TRUE&amp;VAR:ID1=74835610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4__FDSAUDITLINK__" hidden="1">{"fdsup://IBCentral/FAT Viewer?action=UPDATE&amp;creator=factset&amp;DOC_NAME=fat:reuters_qtrly_source_window.fat&amp;display_string=Audit&amp;DYN_ARGS=TRUE&amp;VAR:ID1=74835610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5__FDSAUDITLINK__" hidden="1">{"fdsup://IBCentral/FAT Viewer?action=UPDATE&amp;creator=factset&amp;DOC_NAME=fat:reuters_qtrly_source_window.fat&amp;display_string=Audit&amp;DYN_ARGS=TRUE&amp;VAR:ID1=68268010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616__FDSAUDITLINK__" hidden="1">{"fdsup://IBCentral/FAT Viewer?action=UPDATE&amp;creator=factset&amp;DOC_NAME=fat:reuters_qtrly_source_window.fat&amp;display_string=Audit&amp;DYN_ARGS=TRUE&amp;VAR:ID1=68268010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617__FDSAUDITLINK__" hidden="1">{"fdsup://IBCentral/FAT Viewer?action=UPDATE&amp;creator=factset&amp;DOC_NAME=fat:reuters_qtrly_source_window.fat&amp;display_string=Audit&amp;DYN_ARGS=TRUE&amp;VAR:ID1=68268010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8__FDSAUDITLINK__" hidden="1">{"fdsup://IBCentral/FAT Viewer?action=UPDATE&amp;creator=factset&amp;DOC_NAME=fat:reuters_qtrly_source_window.fat&amp;display_string=Audit&amp;DYN_ARGS=TRUE&amp;VAR:ID1=68268010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9__FDSAUDITLINK__" hidden="1">{"fdsup://IBCentral/FAT Viewer?action=UPDATE&amp;creator=factset&amp;DOC_NAME=fat:reuters_qtrly_source_window.fat&amp;display_string=Audit&amp;DYN_ARGS=TRUE&amp;VAR:ID1=68268010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620__FDSAUDITLINK__" hidden="1">{"fdsup://IBCentral/FAT Viewer?action=UPDATE&amp;creator=factset&amp;DOC_NAME=fat:reuters_qtrly_source_window.fat&amp;display_string=Audit&amp;DYN_ARGS=TRUE&amp;VAR:ID1=68268010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1__FDSAUDITLINK__" hidden="1">{"fdsup://IBCentral/FAT Viewer?action=UPDATE&amp;creator=factset&amp;DOC_NAME=fat:reuters_qtrly_source_window.fat&amp;display_string=Audit&amp;DYN_ARGS=TRUE&amp;VAR:ID1=68268010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2__FDSAUDITLINK__" hidden="1">{"fdsup://IBCentral/FAT Viewer?action=UPDATE&amp;creator=factset&amp;DOC_NAME=fat:reuters_qtrly_source_window.fat&amp;display_string=Audit&amp;DYN_ARGS=TRUE&amp;VAR:ID1=68268010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3__FDSAUDITLINK__" hidden="1">{"fdsup://IBCentral/FAT Viewer?action=UPDATE&amp;creator=factset&amp;DOC_NAME=fat:reuters_qtrly_source_window.fat&amp;display_string=Audit&amp;DYN_ARGS=TRUE&amp;VAR:ID1=63618010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624__FDSAUDITLINK__" hidden="1">{"fdsup://IBCentral/FAT Viewer?action=UPDATE&amp;creator=factset&amp;DOC_NAME=fat:reuters_qtrly_source_window.fat&amp;display_string=Audit&amp;DYN_ARGS=TRUE&amp;VAR:ID1=63618010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625__FDSAUDITLINK__" hidden="1">{"fdsup://IBCentral/FAT Viewer?action=UPDATE&amp;creator=factset&amp;DOC_NAME=fat:reuters_qtrly_source_window.fat&amp;display_string=Audit&amp;DYN_ARGS=TRUE&amp;VAR:ID1=63618010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6__FDSAUDITLINK__" hidden="1">{"fdsup://IBCentral/FAT Viewer?action=UPDATE&amp;creator=factset&amp;DOC_NAME=fat:reuters_qtrly_source_window.fat&amp;display_string=Audit&amp;DYN_ARGS=TRUE&amp;VAR:ID1=63618010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7__FDSAUDITLINK__" hidden="1">{"fdsup://IBCentral/FAT Viewer?action=UPDATE&amp;creator=factset&amp;DOC_NAME=fat:reuters_qtrly_source_window.fat&amp;display_string=Audit&amp;DYN_ARGS=TRUE&amp;VAR:ID1=63618010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8__FDSAUDITLINK__" hidden="1">{"fdsup://IBCentral/FAT Viewer?action=UPDATE&amp;creator=factset&amp;DOC_NAME=fat:reuters_qtrly_source_window.fat&amp;display_string=Audit&amp;DYN_ARGS=TRUE&amp;VAR:ID1=63618010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9__FDSAUDITLINK__" hidden="1">{"fdsup://IBCentral/FAT Viewer?action=UPDATE&amp;creator=factset&amp;DOC_NAME=fat:reuters_qtrly_source_window.fat&amp;display_string=Audit&amp;DYN_ARGS=TRUE&amp;VAR:ID1=63618010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__FDSAUDITLINK__" hidden="1">{"fdsup://directions/FAT Viewer?action=UPDATE&amp;creator=factset&amp;DYN_ARGS=TRUE&amp;DOC_NAME=FAT:FQL_AUDITING_CLIENT_TEMPLATE.FAT&amp;display_string=Audit&amp;VAR:KEY=ZOPCXODIDY&amp;VAR:QUERY=RkZfREVCVChBTk4sMjAwOSk=&amp;WINDOW=FIRST_POPUP&amp;HEIGHT=450&amp;WIDTH=450&amp;START_MAXIMIZED=FALS","E&amp;VAR:CALENDAR=US&amp;VAR:SYMBOL=TLP&amp;VAR:INDEX=0"}</definedName>
    <definedName name="_630__FDSAUDITLINK__" hidden="1">{"fdsup://IBCentral/FAT Viewer?action=UPDATE&amp;creator=factset&amp;DOC_NAME=fat:reuters_qtrly_source_window.fat&amp;display_string=Audit&amp;DYN_ARGS=TRUE&amp;VAR:ID1=63618010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1__FDSAUDITLINK__" hidden="1">{"fdsup://IBCentral/FAT Viewer?action=UPDATE&amp;creator=factset&amp;DOC_NAME=fat:reuters_qtrly_source_window.fat&amp;display_string=Audit&amp;DYN_ARGS=TRUE&amp;VAR:ID1=29265N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632__FDSAUDITLINK__" hidden="1">{"fdsup://IBCentral/FAT Viewer?action=UPDATE&amp;creator=factset&amp;DOC_NAME=fat:reuters_qtrly_source_window.fat&amp;display_string=Audit&amp;DYN_ARGS=TRUE&amp;VAR:ID1=29265N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633__FDSAUDITLINK__" hidden="1">{"fdsup://IBCentral/FAT Viewer?action=UPDATE&amp;creator=factset&amp;DOC_NAME=fat:reuters_qtrly_source_window.fat&amp;display_string=Audit&amp;DYN_ARGS=TRUE&amp;VAR:ID1=29265N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4__FDSAUDITLINK__" hidden="1">{"fdsup://IBCentral/FAT Viewer?action=UPDATE&amp;creator=factset&amp;DOC_NAME=fat:reuters_qtrly_source_window.fat&amp;display_string=Audit&amp;DYN_ARGS=TRUE&amp;VAR:ID1=29265N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5__FDSAUDITLINK__" hidden="1">{"fdsup://IBCentral/FAT Viewer?action=UPDATE&amp;creator=factset&amp;DOC_NAME=fat:reuters_qtrly_source_window.fat&amp;display_string=Audit&amp;DYN_ARGS=TRUE&amp;VAR:ID1=29265N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6__FDSAUDITLINK__" hidden="1">{"fdsup://IBCentral/FAT Viewer?action=UPDATE&amp;creator=factset&amp;DOC_NAME=fat:reuters_qtrly_source_window.fat&amp;display_string=Audit&amp;DYN_ARGS=TRUE&amp;VAR:ID1=29265N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7__FDSAUDITLINK__" hidden="1">{"fdsup://IBCentral/FAT Viewer?action=UPDATE&amp;creator=factset&amp;DOC_NAME=fat:reuters_qtrly_source_window.fat&amp;display_string=Audit&amp;DYN_ARGS=TRUE&amp;VAR:ID1=29265N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8__FDSAUDITLINK__" hidden="1">{"fdsup://IBCentral/FAT Viewer?action=UPDATE&amp;creator=factset&amp;DOC_NAME=fat:reuters_qtrly_source_window.fat&amp;display_string=Audit&amp;DYN_ARGS=TRUE&amp;VAR:ID1=29265N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39__FDSAUDITLINK__" hidden="1">{"fdsup://IBCentral/FAT Viewer?action=UPDATE&amp;creator=factset&amp;DOC_NAME=fat:reuters_qtrly_source_window.fat&amp;display_string=Audit&amp;DYN_ARGS=TRUE&amp;VAR:ID1=28336L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64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640__FDSAUDITLINK__" hidden="1">{"fdsup://IBCentral/FAT Viewer?action=UPDATE&amp;creator=factset&amp;DOC_NAME=fat:reuters_qtrly_source_window.fat&amp;display_string=Audit&amp;DYN_ARGS=TRUE&amp;VAR:ID1=28336L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641__FDSAUDITLINK__" hidden="1">{"fdsup://IBCentral/FAT Viewer?action=UPDATE&amp;creator=factset&amp;DOC_NAME=fat:reuters_qtrly_source_window.fat&amp;display_string=Audit&amp;DYN_ARGS=TRUE&amp;VAR:ID1=28336L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42__FDSAUDITLINK__" hidden="1">{"fdsup://IBCentral/FAT Viewer?action=UPDATE&amp;creator=factset&amp;DOC_NAME=fat:reuters_qtrly_source_window.fat&amp;display_string=Audit&amp;DYN_ARGS=TRUE&amp;VAR:ID1=28336L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43__FDSAUDITLINK__" hidden="1">{"fdsup://IBCentral/FAT Viewer?action=UPDATE&amp;creator=factset&amp;DOC_NAME=fat:reuters_qtrly_source_window.fat&amp;display_string=Audit&amp;DYN_ARGS=TRUE&amp;VAR:ID1=28336L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44__FDSAUDITLINK__" hidden="1">{"fdsup://IBCentral/FAT Viewer?action=UPDATE&amp;creator=factset&amp;DOC_NAME=fat:reuters_qtrly_source_window.fat&amp;display_string=Audit&amp;DYN_ARGS=TRUE&amp;VAR:ID1=28336L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45__FDSAUDITLINK__" hidden="1">{"fdsup://IBCentral/FAT Viewer?action=UPDATE&amp;creator=factset&amp;DOC_NAME=fat:reuters_qtrly_source_window.fat&amp;display_string=Audit&amp;DYN_ARGS=TRUE&amp;VAR:ID1=28336L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46__FDSAUDITLINK__" hidden="1">{"fdsup://IBCentral/FAT Viewer?action=UPDATE&amp;creator=factset&amp;DOC_NAME=fat:reuters_qtrly_source_window.fat&amp;display_string=Audit&amp;DYN_ARGS=TRUE&amp;VAR:ID1=28336L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47__FDSAUDITLINK__" hidden="1">{"fdsup://IBCentral/FAT Viewer?action=UPDATE&amp;creator=factset&amp;DOC_NAME=fat:reuters_qtrly_source_window.fat&amp;display_string=Audit&amp;DYN_ARGS=TRUE&amp;VAR:ID1=290162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48__FDSAUDITLINK__" hidden="1">{"fdsup://IBCentral/FAT Viewer?action=UPDATE&amp;creator=factset&amp;DOC_NAME=fat:reuters_qtrly_source_window.fat&amp;display_string=Audit&amp;DYN_ARGS=TRUE&amp;VAR:ID1=290162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49__FDSAUDITLINK__" hidden="1">{"fdsup://IBCentral/FAT Viewer?action=UPDATE&amp;creator=factset&amp;DOC_NAME=fat:reuters_qtrly_source_window.fat&amp;display_string=Audit&amp;DYN_ARGS=TRUE&amp;VAR:ID1=290162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650__FDSAUDITLINK__" hidden="1">{"fdsup://IBCentral/FAT Viewer?action=UPDATE&amp;creator=factset&amp;DOC_NAME=fat:reuters_qtrly_source_window.fat&amp;display_string=Audit&amp;DYN_ARGS=TRUE&amp;VAR:ID1=290162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1__FDSAUDITLINK__" hidden="1">{"fdsup://IBCentral/FAT Viewer?action=UPDATE&amp;creator=factset&amp;DOC_NAME=fat:reuters_qtrly_source_window.fat&amp;display_string=Audit&amp;DYN_ARGS=TRUE&amp;VAR:ID1=290162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2__FDSAUDITLINK__" hidden="1">{"fdsup://IBCentral/FAT Viewer?action=UPDATE&amp;creator=factset&amp;DOC_NAME=fat:reuters_qtrly_source_window.fat&amp;display_string=Audit&amp;DYN_ARGS=TRUE&amp;VAR:ID1=290162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3__FDSAUDITLINK__" hidden="1">{"fdsup://IBCentral/FAT Viewer?action=UPDATE&amp;creator=factset&amp;DOC_NAME=fat:reuters_qtrly_source_window.fat&amp;display_string=Audit&amp;DYN_ARGS=TRUE&amp;VAR:ID1=290162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4__FDSAUDITLINK__" hidden="1">{"fdsup://IBCentral/FAT Viewer?action=UPDATE&amp;creator=factset&amp;DOC_NAME=fat:reuters_qtrly_source_window.fat&amp;display_string=Audit&amp;DYN_ARGS=TRUE&amp;VAR:ID1=290162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5__FDSAUDITLINK__" hidden="1">{"fdsup://IBCentral/FAT Viewer?action=UPDATE&amp;creator=factset&amp;DOC_NAME=fat:reuters_qtrly_source_window.fat&amp;display_string=Audit&amp;DYN_ARGS=TRUE&amp;VAR:ID1=225914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56__FDSAUDITLINK__" hidden="1">{"fdsup://IBCentral/FAT Viewer?action=UPDATE&amp;creator=factset&amp;DOC_NAME=fat:reuters_qtrly_source_window.fat&amp;display_string=Audit&amp;DYN_ARGS=TRUE&amp;VAR:ID1=225914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57__FDSAUDITLINK__" hidden="1">{"fdsup://IBCentral/FAT Viewer?action=UPDATE&amp;creator=factset&amp;DOC_NAME=fat:reuters_qtrly_source_window.fat&amp;display_string=Audit&amp;DYN_ARGS=TRUE&amp;VAR:ID1=225914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8__FDSAUDITLINK__" hidden="1">{"fdsup://IBCentral/FAT Viewer?action=UPDATE&amp;creator=factset&amp;DOC_NAME=fat:reuters_qtrly_source_window.fat&amp;display_string=Audit&amp;DYN_ARGS=TRUE&amp;VAR:ID1=225914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59__FDSAUDITLINK__" hidden="1">{"fdsup://IBCentral/FAT Viewer?action=UPDATE&amp;creator=factset&amp;DOC_NAME=fat:reuters_qtrly_source_window.fat&amp;display_string=Audit&amp;DYN_ARGS=TRUE&amp;VAR:ID1=225914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__FDSAUDITLINK__" hidden="1">{"fdsup://directions/FAT Viewer?action=UPDATE&amp;creator=factset&amp;DYN_ARGS=TRUE&amp;DOC_NAME=FAT:FQL_AUDITING_CLIENT_TEMPLATE.FAT&amp;display_string=Audit&amp;VAR:KEY=ZYZSRKLSZK&amp;VAR:QUERY=RkZfREVCVChBTk4sMjAwOSk=&amp;WINDOW=FIRST_POPUP&amp;HEIGHT=450&amp;WIDTH=450&amp;START_MAXIMIZED=FALS","E&amp;VAR:CALENDAR=US&amp;VAR:SYMBOL=HEP&amp;VAR:INDEX=0"}</definedName>
    <definedName name="_660__FDSAUDITLINK__" hidden="1">{"fdsup://IBCentral/FAT Viewer?action=UPDATE&amp;creator=factset&amp;DOC_NAME=fat:reuters_qtrly_source_window.fat&amp;display_string=Audit&amp;DYN_ARGS=TRUE&amp;VAR:ID1=225914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1__FDSAUDITLINK__" hidden="1">{"fdsup://IBCentral/FAT Viewer?action=UPDATE&amp;creator=factset&amp;DOC_NAME=fat:reuters_qtrly_source_window.fat&amp;display_string=Audit&amp;DYN_ARGS=TRUE&amp;VAR:ID1=225914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2__FDSAUDITLINK__" hidden="1">{"fdsup://IBCentral/FAT Viewer?action=UPDATE&amp;creator=factset&amp;DOC_NAME=fat:reuters_qtrly_source_window.fat&amp;display_string=Audit&amp;DYN_ARGS=TRUE&amp;VAR:ID1=225914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3__FDSAUDITLINK__" hidden="1">{"fdsup://IBCentral/FAT Viewer?action=UPDATE&amp;creator=factset&amp;DOC_NAME=fat:reuters_qtrly_source_window.fat&amp;display_string=Audit&amp;DYN_ARGS=TRUE&amp;VAR:ID1=B29TNV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64__FDSAUDITLINK__" hidden="1">{"fdsup://IBCentral/FAT Viewer?action=UPDATE&amp;creator=factset&amp;DOC_NAME=fat:reuters_qtrly_source_window.fat&amp;display_string=Audit&amp;DYN_ARGS=TRUE&amp;VAR:ID1=B29TNV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65__FDSAUDITLINK__" hidden="1">{"fdsup://IBCentral/FAT Viewer?action=UPDATE&amp;creator=factset&amp;DOC_NAME=fat:reuters_qtrly_source_window.fat&amp;display_string=Audit&amp;DYN_ARGS=TRUE&amp;VAR:ID1=B29TNV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6__FDSAUDITLINK__" hidden="1">{"fdsup://IBCentral/FAT Viewer?action=UPDATE&amp;creator=factset&amp;DOC_NAME=fat:reuters_qtrly_source_window.fat&amp;display_string=Audit&amp;DYN_ARGS=TRUE&amp;VAR:ID1=B29TNV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7__FDSAUDITLINK__" hidden="1">{"fdsup://IBCentral/FAT Viewer?action=UPDATE&amp;creator=factset&amp;DOC_NAME=fat:reuters_qtrly_source_window.fat&amp;display_string=Audit&amp;DYN_ARGS=TRUE&amp;VAR:ID1=B29TNV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8__FDSAUDITLINK__" hidden="1">{"fdsup://IBCentral/FAT Viewer?action=UPDATE&amp;creator=factset&amp;DOC_NAME=fat:reuters_qtrly_source_window.fat&amp;display_string=Audit&amp;DYN_ARGS=TRUE&amp;VAR:ID1=B29TNV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69__FDSAUDITLINK__" hidden="1">{"fdsup://IBCentral/FAT Viewer?action=UPDATE&amp;creator=factset&amp;DOC_NAME=fat:reuters_qtrly_source_window.fat&amp;display_string=Audit&amp;DYN_ARGS=TRUE&amp;VAR:ID1=B29TNV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__FDSAUDITLINK__" hidden="1">{"fdsup://IBCentral/FAT Viewer?action=UPDATE&amp;creator=factset&amp;DOC_NAME=fat:reuters_qtrly_source_window.fat&amp;display_string=Audit&amp;DYN_ARGS=TRUE&amp;VAR:ID1=B046P4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0__FDSAUDITLINK__" hidden="1">{"fdsup://IBCentral/FAT Viewer?action=UPDATE&amp;creator=factset&amp;DOC_NAME=fat:reuters_qtrly_source_window.fat&amp;display_string=Audit&amp;DYN_ARGS=TRUE&amp;VAR:ID1=B29TNV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1__FDSAUDITLINK__" hidden="1">{"fdsup://IBCentral/FAT Viewer?action=UPDATE&amp;creator=factset&amp;DOC_NAME=fat:reuters_qtrly_source_window.fat&amp;display_string=Audit&amp;DYN_ARGS=TRUE&amp;VAR:ID1=234720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72__FDSAUDITLINK__" hidden="1">{"fdsup://IBCentral/FAT Viewer?action=UPDATE&amp;creator=factset&amp;DOC_NAME=fat:reuters_qtrly_source_window.fat&amp;display_string=Audit&amp;DYN_ARGS=TRUE&amp;VAR:ID1=234720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73__FDSAUDITLINK__" hidden="1">{"fdsup://IBCentral/FAT Viewer?action=UPDATE&amp;creator=factset&amp;DOC_NAME=fat:reuters_qtrly_source_window.fat&amp;display_string=Audit&amp;DYN_ARGS=TRUE&amp;VAR:ID1=234720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4__FDSAUDITLINK__" hidden="1">{"fdsup://IBCentral/FAT Viewer?action=UPDATE&amp;creator=factset&amp;DOC_NAME=fat:reuters_qtrly_source_window.fat&amp;display_string=Audit&amp;DYN_ARGS=TRUE&amp;VAR:ID1=234720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5__FDSAUDITLINK__" hidden="1">{"fdsup://IBCentral/FAT Viewer?action=UPDATE&amp;creator=factset&amp;DOC_NAME=fat:reuters_qtrly_source_window.fat&amp;display_string=Audit&amp;DYN_ARGS=TRUE&amp;VAR:ID1=234720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6__FDSAUDITLINK__" hidden="1">{"fdsup://IBCentral/FAT Viewer?action=UPDATE&amp;creator=factset&amp;DOC_NAME=fat:reuters_qtrly_source_window.fat&amp;display_string=Audit&amp;DYN_ARGS=TRUE&amp;VAR:ID1=234720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7__FDSAUDITLINK__" hidden="1">{"fdsup://IBCentral/FAT Viewer?action=UPDATE&amp;creator=factset&amp;DOC_NAME=fat:reuters_qtrly_source_window.fat&amp;display_string=Audit&amp;DYN_ARGS=TRUE&amp;VAR:ID1=234720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8__FDSAUDITLINK__" hidden="1">{"fdsup://IBCentral/FAT Viewer?action=UPDATE&amp;creator=factset&amp;DOC_NAME=fat:reuters_qtrly_source_window.fat&amp;display_string=Audit&amp;DYN_ARGS=TRUE&amp;VAR:ID1=234720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79__FDSAUDITLINK__" hidden="1">{"fdsup://IBCentral/FAT Viewer?action=UPDATE&amp;creator=factset&amp;DOC_NAME=fat:reuters_qtrly_source_window.fat&amp;display_string=Audit&amp;DYN_ARGS=TRUE&amp;VAR:ID1=265005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8__FDSAUDITLINK__" hidden="1">{"fdsup://IBCentral/FAT Viewer?action=UPDATE&amp;creator=factset&amp;DOC_NAME=fat:reuters_qtrly_source_window.fat&amp;display_string=Audit&amp;DYN_ARGS=TRUE&amp;VAR:ID1=B046P4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0__FDSAUDITLINK__" hidden="1">{"fdsup://IBCentral/FAT Viewer?action=UPDATE&amp;creator=factset&amp;DOC_NAME=fat:reuters_qtrly_source_window.fat&amp;display_string=Audit&amp;DYN_ARGS=TRUE&amp;VAR:ID1=265005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81__FDSAUDITLINK__" hidden="1">{"fdsup://IBCentral/FAT Viewer?action=UPDATE&amp;creator=factset&amp;DOC_NAME=fat:reuters_qtrly_source_window.fat&amp;display_string=Audit&amp;DYN_ARGS=TRUE&amp;VAR:ID1=265005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2__FDSAUDITLINK__" hidden="1">{"fdsup://IBCentral/FAT Viewer?action=UPDATE&amp;creator=factset&amp;DOC_NAME=fat:reuters_qtrly_source_window.fat&amp;display_string=Audit&amp;DYN_ARGS=TRUE&amp;VAR:ID1=265005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3__FDSAUDITLINK__" hidden="1">{"fdsup://IBCentral/FAT Viewer?action=UPDATE&amp;creator=factset&amp;DOC_NAME=fat:reuters_qtrly_source_window.fat&amp;display_string=Audit&amp;DYN_ARGS=TRUE&amp;VAR:ID1=265005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4__FDSAUDITLINK__" hidden="1">{"fdsup://IBCentral/FAT Viewer?action=UPDATE&amp;creator=factset&amp;DOC_NAME=fat:reuters_qtrly_source_window.fat&amp;display_string=Audit&amp;DYN_ARGS=TRUE&amp;VAR:ID1=265005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5__FDSAUDITLINK__" hidden="1">{"fdsup://IBCentral/FAT Viewer?action=UPDATE&amp;creator=factset&amp;DOC_NAME=fat:reuters_qtrly_source_window.fat&amp;display_string=Audit&amp;DYN_ARGS=TRUE&amp;VAR:ID1=265005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6__FDSAUDITLINK__" hidden="1">{"fdsup://IBCentral/FAT Viewer?action=UPDATE&amp;creator=factset&amp;DOC_NAME=fat:reuters_qtrly_source_window.fat&amp;display_string=Audit&amp;DYN_ARGS=TRUE&amp;VAR:ID1=265005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87__FDSAUDITLINK__" hidden="1">{"fdsup://IBCentral/FAT Viewer?action=UPDATE&amp;creator=factset&amp;DOC_NAME=fat:reuters_qtrly_source_window.fat&amp;display_string=Audit&amp;DYN_ARGS=TRUE&amp;VAR:ID1=217263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88__FDSAUDITLINK__" hidden="1">{"fdsup://IBCentral/FAT Viewer?action=UPDATE&amp;creator=factset&amp;DOC_NAME=fat:reuters_qtrly_source_window.fat&amp;display_string=Audit&amp;DYN_ARGS=TRUE&amp;VAR:ID1=217263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89__FDSAUDITLINK__" hidden="1">{"fdsup://IBCentral/FAT Viewer?action=UPDATE&amp;creator=factset&amp;DOC_NAME=fat:reuters_qtrly_source_window.fat&amp;display_string=Audit&amp;DYN_ARGS=TRUE&amp;VAR:ID1=217263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__FDSAUDITLINK__" hidden="1">{"fdsup://IBCentral/FAT Viewer?action=UPDATE&amp;creator=factset&amp;DOC_NAME=fat:reuters_qtrly_source_window.fat&amp;display_string=Audit&amp;DYN_ARGS=TRUE&amp;VAR:ID1=B046P4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0__FDSAUDITLINK__" hidden="1">{"fdsup://IBCentral/FAT Viewer?action=UPDATE&amp;creator=factset&amp;DOC_NAME=fat:reuters_qtrly_source_window.fat&amp;display_string=Audit&amp;DYN_ARGS=TRUE&amp;VAR:ID1=217263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1__FDSAUDITLINK__" hidden="1">{"fdsup://IBCentral/FAT Viewer?action=UPDATE&amp;creator=factset&amp;DOC_NAME=fat:reuters_qtrly_source_window.fat&amp;display_string=Audit&amp;DYN_ARGS=TRUE&amp;VAR:ID1=217263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2__FDSAUDITLINK__" hidden="1">{"fdsup://IBCentral/FAT Viewer?action=UPDATE&amp;creator=factset&amp;DOC_NAME=fat:reuters_qtrly_source_window.fat&amp;display_string=Audit&amp;DYN_ARGS=TRUE&amp;VAR:ID1=217263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3__FDSAUDITLINK__" hidden="1">{"fdsup://IBCentral/FAT Viewer?action=UPDATE&amp;creator=factset&amp;DOC_NAME=fat:reuters_qtrly_source_window.fat&amp;display_string=Audit&amp;DYN_ARGS=TRUE&amp;VAR:ID1=217263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4__FDSAUDITLINK__" hidden="1">{"fdsup://IBCentral/FAT Viewer?action=UPDATE&amp;creator=factset&amp;DOC_NAME=fat:reuters_qtrly_source_window.fat&amp;display_string=Audit&amp;DYN_ARGS=TRUE&amp;VAR:ID1=217263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5__FDSAUDITLINK__" hidden="1">{"fdsup://IBCentral/FAT Viewer?action=UPDATE&amp;creator=factset&amp;DOC_NAME=fat:reuters_qtrly_source_window.fat&amp;display_string=Audit&amp;DYN_ARGS=TRUE&amp;VAR:ID1=217522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696__FDSAUDITLINK__" hidden="1">{"fdsup://IBCentral/FAT Viewer?action=UPDATE&amp;creator=factset&amp;DOC_NAME=fat:reuters_qtrly_source_window.fat&amp;display_string=Audit&amp;DYN_ARGS=TRUE&amp;VAR:ID1=217522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697__FDSAUDITLINK__" hidden="1">{"fdsup://IBCentral/FAT Viewer?action=UPDATE&amp;creator=factset&amp;DOC_NAME=fat:reuters_qtrly_source_window.fat&amp;display_string=Audit&amp;DYN_ARGS=TRUE&amp;VAR:ID1=217522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8__FDSAUDITLINK__" hidden="1">{"fdsup://IBCentral/FAT Viewer?action=UPDATE&amp;creator=factset&amp;DOC_NAME=fat:reuters_qtrly_source_window.fat&amp;display_string=Audit&amp;DYN_ARGS=TRUE&amp;VAR:ID1=217522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699__FDSAUDITLINK__" hidden="1">{"fdsup://IBCentral/FAT Viewer?action=UPDATE&amp;creator=factset&amp;DOC_NAME=fat:reuters_qtrly_source_window.fat&amp;display_string=Audit&amp;DYN_ARGS=TRUE&amp;VAR:ID1=217522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__FDSAUDITLINK__" hidden="1">{"fdsup://directions/FAT Viewer?action=UPDATE&amp;creator=factset&amp;DYN_ARGS=TRUE&amp;DOC_NAME=FAT:FQL_AUDITING_CLIENT_TEMPLATE.FAT&amp;display_string=Audit&amp;VAR:KEY=XGXCNALUJK&amp;VAR:QUERY=RkZfREVCVChBTk4sMjAxMCk=&amp;WINDOW=FIRST_POPUP&amp;HEIGHT=450&amp;WIDTH=450&amp;START_MAXIMIZED=FALS","E&amp;VAR:CALENDAR=US&amp;VAR:SYMBOL=CMLP&amp;VAR:INDEX=0"}</definedName>
    <definedName name="_70__FDSAUDITLINK__" hidden="1">{"fdsup://IBCentral/FAT Viewer?action=UPDATE&amp;creator=factset&amp;DOC_NAME=fat:reuters_qtrly_source_window.fat&amp;display_string=Audit&amp;DYN_ARGS=TRUE&amp;VAR:ID1=B046P4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0__FDSAUDITLINK__" hidden="1">{"fdsup://IBCentral/FAT Viewer?action=UPDATE&amp;creator=factset&amp;DOC_NAME=fat:reuters_qtrly_source_window.fat&amp;display_string=Audit&amp;DYN_ARGS=TRUE&amp;VAR:ID1=217522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1__FDSAUDITLINK__" hidden="1">{"fdsup://IBCentral/FAT Viewer?action=UPDATE&amp;creator=factset&amp;DOC_NAME=fat:reuters_qtrly_source_window.fat&amp;display_string=Audit&amp;DYN_ARGS=TRUE&amp;VAR:ID1=217522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2__FDSAUDITLINK__" hidden="1">{"fdsup://IBCentral/FAT Viewer?action=UPDATE&amp;creator=factset&amp;DOC_NAME=fat:reuters_qtrly_source_window.fat&amp;display_string=Audit&amp;DYN_ARGS=TRUE&amp;VAR:ID1=217522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3__FDSAUDITLINK__" hidden="1">{"fdsup://IBCentral/FAT Viewer?action=UPDATE&amp;creator=factset&amp;DOC_NAME=fat:reuters_qtrly_source_window.fat&amp;display_string=Audit&amp;DYN_ARGS=TRUE&amp;VAR:ID1=B010DZ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04__FDSAUDITLINK__" hidden="1">{"fdsup://IBCentral/FAT Viewer?action=UPDATE&amp;creator=factset&amp;DOC_NAME=fat:reuters_qtrly_source_window.fat&amp;display_string=Audit&amp;DYN_ARGS=TRUE&amp;VAR:ID1=B010DZ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05__FDSAUDITLINK__" hidden="1">{"fdsup://IBCentral/FAT Viewer?action=UPDATE&amp;creator=factset&amp;DOC_NAME=fat:reuters_qtrly_source_window.fat&amp;display_string=Audit&amp;DYN_ARGS=TRUE&amp;VAR:ID1=B010DZ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6__FDSAUDITLINK__" hidden="1">{"fdsup://IBCentral/FAT Viewer?action=UPDATE&amp;creator=factset&amp;DOC_NAME=fat:reuters_qtrly_source_window.fat&amp;display_string=Audit&amp;DYN_ARGS=TRUE&amp;VAR:ID1=B010DZ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7__FDSAUDITLINK__" hidden="1">{"fdsup://IBCentral/FAT Viewer?action=UPDATE&amp;creator=factset&amp;DOC_NAME=fat:reuters_qtrly_source_window.fat&amp;display_string=Audit&amp;DYN_ARGS=TRUE&amp;VAR:ID1=B010DZ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8__FDSAUDITLINK__" hidden="1">{"fdsup://IBCentral/FAT Viewer?action=UPDATE&amp;creator=factset&amp;DOC_NAME=fat:reuters_qtrly_source_window.fat&amp;display_string=Audit&amp;DYN_ARGS=TRUE&amp;VAR:ID1=B010DZ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09__FDSAUDITLINK__" hidden="1">{"fdsup://IBCentral/FAT Viewer?action=UPDATE&amp;creator=factset&amp;DOC_NAME=fat:reuters_qtrly_source_window.fat&amp;display_string=Audit&amp;DYN_ARGS=TRUE&amp;VAR:ID1=B010DZ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__FDSAUDITLINK__" hidden="1">{"fdsup://IBCentral/FAT Viewer?action=UPDATE&amp;creator=factset&amp;DOC_NAME=fat:reuters_qtrly_source_window.fat&amp;display_string=Audit&amp;DYN_ARGS=TRUE&amp;VAR:ID1=B046P4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0__FDSAUDITLINK__" hidden="1">{"fdsup://IBCentral/FAT Viewer?action=UPDATE&amp;creator=factset&amp;DOC_NAME=fat:reuters_qtrly_source_window.fat&amp;display_string=Audit&amp;DYN_ARGS=TRUE&amp;VAR:ID1=B010DZ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1__FDSAUDITLINK__" hidden="1">{"fdsup://IBCentral/FAT Viewer?action=UPDATE&amp;creator=factset&amp;DOC_NAME=fat:reuters_qtrly_source_window.fat&amp;display_string=Audit&amp;DYN_ARGS=TRUE&amp;VAR:ID1=284221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12__FDSAUDITLINK__" hidden="1">{"fdsup://IBCentral/FAT Viewer?action=UPDATE&amp;creator=factset&amp;DOC_NAME=fat:reuters_qtrly_source_window.fat&amp;display_string=Audit&amp;DYN_ARGS=TRUE&amp;VAR:ID1=284221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13__FDSAUDITLINK__" hidden="1">{"fdsup://IBCentral/FAT Viewer?action=UPDATE&amp;creator=factset&amp;DOC_NAME=fat:reuters_qtrly_source_window.fat&amp;display_string=Audit&amp;DYN_ARGS=TRUE&amp;VAR:ID1=284221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4__FDSAUDITLINK__" hidden="1">{"fdsup://IBCentral/FAT Viewer?action=UPDATE&amp;creator=factset&amp;DOC_NAME=fat:reuters_qtrly_source_window.fat&amp;display_string=Audit&amp;DYN_ARGS=TRUE&amp;VAR:ID1=284221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5__FDSAUDITLINK__" hidden="1">{"fdsup://IBCentral/FAT Viewer?action=UPDATE&amp;creator=factset&amp;DOC_NAME=fat:reuters_qtrly_source_window.fat&amp;display_string=Audit&amp;DYN_ARGS=TRUE&amp;VAR:ID1=284221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6__FDSAUDITLINK__" hidden="1">{"fdsup://IBCentral/FAT Viewer?action=UPDATE&amp;creator=factset&amp;DOC_NAME=fat:reuters_qtrly_source_window.fat&amp;display_string=Audit&amp;DYN_ARGS=TRUE&amp;VAR:ID1=284221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7__FDSAUDITLINK__" hidden="1">{"fdsup://IBCentral/FAT Viewer?action=UPDATE&amp;creator=factset&amp;DOC_NAME=fat:reuters_qtrly_source_window.fat&amp;display_string=Audit&amp;DYN_ARGS=TRUE&amp;VAR:ID1=284221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8__FDSAUDITLINK__" hidden="1">{"fdsup://IBCentral/FAT Viewer?action=UPDATE&amp;creator=factset&amp;DOC_NAME=fat:reuters_qtrly_source_window.fat&amp;display_string=Audit&amp;DYN_ARGS=TRUE&amp;VAR:ID1=284221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19__FDSAUDITLINK__" hidden="1">{"fdsup://IBCentral/FAT Viewer?action=UPDATE&amp;creator=factset&amp;DOC_NAME=fat:reuters_qtrly_source_window.fat&amp;display_string=Audit&amp;DYN_ARGS=TRUE&amp;VAR:ID1=201963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2__FDSAUDITLINK__" hidden="1">{"fdsup://IBCentral/FAT Viewer?action=UPDATE&amp;creator=factset&amp;DOC_NAME=fat:reuters_qtrly_source_window.fat&amp;display_string=Audit&amp;DYN_ARGS=TRUE&amp;VAR:ID1=B046P4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0__FDSAUDITLINK__" hidden="1">{"fdsup://IBCentral/FAT Viewer?action=UPDATE&amp;creator=factset&amp;DOC_NAME=fat:reuters_qtrly_source_window.fat&amp;display_string=Audit&amp;DYN_ARGS=TRUE&amp;VAR:ID1=201963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21__FDSAUDITLINK__" hidden="1">{"fdsup://IBCentral/FAT Viewer?action=UPDATE&amp;creator=factset&amp;DOC_NAME=fat:reuters_qtrly_source_window.fat&amp;display_string=Audit&amp;DYN_ARGS=TRUE&amp;VAR:ID1=201963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2__FDSAUDITLINK__" hidden="1">{"fdsup://IBCentral/FAT Viewer?action=UPDATE&amp;creator=factset&amp;DOC_NAME=fat:reuters_qtrly_source_window.fat&amp;display_string=Audit&amp;DYN_ARGS=TRUE&amp;VAR:ID1=201963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3__FDSAUDITLINK__" hidden="1">{"fdsup://IBCentral/FAT Viewer?action=UPDATE&amp;creator=factset&amp;DOC_NAME=fat:reuters_qtrly_source_window.fat&amp;display_string=Audit&amp;DYN_ARGS=TRUE&amp;VAR:ID1=201963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4__FDSAUDITLINK__" hidden="1">{"fdsup://IBCentral/FAT Viewer?action=UPDATE&amp;creator=factset&amp;DOC_NAME=fat:reuters_qtrly_source_window.fat&amp;display_string=Audit&amp;DYN_ARGS=TRUE&amp;VAR:ID1=201963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5__FDSAUDITLINK__" hidden="1">{"fdsup://IBCentral/FAT Viewer?action=UPDATE&amp;creator=factset&amp;DOC_NAME=fat:reuters_qtrly_source_window.fat&amp;display_string=Audit&amp;DYN_ARGS=TRUE&amp;VAR:ID1=201963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6__FDSAUDITLINK__" hidden="1">{"fdsup://IBCentral/FAT Viewer?action=UPDATE&amp;creator=factset&amp;DOC_NAME=fat:reuters_qtrly_source_window.fat&amp;display_string=Audit&amp;DYN_ARGS=TRUE&amp;VAR:ID1=201963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27__FDSAUDITLINK__" hidden="1">{"fdsup://IBCentral/FAT Viewer?action=UPDATE&amp;creator=factset&amp;DOC_NAME=fat:reuters_qtrly_source_window.fat&amp;display_string=Audit&amp;DYN_ARGS=TRUE&amp;VAR:ID1=285262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28__FDSAUDITLINK__" hidden="1">{"fdsup://IBCentral/FAT Viewer?action=UPDATE&amp;creator=factset&amp;DOC_NAME=fat:reuters_qtrly_source_window.fat&amp;display_string=Audit&amp;DYN_ARGS=TRUE&amp;VAR:ID1=285262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29__FDSAUDITLINK__" hidden="1">{"fdsup://IBCentral/FAT Viewer?action=UPDATE&amp;creator=factset&amp;DOC_NAME=fat:reuters_qtrly_source_window.fat&amp;display_string=Audit&amp;DYN_ARGS=TRUE&amp;VAR:ID1=285262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__FDSAUDITLINK__" hidden="1">{"fdsup://IBCentral/FAT Viewer?action=UPDATE&amp;creator=factset&amp;DOC_NAME=fat:reuters_qtrly_source_window.fat&amp;display_string=Audit&amp;DYN_ARGS=TRUE&amp;VAR:ID1=92924F10&amp;VAR:RCODE=FDSPFDSTKTOTAL&amp;VAR:SDATE=20081299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730__FDSAUDITLINK__" hidden="1">{"fdsup://IBCentral/FAT Viewer?action=UPDATE&amp;creator=factset&amp;DOC_NAME=fat:reuters_qtrly_source_window.fat&amp;display_string=Audit&amp;DYN_ARGS=TRUE&amp;VAR:ID1=285262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1__FDSAUDITLINK__" hidden="1">{"fdsup://IBCentral/FAT Viewer?action=UPDATE&amp;creator=factset&amp;DOC_NAME=fat:reuters_qtrly_source_window.fat&amp;display_string=Audit&amp;DYN_ARGS=TRUE&amp;VAR:ID1=285262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2__FDSAUDITLINK__" hidden="1">{"fdsup://IBCentral/FAT Viewer?action=UPDATE&amp;creator=factset&amp;DOC_NAME=fat:reuters_qtrly_source_window.fat&amp;display_string=Audit&amp;DYN_ARGS=TRUE&amp;VAR:ID1=285262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3__FDSAUDITLINK__" hidden="1">{"fdsup://IBCentral/FAT Viewer?action=UPDATE&amp;creator=factset&amp;DOC_NAME=fat:reuters_qtrly_source_window.fat&amp;display_string=Audit&amp;DYN_ARGS=TRUE&amp;VAR:ID1=285262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4__FDSAUDITLINK__" hidden="1">{"fdsup://IBCentral/FAT Viewer?action=UPDATE&amp;creator=factset&amp;DOC_NAME=fat:reuters_qtrly_source_window.fat&amp;display_string=Audit&amp;DYN_ARGS=TRUE&amp;VAR:ID1=285262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5__FDSAUDITLINK__" hidden="1">{"fdsup://IBCentral/FAT Viewer?action=UPDATE&amp;creator=factset&amp;DOC_NAME=fat:reuters_qtrly_source_window.fat&amp;display_string=Audit&amp;DYN_ARGS=TRUE&amp;VAR:ID1=284925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36__FDSAUDITLINK__" hidden="1">{"fdsup://IBCentral/FAT Viewer?action=UPDATE&amp;creator=factset&amp;DOC_NAME=fat:reuters_qtrly_source_window.fat&amp;display_string=Audit&amp;DYN_ARGS=TRUE&amp;VAR:ID1=284925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37__FDSAUDITLINK__" hidden="1">{"fdsup://IBCentral/FAT Viewer?action=UPDATE&amp;creator=factset&amp;DOC_NAME=fat:reuters_qtrly_source_window.fat&amp;display_string=Audit&amp;DYN_ARGS=TRUE&amp;VAR:ID1=284925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8__FDSAUDITLINK__" hidden="1">{"fdsup://IBCentral/FAT Viewer?action=UPDATE&amp;creator=factset&amp;DOC_NAME=fat:reuters_qtrly_source_window.fat&amp;display_string=Audit&amp;DYN_ARGS=TRUE&amp;VAR:ID1=284925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39__FDSAUDITLINK__" hidden="1">{"fdsup://IBCentral/FAT Viewer?action=UPDATE&amp;creator=factset&amp;DOC_NAME=fat:reuters_qtrly_source_window.fat&amp;display_string=Audit&amp;DYN_ARGS=TRUE&amp;VAR:ID1=284925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__FDSAUDITLINK__" hidden="1">{"fdsup://IBCentral/FAT Viewer?action=UPDATE&amp;creator=factset&amp;DOC_NAME=fat:reuters_qtrly_source_window.fat&amp;display_string=Audit&amp;DYN_ARGS=TRUE&amp;VAR:ID1=92924F10&amp;VAR:RCODE=CMNEQ&amp;VAR:SDATE=20081299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740__FDSAUDITLINK__" hidden="1">{"fdsup://IBCentral/FAT Viewer?action=UPDATE&amp;creator=factset&amp;DOC_NAME=fat:reuters_qtrly_source_window.fat&amp;display_string=Audit&amp;DYN_ARGS=TRUE&amp;VAR:ID1=284925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1__FDSAUDITLINK__" hidden="1">{"fdsup://IBCentral/FAT Viewer?action=UPDATE&amp;creator=factset&amp;DOC_NAME=fat:reuters_qtrly_source_window.fat&amp;display_string=Audit&amp;DYN_ARGS=TRUE&amp;VAR:ID1=284925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2__FDSAUDITLINK__" hidden="1">{"fdsup://IBCentral/FAT Viewer?action=UPDATE&amp;creator=factset&amp;DOC_NAME=fat:reuters_qtrly_source_window.fat&amp;display_string=Audit&amp;DYN_ARGS=TRUE&amp;VAR:ID1=284925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3__FDSAUDITLINK__" hidden="1">{"fdsup://IBCentral/FAT Viewer?action=UPDATE&amp;creator=factset&amp;DOC_NAME=fat:reuters_qtrly_source_window.fat&amp;display_string=Audit&amp;DYN_ARGS=TRUE&amp;VAR:ID1=B046P4&amp;VAR:RCODE=FDSPFDSTKTOTAL&amp;VAR:SDATE=20081299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44__FDSAUDITLINK__" hidden="1">{"fdsup://IBCentral/FAT Viewer?action=UPDATE&amp;creator=factset&amp;DOC_NAME=fat:reuters_qtrly_source_window.fat&amp;display_string=Audit&amp;DYN_ARGS=TRUE&amp;VAR:ID1=B046P4&amp;VAR:RCODE=CMNEQ&amp;VAR:SDATE=20081299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45__FDSAUDITLINK__" hidden="1">{"fdsup://IBCentral/FAT Viewer?action=UPDATE&amp;creator=factset&amp;DOC_NAME=fat:reuters_qtrly_source_window.fat&amp;display_string=Audit&amp;DYN_ARGS=TRUE&amp;VAR:ID1=B046P4&amp;VAR:RCODE=SCSI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6__FDSAUDITLINK__" hidden="1">{"fdsup://IBCentral/FAT Viewer?action=UPDATE&amp;creator=factset&amp;DOC_NAME=fat:reuters_qtrly_source_window.fat&amp;display_string=Audit&amp;DYN_ARGS=TRUE&amp;VAR:ID1=B046P4&amp;VAR:RCODE=STLD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7__FDSAUDITLINK__" hidden="1">{"fdsup://IBCentral/FAT Viewer?action=UPDATE&amp;creator=factset&amp;DOC_NAME=fat:reuters_qtrly_source_window.fat&amp;display_string=Audit&amp;DYN_ARGS=TRUE&amp;VAR:ID1=B046P4&amp;VAR:RCODE=DST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8__FDSAUDITLINK__" hidden="1">{"fdsup://IBCentral/FAT Viewer?action=UPDATE&amp;creator=factset&amp;DOC_NAME=fat:reuters_qtrly_source_window.fat&amp;display_string=Audit&amp;DYN_ARGS=TRUE&amp;VAR:ID1=B046P4&amp;VAR:RCODE=LTCL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49__FDSAUDITLINK__" hidden="1">{"fdsup://IBCentral/FAT Viewer?action=UPDATE&amp;creator=factset&amp;DOC_NAME=fat:reuters_qtrly_source_window.fat&amp;display_string=Audit&amp;DYN_ARGS=TRUE&amp;VAR:ID1=B046P4&amp;VAR:RCODE=ATCA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__FDSAUDITLINK__" hidden="1">{"fdsup://IBCentral/FAT Viewer?action=UPDATE&amp;creator=factset&amp;DOC_NAME=fat:reuters_qtrly_source_window.fat&amp;display_string=Audit&amp;DYN_ARGS=TRUE&amp;VAR:ID1=92924F10&amp;VAR:RCODE=SCSI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50__FDSAUDITLINK__" hidden="1">{"fdsup://IBCentral/FAT Viewer?action=UPDATE&amp;creator=factset&amp;DOC_NAME=fat:reuters_qtrly_source_window.fat&amp;display_string=Audit&amp;DYN_ARGS=TRUE&amp;VAR:ID1=B046P4&amp;VAR:RCODE=ATOT&amp;VAR:SDATE=20081299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1__FDSAUDITLINK__" hidden="1">{"fdsup://IBCentral/FAT Viewer?action=UPDATE&amp;creator=factset&amp;DOC_NAME=fat:reuters_qtrly_source_window.fat&amp;display_string=Audit&amp;DYN_ARGS=TRUE&amp;VAR:ID1=213615&amp;VAR:RCODE=FDSPFDSTKTOTAL&amp;VAR:SDATE=20090399&amp;VAR:FREQ=Quarterly&amp;VAR:RELITEM=&amp;VAR:CURRENCY=&amp;VAR:CURRSOU","RCE=EXSHARE&amp;VAR:NATFREQ=QUARTERLY&amp;VAR:RFIELD=FINALIZED&amp;VAR:DB_TYPE=&amp;VAR:UNITS=M&amp;window=popup&amp;width=450&amp;height=300&amp;START_MAXIMIZED=FALSE"}</definedName>
    <definedName name="_752__FDSAUDITLINK__" hidden="1">{"fdsup://IBCentral/FAT Viewer?action=UPDATE&amp;creator=factset&amp;DOC_NAME=fat:reuters_qtrly_source_window.fat&amp;display_string=Audit&amp;DYN_ARGS=TRUE&amp;VAR:ID1=213615&amp;VAR:RCODE=CMNEQ&amp;VAR:SDATE=20090399&amp;VAR:FREQ=Quarterly&amp;VAR:RELITEM=&amp;VAR:CURRENCY=&amp;VAR:CURRSOURCE=EXSHA","RE&amp;VAR:NATFREQ=QUARTERLY&amp;VAR:RFIELD=FINALIZED&amp;VAR:DB_TYPE=&amp;VAR:UNITS=M&amp;window=popup&amp;width=450&amp;height=300&amp;START_MAXIMIZED=FALSE"}</definedName>
    <definedName name="_753__FDSAUDITLINK__" hidden="1">{"fdsup://IBCentral/FAT Viewer?action=UPDATE&amp;creator=factset&amp;DOC_NAME=fat:reuters_qtrly_source_window.fat&amp;display_string=Audit&amp;DYN_ARGS=TRUE&amp;VAR:ID1=213615&amp;VAR:RCODE=SCSI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4__FDSAUDITLINK__" hidden="1">{"fdsup://IBCentral/FAT Viewer?action=UPDATE&amp;creator=factset&amp;DOC_NAME=fat:reuters_qtrly_source_window.fat&amp;display_string=Audit&amp;DYN_ARGS=TRUE&amp;VAR:ID1=213615&amp;VAR:RCODE=STLD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5__FDSAUDITLINK__" hidden="1">{"fdsup://IBCentral/FAT Viewer?action=UPDATE&amp;creator=factset&amp;DOC_NAME=fat:reuters_qtrly_source_window.fat&amp;display_string=Audit&amp;DYN_ARGS=TRUE&amp;VAR:ID1=213615&amp;VAR:RCODE=DST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6__FDSAUDITLINK__" hidden="1">{"fdsup://IBCentral/FAT Viewer?action=UPDATE&amp;creator=factset&amp;DOC_NAME=fat:reuters_qtrly_source_window.fat&amp;display_string=Audit&amp;DYN_ARGS=TRUE&amp;VAR:ID1=213615&amp;VAR:RCODE=LTCL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7__FDSAUDITLINK__" hidden="1">{"fdsup://IBCentral/FAT Viewer?action=UPDATE&amp;creator=factset&amp;DOC_NAME=fat:reuters_qtrly_source_window.fat&amp;display_string=Audit&amp;DYN_ARGS=TRUE&amp;VAR:ID1=213615&amp;VAR:RCODE=ATCA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8__FDSAUDITLINK__" hidden="1">{"fdsup://IBCentral/FAT Viewer?action=UPDATE&amp;creator=factset&amp;DOC_NAME=fat:reuters_qtrly_source_window.fat&amp;display_string=Audit&amp;DYN_ARGS=TRUE&amp;VAR:ID1=213615&amp;VAR:RCODE=ATOT&amp;VAR:SDATE=20090399&amp;VAR:FREQ=Quarterly&amp;VAR:RELITEM=&amp;VAR:CURRENCY=&amp;VAR:CURRSOURCE=EXSHAR","E&amp;VAR:NATFREQ=QUARTERLY&amp;VAR:RFIELD=FINALIZED&amp;VAR:DB_TYPE=&amp;VAR:UNITS=M&amp;window=popup&amp;width=450&amp;height=300&amp;START_MAXIMIZED=FALSE"}</definedName>
    <definedName name="_759__FDSAUDITLINK__" hidden="1">{"fdsup://IBCentral/FAT Viewer?action=UPDATE&amp;creator=factset&amp;DOC_NAME=fat:reuters_qtrly_source_window.fat&amp;display_string=Audit&amp;DYN_ARGS=TRUE&amp;VAR:ID1=98389B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76__FDSAUDITLINK__" hidden="1">{"fdsup://IBCentral/FAT Viewer?action=UPDATE&amp;creator=factset&amp;DOC_NAME=fat:reuters_qtrly_source_window.fat&amp;display_string=Audit&amp;DYN_ARGS=TRUE&amp;VAR:ID1=92924F10&amp;VAR:RCODE=STLD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0__FDSAUDITLINK__" hidden="1">{"fdsup://IBCentral/FAT Viewer?action=UPDATE&amp;creator=factset&amp;DOC_NAME=fat:reuters_qtrly_source_window.fat&amp;display_string=Audit&amp;DYN_ARGS=TRUE&amp;VAR:ID1=98389B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761__FDSAUDITLINK__" hidden="1">{"fdsup://IBCentral/FAT Viewer?action=UPDATE&amp;creator=factset&amp;DOC_NAME=fat:reuters_qtrly_source_window.fat&amp;display_string=Audit&amp;DYN_ARGS=TRUE&amp;VAR:ID1=98389B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2__FDSAUDITLINK__" hidden="1">{"fdsup://IBCentral/FAT Viewer?action=UPDATE&amp;creator=factset&amp;DOC_NAME=fat:reuters_qtrly_source_window.fat&amp;display_string=Audit&amp;DYN_ARGS=TRUE&amp;VAR:ID1=98389B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3__FDSAUDITLINK__" hidden="1">{"fdsup://IBCentral/FAT Viewer?action=UPDATE&amp;creator=factset&amp;DOC_NAME=fat:reuters_qtrly_source_window.fat&amp;display_string=Audit&amp;DYN_ARGS=TRUE&amp;VAR:ID1=98389B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4__FDSAUDITLINK__" hidden="1">{"fdsup://IBCentral/FAT Viewer?action=UPDATE&amp;creator=factset&amp;DOC_NAME=fat:reuters_qtrly_source_window.fat&amp;display_string=Audit&amp;DYN_ARGS=TRUE&amp;VAR:ID1=98389B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5__FDSAUDITLINK__" hidden="1">{"fdsup://IBCentral/FAT Viewer?action=UPDATE&amp;creator=factset&amp;DOC_NAME=fat:reuters_qtrly_source_window.fat&amp;display_string=Audit&amp;DYN_ARGS=TRUE&amp;VAR:ID1=98389B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6__FDSAUDITLINK__" hidden="1">{"fdsup://IBCentral/FAT Viewer?action=UPDATE&amp;creator=factset&amp;DOC_NAME=fat:reuters_qtrly_source_window.fat&amp;display_string=Audit&amp;DYN_ARGS=TRUE&amp;VAR:ID1=98389B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67__FDSAUDITLINK__" hidden="1">{"fdsup://IBCentral/FAT Viewer?action=UPDATE&amp;creator=factset&amp;DOC_NAME=fat:reuters_qtrly_source_window.fat&amp;display_string=Audit&amp;DYN_ARGS=TRUE&amp;VAR:ID1=84258710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768__FDSAUDITLINK__" hidden="1">{"fdsup://IBCentral/FAT Viewer?action=UPDATE&amp;creator=factset&amp;DOC_NAME=fat:reuters_qtrly_source_window.fat&amp;display_string=Audit&amp;DYN_ARGS=TRUE&amp;VAR:ID1=84258710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769__FDSAUDITLINK__" hidden="1">{"fdsup://IBCentral/FAT Viewer?action=UPDATE&amp;creator=factset&amp;DOC_NAME=fat:reuters_qtrly_source_window.fat&amp;display_string=Audit&amp;DYN_ARGS=TRUE&amp;VAR:ID1=84258710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__FDSAUDITLINK__" hidden="1">{"fdsup://IBCentral/FAT Viewer?action=UPDATE&amp;creator=factset&amp;DOC_NAME=fat:reuters_qtrly_source_window.fat&amp;display_string=Audit&amp;DYN_ARGS=TRUE&amp;VAR:ID1=92924F10&amp;VAR:RCODE=DSTT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0__FDSAUDITLINK__" hidden="1">{"fdsup://IBCentral/FAT Viewer?action=UPDATE&amp;creator=factset&amp;DOC_NAME=fat:reuters_qtrly_source_window.fat&amp;display_string=Audit&amp;DYN_ARGS=TRUE&amp;VAR:ID1=84258710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1__FDSAUDITLINK__" hidden="1">{"fdsup://IBCentral/FAT Viewer?action=UPDATE&amp;creator=factset&amp;DOC_NAME=fat:reuters_qtrly_source_window.fat&amp;display_string=Audit&amp;DYN_ARGS=TRUE&amp;VAR:ID1=84258710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2__FDSAUDITLINK__" hidden="1">{"fdsup://IBCentral/FAT Viewer?action=UPDATE&amp;creator=factset&amp;DOC_NAME=fat:reuters_qtrly_source_window.fat&amp;display_string=Audit&amp;DYN_ARGS=TRUE&amp;VAR:ID1=84258710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3__FDSAUDITLINK__" hidden="1">{"fdsup://IBCentral/FAT Viewer?action=UPDATE&amp;creator=factset&amp;DOC_NAME=fat:reuters_qtrly_source_window.fat&amp;display_string=Audit&amp;DYN_ARGS=TRUE&amp;VAR:ID1=84258710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4__FDSAUDITLINK__" hidden="1">{"fdsup://IBCentral/FAT Viewer?action=UPDATE&amp;creator=factset&amp;DOC_NAME=fat:reuters_qtrly_source_window.fat&amp;display_string=Audit&amp;DYN_ARGS=TRUE&amp;VAR:ID1=84258710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5__FDSAUDITLINK__" hidden="1">{"fdsup://IBCentral/FAT Viewer?action=UPDATE&amp;creator=factset&amp;DOC_NAME=fat:reuters_qtrly_source_window.fat&amp;display_string=Audit&amp;DYN_ARGS=TRUE&amp;VAR:ID1=74326310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776__FDSAUDITLINK__" hidden="1">{"fdsup://IBCentral/FAT Viewer?action=UPDATE&amp;creator=factset&amp;DOC_NAME=fat:reuters_qtrly_source_window.fat&amp;display_string=Audit&amp;DYN_ARGS=TRUE&amp;VAR:ID1=74326310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777__FDSAUDITLINK__" hidden="1">{"fdsup://IBCentral/FAT Viewer?action=UPDATE&amp;creator=factset&amp;DOC_NAME=fat:reuters_qtrly_source_window.fat&amp;display_string=Audit&amp;DYN_ARGS=TRUE&amp;VAR:ID1=74326310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8__FDSAUDITLINK__" hidden="1">{"fdsup://IBCentral/FAT Viewer?action=UPDATE&amp;creator=factset&amp;DOC_NAME=fat:reuters_qtrly_source_window.fat&amp;display_string=Audit&amp;DYN_ARGS=TRUE&amp;VAR:ID1=74326310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9__FDSAUDITLINK__" hidden="1">{"fdsup://IBCentral/FAT Viewer?action=UPDATE&amp;creator=factset&amp;DOC_NAME=fat:reuters_qtrly_source_window.fat&amp;display_string=Audit&amp;DYN_ARGS=TRUE&amp;VAR:ID1=74326310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__FDSAUDITLINK__" hidden="1">{"fdsup://IBCentral/FAT Viewer?action=UPDATE&amp;creator=factset&amp;DOC_NAME=fat:reuters_qtrly_source_window.fat&amp;display_string=Audit&amp;DYN_ARGS=TRUE&amp;VAR:ID1=92924F10&amp;VAR:RCODE=LTCL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0__FDSAUDITLINK__" hidden="1">{"fdsup://IBCentral/FAT Viewer?action=UPDATE&amp;creator=factset&amp;DOC_NAME=fat:reuters_qtrly_source_window.fat&amp;display_string=Audit&amp;DYN_ARGS=TRUE&amp;VAR:ID1=74326310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1__FDSAUDITLINK__" hidden="1">{"fdsup://IBCentral/FAT Viewer?action=UPDATE&amp;creator=factset&amp;DOC_NAME=fat:reuters_qtrly_source_window.fat&amp;display_string=Audit&amp;DYN_ARGS=TRUE&amp;VAR:ID1=74326310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2__FDSAUDITLINK__" hidden="1">{"fdsup://IBCentral/FAT Viewer?action=UPDATE&amp;creator=factset&amp;DOC_NAME=fat:reuters_qtrly_source_window.fat&amp;display_string=Audit&amp;DYN_ARGS=TRUE&amp;VAR:ID1=74326310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3__FDSAUDITLINK__" hidden="1">{"fdsup://IBCentral/FAT Viewer?action=UPDATE&amp;creator=factset&amp;DOC_NAME=fat:reuters_qtrly_source_window.fat&amp;display_string=Audit&amp;DYN_ARGS=TRUE&amp;VAR:ID1=69331C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784__FDSAUDITLINK__" hidden="1">{"fdsup://IBCentral/FAT Viewer?action=UPDATE&amp;creator=factset&amp;DOC_NAME=fat:reuters_qtrly_source_window.fat&amp;display_string=Audit&amp;DYN_ARGS=TRUE&amp;VAR:ID1=69331C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785__FDSAUDITLINK__" hidden="1">{"fdsup://IBCentral/FAT Viewer?action=UPDATE&amp;creator=factset&amp;DOC_NAME=fat:reuters_qtrly_source_window.fat&amp;display_string=Audit&amp;DYN_ARGS=TRUE&amp;VAR:ID1=69331C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6__FDSAUDITLINK__" hidden="1">{"fdsup://IBCentral/FAT Viewer?action=UPDATE&amp;creator=factset&amp;DOC_NAME=fat:reuters_qtrly_source_window.fat&amp;display_string=Audit&amp;DYN_ARGS=TRUE&amp;VAR:ID1=69331C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7__FDSAUDITLINK__" hidden="1">{"fdsup://IBCentral/FAT Viewer?action=UPDATE&amp;creator=factset&amp;DOC_NAME=fat:reuters_qtrly_source_window.fat&amp;display_string=Audit&amp;DYN_ARGS=TRUE&amp;VAR:ID1=69331C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8__FDSAUDITLINK__" hidden="1">{"fdsup://IBCentral/FAT Viewer?action=UPDATE&amp;creator=factset&amp;DOC_NAME=fat:reuters_qtrly_source_window.fat&amp;display_string=Audit&amp;DYN_ARGS=TRUE&amp;VAR:ID1=69331C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89__FDSAUDITLINK__" hidden="1">{"fdsup://IBCentral/FAT Viewer?action=UPDATE&amp;creator=factset&amp;DOC_NAME=fat:reuters_qtrly_source_window.fat&amp;display_string=Audit&amp;DYN_ARGS=TRUE&amp;VAR:ID1=69331C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__FDSAUDITLINK__" hidden="1">{"fdsup://IBCentral/FAT Viewer?action=UPDATE&amp;creator=factset&amp;DOC_NAME=fat:reuters_qtrly_source_window.fat&amp;display_string=Audit&amp;DYN_ARGS=TRUE&amp;VAR:ID1=92924F10&amp;VAR:RCODE=ATCA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0__FDSAUDITLINK__" hidden="1">{"fdsup://IBCentral/FAT Viewer?action=UPDATE&amp;creator=factset&amp;DOC_NAME=fat:reuters_qtrly_source_window.fat&amp;display_string=Audit&amp;DYN_ARGS=TRUE&amp;VAR:ID1=69331C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1__FDSAUDITLINK__" hidden="1">{"fdsup://IBCentral/FAT Viewer?action=UPDATE&amp;creator=factset&amp;DOC_NAME=fat:reuters_qtrly_source_window.fat&amp;display_string=Audit&amp;DYN_ARGS=TRUE&amp;VAR:ID1=20911510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792__FDSAUDITLINK__" hidden="1">{"fdsup://IBCentral/FAT Viewer?action=UPDATE&amp;creator=factset&amp;DOC_NAME=fat:reuters_qtrly_source_window.fat&amp;display_string=Audit&amp;DYN_ARGS=TRUE&amp;VAR:ID1=20911510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793__FDSAUDITLINK__" hidden="1">{"fdsup://IBCentral/FAT Viewer?action=UPDATE&amp;creator=factset&amp;DOC_NAME=fat:reuters_qtrly_source_window.fat&amp;display_string=Audit&amp;DYN_ARGS=TRUE&amp;VAR:ID1=20911510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4__FDSAUDITLINK__" hidden="1">{"fdsup://IBCentral/FAT Viewer?action=UPDATE&amp;creator=factset&amp;DOC_NAME=fat:reuters_qtrly_source_window.fat&amp;display_string=Audit&amp;DYN_ARGS=TRUE&amp;VAR:ID1=20911510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5__FDSAUDITLINK__" hidden="1">{"fdsup://IBCentral/FAT Viewer?action=UPDATE&amp;creator=factset&amp;DOC_NAME=fat:reuters_qtrly_source_window.fat&amp;display_string=Audit&amp;DYN_ARGS=TRUE&amp;VAR:ID1=20911510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6__FDSAUDITLINK__" hidden="1">{"fdsup://IBCentral/FAT Viewer?action=UPDATE&amp;creator=factset&amp;DOC_NAME=fat:reuters_qtrly_source_window.fat&amp;display_string=Audit&amp;DYN_ARGS=TRUE&amp;VAR:ID1=20911510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7__FDSAUDITLINK__" hidden="1">{"fdsup://IBCentral/FAT Viewer?action=UPDATE&amp;creator=factset&amp;DOC_NAME=fat:reuters_qtrly_source_window.fat&amp;display_string=Audit&amp;DYN_ARGS=TRUE&amp;VAR:ID1=20911510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8__FDSAUDITLINK__" hidden="1">{"fdsup://IBCentral/FAT Viewer?action=UPDATE&amp;creator=factset&amp;DOC_NAME=fat:reuters_qtrly_source_window.fat&amp;display_string=Audit&amp;DYN_ARGS=TRUE&amp;VAR:ID1=20911510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99__FDSAUDITLINK__" hidden="1">{"fdsup://IBCentral/FAT Viewer?action=UPDATE&amp;creator=factset&amp;DOC_NAME=fat:reuters_qtrly_source_window.fat&amp;display_string=Audit&amp;DYN_ARGS=TRUE&amp;VAR:ID1=02360810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__FDSAUDITLINK__" hidden="1">{"fdsup://directions/FAT Viewer?action=UPDATE&amp;creator=factset&amp;DYN_ARGS=TRUE&amp;DOC_NAME=FAT:FQL_AUDITING_CLIENT_TEMPLATE.FAT&amp;display_string=Audit&amp;VAR:KEY=XGXCNALUJK&amp;VAR:QUERY=RkZfREVCVChBTk4sMjAxMCk=&amp;WINDOW=FIRST_POPUP&amp;HEIGHT=450&amp;WIDTH=450&amp;START_MAXIMIZED=FALS","E&amp;VAR:CALENDAR=US&amp;VAR:SYMBOL=CMLP&amp;VAR:INDEX=0"}</definedName>
    <definedName name="_80__FDSAUDITLINK__" hidden="1">{"fdsup://IBCentral/FAT Viewer?action=UPDATE&amp;creator=factset&amp;DOC_NAME=fat:reuters_qtrly_source_window.fat&amp;display_string=Audit&amp;DYN_ARGS=TRUE&amp;VAR:ID1=92924F10&amp;VAR:RCODE=ATOT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0__FDSAUDITLINK__" hidden="1">{"fdsup://IBCentral/FAT Viewer?action=UPDATE&amp;creator=factset&amp;DOC_NAME=fat:reuters_qtrly_source_window.fat&amp;display_string=Audit&amp;DYN_ARGS=TRUE&amp;VAR:ID1=02360810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01__FDSAUDITLINK__" hidden="1">{"fdsup://IBCentral/FAT Viewer?action=UPDATE&amp;creator=factset&amp;DOC_NAME=fat:reuters_qtrly_source_window.fat&amp;display_string=Audit&amp;DYN_ARGS=TRUE&amp;VAR:ID1=02360810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2__FDSAUDITLINK__" hidden="1">{"fdsup://IBCentral/FAT Viewer?action=UPDATE&amp;creator=factset&amp;DOC_NAME=fat:reuters_qtrly_source_window.fat&amp;display_string=Audit&amp;DYN_ARGS=TRUE&amp;VAR:ID1=02360810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3__FDSAUDITLINK__" hidden="1">{"fdsup://IBCentral/FAT Viewer?action=UPDATE&amp;creator=factset&amp;DOC_NAME=fat:reuters_qtrly_source_window.fat&amp;display_string=Audit&amp;DYN_ARGS=TRUE&amp;VAR:ID1=02360810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4__FDSAUDITLINK__" hidden="1">{"fdsup://IBCentral/FAT Viewer?action=UPDATE&amp;creator=factset&amp;DOC_NAME=fat:reuters_qtrly_source_window.fat&amp;display_string=Audit&amp;DYN_ARGS=TRUE&amp;VAR:ID1=02360810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5__FDSAUDITLINK__" hidden="1">{"fdsup://IBCentral/FAT Viewer?action=UPDATE&amp;creator=factset&amp;DOC_NAME=fat:reuters_qtrly_source_window.fat&amp;display_string=Audit&amp;DYN_ARGS=TRUE&amp;VAR:ID1=02360810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6__FDSAUDITLINK__" hidden="1">{"fdsup://IBCentral/FAT Viewer?action=UPDATE&amp;creator=factset&amp;DOC_NAME=fat:reuters_qtrly_source_window.fat&amp;display_string=Audit&amp;DYN_ARGS=TRUE&amp;VAR:ID1=02360810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07__FDSAUDITLINK__" hidden="1">{"fdsup://IBCentral/FAT Viewer?action=UPDATE&amp;creator=factset&amp;DOC_NAME=fat:reuters_qtrly_source_window.fat&amp;display_string=Audit&amp;DYN_ARGS=TRUE&amp;VAR:ID1=26441C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08__FDSAUDITLINK__" hidden="1">{"fdsup://IBCentral/FAT Viewer?action=UPDATE&amp;creator=factset&amp;DOC_NAME=fat:reuters_qtrly_source_window.fat&amp;display_string=Audit&amp;DYN_ARGS=TRUE&amp;VAR:ID1=26441C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09__FDSAUDITLINK__" hidden="1">{"fdsup://IBCentral/FAT Viewer?action=UPDATE&amp;creator=factset&amp;DOC_NAME=fat:reuters_qtrly_source_window.fat&amp;display_string=Audit&amp;DYN_ARGS=TRUE&amp;VAR:ID1=26441C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__FDSAUDITLINK__" hidden="1">{"fdsup://IBCentral/FAT Viewer?action=UPDATE&amp;creator=factset&amp;DOC_NAME=fat:reuters_qtrly_source_window.fat&amp;display_string=Audit&amp;DYN_ARGS=TRUE&amp;VAR:ID1=92240G10&amp;VAR:RCODE=FDSPFDSTKTOTAL&amp;VAR:SDATE=20081299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10__FDSAUDITLINK__" hidden="1">{"fdsup://IBCentral/FAT Viewer?action=UPDATE&amp;creator=factset&amp;DOC_NAME=fat:reuters_qtrly_source_window.fat&amp;display_string=Audit&amp;DYN_ARGS=TRUE&amp;VAR:ID1=26441C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1__FDSAUDITLINK__" hidden="1">{"fdsup://IBCentral/FAT Viewer?action=UPDATE&amp;creator=factset&amp;DOC_NAME=fat:reuters_qtrly_source_window.fat&amp;display_string=Audit&amp;DYN_ARGS=TRUE&amp;VAR:ID1=26441C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2__FDSAUDITLINK__" hidden="1">{"fdsup://IBCentral/FAT Viewer?action=UPDATE&amp;creator=factset&amp;DOC_NAME=fat:reuters_qtrly_source_window.fat&amp;display_string=Audit&amp;DYN_ARGS=TRUE&amp;VAR:ID1=26441C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3__FDSAUDITLINK__" hidden="1">{"fdsup://IBCentral/FAT Viewer?action=UPDATE&amp;creator=factset&amp;DOC_NAME=fat:reuters_qtrly_source_window.fat&amp;display_string=Audit&amp;DYN_ARGS=TRUE&amp;VAR:ID1=26441C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4__FDSAUDITLINK__" hidden="1">{"fdsup://IBCentral/FAT Viewer?action=UPDATE&amp;creator=factset&amp;DOC_NAME=fat:reuters_qtrly_source_window.fat&amp;display_string=Audit&amp;DYN_ARGS=TRUE&amp;VAR:ID1=26441C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5__FDSAUDITLINK__" hidden="1">{"fdsup://IBCentral/FAT Viewer?action=UPDATE&amp;creator=factset&amp;DOC_NAME=fat:reuters_qtrly_source_window.fat&amp;display_string=Audit&amp;DYN_ARGS=TRUE&amp;VAR:ID1=25746U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16__FDSAUDITLINK__" hidden="1">{"fdsup://IBCentral/FAT Viewer?action=UPDATE&amp;creator=factset&amp;DOC_NAME=fat:reuters_qtrly_source_window.fat&amp;display_string=Audit&amp;DYN_ARGS=TRUE&amp;VAR:ID1=25746U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17__FDSAUDITLINK__" hidden="1">{"fdsup://IBCentral/FAT Viewer?action=UPDATE&amp;creator=factset&amp;DOC_NAME=fat:reuters_qtrly_source_window.fat&amp;display_string=Audit&amp;DYN_ARGS=TRUE&amp;VAR:ID1=25746U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8__FDSAUDITLINK__" hidden="1">{"fdsup://IBCentral/FAT Viewer?action=UPDATE&amp;creator=factset&amp;DOC_NAME=fat:reuters_qtrly_source_window.fat&amp;display_string=Audit&amp;DYN_ARGS=TRUE&amp;VAR:ID1=25746U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19__FDSAUDITLINK__" hidden="1">{"fdsup://IBCentral/FAT Viewer?action=UPDATE&amp;creator=factset&amp;DOC_NAME=fat:reuters_qtrly_source_window.fat&amp;display_string=Audit&amp;DYN_ARGS=TRUE&amp;VAR:ID1=25746U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__FDSAUDITLINK__" hidden="1">{"fdsup://IBCentral/FAT Viewer?action=UPDATE&amp;creator=factset&amp;DOC_NAME=fat:reuters_qtrly_source_window.fat&amp;display_string=Audit&amp;DYN_ARGS=TRUE&amp;VAR:ID1=92240G10&amp;VAR:RCODE=CMNEQ&amp;VAR:SDATE=20081299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20__FDSAUDITLINK__" hidden="1">{"fdsup://IBCentral/FAT Viewer?action=UPDATE&amp;creator=factset&amp;DOC_NAME=fat:reuters_qtrly_source_window.fat&amp;display_string=Audit&amp;DYN_ARGS=TRUE&amp;VAR:ID1=25746U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1__FDSAUDITLINK__" hidden="1">{"fdsup://IBCentral/FAT Viewer?action=UPDATE&amp;creator=factset&amp;DOC_NAME=fat:reuters_qtrly_source_window.fat&amp;display_string=Audit&amp;DYN_ARGS=TRUE&amp;VAR:ID1=25746U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2__FDSAUDITLINK__" hidden="1">{"fdsup://IBCentral/FAT Viewer?action=UPDATE&amp;creator=factset&amp;DOC_NAME=fat:reuters_qtrly_source_window.fat&amp;display_string=Audit&amp;DYN_ARGS=TRUE&amp;VAR:ID1=25746U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3__FDSAUDITLINK__" hidden="1">{"fdsup://IBCentral/FAT Viewer?action=UPDATE&amp;creator=factset&amp;DOC_NAME=fat:reuters_qtrly_source_window.fat&amp;display_string=Audit&amp;DYN_ARGS=TRUE&amp;VAR:ID1=02553710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24__FDSAUDITLINK__" hidden="1">{"fdsup://IBCentral/FAT Viewer?action=UPDATE&amp;creator=factset&amp;DOC_NAME=fat:reuters_qtrly_source_window.fat&amp;display_string=Audit&amp;DYN_ARGS=TRUE&amp;VAR:ID1=02553710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25__FDSAUDITLINK__" hidden="1">{"fdsup://IBCentral/FAT Viewer?action=UPDATE&amp;creator=factset&amp;DOC_NAME=fat:reuters_qtrly_source_window.fat&amp;display_string=Audit&amp;DYN_ARGS=TRUE&amp;VAR:ID1=02553710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6__FDSAUDITLINK__" hidden="1">{"fdsup://IBCentral/FAT Viewer?action=UPDATE&amp;creator=factset&amp;DOC_NAME=fat:reuters_qtrly_source_window.fat&amp;display_string=Audit&amp;DYN_ARGS=TRUE&amp;VAR:ID1=02553710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7__FDSAUDITLINK__" hidden="1">{"fdsup://IBCentral/FAT Viewer?action=UPDATE&amp;creator=factset&amp;DOC_NAME=fat:reuters_qtrly_source_window.fat&amp;display_string=Audit&amp;DYN_ARGS=TRUE&amp;VAR:ID1=02553710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8__FDSAUDITLINK__" hidden="1">{"fdsup://IBCentral/FAT Viewer?action=UPDATE&amp;creator=factset&amp;DOC_NAME=fat:reuters_qtrly_source_window.fat&amp;display_string=Audit&amp;DYN_ARGS=TRUE&amp;VAR:ID1=02553710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29__FDSAUDITLINK__" hidden="1">{"fdsup://IBCentral/FAT Viewer?action=UPDATE&amp;creator=factset&amp;DOC_NAME=fat:reuters_qtrly_source_window.fat&amp;display_string=Audit&amp;DYN_ARGS=TRUE&amp;VAR:ID1=02553710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__FDSAUDITLINK__" hidden="1">{"fdsup://IBCentral/FAT Viewer?action=UPDATE&amp;creator=factset&amp;DOC_NAME=fat:reuters_qtrly_source_window.fat&amp;display_string=Audit&amp;DYN_ARGS=TRUE&amp;VAR:ID1=92240G10&amp;VAR:RCODE=SCSI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0__FDSAUDITLINK__" hidden="1">{"fdsup://IBCentral/FAT Viewer?action=UPDATE&amp;creator=factset&amp;DOC_NAME=fat:reuters_qtrly_source_window.fat&amp;display_string=Audit&amp;DYN_ARGS=TRUE&amp;VAR:ID1=02553710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1__FDSAUDITLINK__" hidden="1">{"fdsup://IBCentral/FAT Viewer?action=UPDATE&amp;creator=factset&amp;DOC_NAME=fat:reuters_qtrly_source_window.fat&amp;display_string=Audit&amp;DYN_ARGS=TRUE&amp;VAR:ID1=01736110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32__FDSAUDITLINK__" hidden="1">{"fdsup://IBCentral/FAT Viewer?action=UPDATE&amp;creator=factset&amp;DOC_NAME=fat:reuters_qtrly_source_window.fat&amp;display_string=Audit&amp;DYN_ARGS=TRUE&amp;VAR:ID1=01736110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33__FDSAUDITLINK__" hidden="1">{"fdsup://IBCentral/FAT Viewer?action=UPDATE&amp;creator=factset&amp;DOC_NAME=fat:reuters_qtrly_source_window.fat&amp;display_string=Audit&amp;DYN_ARGS=TRUE&amp;VAR:ID1=01736110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4__FDSAUDITLINK__" hidden="1">{"fdsup://IBCentral/FAT Viewer?action=UPDATE&amp;creator=factset&amp;DOC_NAME=fat:reuters_qtrly_source_window.fat&amp;display_string=Audit&amp;DYN_ARGS=TRUE&amp;VAR:ID1=01736110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5__FDSAUDITLINK__" hidden="1">{"fdsup://IBCentral/FAT Viewer?action=UPDATE&amp;creator=factset&amp;DOC_NAME=fat:reuters_qtrly_source_window.fat&amp;display_string=Audit&amp;DYN_ARGS=TRUE&amp;VAR:ID1=01736110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6__FDSAUDITLINK__" hidden="1">{"fdsup://IBCentral/FAT Viewer?action=UPDATE&amp;creator=factset&amp;DOC_NAME=fat:reuters_qtrly_source_window.fat&amp;display_string=Audit&amp;DYN_ARGS=TRUE&amp;VAR:ID1=01736110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7__FDSAUDITLINK__" hidden="1">{"fdsup://IBCentral/FAT Viewer?action=UPDATE&amp;creator=factset&amp;DOC_NAME=fat:reuters_qtrly_source_window.fat&amp;display_string=Audit&amp;DYN_ARGS=TRUE&amp;VAR:ID1=01736110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8__FDSAUDITLINK__" hidden="1">{"fdsup://IBCentral/FAT Viewer?action=UPDATE&amp;creator=factset&amp;DOC_NAME=fat:reuters_qtrly_source_window.fat&amp;display_string=Audit&amp;DYN_ARGS=TRUE&amp;VAR:ID1=01736110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39__FDSAUDITLINK__" hidden="1">{"fdsup://IBCentral/FAT Viewer?action=UPDATE&amp;creator=factset&amp;DOC_NAME=fat:reuters_qtrly_source_window.fat&amp;display_string=Audit&amp;DYN_ARGS=TRUE&amp;VAR:ID1=09662710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4__FDSAUDITLINK__" hidden="1">{"fdsup://IBCentral/FAT Viewer?action=UPDATE&amp;creator=factset&amp;DOC_NAME=fat:reuters_qtrly_source_window.fat&amp;display_string=Audit&amp;DYN_ARGS=TRUE&amp;VAR:ID1=92240G10&amp;VAR:RCODE=STLD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0__FDSAUDITLINK__" hidden="1">{"fdsup://IBCentral/FAT Viewer?action=UPDATE&amp;creator=factset&amp;DOC_NAME=fat:reuters_qtrly_source_window.fat&amp;display_string=Audit&amp;DYN_ARGS=TRUE&amp;VAR:ID1=09662710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41__FDSAUDITLINK__" hidden="1">{"fdsup://IBCentral/FAT Viewer?action=UPDATE&amp;creator=factset&amp;DOC_NAME=fat:reuters_qtrly_source_window.fat&amp;display_string=Audit&amp;DYN_ARGS=TRUE&amp;VAR:ID1=09662710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2__FDSAUDITLINK__" hidden="1">{"fdsup://IBCentral/FAT Viewer?action=UPDATE&amp;creator=factset&amp;DOC_NAME=fat:reuters_qtrly_source_window.fat&amp;display_string=Audit&amp;DYN_ARGS=TRUE&amp;VAR:ID1=09662710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3__FDSAUDITLINK__" hidden="1">{"fdsup://IBCentral/FAT Viewer?action=UPDATE&amp;creator=factset&amp;DOC_NAME=fat:reuters_qtrly_source_window.fat&amp;display_string=Audit&amp;DYN_ARGS=TRUE&amp;VAR:ID1=09662710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4__FDSAUDITLINK__" hidden="1">{"fdsup://IBCentral/FAT Viewer?action=UPDATE&amp;creator=factset&amp;DOC_NAME=fat:reuters_qtrly_source_window.fat&amp;display_string=Audit&amp;DYN_ARGS=TRUE&amp;VAR:ID1=09662710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5__FDSAUDITLINK__" hidden="1">{"fdsup://IBCentral/FAT Viewer?action=UPDATE&amp;creator=factset&amp;DOC_NAME=fat:reuters_qtrly_source_window.fat&amp;display_string=Audit&amp;DYN_ARGS=TRUE&amp;VAR:ID1=09662710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6__FDSAUDITLINK__" hidden="1">{"fdsup://IBCentral/FAT Viewer?action=UPDATE&amp;creator=factset&amp;DOC_NAME=fat:reuters_qtrly_source_window.fat&amp;display_string=Audit&amp;DYN_ARGS=TRUE&amp;VAR:ID1=09662710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47__FDSAUDITLINK__" hidden="1">{"fdsup://IBCentral/FAT Viewer?action=UPDATE&amp;creator=factset&amp;DOC_NAME=fat:reuters_qtrly_source_window.fat&amp;display_string=Audit&amp;DYN_ARGS=TRUE&amp;VAR:ID1=29379210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48__FDSAUDITLINK__" hidden="1">{"fdsup://IBCentral/FAT Viewer?action=UPDATE&amp;creator=factset&amp;DOC_NAME=fat:reuters_qtrly_source_window.fat&amp;display_string=Audit&amp;DYN_ARGS=TRUE&amp;VAR:ID1=29379210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49__FDSAUDITLINK__" hidden="1">{"fdsup://IBCentral/FAT Viewer?action=UPDATE&amp;creator=factset&amp;DOC_NAME=fat:reuters_qtrly_source_window.fat&amp;display_string=Audit&amp;DYN_ARGS=TRUE&amp;VAR:ID1=29379210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__FDSAUDITLINK__" hidden="1">{"fdsup://IBCentral/FAT Viewer?action=UPDATE&amp;creator=factset&amp;DOC_NAME=fat:reuters_qtrly_source_window.fat&amp;display_string=Audit&amp;DYN_ARGS=TRUE&amp;VAR:ID1=92240G10&amp;VAR:RCODE=DSTT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0__FDSAUDITLINK__" hidden="1">{"fdsup://IBCentral/FAT Viewer?action=UPDATE&amp;creator=factset&amp;DOC_NAME=fat:reuters_qtrly_source_window.fat&amp;display_string=Audit&amp;DYN_ARGS=TRUE&amp;VAR:ID1=29379210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1__FDSAUDITLINK__" hidden="1">{"fdsup://IBCentral/FAT Viewer?action=UPDATE&amp;creator=factset&amp;DOC_NAME=fat:reuters_qtrly_source_window.fat&amp;display_string=Audit&amp;DYN_ARGS=TRUE&amp;VAR:ID1=29379210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2__FDSAUDITLINK__" hidden="1">{"fdsup://IBCentral/FAT Viewer?action=UPDATE&amp;creator=factset&amp;DOC_NAME=fat:reuters_qtrly_source_window.fat&amp;display_string=Audit&amp;DYN_ARGS=TRUE&amp;VAR:ID1=29379210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3__FDSAUDITLINK__" hidden="1">{"fdsup://IBCentral/FAT Viewer?action=UPDATE&amp;creator=factset&amp;DOC_NAME=fat:reuters_qtrly_source_window.fat&amp;display_string=Audit&amp;DYN_ARGS=TRUE&amp;VAR:ID1=29379210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4__FDSAUDITLINK__" hidden="1">{"fdsup://IBCentral/FAT Viewer?action=UPDATE&amp;creator=factset&amp;DOC_NAME=fat:reuters_qtrly_source_window.fat&amp;display_string=Audit&amp;DYN_ARGS=TRUE&amp;VAR:ID1=29379210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5__FDSAUDITLINK__" hidden="1">{"fdsup://IBCentral/FAT Viewer?action=UPDATE&amp;creator=factset&amp;DOC_NAME=fat:reuters_qtrly_source_window.fat&amp;display_string=Audit&amp;DYN_ARGS=TRUE&amp;VAR:ID1=49455010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56__FDSAUDITLINK__" hidden="1">{"fdsup://IBCentral/FAT Viewer?action=UPDATE&amp;creator=factset&amp;DOC_NAME=fat:reuters_qtrly_source_window.fat&amp;display_string=Audit&amp;DYN_ARGS=TRUE&amp;VAR:ID1=49455010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57__FDSAUDITLINK__" hidden="1">{"fdsup://IBCentral/FAT Viewer?action=UPDATE&amp;creator=factset&amp;DOC_NAME=fat:reuters_qtrly_source_window.fat&amp;display_string=Audit&amp;DYN_ARGS=TRUE&amp;VAR:ID1=49455010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8__FDSAUDITLINK__" hidden="1">{"fdsup://IBCentral/FAT Viewer?action=UPDATE&amp;creator=factset&amp;DOC_NAME=fat:reuters_qtrly_source_window.fat&amp;display_string=Audit&amp;DYN_ARGS=TRUE&amp;VAR:ID1=49455010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59__FDSAUDITLINK__" hidden="1">{"fdsup://IBCentral/FAT Viewer?action=UPDATE&amp;creator=factset&amp;DOC_NAME=fat:reuters_qtrly_source_window.fat&amp;display_string=Audit&amp;DYN_ARGS=TRUE&amp;VAR:ID1=49455010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__FDSAUDITLINK__" hidden="1">{"fdsup://IBCentral/FAT Viewer?action=UPDATE&amp;creator=factset&amp;DOC_NAME=fat:reuters_qtrly_source_window.fat&amp;display_string=Audit&amp;DYN_ARGS=TRUE&amp;VAR:ID1=92240G10&amp;VAR:RCODE=LTCL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0__FDSAUDITLINK__" hidden="1">{"fdsup://IBCentral/FAT Viewer?action=UPDATE&amp;creator=factset&amp;DOC_NAME=fat:reuters_qtrly_source_window.fat&amp;display_string=Audit&amp;DYN_ARGS=TRUE&amp;VAR:ID1=49455010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1__FDSAUDITLINK__" hidden="1">{"fdsup://IBCentral/FAT Viewer?action=UPDATE&amp;creator=factset&amp;DOC_NAME=fat:reuters_qtrly_source_window.fat&amp;display_string=Audit&amp;DYN_ARGS=TRUE&amp;VAR:ID1=49455010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2__FDSAUDITLINK__" hidden="1">{"fdsup://IBCentral/FAT Viewer?action=UPDATE&amp;creator=factset&amp;DOC_NAME=fat:reuters_qtrly_source_window.fat&amp;display_string=Audit&amp;DYN_ARGS=TRUE&amp;VAR:ID1=49455010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3__FDSAUDITLINK__" hidden="1">{"fdsup://IBCentral/FAT Viewer?action=UPDATE&amp;creator=factset&amp;DOC_NAME=fat:reuters_qtrly_source_window.fat&amp;display_string=Audit&amp;DYN_ARGS=TRUE&amp;VAR:ID1=68268N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64__FDSAUDITLINK__" hidden="1">{"fdsup://IBCentral/FAT Viewer?action=UPDATE&amp;creator=factset&amp;DOC_NAME=fat:reuters_qtrly_source_window.fat&amp;display_string=Audit&amp;DYN_ARGS=TRUE&amp;VAR:ID1=68268N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65__FDSAUDITLINK__" hidden="1">{"fdsup://IBCentral/FAT Viewer?action=UPDATE&amp;creator=factset&amp;DOC_NAME=fat:reuters_qtrly_source_window.fat&amp;display_string=Audit&amp;DYN_ARGS=TRUE&amp;VAR:ID1=68268N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6__FDSAUDITLINK__" hidden="1">{"fdsup://IBCentral/FAT Viewer?action=UPDATE&amp;creator=factset&amp;DOC_NAME=fat:reuters_qtrly_source_window.fat&amp;display_string=Audit&amp;DYN_ARGS=TRUE&amp;VAR:ID1=68268N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7__FDSAUDITLINK__" hidden="1">{"fdsup://IBCentral/FAT Viewer?action=UPDATE&amp;creator=factset&amp;DOC_NAME=fat:reuters_qtrly_source_window.fat&amp;display_string=Audit&amp;DYN_ARGS=TRUE&amp;VAR:ID1=68268N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8__FDSAUDITLINK__" hidden="1">{"fdsup://IBCentral/FAT Viewer?action=UPDATE&amp;creator=factset&amp;DOC_NAME=fat:reuters_qtrly_source_window.fat&amp;display_string=Audit&amp;DYN_ARGS=TRUE&amp;VAR:ID1=68268N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69__FDSAUDITLINK__" hidden="1">{"fdsup://IBCentral/FAT Viewer?action=UPDATE&amp;creator=factset&amp;DOC_NAME=fat:reuters_qtrly_source_window.fat&amp;display_string=Audit&amp;DYN_ARGS=TRUE&amp;VAR:ID1=68268N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__FDSAUDITLINK__" hidden="1">{"fdsup://IBCentral/FAT Viewer?action=UPDATE&amp;creator=factset&amp;DOC_NAME=fat:reuters_qtrly_source_window.fat&amp;display_string=Audit&amp;DYN_ARGS=TRUE&amp;VAR:ID1=92240G10&amp;VAR:RCODE=ATCA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0__FDSAUDITLINK__" hidden="1">{"fdsup://IBCentral/FAT Viewer?action=UPDATE&amp;creator=factset&amp;DOC_NAME=fat:reuters_qtrly_source_window.fat&amp;display_string=Audit&amp;DYN_ARGS=TRUE&amp;VAR:ID1=68268N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1__FDSAUDITLINK__" hidden="1">{"fdsup://IBCentral/FAT Viewer?action=UPDATE&amp;creator=factset&amp;DOC_NAME=fat:reuters_qtrly_source_window.fat&amp;display_string=Audit&amp;DYN_ARGS=TRUE&amp;VAR:ID1=23311P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72__FDSAUDITLINK__" hidden="1">{"fdsup://IBCentral/FAT Viewer?action=UPDATE&amp;creator=factset&amp;DOC_NAME=fat:reuters_qtrly_source_window.fat&amp;display_string=Audit&amp;DYN_ARGS=TRUE&amp;VAR:ID1=23311P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73__FDSAUDITLINK__" hidden="1">{"fdsup://IBCentral/FAT Viewer?action=UPDATE&amp;creator=factset&amp;DOC_NAME=fat:reuters_qtrly_source_window.fat&amp;display_string=Audit&amp;DYN_ARGS=TRUE&amp;VAR:ID1=23311P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4__FDSAUDITLINK__" hidden="1">{"fdsup://IBCentral/FAT Viewer?action=UPDATE&amp;creator=factset&amp;DOC_NAME=fat:reuters_qtrly_source_window.fat&amp;display_string=Audit&amp;DYN_ARGS=TRUE&amp;VAR:ID1=23311P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5__FDSAUDITLINK__" hidden="1">{"fdsup://IBCentral/FAT Viewer?action=UPDATE&amp;creator=factset&amp;DOC_NAME=fat:reuters_qtrly_source_window.fat&amp;display_string=Audit&amp;DYN_ARGS=TRUE&amp;VAR:ID1=23311P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6__FDSAUDITLINK__" hidden="1">{"fdsup://IBCentral/FAT Viewer?action=UPDATE&amp;creator=factset&amp;DOC_NAME=fat:reuters_qtrly_source_window.fat&amp;display_string=Audit&amp;DYN_ARGS=TRUE&amp;VAR:ID1=23311P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7__FDSAUDITLINK__" hidden="1">{"fdsup://IBCentral/FAT Viewer?action=UPDATE&amp;creator=factset&amp;DOC_NAME=fat:reuters_qtrly_source_window.fat&amp;display_string=Audit&amp;DYN_ARGS=TRUE&amp;VAR:ID1=23311P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8__FDSAUDITLINK__" hidden="1">{"fdsup://IBCentral/FAT Viewer?action=UPDATE&amp;creator=factset&amp;DOC_NAME=fat:reuters_qtrly_source_window.fat&amp;display_string=Audit&amp;DYN_ARGS=TRUE&amp;VAR:ID1=23311P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79__FDSAUDITLINK__" hidden="1">{"fdsup://IBCentral/FAT Viewer?action=UPDATE&amp;creator=factset&amp;DOC_NAME=fat:reuters_qtrly_source_window.fat&amp;display_string=Audit&amp;DYN_ARGS=TRUE&amp;VAR:ID1=84756N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8__FDSAUDITLINK__" hidden="1">{"fdsup://IBCentral/FAT Viewer?action=UPDATE&amp;creator=factset&amp;DOC_NAME=fat:reuters_qtrly_source_window.fat&amp;display_string=Audit&amp;DYN_ARGS=TRUE&amp;VAR:ID1=92240G10&amp;VAR:RCODE=ATOT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0__FDSAUDITLINK__" hidden="1">{"fdsup://IBCentral/FAT Viewer?action=UPDATE&amp;creator=factset&amp;DOC_NAME=fat:reuters_qtrly_source_window.fat&amp;display_string=Audit&amp;DYN_ARGS=TRUE&amp;VAR:ID1=84756N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81__FDSAUDITLINK__" hidden="1">{"fdsup://IBCentral/FAT Viewer?action=UPDATE&amp;creator=factset&amp;DOC_NAME=fat:reuters_qtrly_source_window.fat&amp;display_string=Audit&amp;DYN_ARGS=TRUE&amp;VAR:ID1=84756N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2__FDSAUDITLINK__" hidden="1">{"fdsup://IBCentral/FAT Viewer?action=UPDATE&amp;creator=factset&amp;DOC_NAME=fat:reuters_qtrly_source_window.fat&amp;display_string=Audit&amp;DYN_ARGS=TRUE&amp;VAR:ID1=84756N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3__FDSAUDITLINK__" hidden="1">{"fdsup://IBCentral/FAT Viewer?action=UPDATE&amp;creator=factset&amp;DOC_NAME=fat:reuters_qtrly_source_window.fat&amp;display_string=Audit&amp;DYN_ARGS=TRUE&amp;VAR:ID1=84756N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4__FDSAUDITLINK__" hidden="1">{"fdsup://IBCentral/FAT Viewer?action=UPDATE&amp;creator=factset&amp;DOC_NAME=fat:reuters_qtrly_source_window.fat&amp;display_string=Audit&amp;DYN_ARGS=TRUE&amp;VAR:ID1=84756N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5__FDSAUDITLINK__" hidden="1">{"fdsup://IBCentral/FAT Viewer?action=UPDATE&amp;creator=factset&amp;DOC_NAME=fat:reuters_qtrly_source_window.fat&amp;display_string=Audit&amp;DYN_ARGS=TRUE&amp;VAR:ID1=84756N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6__FDSAUDITLINK__" hidden="1">{"fdsup://IBCentral/FAT Viewer?action=UPDATE&amp;creator=factset&amp;DOC_NAME=fat:reuters_qtrly_source_window.fat&amp;display_string=Audit&amp;DYN_ARGS=TRUE&amp;VAR:ID1=84756N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87__FDSAUDITLINK__" hidden="1">{"fdsup://IBCentral/FAT Viewer?action=UPDATE&amp;creator=factset&amp;DOC_NAME=fat:reuters_qtrly_source_window.fat&amp;display_string=Audit&amp;DYN_ARGS=TRUE&amp;VAR:ID1=96950F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88__FDSAUDITLINK__" hidden="1">{"fdsup://IBCentral/FAT Viewer?action=UPDATE&amp;creator=factset&amp;DOC_NAME=fat:reuters_qtrly_source_window.fat&amp;display_string=Audit&amp;DYN_ARGS=TRUE&amp;VAR:ID1=96950F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89__FDSAUDITLINK__" hidden="1">{"fdsup://IBCentral/FAT Viewer?action=UPDATE&amp;creator=factset&amp;DOC_NAME=fat:reuters_qtrly_source_window.fat&amp;display_string=Audit&amp;DYN_ARGS=TRUE&amp;VAR:ID1=96950F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__FDSAUDITLINK__" hidden="1">{"fdsup://IBCentral/FAT Viewer?action=UPDATE&amp;creator=factset&amp;DOC_NAME=fat:reuters_qtrly_source_window.fat&amp;display_string=Audit&amp;DYN_ARGS=TRUE&amp;VAR:ID1=83851810&amp;VAR:RCODE=FDSPFDSTKTOTAL&amp;VAR:SDATE=20081299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90__FDSAUDITLINK__" hidden="1">{"fdsup://IBCentral/FAT Viewer?action=UPDATE&amp;creator=factset&amp;DOC_NAME=fat:reuters_qtrly_source_window.fat&amp;display_string=Audit&amp;DYN_ARGS=TRUE&amp;VAR:ID1=96950F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1__FDSAUDITLINK__" hidden="1">{"fdsup://IBCentral/FAT Viewer?action=UPDATE&amp;creator=factset&amp;DOC_NAME=fat:reuters_qtrly_source_window.fat&amp;display_string=Audit&amp;DYN_ARGS=TRUE&amp;VAR:ID1=96950F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2__FDSAUDITLINK__" hidden="1">{"fdsup://IBCentral/FAT Viewer?action=UPDATE&amp;creator=factset&amp;DOC_NAME=fat:reuters_qtrly_source_window.fat&amp;display_string=Audit&amp;DYN_ARGS=TRUE&amp;VAR:ID1=96950F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3__FDSAUDITLINK__" hidden="1">{"fdsup://IBCentral/FAT Viewer?action=UPDATE&amp;creator=factset&amp;DOC_NAME=fat:reuters_qtrly_source_window.fat&amp;display_string=Audit&amp;DYN_ARGS=TRUE&amp;VAR:ID1=96950F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4__FDSAUDITLINK__" hidden="1">{"fdsup://IBCentral/FAT Viewer?action=UPDATE&amp;creator=factset&amp;DOC_NAME=fat:reuters_qtrly_source_window.fat&amp;display_string=Audit&amp;DYN_ARGS=TRUE&amp;VAR:ID1=96950F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5__FDSAUDITLINK__" hidden="1">{"fdsup://IBCentral/FAT Viewer?action=UPDATE&amp;creator=factset&amp;DOC_NAME=fat:reuters_qtrly_source_window.fat&amp;display_string=Audit&amp;DYN_ARGS=TRUE&amp;VAR:ID1=96950K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896__FDSAUDITLINK__" hidden="1">{"fdsup://IBCentral/FAT Viewer?action=UPDATE&amp;creator=factset&amp;DOC_NAME=fat:reuters_qtrly_source_window.fat&amp;display_string=Audit&amp;DYN_ARGS=TRUE&amp;VAR:ID1=96950K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897__FDSAUDITLINK__" hidden="1">{"fdsup://IBCentral/FAT Viewer?action=UPDATE&amp;creator=factset&amp;DOC_NAME=fat:reuters_qtrly_source_window.fat&amp;display_string=Audit&amp;DYN_ARGS=TRUE&amp;VAR:ID1=96950K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8__FDSAUDITLINK__" hidden="1">{"fdsup://IBCentral/FAT Viewer?action=UPDATE&amp;creator=factset&amp;DOC_NAME=fat:reuters_qtrly_source_window.fat&amp;display_string=Audit&amp;DYN_ARGS=TRUE&amp;VAR:ID1=96950K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899__FDSAUDITLINK__" hidden="1">{"fdsup://IBCentral/FAT Viewer?action=UPDATE&amp;creator=factset&amp;DOC_NAME=fat:reuters_qtrly_source_window.fat&amp;display_string=Audit&amp;DYN_ARGS=TRUE&amp;VAR:ID1=96950K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__FDSAUDITLINK__" hidden="1">{"fdsup://directions/FAT Viewer?action=UPDATE&amp;creator=factset&amp;DYN_ARGS=TRUE&amp;DOC_NAME=FAT:FQL_AUDITING_CLIENT_TEMPLATE.FAT&amp;display_string=Audit&amp;VAR:KEY=DIBWLENIFA&amp;VAR:QUERY=RkZfREVCVChBTk4sMjAwOSk=&amp;WINDOW=FIRST_POPUP&amp;HEIGHT=450&amp;WIDTH=450&amp;START_MAXIMIZED=FALS","E&amp;VAR:CALENDAR=US&amp;VAR:SYMBOL=TLLP&amp;VAR:INDEX=0"}</definedName>
    <definedName name="_90__FDSAUDITLINK__" hidden="1">{"fdsup://IBCentral/FAT Viewer?action=UPDATE&amp;creator=factset&amp;DOC_NAME=fat:reuters_qtrly_source_window.fat&amp;display_string=Audit&amp;DYN_ARGS=TRUE&amp;VAR:ID1=83851810&amp;VAR:RCODE=CMNEQ&amp;VAR:SDATE=20081299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00__FDSAUDITLINK__" hidden="1">{"fdsup://IBCentral/FAT Viewer?action=UPDATE&amp;creator=factset&amp;DOC_NAME=fat:reuters_qtrly_source_window.fat&amp;display_string=Audit&amp;DYN_ARGS=TRUE&amp;VAR:ID1=96950K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1__FDSAUDITLINK__" hidden="1">{"fdsup://IBCentral/FAT Viewer?action=UPDATE&amp;creator=factset&amp;DOC_NAME=fat:reuters_qtrly_source_window.fat&amp;display_string=Audit&amp;DYN_ARGS=TRUE&amp;VAR:ID1=96950K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2__FDSAUDITLINK__" hidden="1">{"fdsup://IBCentral/FAT Viewer?action=UPDATE&amp;creator=factset&amp;DOC_NAME=fat:reuters_qtrly_source_window.fat&amp;display_string=Audit&amp;DYN_ARGS=TRUE&amp;VAR:ID1=96950K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3__FDSAUDITLINK__" hidden="1">{"fdsup://IBCentral/FAT Viewer?action=UPDATE&amp;creator=factset&amp;DOC_NAME=fat:reuters_qtrly_source_window.fat&amp;display_string=Audit&amp;DYN_ARGS=TRUE&amp;VAR:ID1=16411Q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04__FDSAUDITLINK__" hidden="1">{"fdsup://IBCentral/FAT Viewer?action=UPDATE&amp;creator=factset&amp;DOC_NAME=fat:reuters_qtrly_source_window.fat&amp;display_string=Audit&amp;DYN_ARGS=TRUE&amp;VAR:ID1=16411Q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05__FDSAUDITLINK__" hidden="1">{"fdsup://IBCentral/FAT Viewer?action=UPDATE&amp;creator=factset&amp;DOC_NAME=fat:reuters_qtrly_source_window.fat&amp;display_string=Audit&amp;DYN_ARGS=TRUE&amp;VAR:ID1=16411Q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6__FDSAUDITLINK__" hidden="1">{"fdsup://IBCentral/FAT Viewer?action=UPDATE&amp;creator=factset&amp;DOC_NAME=fat:reuters_qtrly_source_window.fat&amp;display_string=Audit&amp;DYN_ARGS=TRUE&amp;VAR:ID1=16411Q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7__FDSAUDITLINK__" hidden="1">{"fdsup://IBCentral/FAT Viewer?action=UPDATE&amp;creator=factset&amp;DOC_NAME=fat:reuters_qtrly_source_window.fat&amp;display_string=Audit&amp;DYN_ARGS=TRUE&amp;VAR:ID1=16411Q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8__FDSAUDITLINK__" hidden="1">{"fdsup://IBCentral/FAT Viewer?action=UPDATE&amp;creator=factset&amp;DOC_NAME=fat:reuters_qtrly_source_window.fat&amp;display_string=Audit&amp;DYN_ARGS=TRUE&amp;VAR:ID1=16411Q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09__FDSAUDITLINK__" hidden="1">{"fdsup://IBCentral/FAT Viewer?action=UPDATE&amp;creator=factset&amp;DOC_NAME=fat:reuters_qtrly_source_window.fat&amp;display_string=Audit&amp;DYN_ARGS=TRUE&amp;VAR:ID1=16411Q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__FDSAUDITLINK__" hidden="1">{"fdsup://IBCentral/FAT Viewer?action=UPDATE&amp;creator=factset&amp;DOC_NAME=fat:reuters_qtrly_source_window.fat&amp;display_string=Audit&amp;DYN_ARGS=TRUE&amp;VAR:ID1=83851810&amp;VAR:RCODE=SCSI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0__FDSAUDITLINK__" hidden="1">{"fdsup://IBCentral/FAT Viewer?action=UPDATE&amp;creator=factset&amp;DOC_NAME=fat:reuters_qtrly_source_window.fat&amp;display_string=Audit&amp;DYN_ARGS=TRUE&amp;VAR:ID1=16411Q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1__FDSAUDITLINK__" hidden="1">{"fdsup://IBCentral/FAT Viewer?action=UPDATE&amp;creator=factset&amp;DOC_NAME=fat:reuters_qtrly_source_window.fat&amp;display_string=Audit&amp;DYN_ARGS=TRUE&amp;VAR:ID1=28370210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12__FDSAUDITLINK__" hidden="1">{"fdsup://IBCentral/FAT Viewer?action=UPDATE&amp;creator=factset&amp;DOC_NAME=fat:reuters_qtrly_source_window.fat&amp;display_string=Audit&amp;DYN_ARGS=TRUE&amp;VAR:ID1=28370210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13__FDSAUDITLINK__" hidden="1">{"fdsup://IBCentral/FAT Viewer?action=UPDATE&amp;creator=factset&amp;DOC_NAME=fat:reuters_qtrly_source_window.fat&amp;display_string=Audit&amp;DYN_ARGS=TRUE&amp;VAR:ID1=28370210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4__FDSAUDITLINK__" hidden="1">{"fdsup://IBCentral/FAT Viewer?action=UPDATE&amp;creator=factset&amp;DOC_NAME=fat:reuters_qtrly_source_window.fat&amp;display_string=Audit&amp;DYN_ARGS=TRUE&amp;VAR:ID1=28370210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5__FDSAUDITLINK__" hidden="1">{"fdsup://IBCentral/FAT Viewer?action=UPDATE&amp;creator=factset&amp;DOC_NAME=fat:reuters_qtrly_source_window.fat&amp;display_string=Audit&amp;DYN_ARGS=TRUE&amp;VAR:ID1=28370210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6__FDSAUDITLINK__" hidden="1">{"fdsup://IBCentral/FAT Viewer?action=UPDATE&amp;creator=factset&amp;DOC_NAME=fat:reuters_qtrly_source_window.fat&amp;display_string=Audit&amp;DYN_ARGS=TRUE&amp;VAR:ID1=28370210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7__FDSAUDITLINK__" hidden="1">{"fdsup://IBCentral/FAT Viewer?action=UPDATE&amp;creator=factset&amp;DOC_NAME=fat:reuters_qtrly_source_window.fat&amp;display_string=Audit&amp;DYN_ARGS=TRUE&amp;VAR:ID1=28370210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8__FDSAUDITLINK__" hidden="1">{"fdsup://IBCentral/FAT Viewer?action=UPDATE&amp;creator=factset&amp;DOC_NAME=fat:reuters_qtrly_source_window.fat&amp;display_string=Audit&amp;DYN_ARGS=TRUE&amp;VAR:ID1=28370210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19__FDSAUDITLINK__" hidden="1">{"fdsup://IBCentral/FAT Viewer?action=UPDATE&amp;creator=factset&amp;DOC_NAME=fat:reuters_qtrly_source_window.fat&amp;display_string=Audit&amp;DYN_ARGS=TRUE&amp;VAR:ID1=29250X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2__FDSAUDITLINK__" hidden="1">{"fdsup://IBCentral/FAT Viewer?action=UPDATE&amp;creator=factset&amp;DOC_NAME=fat:reuters_qtrly_source_window.fat&amp;display_string=Audit&amp;DYN_ARGS=TRUE&amp;VAR:ID1=83851810&amp;VAR:RCODE=STLD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0__FDSAUDITLINK__" hidden="1">{"fdsup://IBCentral/FAT Viewer?action=UPDATE&amp;creator=factset&amp;DOC_NAME=fat:reuters_qtrly_source_window.fat&amp;display_string=Audit&amp;DYN_ARGS=TRUE&amp;VAR:ID1=29250X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21__FDSAUDITLINK__" hidden="1">{"fdsup://IBCentral/FAT Viewer?action=UPDATE&amp;creator=factset&amp;DOC_NAME=fat:reuters_qtrly_source_window.fat&amp;display_string=Audit&amp;DYN_ARGS=TRUE&amp;VAR:ID1=29250X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2__FDSAUDITLINK__" hidden="1">{"fdsup://IBCentral/FAT Viewer?action=UPDATE&amp;creator=factset&amp;DOC_NAME=fat:reuters_qtrly_source_window.fat&amp;display_string=Audit&amp;DYN_ARGS=TRUE&amp;VAR:ID1=29250X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3__FDSAUDITLINK__" hidden="1">{"fdsup://IBCentral/FAT Viewer?action=UPDATE&amp;creator=factset&amp;DOC_NAME=fat:reuters_qtrly_source_window.fat&amp;display_string=Audit&amp;DYN_ARGS=TRUE&amp;VAR:ID1=29250X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4__FDSAUDITLINK__" hidden="1">{"fdsup://IBCentral/FAT Viewer?action=UPDATE&amp;creator=factset&amp;DOC_NAME=fat:reuters_qtrly_source_window.fat&amp;display_string=Audit&amp;DYN_ARGS=TRUE&amp;VAR:ID1=29250X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5__FDSAUDITLINK__" hidden="1">{"fdsup://IBCentral/FAT Viewer?action=UPDATE&amp;creator=factset&amp;DOC_NAME=fat:reuters_qtrly_source_window.fat&amp;display_string=Audit&amp;DYN_ARGS=TRUE&amp;VAR:ID1=29250X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6__FDSAUDITLINK__" hidden="1">{"fdsup://IBCentral/FAT Viewer?action=UPDATE&amp;creator=factset&amp;DOC_NAME=fat:reuters_qtrly_source_window.fat&amp;display_string=Audit&amp;DYN_ARGS=TRUE&amp;VAR:ID1=29250X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27__FDSAUDITLINK__" hidden="1">{"fdsup://IBCentral/FAT Viewer?action=UPDATE&amp;creator=factset&amp;DOC_NAME=fat:reuters_qtrly_source_window.fat&amp;display_string=Audit&amp;DYN_ARGS=TRUE&amp;VAR:ID1=29250R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28__FDSAUDITLINK__" hidden="1">{"fdsup://IBCentral/FAT Viewer?action=UPDATE&amp;creator=factset&amp;DOC_NAME=fat:reuters_qtrly_source_window.fat&amp;display_string=Audit&amp;DYN_ARGS=TRUE&amp;VAR:ID1=29250R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29__FDSAUDITLINK__" hidden="1">{"fdsup://IBCentral/FAT Viewer?action=UPDATE&amp;creator=factset&amp;DOC_NAME=fat:reuters_qtrly_source_window.fat&amp;display_string=Audit&amp;DYN_ARGS=TRUE&amp;VAR:ID1=29250R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__FDSAUDITLINK__" hidden="1">{"fdsup://IBCentral/FAT Viewer?action=UPDATE&amp;creator=factset&amp;DOC_NAME=fat:reuters_qtrly_source_window.fat&amp;display_string=Audit&amp;DYN_ARGS=TRUE&amp;VAR:ID1=83851810&amp;VAR:RCODE=DSTT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0__FDSAUDITLINK__" hidden="1">{"fdsup://IBCentral/FAT Viewer?action=UPDATE&amp;creator=factset&amp;DOC_NAME=fat:reuters_qtrly_source_window.fat&amp;display_string=Audit&amp;DYN_ARGS=TRUE&amp;VAR:ID1=29250R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1__FDSAUDITLINK__" hidden="1">{"fdsup://IBCentral/FAT Viewer?action=UPDATE&amp;creator=factset&amp;DOC_NAME=fat:reuters_qtrly_source_window.fat&amp;display_string=Audit&amp;DYN_ARGS=TRUE&amp;VAR:ID1=29250R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2__FDSAUDITLINK__" hidden="1">{"fdsup://IBCentral/FAT Viewer?action=UPDATE&amp;creator=factset&amp;DOC_NAME=fat:reuters_qtrly_source_window.fat&amp;display_string=Audit&amp;DYN_ARGS=TRUE&amp;VAR:ID1=29250R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3__FDSAUDITLINK__" hidden="1">{"fdsup://IBCentral/FAT Viewer?action=UPDATE&amp;creator=factset&amp;DOC_NAME=fat:reuters_qtrly_source_window.fat&amp;display_string=Audit&amp;DYN_ARGS=TRUE&amp;VAR:ID1=29250R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4__FDSAUDITLINK__" hidden="1">{"fdsup://IBCentral/FAT Viewer?action=UPDATE&amp;creator=factset&amp;DOC_NAME=fat:reuters_qtrly_source_window.fat&amp;display_string=Audit&amp;DYN_ARGS=TRUE&amp;VAR:ID1=29250R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5__FDSAUDITLINK__" hidden="1">{"fdsup://IBCentral/FAT Viewer?action=UPDATE&amp;creator=factset&amp;DOC_NAME=fat:reuters_qtrly_source_window.fat&amp;display_string=Audit&amp;DYN_ARGS=TRUE&amp;VAR:ID1=87233Q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36__FDSAUDITLINK__" hidden="1">{"fdsup://IBCentral/FAT Viewer?action=UPDATE&amp;creator=factset&amp;DOC_NAME=fat:reuters_qtrly_source_window.fat&amp;display_string=Audit&amp;DYN_ARGS=TRUE&amp;VAR:ID1=87233Q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37__FDSAUDITLINK__" hidden="1">{"fdsup://IBCentral/FAT Viewer?action=UPDATE&amp;creator=factset&amp;DOC_NAME=fat:reuters_qtrly_source_window.fat&amp;display_string=Audit&amp;DYN_ARGS=TRUE&amp;VAR:ID1=87233Q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8__FDSAUDITLINK__" hidden="1">{"fdsup://IBCentral/FAT Viewer?action=UPDATE&amp;creator=factset&amp;DOC_NAME=fat:reuters_qtrly_source_window.fat&amp;display_string=Audit&amp;DYN_ARGS=TRUE&amp;VAR:ID1=87233Q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39__FDSAUDITLINK__" hidden="1">{"fdsup://IBCentral/FAT Viewer?action=UPDATE&amp;creator=factset&amp;DOC_NAME=fat:reuters_qtrly_source_window.fat&amp;display_string=Audit&amp;DYN_ARGS=TRUE&amp;VAR:ID1=87233Q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__FDSAUDITLINK__" hidden="1">{"fdsup://IBCentral/FAT Viewer?action=UPDATE&amp;creator=factset&amp;DOC_NAME=fat:reuters_qtrly_source_window.fat&amp;display_string=Audit&amp;DYN_ARGS=TRUE&amp;VAR:ID1=83851810&amp;VAR:RCODE=LTCL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0__FDSAUDITLINK__" hidden="1">{"fdsup://IBCentral/FAT Viewer?action=UPDATE&amp;creator=factset&amp;DOC_NAME=fat:reuters_qtrly_source_window.fat&amp;display_string=Audit&amp;DYN_ARGS=TRUE&amp;VAR:ID1=87233Q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1__FDSAUDITLINK__" hidden="1">{"fdsup://IBCentral/FAT Viewer?action=UPDATE&amp;creator=factset&amp;DOC_NAME=fat:reuters_qtrly_source_window.fat&amp;display_string=Audit&amp;DYN_ARGS=TRUE&amp;VAR:ID1=87233Q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2__FDSAUDITLINK__" hidden="1">{"fdsup://IBCentral/FAT Viewer?action=UPDATE&amp;creator=factset&amp;DOC_NAME=fat:reuters_qtrly_source_window.fat&amp;display_string=Audit&amp;DYN_ARGS=TRUE&amp;VAR:ID1=87233Q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3__FDSAUDITLINK__" hidden="1">{"fdsup://IBCentral/FAT Viewer?action=UPDATE&amp;creator=factset&amp;DOC_NAME=fat:reuters_qtrly_source_window.fat&amp;display_string=Audit&amp;DYN_ARGS=TRUE&amp;VAR:ID1=03097510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44__FDSAUDITLINK__" hidden="1">{"fdsup://IBCentral/FAT Viewer?action=UPDATE&amp;creator=factset&amp;DOC_NAME=fat:reuters_qtrly_source_window.fat&amp;display_string=Audit&amp;DYN_ARGS=TRUE&amp;VAR:ID1=03097510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45__FDSAUDITLINK__" hidden="1">{"fdsup://IBCentral/FAT Viewer?action=UPDATE&amp;creator=factset&amp;DOC_NAME=fat:reuters_qtrly_source_window.fat&amp;display_string=Audit&amp;DYN_ARGS=TRUE&amp;VAR:ID1=03097510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6__FDSAUDITLINK__" hidden="1">{"fdsup://IBCentral/FAT Viewer?action=UPDATE&amp;creator=factset&amp;DOC_NAME=fat:reuters_qtrly_source_window.fat&amp;display_string=Audit&amp;DYN_ARGS=TRUE&amp;VAR:ID1=03097510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7__FDSAUDITLINK__" hidden="1">{"fdsup://IBCentral/FAT Viewer?action=UPDATE&amp;creator=factset&amp;DOC_NAME=fat:reuters_qtrly_source_window.fat&amp;display_string=Audit&amp;DYN_ARGS=TRUE&amp;VAR:ID1=03097510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8__FDSAUDITLINK__" hidden="1">{"fdsup://IBCentral/FAT Viewer?action=UPDATE&amp;creator=factset&amp;DOC_NAME=fat:reuters_qtrly_source_window.fat&amp;display_string=Audit&amp;DYN_ARGS=TRUE&amp;VAR:ID1=03097510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49__FDSAUDITLINK__" hidden="1">{"fdsup://IBCentral/FAT Viewer?action=UPDATE&amp;creator=factset&amp;DOC_NAME=fat:reuters_qtrly_source_window.fat&amp;display_string=Audit&amp;DYN_ARGS=TRUE&amp;VAR:ID1=03097510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__FDSAUDITLINK__" hidden="1">{"fdsup://IBCentral/FAT Viewer?action=UPDATE&amp;creator=factset&amp;DOC_NAME=fat:reuters_qtrly_source_window.fat&amp;display_string=Audit&amp;DYN_ARGS=TRUE&amp;VAR:ID1=83851810&amp;VAR:RCODE=ATCA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0__FDSAUDITLINK__" hidden="1">{"fdsup://IBCentral/FAT Viewer?action=UPDATE&amp;creator=factset&amp;DOC_NAME=fat:reuters_qtrly_source_window.fat&amp;display_string=Audit&amp;DYN_ARGS=TRUE&amp;VAR:ID1=03097510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1__FDSAUDITLINK__" hidden="1">{"fdsup://IBCentral/FAT Viewer?action=UPDATE&amp;creator=factset&amp;DOC_NAME=fat:reuters_qtrly_source_window.fat&amp;display_string=Audit&amp;DYN_ARGS=TRUE&amp;VAR:ID1=92924F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52__FDSAUDITLINK__" hidden="1">{"fdsup://IBCentral/FAT Viewer?action=UPDATE&amp;creator=factset&amp;DOC_NAME=fat:reuters_qtrly_source_window.fat&amp;display_string=Audit&amp;DYN_ARGS=TRUE&amp;VAR:ID1=92924F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53__FDSAUDITLINK__" hidden="1">{"fdsup://IBCentral/FAT Viewer?action=UPDATE&amp;creator=factset&amp;DOC_NAME=fat:reuters_qtrly_source_window.fat&amp;display_string=Audit&amp;DYN_ARGS=TRUE&amp;VAR:ID1=92924F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4__FDSAUDITLINK__" hidden="1">{"fdsup://IBCentral/FAT Viewer?action=UPDATE&amp;creator=factset&amp;DOC_NAME=fat:reuters_qtrly_source_window.fat&amp;display_string=Audit&amp;DYN_ARGS=TRUE&amp;VAR:ID1=92924F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5__FDSAUDITLINK__" hidden="1">{"fdsup://IBCentral/FAT Viewer?action=UPDATE&amp;creator=factset&amp;DOC_NAME=fat:reuters_qtrly_source_window.fat&amp;display_string=Audit&amp;DYN_ARGS=TRUE&amp;VAR:ID1=92924F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6__FDSAUDITLINK__" hidden="1">{"fdsup://IBCentral/FAT Viewer?action=UPDATE&amp;creator=factset&amp;DOC_NAME=fat:reuters_qtrly_source_window.fat&amp;display_string=Audit&amp;DYN_ARGS=TRUE&amp;VAR:ID1=92924F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7__FDSAUDITLINK__" hidden="1">{"fdsup://IBCentral/FAT Viewer?action=UPDATE&amp;creator=factset&amp;DOC_NAME=fat:reuters_qtrly_source_window.fat&amp;display_string=Audit&amp;DYN_ARGS=TRUE&amp;VAR:ID1=92924F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8__FDSAUDITLINK__" hidden="1">{"fdsup://IBCentral/FAT Viewer?action=UPDATE&amp;creator=factset&amp;DOC_NAME=fat:reuters_qtrly_source_window.fat&amp;display_string=Audit&amp;DYN_ARGS=TRUE&amp;VAR:ID1=92924F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59__FDSAUDITLINK__" hidden="1">{"fdsup://IBCentral/FAT Viewer?action=UPDATE&amp;creator=factset&amp;DOC_NAME=fat:reuters_qtrly_source_window.fat&amp;display_string=Audit&amp;DYN_ARGS=TRUE&amp;VAR:ID1=92240G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6__FDSAUDITLINK__" hidden="1">{"fdsup://IBCentral/FAT Viewer?action=UPDATE&amp;creator=factset&amp;DOC_NAME=fat:reuters_qtrly_source_window.fat&amp;display_string=Audit&amp;DYN_ARGS=TRUE&amp;VAR:ID1=83851810&amp;VAR:RCODE=ATOT&amp;VAR:SDATE=20081299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0__FDSAUDITLINK__" hidden="1">{"fdsup://IBCentral/FAT Viewer?action=UPDATE&amp;creator=factset&amp;DOC_NAME=fat:reuters_qtrly_source_window.fat&amp;display_string=Audit&amp;DYN_ARGS=TRUE&amp;VAR:ID1=92240G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61__FDSAUDITLINK__" hidden="1">{"fdsup://IBCentral/FAT Viewer?action=UPDATE&amp;creator=factset&amp;DOC_NAME=fat:reuters_qtrly_source_window.fat&amp;display_string=Audit&amp;DYN_ARGS=TRUE&amp;VAR:ID1=92240G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2__FDSAUDITLINK__" hidden="1">{"fdsup://IBCentral/FAT Viewer?action=UPDATE&amp;creator=factset&amp;DOC_NAME=fat:reuters_qtrly_source_window.fat&amp;display_string=Audit&amp;DYN_ARGS=TRUE&amp;VAR:ID1=92240G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3__FDSAUDITLINK__" hidden="1">{"fdsup://IBCentral/FAT Viewer?action=UPDATE&amp;creator=factset&amp;DOC_NAME=fat:reuters_qtrly_source_window.fat&amp;display_string=Audit&amp;DYN_ARGS=TRUE&amp;VAR:ID1=92240G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4__FDSAUDITLINK__" hidden="1">{"fdsup://IBCentral/FAT Viewer?action=UPDATE&amp;creator=factset&amp;DOC_NAME=fat:reuters_qtrly_source_window.fat&amp;display_string=Audit&amp;DYN_ARGS=TRUE&amp;VAR:ID1=92240G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5__FDSAUDITLINK__" hidden="1">{"fdsup://IBCentral/FAT Viewer?action=UPDATE&amp;creator=factset&amp;DOC_NAME=fat:reuters_qtrly_source_window.fat&amp;display_string=Audit&amp;DYN_ARGS=TRUE&amp;VAR:ID1=92240G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6__FDSAUDITLINK__" hidden="1">{"fdsup://IBCentral/FAT Viewer?action=UPDATE&amp;creator=factset&amp;DOC_NAME=fat:reuters_qtrly_source_window.fat&amp;display_string=Audit&amp;DYN_ARGS=TRUE&amp;VAR:ID1=92240G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67__FDSAUDITLINK__" hidden="1">{"fdsup://IBCentral/FAT Viewer?action=UPDATE&amp;creator=factset&amp;DOC_NAME=fat:reuters_qtrly_source_window.fat&amp;display_string=Audit&amp;DYN_ARGS=TRUE&amp;VAR:ID1=83851810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68__FDSAUDITLINK__" hidden="1">{"fdsup://IBCentral/FAT Viewer?action=UPDATE&amp;creator=factset&amp;DOC_NAME=fat:reuters_qtrly_source_window.fat&amp;display_string=Audit&amp;DYN_ARGS=TRUE&amp;VAR:ID1=83851810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69__FDSAUDITLINK__" hidden="1">{"fdsup://IBCentral/FAT Viewer?action=UPDATE&amp;creator=factset&amp;DOC_NAME=fat:reuters_qtrly_source_window.fat&amp;display_string=Audit&amp;DYN_ARGS=TRUE&amp;VAR:ID1=83851810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__FDSAUDITLINK__" hidden="1">{"fdsup://IBCentral/FAT Viewer?action=UPDATE&amp;creator=factset&amp;DOC_NAME=fat:reuters_qtrly_source_window.fat&amp;display_string=Audit&amp;DYN_ARGS=TRUE&amp;VAR:ID1=72018610&amp;VAR:RCODE=FDSPFDSTKTOTAL&amp;VAR:SDATE=20090199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70__FDSAUDITLINK__" hidden="1">{"fdsup://IBCentral/FAT Viewer?action=UPDATE&amp;creator=factset&amp;DOC_NAME=fat:reuters_qtrly_source_window.fat&amp;display_string=Audit&amp;DYN_ARGS=TRUE&amp;VAR:ID1=83851810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1__FDSAUDITLINK__" hidden="1">{"fdsup://IBCentral/FAT Viewer?action=UPDATE&amp;creator=factset&amp;DOC_NAME=fat:reuters_qtrly_source_window.fat&amp;display_string=Audit&amp;DYN_ARGS=TRUE&amp;VAR:ID1=83851810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2__FDSAUDITLINK__" hidden="1">{"fdsup://IBCentral/FAT Viewer?action=UPDATE&amp;creator=factset&amp;DOC_NAME=fat:reuters_qtrly_source_window.fat&amp;display_string=Audit&amp;DYN_ARGS=TRUE&amp;VAR:ID1=83851810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3__FDSAUDITLINK__" hidden="1">{"fdsup://IBCentral/FAT Viewer?action=UPDATE&amp;creator=factset&amp;DOC_NAME=fat:reuters_qtrly_source_window.fat&amp;display_string=Audit&amp;DYN_ARGS=TRUE&amp;VAR:ID1=83851810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4__FDSAUDITLINK__" hidden="1">{"fdsup://IBCentral/FAT Viewer?action=UPDATE&amp;creator=factset&amp;DOC_NAME=fat:reuters_qtrly_source_window.fat&amp;display_string=Audit&amp;DYN_ARGS=TRUE&amp;VAR:ID1=83851810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5__FDSAUDITLINK__" hidden="1">{"fdsup://IBCentral/FAT Viewer?action=UPDATE&amp;creator=factset&amp;DOC_NAME=fat:reuters_qtrly_source_window.fat&amp;display_string=Audit&amp;DYN_ARGS=TRUE&amp;VAR:ID1=72018610&amp;VAR:RCODE=FDSPFDSTKTOTAL&amp;VAR:SDATE=20090199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76__FDSAUDITLINK__" hidden="1">{"fdsup://IBCentral/FAT Viewer?action=UPDATE&amp;creator=factset&amp;DOC_NAME=fat:reuters_qtrly_source_window.fat&amp;display_string=Audit&amp;DYN_ARGS=TRUE&amp;VAR:ID1=72018610&amp;VAR:RCODE=CMNEQ&amp;VAR:SDATE=20090199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77__FDSAUDITLINK__" hidden="1">{"fdsup://IBCentral/FAT Viewer?action=UPDATE&amp;creator=factset&amp;DOC_NAME=fat:reuters_qtrly_source_window.fat&amp;display_string=Audit&amp;DYN_ARGS=TRUE&amp;VAR:ID1=72018610&amp;VAR:RCODE=SCSI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8__FDSAUDITLINK__" hidden="1">{"fdsup://IBCentral/FAT Viewer?action=UPDATE&amp;creator=factset&amp;DOC_NAME=fat:reuters_qtrly_source_window.fat&amp;display_string=Audit&amp;DYN_ARGS=TRUE&amp;VAR:ID1=72018610&amp;VAR:RCODE=STLD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79__FDSAUDITLINK__" hidden="1">{"fdsup://IBCentral/FAT Viewer?action=UPDATE&amp;creator=factset&amp;DOC_NAME=fat:reuters_qtrly_source_window.fat&amp;display_string=Audit&amp;DYN_ARGS=TRUE&amp;VAR:ID1=72018610&amp;VAR:RCODE=DSTT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__FDSAUDITLINK__" hidden="1">{"fdsup://IBCentral/FAT Viewer?action=UPDATE&amp;creator=factset&amp;DOC_NAME=fat:reuters_qtrly_source_window.fat&amp;display_string=Audit&amp;DYN_ARGS=TRUE&amp;VAR:ID1=72018610&amp;VAR:RCODE=CMNEQ&amp;VAR:SDATE=20090199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80__FDSAUDITLINK__" hidden="1">{"fdsup://IBCentral/FAT Viewer?action=UPDATE&amp;creator=factset&amp;DOC_NAME=fat:reuters_qtrly_source_window.fat&amp;display_string=Audit&amp;DYN_ARGS=TRUE&amp;VAR:ID1=72018610&amp;VAR:RCODE=LTCL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1__FDSAUDITLINK__" hidden="1">{"fdsup://IBCentral/FAT Viewer?action=UPDATE&amp;creator=factset&amp;DOC_NAME=fat:reuters_qtrly_source_window.fat&amp;display_string=Audit&amp;DYN_ARGS=TRUE&amp;VAR:ID1=72018610&amp;VAR:RCODE=ATCA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2__FDSAUDITLINK__" hidden="1">{"fdsup://IBCentral/FAT Viewer?action=UPDATE&amp;creator=factset&amp;DOC_NAME=fat:reuters_qtrly_source_window.fat&amp;display_string=Audit&amp;DYN_ARGS=TRUE&amp;VAR:ID1=72018610&amp;VAR:RCODE=ATOT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3__FDSAUDITLINK__" hidden="1">{"fdsup://IBCentral/FAT Viewer?action=UPDATE&amp;creator=factset&amp;DOC_NAME=fat:reuters_qtrly_source_window.fat&amp;display_string=Audit&amp;DYN_ARGS=TRUE&amp;VAR:ID1=66765510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84__FDSAUDITLINK__" hidden="1">{"fdsup://IBCentral/FAT Viewer?action=UPDATE&amp;creator=factset&amp;DOC_NAME=fat:reuters_qtrly_source_window.fat&amp;display_string=Audit&amp;DYN_ARGS=TRUE&amp;VAR:ID1=66765510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85__FDSAUDITLINK__" hidden="1">{"fdsup://IBCentral/FAT Viewer?action=UPDATE&amp;creator=factset&amp;DOC_NAME=fat:reuters_qtrly_source_window.fat&amp;display_string=Audit&amp;DYN_ARGS=TRUE&amp;VAR:ID1=66765510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6__FDSAUDITLINK__" hidden="1">{"fdsup://IBCentral/FAT Viewer?action=UPDATE&amp;creator=factset&amp;DOC_NAME=fat:reuters_qtrly_source_window.fat&amp;display_string=Audit&amp;DYN_ARGS=TRUE&amp;VAR:ID1=66765510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7__FDSAUDITLINK__" hidden="1">{"fdsup://IBCentral/FAT Viewer?action=UPDATE&amp;creator=factset&amp;DOC_NAME=fat:reuters_qtrly_source_window.fat&amp;display_string=Audit&amp;DYN_ARGS=TRUE&amp;VAR:ID1=66765510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8__FDSAUDITLINK__" hidden="1">{"fdsup://IBCentral/FAT Viewer?action=UPDATE&amp;creator=factset&amp;DOC_NAME=fat:reuters_qtrly_source_window.fat&amp;display_string=Audit&amp;DYN_ARGS=TRUE&amp;VAR:ID1=66765510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89__FDSAUDITLINK__" hidden="1">{"fdsup://IBCentral/FAT Viewer?action=UPDATE&amp;creator=factset&amp;DOC_NAME=fat:reuters_qtrly_source_window.fat&amp;display_string=Audit&amp;DYN_ARGS=TRUE&amp;VAR:ID1=66765510&amp;VAR:RCODE=ATCA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__FDSAUDITLINK__" hidden="1">{"fdsup://IBCentral/FAT Viewer?action=UPDATE&amp;creator=factset&amp;DOC_NAME=fat:reuters_qtrly_source_window.fat&amp;display_string=Audit&amp;DYN_ARGS=TRUE&amp;VAR:ID1=72018610&amp;VAR:RCODE=SCSI&amp;VAR:SDATE=20090199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0__FDSAUDITLINK__" hidden="1">{"fdsup://IBCentral/FAT Viewer?action=UPDATE&amp;creator=factset&amp;DOC_NAME=fat:reuters_qtrly_source_window.fat&amp;display_string=Audit&amp;DYN_ARGS=TRUE&amp;VAR:ID1=66765510&amp;VAR:RCODE=ATO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1__FDSAUDITLINK__" hidden="1">{"fdsup://IBCentral/FAT Viewer?action=UPDATE&amp;creator=factset&amp;DOC_NAME=fat:reuters_qtrly_source_window.fat&amp;display_string=Audit&amp;DYN_ARGS=TRUE&amp;VAR:ID1=65408610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92__FDSAUDITLINK__" hidden="1">{"fdsup://IBCentral/FAT Viewer?action=UPDATE&amp;creator=factset&amp;DOC_NAME=fat:reuters_qtrly_source_window.fat&amp;display_string=Audit&amp;DYN_ARGS=TRUE&amp;VAR:ID1=65408610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93__FDSAUDITLINK__" hidden="1">{"fdsup://IBCentral/FAT Viewer?action=UPDATE&amp;creator=factset&amp;DOC_NAME=fat:reuters_qtrly_source_window.fat&amp;display_string=Audit&amp;DYN_ARGS=TRUE&amp;VAR:ID1=65408610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4__FDSAUDITLINK__" hidden="1">{"fdsup://IBCentral/FAT Viewer?action=UPDATE&amp;creator=factset&amp;DOC_NAME=fat:reuters_qtrly_source_window.fat&amp;display_string=Audit&amp;DYN_ARGS=TRUE&amp;VAR:ID1=65408610&amp;VAR:RCODE=STLD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5__FDSAUDITLINK__" hidden="1">{"fdsup://IBCentral/FAT Viewer?action=UPDATE&amp;creator=factset&amp;DOC_NAME=fat:reuters_qtrly_source_window.fat&amp;display_string=Audit&amp;DYN_ARGS=TRUE&amp;VAR:ID1=65408610&amp;VAR:RCODE=DSTT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6__FDSAUDITLINK__" hidden="1">{"fdsup://IBCentral/FAT Viewer?action=UPDATE&amp;creator=factset&amp;DOC_NAME=fat:reuters_qtrly_source_window.fat&amp;display_string=Audit&amp;DYN_ARGS=TRUE&amp;VAR:ID1=65408610&amp;VAR:RCODE=LTCL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997__FDSAUDITLINK__" hidden="1">{"fdsup://IBCentral/FAT Viewer?action=UPDATE&amp;creator=factset&amp;DOC_NAME=fat:reuters_qtrly_source_window.fat&amp;display_string=Audit&amp;DYN_ARGS=TRUE&amp;VAR:ID1=64602510&amp;VAR:RCODE=FDSPFDSTKTOTAL&amp;VAR:SDATE=20090399&amp;VAR:FREQ=Quarterly&amp;VAR:RELITEM=&amp;VAR:CURRENCY=&amp;VAR:CURRS","OURCE=EXSHARE&amp;VAR:NATFREQ=QUARTERLY&amp;VAR:RFIELD=FINALIZED&amp;VAR:DB_TYPE=&amp;VAR:UNITS=M&amp;window=popup&amp;width=450&amp;height=300&amp;START_MAXIMIZED=FALSE"}</definedName>
    <definedName name="_998__FDSAUDITLINK__" hidden="1">{"fdsup://IBCentral/FAT Viewer?action=UPDATE&amp;creator=factset&amp;DOC_NAME=fat:reuters_qtrly_source_window.fat&amp;display_string=Audit&amp;DYN_ARGS=TRUE&amp;VAR:ID1=64602510&amp;VAR:RCODE=CMNEQ&amp;VAR:SDATE=20090399&amp;VAR:FREQ=Quarterly&amp;VAR:RELITEM=&amp;VAR:CURRENCY=&amp;VAR:CURRSOURCE=EXS","HARE&amp;VAR:NATFREQ=QUARTERLY&amp;VAR:RFIELD=FINALIZED&amp;VAR:DB_TYPE=&amp;VAR:UNITS=M&amp;window=popup&amp;width=450&amp;height=300&amp;START_MAXIMIZED=FALSE"}</definedName>
    <definedName name="_999__FDSAUDITLINK__" hidden="1">{"fdsup://IBCentral/FAT Viewer?action=UPDATE&amp;creator=factset&amp;DOC_NAME=fat:reuters_qtrly_source_window.fat&amp;display_string=Audit&amp;DYN_ARGS=TRUE&amp;VAR:ID1=64602510&amp;VAR:RCODE=SCSI&amp;VAR:SDATE=20090399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Order1" hidden="1">255</definedName>
    <definedName name="_Order2" hidden="1">255</definedName>
    <definedName name="_Regression_Int" hidden="1">1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ctual" hidden="1">{#N/A,#N/A,TRUE,"Historicals";#N/A,#N/A,TRUE,"Charts";#N/A,#N/A,TRUE,"Forecasts"}</definedName>
    <definedName name="AdditionalInstructions">IndexInformation!$B$42</definedName>
    <definedName name="Address" localSheetId="1">ImportantDisclosures!$A$2:$A$2</definedName>
    <definedName name="AllTables">{5}</definedName>
    <definedName name="ANA" localSheetId="4">ModPubIndex!$A$7</definedName>
    <definedName name="anscount" hidden="1">1</definedName>
    <definedName name="Authors" localSheetId="1">ImportantDisclosures!$A$7</definedName>
    <definedName name="Authors" localSheetId="3">IndexInformation!$B$18</definedName>
    <definedName name="BRO" localSheetId="4">ModPubIndex!$A$1</definedName>
    <definedName name="Company_Code" hidden="1">"USSLP"</definedName>
    <definedName name="CopyrightStamp">ImportantDisclosures!$A$27</definedName>
    <definedName name="COU" localSheetId="4">ModPubIndex!$A$5</definedName>
    <definedName name="CQEnd" localSheetId="3">IndexInformation!$B$31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107.RepSymbol" hidden="1">"US$"</definedName>
    <definedName name="cu42.CurrFinancialMth" hidden="1">12</definedName>
    <definedName name="cu42.CurrFinancialYear" hidden="1">2005</definedName>
    <definedName name="cu61.ScalingFactor" hidden="1">"M"</definedName>
    <definedName name="cu71.ScalingFactor" hidden="1">1000000</definedName>
    <definedName name="Currency" localSheetId="3">IndexInformation!$B$24</definedName>
    <definedName name="CurrentStockPrice" localSheetId="3">IndexInformation!$B$23</definedName>
    <definedName name="CurrQtrEPS" localSheetId="3">IndexInformation!$B$29</definedName>
    <definedName name="CurrYearEPS" localSheetId="3">IndexInformation!$B$11</definedName>
    <definedName name="CurrYearTotalRevenue" localSheetId="3">IndexInformation!$B$10</definedName>
    <definedName name="CurrYearTotalRevenueActual" localSheetId="3">IndexInformation!$B$32</definedName>
    <definedName name="CUSHeadFont" hidden="1">16777215</definedName>
    <definedName name="CUSHeading" hidden="1">8421504</definedName>
    <definedName name="CUSIP" localSheetId="3">IndexInformation!$B$20</definedName>
    <definedName name="CUSItemFont" hidden="1">9868950</definedName>
    <definedName name="CUSItemHeading" hidden="1">16777215</definedName>
    <definedName name="CUSSheetClass">"USIN"</definedName>
    <definedName name="CustomView" hidden="1">"optAllRows"</definedName>
    <definedName name="CYEnd" localSheetId="3">IndexInformation!$B$30</definedName>
    <definedName name="dataseries1">#N/A</definedName>
    <definedName name="Date" localSheetId="1">ImportantDisclosures!$A$8</definedName>
    <definedName name="DB">"WIRENYPROD"</definedName>
    <definedName name="Deleted" localSheetId="3">IndexInformation!$B$27</definedName>
    <definedName name="Description" localSheetId="3">IndexInformation!$B$7</definedName>
    <definedName name="DfltCUSHeadFont" hidden="1">16777215</definedName>
    <definedName name="DfltCUSHeading" hidden="1">8421504</definedName>
    <definedName name="DfltCUSItemHeading" hidden="1">16777215</definedName>
    <definedName name="DfltFinalColumn" hidden="1">16777215</definedName>
    <definedName name="DfltFinalHeadFont" hidden="1">16777215</definedName>
    <definedName name="DfltFinalHeading" hidden="1">8421504</definedName>
    <definedName name="DfltInterimColumn" hidden="1">16777215</definedName>
    <definedName name="DfltInterimHeadFont" hidden="1">8388608</definedName>
    <definedName name="DfltInterimHeading" hidden="1">16777215</definedName>
    <definedName name="DfltQuarterlyColumn" hidden="1">16777215</definedName>
    <definedName name="DfltQuarterlyHeadFont" hidden="1">8388608</definedName>
    <definedName name="DfltQuarterlyHeading" hidden="1">16777215</definedName>
    <definedName name="DfltSectionHeadFont" hidden="1">0</definedName>
    <definedName name="DfltSectionHeading" hidden="1">12632256</definedName>
    <definedName name="Discipline" localSheetId="3">IndexInformation!$B$3</definedName>
    <definedName name="DISCIPLINE" localSheetId="4">ModPubIndex!$A$12</definedName>
    <definedName name="DisclosuresText">ImportantDisclosures!$A$22</definedName>
    <definedName name="Distribution" localSheetId="3">IndexInformation!$B$26</definedName>
    <definedName name="DistTable" localSheetId="1">ImportantDisclosures!#REF!</definedName>
    <definedName name="DistTablePreamble" localSheetId="1">ImportantDisclosures!#REF!</definedName>
    <definedName name="DOCDAT" localSheetId="4">ModPubIndex!$A$2</definedName>
    <definedName name="DOCTIME" localSheetId="4">ModPubIndex!$A$3</definedName>
    <definedName name="DocType" localSheetId="3">IndexInformation!$B$5</definedName>
    <definedName name="DPSCurr" hidden="1">IF([0]!cu107.DPSSymbol=[0]!cu107.EPSSymbol,"", ", " &amp; [0]!cu107.DPSSymbol)</definedName>
    <definedName name="DPSCurrency" hidden="1">IF([0]!cu107.DPSSymbol=[0]!cu107.EPSSymbol,"", ", " &amp; [0]!cu107.DPSSymbol)</definedName>
    <definedName name="EMAIL_ALERT" localSheetId="4">ModPubIndex!$A$10</definedName>
    <definedName name="EmailAlert" localSheetId="3">IndexInformation!$B$28</definedName>
    <definedName name="EmpScale" hidden="1">[0]!cu71.ScalingFactor/[0]!cu103.EmployeeScalingFactor</definedName>
    <definedName name="ev.Calculation">-4135</definedName>
    <definedName name="ev.Initialized">FALSE</definedName>
    <definedName name="ｆ" hidden="1">"iQShowAnnual"</definedName>
    <definedName name="FinalColumn" hidden="1">16777215</definedName>
    <definedName name="FinalHeadFont" hidden="1">16777215</definedName>
    <definedName name="FinalHeading" hidden="1">8421504</definedName>
    <definedName name="FiveYearGrowthRate" localSheetId="3">IndexInformation!$B$16</definedName>
    <definedName name="FollowingYearEPS" localSheetId="3">IndexInformation!$B$15</definedName>
    <definedName name="FollowingYearTotalRevenue" localSheetId="3">IndexInformation!$B$14</definedName>
    <definedName name="FollowingYearTotalRevenueActual" localSheetId="3">IndexInformation!$B$34</definedName>
    <definedName name="Growth_ROIC">OFFSET([0]!XRange,10,0)</definedName>
    <definedName name="HL" localSheetId="4">ModPubIndex!$A$8</definedName>
    <definedName name="hn.ExtDb">FALSE</definedName>
    <definedName name="hn.ModelType">"DEAL"</definedName>
    <definedName name="hn.ModelVersion">1</definedName>
    <definedName name="hn.NoUpload">0</definedName>
    <definedName name="HTML_CodePage" hidden="1">1252</definedName>
    <definedName name="HTML_Control" hidden="1">{"'Sheet1'!$A$1:$J$121"}</definedName>
    <definedName name="HTML_Control1" hidden="1">{"'Sheet1'!$A$1:$J$121"}</definedName>
    <definedName name="HTML_Description" hidden="1">""</definedName>
    <definedName name="HTML_Email" hidden="1">""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4" hidden="1">TRUE</definedName>
    <definedName name="HTML_OS" hidden="1">0</definedName>
    <definedName name="HTML_PathFile" hidden="1">"\\Bhincres01\groups\Mkt_Dev\EXECMKTR\RIGS\RigBible\Web NA.htm"</definedName>
    <definedName name="HTML_Title" hidden="1">"Total North America"</definedName>
    <definedName name="Img_ML_7g5e5e2b" hidden="1">"IMG_12"</definedName>
    <definedName name="IND" localSheetId="4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nterimColumn" hidden="1">16777215</definedName>
    <definedName name="InterimHeadFont" hidden="1">8388608</definedName>
    <definedName name="InterimHeading" hidden="1">16777215</definedName>
    <definedName name="InvestCapGrowth">OFFSET([0]!XRange2,4,0)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"c2108"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DUSTRY_REC" hidden="1">"c4455"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" hidden="1">"IQ_EPS"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EST_REUT" hidden="1">"c5453"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UM_EST" hidden="1">"c402"</definedName>
    <definedName name="IQ_EPS_NUM_EST_REUT" hidden="1">"c5451"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>"c1648"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SURPRISE">"c1635"</definedName>
    <definedName name="IQ_EST_REV_GROWTH_1YR">"c1638"</definedName>
    <definedName name="IQ_EST_REV_GROWTH_2YR">"c1639"</definedName>
    <definedName name="IQ_EST_REV_GROWTH_Q_1YR">"c1640"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>5502997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DJ_ACT_OR_EST" hidden="1">"c4435"</definedName>
    <definedName name="IQ_FFO_EST">"c418"</definedName>
    <definedName name="IQ_FFO_HIGH_EST">"c419"</definedName>
    <definedName name="IQ_FFO_LOW_EST">"c420"</definedName>
    <definedName name="IQ_FFO_NUM_EST">"c421"</definedName>
    <definedName name="IQ_FFO_PAYOUT_RATIO" hidden="1">"c3492"</definedName>
    <definedName name="IQ_FFO_SHARE_ACT_OR_EST" hidden="1">"c4446"</definedName>
    <definedName name="IQ_FFO_STDDEV_EST">"c422"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_TARGET_PRICE_REUT" hidden="1">"c5317"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40521.6808449074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39303.68875</definedName>
    <definedName name="IQ_REVISION_DATE_1" hidden="1">39120.6057175926</definedName>
    <definedName name="IQ_REVISION_DATE_2" hidden="1">39120.6057175926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"iQHideSelected"</definedName>
    <definedName name="IsColHidden">FALSE</definedName>
    <definedName name="IsLTMColHidden">FALSE</definedName>
    <definedName name="ItemScale" hidden="1">#N/A</definedName>
    <definedName name="KeepVersions" localSheetId="3">IndexInformation!$B$8</definedName>
    <definedName name="LanguageCode">IndexInformation!$B$38</definedName>
    <definedName name="LastCell" localSheetId="1">ImportantDisclosures!$A$22</definedName>
    <definedName name="Macro03">[0]!Macro03</definedName>
    <definedName name="Macro031">[0]!Macro031</definedName>
    <definedName name="Macro1">[0]!Macro1</definedName>
    <definedName name="Macro11">[0]!Macro11</definedName>
    <definedName name="Macro2">[0]!Macro2</definedName>
    <definedName name="Macro21">[0]!Macro21</definedName>
    <definedName name="macro4">[0]!macro4</definedName>
    <definedName name="MacroVersion" localSheetId="3">IndexInformation!$B$1</definedName>
    <definedName name="ModelPrice" localSheetId="1">ImportantDisclosures!$A$14</definedName>
    <definedName name="MonitorCol">1</definedName>
    <definedName name="MonitorRow">1</definedName>
    <definedName name="Multiplier" localSheetId="3">IndexInformation!$B$35</definedName>
    <definedName name="NextYearEPS" localSheetId="3">IndexInformation!$B$13</definedName>
    <definedName name="NextYearTotalRevenue" localSheetId="3">IndexInformation!$B$12</definedName>
    <definedName name="NextYearTotalRevenueActual" localSheetId="3">IndexInformation!$B$33</definedName>
    <definedName name="NM">"NM"</definedName>
    <definedName name="ObjectType">IndexInformation!$B$37</definedName>
    <definedName name="old" hidden="1">{"PPE-1",#N/A,TRUE,"SNT";"PPE-2",#N/A,TRUE,"SNT";"INC-SNT",#N/A,TRUE,"SNT";"EARN-SNT",#N/A,TRUE,"SNT";"SUMM-SNT",#N/A,TRUE,"SNT";"CASH-SNT",#N/A,TRUE,"SNT";"BAL-SNT",#N/A,TRUE,"SNT";"RATIO-1",#N/A,TRUE,"SNT";"SIP-SNT",#N/A,TRUE,"SNT";"SOP-SNT",#N/A,TRUE,"SNT";"valuation-snt",#N/A,TRUE,"Valuation";"TRANS-SNT",#N/A,TRUE,"Transmission";"reserve-snt",#N/A,TRUE,"E&amp;P";"e&amp;p-snt",#N/A,TRUE,"E&amp;P";"energy-snt",#N/A,TRUE,"Energy Services";"RATIO-2",#N/A,TRUE,"SNT"}</definedName>
    <definedName name="OpMargin">OFFSET([0]!XRange2,5,0)</definedName>
    <definedName name="PANA" localSheetId="4">ModPubIndex!$A$11</definedName>
    <definedName name="PathName" localSheetId="3">IndexInformation!$B$25</definedName>
    <definedName name="Phase1NPVFCF">OFFSET([0]!XRange,39,0)</definedName>
    <definedName name="Phase2NPVFCF">OFFSET([0]!XRange,40,0)</definedName>
    <definedName name="Phase3NPVFCF">OFFSET([0]!XRange,41,0)</definedName>
    <definedName name="_xlnm.Print_Area" localSheetId="2">Financials!$A$1:$AA$228</definedName>
    <definedName name="_xlnm.Print_Area">#REF!</definedName>
    <definedName name="Print_Area_1">"Formula removed, name can be deleted."</definedName>
    <definedName name="Print_Area2">"Formula removed, name can be deleted."</definedName>
    <definedName name="_xlnm.Print_Titles">#REF!</definedName>
    <definedName name="Print_Titles1">"Formula removed, name can be deleted."</definedName>
    <definedName name="Print_titles2">"Formula removed, name can be deleted."</definedName>
    <definedName name="PRODUCT" localSheetId="4">ModPubIndex!$A$6</definedName>
    <definedName name="ProjectName">{"Client Name or Project Name"}</definedName>
    <definedName name="ProjectName_1">{"Client Name or Project Name"}</definedName>
    <definedName name="ProjectName1">{"BU Name or Client/Project Name"}</definedName>
    <definedName name="ProjectName2">{"Client Name or Project Name"}</definedName>
    <definedName name="ProjectName3">{"BU Name or Client/Project Name"}</definedName>
    <definedName name="ProjectName4">{"Client Name or Project Name"}</definedName>
    <definedName name="PSDScale" hidden="1">#N/A</definedName>
    <definedName name="PSYM" localSheetId="4">ModPubIndex!$A$4</definedName>
    <definedName name="PublishDate" localSheetId="3">IndexInformation!$B$2</definedName>
    <definedName name="QuarterlyColumn" hidden="1">16777215</definedName>
    <definedName name="QuarterlyHeadFont" hidden="1">8388608</definedName>
    <definedName name="QuarterlyHeading" hidden="1">16777215</definedName>
    <definedName name="Rating" localSheetId="3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m_Bus_ROIC">OFFSET([0]!XRange,11,0)</definedName>
    <definedName name="RepairedName0344" hidden="1">"iQShowAnnual"</definedName>
    <definedName name="RepairedName0620" hidden="1">"iQShowAnnual"</definedName>
    <definedName name="ResearchTopic" localSheetId="3">IndexInformation!$B$4</definedName>
    <definedName name="RIC" localSheetId="3">IndexInformation!$B$21</definedName>
    <definedName name="scen_result" hidden="1">#VALUE!</definedName>
    <definedName name="SECSettlement" localSheetId="1">ImportantDisclosures!#REF!</definedName>
    <definedName name="SectionHeadFont" hidden="1">0</definedName>
    <definedName name="SectionHeading" hidden="1">12632256</definedName>
    <definedName name="SEDOL" localSheetId="3">IndexInformation!$B$22</definedName>
    <definedName name="ShareScale" hidden="1">[0]!cu71.ScalingFactor/[0]!cu102.ShareScalingFactor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ORT2">[0]!SORT2</definedName>
    <definedName name="SORT3">[0]!SORT3</definedName>
    <definedName name="SORT4">[0]!SORT4</definedName>
    <definedName name="SORT5">[0]!SORT5</definedName>
    <definedName name="SourceDefined" localSheetId="1">ImportantDisclosures!$A$19</definedName>
    <definedName name="SPWS_WBID">"AB974E08-D2D4-47A3-BC27-DEDF1C76035D"</definedName>
    <definedName name="StockRating" localSheetId="1">ImportantDisclosures!$A$11</definedName>
    <definedName name="storage">"Chart 1"</definedName>
    <definedName name="SubjectCode" localSheetId="3">IndexInformation!$B$6</definedName>
    <definedName name="SubmitterUserId">IndexInformation!$B$39</definedName>
    <definedName name="SUPPRESSED" localSheetId="4">ModPubIndex!$A$13</definedName>
    <definedName name="TargetPrice" localSheetId="1">ImportantDisclosures!$A$15</definedName>
    <definedName name="Template.WIRE">"DBACCESS"</definedName>
    <definedName name="TemplateRegion">IndexInformation!$B$36</definedName>
    <definedName name="Ticker" localSheetId="1">ImportantDisclosures!$A$10</definedName>
    <definedName name="Ticker_EBITDAQ1_LA">"$K$26"</definedName>
    <definedName name="TickerRegion">IndexInformation!$B$41</definedName>
    <definedName name="Tickers" localSheetId="3">IndexInformation!$B$19</definedName>
    <definedName name="Total_Bus_ROIC">OFFSET([0]!XRange,12,0)</definedName>
    <definedName name="trc_XLS_DATASHEET_ProtectDate">36879.7503587963</definedName>
    <definedName name="trc_XLS_DATASHEET_ProtectDate_1">36879.7503587963</definedName>
    <definedName name="UpdateReason" localSheetId="3">IndexInformation!$B$17</definedName>
    <definedName name="USRegDisclosures" localSheetId="1">ImportantDisclosures!#REF!</definedName>
    <definedName name="Version">"June 29, 2004"</definedName>
    <definedName name="Version.WIRE">1</definedName>
    <definedName name="wrn.2._.pagers." hidden="1">{"Cover",#N/A,FALSE,"Cover";"Summary",#N/A,FALSE,"Summarpage"}</definedName>
    <definedName name="wrn.allpages." hidden="1">{#N/A,#N/A,TRUE,"Historicals";#N/A,#N/A,TRUE,"Charts";#N/A,#N/A,TRUE,"Forecasts"}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LBO._.Summary." hidden="1">{"LBO Summary",#N/A,FALSE,"Summary"}</definedName>
    <definedName name="wrn.MOBIL." hidden="1">{"quarter",#N/A,FALSE,"MOB"}</definedName>
    <definedName name="wrn.njr." hidden="1">{"balance_sheet",#N/A,FALSE;"cash_flow",#N/A,FALSE;"Consolidated_Earnings",#N/A,FALSE;"EandP_and_Real_Estate",#N/A,FALSE;"Earnings_Review",#N/A,FALSE;"financial_outlook",#N/A,FALSE;"LDC_and_PL_Earnings",#N/A,FALSE;"PP_and_EA",#N/A,FALSE;"ratio_analysis",#N/A,FALSE;"PP_and_Eb",#N/A,FALSE;"throughput_A",#N/A,FALSE;"throughput_b",#N/A,FALSE}</definedName>
    <definedName name="wrn.print._.all." hidden="1">{"all_other_prp",#N/A,FALSE,"All Other PP";"all_other_prp",#N/A,FALSE,"All Other PDC";"all_other_prp",#N/A,FALSE,"All Other PUD";"all_other_prp",#N/A,FALSE,"Boon PP";"all_other_prp",#N/A,FALSE,"Boon PDC";"all_other_prp",#N/A,FALSE,"Boon PUD";"all_other_prp",#N/A,FALSE,"Fash PP";"all_other_prp",#N/A,FALSE,"Fash PUD";"all_other_prp",#N/A,FALSE,"GB PP";"all_other_prp",#N/A,FALSE,"GB PUD";"all_other_prp",#N/A,FALSE,"GC PUD";"all_other_prp",#N/A,FALSE,"Logan PP";"all_other_prp",#N/A,FALSE,"Logan PDC";"all_other_prp",#N/A,FALSE,"Logan PUD";"all_other_prp",#N/A,FALSE,"Miss PP";"all_other_prp",#N/A,FALSE,"MS PP";"all_other_prp",#N/A,FALSE,"Ver PP";"all_other_prp",#N/A,FALSE,"Ind PUD";"all_other_prp",#N/A,FALSE,"ET All";"all_other_prp",#N/A,FALSE,"N Lans PP";"all_other_prp",#N/A,FALSE,"N Lans PDC";"all_other_prp",#N/A,FALSE,"N Lans PUD";"all_other_prp",#N/A,FALSE,"Opel PP";"all_other_prp",#N/A,FALSE,"Opel PUD";"all_other_prp",#N/A,FALSE,"TC PP";"all_other_prp",#N/A,FALSE,"TC PDC";"all_other_prp",#N/A,FALSE,"TC PUD";"all_other_prp",#N/A,FALSE,"Whelan PP";"all_other_prp",#N/A,FALSE,"Whelan PDC";"all_other_prp",#N/A,FALSE,"Whelan PUD";"all_other_prp",#N/A,FALSE,"WS PP";"all_other_prp",#N/A,FALSE,"WS PDC";"all_other_prp",#N/A,FALSE,"WS PUD";"all_other_prp",#N/A,FALSE,"UK PUD"}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offshore." hidden="1">{"off_at",#N/A,FALSE,"Off AT POT";"off_bt",#N/A,FALSE,"Off POT"}</definedName>
    <definedName name="wrn.Pulp." hidden="1">{"Pulp Production",#N/A,FALSE,"Pulp";"Pulp Earnings",#N/A,FALSE,"Pulp"}</definedName>
    <definedName name="wrn.snt." hidden="1">{"PPE-1",#N/A,TRUE,"SNT";"PPE-2",#N/A,TRUE,"SNT";"INC-SNT",#N/A,TRUE,"SNT";"EARN-SNT",#N/A,TRUE,"SNT";"SUMM-SNT",#N/A,TRUE,"SNT";"CASH-SNT",#N/A,TRUE,"SNT";"BAL-SNT",#N/A,TRUE,"SNT";"RATIO-1",#N/A,TRUE,"SNT";"SIP-SNT",#N/A,TRUE,"SNT";"SOP-SNT",#N/A,TRUE,"SNT";"valuation-snt",#N/A,TRUE,"Valuation";"TRANS-SNT",#N/A,TRUE,"Transmission";"reserve-snt",#N/A,TRUE,"E&amp;P";"e&amp;p-snt",#N/A,TRUE,"E&amp;P";"energy-snt",#N/A,TRUE,"Energy Services";"RATIO-2",#N/A,TRUE,"SNT"}</definedName>
    <definedName name="wvu.balance_sheet." hidden="1">{TRUE,TRUE,-1.25,-15.5,484.5,279.75,FALSE,TRUE,TRUE,TRUE,0,1,#N/A,419,#N/A,7.33823529411765,19.5,1,FALSE,FALSE,3,TRUE,1,FALSE,95,"Swvu.balance_sheet.","ACwvu.balance_sheet.",1,FALSE,FALSE,0.5,0,0.5,0,2,"","",TRUE,FALSE,FALSE,FALSE,1,#N/A,1,1,"=R428C1:R462C10",FALSE,#N/A,#N/A,FALSE,FALSE}</definedName>
    <definedName name="wvu.cash_flow." hidden="1">{TRUE,TRUE,-1.25,-15.5,484.5,279.75,FALSE,TRUE,TRUE,TRUE,0,1,#N/A,375,#N/A,7.33823529411765,19.5,1,FALSE,FALSE,3,TRUE,1,FALSE,95,"Swvu.cash_flow.","ACwvu.cash_flow.",1,FALSE,FALSE,0.5,0,0.5,0,2,"","",TRUE,FALSE,FALSE,FALSE,1,#N/A,1,1,"=R384C1:R423C10",FALSE,#N/A,#N/A,FALSE,FALSE}</definedName>
    <definedName name="wvu.Consolidated_Earnings." hidden="1">{TRUE,TRUE,-1.25,-15.5,484.5,279.75,FALSE,TRUE,TRUE,TRUE,0,1,#N/A,283,#N/A,7.33823529411765,19.5,1,FALSE,FALSE,3,TRUE,1,FALSE,95,"Swvu.Consolidated_Earnings.","ACwvu.Consolidated_Earnings.",1,FALSE,FALSE,0.5,0,0.5,0,2,"","",TRUE,FALSE,FALSE,FALSE,1,#N/A,1,1,"=R292C1:R332C10",FALSE,#N/A,#N/A,FALSE,FALSE}</definedName>
    <definedName name="wvu.EandP_and_Real_Estate." hidden="1">{TRUE,TRUE,-1.25,-15.5,484.5,279.75,FALSE,TRUE,TRUE,TRUE,0,1,#N/A,244,#N/A,7.33823529411765,19.5,1,FALSE,FALSE,3,TRUE,1,FALSE,95,"Swvu.EandP_and_Real_Estate.","ACwvu.EandP_and_Real_Estate.",1,FALSE,FALSE,0.5,0,0.5,0,2,"","",TRUE,FALSE,FALSE,FALSE,1,#N/A,1,1,"=R253C1:R278C10",FALSE,#N/A,#N/A,FALSE,FALSE}</definedName>
    <definedName name="wvu.Earnings_Review." hidden="1">{TRUE,TRUE,-1.25,-15.5,484.5,279.75,FALSE,TRUE,TRUE,TRUE,0,1,#N/A,339,#N/A,7.33823529411765,19.5,1,FALSE,FALSE,3,TRUE,1,FALSE,95,"Swvu.Earnings_Review.","ACwvu.Earnings_Review.",1,FALSE,FALSE,0.5,0,0.5,0,2,"","",TRUE,FALSE,FALSE,FALSE,1,#N/A,1,1,"=R348C1:R380C10",FALSE,#N/A,#N/A,FALSE,FALSE}</definedName>
    <definedName name="wvu.financial_outlook." hidden="1">{TRUE,TRUE,-1.25,-15.5,484.5,279.75,FALSE,TRUE,TRUE,TRUE,0,1,#N/A,503,#N/A,7.33823529411765,19.5,1,FALSE,FALSE,3,TRUE,1,FALSE,95,"Swvu.financial_outlook.","ACwvu.financial_outlook.",1,FALSE,FALSE,0.5,0,0.5,0,2,"","",TRUE,FALSE,FALSE,FALSE,1,#N/A,1,1,"=R509C1:R536C10",FALSE,#N/A,#N/A,FALSE,FALSE}</definedName>
    <definedName name="wvu.LDC_and_PL_Earnings." hidden="1">{TRUE,TRUE,-1.25,-15.5,484.5,279.75,FALSE,TRUE,TRUE,TRUE,0,1,#N/A,171,#N/A,7.33823529411765,19.5,1,FALSE,FALSE,3,TRUE,1,FALSE,95,"Swvu.LDC_and_PL_Earnings.","ACwvu.LDC_and_PL_Earnings.",1,FALSE,FALSE,0.5,0,0.5,0,2,"","",TRUE,FALSE,FALSE,FALSE,1,#N/A,1,1,"=R180C1:R233C10",FALSE,#N/A,#N/A,FALSE,FALSE}</definedName>
    <definedName name="wvu.PP_and_EA." hidden="1">{TRUE,TRUE,-1.25,-15.5,484.5,279.75,FALSE,TRUE,TRUE,TRUE,0,1,#N/A,1,#N/A,7.33823529411765,19.5,1,FALSE,FALSE,3,TRUE,1,FALSE,95,"Swvu.PP_and_EA.","ACwvu.PP_and_EA.",1,FALSE,FALSE,0.5,0,0.5,0,2,"","",TRUE,FALSE,FALSE,FALSE,1,#N/A,1,1,"=R6C1:R42C10",FALSE,#N/A,#N/A,FALSE,FALSE}</definedName>
    <definedName name="wvu.PP_and_Eb." hidden="1">{TRUE,TRUE,-1.25,-15.5,484.5,279.75,FALSE,TRUE,TRUE,TRUE,0,1,#N/A,36,#N/A,7.33823529411765,19.5,1,FALSE,FALSE,3,TRUE,1,FALSE,95,"Swvu.PP_and_Eb.","ACwvu.PP_and_Eb.",1,FALSE,FALSE,0.5,0,0.5,0,2,"","",TRUE,FALSE,FALSE,FALSE,1,#N/A,1,1,"=R45C1:R82C10",FALSE,#N/A,#N/A,FALSE,FALSE}</definedName>
    <definedName name="wvu.ratio_analysis." hidden="1">{TRUE,TRUE,-1.25,-15.5,484.5,279.75,FALSE,TRUE,TRUE,TRUE,0,1,#N/A,458,#N/A,7.33823529411765,19.5,1,FALSE,FALSE,3,TRUE,1,FALSE,95,"Swvu.ratio_analysis.","ACwvu.ratio_analysis.",1,FALSE,FALSE,0.5,0,0.5,0,2,"","",TRUE,FALSE,FALSE,FALSE,1,#N/A,1,1,"=R467C1:R506C10",FALSE,#N/A,#N/A,FALSE,FALSE}</definedName>
    <definedName name="wvu.throughput_A." hidden="1">{TRUE,TRUE,-1.25,-15.5,484.5,279.75,FALSE,TRUE,TRUE,TRUE,0,1,#N/A,85,#N/A,7.33823529411765,19.5,1,FALSE,FALSE,3,TRUE,1,FALSE,95,"Swvu.throughput_A.","ACwvu.throughput_A.",1,FALSE,FALSE,0.5,0,0.5,0,2,"","",TRUE,FALSE,FALSE,FALSE,1,#N/A,1,1,"=R94C1:R117C10",FALSE,#N/A,#N/A,FALSE,FALSE}</definedName>
    <definedName name="wvu.throughput_b." hidden="1">{TRUE,TRUE,-1.25,-15.5,484.5,279.75,FALSE,TRUE,TRUE,TRUE,0,1,#N/A,113,#N/A,7.33823529411765,19.5,1,FALSE,FALSE,3,TRUE,1,FALSE,95,"Swvu.throughput_b.","ACwvu.throughput_b.",1,FALSE,FALSE,0.5,0,0.5,0,2,"","",TRUE,FALSE,FALSE,FALSE,1,#N/A,1,1,"=R122C1:R170C10",FALSE,#N/A,#N/A,FALSE,FALSE}</definedName>
    <definedName name="xaxis">#N/A</definedName>
  </definedNames>
  <calcPr calcId="145621"/>
</workbook>
</file>

<file path=xl/calcChain.xml><?xml version="1.0" encoding="utf-8"?>
<calcChain xmlns="http://schemas.openxmlformats.org/spreadsheetml/2006/main">
  <c r="BY146" i="5" l="1"/>
  <c r="BR146" i="5"/>
  <c r="CN192" i="5"/>
  <c r="CI192" i="5"/>
  <c r="BY192" i="5"/>
  <c r="BT192" i="5"/>
  <c r="BQ236" i="5" l="1"/>
  <c r="BR444" i="5" l="1"/>
  <c r="BS442" i="5"/>
  <c r="BS439" i="5"/>
  <c r="BR438" i="5"/>
  <c r="BS437" i="5"/>
  <c r="BR436" i="5"/>
  <c r="BR433" i="5"/>
  <c r="BR430" i="5"/>
  <c r="BR429" i="5"/>
  <c r="BR236" i="5"/>
  <c r="BS99" i="5"/>
  <c r="BS94" i="5"/>
  <c r="BS204" i="5"/>
  <c r="BS214" i="5" s="1"/>
  <c r="BS200" i="5"/>
  <c r="BS192" i="5"/>
  <c r="BS174" i="5"/>
  <c r="BT174" i="5" s="1"/>
  <c r="BS186" i="5"/>
  <c r="BR116" i="5"/>
  <c r="BR117" i="5" s="1"/>
  <c r="BR104" i="5"/>
  <c r="BR105" i="5" s="1"/>
  <c r="BR91" i="5"/>
  <c r="BR136" i="5"/>
  <c r="BR124" i="5"/>
  <c r="BR100" i="5"/>
  <c r="BR70" i="5"/>
  <c r="BR67" i="5"/>
  <c r="BR61" i="5"/>
  <c r="BQ41" i="5"/>
  <c r="BR43" i="5"/>
  <c r="BR24" i="5"/>
  <c r="BR18" i="5"/>
  <c r="BQ439" i="5"/>
  <c r="BQ437" i="5"/>
  <c r="BQ431" i="5"/>
  <c r="BQ434" i="5" s="1"/>
  <c r="BR431" i="5" l="1"/>
  <c r="BR14" i="5"/>
  <c r="BR434" i="5"/>
  <c r="BS201" i="5"/>
  <c r="BR126" i="5"/>
  <c r="BR138" i="5" s="1"/>
  <c r="BQ440" i="5"/>
  <c r="BR440" i="5" l="1"/>
  <c r="BQ443" i="5"/>
  <c r="BR443" i="5" l="1"/>
  <c r="CD192" i="5" l="1"/>
  <c r="BT233" i="5"/>
  <c r="BT236" i="5"/>
  <c r="CX192" i="5" l="1"/>
  <c r="CS192" i="5"/>
  <c r="BU204" i="5" l="1"/>
  <c r="BV204" i="5" s="1"/>
  <c r="BW204" i="5" s="1"/>
  <c r="BQ135" i="5" l="1"/>
  <c r="BQ133" i="5"/>
  <c r="BQ116" i="5"/>
  <c r="BQ104" i="5"/>
  <c r="BQ100" i="5"/>
  <c r="BQ233" i="5"/>
  <c r="BQ193" i="5" s="1"/>
  <c r="BP454" i="5" l="1"/>
  <c r="BP451" i="5"/>
  <c r="BO434" i="5"/>
  <c r="BP439" i="5"/>
  <c r="BP437" i="5"/>
  <c r="BP431" i="5"/>
  <c r="BP434" i="5" s="1"/>
  <c r="BO431" i="5"/>
  <c r="BO437" i="5"/>
  <c r="BO439" i="5"/>
  <c r="BS434" i="5" l="1"/>
  <c r="BS440" i="5"/>
  <c r="BS431" i="5"/>
  <c r="BO440" i="5"/>
  <c r="BO443" i="5" s="1"/>
  <c r="BP440" i="5"/>
  <c r="BS443" i="5" l="1"/>
  <c r="BP443" i="5"/>
  <c r="BP206" i="5"/>
  <c r="BM100" i="5"/>
  <c r="BL100" i="5"/>
  <c r="BK100" i="5"/>
  <c r="BJ100" i="5"/>
  <c r="BO100" i="5"/>
  <c r="BP100" i="5"/>
  <c r="CY46" i="5"/>
  <c r="CZ46" i="5" s="1"/>
  <c r="CT46" i="5"/>
  <c r="CU46" i="5" s="1"/>
  <c r="CV46" i="5" s="1"/>
  <c r="CO46" i="5"/>
  <c r="CP46" i="5" s="1"/>
  <c r="CQ46" i="5" s="1"/>
  <c r="CJ46" i="5"/>
  <c r="CK46" i="5" s="1"/>
  <c r="CL46" i="5" s="1"/>
  <c r="CM46" i="5" s="1"/>
  <c r="CE46" i="5"/>
  <c r="CF46" i="5" s="1"/>
  <c r="CG46" i="5" s="1"/>
  <c r="BZ46" i="5"/>
  <c r="CA46" i="5" s="1"/>
  <c r="BU46" i="5"/>
  <c r="BV46" i="5" s="1"/>
  <c r="BS46" i="5"/>
  <c r="BP41" i="5"/>
  <c r="BQ206" i="5" l="1"/>
  <c r="BR206" i="5" s="1"/>
  <c r="CH46" i="5"/>
  <c r="CR46" i="5"/>
  <c r="CW46" i="5"/>
  <c r="BW46" i="5"/>
  <c r="BX46" i="5" s="1"/>
  <c r="CB46" i="5"/>
  <c r="CC46" i="5" s="1"/>
  <c r="DA46" i="5"/>
  <c r="DB46" i="5" s="1"/>
  <c r="BP13" i="5"/>
  <c r="BP12" i="5"/>
  <c r="BP462" i="5"/>
  <c r="BP234" i="5" l="1"/>
  <c r="BP216" i="5"/>
  <c r="BP215" i="5"/>
  <c r="BP210" i="5"/>
  <c r="BP208" i="5"/>
  <c r="BP207" i="5"/>
  <c r="BP205" i="5"/>
  <c r="BP199" i="5"/>
  <c r="BP198" i="5"/>
  <c r="BP197" i="5"/>
  <c r="BP196" i="5"/>
  <c r="BP194" i="5"/>
  <c r="BP191" i="5"/>
  <c r="BP190" i="5"/>
  <c r="BP185" i="5"/>
  <c r="BQ185" i="5" s="1"/>
  <c r="BR185" i="5" s="1"/>
  <c r="BP184" i="5"/>
  <c r="BQ184" i="5" s="1"/>
  <c r="BR184" i="5" s="1"/>
  <c r="BP178" i="5"/>
  <c r="BQ178" i="5" s="1"/>
  <c r="BR178" i="5" s="1"/>
  <c r="BP181" i="5"/>
  <c r="BQ181" i="5" s="1"/>
  <c r="BR181" i="5" s="1"/>
  <c r="BP165" i="5"/>
  <c r="BQ165" i="5" s="1"/>
  <c r="BR165" i="5" s="1"/>
  <c r="BP167" i="5"/>
  <c r="BQ167" i="5" s="1"/>
  <c r="BR167" i="5" s="1"/>
  <c r="BP173" i="5"/>
  <c r="BQ173" i="5" s="1"/>
  <c r="BR173" i="5" s="1"/>
  <c r="BP172" i="5"/>
  <c r="BQ172" i="5" s="1"/>
  <c r="BR172" i="5" s="1"/>
  <c r="BP166" i="5"/>
  <c r="BQ166" i="5" s="1"/>
  <c r="BR166" i="5" s="1"/>
  <c r="BP168" i="5"/>
  <c r="BQ168" i="5" s="1"/>
  <c r="BR168" i="5" s="1"/>
  <c r="BO142" i="5"/>
  <c r="BO146" i="5" s="1"/>
  <c r="BP76" i="5"/>
  <c r="BP75" i="5"/>
  <c r="BP74" i="5"/>
  <c r="BP232" i="5" s="1"/>
  <c r="BQ191" i="5" l="1"/>
  <c r="BQ196" i="5"/>
  <c r="BR196" i="5" s="1"/>
  <c r="BQ198" i="5"/>
  <c r="BR198" i="5" s="1"/>
  <c r="BQ205" i="5"/>
  <c r="BQ208" i="5"/>
  <c r="BR208" i="5" s="1"/>
  <c r="BQ215" i="5"/>
  <c r="BR215" i="5" s="1"/>
  <c r="BQ190" i="5"/>
  <c r="BQ194" i="5"/>
  <c r="BR194" i="5" s="1"/>
  <c r="BQ197" i="5"/>
  <c r="BR197" i="5" s="1"/>
  <c r="BQ199" i="5"/>
  <c r="BR199" i="5" s="1"/>
  <c r="BQ207" i="5"/>
  <c r="BR207" i="5" s="1"/>
  <c r="BQ210" i="5"/>
  <c r="BR210" i="5" s="1"/>
  <c r="BQ216" i="5"/>
  <c r="BR216" i="5" s="1"/>
  <c r="BO76" i="5"/>
  <c r="BO75" i="5"/>
  <c r="BO74" i="5"/>
  <c r="BR191" i="5" l="1"/>
  <c r="BR205" i="5"/>
  <c r="BR190" i="5"/>
  <c r="BP33" i="5"/>
  <c r="BP32" i="5"/>
  <c r="BO14" i="5" l="1"/>
  <c r="BS80" i="5" l="1"/>
  <c r="BP195" i="5" l="1"/>
  <c r="BP213" i="5"/>
  <c r="BP209" i="5"/>
  <c r="BP212" i="5"/>
  <c r="BP211" i="5"/>
  <c r="BP183" i="5"/>
  <c r="BQ183" i="5" s="1"/>
  <c r="BR183" i="5" s="1"/>
  <c r="BP182" i="5"/>
  <c r="BQ182" i="5" s="1"/>
  <c r="BR182" i="5" s="1"/>
  <c r="BP180" i="5"/>
  <c r="BQ180" i="5" s="1"/>
  <c r="BR180" i="5" s="1"/>
  <c r="BP179" i="5"/>
  <c r="BQ179" i="5" s="1"/>
  <c r="BR179" i="5" s="1"/>
  <c r="BP177" i="5"/>
  <c r="BQ177" i="5" s="1"/>
  <c r="BR177" i="5" s="1"/>
  <c r="BP176" i="5"/>
  <c r="BQ176" i="5" s="1"/>
  <c r="BP174" i="5"/>
  <c r="BQ174" i="5" s="1"/>
  <c r="BR174" i="5" s="1"/>
  <c r="BP171" i="5"/>
  <c r="BQ171" i="5" s="1"/>
  <c r="BR171" i="5" s="1"/>
  <c r="BP170" i="5"/>
  <c r="BQ170" i="5" s="1"/>
  <c r="BR170" i="5" s="1"/>
  <c r="BP169" i="5"/>
  <c r="BQ169" i="5" s="1"/>
  <c r="BR169" i="5" s="1"/>
  <c r="BP163" i="5"/>
  <c r="BQ163" i="5" s="1"/>
  <c r="BR163" i="5" s="1"/>
  <c r="BP161" i="5"/>
  <c r="BQ161" i="5" s="1"/>
  <c r="BP116" i="5"/>
  <c r="BP104" i="5"/>
  <c r="BP91" i="5"/>
  <c r="BQ212" i="5" l="1"/>
  <c r="BR212" i="5" s="1"/>
  <c r="BQ213" i="5"/>
  <c r="BR213" i="5" s="1"/>
  <c r="BR161" i="5"/>
  <c r="BR176" i="5"/>
  <c r="BQ211" i="5"/>
  <c r="BQ209" i="5"/>
  <c r="BQ195" i="5"/>
  <c r="BR195" i="5" s="1"/>
  <c r="BP453" i="5"/>
  <c r="BR209" i="5" l="1"/>
  <c r="BR211" i="5"/>
  <c r="BM246" i="5" l="1"/>
  <c r="BL246" i="5"/>
  <c r="BK246" i="5"/>
  <c r="BJ246" i="5"/>
  <c r="BM78" i="5"/>
  <c r="BL78" i="5"/>
  <c r="BK78" i="5"/>
  <c r="BN77" i="5"/>
  <c r="BM76" i="5"/>
  <c r="BL76" i="5"/>
  <c r="BK76" i="5"/>
  <c r="BJ76" i="5"/>
  <c r="BM75" i="5"/>
  <c r="BL75" i="5"/>
  <c r="BK75" i="5"/>
  <c r="BJ75" i="5"/>
  <c r="BM74" i="5"/>
  <c r="BL74" i="5"/>
  <c r="BK74" i="5"/>
  <c r="BK232" i="5" s="1"/>
  <c r="BJ74" i="5"/>
  <c r="BL236" i="5"/>
  <c r="BM236" i="5" s="1"/>
  <c r="BJ235" i="5"/>
  <c r="BM234" i="5"/>
  <c r="BL234" i="5"/>
  <c r="BK234" i="5"/>
  <c r="BJ234" i="5"/>
  <c r="BK233" i="5"/>
  <c r="BL233" i="5" s="1"/>
  <c r="BM233" i="5" s="1"/>
  <c r="BN74" i="5" l="1"/>
  <c r="BN75" i="5"/>
  <c r="BN76" i="5"/>
  <c r="BN246" i="5"/>
  <c r="BJ232" i="5"/>
  <c r="BN233" i="5"/>
  <c r="BN234" i="5"/>
  <c r="BL232" i="5"/>
  <c r="BM232" i="5"/>
  <c r="BN232" i="5" l="1"/>
  <c r="CO192" i="5" l="1"/>
  <c r="BO193" i="5"/>
  <c r="CY45" i="5"/>
  <c r="CT45" i="5"/>
  <c r="CO45" i="5"/>
  <c r="CJ45" i="5"/>
  <c r="CK45" i="5" s="1"/>
  <c r="CL45" i="5" s="1"/>
  <c r="CE45" i="5"/>
  <c r="BZ45" i="5"/>
  <c r="CA45" i="5" s="1"/>
  <c r="CB45" i="5" s="1"/>
  <c r="BU45" i="5"/>
  <c r="BV45" i="5" s="1"/>
  <c r="BW45" i="5" s="1"/>
  <c r="BO12" i="5"/>
  <c r="BO13" i="5"/>
  <c r="BO192" i="5" l="1"/>
  <c r="CY192" i="5"/>
  <c r="CT192" i="5"/>
  <c r="CP192" i="5"/>
  <c r="CJ192" i="5"/>
  <c r="CU45" i="5"/>
  <c r="CV45" i="5" s="1"/>
  <c r="CC45" i="5"/>
  <c r="CM45" i="5"/>
  <c r="CF45" i="5"/>
  <c r="CG45" i="5" s="1"/>
  <c r="CP45" i="5"/>
  <c r="CQ45" i="5" s="1"/>
  <c r="CZ45" i="5"/>
  <c r="DA45" i="5" s="1"/>
  <c r="CZ192" i="5" l="1"/>
  <c r="CU192" i="5"/>
  <c r="CQ192" i="5"/>
  <c r="CK192" i="5"/>
  <c r="DB45" i="5"/>
  <c r="CW45" i="5"/>
  <c r="CR45" i="5"/>
  <c r="CH45" i="5"/>
  <c r="CR192" i="5" l="1"/>
  <c r="CV192" i="5"/>
  <c r="DA192" i="5"/>
  <c r="CL192" i="5"/>
  <c r="DB192" i="5" l="1"/>
  <c r="CW192" i="5"/>
  <c r="CM192" i="5"/>
  <c r="BO234" i="5" l="1"/>
  <c r="BS6" i="5" l="1"/>
  <c r="BO462" i="5"/>
  <c r="BO453" i="5"/>
  <c r="BO204" i="5"/>
  <c r="BO200" i="5"/>
  <c r="BP200" i="5" s="1"/>
  <c r="BO186" i="5"/>
  <c r="BO164" i="5"/>
  <c r="BP164" i="5" s="1"/>
  <c r="BQ164" i="5" s="1"/>
  <c r="BO116" i="5"/>
  <c r="BO18" i="5"/>
  <c r="BR164" i="5" l="1"/>
  <c r="BQ200" i="5"/>
  <c r="BR200" i="5" s="1"/>
  <c r="BP204" i="5"/>
  <c r="BO175" i="5"/>
  <c r="BO187" i="5" s="1"/>
  <c r="BP186" i="5"/>
  <c r="CM237" i="5"/>
  <c r="CN205" i="5"/>
  <c r="CI205" i="5"/>
  <c r="CE192" i="5"/>
  <c r="BT205" i="5"/>
  <c r="BX210" i="5"/>
  <c r="CC210" i="5"/>
  <c r="CH210" i="5"/>
  <c r="CM210" i="5"/>
  <c r="CR210" i="5"/>
  <c r="CW210" i="5"/>
  <c r="DB210" i="5"/>
  <c r="CT236" i="5"/>
  <c r="CU236" i="5" s="1"/>
  <c r="CV236" i="5" s="1"/>
  <c r="CO236" i="5"/>
  <c r="CJ236" i="5"/>
  <c r="CK236" i="5" s="1"/>
  <c r="CL236" i="5" s="1"/>
  <c r="CE236" i="5"/>
  <c r="BZ236" i="5"/>
  <c r="BU236" i="5"/>
  <c r="BP175" i="5" l="1"/>
  <c r="BQ186" i="5"/>
  <c r="BQ204" i="5"/>
  <c r="BQ214" i="5" s="1"/>
  <c r="BV236" i="5"/>
  <c r="BT69" i="5"/>
  <c r="CF192" i="5"/>
  <c r="BU192" i="5"/>
  <c r="CD205" i="5"/>
  <c r="CE205" i="5"/>
  <c r="BZ192" i="5"/>
  <c r="BY205" i="5"/>
  <c r="CY236" i="5"/>
  <c r="CZ236" i="5" s="1"/>
  <c r="DA236" i="5" s="1"/>
  <c r="CW236" i="5"/>
  <c r="CP236" i="5"/>
  <c r="CQ236" i="5" s="1"/>
  <c r="CM236" i="5"/>
  <c r="CF236" i="5"/>
  <c r="CA236" i="5"/>
  <c r="BM125" i="5"/>
  <c r="BM116" i="5"/>
  <c r="BM106" i="5"/>
  <c r="BN204" i="5"/>
  <c r="BN200" i="5"/>
  <c r="BM167" i="5"/>
  <c r="BN186" i="5"/>
  <c r="BI186" i="5"/>
  <c r="BM173" i="5"/>
  <c r="BM91" i="5"/>
  <c r="BN55" i="5"/>
  <c r="BM70" i="5"/>
  <c r="BM18" i="5"/>
  <c r="BL14" i="5"/>
  <c r="BM444" i="5"/>
  <c r="BM438" i="5"/>
  <c r="BR439" i="5" s="1"/>
  <c r="BM436" i="5"/>
  <c r="BR437" i="5" s="1"/>
  <c r="BL439" i="5"/>
  <c r="BJ434" i="5"/>
  <c r="BO435" i="5" s="1"/>
  <c r="BL431" i="5"/>
  <c r="BQ432" i="5" s="1"/>
  <c r="BM429" i="5"/>
  <c r="BR204" i="5" l="1"/>
  <c r="BR214" i="5" s="1"/>
  <c r="BR186" i="5"/>
  <c r="BR175" i="5" s="1"/>
  <c r="BQ175" i="5"/>
  <c r="BQ187" i="5" s="1"/>
  <c r="BV192" i="5"/>
  <c r="BW236" i="5"/>
  <c r="BU69" i="5"/>
  <c r="BX236" i="5"/>
  <c r="CB236" i="5"/>
  <c r="CG236" i="5"/>
  <c r="CG192" i="5"/>
  <c r="CF205" i="5"/>
  <c r="BU205" i="5"/>
  <c r="DB236" i="5"/>
  <c r="BZ205" i="5"/>
  <c r="CA192" i="5"/>
  <c r="CR236" i="5"/>
  <c r="CZ205" i="5"/>
  <c r="CY205" i="5"/>
  <c r="CX205" i="5"/>
  <c r="CV205" i="5"/>
  <c r="CU205" i="5"/>
  <c r="CT205" i="5"/>
  <c r="CS205" i="5"/>
  <c r="CQ205" i="5"/>
  <c r="CP205" i="5"/>
  <c r="CO205" i="5"/>
  <c r="CL205" i="5"/>
  <c r="CK205" i="5"/>
  <c r="CJ205" i="5"/>
  <c r="BY226" i="5"/>
  <c r="BZ226" i="5"/>
  <c r="CA226" i="5"/>
  <c r="CB226" i="5"/>
  <c r="CD226" i="5"/>
  <c r="CE226" i="5"/>
  <c r="CF226" i="5"/>
  <c r="CG226" i="5"/>
  <c r="CI226" i="5"/>
  <c r="CJ226" i="5"/>
  <c r="CK226" i="5"/>
  <c r="CL226" i="5"/>
  <c r="CN226" i="5"/>
  <c r="CO226" i="5"/>
  <c r="CP226" i="5"/>
  <c r="CQ226" i="5"/>
  <c r="CS226" i="5"/>
  <c r="CT226" i="5"/>
  <c r="CU226" i="5"/>
  <c r="CV226" i="5"/>
  <c r="CX226" i="5"/>
  <c r="CY226" i="5"/>
  <c r="CZ226" i="5"/>
  <c r="DA226" i="5"/>
  <c r="BW226" i="5"/>
  <c r="BV226" i="5"/>
  <c r="BU226" i="5"/>
  <c r="BT226" i="5"/>
  <c r="BX212" i="5"/>
  <c r="CC212" i="5"/>
  <c r="CH212" i="5"/>
  <c r="CM212" i="5"/>
  <c r="CR212" i="5"/>
  <c r="CW212" i="5"/>
  <c r="DB212" i="5"/>
  <c r="DB56" i="5"/>
  <c r="DB55" i="5"/>
  <c r="CY39" i="5"/>
  <c r="CY164" i="5" s="1"/>
  <c r="DB14" i="5"/>
  <c r="DB13" i="5"/>
  <c r="DB12" i="5"/>
  <c r="CW56" i="5"/>
  <c r="CW55" i="5"/>
  <c r="CT39" i="5"/>
  <c r="CU39" i="5" s="1"/>
  <c r="CU78" i="5" s="1"/>
  <c r="CW14" i="5"/>
  <c r="CW13" i="5"/>
  <c r="CW12" i="5"/>
  <c r="CR56" i="5"/>
  <c r="CR55" i="5"/>
  <c r="CO39" i="5"/>
  <c r="CO164" i="5" s="1"/>
  <c r="CR14" i="5"/>
  <c r="CR13" i="5"/>
  <c r="CR12" i="5"/>
  <c r="CM56" i="5"/>
  <c r="CM55" i="5"/>
  <c r="CJ39" i="5"/>
  <c r="CK39" i="5" s="1"/>
  <c r="CK78" i="5" s="1"/>
  <c r="CM14" i="5"/>
  <c r="CM13" i="5"/>
  <c r="CM12" i="5"/>
  <c r="CH56" i="5"/>
  <c r="CH55" i="5"/>
  <c r="CE39" i="5"/>
  <c r="CF39" i="5" s="1"/>
  <c r="CH14" i="5"/>
  <c r="CH13" i="5"/>
  <c r="CH12" i="5"/>
  <c r="CC56" i="5"/>
  <c r="CC55" i="5"/>
  <c r="BZ39" i="5"/>
  <c r="BZ164" i="5" s="1"/>
  <c r="CC14" i="5"/>
  <c r="CC13" i="5"/>
  <c r="CC12" i="5"/>
  <c r="BX56" i="5"/>
  <c r="BX55" i="5"/>
  <c r="BU39" i="5"/>
  <c r="BU164" i="5" s="1"/>
  <c r="BU23" i="5"/>
  <c r="BV23" i="5" s="1"/>
  <c r="BW23" i="5" s="1"/>
  <c r="BY23" i="5" s="1"/>
  <c r="BZ23" i="5" s="1"/>
  <c r="CA23" i="5" s="1"/>
  <c r="CB23" i="5" s="1"/>
  <c r="CD23" i="5" s="1"/>
  <c r="BX14" i="5"/>
  <c r="BX13" i="5"/>
  <c r="BX12" i="5"/>
  <c r="CX78" i="5"/>
  <c r="CS78" i="5"/>
  <c r="CN78" i="5"/>
  <c r="CI78" i="5"/>
  <c r="CD78" i="5"/>
  <c r="BY78" i="5"/>
  <c r="BT78" i="5"/>
  <c r="BL208" i="5"/>
  <c r="BL207" i="5"/>
  <c r="BL185" i="5"/>
  <c r="BM185" i="5" s="1"/>
  <c r="BL184" i="5"/>
  <c r="BM184" i="5" s="1"/>
  <c r="BL181" i="5"/>
  <c r="BM181" i="5" s="1"/>
  <c r="BL178" i="5"/>
  <c r="BM178" i="5" s="1"/>
  <c r="BL165" i="5"/>
  <c r="BL196" i="5"/>
  <c r="BM196" i="5" s="1"/>
  <c r="BL197" i="5"/>
  <c r="BL198" i="5"/>
  <c r="BM198" i="5" s="1"/>
  <c r="BL199" i="5"/>
  <c r="BM199" i="5" s="1"/>
  <c r="BL193" i="5"/>
  <c r="BL142" i="5"/>
  <c r="BL136" i="5"/>
  <c r="BL125" i="5"/>
  <c r="BL124" i="5"/>
  <c r="BL116" i="5"/>
  <c r="BL117" i="5" s="1"/>
  <c r="BL105" i="5"/>
  <c r="BL91" i="5"/>
  <c r="BL33" i="5"/>
  <c r="BL32" i="5"/>
  <c r="BL70" i="5"/>
  <c r="BL67" i="5"/>
  <c r="BL61" i="5"/>
  <c r="BL41" i="5"/>
  <c r="BL43" i="5" s="1"/>
  <c r="BL24" i="5"/>
  <c r="BL18" i="5"/>
  <c r="BL13" i="5"/>
  <c r="BR226" i="5"/>
  <c r="BH193" i="5"/>
  <c r="BC193" i="5"/>
  <c r="BL454" i="5"/>
  <c r="BL462" i="5"/>
  <c r="BL451" i="5"/>
  <c r="DB463" i="5"/>
  <c r="CW463" i="5"/>
  <c r="CR463" i="5"/>
  <c r="CM463" i="5"/>
  <c r="CH463" i="5"/>
  <c r="CC463" i="5"/>
  <c r="BX463" i="5"/>
  <c r="BS463" i="5"/>
  <c r="BN463" i="5"/>
  <c r="BI463" i="5"/>
  <c r="BD463" i="5"/>
  <c r="AY463" i="5"/>
  <c r="AT463" i="5"/>
  <c r="AO463" i="5"/>
  <c r="AJ463" i="5"/>
  <c r="AE463" i="5"/>
  <c r="Z463" i="5"/>
  <c r="Y463" i="5" s="1"/>
  <c r="U463" i="5"/>
  <c r="Q463" i="5" s="1"/>
  <c r="P463" i="5"/>
  <c r="O463" i="5" s="1"/>
  <c r="K463" i="5"/>
  <c r="H463" i="5" s="1"/>
  <c r="F463" i="5"/>
  <c r="DA462" i="5"/>
  <c r="CZ462" i="5"/>
  <c r="CY462" i="5"/>
  <c r="CX462" i="5"/>
  <c r="CV462" i="5"/>
  <c r="CU462" i="5"/>
  <c r="CT462" i="5"/>
  <c r="CS462" i="5"/>
  <c r="CQ462" i="5"/>
  <c r="CP462" i="5"/>
  <c r="CO462" i="5"/>
  <c r="CN462" i="5"/>
  <c r="CL462" i="5"/>
  <c r="CK462" i="5"/>
  <c r="CJ462" i="5"/>
  <c r="CI462" i="5"/>
  <c r="CG462" i="5"/>
  <c r="CF462" i="5"/>
  <c r="CE462" i="5"/>
  <c r="CD462" i="5"/>
  <c r="CB462" i="5"/>
  <c r="CA462" i="5"/>
  <c r="BZ462" i="5"/>
  <c r="BY462" i="5"/>
  <c r="BW462" i="5"/>
  <c r="BV462" i="5"/>
  <c r="BU462" i="5"/>
  <c r="BT462" i="5"/>
  <c r="BR462" i="5"/>
  <c r="BQ462" i="5"/>
  <c r="BM462" i="5"/>
  <c r="BK462" i="5"/>
  <c r="BJ462" i="5"/>
  <c r="BH462" i="5"/>
  <c r="BG462" i="5"/>
  <c r="BF462" i="5"/>
  <c r="BE462" i="5"/>
  <c r="BC462" i="5"/>
  <c r="BB462" i="5"/>
  <c r="BA462" i="5"/>
  <c r="AZ462" i="5"/>
  <c r="AX462" i="5"/>
  <c r="AW462" i="5"/>
  <c r="AV462" i="5"/>
  <c r="AU462" i="5"/>
  <c r="AS462" i="5"/>
  <c r="AR462" i="5"/>
  <c r="AQ462" i="5"/>
  <c r="AP462" i="5"/>
  <c r="AN462" i="5"/>
  <c r="AM462" i="5"/>
  <c r="AL462" i="5"/>
  <c r="AK462" i="5"/>
  <c r="AI462" i="5"/>
  <c r="AH462" i="5"/>
  <c r="AG462" i="5"/>
  <c r="AF462" i="5"/>
  <c r="AD462" i="5"/>
  <c r="AC462" i="5"/>
  <c r="AB462" i="5"/>
  <c r="AA462" i="5"/>
  <c r="Y462" i="5"/>
  <c r="X462" i="5"/>
  <c r="W462" i="5"/>
  <c r="V462" i="5"/>
  <c r="T462" i="5"/>
  <c r="S462" i="5"/>
  <c r="R462" i="5"/>
  <c r="Q462" i="5"/>
  <c r="O462" i="5"/>
  <c r="N462" i="5"/>
  <c r="M462" i="5"/>
  <c r="L462" i="5"/>
  <c r="J462" i="5"/>
  <c r="I462" i="5"/>
  <c r="H462" i="5"/>
  <c r="G462" i="5"/>
  <c r="E462" i="5"/>
  <c r="D462" i="5"/>
  <c r="C462" i="5"/>
  <c r="B462" i="5"/>
  <c r="BK454" i="5"/>
  <c r="BH454" i="5"/>
  <c r="BG454" i="5"/>
  <c r="BF454" i="5"/>
  <c r="BC454" i="5"/>
  <c r="BB454" i="5"/>
  <c r="BA454" i="5"/>
  <c r="AX454" i="5"/>
  <c r="AW454" i="5"/>
  <c r="AV454" i="5"/>
  <c r="AS454" i="5"/>
  <c r="AR454" i="5"/>
  <c r="AQ454" i="5"/>
  <c r="AN454" i="5"/>
  <c r="AM454" i="5"/>
  <c r="AL454" i="5"/>
  <c r="AI454" i="5"/>
  <c r="AH454" i="5"/>
  <c r="AG454" i="5"/>
  <c r="AF454" i="5"/>
  <c r="AE454" i="5"/>
  <c r="AC454" i="5"/>
  <c r="AB454" i="5"/>
  <c r="AA454" i="5"/>
  <c r="Z454" i="5"/>
  <c r="X454" i="5"/>
  <c r="W454" i="5"/>
  <c r="V454" i="5"/>
  <c r="U454" i="5"/>
  <c r="S454" i="5"/>
  <c r="R454" i="5"/>
  <c r="Q454" i="5"/>
  <c r="N454" i="5"/>
  <c r="M454" i="5"/>
  <c r="F454" i="5"/>
  <c r="B454" i="5"/>
  <c r="BJ453" i="5"/>
  <c r="BI453" i="5"/>
  <c r="BE453" i="5"/>
  <c r="BD453" i="5"/>
  <c r="AZ453" i="5"/>
  <c r="AY453" i="5"/>
  <c r="AU453" i="5"/>
  <c r="AT453" i="5"/>
  <c r="AP453" i="5"/>
  <c r="AO453" i="5"/>
  <c r="AK453" i="5"/>
  <c r="AJ453" i="5"/>
  <c r="AF453" i="5"/>
  <c r="AE453" i="5"/>
  <c r="AA453" i="5"/>
  <c r="Z453" i="5"/>
  <c r="V453" i="5"/>
  <c r="U453" i="5"/>
  <c r="Q453" i="5"/>
  <c r="P453" i="5"/>
  <c r="L453" i="5"/>
  <c r="K453" i="5"/>
  <c r="G453" i="5"/>
  <c r="F453" i="5"/>
  <c r="B453" i="5"/>
  <c r="BK451" i="5"/>
  <c r="BH451" i="5"/>
  <c r="BG451" i="5"/>
  <c r="BF451" i="5"/>
  <c r="BC451" i="5"/>
  <c r="BB451" i="5"/>
  <c r="BA451" i="5"/>
  <c r="AX451" i="5"/>
  <c r="AW451" i="5"/>
  <c r="AV451" i="5"/>
  <c r="AS451" i="5"/>
  <c r="AR451" i="5"/>
  <c r="AQ451" i="5"/>
  <c r="AN451" i="5"/>
  <c r="AM451" i="5"/>
  <c r="AL451" i="5"/>
  <c r="AI451" i="5"/>
  <c r="AH451" i="5"/>
  <c r="AG451" i="5"/>
  <c r="AF451" i="5"/>
  <c r="AE451" i="5"/>
  <c r="AC451" i="5"/>
  <c r="AB451" i="5"/>
  <c r="AA451" i="5"/>
  <c r="Z451" i="5"/>
  <c r="X451" i="5"/>
  <c r="W451" i="5"/>
  <c r="V451" i="5"/>
  <c r="U451" i="5"/>
  <c r="S451" i="5"/>
  <c r="R451" i="5"/>
  <c r="Q451" i="5"/>
  <c r="P451" i="5"/>
  <c r="N451" i="5"/>
  <c r="M451" i="5"/>
  <c r="L451" i="5"/>
  <c r="K451" i="5"/>
  <c r="I451" i="5"/>
  <c r="H451" i="5"/>
  <c r="G451" i="5"/>
  <c r="F451" i="5"/>
  <c r="D451" i="5"/>
  <c r="C451" i="5"/>
  <c r="B451" i="5"/>
  <c r="F450" i="5"/>
  <c r="BH444" i="5"/>
  <c r="BC444" i="5"/>
  <c r="BD444" i="5" s="1"/>
  <c r="AX444" i="5"/>
  <c r="AS444" i="5"/>
  <c r="AS442" i="5"/>
  <c r="AS438" i="5"/>
  <c r="AS436" i="5"/>
  <c r="AS434" i="5"/>
  <c r="AS430" i="5"/>
  <c r="AS429" i="5"/>
  <c r="AN444" i="5"/>
  <c r="AN442" i="5"/>
  <c r="AN438" i="5"/>
  <c r="AN436" i="5"/>
  <c r="AN434" i="5"/>
  <c r="AN430" i="5"/>
  <c r="AN429" i="5"/>
  <c r="AI444" i="5"/>
  <c r="AI442" i="5"/>
  <c r="AI438" i="5"/>
  <c r="AI436" i="5"/>
  <c r="AI434" i="5"/>
  <c r="AI430" i="5"/>
  <c r="AI429" i="5"/>
  <c r="AD444" i="5"/>
  <c r="AD442" i="5"/>
  <c r="AD438" i="5"/>
  <c r="AD436" i="5"/>
  <c r="AD434" i="5"/>
  <c r="AD430" i="5"/>
  <c r="AD429" i="5"/>
  <c r="Y444" i="5"/>
  <c r="Y442" i="5"/>
  <c r="Y438" i="5"/>
  <c r="Y436" i="5"/>
  <c r="Y434" i="5"/>
  <c r="Y430" i="5"/>
  <c r="Y429" i="5"/>
  <c r="T444" i="5"/>
  <c r="T442" i="5"/>
  <c r="T438" i="5"/>
  <c r="T436" i="5"/>
  <c r="T434" i="5"/>
  <c r="T430" i="5"/>
  <c r="T429" i="5"/>
  <c r="O444" i="5"/>
  <c r="O442" i="5"/>
  <c r="O438" i="5"/>
  <c r="O436" i="5"/>
  <c r="O434" i="5"/>
  <c r="O430" i="5"/>
  <c r="O429" i="5"/>
  <c r="G444" i="5"/>
  <c r="J444" i="5" s="1"/>
  <c r="G442" i="5"/>
  <c r="J442" i="5" s="1"/>
  <c r="G438" i="5"/>
  <c r="J438" i="5" s="1"/>
  <c r="G436" i="5"/>
  <c r="G437" i="5" s="1"/>
  <c r="G434" i="5"/>
  <c r="G435" i="5" s="1"/>
  <c r="G430" i="5"/>
  <c r="J430" i="5" s="1"/>
  <c r="G429" i="5"/>
  <c r="J429" i="5" s="1"/>
  <c r="E444" i="5"/>
  <c r="E442" i="5"/>
  <c r="DB442" i="5"/>
  <c r="CW442" i="5"/>
  <c r="CR442" i="5"/>
  <c r="CM442" i="5"/>
  <c r="CH442" i="5"/>
  <c r="CC442" i="5"/>
  <c r="BX442" i="5"/>
  <c r="BN442" i="5"/>
  <c r="BD442" i="5"/>
  <c r="BD440" i="5"/>
  <c r="BD439" i="5"/>
  <c r="BI440" i="5"/>
  <c r="BF440" i="5"/>
  <c r="BF34" i="5" s="1"/>
  <c r="BE440" i="5"/>
  <c r="BE34" i="5" s="1"/>
  <c r="BB440" i="5"/>
  <c r="BA440" i="5"/>
  <c r="AZ440" i="5"/>
  <c r="AY440" i="5"/>
  <c r="AY443" i="5" s="1"/>
  <c r="AW440" i="5"/>
  <c r="AW34" i="5" s="1"/>
  <c r="AV440" i="5"/>
  <c r="AU440" i="5"/>
  <c r="AU443" i="5" s="1"/>
  <c r="AT440" i="5"/>
  <c r="AT443" i="5" s="1"/>
  <c r="AR440" i="5"/>
  <c r="AQ440" i="5"/>
  <c r="AQ34" i="5" s="1"/>
  <c r="AP440" i="5"/>
  <c r="AO440" i="5"/>
  <c r="AM440" i="5"/>
  <c r="AM443" i="5" s="1"/>
  <c r="AL440" i="5"/>
  <c r="AK440" i="5"/>
  <c r="AJ440" i="5"/>
  <c r="AJ443" i="5" s="1"/>
  <c r="AH440" i="5"/>
  <c r="AH443" i="5" s="1"/>
  <c r="AG440" i="5"/>
  <c r="AG443" i="5" s="1"/>
  <c r="AF440" i="5"/>
  <c r="AE440" i="5"/>
  <c r="AE443" i="5" s="1"/>
  <c r="F440" i="5"/>
  <c r="F443" i="5" s="1"/>
  <c r="D440" i="5"/>
  <c r="D443" i="5" s="1"/>
  <c r="C440" i="5"/>
  <c r="B440" i="5"/>
  <c r="B34" i="5" s="1"/>
  <c r="BK439" i="5"/>
  <c r="BI439" i="5"/>
  <c r="BG439" i="5"/>
  <c r="BF439" i="5"/>
  <c r="BB439" i="5"/>
  <c r="BA439" i="5"/>
  <c r="AY439" i="5"/>
  <c r="AV439" i="5"/>
  <c r="AT439" i="5"/>
  <c r="AQ439" i="5"/>
  <c r="AO439" i="5"/>
  <c r="AL439" i="5"/>
  <c r="AK439" i="5"/>
  <c r="AJ439" i="5"/>
  <c r="AG439" i="5"/>
  <c r="AF439" i="5"/>
  <c r="AE439" i="5"/>
  <c r="AC440" i="5"/>
  <c r="AC34" i="5" s="1"/>
  <c r="AB440" i="5"/>
  <c r="AB34" i="5" s="1"/>
  <c r="AA440" i="5"/>
  <c r="AA34" i="5" s="1"/>
  <c r="Z440" i="5"/>
  <c r="Z443" i="5" s="1"/>
  <c r="AC439" i="5"/>
  <c r="AB439" i="5"/>
  <c r="AA439" i="5"/>
  <c r="Z439" i="5"/>
  <c r="X440" i="5"/>
  <c r="W440" i="5"/>
  <c r="V440" i="5"/>
  <c r="V34" i="5" s="1"/>
  <c r="U440" i="5"/>
  <c r="X439" i="5"/>
  <c r="W439" i="5"/>
  <c r="V439" i="5"/>
  <c r="U439" i="5"/>
  <c r="S440" i="5"/>
  <c r="S34" i="5" s="1"/>
  <c r="R440" i="5"/>
  <c r="R443" i="5" s="1"/>
  <c r="Q440" i="5"/>
  <c r="Q443" i="5" s="1"/>
  <c r="P440" i="5"/>
  <c r="S439" i="5"/>
  <c r="R439" i="5"/>
  <c r="Q439" i="5"/>
  <c r="P439" i="5"/>
  <c r="N440" i="5"/>
  <c r="M440" i="5"/>
  <c r="L440" i="5"/>
  <c r="L443" i="5" s="1"/>
  <c r="K440" i="5"/>
  <c r="K441" i="5" s="1"/>
  <c r="N439" i="5"/>
  <c r="M439" i="5"/>
  <c r="K439" i="5"/>
  <c r="I440" i="5"/>
  <c r="I34" i="5" s="1"/>
  <c r="H440" i="5"/>
  <c r="H34" i="5" s="1"/>
  <c r="I439" i="5"/>
  <c r="H439" i="5"/>
  <c r="BH438" i="5"/>
  <c r="BC438" i="5"/>
  <c r="AX438" i="5"/>
  <c r="AX436" i="5"/>
  <c r="AX434" i="5"/>
  <c r="AX430" i="5"/>
  <c r="AX429" i="5"/>
  <c r="E438" i="5"/>
  <c r="BK437" i="5"/>
  <c r="BI437" i="5"/>
  <c r="BF437" i="5"/>
  <c r="BD437" i="5"/>
  <c r="BA437" i="5"/>
  <c r="AY437" i="5"/>
  <c r="AV437" i="5"/>
  <c r="AT437" i="5"/>
  <c r="AQ437" i="5"/>
  <c r="AO437" i="5"/>
  <c r="AM437" i="5"/>
  <c r="AL437" i="5"/>
  <c r="AK437" i="5"/>
  <c r="AJ437" i="5"/>
  <c r="AH437" i="5"/>
  <c r="AG437" i="5"/>
  <c r="AF437" i="5"/>
  <c r="AE437" i="5"/>
  <c r="AC437" i="5"/>
  <c r="AB437" i="5"/>
  <c r="AA437" i="5"/>
  <c r="Z437" i="5"/>
  <c r="X437" i="5"/>
  <c r="W437" i="5"/>
  <c r="V437" i="5"/>
  <c r="U437" i="5"/>
  <c r="S437" i="5"/>
  <c r="R437" i="5"/>
  <c r="Q437" i="5"/>
  <c r="P437" i="5"/>
  <c r="N437" i="5"/>
  <c r="M437" i="5"/>
  <c r="K437" i="5"/>
  <c r="I437" i="5"/>
  <c r="H437" i="5"/>
  <c r="BG436" i="5"/>
  <c r="BL437" i="5" s="1"/>
  <c r="BC436" i="5"/>
  <c r="E436" i="5"/>
  <c r="BI435" i="5"/>
  <c r="BG435" i="5"/>
  <c r="BF435" i="5"/>
  <c r="BE435" i="5"/>
  <c r="BD435" i="5"/>
  <c r="BA435" i="5"/>
  <c r="AY435" i="5"/>
  <c r="AV435" i="5"/>
  <c r="AT435" i="5"/>
  <c r="AQ435" i="5"/>
  <c r="AO435" i="5"/>
  <c r="AL435" i="5"/>
  <c r="AK435" i="5"/>
  <c r="AJ435" i="5"/>
  <c r="AG435" i="5"/>
  <c r="AF435" i="5"/>
  <c r="AE435" i="5"/>
  <c r="AC435" i="5"/>
  <c r="AB435" i="5"/>
  <c r="AA435" i="5"/>
  <c r="Z435" i="5"/>
  <c r="X435" i="5"/>
  <c r="W435" i="5"/>
  <c r="V435" i="5"/>
  <c r="U435" i="5"/>
  <c r="S435" i="5"/>
  <c r="R435" i="5"/>
  <c r="Q435" i="5"/>
  <c r="P435" i="5"/>
  <c r="N435" i="5"/>
  <c r="M435" i="5"/>
  <c r="K435" i="5"/>
  <c r="I435" i="5"/>
  <c r="H435" i="5"/>
  <c r="BJ440" i="5"/>
  <c r="BO441" i="5" s="1"/>
  <c r="BH434" i="5"/>
  <c r="BH429" i="5"/>
  <c r="BC434" i="5"/>
  <c r="BC430" i="5"/>
  <c r="BC429" i="5"/>
  <c r="E434" i="5"/>
  <c r="AT431" i="5"/>
  <c r="AT433" i="5" s="1"/>
  <c r="AO431" i="5"/>
  <c r="AO433" i="5" s="1"/>
  <c r="BK431" i="5"/>
  <c r="BP432" i="5" s="1"/>
  <c r="BJ431" i="5"/>
  <c r="BO432" i="5" s="1"/>
  <c r="BF431" i="5"/>
  <c r="BF433" i="5" s="1"/>
  <c r="BE431" i="5"/>
  <c r="BB431" i="5"/>
  <c r="BB433" i="5" s="1"/>
  <c r="BA431" i="5"/>
  <c r="BA433" i="5" s="1"/>
  <c r="AZ431" i="5"/>
  <c r="AZ433" i="5" s="1"/>
  <c r="AY431" i="5"/>
  <c r="AW431" i="5"/>
  <c r="AW433" i="5" s="1"/>
  <c r="AV431" i="5"/>
  <c r="AV433" i="5" s="1"/>
  <c r="AU431" i="5"/>
  <c r="AU433" i="5" s="1"/>
  <c r="AR431" i="5"/>
  <c r="AQ431" i="5"/>
  <c r="AQ433" i="5" s="1"/>
  <c r="AP431" i="5"/>
  <c r="AP433" i="5" s="1"/>
  <c r="AM431" i="5"/>
  <c r="AM433" i="5" s="1"/>
  <c r="AL431" i="5"/>
  <c r="AK431" i="5"/>
  <c r="AK433" i="5" s="1"/>
  <c r="AJ431" i="5"/>
  <c r="AH431" i="5"/>
  <c r="AH433" i="5" s="1"/>
  <c r="AG431" i="5"/>
  <c r="AF431" i="5"/>
  <c r="AE431" i="5"/>
  <c r="AC431" i="5"/>
  <c r="AC433" i="5" s="1"/>
  <c r="AB431" i="5"/>
  <c r="AB433" i="5" s="1"/>
  <c r="AA431" i="5"/>
  <c r="AA433" i="5" s="1"/>
  <c r="Z431" i="5"/>
  <c r="Z433" i="5" s="1"/>
  <c r="X431" i="5"/>
  <c r="W431" i="5"/>
  <c r="W433" i="5" s="1"/>
  <c r="V431" i="5"/>
  <c r="V433" i="5" s="1"/>
  <c r="U431" i="5"/>
  <c r="S431" i="5"/>
  <c r="S433" i="5" s="1"/>
  <c r="R431" i="5"/>
  <c r="R433" i="5" s="1"/>
  <c r="Q431" i="5"/>
  <c r="Q433" i="5" s="1"/>
  <c r="P431" i="5"/>
  <c r="P433" i="5" s="1"/>
  <c r="N431" i="5"/>
  <c r="M431" i="5"/>
  <c r="M433" i="5" s="1"/>
  <c r="L431" i="5"/>
  <c r="K431" i="5"/>
  <c r="K433" i="5" s="1"/>
  <c r="I431" i="5"/>
  <c r="I433" i="5" s="1"/>
  <c r="H431" i="5"/>
  <c r="H433" i="5" s="1"/>
  <c r="F431" i="5"/>
  <c r="F433" i="5" s="1"/>
  <c r="D431" i="5"/>
  <c r="D433" i="5" s="1"/>
  <c r="C431" i="5"/>
  <c r="C433" i="5" s="1"/>
  <c r="B431" i="5"/>
  <c r="B433" i="5" s="1"/>
  <c r="BG430" i="5"/>
  <c r="BG431" i="5" s="1"/>
  <c r="BG433" i="5" s="1"/>
  <c r="E430" i="5"/>
  <c r="E429" i="5"/>
  <c r="AP426" i="5"/>
  <c r="AS425" i="5"/>
  <c r="AN425" i="5"/>
  <c r="AI425" i="5"/>
  <c r="AI424" i="5"/>
  <c r="AI422" i="5"/>
  <c r="AI421" i="5"/>
  <c r="AD425" i="5"/>
  <c r="AD424" i="5"/>
  <c r="AD422" i="5"/>
  <c r="AD421" i="5"/>
  <c r="Y425" i="5"/>
  <c r="Y424" i="5"/>
  <c r="Y422" i="5"/>
  <c r="Y421" i="5"/>
  <c r="T425" i="5"/>
  <c r="T424" i="5"/>
  <c r="T422" i="5"/>
  <c r="T421" i="5"/>
  <c r="O425" i="5"/>
  <c r="O424" i="5"/>
  <c r="O422" i="5"/>
  <c r="O421" i="5"/>
  <c r="J425" i="5"/>
  <c r="J424" i="5"/>
  <c r="J422" i="5"/>
  <c r="J421" i="5"/>
  <c r="AT423" i="5"/>
  <c r="AT426" i="5" s="1"/>
  <c r="AR423" i="5"/>
  <c r="AR426" i="5" s="1"/>
  <c r="AQ423" i="5"/>
  <c r="AQ426" i="5" s="1"/>
  <c r="AO423" i="5"/>
  <c r="AO426" i="5" s="1"/>
  <c r="AM423" i="5"/>
  <c r="AM426" i="5" s="1"/>
  <c r="AL423" i="5"/>
  <c r="AL426" i="5" s="1"/>
  <c r="AK423" i="5"/>
  <c r="AK426" i="5" s="1"/>
  <c r="AJ423" i="5"/>
  <c r="AJ426" i="5" s="1"/>
  <c r="AH423" i="5"/>
  <c r="AH426" i="5" s="1"/>
  <c r="AG423" i="5"/>
  <c r="AG426" i="5" s="1"/>
  <c r="AF423" i="5"/>
  <c r="AF426" i="5" s="1"/>
  <c r="AE423" i="5"/>
  <c r="AE426" i="5" s="1"/>
  <c r="AC423" i="5"/>
  <c r="AC426" i="5" s="1"/>
  <c r="AB423" i="5"/>
  <c r="AB426" i="5" s="1"/>
  <c r="AA423" i="5"/>
  <c r="AA426" i="5" s="1"/>
  <c r="Z423" i="5"/>
  <c r="Z426" i="5" s="1"/>
  <c r="X423" i="5"/>
  <c r="X426" i="5" s="1"/>
  <c r="W423" i="5"/>
  <c r="W426" i="5" s="1"/>
  <c r="V423" i="5"/>
  <c r="V426" i="5" s="1"/>
  <c r="U423" i="5"/>
  <c r="U426" i="5" s="1"/>
  <c r="S423" i="5"/>
  <c r="S426" i="5" s="1"/>
  <c r="R423" i="5"/>
  <c r="R426" i="5" s="1"/>
  <c r="Q423" i="5"/>
  <c r="Q426" i="5" s="1"/>
  <c r="P423" i="5"/>
  <c r="P426" i="5" s="1"/>
  <c r="N423" i="5"/>
  <c r="N426" i="5" s="1"/>
  <c r="M423" i="5"/>
  <c r="M426" i="5" s="1"/>
  <c r="L423" i="5"/>
  <c r="L426" i="5" s="1"/>
  <c r="K423" i="5"/>
  <c r="K426" i="5" s="1"/>
  <c r="I423" i="5"/>
  <c r="I426" i="5" s="1"/>
  <c r="H423" i="5"/>
  <c r="H426" i="5" s="1"/>
  <c r="G423" i="5"/>
  <c r="G426" i="5" s="1"/>
  <c r="D423" i="5"/>
  <c r="D426" i="5" s="1"/>
  <c r="AS422" i="5"/>
  <c r="AS421" i="5"/>
  <c r="AN422" i="5"/>
  <c r="AN421" i="5"/>
  <c r="D417" i="5"/>
  <c r="C417" i="5"/>
  <c r="B417" i="5"/>
  <c r="AU417" i="5"/>
  <c r="AR417" i="5"/>
  <c r="AQ417" i="5"/>
  <c r="AP417" i="5"/>
  <c r="AM417" i="5"/>
  <c r="AL417" i="5"/>
  <c r="AK417" i="5"/>
  <c r="AH417" i="5"/>
  <c r="AG417" i="5"/>
  <c r="AF417" i="5"/>
  <c r="AC417" i="5"/>
  <c r="AB417" i="5"/>
  <c r="AA417" i="5"/>
  <c r="X417" i="5"/>
  <c r="W417" i="5"/>
  <c r="V417" i="5"/>
  <c r="S417" i="5"/>
  <c r="R417" i="5"/>
  <c r="Q417" i="5"/>
  <c r="N417" i="5"/>
  <c r="M417" i="5"/>
  <c r="L417" i="5"/>
  <c r="I417" i="5"/>
  <c r="H417" i="5"/>
  <c r="AS416" i="5"/>
  <c r="AP416" i="5"/>
  <c r="AN416" i="5"/>
  <c r="AM416" i="5"/>
  <c r="AK416" i="5"/>
  <c r="AI416" i="5"/>
  <c r="AH416" i="5"/>
  <c r="AG416" i="5"/>
  <c r="AF416" i="5"/>
  <c r="AE416" i="5"/>
  <c r="AD416" i="5"/>
  <c r="AC416" i="5"/>
  <c r="AB416" i="5"/>
  <c r="AA416" i="5"/>
  <c r="Z416" i="5"/>
  <c r="Y416" i="5"/>
  <c r="X416" i="5"/>
  <c r="W416" i="5"/>
  <c r="V416" i="5"/>
  <c r="U416" i="5"/>
  <c r="T416" i="5"/>
  <c r="S416" i="5"/>
  <c r="R416" i="5"/>
  <c r="Q416" i="5"/>
  <c r="P416" i="5"/>
  <c r="O416" i="5"/>
  <c r="N416" i="5"/>
  <c r="M416" i="5"/>
  <c r="L416" i="5"/>
  <c r="K416" i="5"/>
  <c r="J416" i="5"/>
  <c r="I416" i="5"/>
  <c r="H416" i="5"/>
  <c r="G416" i="5"/>
  <c r="AT415" i="5"/>
  <c r="AT413" i="5"/>
  <c r="AT411" i="5"/>
  <c r="AO415" i="5"/>
  <c r="AO413" i="5"/>
  <c r="AO411" i="5"/>
  <c r="AJ415" i="5"/>
  <c r="AJ413" i="5"/>
  <c r="AJ414" i="5" s="1"/>
  <c r="AJ411" i="5"/>
  <c r="AJ412" i="5" s="1"/>
  <c r="AU414" i="5"/>
  <c r="AS414" i="5"/>
  <c r="AP414" i="5"/>
  <c r="AN414" i="5"/>
  <c r="AM414" i="5"/>
  <c r="AK414" i="5"/>
  <c r="AH414" i="5"/>
  <c r="AG414" i="5"/>
  <c r="AF414" i="5"/>
  <c r="AE414" i="5"/>
  <c r="AC414" i="5"/>
  <c r="AB414" i="5"/>
  <c r="AA414" i="5"/>
  <c r="Z414" i="5"/>
  <c r="X414" i="5"/>
  <c r="W414" i="5"/>
  <c r="V414" i="5"/>
  <c r="U414" i="5"/>
  <c r="S414" i="5"/>
  <c r="R414" i="5"/>
  <c r="Q414" i="5"/>
  <c r="P414" i="5"/>
  <c r="N414" i="5"/>
  <c r="M414" i="5"/>
  <c r="L414" i="5"/>
  <c r="K414" i="5"/>
  <c r="I414" i="5"/>
  <c r="H414" i="5"/>
  <c r="G414" i="5"/>
  <c r="AD413" i="5"/>
  <c r="AI414" i="5" s="1"/>
  <c r="AD411" i="5"/>
  <c r="AI412" i="5" s="1"/>
  <c r="Y413" i="5"/>
  <c r="Y411" i="5"/>
  <c r="T413" i="5"/>
  <c r="T411" i="5"/>
  <c r="O413" i="5"/>
  <c r="O411" i="5"/>
  <c r="J413" i="5"/>
  <c r="J411" i="5"/>
  <c r="E413" i="5"/>
  <c r="AU412" i="5"/>
  <c r="AS412" i="5"/>
  <c r="AR412" i="5"/>
  <c r="AR414" i="5" s="1"/>
  <c r="AQ412" i="5"/>
  <c r="AQ414" i="5" s="1"/>
  <c r="AP412" i="5"/>
  <c r="AN412" i="5"/>
  <c r="AM412" i="5"/>
  <c r="AL412" i="5"/>
  <c r="AL414" i="5" s="1"/>
  <c r="AK412" i="5"/>
  <c r="AH412" i="5"/>
  <c r="AG412" i="5"/>
  <c r="AF412" i="5"/>
  <c r="AE412" i="5"/>
  <c r="AC412" i="5"/>
  <c r="AB412" i="5"/>
  <c r="AA412" i="5"/>
  <c r="Z412" i="5"/>
  <c r="X412" i="5"/>
  <c r="W412" i="5"/>
  <c r="V412" i="5"/>
  <c r="U412" i="5"/>
  <c r="S412" i="5"/>
  <c r="R412" i="5"/>
  <c r="Q412" i="5"/>
  <c r="P412" i="5"/>
  <c r="N412" i="5"/>
  <c r="M412" i="5"/>
  <c r="L412" i="5"/>
  <c r="K412" i="5"/>
  <c r="I412" i="5"/>
  <c r="H412" i="5"/>
  <c r="G412" i="5"/>
  <c r="E411" i="5"/>
  <c r="AY409" i="5"/>
  <c r="AY407" i="5"/>
  <c r="AY403" i="5"/>
  <c r="AY401" i="5"/>
  <c r="AY400" i="5"/>
  <c r="AT409" i="5"/>
  <c r="AT407" i="5"/>
  <c r="AT403" i="5"/>
  <c r="AT401" i="5"/>
  <c r="AT400" i="5"/>
  <c r="AO409" i="5"/>
  <c r="AO407" i="5"/>
  <c r="AO403" i="5"/>
  <c r="AO404" i="5" s="1"/>
  <c r="AO401" i="5"/>
  <c r="AO400" i="5"/>
  <c r="AJ409" i="5"/>
  <c r="Y409" i="5"/>
  <c r="Y407" i="5"/>
  <c r="Y403" i="5"/>
  <c r="Y401" i="5"/>
  <c r="Y399" i="5"/>
  <c r="Y395" i="5"/>
  <c r="Y394" i="5"/>
  <c r="Y393" i="5"/>
  <c r="T409" i="5"/>
  <c r="T407" i="5"/>
  <c r="T403" i="5"/>
  <c r="T401" i="5"/>
  <c r="T399" i="5"/>
  <c r="T395" i="5"/>
  <c r="T394" i="5"/>
  <c r="T393" i="5"/>
  <c r="O409" i="5"/>
  <c r="O407" i="5"/>
  <c r="O403" i="5"/>
  <c r="T404" i="5" s="1"/>
  <c r="O401" i="5"/>
  <c r="O399" i="5"/>
  <c r="O395" i="5"/>
  <c r="O394" i="5"/>
  <c r="O393" i="5"/>
  <c r="G409" i="5"/>
  <c r="J409" i="5" s="1"/>
  <c r="G407" i="5"/>
  <c r="J407" i="5" s="1"/>
  <c r="G403" i="5"/>
  <c r="G404" i="5" s="1"/>
  <c r="G401" i="5"/>
  <c r="L402" i="5" s="1"/>
  <c r="G399" i="5"/>
  <c r="G400" i="5" s="1"/>
  <c r="G395" i="5"/>
  <c r="J395" i="5" s="1"/>
  <c r="G394" i="5"/>
  <c r="J394" i="5" s="1"/>
  <c r="G393" i="5"/>
  <c r="E409" i="5"/>
  <c r="E407" i="5"/>
  <c r="AI407" i="5"/>
  <c r="AI403" i="5"/>
  <c r="AI401" i="5"/>
  <c r="AI399" i="5"/>
  <c r="AI395" i="5"/>
  <c r="AI394" i="5"/>
  <c r="AI393" i="5"/>
  <c r="AD407" i="5"/>
  <c r="AD403" i="5"/>
  <c r="AD404" i="5" s="1"/>
  <c r="AD401" i="5"/>
  <c r="AD402" i="5" s="1"/>
  <c r="AD399" i="5"/>
  <c r="AD395" i="5"/>
  <c r="AD394" i="5"/>
  <c r="AD393" i="5"/>
  <c r="F405" i="5"/>
  <c r="F408" i="5" s="1"/>
  <c r="D405" i="5"/>
  <c r="C405" i="5"/>
  <c r="C408" i="5" s="1"/>
  <c r="B405" i="5"/>
  <c r="AW405" i="5"/>
  <c r="AW408" i="5" s="1"/>
  <c r="AU405" i="5"/>
  <c r="AX404" i="5"/>
  <c r="AW404" i="5"/>
  <c r="AV404" i="5"/>
  <c r="AU404" i="5"/>
  <c r="AR405" i="5"/>
  <c r="AR408" i="5" s="1"/>
  <c r="AQ405" i="5"/>
  <c r="AQ33" i="5" s="1"/>
  <c r="AP405" i="5"/>
  <c r="AP33" i="5" s="1"/>
  <c r="AS404" i="5"/>
  <c r="AR404" i="5"/>
  <c r="AQ404" i="5"/>
  <c r="AP404" i="5"/>
  <c r="AM405" i="5"/>
  <c r="AM408" i="5" s="1"/>
  <c r="AL405" i="5"/>
  <c r="AL408" i="5" s="1"/>
  <c r="AK405" i="5"/>
  <c r="AJ405" i="5"/>
  <c r="AJ408" i="5" s="1"/>
  <c r="AM404" i="5"/>
  <c r="AL404" i="5"/>
  <c r="AK404" i="5"/>
  <c r="AJ404" i="5"/>
  <c r="AH405" i="5"/>
  <c r="AG405" i="5"/>
  <c r="AG33" i="5" s="1"/>
  <c r="AF405" i="5"/>
  <c r="AE405" i="5"/>
  <c r="AE408" i="5" s="1"/>
  <c r="AH404" i="5"/>
  <c r="AG404" i="5"/>
  <c r="AF404" i="5"/>
  <c r="AE404" i="5"/>
  <c r="AC405" i="5"/>
  <c r="AC33" i="5" s="1"/>
  <c r="AB405" i="5"/>
  <c r="AB33" i="5" s="1"/>
  <c r="AA405" i="5"/>
  <c r="AA408" i="5" s="1"/>
  <c r="Z405" i="5"/>
  <c r="Z408" i="5" s="1"/>
  <c r="AC404" i="5"/>
  <c r="AB404" i="5"/>
  <c r="AA404" i="5"/>
  <c r="Z404" i="5"/>
  <c r="X405" i="5"/>
  <c r="X408" i="5" s="1"/>
  <c r="W405" i="5"/>
  <c r="W408" i="5" s="1"/>
  <c r="V405" i="5"/>
  <c r="V408" i="5" s="1"/>
  <c r="U405" i="5"/>
  <c r="U408" i="5" s="1"/>
  <c r="X404" i="5"/>
  <c r="W404" i="5"/>
  <c r="V404" i="5"/>
  <c r="U404" i="5"/>
  <c r="S405" i="5"/>
  <c r="R405" i="5"/>
  <c r="R408" i="5" s="1"/>
  <c r="Q405" i="5"/>
  <c r="Q408" i="5" s="1"/>
  <c r="P405" i="5"/>
  <c r="S404" i="5"/>
  <c r="R404" i="5"/>
  <c r="Q404" i="5"/>
  <c r="P404" i="5"/>
  <c r="N405" i="5"/>
  <c r="N33" i="5" s="1"/>
  <c r="M405" i="5"/>
  <c r="L405" i="5"/>
  <c r="L33" i="5" s="1"/>
  <c r="K405" i="5"/>
  <c r="K408" i="5" s="1"/>
  <c r="N404" i="5"/>
  <c r="M404" i="5"/>
  <c r="K404" i="5"/>
  <c r="I405" i="5"/>
  <c r="H405" i="5"/>
  <c r="H33" i="5" s="1"/>
  <c r="I404" i="5"/>
  <c r="H404" i="5"/>
  <c r="E403" i="5"/>
  <c r="AX402" i="5"/>
  <c r="AW402" i="5"/>
  <c r="AV402" i="5"/>
  <c r="AU402" i="5"/>
  <c r="AS402" i="5"/>
  <c r="AR402" i="5"/>
  <c r="AQ402" i="5"/>
  <c r="AP402" i="5"/>
  <c r="AM402" i="5"/>
  <c r="AL402" i="5"/>
  <c r="AK402" i="5"/>
  <c r="AJ402" i="5"/>
  <c r="AH402" i="5"/>
  <c r="AG402" i="5"/>
  <c r="AF402" i="5"/>
  <c r="AE402" i="5"/>
  <c r="AC402" i="5"/>
  <c r="AB402" i="5"/>
  <c r="AA402" i="5"/>
  <c r="Z402" i="5"/>
  <c r="X402" i="5"/>
  <c r="W402" i="5"/>
  <c r="V402" i="5"/>
  <c r="U402" i="5"/>
  <c r="S402" i="5"/>
  <c r="R402" i="5"/>
  <c r="Q402" i="5"/>
  <c r="P402" i="5"/>
  <c r="N402" i="5"/>
  <c r="M402" i="5"/>
  <c r="K402" i="5"/>
  <c r="I402" i="5"/>
  <c r="H402" i="5"/>
  <c r="E401" i="5"/>
  <c r="AW400" i="5"/>
  <c r="AU400" i="5"/>
  <c r="AR400" i="5"/>
  <c r="AQ400" i="5"/>
  <c r="AP400" i="5"/>
  <c r="AM400" i="5"/>
  <c r="AL400" i="5"/>
  <c r="AK400" i="5"/>
  <c r="AJ400" i="5"/>
  <c r="AH400" i="5"/>
  <c r="AG400" i="5"/>
  <c r="AF400" i="5"/>
  <c r="AE400" i="5"/>
  <c r="AC400" i="5"/>
  <c r="AB400" i="5"/>
  <c r="AA400" i="5"/>
  <c r="Z400" i="5"/>
  <c r="X400" i="5"/>
  <c r="W400" i="5"/>
  <c r="V400" i="5"/>
  <c r="U400" i="5"/>
  <c r="S400" i="5"/>
  <c r="R400" i="5"/>
  <c r="Q400" i="5"/>
  <c r="P400" i="5"/>
  <c r="N400" i="5"/>
  <c r="M400" i="5"/>
  <c r="K400" i="5"/>
  <c r="I400" i="5"/>
  <c r="H400" i="5"/>
  <c r="AX395" i="5"/>
  <c r="AV399" i="5"/>
  <c r="AV400" i="5" s="1"/>
  <c r="AV396" i="5"/>
  <c r="AS399" i="5"/>
  <c r="AS395" i="5"/>
  <c r="AN399" i="5"/>
  <c r="AN417" i="5" s="1"/>
  <c r="AN395" i="5"/>
  <c r="E399" i="5"/>
  <c r="AY396" i="5"/>
  <c r="AY398" i="5" s="1"/>
  <c r="AW396" i="5"/>
  <c r="AW398" i="5" s="1"/>
  <c r="AU396" i="5"/>
  <c r="AT396" i="5"/>
  <c r="AT398" i="5" s="1"/>
  <c r="AR396" i="5"/>
  <c r="AR398" i="5" s="1"/>
  <c r="AQ396" i="5"/>
  <c r="AQ398" i="5" s="1"/>
  <c r="AP396" i="5"/>
  <c r="AO396" i="5"/>
  <c r="AO398" i="5" s="1"/>
  <c r="AM396" i="5"/>
  <c r="AL396" i="5"/>
  <c r="AK396" i="5"/>
  <c r="AK398" i="5" s="1"/>
  <c r="AJ396" i="5"/>
  <c r="AJ398" i="5" s="1"/>
  <c r="AH396" i="5"/>
  <c r="AG396" i="5"/>
  <c r="AG398" i="5" s="1"/>
  <c r="AF396" i="5"/>
  <c r="AE396" i="5"/>
  <c r="AC396" i="5"/>
  <c r="AB396" i="5"/>
  <c r="AB398" i="5" s="1"/>
  <c r="AA396" i="5"/>
  <c r="Z396" i="5"/>
  <c r="X396" i="5"/>
  <c r="X398" i="5" s="1"/>
  <c r="W396" i="5"/>
  <c r="W398" i="5" s="1"/>
  <c r="V396" i="5"/>
  <c r="V398" i="5" s="1"/>
  <c r="U396" i="5"/>
  <c r="S396" i="5"/>
  <c r="R396" i="5"/>
  <c r="Q396" i="5"/>
  <c r="Q398" i="5" s="1"/>
  <c r="P396" i="5"/>
  <c r="P398" i="5" s="1"/>
  <c r="N396" i="5"/>
  <c r="M396" i="5"/>
  <c r="M398" i="5" s="1"/>
  <c r="L396" i="5"/>
  <c r="L398" i="5" s="1"/>
  <c r="K396" i="5"/>
  <c r="K398" i="5" s="1"/>
  <c r="I396" i="5"/>
  <c r="I398" i="5" s="1"/>
  <c r="H396" i="5"/>
  <c r="F396" i="5"/>
  <c r="D396" i="5"/>
  <c r="D398" i="5" s="1"/>
  <c r="C396" i="5"/>
  <c r="C398" i="5" s="1"/>
  <c r="B396" i="5"/>
  <c r="B398" i="5" s="1"/>
  <c r="E395" i="5"/>
  <c r="E394" i="5"/>
  <c r="E393" i="5"/>
  <c r="AX393" i="5"/>
  <c r="AS393" i="5"/>
  <c r="AN393" i="5"/>
  <c r="Y390" i="5"/>
  <c r="T390" i="5"/>
  <c r="O390" i="5"/>
  <c r="J390" i="5"/>
  <c r="J389" i="5"/>
  <c r="E390" i="5"/>
  <c r="E389" i="5"/>
  <c r="AY389" i="5"/>
  <c r="AX389" i="5" s="1"/>
  <c r="AW389" i="5"/>
  <c r="AV389" i="5"/>
  <c r="AU389" i="5"/>
  <c r="AT389" i="5"/>
  <c r="AS389" i="5" s="1"/>
  <c r="AR389" i="5"/>
  <c r="AQ389" i="5"/>
  <c r="AP389" i="5"/>
  <c r="AO389" i="5"/>
  <c r="AN389" i="5" s="1"/>
  <c r="AM389" i="5"/>
  <c r="AL389" i="5"/>
  <c r="AK389" i="5"/>
  <c r="AJ389" i="5"/>
  <c r="AI389" i="5" s="1"/>
  <c r="AH389" i="5"/>
  <c r="AG389" i="5"/>
  <c r="AF389" i="5"/>
  <c r="AE389" i="5"/>
  <c r="AD389" i="5" s="1"/>
  <c r="AC389" i="5"/>
  <c r="AB389" i="5"/>
  <c r="AA389" i="5"/>
  <c r="Z389" i="5"/>
  <c r="Y389" i="5" s="1"/>
  <c r="W389" i="5"/>
  <c r="V389" i="5"/>
  <c r="U389" i="5"/>
  <c r="T389" i="5" s="1"/>
  <c r="P389" i="5"/>
  <c r="O389" i="5" s="1"/>
  <c r="AU379" i="5"/>
  <c r="AP379" i="5"/>
  <c r="AL379" i="5"/>
  <c r="AK379" i="5"/>
  <c r="AH379" i="5"/>
  <c r="AG379" i="5"/>
  <c r="AF379" i="5"/>
  <c r="AC379" i="5"/>
  <c r="AB379" i="5"/>
  <c r="AA379" i="5"/>
  <c r="X379" i="5"/>
  <c r="W379" i="5"/>
  <c r="V379" i="5"/>
  <c r="S379" i="5"/>
  <c r="R379" i="5"/>
  <c r="Q379" i="5"/>
  <c r="N379" i="5"/>
  <c r="M379" i="5"/>
  <c r="L379" i="5"/>
  <c r="AX376" i="5"/>
  <c r="AW376" i="5"/>
  <c r="AV376" i="5"/>
  <c r="AS376" i="5"/>
  <c r="AR376" i="5"/>
  <c r="AQ376" i="5"/>
  <c r="AX375" i="5"/>
  <c r="AW375" i="5"/>
  <c r="AV375" i="5"/>
  <c r="AU375" i="5"/>
  <c r="AS375" i="5"/>
  <c r="AR375" i="5"/>
  <c r="AQ375" i="5"/>
  <c r="AP375" i="5"/>
  <c r="AM375" i="5"/>
  <c r="AL375" i="5"/>
  <c r="AK375" i="5"/>
  <c r="AJ375" i="5"/>
  <c r="AH375" i="5"/>
  <c r="AG375" i="5"/>
  <c r="AF375" i="5"/>
  <c r="AE375" i="5"/>
  <c r="AC375" i="5"/>
  <c r="AB375" i="5"/>
  <c r="AA375" i="5"/>
  <c r="Z375" i="5"/>
  <c r="X375" i="5"/>
  <c r="W375" i="5"/>
  <c r="V375" i="5"/>
  <c r="U375" i="5"/>
  <c r="S375" i="5"/>
  <c r="R375" i="5"/>
  <c r="Q375" i="5"/>
  <c r="P375" i="5"/>
  <c r="N375" i="5"/>
  <c r="M375" i="5"/>
  <c r="I379" i="5"/>
  <c r="H379" i="5"/>
  <c r="K375" i="5"/>
  <c r="I375" i="5"/>
  <c r="H375" i="5"/>
  <c r="AY374" i="5"/>
  <c r="AT374" i="5"/>
  <c r="AO374" i="5"/>
  <c r="AO375" i="5" s="1"/>
  <c r="AO372" i="5"/>
  <c r="AI374" i="5"/>
  <c r="AN375" i="5" s="1"/>
  <c r="AI371" i="5"/>
  <c r="AI370" i="5"/>
  <c r="AI369" i="5"/>
  <c r="AI368" i="5"/>
  <c r="AI367" i="5"/>
  <c r="AD374" i="5"/>
  <c r="AD371" i="5"/>
  <c r="AD370" i="5"/>
  <c r="AD369" i="5"/>
  <c r="AD368" i="5"/>
  <c r="AD367" i="5"/>
  <c r="Y374" i="5"/>
  <c r="Y371" i="5"/>
  <c r="Y370" i="5"/>
  <c r="Y369" i="5"/>
  <c r="Y368" i="5"/>
  <c r="Y367" i="5"/>
  <c r="T374" i="5"/>
  <c r="T371" i="5"/>
  <c r="T370" i="5"/>
  <c r="T369" i="5"/>
  <c r="T368" i="5"/>
  <c r="T367" i="5"/>
  <c r="O374" i="5"/>
  <c r="O371" i="5"/>
  <c r="O370" i="5"/>
  <c r="O369" i="5"/>
  <c r="O368" i="5"/>
  <c r="O367" i="5"/>
  <c r="J371" i="5"/>
  <c r="J370" i="5"/>
  <c r="G374" i="5"/>
  <c r="B374" i="5"/>
  <c r="E374" i="5" s="1"/>
  <c r="AX373" i="5"/>
  <c r="AW373" i="5"/>
  <c r="AV373" i="5"/>
  <c r="AU372" i="5"/>
  <c r="AY372" i="5" s="1"/>
  <c r="AP372" i="5"/>
  <c r="AP376" i="5" s="1"/>
  <c r="AL372" i="5"/>
  <c r="AQ373" i="5" s="1"/>
  <c r="AK372" i="5"/>
  <c r="AK376" i="5" s="1"/>
  <c r="AJ372" i="5"/>
  <c r="AJ376" i="5" s="1"/>
  <c r="AH372" i="5"/>
  <c r="AH376" i="5" s="1"/>
  <c r="AG372" i="5"/>
  <c r="AG376" i="5" s="1"/>
  <c r="AF372" i="5"/>
  <c r="AE372" i="5"/>
  <c r="AC372" i="5"/>
  <c r="AC376" i="5" s="1"/>
  <c r="AB372" i="5"/>
  <c r="AA372" i="5"/>
  <c r="AA376" i="5" s="1"/>
  <c r="Z372" i="5"/>
  <c r="X372" i="5"/>
  <c r="X376" i="5" s="1"/>
  <c r="W372" i="5"/>
  <c r="V372" i="5"/>
  <c r="U372" i="5"/>
  <c r="S372" i="5"/>
  <c r="S376" i="5" s="1"/>
  <c r="R372" i="5"/>
  <c r="Q372" i="5"/>
  <c r="Q376" i="5" s="1"/>
  <c r="P372" i="5"/>
  <c r="N372" i="5"/>
  <c r="N376" i="5" s="1"/>
  <c r="M372" i="5"/>
  <c r="M376" i="5" s="1"/>
  <c r="L372" i="5"/>
  <c r="K372" i="5"/>
  <c r="I372" i="5"/>
  <c r="H372" i="5"/>
  <c r="H376" i="5" s="1"/>
  <c r="F372" i="5"/>
  <c r="F376" i="5" s="1"/>
  <c r="D372" i="5"/>
  <c r="D376" i="5" s="1"/>
  <c r="C372" i="5"/>
  <c r="B371" i="5"/>
  <c r="E371" i="5" s="1"/>
  <c r="B370" i="5"/>
  <c r="E370" i="5" s="1"/>
  <c r="B369" i="5"/>
  <c r="E369" i="5" s="1"/>
  <c r="B368" i="5"/>
  <c r="E368" i="5" s="1"/>
  <c r="B367" i="5"/>
  <c r="E367" i="5" s="1"/>
  <c r="AX370" i="5"/>
  <c r="AS370" i="5"/>
  <c r="AS369" i="5"/>
  <c r="AS368" i="5"/>
  <c r="AS367" i="5"/>
  <c r="AM370" i="5"/>
  <c r="AN369" i="5"/>
  <c r="AN368" i="5"/>
  <c r="AN367" i="5"/>
  <c r="G369" i="5"/>
  <c r="J369" i="5" s="1"/>
  <c r="G368" i="5"/>
  <c r="J368" i="5" s="1"/>
  <c r="G367" i="5"/>
  <c r="J367" i="5" s="1"/>
  <c r="AX368" i="5"/>
  <c r="AX367" i="5"/>
  <c r="F362" i="5"/>
  <c r="D362" i="5"/>
  <c r="C362" i="5"/>
  <c r="AX362" i="5"/>
  <c r="AW362" i="5"/>
  <c r="AV362" i="5"/>
  <c r="AU362" i="5"/>
  <c r="AS362" i="5"/>
  <c r="AR362" i="5"/>
  <c r="AQ362" i="5"/>
  <c r="AP362" i="5"/>
  <c r="AN362" i="5"/>
  <c r="AM362" i="5"/>
  <c r="AL362" i="5"/>
  <c r="AK362" i="5"/>
  <c r="AJ362" i="5"/>
  <c r="AH362" i="5"/>
  <c r="AG362" i="5"/>
  <c r="AF362" i="5"/>
  <c r="AE362" i="5"/>
  <c r="AC362" i="5"/>
  <c r="AB362" i="5"/>
  <c r="AA362" i="5"/>
  <c r="Z362" i="5"/>
  <c r="X362" i="5"/>
  <c r="W362" i="5"/>
  <c r="V362" i="5"/>
  <c r="U362" i="5"/>
  <c r="S362" i="5"/>
  <c r="R362" i="5"/>
  <c r="Q362" i="5"/>
  <c r="P362" i="5"/>
  <c r="N362" i="5"/>
  <c r="M362" i="5"/>
  <c r="L362" i="5"/>
  <c r="K362" i="5"/>
  <c r="I362" i="5"/>
  <c r="H362" i="5"/>
  <c r="AX355" i="5"/>
  <c r="AW355" i="5"/>
  <c r="AV355" i="5"/>
  <c r="AU355" i="5"/>
  <c r="AS355" i="5"/>
  <c r="AR355" i="5"/>
  <c r="AQ355" i="5"/>
  <c r="AP355" i="5"/>
  <c r="AM355" i="5"/>
  <c r="AL355" i="5"/>
  <c r="AK355" i="5"/>
  <c r="AJ355" i="5"/>
  <c r="AH355" i="5"/>
  <c r="AG355" i="5"/>
  <c r="AF355" i="5"/>
  <c r="AE355" i="5"/>
  <c r="AC355" i="5"/>
  <c r="AB355" i="5"/>
  <c r="AA355" i="5"/>
  <c r="Z355" i="5"/>
  <c r="X355" i="5"/>
  <c r="W355" i="5"/>
  <c r="V355" i="5"/>
  <c r="U355" i="5"/>
  <c r="S355" i="5"/>
  <c r="R355" i="5"/>
  <c r="Q355" i="5"/>
  <c r="P355" i="5"/>
  <c r="N355" i="5"/>
  <c r="M355" i="5"/>
  <c r="L355" i="5"/>
  <c r="K355" i="5"/>
  <c r="I355" i="5"/>
  <c r="H355" i="5"/>
  <c r="AY354" i="5"/>
  <c r="AY352" i="5"/>
  <c r="AT354" i="5"/>
  <c r="AT352" i="5"/>
  <c r="AO354" i="5"/>
  <c r="AO352" i="5"/>
  <c r="AI354" i="5"/>
  <c r="AN355" i="5" s="1"/>
  <c r="AI351" i="5"/>
  <c r="AI350" i="5"/>
  <c r="AI349" i="5"/>
  <c r="AI348" i="5"/>
  <c r="AI347" i="5"/>
  <c r="AD354" i="5"/>
  <c r="AD351" i="5"/>
  <c r="AD350" i="5"/>
  <c r="AD349" i="5"/>
  <c r="AD348" i="5"/>
  <c r="AD347" i="5"/>
  <c r="Y354" i="5"/>
  <c r="Y351" i="5"/>
  <c r="Y350" i="5"/>
  <c r="Y349" i="5"/>
  <c r="Y348" i="5"/>
  <c r="Y347" i="5"/>
  <c r="T354" i="5"/>
  <c r="T351" i="5"/>
  <c r="T350" i="5"/>
  <c r="T349" i="5"/>
  <c r="T348" i="5"/>
  <c r="T347" i="5"/>
  <c r="O354" i="5"/>
  <c r="O351" i="5"/>
  <c r="O350" i="5"/>
  <c r="O349" i="5"/>
  <c r="O348" i="5"/>
  <c r="O347" i="5"/>
  <c r="J354" i="5"/>
  <c r="J351" i="5"/>
  <c r="J350" i="5"/>
  <c r="J349" i="5"/>
  <c r="J348" i="5"/>
  <c r="J347" i="5"/>
  <c r="B354" i="5"/>
  <c r="G355" i="5" s="1"/>
  <c r="AW352" i="5"/>
  <c r="AW356" i="5" s="1"/>
  <c r="AV352" i="5"/>
  <c r="AV360" i="5" s="1"/>
  <c r="AU352" i="5"/>
  <c r="AU356" i="5" s="1"/>
  <c r="AR352" i="5"/>
  <c r="AR360" i="5" s="1"/>
  <c r="AQ352" i="5"/>
  <c r="AP352" i="5"/>
  <c r="AM352" i="5"/>
  <c r="AL352" i="5"/>
  <c r="AK352" i="5"/>
  <c r="AJ352" i="5"/>
  <c r="AJ356" i="5" s="1"/>
  <c r="AH352" i="5"/>
  <c r="AH356" i="5" s="1"/>
  <c r="AG352" i="5"/>
  <c r="AG356" i="5" s="1"/>
  <c r="AF352" i="5"/>
  <c r="AE352" i="5"/>
  <c r="AE356" i="5" s="1"/>
  <c r="AC352" i="5"/>
  <c r="AC356" i="5" s="1"/>
  <c r="AB352" i="5"/>
  <c r="AA352" i="5"/>
  <c r="Z352" i="5"/>
  <c r="X352" i="5"/>
  <c r="W352" i="5"/>
  <c r="W356" i="5" s="1"/>
  <c r="V352" i="5"/>
  <c r="V356" i="5" s="1"/>
  <c r="U352" i="5"/>
  <c r="U356" i="5" s="1"/>
  <c r="S352" i="5"/>
  <c r="R352" i="5"/>
  <c r="Q352" i="5"/>
  <c r="P352" i="5"/>
  <c r="N352" i="5"/>
  <c r="N356" i="5" s="1"/>
  <c r="M352" i="5"/>
  <c r="M356" i="5" s="1"/>
  <c r="L352" i="5"/>
  <c r="K352" i="5"/>
  <c r="K356" i="5" s="1"/>
  <c r="I352" i="5"/>
  <c r="H352" i="5"/>
  <c r="G352" i="5"/>
  <c r="G356" i="5" s="1"/>
  <c r="F352" i="5"/>
  <c r="F356" i="5" s="1"/>
  <c r="D352" i="5"/>
  <c r="C352" i="5"/>
  <c r="C356" i="5" s="1"/>
  <c r="B351" i="5"/>
  <c r="B350" i="5"/>
  <c r="E350" i="5" s="1"/>
  <c r="B349" i="5"/>
  <c r="E349" i="5" s="1"/>
  <c r="B348" i="5"/>
  <c r="E348" i="5" s="1"/>
  <c r="B347" i="5"/>
  <c r="E347" i="5" s="1"/>
  <c r="AX350" i="5"/>
  <c r="AS350" i="5"/>
  <c r="AS349" i="5"/>
  <c r="AS348" i="5"/>
  <c r="AS347" i="5"/>
  <c r="AN350" i="5"/>
  <c r="AN349" i="5"/>
  <c r="AN348" i="5"/>
  <c r="AN347" i="5"/>
  <c r="AX348" i="5"/>
  <c r="AX347" i="5"/>
  <c r="AY343" i="5"/>
  <c r="AY341" i="5"/>
  <c r="AY337" i="5"/>
  <c r="AY335" i="5"/>
  <c r="AY334" i="5"/>
  <c r="AT343" i="5"/>
  <c r="AT341" i="5"/>
  <c r="AT337" i="5"/>
  <c r="AT335" i="5"/>
  <c r="AT334" i="5"/>
  <c r="AO343" i="5"/>
  <c r="AO341" i="5"/>
  <c r="AO337" i="5"/>
  <c r="AO338" i="5" s="1"/>
  <c r="AO335" i="5"/>
  <c r="AO334" i="5"/>
  <c r="AI343" i="5"/>
  <c r="AI341" i="5"/>
  <c r="AI337" i="5"/>
  <c r="AN338" i="5" s="1"/>
  <c r="AI335" i="5"/>
  <c r="AN336" i="5" s="1"/>
  <c r="AI333" i="5"/>
  <c r="AI329" i="5"/>
  <c r="AI328" i="5"/>
  <c r="AD343" i="5"/>
  <c r="AD341" i="5"/>
  <c r="AD337" i="5"/>
  <c r="AD335" i="5"/>
  <c r="AD333" i="5"/>
  <c r="AD329" i="5"/>
  <c r="AD328" i="5"/>
  <c r="Y343" i="5"/>
  <c r="Y341" i="5"/>
  <c r="Y337" i="5"/>
  <c r="Y335" i="5"/>
  <c r="Y333" i="5"/>
  <c r="Y379" i="5" s="1"/>
  <c r="Y329" i="5"/>
  <c r="Y328" i="5"/>
  <c r="T343" i="5"/>
  <c r="T341" i="5"/>
  <c r="T337" i="5"/>
  <c r="T335" i="5"/>
  <c r="T333" i="5"/>
  <c r="T329" i="5"/>
  <c r="T328" i="5"/>
  <c r="O343" i="5"/>
  <c r="O341" i="5"/>
  <c r="O337" i="5"/>
  <c r="O335" i="5"/>
  <c r="O333" i="5"/>
  <c r="O379" i="5" s="1"/>
  <c r="O329" i="5"/>
  <c r="O328" i="5"/>
  <c r="G343" i="5"/>
  <c r="J343" i="5" s="1"/>
  <c r="G341" i="5"/>
  <c r="J341" i="5" s="1"/>
  <c r="G337" i="5"/>
  <c r="L338" i="5" s="1"/>
  <c r="G335" i="5"/>
  <c r="L336" i="5" s="1"/>
  <c r="G333" i="5"/>
  <c r="G379" i="5" s="1"/>
  <c r="G329" i="5"/>
  <c r="J329" i="5" s="1"/>
  <c r="G328" i="5"/>
  <c r="E343" i="5"/>
  <c r="E341" i="5"/>
  <c r="F339" i="5"/>
  <c r="F342" i="5" s="1"/>
  <c r="D339" i="5"/>
  <c r="C339" i="5"/>
  <c r="C342" i="5" s="1"/>
  <c r="B339" i="5"/>
  <c r="B342" i="5" s="1"/>
  <c r="AW339" i="5"/>
  <c r="AV339" i="5"/>
  <c r="AU339" i="5"/>
  <c r="AX338" i="5"/>
  <c r="AW338" i="5"/>
  <c r="AV338" i="5"/>
  <c r="AU338" i="5"/>
  <c r="AR339" i="5"/>
  <c r="AR32" i="5" s="1"/>
  <c r="AQ339" i="5"/>
  <c r="AQ32" i="5" s="1"/>
  <c r="AP339" i="5"/>
  <c r="AP342" i="5" s="1"/>
  <c r="AS338" i="5"/>
  <c r="AR338" i="5"/>
  <c r="AQ338" i="5"/>
  <c r="AP338" i="5"/>
  <c r="AM339" i="5"/>
  <c r="AL339" i="5"/>
  <c r="AL342" i="5" s="1"/>
  <c r="AK339" i="5"/>
  <c r="AJ339" i="5"/>
  <c r="AJ342" i="5" s="1"/>
  <c r="AM338" i="5"/>
  <c r="AL338" i="5"/>
  <c r="AK338" i="5"/>
  <c r="AJ338" i="5"/>
  <c r="AH339" i="5"/>
  <c r="AH32" i="5" s="1"/>
  <c r="AG339" i="5"/>
  <c r="AG32" i="5" s="1"/>
  <c r="AF339" i="5"/>
  <c r="AF342" i="5" s="1"/>
  <c r="AE339" i="5"/>
  <c r="AE342" i="5" s="1"/>
  <c r="AH338" i="5"/>
  <c r="AG338" i="5"/>
  <c r="AF338" i="5"/>
  <c r="AE338" i="5"/>
  <c r="AC339" i="5"/>
  <c r="AC32" i="5" s="1"/>
  <c r="AB339" i="5"/>
  <c r="AA339" i="5"/>
  <c r="AA32" i="5" s="1"/>
  <c r="Z339" i="5"/>
  <c r="AC338" i="5"/>
  <c r="AB338" i="5"/>
  <c r="AA338" i="5"/>
  <c r="Z338" i="5"/>
  <c r="X339" i="5"/>
  <c r="X32" i="5" s="1"/>
  <c r="W339" i="5"/>
  <c r="V339" i="5"/>
  <c r="U339" i="5"/>
  <c r="X338" i="5"/>
  <c r="W338" i="5"/>
  <c r="V338" i="5"/>
  <c r="U338" i="5"/>
  <c r="S339" i="5"/>
  <c r="S342" i="5" s="1"/>
  <c r="R339" i="5"/>
  <c r="Q339" i="5"/>
  <c r="P339" i="5"/>
  <c r="S338" i="5"/>
  <c r="R338" i="5"/>
  <c r="Q338" i="5"/>
  <c r="P338" i="5"/>
  <c r="N339" i="5"/>
  <c r="N342" i="5" s="1"/>
  <c r="M339" i="5"/>
  <c r="L339" i="5"/>
  <c r="K339" i="5"/>
  <c r="K342" i="5" s="1"/>
  <c r="N338" i="5"/>
  <c r="M338" i="5"/>
  <c r="K338" i="5"/>
  <c r="I339" i="5"/>
  <c r="H339" i="5"/>
  <c r="H32" i="5" s="1"/>
  <c r="I338" i="5"/>
  <c r="H338" i="5"/>
  <c r="E337" i="5"/>
  <c r="AX336" i="5"/>
  <c r="AW336" i="5"/>
  <c r="AV336" i="5"/>
  <c r="AU336" i="5"/>
  <c r="AS336" i="5"/>
  <c r="AR336" i="5"/>
  <c r="AQ336" i="5"/>
  <c r="AP336" i="5"/>
  <c r="AM336" i="5"/>
  <c r="AL336" i="5"/>
  <c r="AK336" i="5"/>
  <c r="AJ336" i="5"/>
  <c r="AH336" i="5"/>
  <c r="AG336" i="5"/>
  <c r="AF336" i="5"/>
  <c r="AE336" i="5"/>
  <c r="AC336" i="5"/>
  <c r="AB336" i="5"/>
  <c r="AA336" i="5"/>
  <c r="Z336" i="5"/>
  <c r="X336" i="5"/>
  <c r="W336" i="5"/>
  <c r="V336" i="5"/>
  <c r="U336" i="5"/>
  <c r="S336" i="5"/>
  <c r="R336" i="5"/>
  <c r="Q336" i="5"/>
  <c r="P336" i="5"/>
  <c r="N336" i="5"/>
  <c r="M336" i="5"/>
  <c r="K336" i="5"/>
  <c r="I336" i="5"/>
  <c r="H336" i="5"/>
  <c r="E335" i="5"/>
  <c r="AW334" i="5"/>
  <c r="AV334" i="5"/>
  <c r="AU334" i="5"/>
  <c r="AR334" i="5"/>
  <c r="AQ334" i="5"/>
  <c r="AP334" i="5"/>
  <c r="AM334" i="5"/>
  <c r="AL334" i="5"/>
  <c r="AK334" i="5"/>
  <c r="AJ334" i="5"/>
  <c r="AH334" i="5"/>
  <c r="AG334" i="5"/>
  <c r="AF334" i="5"/>
  <c r="AE334" i="5"/>
  <c r="AC334" i="5"/>
  <c r="AB334" i="5"/>
  <c r="AA334" i="5"/>
  <c r="Z334" i="5"/>
  <c r="X334" i="5"/>
  <c r="W334" i="5"/>
  <c r="V334" i="5"/>
  <c r="U334" i="5"/>
  <c r="S334" i="5"/>
  <c r="R334" i="5"/>
  <c r="Q334" i="5"/>
  <c r="P334" i="5"/>
  <c r="N334" i="5"/>
  <c r="M334" i="5"/>
  <c r="K334" i="5"/>
  <c r="I334" i="5"/>
  <c r="H334" i="5"/>
  <c r="AX333" i="5"/>
  <c r="AX339" i="5" s="1"/>
  <c r="AX329" i="5"/>
  <c r="AX328" i="5"/>
  <c r="AS333" i="5"/>
  <c r="AS339" i="5" s="1"/>
  <c r="AS342" i="5" s="1"/>
  <c r="AS329" i="5"/>
  <c r="AS328" i="5"/>
  <c r="AN333" i="5"/>
  <c r="AN339" i="5" s="1"/>
  <c r="AN329" i="5"/>
  <c r="AN328" i="5"/>
  <c r="E333" i="5"/>
  <c r="AY330" i="5"/>
  <c r="AY332" i="5" s="1"/>
  <c r="AW330" i="5"/>
  <c r="AW332" i="5" s="1"/>
  <c r="AV330" i="5"/>
  <c r="AV332" i="5" s="1"/>
  <c r="AU330" i="5"/>
  <c r="AT330" i="5"/>
  <c r="AR330" i="5"/>
  <c r="AQ330" i="5"/>
  <c r="AQ332" i="5" s="1"/>
  <c r="AP330" i="5"/>
  <c r="AO330" i="5"/>
  <c r="AO332" i="5" s="1"/>
  <c r="AM330" i="5"/>
  <c r="AL330" i="5"/>
  <c r="AK330" i="5"/>
  <c r="AK332" i="5" s="1"/>
  <c r="AJ330" i="5"/>
  <c r="AJ332" i="5" s="1"/>
  <c r="AH330" i="5"/>
  <c r="AH332" i="5" s="1"/>
  <c r="AG330" i="5"/>
  <c r="AG332" i="5" s="1"/>
  <c r="AF330" i="5"/>
  <c r="AE330" i="5"/>
  <c r="AC330" i="5"/>
  <c r="AB330" i="5"/>
  <c r="AA330" i="5"/>
  <c r="AA332" i="5" s="1"/>
  <c r="Z330" i="5"/>
  <c r="Z332" i="5" s="1"/>
  <c r="X330" i="5"/>
  <c r="X332" i="5" s="1"/>
  <c r="W330" i="5"/>
  <c r="W332" i="5" s="1"/>
  <c r="V330" i="5"/>
  <c r="V332" i="5" s="1"/>
  <c r="U330" i="5"/>
  <c r="S330" i="5"/>
  <c r="S332" i="5" s="1"/>
  <c r="R330" i="5"/>
  <c r="R332" i="5" s="1"/>
  <c r="Q330" i="5"/>
  <c r="Q332" i="5" s="1"/>
  <c r="P330" i="5"/>
  <c r="N330" i="5"/>
  <c r="N332" i="5" s="1"/>
  <c r="M330" i="5"/>
  <c r="L330" i="5"/>
  <c r="L332" i="5" s="1"/>
  <c r="K330" i="5"/>
  <c r="K332" i="5" s="1"/>
  <c r="I330" i="5"/>
  <c r="H330" i="5"/>
  <c r="H332" i="5" s="1"/>
  <c r="F330" i="5"/>
  <c r="F332" i="5" s="1"/>
  <c r="D330" i="5"/>
  <c r="D332" i="5" s="1"/>
  <c r="C330" i="5"/>
  <c r="C332" i="5" s="1"/>
  <c r="B330" i="5"/>
  <c r="B332" i="5" s="1"/>
  <c r="E329" i="5"/>
  <c r="E328" i="5"/>
  <c r="AT325" i="5"/>
  <c r="AT324" i="5"/>
  <c r="AT323" i="5"/>
  <c r="AT322" i="5"/>
  <c r="AO325" i="5"/>
  <c r="AO324" i="5"/>
  <c r="AO323" i="5"/>
  <c r="AO322" i="5"/>
  <c r="AJ325" i="5"/>
  <c r="AJ324" i="5"/>
  <c r="AJ323" i="5"/>
  <c r="AJ322" i="5"/>
  <c r="BI324" i="5"/>
  <c r="BI323" i="5"/>
  <c r="BI322" i="5"/>
  <c r="BD324" i="5"/>
  <c r="BD323" i="5"/>
  <c r="BD322" i="5"/>
  <c r="AY324" i="5"/>
  <c r="AY323" i="5"/>
  <c r="AY322" i="5"/>
  <c r="BI320" i="5"/>
  <c r="BI319" i="5"/>
  <c r="BI318" i="5"/>
  <c r="BI317" i="5"/>
  <c r="BI316" i="5"/>
  <c r="BD320" i="5"/>
  <c r="BD319" i="5"/>
  <c r="BD318" i="5"/>
  <c r="BD317" i="5"/>
  <c r="BD316" i="5"/>
  <c r="AY319" i="5"/>
  <c r="AY318" i="5"/>
  <c r="AY317" i="5"/>
  <c r="AY316" i="5"/>
  <c r="AT319" i="5"/>
  <c r="AT318" i="5"/>
  <c r="AT317" i="5"/>
  <c r="AT316" i="5"/>
  <c r="AO319" i="5"/>
  <c r="AO318" i="5"/>
  <c r="AO317" i="5"/>
  <c r="AO316" i="5"/>
  <c r="AJ319" i="5"/>
  <c r="AJ318" i="5"/>
  <c r="AJ317" i="5"/>
  <c r="AJ316" i="5"/>
  <c r="BI314" i="5"/>
  <c r="BI313" i="5"/>
  <c r="BI312" i="5"/>
  <c r="BI311" i="5"/>
  <c r="BD314" i="5"/>
  <c r="BD313" i="5"/>
  <c r="BD312" i="5"/>
  <c r="BD311" i="5"/>
  <c r="AY314" i="5"/>
  <c r="AY313" i="5"/>
  <c r="AY312" i="5"/>
  <c r="AY311" i="5"/>
  <c r="AT314" i="5"/>
  <c r="AT313" i="5"/>
  <c r="AT312" i="5"/>
  <c r="AT311" i="5"/>
  <c r="AO314" i="5"/>
  <c r="AO313" i="5"/>
  <c r="AO312" i="5"/>
  <c r="AO311" i="5"/>
  <c r="AJ314" i="5"/>
  <c r="AJ313" i="5"/>
  <c r="AJ312" i="5"/>
  <c r="AJ311" i="5"/>
  <c r="BD306" i="5"/>
  <c r="BD295" i="5"/>
  <c r="BB308" i="5"/>
  <c r="BA308" i="5"/>
  <c r="AZ308" i="5"/>
  <c r="AY308" i="5"/>
  <c r="AT308" i="5"/>
  <c r="AT306" i="5"/>
  <c r="AT302" i="5"/>
  <c r="AT300" i="5"/>
  <c r="AT299" i="5"/>
  <c r="AO308" i="5"/>
  <c r="AO306" i="5"/>
  <c r="AO302" i="5"/>
  <c r="AO303" i="5" s="1"/>
  <c r="AO300" i="5"/>
  <c r="AO299" i="5"/>
  <c r="AI308" i="5"/>
  <c r="AI306" i="5"/>
  <c r="AI302" i="5"/>
  <c r="AI300" i="5"/>
  <c r="AN301" i="5" s="1"/>
  <c r="AI298" i="5"/>
  <c r="AI294" i="5"/>
  <c r="AI293" i="5"/>
  <c r="AD308" i="5"/>
  <c r="AD306" i="5"/>
  <c r="AD302" i="5"/>
  <c r="AD300" i="5"/>
  <c r="AD298" i="5"/>
  <c r="AD294" i="5"/>
  <c r="AD293" i="5"/>
  <c r="Y308" i="5"/>
  <c r="Y306" i="5"/>
  <c r="Y302" i="5"/>
  <c r="Y300" i="5"/>
  <c r="Y298" i="5"/>
  <c r="Y294" i="5"/>
  <c r="Y293" i="5"/>
  <c r="T308" i="5"/>
  <c r="T306" i="5"/>
  <c r="T302" i="5"/>
  <c r="T300" i="5"/>
  <c r="T298" i="5"/>
  <c r="T294" i="5"/>
  <c r="T293" i="5"/>
  <c r="O308" i="5"/>
  <c r="O306" i="5"/>
  <c r="O302" i="5"/>
  <c r="O300" i="5"/>
  <c r="O298" i="5"/>
  <c r="O294" i="5"/>
  <c r="O293" i="5"/>
  <c r="G308" i="5"/>
  <c r="J308" i="5" s="1"/>
  <c r="F308" i="5"/>
  <c r="D308" i="5"/>
  <c r="C308" i="5"/>
  <c r="B308" i="5"/>
  <c r="BK308" i="5"/>
  <c r="BJ308" i="5"/>
  <c r="BH308" i="5"/>
  <c r="BG308" i="5"/>
  <c r="BF308" i="5"/>
  <c r="DB306" i="5"/>
  <c r="CW306" i="5"/>
  <c r="CR306" i="5"/>
  <c r="CM306" i="5"/>
  <c r="CH306" i="5"/>
  <c r="CC306" i="5"/>
  <c r="BX306" i="5"/>
  <c r="BS306" i="5"/>
  <c r="BN306" i="5"/>
  <c r="BI306" i="5"/>
  <c r="AY306" i="5"/>
  <c r="AY302" i="5"/>
  <c r="AY300" i="5"/>
  <c r="AY299" i="5"/>
  <c r="G306" i="5"/>
  <c r="J306" i="5" s="1"/>
  <c r="F306" i="5"/>
  <c r="D306" i="5"/>
  <c r="C306" i="5"/>
  <c r="B306" i="5"/>
  <c r="BJ303" i="5"/>
  <c r="BE304" i="5"/>
  <c r="BC304" i="5"/>
  <c r="BC31" i="5" s="1"/>
  <c r="BB304" i="5"/>
  <c r="BC303" i="5"/>
  <c r="BB303" i="5"/>
  <c r="BA303" i="5"/>
  <c r="AW304" i="5"/>
  <c r="AV304" i="5"/>
  <c r="AU304" i="5"/>
  <c r="AU307" i="5" s="1"/>
  <c r="AX303" i="5"/>
  <c r="AW303" i="5"/>
  <c r="AV303" i="5"/>
  <c r="AU303" i="5"/>
  <c r="AR304" i="5"/>
  <c r="AR31" i="5" s="1"/>
  <c r="AQ304" i="5"/>
  <c r="AP304" i="5"/>
  <c r="AP307" i="5" s="1"/>
  <c r="AS303" i="5"/>
  <c r="AR303" i="5"/>
  <c r="AQ303" i="5"/>
  <c r="AP303" i="5"/>
  <c r="AM304" i="5"/>
  <c r="AM307" i="5" s="1"/>
  <c r="AL304" i="5"/>
  <c r="AL31" i="5" s="1"/>
  <c r="AK304" i="5"/>
  <c r="AJ304" i="5"/>
  <c r="AJ307" i="5" s="1"/>
  <c r="AM303" i="5"/>
  <c r="AL303" i="5"/>
  <c r="AK303" i="5"/>
  <c r="AJ303" i="5"/>
  <c r="AH304" i="5"/>
  <c r="AG304" i="5"/>
  <c r="AG31" i="5" s="1"/>
  <c r="AF304" i="5"/>
  <c r="AE304" i="5"/>
  <c r="AE307" i="5" s="1"/>
  <c r="AH303" i="5"/>
  <c r="AG303" i="5"/>
  <c r="AF303" i="5"/>
  <c r="AE303" i="5"/>
  <c r="AC304" i="5"/>
  <c r="AB304" i="5"/>
  <c r="AA304" i="5"/>
  <c r="Z304" i="5"/>
  <c r="AC303" i="5"/>
  <c r="AB303" i="5"/>
  <c r="AA303" i="5"/>
  <c r="Z303" i="5"/>
  <c r="X304" i="5"/>
  <c r="X307" i="5" s="1"/>
  <c r="W304" i="5"/>
  <c r="W307" i="5" s="1"/>
  <c r="V304" i="5"/>
  <c r="U304" i="5"/>
  <c r="U307" i="5" s="1"/>
  <c r="X303" i="5"/>
  <c r="W303" i="5"/>
  <c r="V303" i="5"/>
  <c r="U303" i="5"/>
  <c r="S304" i="5"/>
  <c r="S307" i="5" s="1"/>
  <c r="R304" i="5"/>
  <c r="R31" i="5" s="1"/>
  <c r="Q304" i="5"/>
  <c r="Q31" i="5" s="1"/>
  <c r="P304" i="5"/>
  <c r="S303" i="5"/>
  <c r="R303" i="5"/>
  <c r="Q303" i="5"/>
  <c r="P303" i="5"/>
  <c r="N304" i="5"/>
  <c r="N31" i="5" s="1"/>
  <c r="M304" i="5"/>
  <c r="M31" i="5" s="1"/>
  <c r="L304" i="5"/>
  <c r="K304" i="5"/>
  <c r="K307" i="5" s="1"/>
  <c r="N303" i="5"/>
  <c r="M303" i="5"/>
  <c r="I304" i="5"/>
  <c r="I307" i="5" s="1"/>
  <c r="H304" i="5"/>
  <c r="AZ302" i="5"/>
  <c r="AZ303" i="5" s="1"/>
  <c r="AZ300" i="5"/>
  <c r="AZ298" i="5"/>
  <c r="BD298" i="5" s="1"/>
  <c r="BD299" i="5" s="1"/>
  <c r="G302" i="5"/>
  <c r="F302" i="5"/>
  <c r="K303" i="5" s="1"/>
  <c r="D302" i="5"/>
  <c r="C302" i="5"/>
  <c r="H303" i="5" s="1"/>
  <c r="B302" i="5"/>
  <c r="BC301" i="5"/>
  <c r="BB301" i="5"/>
  <c r="AX301" i="5"/>
  <c r="AW301" i="5"/>
  <c r="AV301" i="5"/>
  <c r="AU301" i="5"/>
  <c r="AS301" i="5"/>
  <c r="AR301" i="5"/>
  <c r="AQ301" i="5"/>
  <c r="AP301" i="5"/>
  <c r="AM301" i="5"/>
  <c r="AL301" i="5"/>
  <c r="AK301" i="5"/>
  <c r="AJ301" i="5"/>
  <c r="AH301" i="5"/>
  <c r="AG301" i="5"/>
  <c r="AF301" i="5"/>
  <c r="AE301" i="5"/>
  <c r="AC301" i="5"/>
  <c r="AB301" i="5"/>
  <c r="AA301" i="5"/>
  <c r="Z301" i="5"/>
  <c r="X301" i="5"/>
  <c r="W301" i="5"/>
  <c r="V301" i="5"/>
  <c r="U301" i="5"/>
  <c r="S301" i="5"/>
  <c r="R301" i="5"/>
  <c r="Q301" i="5"/>
  <c r="P301" i="5"/>
  <c r="N301" i="5"/>
  <c r="M301" i="5"/>
  <c r="BA300" i="5"/>
  <c r="BA301" i="5" s="1"/>
  <c r="BA299" i="5"/>
  <c r="G300" i="5"/>
  <c r="J300" i="5" s="1"/>
  <c r="F300" i="5"/>
  <c r="D300" i="5"/>
  <c r="I301" i="5" s="1"/>
  <c r="C300" i="5"/>
  <c r="H301" i="5" s="1"/>
  <c r="B300" i="5"/>
  <c r="BB299" i="5"/>
  <c r="AW299" i="5"/>
  <c r="AV299" i="5"/>
  <c r="AU299" i="5"/>
  <c r="AR299" i="5"/>
  <c r="AQ299" i="5"/>
  <c r="AP299" i="5"/>
  <c r="AM299" i="5"/>
  <c r="AL299" i="5"/>
  <c r="AK299" i="5"/>
  <c r="AJ299" i="5"/>
  <c r="AH299" i="5"/>
  <c r="AG299" i="5"/>
  <c r="AF299" i="5"/>
  <c r="AE299" i="5"/>
  <c r="AC299" i="5"/>
  <c r="AB299" i="5"/>
  <c r="AA299" i="5"/>
  <c r="Z299" i="5"/>
  <c r="X299" i="5"/>
  <c r="W299" i="5"/>
  <c r="V299" i="5"/>
  <c r="U299" i="5"/>
  <c r="S299" i="5"/>
  <c r="R299" i="5"/>
  <c r="Q299" i="5"/>
  <c r="P299" i="5"/>
  <c r="N299" i="5"/>
  <c r="M299" i="5"/>
  <c r="BK300" i="5"/>
  <c r="BJ300" i="5"/>
  <c r="BJ301" i="5" s="1"/>
  <c r="BK298" i="5"/>
  <c r="BJ298" i="5"/>
  <c r="AX298" i="5"/>
  <c r="AX294" i="5"/>
  <c r="AX293" i="5"/>
  <c r="AS298" i="5"/>
  <c r="AS304" i="5" s="1"/>
  <c r="AS294" i="5"/>
  <c r="AS293" i="5"/>
  <c r="AN298" i="5"/>
  <c r="AN294" i="5"/>
  <c r="AN293" i="5"/>
  <c r="G298" i="5"/>
  <c r="L299" i="5" s="1"/>
  <c r="F298" i="5"/>
  <c r="D298" i="5"/>
  <c r="I299" i="5" s="1"/>
  <c r="C298" i="5"/>
  <c r="B298" i="5"/>
  <c r="BE297" i="5"/>
  <c r="BE296" i="5"/>
  <c r="AY295" i="5"/>
  <c r="BJ296" i="5"/>
  <c r="BC297" i="5"/>
  <c r="BB297" i="5"/>
  <c r="BA297" i="5"/>
  <c r="AW295" i="5"/>
  <c r="AV295" i="5"/>
  <c r="AU295" i="5"/>
  <c r="AT295" i="5"/>
  <c r="AR295" i="5"/>
  <c r="AR297" i="5" s="1"/>
  <c r="AQ295" i="5"/>
  <c r="AP295" i="5"/>
  <c r="AO295" i="5"/>
  <c r="AM295" i="5"/>
  <c r="AL295" i="5"/>
  <c r="AL297" i="5" s="1"/>
  <c r="AK295" i="5"/>
  <c r="AK297" i="5" s="1"/>
  <c r="AJ295" i="5"/>
  <c r="AH295" i="5"/>
  <c r="AH297" i="5" s="1"/>
  <c r="AG295" i="5"/>
  <c r="AF295" i="5"/>
  <c r="AF297" i="5" s="1"/>
  <c r="AE295" i="5"/>
  <c r="AC295" i="5"/>
  <c r="AB295" i="5"/>
  <c r="AA295" i="5"/>
  <c r="Z295" i="5"/>
  <c r="Z297" i="5" s="1"/>
  <c r="X295" i="5"/>
  <c r="W295" i="5"/>
  <c r="W297" i="5" s="1"/>
  <c r="V295" i="5"/>
  <c r="V297" i="5" s="1"/>
  <c r="U295" i="5"/>
  <c r="U297" i="5" s="1"/>
  <c r="S295" i="5"/>
  <c r="S297" i="5" s="1"/>
  <c r="R295" i="5"/>
  <c r="R297" i="5" s="1"/>
  <c r="Q295" i="5"/>
  <c r="Q297" i="5" s="1"/>
  <c r="P295" i="5"/>
  <c r="N295" i="5"/>
  <c r="N297" i="5" s="1"/>
  <c r="M295" i="5"/>
  <c r="M297" i="5" s="1"/>
  <c r="L295" i="5"/>
  <c r="L297" i="5" s="1"/>
  <c r="K295" i="5"/>
  <c r="K297" i="5" s="1"/>
  <c r="I295" i="5"/>
  <c r="I297" i="5" s="1"/>
  <c r="H295" i="5"/>
  <c r="G294" i="5"/>
  <c r="J294" i="5" s="1"/>
  <c r="F294" i="5"/>
  <c r="D294" i="5"/>
  <c r="C294" i="5"/>
  <c r="B294" i="5"/>
  <c r="G293" i="5"/>
  <c r="F293" i="5"/>
  <c r="D293" i="5"/>
  <c r="C293" i="5"/>
  <c r="B293" i="5"/>
  <c r="E290" i="5"/>
  <c r="E288" i="5"/>
  <c r="E286" i="5"/>
  <c r="E285" i="5"/>
  <c r="E284" i="5"/>
  <c r="E281" i="5"/>
  <c r="E280" i="5"/>
  <c r="F287" i="5"/>
  <c r="F289" i="5" s="1"/>
  <c r="D287" i="5"/>
  <c r="D289" i="5" s="1"/>
  <c r="C287" i="5"/>
  <c r="C289" i="5" s="1"/>
  <c r="B287" i="5"/>
  <c r="B289" i="5" s="1"/>
  <c r="F282" i="5"/>
  <c r="F283" i="5" s="1"/>
  <c r="D282" i="5"/>
  <c r="D283" i="5" s="1"/>
  <c r="C282" i="5"/>
  <c r="C283" i="5" s="1"/>
  <c r="B282" i="5"/>
  <c r="B283" i="5" s="1"/>
  <c r="E276" i="5"/>
  <c r="E274" i="5"/>
  <c r="E272" i="5"/>
  <c r="E271" i="5"/>
  <c r="E270" i="5"/>
  <c r="E267" i="5"/>
  <c r="E266" i="5"/>
  <c r="F273" i="5"/>
  <c r="F275" i="5" s="1"/>
  <c r="D273" i="5"/>
  <c r="D275" i="5" s="1"/>
  <c r="C273" i="5"/>
  <c r="C275" i="5" s="1"/>
  <c r="B273" i="5"/>
  <c r="B275" i="5" s="1"/>
  <c r="F268" i="5"/>
  <c r="F269" i="5" s="1"/>
  <c r="D268" i="5"/>
  <c r="D269" i="5" s="1"/>
  <c r="C268" i="5"/>
  <c r="C269" i="5" s="1"/>
  <c r="B268" i="5"/>
  <c r="B269" i="5" s="1"/>
  <c r="E262" i="5"/>
  <c r="E260" i="5"/>
  <c r="E258" i="5"/>
  <c r="E257" i="5"/>
  <c r="E256" i="5"/>
  <c r="E253" i="5"/>
  <c r="E252" i="5"/>
  <c r="F259" i="5"/>
  <c r="F261" i="5" s="1"/>
  <c r="D259" i="5"/>
  <c r="D261" i="5" s="1"/>
  <c r="C259" i="5"/>
  <c r="C261" i="5" s="1"/>
  <c r="B259" i="5"/>
  <c r="B261" i="5" s="1"/>
  <c r="F254" i="5"/>
  <c r="F255" i="5" s="1"/>
  <c r="D254" i="5"/>
  <c r="D255" i="5" s="1"/>
  <c r="C254" i="5"/>
  <c r="C255" i="5" s="1"/>
  <c r="B254" i="5"/>
  <c r="B255" i="5" s="1"/>
  <c r="BR222" i="5"/>
  <c r="BT222" i="5" s="1"/>
  <c r="BU222" i="5" s="1"/>
  <c r="BV222" i="5" s="1"/>
  <c r="BW222" i="5" s="1"/>
  <c r="BY222" i="5" s="1"/>
  <c r="BZ222" i="5" s="1"/>
  <c r="CA222" i="5" s="1"/>
  <c r="CB222" i="5" s="1"/>
  <c r="CD222" i="5" s="1"/>
  <c r="CE222" i="5" s="1"/>
  <c r="CF222" i="5" s="1"/>
  <c r="CG222" i="5" s="1"/>
  <c r="CI222" i="5" s="1"/>
  <c r="CJ222" i="5" s="1"/>
  <c r="CK222" i="5" s="1"/>
  <c r="CL222" i="5" s="1"/>
  <c r="CN222" i="5" s="1"/>
  <c r="CO222" i="5" s="1"/>
  <c r="CP222" i="5" s="1"/>
  <c r="CQ222" i="5" s="1"/>
  <c r="CS222" i="5" s="1"/>
  <c r="CT222" i="5" s="1"/>
  <c r="CU222" i="5" s="1"/>
  <c r="CV222" i="5" s="1"/>
  <c r="CX222" i="5" s="1"/>
  <c r="CY222" i="5" s="1"/>
  <c r="CZ222" i="5" s="1"/>
  <c r="DA222" i="5" s="1"/>
  <c r="F219" i="5"/>
  <c r="BD216" i="5"/>
  <c r="BA216" i="5"/>
  <c r="BB216" i="5" s="1"/>
  <c r="AV216" i="5"/>
  <c r="AW216" i="5" s="1"/>
  <c r="AQ216" i="5"/>
  <c r="AR216" i="5" s="1"/>
  <c r="AS216" i="5" s="1"/>
  <c r="AL216" i="5"/>
  <c r="AM216" i="5" s="1"/>
  <c r="AN216" i="5" s="1"/>
  <c r="L216" i="5"/>
  <c r="M216" i="5" s="1"/>
  <c r="N216" i="5" s="1"/>
  <c r="CY216" i="5"/>
  <c r="CZ216" i="5" s="1"/>
  <c r="DA216" i="5" s="1"/>
  <c r="CY215" i="5"/>
  <c r="CZ215" i="5" s="1"/>
  <c r="DA215" i="5" s="1"/>
  <c r="CT216" i="5"/>
  <c r="CU216" i="5" s="1"/>
  <c r="CT215" i="5"/>
  <c r="CU215" i="5" s="1"/>
  <c r="CO216" i="5"/>
  <c r="CP216" i="5" s="1"/>
  <c r="CO215" i="5"/>
  <c r="CP215" i="5" s="1"/>
  <c r="CJ216" i="5"/>
  <c r="CK216" i="5" s="1"/>
  <c r="CL216" i="5" s="1"/>
  <c r="CJ215" i="5"/>
  <c r="CK215" i="5" s="1"/>
  <c r="CE216" i="5"/>
  <c r="CE215" i="5"/>
  <c r="CF215" i="5" s="1"/>
  <c r="BZ216" i="5"/>
  <c r="CA216" i="5" s="1"/>
  <c r="CB216" i="5" s="1"/>
  <c r="BZ215" i="5"/>
  <c r="CA215" i="5" s="1"/>
  <c r="CB215" i="5" s="1"/>
  <c r="BU216" i="5"/>
  <c r="BV216" i="5" s="1"/>
  <c r="BU215" i="5"/>
  <c r="BV215" i="5" s="1"/>
  <c r="BK216" i="5"/>
  <c r="BL216" i="5" s="1"/>
  <c r="BK215" i="5"/>
  <c r="BL215" i="5" s="1"/>
  <c r="BF216" i="5"/>
  <c r="BG216" i="5" s="1"/>
  <c r="BH216" i="5" s="1"/>
  <c r="BF215" i="5"/>
  <c r="BA215" i="5"/>
  <c r="AV215" i="5"/>
  <c r="AY215" i="5" s="1"/>
  <c r="AR215" i="5"/>
  <c r="AT215" i="5" s="1"/>
  <c r="AL215" i="5"/>
  <c r="AM215" i="5" s="1"/>
  <c r="AG216" i="5"/>
  <c r="AH216" i="5" s="1"/>
  <c r="AI216" i="5" s="1"/>
  <c r="AG215" i="5"/>
  <c r="AB216" i="5"/>
  <c r="AB215" i="5"/>
  <c r="W216" i="5"/>
  <c r="W215" i="5"/>
  <c r="X215" i="5" s="1"/>
  <c r="R216" i="5"/>
  <c r="S216" i="5" s="1"/>
  <c r="T216" i="5" s="1"/>
  <c r="R215" i="5"/>
  <c r="S215" i="5" s="1"/>
  <c r="M215" i="5"/>
  <c r="H216" i="5"/>
  <c r="H215" i="5"/>
  <c r="I215" i="5" s="1"/>
  <c r="J215" i="5" s="1"/>
  <c r="C216" i="5"/>
  <c r="D216" i="5" s="1"/>
  <c r="C215" i="5"/>
  <c r="D215" i="5" s="1"/>
  <c r="AJ214" i="5"/>
  <c r="AF214" i="5"/>
  <c r="V214" i="5"/>
  <c r="Q214" i="5"/>
  <c r="BD213" i="5"/>
  <c r="AZ213" i="5"/>
  <c r="BA213" i="5" s="1"/>
  <c r="BB213" i="5" s="1"/>
  <c r="AX213" i="5"/>
  <c r="AX208" i="5"/>
  <c r="AX207" i="5"/>
  <c r="AQ212" i="5"/>
  <c r="AR212" i="5" s="1"/>
  <c r="AS212" i="5" s="1"/>
  <c r="AQ211" i="5"/>
  <c r="AR211" i="5" s="1"/>
  <c r="AR453" i="5" s="1"/>
  <c r="AQ210" i="5"/>
  <c r="AR210" i="5" s="1"/>
  <c r="AQ209" i="5"/>
  <c r="AR209" i="5" s="1"/>
  <c r="AQ208" i="5"/>
  <c r="AR208" i="5" s="1"/>
  <c r="AS208" i="5" s="1"/>
  <c r="G213" i="5"/>
  <c r="G214" i="5" s="1"/>
  <c r="F213" i="5"/>
  <c r="F214" i="5" s="1"/>
  <c r="B213" i="5"/>
  <c r="C213" i="5" s="1"/>
  <c r="D213" i="5" s="1"/>
  <c r="AB212" i="5"/>
  <c r="AC212" i="5" s="1"/>
  <c r="AD212" i="5" s="1"/>
  <c r="AB211" i="5"/>
  <c r="AB453" i="5" s="1"/>
  <c r="AB210" i="5"/>
  <c r="AC210" i="5" s="1"/>
  <c r="AD210" i="5" s="1"/>
  <c r="AB209" i="5"/>
  <c r="AC209" i="5" s="1"/>
  <c r="AB208" i="5"/>
  <c r="AC208" i="5" s="1"/>
  <c r="AD208" i="5" s="1"/>
  <c r="AL212" i="5"/>
  <c r="AL211" i="5"/>
  <c r="AM211" i="5" s="1"/>
  <c r="AL210" i="5"/>
  <c r="AN210" i="5" s="1"/>
  <c r="AL209" i="5"/>
  <c r="AL208" i="5"/>
  <c r="AM208" i="5" s="1"/>
  <c r="AL207" i="5"/>
  <c r="AN207" i="5" s="1"/>
  <c r="AL206" i="5"/>
  <c r="AN206" i="5" s="1"/>
  <c r="AL204" i="5"/>
  <c r="AM204" i="5" s="1"/>
  <c r="BK212" i="5"/>
  <c r="BL212" i="5" s="1"/>
  <c r="BK211" i="5"/>
  <c r="BK210" i="5"/>
  <c r="BL210" i="5" s="1"/>
  <c r="BK209" i="5"/>
  <c r="BF212" i="5"/>
  <c r="BG212" i="5" s="1"/>
  <c r="BH212" i="5" s="1"/>
  <c r="BF211" i="5"/>
  <c r="BF210" i="5"/>
  <c r="BG210" i="5" s="1"/>
  <c r="BF209" i="5"/>
  <c r="BG209" i="5" s="1"/>
  <c r="BH209" i="5" s="1"/>
  <c r="BA212" i="5"/>
  <c r="BB212" i="5" s="1"/>
  <c r="BA211" i="5"/>
  <c r="BA453" i="5" s="1"/>
  <c r="BA210" i="5"/>
  <c r="BB210" i="5" s="1"/>
  <c r="BA209" i="5"/>
  <c r="BB209" i="5" s="1"/>
  <c r="BC209" i="5" s="1"/>
  <c r="AV212" i="5"/>
  <c r="AW212" i="5" s="1"/>
  <c r="AV211" i="5"/>
  <c r="AV453" i="5" s="1"/>
  <c r="AV210" i="5"/>
  <c r="AW210" i="5" s="1"/>
  <c r="AV209" i="5"/>
  <c r="AW209" i="5" s="1"/>
  <c r="AX209" i="5" s="1"/>
  <c r="DB208" i="5"/>
  <c r="DB207" i="5"/>
  <c r="DB206" i="5"/>
  <c r="DB204" i="5"/>
  <c r="CW208" i="5"/>
  <c r="CW207" i="5"/>
  <c r="CW206" i="5"/>
  <c r="CW204" i="5"/>
  <c r="CR208" i="5"/>
  <c r="CR207" i="5"/>
  <c r="CR206" i="5"/>
  <c r="CR204" i="5"/>
  <c r="CM208" i="5"/>
  <c r="CM207" i="5"/>
  <c r="CM206" i="5"/>
  <c r="CM204" i="5"/>
  <c r="CH208" i="5"/>
  <c r="CH207" i="5"/>
  <c r="CH206" i="5"/>
  <c r="CH204" i="5"/>
  <c r="CC208" i="5"/>
  <c r="CC207" i="5"/>
  <c r="CC206" i="5"/>
  <c r="CC204" i="5"/>
  <c r="BX208" i="5"/>
  <c r="BX207" i="5"/>
  <c r="BX206" i="5"/>
  <c r="BX204" i="5"/>
  <c r="BH208" i="5"/>
  <c r="BH207" i="5"/>
  <c r="BC208" i="5"/>
  <c r="BC207" i="5"/>
  <c r="AG212" i="5"/>
  <c r="AG211" i="5"/>
  <c r="AH211" i="5" s="1"/>
  <c r="AH453" i="5" s="1"/>
  <c r="AG210" i="5"/>
  <c r="AH210" i="5" s="1"/>
  <c r="AG209" i="5"/>
  <c r="AH209" i="5" s="1"/>
  <c r="AI209" i="5" s="1"/>
  <c r="AG208" i="5"/>
  <c r="AH208" i="5" s="1"/>
  <c r="AI208" i="5" s="1"/>
  <c r="AS207" i="5"/>
  <c r="AI207" i="5"/>
  <c r="AI206" i="5"/>
  <c r="AD207" i="5"/>
  <c r="BK206" i="5"/>
  <c r="BL206" i="5" s="1"/>
  <c r="BK205" i="5"/>
  <c r="AW206" i="5"/>
  <c r="AX206" i="5" s="1"/>
  <c r="R213" i="5"/>
  <c r="R212" i="5"/>
  <c r="S212" i="5" s="1"/>
  <c r="T212" i="5" s="1"/>
  <c r="R211" i="5"/>
  <c r="R210" i="5"/>
  <c r="S210" i="5" s="1"/>
  <c r="T210" i="5" s="1"/>
  <c r="R209" i="5"/>
  <c r="S209" i="5" s="1"/>
  <c r="T209" i="5" s="1"/>
  <c r="R208" i="5"/>
  <c r="S208" i="5" s="1"/>
  <c r="R207" i="5"/>
  <c r="S207" i="5" s="1"/>
  <c r="R206" i="5"/>
  <c r="S206" i="5" s="1"/>
  <c r="T206" i="5" s="1"/>
  <c r="M213" i="5"/>
  <c r="N213" i="5" s="1"/>
  <c r="M212" i="5"/>
  <c r="N212" i="5" s="1"/>
  <c r="O212" i="5" s="1"/>
  <c r="M211" i="5"/>
  <c r="N211" i="5" s="1"/>
  <c r="O211" i="5" s="1"/>
  <c r="O453" i="5" s="1"/>
  <c r="M210" i="5"/>
  <c r="N210" i="5" s="1"/>
  <c r="M209" i="5"/>
  <c r="N209" i="5" s="1"/>
  <c r="O209" i="5" s="1"/>
  <c r="M208" i="5"/>
  <c r="N208" i="5" s="1"/>
  <c r="M207" i="5"/>
  <c r="N207" i="5" s="1"/>
  <c r="O207" i="5" s="1"/>
  <c r="M206" i="5"/>
  <c r="N206" i="5" s="1"/>
  <c r="O206" i="5" s="1"/>
  <c r="H212" i="5"/>
  <c r="H211" i="5"/>
  <c r="H453" i="5" s="1"/>
  <c r="H210" i="5"/>
  <c r="I210" i="5" s="1"/>
  <c r="H209" i="5"/>
  <c r="I209" i="5" s="1"/>
  <c r="J209" i="5" s="1"/>
  <c r="H208" i="5"/>
  <c r="I208" i="5" s="1"/>
  <c r="J208" i="5" s="1"/>
  <c r="H207" i="5"/>
  <c r="H206" i="5"/>
  <c r="BD205" i="5"/>
  <c r="AY205" i="5"/>
  <c r="AY214" i="5" s="1"/>
  <c r="AV205" i="5"/>
  <c r="AT205" i="5"/>
  <c r="AP205" i="5"/>
  <c r="AQ205" i="5" s="1"/>
  <c r="AR205" i="5" s="1"/>
  <c r="AO205" i="5"/>
  <c r="AO214" i="5" s="1"/>
  <c r="AK205" i="5"/>
  <c r="AK214" i="5" s="1"/>
  <c r="AE205" i="5"/>
  <c r="AE204" i="5"/>
  <c r="AA205" i="5"/>
  <c r="AB205" i="5" s="1"/>
  <c r="AC205" i="5" s="1"/>
  <c r="AA204" i="5"/>
  <c r="AB204" i="5" s="1"/>
  <c r="AC204" i="5" s="1"/>
  <c r="W213" i="5"/>
  <c r="W212" i="5"/>
  <c r="X212" i="5" s="1"/>
  <c r="Y212" i="5" s="1"/>
  <c r="W211" i="5"/>
  <c r="X211" i="5" s="1"/>
  <c r="X453" i="5" s="1"/>
  <c r="W210" i="5"/>
  <c r="X210" i="5" s="1"/>
  <c r="W209" i="5"/>
  <c r="X209" i="5" s="1"/>
  <c r="Y209" i="5" s="1"/>
  <c r="W208" i="5"/>
  <c r="X208" i="5" s="1"/>
  <c r="W207" i="5"/>
  <c r="X207" i="5" s="1"/>
  <c r="Y207" i="5" s="1"/>
  <c r="W206" i="5"/>
  <c r="W205" i="5"/>
  <c r="X205" i="5" s="1"/>
  <c r="Y205" i="5" s="1"/>
  <c r="U205" i="5"/>
  <c r="R205" i="5"/>
  <c r="S205" i="5" s="1"/>
  <c r="K205" i="5"/>
  <c r="H205" i="5"/>
  <c r="I205" i="5" s="1"/>
  <c r="BJ204" i="5"/>
  <c r="BI204" i="5"/>
  <c r="BI214" i="5" s="1"/>
  <c r="BF206" i="5"/>
  <c r="BG206" i="5" s="1"/>
  <c r="BH206" i="5" s="1"/>
  <c r="BF205" i="5"/>
  <c r="BE204" i="5"/>
  <c r="BF204" i="5" s="1"/>
  <c r="BA206" i="5"/>
  <c r="BB206" i="5" s="1"/>
  <c r="BA205" i="5"/>
  <c r="AZ204" i="5"/>
  <c r="AU204" i="5"/>
  <c r="AV204" i="5" s="1"/>
  <c r="AW204" i="5" s="1"/>
  <c r="AQ206" i="5"/>
  <c r="AQ204" i="5"/>
  <c r="AR204" i="5" s="1"/>
  <c r="AG205" i="5"/>
  <c r="AG204" i="5"/>
  <c r="AH204" i="5" s="1"/>
  <c r="AB206" i="5"/>
  <c r="AC206" i="5" s="1"/>
  <c r="Z204" i="5"/>
  <c r="Z214" i="5" s="1"/>
  <c r="W204" i="5"/>
  <c r="R204" i="5"/>
  <c r="S204" i="5" s="1"/>
  <c r="P205" i="5"/>
  <c r="M205" i="5"/>
  <c r="N205" i="5" s="1"/>
  <c r="P204" i="5"/>
  <c r="L204" i="5"/>
  <c r="L214" i="5" s="1"/>
  <c r="K204" i="5"/>
  <c r="H204" i="5"/>
  <c r="I204" i="5" s="1"/>
  <c r="C212" i="5"/>
  <c r="D212" i="5" s="1"/>
  <c r="C211" i="5"/>
  <c r="C210" i="5"/>
  <c r="D210" i="5" s="1"/>
  <c r="E210" i="5" s="1"/>
  <c r="C209" i="5"/>
  <c r="D209" i="5" s="1"/>
  <c r="C208" i="5"/>
  <c r="D208" i="5" s="1"/>
  <c r="E208" i="5" s="1"/>
  <c r="C207" i="5"/>
  <c r="C206" i="5"/>
  <c r="D206" i="5" s="1"/>
  <c r="C205" i="5"/>
  <c r="D205" i="5" s="1"/>
  <c r="E205" i="5" s="1"/>
  <c r="C204" i="5"/>
  <c r="D204" i="5" s="1"/>
  <c r="BE201" i="5"/>
  <c r="AF201" i="5"/>
  <c r="AE201" i="5"/>
  <c r="AA201" i="5"/>
  <c r="Z201" i="5"/>
  <c r="V201" i="5"/>
  <c r="U201" i="5"/>
  <c r="Q201" i="5"/>
  <c r="P201" i="5"/>
  <c r="L201" i="5"/>
  <c r="K201" i="5"/>
  <c r="G201" i="5"/>
  <c r="F201" i="5"/>
  <c r="B201" i="5"/>
  <c r="DB200" i="5"/>
  <c r="DB199" i="5"/>
  <c r="DB198" i="5"/>
  <c r="DB197" i="5"/>
  <c r="DB196" i="5"/>
  <c r="DB195" i="5"/>
  <c r="DB194" i="5"/>
  <c r="DB191" i="5"/>
  <c r="DB190" i="5"/>
  <c r="CW200" i="5"/>
  <c r="CW199" i="5"/>
  <c r="CW198" i="5"/>
  <c r="CW197" i="5"/>
  <c r="CW196" i="5"/>
  <c r="CW195" i="5"/>
  <c r="CW194" i="5"/>
  <c r="CW191" i="5"/>
  <c r="CW190" i="5"/>
  <c r="CR200" i="5"/>
  <c r="CR199" i="5"/>
  <c r="CR198" i="5"/>
  <c r="CR197" i="5"/>
  <c r="CR196" i="5"/>
  <c r="CR195" i="5"/>
  <c r="CR194" i="5"/>
  <c r="CR191" i="5"/>
  <c r="CR190" i="5"/>
  <c r="CM200" i="5"/>
  <c r="CM199" i="5"/>
  <c r="CM198" i="5"/>
  <c r="CM197" i="5"/>
  <c r="CM196" i="5"/>
  <c r="CM195" i="5"/>
  <c r="CM194" i="5"/>
  <c r="CM191" i="5"/>
  <c r="CM190" i="5"/>
  <c r="CH200" i="5"/>
  <c r="CH199" i="5"/>
  <c r="CH198" i="5"/>
  <c r="CH197" i="5"/>
  <c r="CH196" i="5"/>
  <c r="CH195" i="5"/>
  <c r="CH194" i="5"/>
  <c r="CH191" i="5"/>
  <c r="CH190" i="5"/>
  <c r="CC200" i="5"/>
  <c r="CC199" i="5"/>
  <c r="CC198" i="5"/>
  <c r="CC197" i="5"/>
  <c r="CC196" i="5"/>
  <c r="CC195" i="5"/>
  <c r="CC194" i="5"/>
  <c r="CC191" i="5"/>
  <c r="CC190" i="5"/>
  <c r="BX200" i="5"/>
  <c r="BX199" i="5"/>
  <c r="BX198" i="5"/>
  <c r="BX197" i="5"/>
  <c r="BX196" i="5"/>
  <c r="BX195" i="5"/>
  <c r="BX194" i="5"/>
  <c r="BX191" i="5"/>
  <c r="BX190" i="5"/>
  <c r="BJ200" i="5"/>
  <c r="BI200" i="5"/>
  <c r="BI201" i="5" s="1"/>
  <c r="BF200" i="5"/>
  <c r="BG200" i="5" s="1"/>
  <c r="BC200" i="5"/>
  <c r="BC199" i="5"/>
  <c r="BC198" i="5"/>
  <c r="BC197" i="5"/>
  <c r="BC196" i="5"/>
  <c r="BC194" i="5"/>
  <c r="AX200" i="5"/>
  <c r="AX199" i="5"/>
  <c r="AX198" i="5"/>
  <c r="AX197" i="5"/>
  <c r="AX196" i="5"/>
  <c r="AX194" i="5"/>
  <c r="AQ200" i="5"/>
  <c r="AR200" i="5" s="1"/>
  <c r="AS200" i="5" s="1"/>
  <c r="AN200" i="5"/>
  <c r="AN199" i="5"/>
  <c r="AN198" i="5"/>
  <c r="AN197" i="5"/>
  <c r="AN196" i="5"/>
  <c r="AN194" i="5"/>
  <c r="AN191" i="5"/>
  <c r="AI200" i="5"/>
  <c r="AI199" i="5"/>
  <c r="AI198" i="5"/>
  <c r="AI197" i="5"/>
  <c r="AI194" i="5"/>
  <c r="AI191" i="5"/>
  <c r="AD200" i="5"/>
  <c r="AD199" i="5"/>
  <c r="AD198" i="5"/>
  <c r="AD197" i="5"/>
  <c r="AD194" i="5"/>
  <c r="AD191" i="5"/>
  <c r="BH199" i="5"/>
  <c r="BH198" i="5"/>
  <c r="BH197" i="5"/>
  <c r="BH196" i="5"/>
  <c r="BH194" i="5"/>
  <c r="BH191" i="5"/>
  <c r="BH190" i="5"/>
  <c r="AS199" i="5"/>
  <c r="AS198" i="5"/>
  <c r="AS197" i="5"/>
  <c r="AS196" i="5"/>
  <c r="AS191" i="5"/>
  <c r="AH196" i="5"/>
  <c r="AI196" i="5" s="1"/>
  <c r="AC196" i="5"/>
  <c r="AD196" i="5" s="1"/>
  <c r="BK195" i="5"/>
  <c r="BF195" i="5"/>
  <c r="BG195" i="5" s="1"/>
  <c r="BA195" i="5"/>
  <c r="BB195" i="5" s="1"/>
  <c r="BC195" i="5" s="1"/>
  <c r="AV195" i="5"/>
  <c r="AW195" i="5" s="1"/>
  <c r="AX195" i="5" s="1"/>
  <c r="AL195" i="5"/>
  <c r="AG195" i="5"/>
  <c r="AH195" i="5" s="1"/>
  <c r="AI195" i="5" s="1"/>
  <c r="AB195" i="5"/>
  <c r="BK192" i="5"/>
  <c r="BF192" i="5"/>
  <c r="AV192" i="5"/>
  <c r="AW192" i="5" s="1"/>
  <c r="AX192" i="5" s="1"/>
  <c r="AQ195" i="5"/>
  <c r="AR195" i="5" s="1"/>
  <c r="AQ194" i="5"/>
  <c r="AR194" i="5" s="1"/>
  <c r="AS194" i="5" s="1"/>
  <c r="AQ192" i="5"/>
  <c r="AR192" i="5" s="1"/>
  <c r="AS192" i="5" s="1"/>
  <c r="AL192" i="5"/>
  <c r="AG192" i="5"/>
  <c r="AH192" i="5" s="1"/>
  <c r="AI192" i="5" s="1"/>
  <c r="AB192" i="5"/>
  <c r="AC192" i="5" s="1"/>
  <c r="AW191" i="5"/>
  <c r="AX191" i="5" s="1"/>
  <c r="BD190" i="5"/>
  <c r="BD201" i="5" s="1"/>
  <c r="BA192" i="5"/>
  <c r="BA191" i="5"/>
  <c r="BB191" i="5" s="1"/>
  <c r="BC191" i="5" s="1"/>
  <c r="AZ190" i="5"/>
  <c r="BA190" i="5" s="1"/>
  <c r="BB190" i="5" s="1"/>
  <c r="AY190" i="5"/>
  <c r="AY201" i="5" s="1"/>
  <c r="AU190" i="5"/>
  <c r="AV190" i="5" s="1"/>
  <c r="AW190" i="5" s="1"/>
  <c r="AT190" i="5"/>
  <c r="AT201" i="5" s="1"/>
  <c r="AP190" i="5"/>
  <c r="AP201" i="5" s="1"/>
  <c r="AO190" i="5"/>
  <c r="AO201" i="5" s="1"/>
  <c r="AK190" i="5"/>
  <c r="AJ190" i="5"/>
  <c r="AJ201" i="5" s="1"/>
  <c r="AG190" i="5"/>
  <c r="AB190" i="5"/>
  <c r="AC190" i="5" s="1"/>
  <c r="AD190" i="5" s="1"/>
  <c r="W200" i="5"/>
  <c r="X200" i="5" s="1"/>
  <c r="W199" i="5"/>
  <c r="X199" i="5" s="1"/>
  <c r="Y199" i="5" s="1"/>
  <c r="W198" i="5"/>
  <c r="X198" i="5" s="1"/>
  <c r="W197" i="5"/>
  <c r="X197" i="5" s="1"/>
  <c r="Y197" i="5" s="1"/>
  <c r="W196" i="5"/>
  <c r="X196" i="5" s="1"/>
  <c r="Y196" i="5" s="1"/>
  <c r="W195" i="5"/>
  <c r="X195" i="5" s="1"/>
  <c r="Y195" i="5" s="1"/>
  <c r="W194" i="5"/>
  <c r="X194" i="5" s="1"/>
  <c r="W192" i="5"/>
  <c r="X192" i="5" s="1"/>
  <c r="Y192" i="5" s="1"/>
  <c r="W191" i="5"/>
  <c r="X191" i="5" s="1"/>
  <c r="W190" i="5"/>
  <c r="X190" i="5" s="1"/>
  <c r="Y190" i="5" s="1"/>
  <c r="R200" i="5"/>
  <c r="S200" i="5" s="1"/>
  <c r="T200" i="5" s="1"/>
  <c r="R199" i="5"/>
  <c r="S199" i="5" s="1"/>
  <c r="T199" i="5" s="1"/>
  <c r="R198" i="5"/>
  <c r="S198" i="5" s="1"/>
  <c r="R197" i="5"/>
  <c r="S197" i="5" s="1"/>
  <c r="T197" i="5" s="1"/>
  <c r="R196" i="5"/>
  <c r="R195" i="5"/>
  <c r="S195" i="5" s="1"/>
  <c r="R194" i="5"/>
  <c r="R192" i="5"/>
  <c r="S192" i="5" s="1"/>
  <c r="R191" i="5"/>
  <c r="S191" i="5" s="1"/>
  <c r="T191" i="5" s="1"/>
  <c r="R190" i="5"/>
  <c r="S190" i="5" s="1"/>
  <c r="M200" i="5"/>
  <c r="N200" i="5" s="1"/>
  <c r="O200" i="5" s="1"/>
  <c r="M199" i="5"/>
  <c r="N199" i="5" s="1"/>
  <c r="M198" i="5"/>
  <c r="N198" i="5" s="1"/>
  <c r="O198" i="5" s="1"/>
  <c r="M197" i="5"/>
  <c r="M196" i="5"/>
  <c r="N196" i="5" s="1"/>
  <c r="O196" i="5" s="1"/>
  <c r="M195" i="5"/>
  <c r="M194" i="5"/>
  <c r="M192" i="5"/>
  <c r="N192" i="5" s="1"/>
  <c r="M191" i="5"/>
  <c r="N191" i="5" s="1"/>
  <c r="O191" i="5" s="1"/>
  <c r="M190" i="5"/>
  <c r="H200" i="5"/>
  <c r="I200" i="5" s="1"/>
  <c r="H199" i="5"/>
  <c r="I199" i="5" s="1"/>
  <c r="J199" i="5" s="1"/>
  <c r="H198" i="5"/>
  <c r="I198" i="5" s="1"/>
  <c r="H197" i="5"/>
  <c r="I197" i="5" s="1"/>
  <c r="J197" i="5" s="1"/>
  <c r="H196" i="5"/>
  <c r="I196" i="5" s="1"/>
  <c r="J196" i="5" s="1"/>
  <c r="H195" i="5"/>
  <c r="I195" i="5" s="1"/>
  <c r="H194" i="5"/>
  <c r="I194" i="5" s="1"/>
  <c r="J194" i="5" s="1"/>
  <c r="H192" i="5"/>
  <c r="I192" i="5" s="1"/>
  <c r="H191" i="5"/>
  <c r="H190" i="5"/>
  <c r="I190" i="5" s="1"/>
  <c r="J190" i="5" s="1"/>
  <c r="C200" i="5"/>
  <c r="D200" i="5" s="1"/>
  <c r="C199" i="5"/>
  <c r="D199" i="5" s="1"/>
  <c r="C198" i="5"/>
  <c r="D198" i="5" s="1"/>
  <c r="C197" i="5"/>
  <c r="D197" i="5" s="1"/>
  <c r="C196" i="5"/>
  <c r="D196" i="5" s="1"/>
  <c r="E196" i="5" s="1"/>
  <c r="C195" i="5"/>
  <c r="D195" i="5" s="1"/>
  <c r="E195" i="5" s="1"/>
  <c r="C194" i="5"/>
  <c r="D194" i="5" s="1"/>
  <c r="E194" i="5" s="1"/>
  <c r="C192" i="5"/>
  <c r="D192" i="5" s="1"/>
  <c r="C191" i="5"/>
  <c r="C190" i="5"/>
  <c r="BJ186" i="5"/>
  <c r="BE186" i="5"/>
  <c r="BF186" i="5" s="1"/>
  <c r="BG186" i="5" s="1"/>
  <c r="BH186" i="5" s="1"/>
  <c r="BD186" i="5"/>
  <c r="BD175" i="5" s="1"/>
  <c r="AZ186" i="5"/>
  <c r="AZ175" i="5" s="1"/>
  <c r="AY186" i="5"/>
  <c r="AY175" i="5" s="1"/>
  <c r="AV186" i="5"/>
  <c r="AW186" i="5" s="1"/>
  <c r="AQ186" i="5"/>
  <c r="AR186" i="5" s="1"/>
  <c r="AS186" i="5" s="1"/>
  <c r="AL186" i="5"/>
  <c r="AG186" i="5"/>
  <c r="AH186" i="5" s="1"/>
  <c r="AI186" i="5" s="1"/>
  <c r="AB186" i="5"/>
  <c r="L186" i="5"/>
  <c r="L175" i="5" s="1"/>
  <c r="K186" i="5"/>
  <c r="K175" i="5" s="1"/>
  <c r="G186" i="5"/>
  <c r="G175" i="5" s="1"/>
  <c r="F186" i="5"/>
  <c r="B186" i="5"/>
  <c r="C186" i="5" s="1"/>
  <c r="D186" i="5" s="1"/>
  <c r="DB185" i="5"/>
  <c r="DB184" i="5"/>
  <c r="DB183" i="5"/>
  <c r="DB182" i="5"/>
  <c r="DB181" i="5"/>
  <c r="DB180" i="5"/>
  <c r="DB179" i="5"/>
  <c r="DB178" i="5"/>
  <c r="DB177" i="5"/>
  <c r="DB176" i="5"/>
  <c r="DB173" i="5"/>
  <c r="CW185" i="5"/>
  <c r="CW184" i="5"/>
  <c r="CW183" i="5"/>
  <c r="CW182" i="5"/>
  <c r="CW181" i="5"/>
  <c r="CW180" i="5"/>
  <c r="CW179" i="5"/>
  <c r="CW178" i="5"/>
  <c r="CW177" i="5"/>
  <c r="CW176" i="5"/>
  <c r="CW173" i="5"/>
  <c r="CR185" i="5"/>
  <c r="CR184" i="5"/>
  <c r="CR183" i="5"/>
  <c r="CR182" i="5"/>
  <c r="CR181" i="5"/>
  <c r="CR180" i="5"/>
  <c r="CR179" i="5"/>
  <c r="CR178" i="5"/>
  <c r="CR177" i="5"/>
  <c r="CR176" i="5"/>
  <c r="CR173" i="5"/>
  <c r="CM185" i="5"/>
  <c r="CM184" i="5"/>
  <c r="CM183" i="5"/>
  <c r="CM182" i="5"/>
  <c r="CM181" i="5"/>
  <c r="CM180" i="5"/>
  <c r="CM179" i="5"/>
  <c r="CM178" i="5"/>
  <c r="CM177" i="5"/>
  <c r="CM176" i="5"/>
  <c r="CM173" i="5"/>
  <c r="CH185" i="5"/>
  <c r="CH184" i="5"/>
  <c r="CH183" i="5"/>
  <c r="CH182" i="5"/>
  <c r="CH181" i="5"/>
  <c r="CH180" i="5"/>
  <c r="CH179" i="5"/>
  <c r="CH178" i="5"/>
  <c r="CH177" i="5"/>
  <c r="CH176" i="5"/>
  <c r="CH173" i="5"/>
  <c r="CC185" i="5"/>
  <c r="CC184" i="5"/>
  <c r="CC183" i="5"/>
  <c r="CC182" i="5"/>
  <c r="CC181" i="5"/>
  <c r="CC180" i="5"/>
  <c r="CC179" i="5"/>
  <c r="CC178" i="5"/>
  <c r="CC177" i="5"/>
  <c r="CC176" i="5"/>
  <c r="CC173" i="5"/>
  <c r="BX185" i="5"/>
  <c r="BX184" i="5"/>
  <c r="BX183" i="5"/>
  <c r="BX182" i="5"/>
  <c r="BX181" i="5"/>
  <c r="BX180" i="5"/>
  <c r="BX179" i="5"/>
  <c r="BX178" i="5"/>
  <c r="BX177" i="5"/>
  <c r="BX176" i="5"/>
  <c r="BX173" i="5"/>
  <c r="BH185" i="5"/>
  <c r="BH184" i="5"/>
  <c r="BH182" i="5"/>
  <c r="BH181" i="5"/>
  <c r="BH178" i="5"/>
  <c r="BH173" i="5"/>
  <c r="BH172" i="5"/>
  <c r="BH167" i="5"/>
  <c r="BH166" i="5"/>
  <c r="BH165" i="5"/>
  <c r="BC185" i="5"/>
  <c r="BC184" i="5"/>
  <c r="BC182" i="5"/>
  <c r="BC181" i="5"/>
  <c r="BC173" i="5"/>
  <c r="BC172" i="5"/>
  <c r="BC165" i="5"/>
  <c r="AX185" i="5"/>
  <c r="AX184" i="5"/>
  <c r="AX182" i="5"/>
  <c r="AX181" i="5"/>
  <c r="AX173" i="5"/>
  <c r="AX168" i="5"/>
  <c r="AX165" i="5"/>
  <c r="AS185" i="5"/>
  <c r="AS184" i="5"/>
  <c r="AS182" i="5"/>
  <c r="AS181" i="5"/>
  <c r="AS173" i="5"/>
  <c r="AS168" i="5"/>
  <c r="AN174" i="5"/>
  <c r="AN173" i="5"/>
  <c r="AN168" i="5"/>
  <c r="AL185" i="5"/>
  <c r="AN185" i="5" s="1"/>
  <c r="AL184" i="5"/>
  <c r="AM184" i="5" s="1"/>
  <c r="AN184" i="5" s="1"/>
  <c r="AL183" i="5"/>
  <c r="AM183" i="5" s="1"/>
  <c r="AN183" i="5" s="1"/>
  <c r="AL182" i="5"/>
  <c r="AM182" i="5" s="1"/>
  <c r="AN182" i="5" s="1"/>
  <c r="AL181" i="5"/>
  <c r="AM181" i="5" s="1"/>
  <c r="AL180" i="5"/>
  <c r="AM180" i="5" s="1"/>
  <c r="AN180" i="5" s="1"/>
  <c r="AL179" i="5"/>
  <c r="AL178" i="5"/>
  <c r="AN178" i="5" s="1"/>
  <c r="AL177" i="5"/>
  <c r="AM177" i="5" s="1"/>
  <c r="AL176" i="5"/>
  <c r="AM176" i="5" s="1"/>
  <c r="AI185" i="5"/>
  <c r="AI178" i="5"/>
  <c r="AI174" i="5"/>
  <c r="AI173" i="5"/>
  <c r="AI168" i="5"/>
  <c r="AI164" i="5"/>
  <c r="AD185" i="5"/>
  <c r="AD173" i="5"/>
  <c r="AD168" i="5"/>
  <c r="AD165" i="5"/>
  <c r="AD164" i="5"/>
  <c r="BK183" i="5"/>
  <c r="BL183" i="5" s="1"/>
  <c r="BM183" i="5" s="1"/>
  <c r="BK182" i="5"/>
  <c r="BL182" i="5" s="1"/>
  <c r="BM182" i="5" s="1"/>
  <c r="BF183" i="5"/>
  <c r="BG183" i="5" s="1"/>
  <c r="BA183" i="5"/>
  <c r="BB183" i="5" s="1"/>
  <c r="AV183" i="5"/>
  <c r="AW183" i="5" s="1"/>
  <c r="AX183" i="5" s="1"/>
  <c r="AQ183" i="5"/>
  <c r="AR183" i="5" s="1"/>
  <c r="BK180" i="5"/>
  <c r="BL180" i="5" s="1"/>
  <c r="BM180" i="5" s="1"/>
  <c r="BK179" i="5"/>
  <c r="BL179" i="5" s="1"/>
  <c r="BM179" i="5" s="1"/>
  <c r="BF180" i="5"/>
  <c r="BG180" i="5" s="1"/>
  <c r="BF179" i="5"/>
  <c r="BG179" i="5" s="1"/>
  <c r="BH179" i="5" s="1"/>
  <c r="BA180" i="5"/>
  <c r="BB180" i="5" s="1"/>
  <c r="BC180" i="5" s="1"/>
  <c r="BA179" i="5"/>
  <c r="BB179" i="5" s="1"/>
  <c r="BC179" i="5" s="1"/>
  <c r="AV180" i="5"/>
  <c r="AW180" i="5" s="1"/>
  <c r="AX180" i="5" s="1"/>
  <c r="AV179" i="5"/>
  <c r="AW179" i="5" s="1"/>
  <c r="AX179" i="5" s="1"/>
  <c r="AQ180" i="5"/>
  <c r="AR180" i="5" s="1"/>
  <c r="AQ179" i="5"/>
  <c r="AG184" i="5"/>
  <c r="AG183" i="5"/>
  <c r="AH183" i="5" s="1"/>
  <c r="AG182" i="5"/>
  <c r="AG181" i="5"/>
  <c r="AH181" i="5" s="1"/>
  <c r="AG180" i="5"/>
  <c r="AH180" i="5" s="1"/>
  <c r="AG179" i="5"/>
  <c r="AH179" i="5" s="1"/>
  <c r="AB184" i="5"/>
  <c r="AC184" i="5" s="1"/>
  <c r="AB183" i="5"/>
  <c r="AC183" i="5" s="1"/>
  <c r="AD183" i="5" s="1"/>
  <c r="AB182" i="5"/>
  <c r="AC182" i="5" s="1"/>
  <c r="AB181" i="5"/>
  <c r="AC181" i="5" s="1"/>
  <c r="AD181" i="5" s="1"/>
  <c r="AB180" i="5"/>
  <c r="AB179" i="5"/>
  <c r="AC179" i="5" s="1"/>
  <c r="BA178" i="5"/>
  <c r="BC178" i="5" s="1"/>
  <c r="BA177" i="5"/>
  <c r="BB177" i="5" s="1"/>
  <c r="BC177" i="5" s="1"/>
  <c r="BA176" i="5"/>
  <c r="BB176" i="5" s="1"/>
  <c r="AV178" i="5"/>
  <c r="AX178" i="5" s="1"/>
  <c r="AV177" i="5"/>
  <c r="AW177" i="5" s="1"/>
  <c r="AX177" i="5" s="1"/>
  <c r="AV176" i="5"/>
  <c r="AW176" i="5" s="1"/>
  <c r="AX176" i="5" s="1"/>
  <c r="AQ178" i="5"/>
  <c r="AS178" i="5" s="1"/>
  <c r="AQ177" i="5"/>
  <c r="AQ176" i="5"/>
  <c r="AR176" i="5" s="1"/>
  <c r="AS176" i="5" s="1"/>
  <c r="AQ174" i="5"/>
  <c r="AR174" i="5" s="1"/>
  <c r="AB178" i="5"/>
  <c r="AB177" i="5"/>
  <c r="AC177" i="5" s="1"/>
  <c r="AD177" i="5" s="1"/>
  <c r="AB176" i="5"/>
  <c r="AC176" i="5" s="1"/>
  <c r="BK177" i="5"/>
  <c r="BL177" i="5" s="1"/>
  <c r="BM177" i="5" s="1"/>
  <c r="BK176" i="5"/>
  <c r="BL176" i="5" s="1"/>
  <c r="BM176" i="5" s="1"/>
  <c r="BK174" i="5"/>
  <c r="BL174" i="5" s="1"/>
  <c r="BM174" i="5" s="1"/>
  <c r="AW174" i="5"/>
  <c r="AX174" i="5" s="1"/>
  <c r="AC174" i="5"/>
  <c r="AD174" i="5" s="1"/>
  <c r="W186" i="5"/>
  <c r="X186" i="5" s="1"/>
  <c r="W185" i="5"/>
  <c r="X185" i="5" s="1"/>
  <c r="Y185" i="5" s="1"/>
  <c r="W184" i="5"/>
  <c r="X184" i="5" s="1"/>
  <c r="W183" i="5"/>
  <c r="X183" i="5" s="1"/>
  <c r="Y183" i="5" s="1"/>
  <c r="W182" i="5"/>
  <c r="X182" i="5" s="1"/>
  <c r="Y182" i="5" s="1"/>
  <c r="W181" i="5"/>
  <c r="X181" i="5" s="1"/>
  <c r="Y181" i="5" s="1"/>
  <c r="W180" i="5"/>
  <c r="W179" i="5"/>
  <c r="X179" i="5" s="1"/>
  <c r="W178" i="5"/>
  <c r="X178" i="5" s="1"/>
  <c r="W177" i="5"/>
  <c r="X177" i="5" s="1"/>
  <c r="Y177" i="5" s="1"/>
  <c r="W176" i="5"/>
  <c r="X176" i="5" s="1"/>
  <c r="R186" i="5"/>
  <c r="S186" i="5" s="1"/>
  <c r="R185" i="5"/>
  <c r="S185" i="5" s="1"/>
  <c r="T185" i="5" s="1"/>
  <c r="R184" i="5"/>
  <c r="S184" i="5" s="1"/>
  <c r="R183" i="5"/>
  <c r="S183" i="5" s="1"/>
  <c r="T183" i="5" s="1"/>
  <c r="R182" i="5"/>
  <c r="S182" i="5" s="1"/>
  <c r="T182" i="5" s="1"/>
  <c r="R181" i="5"/>
  <c r="S181" i="5" s="1"/>
  <c r="R180" i="5"/>
  <c r="R179" i="5"/>
  <c r="S179" i="5" s="1"/>
  <c r="R178" i="5"/>
  <c r="S178" i="5" s="1"/>
  <c r="T178" i="5" s="1"/>
  <c r="R177" i="5"/>
  <c r="S177" i="5" s="1"/>
  <c r="T177" i="5" s="1"/>
  <c r="R176" i="5"/>
  <c r="M185" i="5"/>
  <c r="N185" i="5" s="1"/>
  <c r="O185" i="5" s="1"/>
  <c r="M184" i="5"/>
  <c r="N184" i="5" s="1"/>
  <c r="O184" i="5" s="1"/>
  <c r="M183" i="5"/>
  <c r="M182" i="5"/>
  <c r="N182" i="5" s="1"/>
  <c r="O182" i="5" s="1"/>
  <c r="M181" i="5"/>
  <c r="M180" i="5"/>
  <c r="N180" i="5" s="1"/>
  <c r="M179" i="5"/>
  <c r="N179" i="5" s="1"/>
  <c r="M178" i="5"/>
  <c r="N178" i="5" s="1"/>
  <c r="O178" i="5" s="1"/>
  <c r="M177" i="5"/>
  <c r="M176" i="5"/>
  <c r="N176" i="5" s="1"/>
  <c r="O176" i="5" s="1"/>
  <c r="H185" i="5"/>
  <c r="I185" i="5" s="1"/>
  <c r="H184" i="5"/>
  <c r="I184" i="5" s="1"/>
  <c r="J184" i="5" s="1"/>
  <c r="H183" i="5"/>
  <c r="H182" i="5"/>
  <c r="I182" i="5" s="1"/>
  <c r="H181" i="5"/>
  <c r="I181" i="5" s="1"/>
  <c r="H180" i="5"/>
  <c r="H179" i="5"/>
  <c r="I179" i="5" s="1"/>
  <c r="J179" i="5" s="1"/>
  <c r="H178" i="5"/>
  <c r="I178" i="5" s="1"/>
  <c r="H177" i="5"/>
  <c r="I177" i="5" s="1"/>
  <c r="J177" i="5" s="1"/>
  <c r="H176" i="5"/>
  <c r="I176" i="5" s="1"/>
  <c r="C185" i="5"/>
  <c r="D185" i="5" s="1"/>
  <c r="C184" i="5"/>
  <c r="D184" i="5" s="1"/>
  <c r="E184" i="5" s="1"/>
  <c r="C183" i="5"/>
  <c r="D183" i="5" s="1"/>
  <c r="C182" i="5"/>
  <c r="D182" i="5" s="1"/>
  <c r="E182" i="5" s="1"/>
  <c r="C181" i="5"/>
  <c r="D181" i="5" s="1"/>
  <c r="C180" i="5"/>
  <c r="C179" i="5"/>
  <c r="C178" i="5"/>
  <c r="D178" i="5" s="1"/>
  <c r="E178" i="5" s="1"/>
  <c r="C177" i="5"/>
  <c r="C176" i="5"/>
  <c r="D176" i="5" s="1"/>
  <c r="E176" i="5" s="1"/>
  <c r="AU175" i="5"/>
  <c r="AT175" i="5"/>
  <c r="AP175" i="5"/>
  <c r="AO175" i="5"/>
  <c r="AK175" i="5"/>
  <c r="AJ175" i="5"/>
  <c r="AG177" i="5"/>
  <c r="AH177" i="5" s="1"/>
  <c r="AI177" i="5" s="1"/>
  <c r="AG176" i="5"/>
  <c r="AH176" i="5" s="1"/>
  <c r="AF175" i="5"/>
  <c r="AE175" i="5"/>
  <c r="AA175" i="5"/>
  <c r="Z175" i="5"/>
  <c r="V175" i="5"/>
  <c r="U175" i="5"/>
  <c r="Q175" i="5"/>
  <c r="P175" i="5"/>
  <c r="BI174" i="5"/>
  <c r="BF177" i="5"/>
  <c r="BF176" i="5"/>
  <c r="BG176" i="5" s="1"/>
  <c r="BF174" i="5"/>
  <c r="BG174" i="5" s="1"/>
  <c r="BD174" i="5"/>
  <c r="AZ174" i="5"/>
  <c r="BA174" i="5" s="1"/>
  <c r="BB174" i="5" s="1"/>
  <c r="W174" i="5"/>
  <c r="W173" i="5"/>
  <c r="X173" i="5" s="1"/>
  <c r="W172" i="5"/>
  <c r="X172" i="5" s="1"/>
  <c r="W171" i="5"/>
  <c r="X171" i="5" s="1"/>
  <c r="W170" i="5"/>
  <c r="X170" i="5" s="1"/>
  <c r="Y170" i="5" s="1"/>
  <c r="W169" i="5"/>
  <c r="X169" i="5" s="1"/>
  <c r="R174" i="5"/>
  <c r="S174" i="5" s="1"/>
  <c r="T174" i="5" s="1"/>
  <c r="R173" i="5"/>
  <c r="S173" i="5" s="1"/>
  <c r="R172" i="5"/>
  <c r="S172" i="5" s="1"/>
  <c r="T172" i="5" s="1"/>
  <c r="R171" i="5"/>
  <c r="S171" i="5" s="1"/>
  <c r="R170" i="5"/>
  <c r="S170" i="5" s="1"/>
  <c r="R169" i="5"/>
  <c r="S169" i="5" s="1"/>
  <c r="T169" i="5" s="1"/>
  <c r="M174" i="5"/>
  <c r="M173" i="5"/>
  <c r="N173" i="5" s="1"/>
  <c r="O173" i="5" s="1"/>
  <c r="M172" i="5"/>
  <c r="N172" i="5" s="1"/>
  <c r="M171" i="5"/>
  <c r="N171" i="5" s="1"/>
  <c r="O171" i="5" s="1"/>
  <c r="M170" i="5"/>
  <c r="N170" i="5" s="1"/>
  <c r="O170" i="5" s="1"/>
  <c r="M169" i="5"/>
  <c r="N169" i="5" s="1"/>
  <c r="O169" i="5" s="1"/>
  <c r="H174" i="5"/>
  <c r="H173" i="5"/>
  <c r="I173" i="5" s="1"/>
  <c r="H172" i="5"/>
  <c r="I172" i="5" s="1"/>
  <c r="J172" i="5" s="1"/>
  <c r="H171" i="5"/>
  <c r="I171" i="5" s="1"/>
  <c r="H170" i="5"/>
  <c r="I170" i="5" s="1"/>
  <c r="J170" i="5" s="1"/>
  <c r="H169" i="5"/>
  <c r="I169" i="5" s="1"/>
  <c r="H168" i="5"/>
  <c r="I168" i="5" s="1"/>
  <c r="C174" i="5"/>
  <c r="C173" i="5"/>
  <c r="D173" i="5" s="1"/>
  <c r="E173" i="5" s="1"/>
  <c r="C172" i="5"/>
  <c r="C171" i="5"/>
  <c r="C170" i="5"/>
  <c r="D170" i="5" s="1"/>
  <c r="E170" i="5" s="1"/>
  <c r="C169" i="5"/>
  <c r="D169" i="5" s="1"/>
  <c r="C168" i="5"/>
  <c r="D168" i="5" s="1"/>
  <c r="BK171" i="5"/>
  <c r="BL171" i="5" s="1"/>
  <c r="BM171" i="5" s="1"/>
  <c r="BK170" i="5"/>
  <c r="BL170" i="5" s="1"/>
  <c r="BM170" i="5" s="1"/>
  <c r="BK169" i="5"/>
  <c r="BK168" i="5"/>
  <c r="BL168" i="5" s="1"/>
  <c r="BM168" i="5" s="1"/>
  <c r="BF171" i="5"/>
  <c r="BF170" i="5"/>
  <c r="BG170" i="5" s="1"/>
  <c r="BH170" i="5" s="1"/>
  <c r="BF169" i="5"/>
  <c r="BG169" i="5" s="1"/>
  <c r="BH169" i="5" s="1"/>
  <c r="BF168" i="5"/>
  <c r="BG168" i="5" s="1"/>
  <c r="BH168" i="5" s="1"/>
  <c r="AZ168" i="5"/>
  <c r="BA168" i="5" s="1"/>
  <c r="BB168" i="5" s="1"/>
  <c r="BC168" i="5" s="1"/>
  <c r="AZ167" i="5"/>
  <c r="AU168" i="5"/>
  <c r="AV168" i="5" s="1"/>
  <c r="AW168" i="5" s="1"/>
  <c r="AU167" i="5"/>
  <c r="AP168" i="5"/>
  <c r="AQ168" i="5" s="1"/>
  <c r="AR168" i="5" s="1"/>
  <c r="AP167" i="5"/>
  <c r="AK168" i="5"/>
  <c r="AL168" i="5" s="1"/>
  <c r="AM168" i="5" s="1"/>
  <c r="AF168" i="5"/>
  <c r="AG168" i="5" s="1"/>
  <c r="AH168" i="5" s="1"/>
  <c r="AF167" i="5"/>
  <c r="AA168" i="5"/>
  <c r="Z168" i="5"/>
  <c r="X168" i="5"/>
  <c r="W168" i="5"/>
  <c r="V168" i="5"/>
  <c r="U168" i="5"/>
  <c r="S168" i="5"/>
  <c r="R168" i="5"/>
  <c r="Q168" i="5"/>
  <c r="P168" i="5"/>
  <c r="N168" i="5"/>
  <c r="M168" i="5"/>
  <c r="L168" i="5"/>
  <c r="AA167" i="5"/>
  <c r="Z167" i="5"/>
  <c r="X167" i="5"/>
  <c r="W167" i="5"/>
  <c r="V167" i="5"/>
  <c r="U167" i="5"/>
  <c r="S167" i="5"/>
  <c r="R167" i="5"/>
  <c r="Q167" i="5"/>
  <c r="P167" i="5"/>
  <c r="N167" i="5"/>
  <c r="M167" i="5"/>
  <c r="L167" i="5"/>
  <c r="K167" i="5"/>
  <c r="I167" i="5"/>
  <c r="H167" i="5"/>
  <c r="G167" i="5"/>
  <c r="F167" i="5"/>
  <c r="D167" i="5"/>
  <c r="C167" i="5"/>
  <c r="B167" i="5"/>
  <c r="DB166" i="5"/>
  <c r="CW166" i="5"/>
  <c r="CR166" i="5"/>
  <c r="CM166" i="5"/>
  <c r="CH166" i="5"/>
  <c r="CC166" i="5"/>
  <c r="BX166" i="5"/>
  <c r="BK166" i="5"/>
  <c r="BL166" i="5" s="1"/>
  <c r="BM166" i="5" s="1"/>
  <c r="BA171" i="5"/>
  <c r="BB171" i="5" s="1"/>
  <c r="BC171" i="5" s="1"/>
  <c r="BA170" i="5"/>
  <c r="BB170" i="5" s="1"/>
  <c r="BC170" i="5" s="1"/>
  <c r="BA169" i="5"/>
  <c r="BB169" i="5" s="1"/>
  <c r="BC169" i="5" s="1"/>
  <c r="BB167" i="5"/>
  <c r="BA167" i="5"/>
  <c r="BA166" i="5"/>
  <c r="BB166" i="5" s="1"/>
  <c r="AV172" i="5"/>
  <c r="AW172" i="5" s="1"/>
  <c r="AX172" i="5" s="1"/>
  <c r="AV171" i="5"/>
  <c r="AW171" i="5" s="1"/>
  <c r="AX171" i="5" s="1"/>
  <c r="AV170" i="5"/>
  <c r="AW170" i="5" s="1"/>
  <c r="AV169" i="5"/>
  <c r="AW167" i="5"/>
  <c r="AV167" i="5"/>
  <c r="AV166" i="5"/>
  <c r="AW166" i="5" s="1"/>
  <c r="AX166" i="5" s="1"/>
  <c r="AL172" i="5"/>
  <c r="AM172" i="5" s="1"/>
  <c r="AL171" i="5"/>
  <c r="AL170" i="5"/>
  <c r="AL169" i="5"/>
  <c r="AM167" i="5"/>
  <c r="AL167" i="5"/>
  <c r="AL166" i="5"/>
  <c r="AM166" i="5" s="1"/>
  <c r="AG172" i="5"/>
  <c r="AH172" i="5" s="1"/>
  <c r="AI172" i="5" s="1"/>
  <c r="AG171" i="5"/>
  <c r="AH171" i="5" s="1"/>
  <c r="AG170" i="5"/>
  <c r="AH170" i="5" s="1"/>
  <c r="AG169" i="5"/>
  <c r="AG167" i="5"/>
  <c r="AG166" i="5"/>
  <c r="AH166" i="5" s="1"/>
  <c r="AI166" i="5" s="1"/>
  <c r="AB172" i="5"/>
  <c r="AC172" i="5" s="1"/>
  <c r="AD172" i="5" s="1"/>
  <c r="AB171" i="5"/>
  <c r="AC171" i="5" s="1"/>
  <c r="AD171" i="5" s="1"/>
  <c r="AB170" i="5"/>
  <c r="AC170" i="5" s="1"/>
  <c r="AD170" i="5" s="1"/>
  <c r="AB169" i="5"/>
  <c r="AC169" i="5" s="1"/>
  <c r="AB168" i="5"/>
  <c r="AC167" i="5"/>
  <c r="AB167" i="5"/>
  <c r="AB166" i="5"/>
  <c r="AC166" i="5" s="1"/>
  <c r="AD166" i="5" s="1"/>
  <c r="H166" i="5"/>
  <c r="AP165" i="5"/>
  <c r="AQ165" i="5" s="1"/>
  <c r="AR165" i="5" s="1"/>
  <c r="AP164" i="5"/>
  <c r="AQ164" i="5" s="1"/>
  <c r="AR164" i="5" s="1"/>
  <c r="AK165" i="5"/>
  <c r="AN165" i="5" s="1"/>
  <c r="AK164" i="5"/>
  <c r="AL164" i="5" s="1"/>
  <c r="AM164" i="5" s="1"/>
  <c r="AF165" i="5"/>
  <c r="AG165" i="5" s="1"/>
  <c r="AI165" i="5" s="1"/>
  <c r="W166" i="5"/>
  <c r="W165" i="5"/>
  <c r="X165" i="5" s="1"/>
  <c r="R166" i="5"/>
  <c r="S166" i="5" s="1"/>
  <c r="T166" i="5" s="1"/>
  <c r="R165" i="5"/>
  <c r="S165" i="5" s="1"/>
  <c r="M166" i="5"/>
  <c r="N166" i="5" s="1"/>
  <c r="O166" i="5" s="1"/>
  <c r="M165" i="5"/>
  <c r="N165" i="5" s="1"/>
  <c r="K165" i="5"/>
  <c r="H165" i="5"/>
  <c r="I165" i="5" s="1"/>
  <c r="C166" i="5"/>
  <c r="D166" i="5" s="1"/>
  <c r="E166" i="5" s="1"/>
  <c r="C165" i="5"/>
  <c r="BJ164" i="5"/>
  <c r="BK164" i="5" s="1"/>
  <c r="BE164" i="5"/>
  <c r="BF164" i="5" s="1"/>
  <c r="BG164" i="5" s="1"/>
  <c r="BH164" i="5" s="1"/>
  <c r="AZ164" i="5"/>
  <c r="BA164" i="5" s="1"/>
  <c r="BB164" i="5" s="1"/>
  <c r="AU164" i="5"/>
  <c r="AF164" i="5"/>
  <c r="AG164" i="5" s="1"/>
  <c r="AH164" i="5" s="1"/>
  <c r="AB164" i="5"/>
  <c r="AA164" i="5"/>
  <c r="Z164" i="5"/>
  <c r="X164" i="5"/>
  <c r="W164" i="5"/>
  <c r="V164" i="5"/>
  <c r="U164" i="5"/>
  <c r="S164" i="5"/>
  <c r="R164" i="5"/>
  <c r="Q164" i="5"/>
  <c r="P164" i="5"/>
  <c r="N164" i="5"/>
  <c r="M164" i="5"/>
  <c r="L164" i="5"/>
  <c r="K164" i="5"/>
  <c r="I164" i="5"/>
  <c r="H164" i="5"/>
  <c r="G164" i="5"/>
  <c r="F164" i="5"/>
  <c r="D164" i="5"/>
  <c r="C164" i="5"/>
  <c r="B164" i="5"/>
  <c r="BK163" i="5"/>
  <c r="BL163" i="5" s="1"/>
  <c r="BM163" i="5" s="1"/>
  <c r="BF163" i="5"/>
  <c r="BG163" i="5" s="1"/>
  <c r="BA163" i="5"/>
  <c r="AV163" i="5"/>
  <c r="AW163" i="5" s="1"/>
  <c r="AQ172" i="5"/>
  <c r="AR172" i="5" s="1"/>
  <c r="AS172" i="5" s="1"/>
  <c r="AQ171" i="5"/>
  <c r="AR171" i="5" s="1"/>
  <c r="AS171" i="5" s="1"/>
  <c r="AQ170" i="5"/>
  <c r="AR170" i="5" s="1"/>
  <c r="AQ169" i="5"/>
  <c r="AR169" i="5" s="1"/>
  <c r="AS169" i="5" s="1"/>
  <c r="AR167" i="5"/>
  <c r="AQ167" i="5"/>
  <c r="AQ166" i="5"/>
  <c r="AR166" i="5" s="1"/>
  <c r="AQ163" i="5"/>
  <c r="AR163" i="5" s="1"/>
  <c r="AL163" i="5"/>
  <c r="AM163" i="5" s="1"/>
  <c r="AN163" i="5" s="1"/>
  <c r="AG163" i="5"/>
  <c r="AH163" i="5" s="1"/>
  <c r="AI163" i="5" s="1"/>
  <c r="AB163" i="5"/>
  <c r="AC163" i="5" s="1"/>
  <c r="W163" i="5"/>
  <c r="X163" i="5" s="1"/>
  <c r="Y163" i="5" s="1"/>
  <c r="R163" i="5"/>
  <c r="M163" i="5"/>
  <c r="N163" i="5" s="1"/>
  <c r="H163" i="5"/>
  <c r="I163" i="5" s="1"/>
  <c r="J163" i="5" s="1"/>
  <c r="C163" i="5"/>
  <c r="D163" i="5" s="1"/>
  <c r="BK161" i="5"/>
  <c r="BL161" i="5" s="1"/>
  <c r="BM161" i="5" s="1"/>
  <c r="BI161" i="5"/>
  <c r="BF161" i="5"/>
  <c r="BU146" i="5"/>
  <c r="BV146" i="5" s="1"/>
  <c r="BW146" i="5" s="1"/>
  <c r="BK142" i="5"/>
  <c r="BK146" i="5" s="1"/>
  <c r="BJ142" i="5"/>
  <c r="BJ146" i="5" s="1"/>
  <c r="BH142" i="5"/>
  <c r="BH146" i="5" s="1"/>
  <c r="BG142" i="5"/>
  <c r="BG146" i="5" s="1"/>
  <c r="BF142" i="5"/>
  <c r="BF146" i="5" s="1"/>
  <c r="BE142" i="5"/>
  <c r="BE146" i="5" s="1"/>
  <c r="BC142" i="5"/>
  <c r="BC146" i="5" s="1"/>
  <c r="BB142" i="5"/>
  <c r="BB146" i="5" s="1"/>
  <c r="BA142" i="5"/>
  <c r="BA146" i="5" s="1"/>
  <c r="AX142" i="5"/>
  <c r="AX146" i="5" s="1"/>
  <c r="AW142" i="5"/>
  <c r="AW146" i="5" s="1"/>
  <c r="AS142" i="5"/>
  <c r="AS146" i="5" s="1"/>
  <c r="AR142" i="5"/>
  <c r="AR146" i="5" s="1"/>
  <c r="AN142" i="5"/>
  <c r="AN146" i="5" s="1"/>
  <c r="AM142" i="5"/>
  <c r="AM146" i="5" s="1"/>
  <c r="AK142" i="5"/>
  <c r="AK146" i="5" s="1"/>
  <c r="AI142" i="5"/>
  <c r="AI146" i="5" s="1"/>
  <c r="AH142" i="5"/>
  <c r="AH146" i="5" s="1"/>
  <c r="AG142" i="5"/>
  <c r="AG146" i="5" s="1"/>
  <c r="AE142" i="5"/>
  <c r="AC142" i="5"/>
  <c r="AC146" i="5" s="1"/>
  <c r="AB142" i="5"/>
  <c r="AB146" i="5" s="1"/>
  <c r="Z142" i="5"/>
  <c r="Z146" i="5" s="1"/>
  <c r="X142" i="5"/>
  <c r="X146" i="5" s="1"/>
  <c r="W142" i="5"/>
  <c r="W146" i="5" s="1"/>
  <c r="U142" i="5"/>
  <c r="U146" i="5" s="1"/>
  <c r="S142" i="5"/>
  <c r="S146" i="5" s="1"/>
  <c r="R142" i="5"/>
  <c r="R146" i="5" s="1"/>
  <c r="P142" i="5"/>
  <c r="P146" i="5" s="1"/>
  <c r="N142" i="5"/>
  <c r="N146" i="5" s="1"/>
  <c r="M142" i="5"/>
  <c r="M146" i="5" s="1"/>
  <c r="K142" i="5"/>
  <c r="K146" i="5" s="1"/>
  <c r="I142" i="5"/>
  <c r="I146" i="5" s="1"/>
  <c r="H142" i="5"/>
  <c r="H146" i="5" s="1"/>
  <c r="BK136" i="5"/>
  <c r="BJ136" i="5"/>
  <c r="BH136" i="5"/>
  <c r="BG136" i="5"/>
  <c r="BF136" i="5"/>
  <c r="BE136" i="5"/>
  <c r="BC136" i="5"/>
  <c r="BB136" i="5"/>
  <c r="BA136" i="5"/>
  <c r="AZ136" i="5"/>
  <c r="AX136" i="5"/>
  <c r="AW136" i="5"/>
  <c r="AV136" i="5"/>
  <c r="AU136" i="5"/>
  <c r="AS136" i="5"/>
  <c r="AR136" i="5"/>
  <c r="AQ136" i="5"/>
  <c r="AP136" i="5"/>
  <c r="AN136" i="5"/>
  <c r="AM136" i="5"/>
  <c r="AL136" i="5"/>
  <c r="AK136" i="5"/>
  <c r="AI136" i="5"/>
  <c r="AH136" i="5"/>
  <c r="AG136" i="5"/>
  <c r="AF136" i="5"/>
  <c r="AE136" i="5"/>
  <c r="AC136" i="5"/>
  <c r="AB136" i="5"/>
  <c r="AA136" i="5"/>
  <c r="Z136" i="5"/>
  <c r="X136" i="5"/>
  <c r="W136" i="5"/>
  <c r="V136" i="5"/>
  <c r="U136" i="5"/>
  <c r="S136" i="5"/>
  <c r="R136" i="5"/>
  <c r="Q136" i="5"/>
  <c r="P136" i="5"/>
  <c r="N136" i="5"/>
  <c r="M136" i="5"/>
  <c r="L136" i="5"/>
  <c r="BI135" i="5"/>
  <c r="BI134" i="5"/>
  <c r="BI133" i="5"/>
  <c r="BI132" i="5"/>
  <c r="BI131" i="5"/>
  <c r="BD135" i="5"/>
  <c r="BD134" i="5"/>
  <c r="BD133" i="5"/>
  <c r="BE454" i="5" s="1"/>
  <c r="BD132" i="5"/>
  <c r="BD131" i="5"/>
  <c r="AY135" i="5"/>
  <c r="AY134" i="5"/>
  <c r="AY133" i="5"/>
  <c r="AY132" i="5"/>
  <c r="AY131" i="5"/>
  <c r="AT135" i="5"/>
  <c r="AT134" i="5"/>
  <c r="AT133" i="5"/>
  <c r="AT132" i="5"/>
  <c r="AT131" i="5"/>
  <c r="AO135" i="5"/>
  <c r="AO134" i="5"/>
  <c r="AO133" i="5"/>
  <c r="AP454" i="5" s="1"/>
  <c r="AO132" i="5"/>
  <c r="AO131" i="5"/>
  <c r="AJ135" i="5"/>
  <c r="AJ134" i="5"/>
  <c r="AJ133" i="5"/>
  <c r="AJ132" i="5"/>
  <c r="AJ131" i="5"/>
  <c r="AD135" i="5"/>
  <c r="AD134" i="5"/>
  <c r="AD133" i="5"/>
  <c r="AD454" i="5" s="1"/>
  <c r="AD132" i="5"/>
  <c r="AD131" i="5"/>
  <c r="Y135" i="5"/>
  <c r="Y134" i="5"/>
  <c r="Y133" i="5"/>
  <c r="Y454" i="5" s="1"/>
  <c r="Y132" i="5"/>
  <c r="Y131" i="5"/>
  <c r="T135" i="5"/>
  <c r="T134" i="5"/>
  <c r="T133" i="5"/>
  <c r="T454" i="5" s="1"/>
  <c r="T132" i="5"/>
  <c r="T131" i="5"/>
  <c r="O135" i="5"/>
  <c r="O134" i="5"/>
  <c r="O133" i="5"/>
  <c r="O132" i="5"/>
  <c r="O131" i="5"/>
  <c r="J135" i="5"/>
  <c r="J134" i="5"/>
  <c r="J132" i="5"/>
  <c r="J131" i="5"/>
  <c r="E135" i="5"/>
  <c r="E134" i="5"/>
  <c r="E132" i="5"/>
  <c r="E131" i="5"/>
  <c r="K133" i="5"/>
  <c r="L454" i="5" s="1"/>
  <c r="I133" i="5"/>
  <c r="I136" i="5" s="1"/>
  <c r="H133" i="5"/>
  <c r="G133" i="5"/>
  <c r="F133" i="5"/>
  <c r="F136" i="5" s="1"/>
  <c r="D133" i="5"/>
  <c r="D136" i="5" s="1"/>
  <c r="C133" i="5"/>
  <c r="C136" i="5" s="1"/>
  <c r="B133" i="5"/>
  <c r="B136" i="5" s="1"/>
  <c r="C450" i="5" s="1"/>
  <c r="BI128" i="5"/>
  <c r="BD128" i="5"/>
  <c r="AY128" i="5"/>
  <c r="AT128" i="5"/>
  <c r="AO128" i="5"/>
  <c r="AJ128" i="5"/>
  <c r="AD128" i="5"/>
  <c r="Y128" i="5"/>
  <c r="T128" i="5"/>
  <c r="O128" i="5"/>
  <c r="J128" i="5"/>
  <c r="E128" i="5"/>
  <c r="BC125" i="5"/>
  <c r="BD125" i="5" s="1"/>
  <c r="AY125" i="5"/>
  <c r="AY123" i="5"/>
  <c r="AY122" i="5"/>
  <c r="AY121" i="5"/>
  <c r="AY120" i="5"/>
  <c r="AY119" i="5"/>
  <c r="AT125" i="5"/>
  <c r="AT123" i="5"/>
  <c r="AT122" i="5"/>
  <c r="AT121" i="5"/>
  <c r="AT120" i="5"/>
  <c r="AT119" i="5"/>
  <c r="AO125" i="5"/>
  <c r="AO123" i="5"/>
  <c r="AO122" i="5"/>
  <c r="AO121" i="5"/>
  <c r="AO120" i="5"/>
  <c r="AO119" i="5"/>
  <c r="AJ125" i="5"/>
  <c r="AJ123" i="5"/>
  <c r="AJ122" i="5"/>
  <c r="AJ121" i="5"/>
  <c r="AJ120" i="5"/>
  <c r="AJ119" i="5"/>
  <c r="AD125" i="5"/>
  <c r="AD123" i="5"/>
  <c r="AD122" i="5"/>
  <c r="AD121" i="5"/>
  <c r="AD120" i="5"/>
  <c r="AD119" i="5"/>
  <c r="Y125" i="5"/>
  <c r="Y123" i="5"/>
  <c r="Y122" i="5"/>
  <c r="Y121" i="5"/>
  <c r="Y120" i="5"/>
  <c r="Y119" i="5"/>
  <c r="T125" i="5"/>
  <c r="T123" i="5"/>
  <c r="T122" i="5"/>
  <c r="T121" i="5"/>
  <c r="T120" i="5"/>
  <c r="T119" i="5"/>
  <c r="O125" i="5"/>
  <c r="O123" i="5"/>
  <c r="O122" i="5"/>
  <c r="O121" i="5"/>
  <c r="O120" i="5"/>
  <c r="O119" i="5"/>
  <c r="J125" i="5"/>
  <c r="J123" i="5"/>
  <c r="J122" i="5"/>
  <c r="J121" i="5"/>
  <c r="J120" i="5"/>
  <c r="J119" i="5"/>
  <c r="E125" i="5"/>
  <c r="E123" i="5"/>
  <c r="E122" i="5"/>
  <c r="E121" i="5"/>
  <c r="E120" i="5"/>
  <c r="E119" i="5"/>
  <c r="BK125" i="5"/>
  <c r="BJ125" i="5"/>
  <c r="BH125" i="5"/>
  <c r="BI125" i="5" s="1"/>
  <c r="BK124" i="5"/>
  <c r="BJ124" i="5"/>
  <c r="BE124" i="5"/>
  <c r="BB124" i="5"/>
  <c r="BA124" i="5"/>
  <c r="AZ124" i="5"/>
  <c r="AX124" i="5"/>
  <c r="AW124" i="5"/>
  <c r="AV124" i="5"/>
  <c r="AU124" i="5"/>
  <c r="AS124" i="5"/>
  <c r="AR124" i="5"/>
  <c r="AQ124" i="5"/>
  <c r="AP124" i="5"/>
  <c r="AN124" i="5"/>
  <c r="AM124" i="5"/>
  <c r="AL124" i="5"/>
  <c r="AK124" i="5"/>
  <c r="AI124" i="5"/>
  <c r="AH124" i="5"/>
  <c r="AG124" i="5"/>
  <c r="AF124" i="5"/>
  <c r="AE124" i="5"/>
  <c r="AC124" i="5"/>
  <c r="AB124" i="5"/>
  <c r="AA124" i="5"/>
  <c r="Z124" i="5"/>
  <c r="X124" i="5"/>
  <c r="W124" i="5"/>
  <c r="V124" i="5"/>
  <c r="U124" i="5"/>
  <c r="S124" i="5"/>
  <c r="R124" i="5"/>
  <c r="Q124" i="5"/>
  <c r="P124" i="5"/>
  <c r="N124" i="5"/>
  <c r="M124" i="5"/>
  <c r="L124" i="5"/>
  <c r="K124" i="5"/>
  <c r="I124" i="5"/>
  <c r="H124" i="5"/>
  <c r="G124" i="5"/>
  <c r="F124" i="5"/>
  <c r="D124" i="5"/>
  <c r="C124" i="5"/>
  <c r="B124" i="5"/>
  <c r="BH123" i="5"/>
  <c r="BI123" i="5" s="1"/>
  <c r="BG123" i="5"/>
  <c r="BG124" i="5" s="1"/>
  <c r="BC123" i="5"/>
  <c r="BD123" i="5" s="1"/>
  <c r="BI122" i="5"/>
  <c r="BI121" i="5"/>
  <c r="BI120" i="5"/>
  <c r="BI119" i="5"/>
  <c r="BF122" i="5"/>
  <c r="BF121" i="5"/>
  <c r="BD122" i="5"/>
  <c r="BD121" i="5"/>
  <c r="BD120" i="5"/>
  <c r="BD119" i="5"/>
  <c r="AX117" i="5"/>
  <c r="AW117" i="5"/>
  <c r="AV117" i="5"/>
  <c r="AU117" i="5"/>
  <c r="AS117" i="5"/>
  <c r="AR117" i="5"/>
  <c r="AQ117" i="5"/>
  <c r="AP117" i="5"/>
  <c r="AM117" i="5"/>
  <c r="AL117" i="5"/>
  <c r="AK117" i="5"/>
  <c r="AI117" i="5"/>
  <c r="AH117" i="5"/>
  <c r="AG117" i="5"/>
  <c r="AF117" i="5"/>
  <c r="AE117" i="5"/>
  <c r="AC117" i="5"/>
  <c r="AB117" i="5"/>
  <c r="AA117" i="5"/>
  <c r="Z117" i="5"/>
  <c r="X117" i="5"/>
  <c r="W117" i="5"/>
  <c r="V117" i="5"/>
  <c r="U117" i="5"/>
  <c r="S117" i="5"/>
  <c r="R117" i="5"/>
  <c r="Q117" i="5"/>
  <c r="P117" i="5"/>
  <c r="N117" i="5"/>
  <c r="M117" i="5"/>
  <c r="L117" i="5"/>
  <c r="K117" i="5"/>
  <c r="F117" i="5"/>
  <c r="BK116" i="5"/>
  <c r="BK117" i="5" s="1"/>
  <c r="BJ116" i="5"/>
  <c r="BJ117" i="5" s="1"/>
  <c r="BH116" i="5"/>
  <c r="BI116" i="5" s="1"/>
  <c r="BG116" i="5"/>
  <c r="BG117" i="5" s="1"/>
  <c r="BF116" i="5"/>
  <c r="BE116" i="5"/>
  <c r="BE117" i="5" s="1"/>
  <c r="BC116" i="5"/>
  <c r="BD116" i="5" s="1"/>
  <c r="BB116" i="5"/>
  <c r="BB117" i="5" s="1"/>
  <c r="BA116" i="5"/>
  <c r="BA117" i="5" s="1"/>
  <c r="BA126" i="5" s="1"/>
  <c r="AZ116" i="5"/>
  <c r="AZ117" i="5" s="1"/>
  <c r="AY116" i="5"/>
  <c r="AT116" i="5"/>
  <c r="AT115" i="5"/>
  <c r="AT114" i="5"/>
  <c r="AT113" i="5"/>
  <c r="AT112" i="5"/>
  <c r="AT111" i="5"/>
  <c r="AN116" i="5"/>
  <c r="AO116" i="5" s="1"/>
  <c r="AJ116" i="5"/>
  <c r="AJ115" i="5"/>
  <c r="AJ114" i="5"/>
  <c r="AJ113" i="5"/>
  <c r="AJ112" i="5"/>
  <c r="AJ111" i="5"/>
  <c r="AD116" i="5"/>
  <c r="AD115" i="5"/>
  <c r="AD114" i="5"/>
  <c r="AD113" i="5"/>
  <c r="AD112" i="5"/>
  <c r="AD111" i="5"/>
  <c r="Y116" i="5"/>
  <c r="Y115" i="5"/>
  <c r="Y114" i="5"/>
  <c r="Y113" i="5"/>
  <c r="Y112" i="5"/>
  <c r="Y111" i="5"/>
  <c r="T116" i="5"/>
  <c r="T115" i="5"/>
  <c r="T114" i="5"/>
  <c r="T113" i="5"/>
  <c r="T112" i="5"/>
  <c r="T111" i="5"/>
  <c r="O116" i="5"/>
  <c r="O115" i="5"/>
  <c r="O114" i="5"/>
  <c r="O113" i="5"/>
  <c r="O112" i="5"/>
  <c r="O111" i="5"/>
  <c r="J116" i="5"/>
  <c r="I116" i="5"/>
  <c r="I117" i="5" s="1"/>
  <c r="H116" i="5"/>
  <c r="H117" i="5" s="1"/>
  <c r="G116" i="5"/>
  <c r="G117" i="5" s="1"/>
  <c r="E116" i="5"/>
  <c r="D116" i="5"/>
  <c r="D117" i="5" s="1"/>
  <c r="C116" i="5"/>
  <c r="C117" i="5" s="1"/>
  <c r="B116" i="5"/>
  <c r="B117" i="5" s="1"/>
  <c r="BI115" i="5"/>
  <c r="BI114" i="5"/>
  <c r="BI113" i="5"/>
  <c r="BI112" i="5"/>
  <c r="BI111" i="5"/>
  <c r="BF115" i="5"/>
  <c r="BD115" i="5"/>
  <c r="BD114" i="5"/>
  <c r="BD113" i="5"/>
  <c r="BD112" i="5"/>
  <c r="BD111" i="5"/>
  <c r="AY115" i="5"/>
  <c r="AY114" i="5"/>
  <c r="AY113" i="5"/>
  <c r="AY112" i="5"/>
  <c r="AY111" i="5"/>
  <c r="AO115" i="5"/>
  <c r="AO114" i="5"/>
  <c r="AO113" i="5"/>
  <c r="AO112" i="5"/>
  <c r="AO111" i="5"/>
  <c r="J115" i="5"/>
  <c r="J114" i="5"/>
  <c r="J113" i="5"/>
  <c r="J112" i="5"/>
  <c r="J111" i="5"/>
  <c r="E115" i="5"/>
  <c r="E114" i="5"/>
  <c r="E113" i="5"/>
  <c r="E112" i="5"/>
  <c r="E111" i="5"/>
  <c r="BJ106" i="5"/>
  <c r="BH106" i="5"/>
  <c r="BI106" i="5" s="1"/>
  <c r="BF106" i="5"/>
  <c r="BG106" i="5" s="1"/>
  <c r="BC106" i="5"/>
  <c r="BD106" i="5" s="1"/>
  <c r="AY106" i="5"/>
  <c r="AY104" i="5"/>
  <c r="AY103" i="5"/>
  <c r="AY102" i="5"/>
  <c r="AY101" i="5"/>
  <c r="AY100" i="5"/>
  <c r="AT106" i="5"/>
  <c r="AT104" i="5"/>
  <c r="AT103" i="5"/>
  <c r="AT102" i="5"/>
  <c r="AT101" i="5"/>
  <c r="AT100" i="5"/>
  <c r="AO106" i="5"/>
  <c r="AO104" i="5"/>
  <c r="AO103" i="5"/>
  <c r="AO102" i="5"/>
  <c r="AO101" i="5"/>
  <c r="AO100" i="5"/>
  <c r="AJ106" i="5"/>
  <c r="AJ104" i="5"/>
  <c r="AJ103" i="5"/>
  <c r="AJ102" i="5"/>
  <c r="AJ101" i="5"/>
  <c r="AJ100" i="5"/>
  <c r="AD106" i="5"/>
  <c r="AD104" i="5"/>
  <c r="AD103" i="5"/>
  <c r="AD102" i="5"/>
  <c r="AD101" i="5"/>
  <c r="Y106" i="5"/>
  <c r="Y104" i="5"/>
  <c r="Y103" i="5"/>
  <c r="Y102" i="5"/>
  <c r="Y101" i="5"/>
  <c r="Y99" i="5"/>
  <c r="Y98" i="5"/>
  <c r="Y97" i="5"/>
  <c r="Y96" i="5"/>
  <c r="T106" i="5"/>
  <c r="T104" i="5"/>
  <c r="T103" i="5"/>
  <c r="T102" i="5"/>
  <c r="T101" i="5"/>
  <c r="T99" i="5"/>
  <c r="T98" i="5"/>
  <c r="T97" i="5"/>
  <c r="T96" i="5"/>
  <c r="O106" i="5"/>
  <c r="O104" i="5"/>
  <c r="O103" i="5"/>
  <c r="O102" i="5"/>
  <c r="O101" i="5"/>
  <c r="O99" i="5"/>
  <c r="O98" i="5"/>
  <c r="O97" i="5"/>
  <c r="O96" i="5"/>
  <c r="J106" i="5"/>
  <c r="J104" i="5"/>
  <c r="J103" i="5"/>
  <c r="J102" i="5"/>
  <c r="J101" i="5"/>
  <c r="J99" i="5"/>
  <c r="J98" i="5"/>
  <c r="J97" i="5"/>
  <c r="J96" i="5"/>
  <c r="E106" i="5"/>
  <c r="E104" i="5"/>
  <c r="E103" i="5"/>
  <c r="E102" i="5"/>
  <c r="E101" i="5"/>
  <c r="E99" i="5"/>
  <c r="E98" i="5"/>
  <c r="E97" i="5"/>
  <c r="E96" i="5"/>
  <c r="BK105" i="5"/>
  <c r="BJ105" i="5"/>
  <c r="AX105" i="5"/>
  <c r="AW105" i="5"/>
  <c r="AV105" i="5"/>
  <c r="AU105" i="5"/>
  <c r="AS105" i="5"/>
  <c r="AR105" i="5"/>
  <c r="AQ105" i="5"/>
  <c r="AP105" i="5"/>
  <c r="AN105" i="5"/>
  <c r="AM105" i="5"/>
  <c r="AL105" i="5"/>
  <c r="AK105" i="5"/>
  <c r="AI105" i="5"/>
  <c r="AH105" i="5"/>
  <c r="AG105" i="5"/>
  <c r="AF105" i="5"/>
  <c r="AE105" i="5"/>
  <c r="AC105" i="5"/>
  <c r="AB105" i="5"/>
  <c r="AA105" i="5"/>
  <c r="Z105" i="5"/>
  <c r="X105" i="5"/>
  <c r="W105" i="5"/>
  <c r="V105" i="5"/>
  <c r="U105" i="5"/>
  <c r="S105" i="5"/>
  <c r="R105" i="5"/>
  <c r="Q105" i="5"/>
  <c r="P105" i="5"/>
  <c r="N105" i="5"/>
  <c r="M105" i="5"/>
  <c r="L105" i="5"/>
  <c r="K105" i="5"/>
  <c r="F105" i="5"/>
  <c r="BH104" i="5"/>
  <c r="BI104" i="5" s="1"/>
  <c r="BG104" i="5"/>
  <c r="BG105" i="5" s="1"/>
  <c r="BF104" i="5"/>
  <c r="BF105" i="5" s="1"/>
  <c r="BE104" i="5"/>
  <c r="BE105" i="5" s="1"/>
  <c r="BC104" i="5"/>
  <c r="BC105" i="5" s="1"/>
  <c r="BB104" i="5"/>
  <c r="BB105" i="5" s="1"/>
  <c r="BA104" i="5"/>
  <c r="BA105" i="5" s="1"/>
  <c r="AZ104" i="5"/>
  <c r="AZ105" i="5" s="1"/>
  <c r="I104" i="5"/>
  <c r="H104" i="5"/>
  <c r="H105" i="5" s="1"/>
  <c r="G104" i="5"/>
  <c r="G105" i="5" s="1"/>
  <c r="D104" i="5"/>
  <c r="D105" i="5" s="1"/>
  <c r="C104" i="5"/>
  <c r="C105" i="5" s="1"/>
  <c r="B104" i="5"/>
  <c r="B105" i="5" s="1"/>
  <c r="BI103" i="5"/>
  <c r="BI102" i="5"/>
  <c r="BI101" i="5"/>
  <c r="BI100" i="5"/>
  <c r="BD103" i="5"/>
  <c r="BD102" i="5"/>
  <c r="BD101" i="5"/>
  <c r="BD100" i="5"/>
  <c r="I101" i="5"/>
  <c r="N100" i="5"/>
  <c r="M100" i="5"/>
  <c r="AD99" i="5"/>
  <c r="AC95" i="5"/>
  <c r="AC100" i="5" s="1"/>
  <c r="AB95" i="5"/>
  <c r="AB100" i="5" s="1"/>
  <c r="AA95" i="5"/>
  <c r="AA100" i="5" s="1"/>
  <c r="Z95" i="5"/>
  <c r="Z100" i="5" s="1"/>
  <c r="X95" i="5"/>
  <c r="X100" i="5" s="1"/>
  <c r="W95" i="5"/>
  <c r="W100" i="5" s="1"/>
  <c r="V95" i="5"/>
  <c r="V100" i="5" s="1"/>
  <c r="U95" i="5"/>
  <c r="U100" i="5" s="1"/>
  <c r="S95" i="5"/>
  <c r="S100" i="5" s="1"/>
  <c r="R95" i="5"/>
  <c r="R100" i="5" s="1"/>
  <c r="Q95" i="5"/>
  <c r="Q100" i="5" s="1"/>
  <c r="P95" i="5"/>
  <c r="P100" i="5" s="1"/>
  <c r="L95" i="5"/>
  <c r="L100" i="5" s="1"/>
  <c r="K95" i="5"/>
  <c r="K100" i="5" s="1"/>
  <c r="I95" i="5"/>
  <c r="I100" i="5" s="1"/>
  <c r="H95" i="5"/>
  <c r="H100" i="5" s="1"/>
  <c r="G95" i="5"/>
  <c r="G100" i="5" s="1"/>
  <c r="F95" i="5"/>
  <c r="F100" i="5" s="1"/>
  <c r="D95" i="5"/>
  <c r="D100" i="5" s="1"/>
  <c r="C95" i="5"/>
  <c r="C100" i="5" s="1"/>
  <c r="B95" i="5"/>
  <c r="B100" i="5" s="1"/>
  <c r="BK91" i="5"/>
  <c r="BJ91" i="5"/>
  <c r="BH91" i="5"/>
  <c r="BI91" i="5" s="1"/>
  <c r="BG91" i="5"/>
  <c r="BG92" i="5" s="1"/>
  <c r="BF91" i="5"/>
  <c r="BE91" i="5"/>
  <c r="BC91" i="5"/>
  <c r="BD91" i="5" s="1"/>
  <c r="BB91" i="5"/>
  <c r="BA91" i="5"/>
  <c r="AZ91" i="5"/>
  <c r="AY91" i="5"/>
  <c r="AT91" i="5"/>
  <c r="AT90" i="5"/>
  <c r="AT89" i="5"/>
  <c r="AT88" i="5"/>
  <c r="AT87" i="5"/>
  <c r="AT86" i="5"/>
  <c r="AT85" i="5"/>
  <c r="AN91" i="5"/>
  <c r="AO91" i="5" s="1"/>
  <c r="AJ91" i="5"/>
  <c r="AJ90" i="5"/>
  <c r="AJ89" i="5"/>
  <c r="AJ88" i="5"/>
  <c r="AJ87" i="5"/>
  <c r="AJ86" i="5"/>
  <c r="AJ85" i="5"/>
  <c r="AD91" i="5"/>
  <c r="AD90" i="5"/>
  <c r="AD89" i="5"/>
  <c r="AD88" i="5"/>
  <c r="AD87" i="5"/>
  <c r="AD86" i="5"/>
  <c r="AD85" i="5"/>
  <c r="Y91" i="5"/>
  <c r="Y90" i="5"/>
  <c r="Y89" i="5"/>
  <c r="Y88" i="5"/>
  <c r="Y87" i="5"/>
  <c r="Y86" i="5"/>
  <c r="Y85" i="5"/>
  <c r="W91" i="5"/>
  <c r="T91" i="5"/>
  <c r="T90" i="5"/>
  <c r="T89" i="5"/>
  <c r="T88" i="5"/>
  <c r="T87" i="5"/>
  <c r="T86" i="5"/>
  <c r="T85" i="5"/>
  <c r="O91" i="5"/>
  <c r="O90" i="5"/>
  <c r="O89" i="5"/>
  <c r="O88" i="5"/>
  <c r="O87" i="5"/>
  <c r="O86" i="5"/>
  <c r="O85" i="5"/>
  <c r="J91" i="5"/>
  <c r="I91" i="5"/>
  <c r="H91" i="5"/>
  <c r="G91" i="5"/>
  <c r="E91" i="5"/>
  <c r="D91" i="5"/>
  <c r="BI90" i="5"/>
  <c r="BI89" i="5"/>
  <c r="BI88" i="5"/>
  <c r="BI87" i="5"/>
  <c r="BI86" i="5"/>
  <c r="BI85" i="5"/>
  <c r="BD90" i="5"/>
  <c r="BD89" i="5"/>
  <c r="BD88" i="5"/>
  <c r="BD87" i="5"/>
  <c r="BD86" i="5"/>
  <c r="BD85" i="5"/>
  <c r="AY90" i="5"/>
  <c r="AY89" i="5"/>
  <c r="AY88" i="5"/>
  <c r="AY87" i="5"/>
  <c r="AY86" i="5"/>
  <c r="AY85" i="5"/>
  <c r="AO90" i="5"/>
  <c r="AO89" i="5"/>
  <c r="AO88" i="5"/>
  <c r="AO87" i="5"/>
  <c r="AO86" i="5"/>
  <c r="AO85" i="5"/>
  <c r="J90" i="5"/>
  <c r="J89" i="5"/>
  <c r="J88" i="5"/>
  <c r="J87" i="5"/>
  <c r="J86" i="5"/>
  <c r="J85" i="5"/>
  <c r="E90" i="5"/>
  <c r="E89" i="5"/>
  <c r="E88" i="5"/>
  <c r="E87" i="5"/>
  <c r="E86" i="5"/>
  <c r="E85" i="5"/>
  <c r="BE87" i="5"/>
  <c r="I87" i="5"/>
  <c r="H87" i="5"/>
  <c r="G87" i="5"/>
  <c r="D87" i="5"/>
  <c r="C87" i="5"/>
  <c r="B87" i="5"/>
  <c r="BJ70" i="5"/>
  <c r="BK70" i="5" s="1"/>
  <c r="BH70" i="5"/>
  <c r="BG70" i="5"/>
  <c r="BF70" i="5"/>
  <c r="BE70" i="5"/>
  <c r="BC70" i="5"/>
  <c r="BB70" i="5"/>
  <c r="BA70" i="5"/>
  <c r="AZ70" i="5"/>
  <c r="AX70" i="5"/>
  <c r="AW70" i="5"/>
  <c r="AV70" i="5"/>
  <c r="AU70" i="5"/>
  <c r="AS70" i="5"/>
  <c r="AR70" i="5"/>
  <c r="AQ70" i="5"/>
  <c r="AP70" i="5"/>
  <c r="AN70" i="5"/>
  <c r="AM70" i="5"/>
  <c r="AL70" i="5"/>
  <c r="AK70" i="5"/>
  <c r="AI70" i="5"/>
  <c r="AH70" i="5"/>
  <c r="AG70" i="5"/>
  <c r="AF70" i="5"/>
  <c r="AD70" i="5"/>
  <c r="AC70" i="5"/>
  <c r="AB70" i="5"/>
  <c r="AA70" i="5"/>
  <c r="Y70" i="5"/>
  <c r="X70" i="5"/>
  <c r="W70" i="5"/>
  <c r="V70" i="5"/>
  <c r="T70" i="5"/>
  <c r="S70" i="5"/>
  <c r="R70" i="5"/>
  <c r="Q70" i="5"/>
  <c r="O70" i="5"/>
  <c r="N70" i="5"/>
  <c r="M70" i="5"/>
  <c r="L70" i="5"/>
  <c r="J70" i="5"/>
  <c r="I70" i="5"/>
  <c r="H70" i="5"/>
  <c r="G70" i="5"/>
  <c r="BI69" i="5"/>
  <c r="BD69" i="5"/>
  <c r="AY69" i="5"/>
  <c r="AT69" i="5"/>
  <c r="AO69" i="5"/>
  <c r="AJ69" i="5"/>
  <c r="AE69" i="5"/>
  <c r="Z69" i="5"/>
  <c r="U69" i="5"/>
  <c r="P69" i="5"/>
  <c r="K69" i="5"/>
  <c r="F69" i="5"/>
  <c r="BC68" i="5"/>
  <c r="BC67" i="5"/>
  <c r="AE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BK67" i="5"/>
  <c r="BJ67" i="5"/>
  <c r="BH67" i="5"/>
  <c r="BG67" i="5"/>
  <c r="BF67" i="5"/>
  <c r="BE67" i="5"/>
  <c r="BB67" i="5"/>
  <c r="BA67" i="5"/>
  <c r="AZ67" i="5"/>
  <c r="AX67" i="5"/>
  <c r="AW67" i="5"/>
  <c r="AV67" i="5"/>
  <c r="AU67" i="5"/>
  <c r="AS67" i="5"/>
  <c r="AR67" i="5"/>
  <c r="AQ67" i="5"/>
  <c r="AP67" i="5"/>
  <c r="AN67" i="5"/>
  <c r="AM67" i="5"/>
  <c r="AL67" i="5"/>
  <c r="AK67" i="5"/>
  <c r="AI67" i="5"/>
  <c r="BK61" i="5"/>
  <c r="BJ61" i="5"/>
  <c r="BH61" i="5"/>
  <c r="BI61" i="5" s="1"/>
  <c r="BG61" i="5"/>
  <c r="BF61" i="5"/>
  <c r="BE61" i="5"/>
  <c r="BC61" i="5"/>
  <c r="BD61" i="5" s="1"/>
  <c r="BB61" i="5"/>
  <c r="BA61" i="5"/>
  <c r="AZ61" i="5"/>
  <c r="AX61" i="5"/>
  <c r="AY61" i="5" s="1"/>
  <c r="AW61" i="5"/>
  <c r="AV61" i="5"/>
  <c r="AU61" i="5"/>
  <c r="AS61" i="5"/>
  <c r="AT61" i="5" s="1"/>
  <c r="AR61" i="5"/>
  <c r="AQ61" i="5"/>
  <c r="AP61" i="5"/>
  <c r="AN61" i="5"/>
  <c r="AO61" i="5" s="1"/>
  <c r="AM61" i="5"/>
  <c r="AL61" i="5"/>
  <c r="AK61" i="5"/>
  <c r="AI61" i="5"/>
  <c r="AJ61" i="5" s="1"/>
  <c r="AH61" i="5"/>
  <c r="E61" i="5"/>
  <c r="BI60" i="5"/>
  <c r="BI59" i="5"/>
  <c r="BI67" i="5" s="1"/>
  <c r="BD60" i="5"/>
  <c r="BD59" i="5"/>
  <c r="BD67" i="5" s="1"/>
  <c r="AY60" i="5"/>
  <c r="AY59" i="5"/>
  <c r="AY67" i="5" s="1"/>
  <c r="AT60" i="5"/>
  <c r="AT59" i="5"/>
  <c r="AT67" i="5" s="1"/>
  <c r="AO60" i="5"/>
  <c r="AO59" i="5"/>
  <c r="AO67" i="5" s="1"/>
  <c r="AJ60" i="5"/>
  <c r="AJ59" i="5"/>
  <c r="AJ67" i="5" s="1"/>
  <c r="BN60" i="5"/>
  <c r="BS56" i="5"/>
  <c r="BS55" i="5"/>
  <c r="BN56" i="5"/>
  <c r="BH56" i="5"/>
  <c r="BF56" i="5"/>
  <c r="BB56" i="5"/>
  <c r="AX56" i="5"/>
  <c r="AW56" i="5"/>
  <c r="E56" i="5"/>
  <c r="E55" i="5"/>
  <c r="BI55" i="5"/>
  <c r="BB55" i="5"/>
  <c r="BD55" i="5" s="1"/>
  <c r="AY55" i="5"/>
  <c r="AT55" i="5"/>
  <c r="AO55" i="5"/>
  <c r="AJ55" i="5"/>
  <c r="AE55" i="5"/>
  <c r="Y55" i="5"/>
  <c r="T55" i="5"/>
  <c r="O55" i="5"/>
  <c r="K55" i="5"/>
  <c r="I55" i="5"/>
  <c r="BB49" i="5"/>
  <c r="AX49" i="5"/>
  <c r="AW49" i="5"/>
  <c r="E49" i="5"/>
  <c r="BI45" i="5"/>
  <c r="BD45" i="5"/>
  <c r="BD167" i="5" s="1"/>
  <c r="BD161" i="5" s="1"/>
  <c r="AY45" i="5"/>
  <c r="AY167" i="5" s="1"/>
  <c r="AT45" i="5"/>
  <c r="AT167" i="5" s="1"/>
  <c r="AT161" i="5" s="1"/>
  <c r="AK45" i="5"/>
  <c r="AK167" i="5" s="1"/>
  <c r="AI45" i="5"/>
  <c r="AH45" i="5"/>
  <c r="AE45" i="5"/>
  <c r="AE167" i="5" s="1"/>
  <c r="Y45" i="5"/>
  <c r="T45" i="5"/>
  <c r="O45" i="5"/>
  <c r="J45" i="5"/>
  <c r="E45" i="5"/>
  <c r="BK43" i="5"/>
  <c r="BJ43" i="5"/>
  <c r="BH43" i="5"/>
  <c r="BF43" i="5"/>
  <c r="BE43" i="5"/>
  <c r="BC43" i="5"/>
  <c r="BB43" i="5"/>
  <c r="BA43" i="5"/>
  <c r="AZ43" i="5"/>
  <c r="AX43" i="5"/>
  <c r="AW43" i="5"/>
  <c r="AV43" i="5"/>
  <c r="AU43" i="5"/>
  <c r="AS43" i="5"/>
  <c r="AR43" i="5"/>
  <c r="AQ43" i="5"/>
  <c r="AP43" i="5"/>
  <c r="AN43" i="5"/>
  <c r="AM43" i="5"/>
  <c r="AK43" i="5"/>
  <c r="AI43" i="5"/>
  <c r="AH43" i="5"/>
  <c r="AG43" i="5"/>
  <c r="AF43" i="5"/>
  <c r="AD43" i="5"/>
  <c r="AC43" i="5"/>
  <c r="AB43" i="5"/>
  <c r="AA43" i="5"/>
  <c r="Z43" i="5"/>
  <c r="X43" i="5"/>
  <c r="W43" i="5"/>
  <c r="V43" i="5"/>
  <c r="U43" i="5"/>
  <c r="S43" i="5"/>
  <c r="R43" i="5"/>
  <c r="Q43" i="5"/>
  <c r="P43" i="5"/>
  <c r="N43" i="5"/>
  <c r="M43" i="5"/>
  <c r="L43" i="5"/>
  <c r="K43" i="5"/>
  <c r="I43" i="5"/>
  <c r="H43" i="5"/>
  <c r="G43" i="5"/>
  <c r="F43" i="5"/>
  <c r="D43" i="5"/>
  <c r="C43" i="5"/>
  <c r="B43" i="5"/>
  <c r="BI42" i="5"/>
  <c r="BI40" i="5"/>
  <c r="BI39" i="5"/>
  <c r="BD42" i="5"/>
  <c r="BD41" i="5"/>
  <c r="BD40" i="5"/>
  <c r="BD39" i="5"/>
  <c r="AY42" i="5"/>
  <c r="AY41" i="5"/>
  <c r="AY40" i="5"/>
  <c r="AY39" i="5"/>
  <c r="AT42" i="5"/>
  <c r="AT41" i="5"/>
  <c r="AT40" i="5"/>
  <c r="AT39" i="5"/>
  <c r="AO42" i="5"/>
  <c r="AO40" i="5"/>
  <c r="AO39" i="5"/>
  <c r="AJ42" i="5"/>
  <c r="AJ41" i="5"/>
  <c r="AJ40" i="5"/>
  <c r="AJ39" i="5"/>
  <c r="AJ164" i="5" s="1"/>
  <c r="AE42" i="5"/>
  <c r="AE41" i="5"/>
  <c r="AE40" i="5"/>
  <c r="AE39" i="5"/>
  <c r="AE164" i="5" s="1"/>
  <c r="Y42" i="5"/>
  <c r="Y41" i="5"/>
  <c r="Y40" i="5"/>
  <c r="Y39" i="5"/>
  <c r="Y164" i="5" s="1"/>
  <c r="T42" i="5"/>
  <c r="T41" i="5"/>
  <c r="T40" i="5"/>
  <c r="T39" i="5"/>
  <c r="T164" i="5" s="1"/>
  <c r="O42" i="5"/>
  <c r="O41" i="5"/>
  <c r="O40" i="5"/>
  <c r="O39" i="5"/>
  <c r="O164" i="5" s="1"/>
  <c r="J42" i="5"/>
  <c r="J41" i="5"/>
  <c r="J40" i="5"/>
  <c r="J39" i="5"/>
  <c r="E42" i="5"/>
  <c r="E41" i="5"/>
  <c r="E40" i="5"/>
  <c r="E39" i="5"/>
  <c r="E164" i="5" s="1"/>
  <c r="BG41" i="5"/>
  <c r="BG43" i="5" s="1"/>
  <c r="AL41" i="5"/>
  <c r="AL43" i="5" s="1"/>
  <c r="CX164" i="5"/>
  <c r="CS164" i="5"/>
  <c r="BO33" i="5"/>
  <c r="BM33" i="5"/>
  <c r="BK33" i="5"/>
  <c r="BJ33" i="5"/>
  <c r="BH33" i="5"/>
  <c r="BG33" i="5"/>
  <c r="BF33" i="5"/>
  <c r="BE33" i="5"/>
  <c r="BC33" i="5"/>
  <c r="BB33" i="5"/>
  <c r="BA33" i="5"/>
  <c r="AZ33" i="5"/>
  <c r="BO32" i="5"/>
  <c r="BM32" i="5"/>
  <c r="BK32" i="5"/>
  <c r="BJ32" i="5"/>
  <c r="BH32" i="5"/>
  <c r="BG32" i="5"/>
  <c r="BF32" i="5"/>
  <c r="BE32" i="5"/>
  <c r="BC32" i="5"/>
  <c r="BB32" i="5"/>
  <c r="BA32" i="5"/>
  <c r="AZ32" i="5"/>
  <c r="BN26" i="5"/>
  <c r="BH26" i="5"/>
  <c r="BI26" i="5" s="1"/>
  <c r="BB26" i="5"/>
  <c r="BD26" i="5" s="1"/>
  <c r="AY26" i="5"/>
  <c r="AY168" i="5" s="1"/>
  <c r="AT26" i="5"/>
  <c r="AT168" i="5" s="1"/>
  <c r="AO26" i="5"/>
  <c r="AO168" i="5" s="1"/>
  <c r="AJ26" i="5"/>
  <c r="AJ168" i="5" s="1"/>
  <c r="AE26" i="5"/>
  <c r="AE168" i="5" s="1"/>
  <c r="Y26" i="5"/>
  <c r="Y168" i="5" s="1"/>
  <c r="T26" i="5"/>
  <c r="T168" i="5" s="1"/>
  <c r="O26" i="5"/>
  <c r="O168" i="5" s="1"/>
  <c r="J26" i="5"/>
  <c r="E26" i="5"/>
  <c r="BK24" i="5"/>
  <c r="BJ24" i="5"/>
  <c r="BG24" i="5"/>
  <c r="BF24" i="5"/>
  <c r="BE24" i="5"/>
  <c r="BC24" i="5"/>
  <c r="BB24" i="5"/>
  <c r="BA24" i="5"/>
  <c r="AZ24" i="5"/>
  <c r="AW24" i="5"/>
  <c r="AV24" i="5"/>
  <c r="AU24" i="5"/>
  <c r="AS24" i="5"/>
  <c r="AR24" i="5"/>
  <c r="AQ24" i="5"/>
  <c r="AP24" i="5"/>
  <c r="AN24" i="5"/>
  <c r="AM24" i="5"/>
  <c r="AL24" i="5"/>
  <c r="AK24" i="5"/>
  <c r="AI24" i="5"/>
  <c r="AH24" i="5"/>
  <c r="AG24" i="5"/>
  <c r="AF24" i="5"/>
  <c r="AD24" i="5"/>
  <c r="AC24" i="5"/>
  <c r="AB24" i="5"/>
  <c r="AA24" i="5"/>
  <c r="Z24" i="5"/>
  <c r="X24" i="5"/>
  <c r="W24" i="5"/>
  <c r="V24" i="5"/>
  <c r="U24" i="5"/>
  <c r="S24" i="5"/>
  <c r="R24" i="5"/>
  <c r="Q24" i="5"/>
  <c r="P24" i="5"/>
  <c r="N24" i="5"/>
  <c r="M24" i="5"/>
  <c r="L24" i="5"/>
  <c r="K24" i="5"/>
  <c r="I24" i="5"/>
  <c r="H24" i="5"/>
  <c r="G24" i="5"/>
  <c r="F24" i="5"/>
  <c r="D24" i="5"/>
  <c r="C24" i="5"/>
  <c r="B24" i="5"/>
  <c r="BH23" i="5"/>
  <c r="BI23" i="5" s="1"/>
  <c r="BD23" i="5"/>
  <c r="BD22" i="5"/>
  <c r="BD21" i="5"/>
  <c r="AY23" i="5"/>
  <c r="AY22" i="5"/>
  <c r="AT23" i="5"/>
  <c r="AT22" i="5"/>
  <c r="AT21" i="5"/>
  <c r="AO23" i="5"/>
  <c r="AO22" i="5"/>
  <c r="AO21" i="5"/>
  <c r="AJ23" i="5"/>
  <c r="AJ22" i="5"/>
  <c r="AJ21" i="5"/>
  <c r="AE23" i="5"/>
  <c r="AE22" i="5"/>
  <c r="AE21" i="5"/>
  <c r="Y23" i="5"/>
  <c r="Y22" i="5"/>
  <c r="Y21" i="5"/>
  <c r="T23" i="5"/>
  <c r="T22" i="5"/>
  <c r="T21" i="5"/>
  <c r="O23" i="5"/>
  <c r="O22" i="5"/>
  <c r="O21" i="5"/>
  <c r="J23" i="5"/>
  <c r="J22" i="5"/>
  <c r="J21" i="5"/>
  <c r="E23" i="5"/>
  <c r="E22" i="5"/>
  <c r="E21" i="5"/>
  <c r="BI22" i="5"/>
  <c r="BI21" i="5"/>
  <c r="AX21" i="5"/>
  <c r="AX24" i="5" s="1"/>
  <c r="BK18" i="5"/>
  <c r="BJ18" i="5"/>
  <c r="BH18" i="5"/>
  <c r="BG18" i="5"/>
  <c r="BF18" i="5"/>
  <c r="BE18" i="5"/>
  <c r="BC18" i="5"/>
  <c r="BB18" i="5"/>
  <c r="BA18" i="5"/>
  <c r="AZ18" i="5"/>
  <c r="BI17" i="5"/>
  <c r="BD17" i="5"/>
  <c r="AY17" i="5"/>
  <c r="AY18" i="5" s="1"/>
  <c r="AT17" i="5"/>
  <c r="AT18" i="5" s="1"/>
  <c r="AO17" i="5"/>
  <c r="AJ17" i="5"/>
  <c r="AE17" i="5"/>
  <c r="Y17" i="5"/>
  <c r="T17" i="5"/>
  <c r="O17" i="5"/>
  <c r="J17" i="5"/>
  <c r="E17" i="5"/>
  <c r="BI15" i="5"/>
  <c r="BD15" i="5"/>
  <c r="AU15" i="5"/>
  <c r="AU18" i="5" s="1"/>
  <c r="AR15" i="5"/>
  <c r="AR18" i="5" s="1"/>
  <c r="AR28" i="5" s="1"/>
  <c r="AQ15" i="5"/>
  <c r="AQ18" i="5" s="1"/>
  <c r="AQ28" i="5" s="1"/>
  <c r="AP15" i="5"/>
  <c r="AP18" i="5" s="1"/>
  <c r="AP28" i="5" s="1"/>
  <c r="AM15" i="5"/>
  <c r="AM18" i="5" s="1"/>
  <c r="AL15" i="5"/>
  <c r="AL18" i="5" s="1"/>
  <c r="AK15" i="5"/>
  <c r="AK18" i="5" s="1"/>
  <c r="AH15" i="5"/>
  <c r="AH18" i="5" s="1"/>
  <c r="AG15" i="5"/>
  <c r="AG18" i="5" s="1"/>
  <c r="AF15" i="5"/>
  <c r="AF18" i="5" s="1"/>
  <c r="AE15" i="5"/>
  <c r="AC15" i="5"/>
  <c r="AC18" i="5" s="1"/>
  <c r="AB15" i="5"/>
  <c r="AB18" i="5" s="1"/>
  <c r="AA15" i="5"/>
  <c r="AA18" i="5" s="1"/>
  <c r="Z15" i="5"/>
  <c r="Z18" i="5" s="1"/>
  <c r="X15" i="5"/>
  <c r="X18" i="5" s="1"/>
  <c r="W15" i="5"/>
  <c r="W18" i="5" s="1"/>
  <c r="V15" i="5"/>
  <c r="V18" i="5" s="1"/>
  <c r="U15" i="5"/>
  <c r="U18" i="5" s="1"/>
  <c r="S15" i="5"/>
  <c r="S18" i="5" s="1"/>
  <c r="R15" i="5"/>
  <c r="R18" i="5" s="1"/>
  <c r="Q15" i="5"/>
  <c r="Q18" i="5" s="1"/>
  <c r="P15" i="5"/>
  <c r="P18" i="5" s="1"/>
  <c r="N15" i="5"/>
  <c r="N18" i="5" s="1"/>
  <c r="M15" i="5"/>
  <c r="M18" i="5" s="1"/>
  <c r="L15" i="5"/>
  <c r="L18" i="5" s="1"/>
  <c r="K15" i="5"/>
  <c r="K18" i="5" s="1"/>
  <c r="I15" i="5"/>
  <c r="I18" i="5" s="1"/>
  <c r="H15" i="5"/>
  <c r="H18" i="5" s="1"/>
  <c r="AY14" i="5"/>
  <c r="AW14" i="5"/>
  <c r="AW15" i="5" s="1"/>
  <c r="AW18" i="5" s="1"/>
  <c r="AV14" i="5"/>
  <c r="AV15" i="5" s="1"/>
  <c r="AV18" i="5" s="1"/>
  <c r="AO14" i="5"/>
  <c r="AN14" i="5" s="1"/>
  <c r="AD14" i="5"/>
  <c r="AD13" i="5"/>
  <c r="AD12" i="5"/>
  <c r="AD11" i="5"/>
  <c r="Y14" i="5"/>
  <c r="Y13" i="5"/>
  <c r="Y12" i="5"/>
  <c r="Y11" i="5"/>
  <c r="T14" i="5"/>
  <c r="T13" i="5"/>
  <c r="T12" i="5"/>
  <c r="T11" i="5"/>
  <c r="O14" i="5"/>
  <c r="O13" i="5"/>
  <c r="O12" i="5"/>
  <c r="O11" i="5"/>
  <c r="G14" i="5"/>
  <c r="J14" i="5" s="1"/>
  <c r="G13" i="5"/>
  <c r="J13" i="5" s="1"/>
  <c r="G12" i="5"/>
  <c r="G11" i="5"/>
  <c r="J11" i="5" s="1"/>
  <c r="E14" i="5"/>
  <c r="E13" i="5"/>
  <c r="E12" i="5"/>
  <c r="E10" i="5"/>
  <c r="E9" i="5"/>
  <c r="E8" i="5"/>
  <c r="AX13" i="5"/>
  <c r="AX12" i="5"/>
  <c r="AX11" i="5"/>
  <c r="AS13" i="5"/>
  <c r="AS11" i="5"/>
  <c r="AN13" i="5"/>
  <c r="AN12" i="5"/>
  <c r="AN11" i="5"/>
  <c r="AI13" i="5"/>
  <c r="AI11" i="5"/>
  <c r="AT12" i="5"/>
  <c r="AS12" i="5" s="1"/>
  <c r="AJ12" i="5"/>
  <c r="AI12" i="5" s="1"/>
  <c r="BM13" i="5"/>
  <c r="BM12" i="5"/>
  <c r="BK14" i="5"/>
  <c r="BJ14" i="5"/>
  <c r="BK13" i="5"/>
  <c r="BJ13" i="5"/>
  <c r="BK12" i="5"/>
  <c r="BJ12" i="5"/>
  <c r="BK11" i="5"/>
  <c r="BJ11" i="5"/>
  <c r="BH13" i="5"/>
  <c r="BG13" i="5"/>
  <c r="BF13" i="5"/>
  <c r="BE13" i="5"/>
  <c r="BH12" i="5"/>
  <c r="BG12" i="5"/>
  <c r="BF12" i="5"/>
  <c r="BE12" i="5"/>
  <c r="BE11" i="5"/>
  <c r="BE14" i="5" s="1"/>
  <c r="BC13" i="5"/>
  <c r="BB13" i="5"/>
  <c r="BA13" i="5"/>
  <c r="AZ13" i="5"/>
  <c r="BC12" i="5"/>
  <c r="BB12" i="5"/>
  <c r="BA12" i="5"/>
  <c r="AZ12" i="5"/>
  <c r="BC11" i="5"/>
  <c r="BC14" i="5" s="1"/>
  <c r="BB11" i="5"/>
  <c r="BB14" i="5" s="1"/>
  <c r="BA11" i="5"/>
  <c r="AZ11" i="5"/>
  <c r="AZ14" i="5" s="1"/>
  <c r="F11" i="5"/>
  <c r="F15" i="5" s="1"/>
  <c r="F18" i="5" s="1"/>
  <c r="D11" i="5"/>
  <c r="D15" i="5" s="1"/>
  <c r="D18" i="5" s="1"/>
  <c r="C11" i="5"/>
  <c r="C15" i="5" s="1"/>
  <c r="C18" i="5" s="1"/>
  <c r="B11" i="5"/>
  <c r="B15" i="5" s="1"/>
  <c r="B18" i="5" s="1"/>
  <c r="AT214" i="5"/>
  <c r="BN106" i="5"/>
  <c r="BQ106" i="5" s="1"/>
  <c r="BS106" i="5" s="1"/>
  <c r="BT106" i="5" s="1"/>
  <c r="BU106" i="5" s="1"/>
  <c r="BV106" i="5" s="1"/>
  <c r="BW106" i="5" s="1"/>
  <c r="BX106" i="5" s="1"/>
  <c r="BY106" i="5" s="1"/>
  <c r="BZ106" i="5" s="1"/>
  <c r="CA106" i="5" s="1"/>
  <c r="CB106" i="5" s="1"/>
  <c r="CC106" i="5" s="1"/>
  <c r="CD106" i="5" s="1"/>
  <c r="CE106" i="5" s="1"/>
  <c r="CF106" i="5" s="1"/>
  <c r="CG106" i="5" s="1"/>
  <c r="CH106" i="5" s="1"/>
  <c r="CI106" i="5" s="1"/>
  <c r="CJ106" i="5" s="1"/>
  <c r="CK106" i="5" s="1"/>
  <c r="CL106" i="5" s="1"/>
  <c r="CM106" i="5" s="1"/>
  <c r="CN106" i="5" s="1"/>
  <c r="CO106" i="5" s="1"/>
  <c r="CP106" i="5" s="1"/>
  <c r="CQ106" i="5" s="1"/>
  <c r="CR106" i="5" s="1"/>
  <c r="CS106" i="5" s="1"/>
  <c r="CT106" i="5" s="1"/>
  <c r="CU106" i="5" s="1"/>
  <c r="CV106" i="5" s="1"/>
  <c r="CW106" i="5" s="1"/>
  <c r="CX106" i="5" s="1"/>
  <c r="CY106" i="5" s="1"/>
  <c r="CZ106" i="5" s="1"/>
  <c r="DA106" i="5" s="1"/>
  <c r="DB106" i="5" s="1"/>
  <c r="M453" i="5"/>
  <c r="AH212" i="5"/>
  <c r="BI175" i="5"/>
  <c r="BM61" i="5"/>
  <c r="BG205" i="5"/>
  <c r="BH205" i="5" s="1"/>
  <c r="AH398" i="5"/>
  <c r="BJ435" i="5"/>
  <c r="BN87" i="5"/>
  <c r="BN122" i="5"/>
  <c r="BN121" i="5"/>
  <c r="BM14" i="5"/>
  <c r="BN125" i="5"/>
  <c r="BS125" i="5" s="1"/>
  <c r="BT125" i="5" s="1"/>
  <c r="BU125" i="5" s="1"/>
  <c r="BV125" i="5" s="1"/>
  <c r="BW125" i="5" s="1"/>
  <c r="BX125" i="5" s="1"/>
  <c r="BY125" i="5" s="1"/>
  <c r="BZ125" i="5" s="1"/>
  <c r="CA125" i="5" s="1"/>
  <c r="CB125" i="5" s="1"/>
  <c r="CC125" i="5" s="1"/>
  <c r="CD125" i="5" s="1"/>
  <c r="CE125" i="5" s="1"/>
  <c r="CF125" i="5" s="1"/>
  <c r="CG125" i="5" s="1"/>
  <c r="CH125" i="5" s="1"/>
  <c r="CI125" i="5" s="1"/>
  <c r="CJ125" i="5" s="1"/>
  <c r="CK125" i="5" s="1"/>
  <c r="CL125" i="5" s="1"/>
  <c r="CM125" i="5" s="1"/>
  <c r="CN125" i="5" s="1"/>
  <c r="CO125" i="5" s="1"/>
  <c r="CP125" i="5" s="1"/>
  <c r="CQ125" i="5" s="1"/>
  <c r="CR125" i="5" s="1"/>
  <c r="CS125" i="5" s="1"/>
  <c r="CT125" i="5" s="1"/>
  <c r="CU125" i="5" s="1"/>
  <c r="CV125" i="5" s="1"/>
  <c r="CW125" i="5" s="1"/>
  <c r="CX125" i="5" s="1"/>
  <c r="CY125" i="5" s="1"/>
  <c r="CZ125" i="5" s="1"/>
  <c r="DA125" i="5" s="1"/>
  <c r="DB125" i="5" s="1"/>
  <c r="BM67" i="5"/>
  <c r="BN59" i="5"/>
  <c r="BN40" i="5"/>
  <c r="BN86" i="5"/>
  <c r="BN115" i="5"/>
  <c r="BQ115" i="5" s="1"/>
  <c r="BS115" i="5" s="1"/>
  <c r="BT115" i="5" s="1"/>
  <c r="BU115" i="5" s="1"/>
  <c r="BV115" i="5" s="1"/>
  <c r="BW115" i="5" s="1"/>
  <c r="BX115" i="5" s="1"/>
  <c r="BY115" i="5" s="1"/>
  <c r="BZ115" i="5" s="1"/>
  <c r="CA115" i="5" s="1"/>
  <c r="CB115" i="5" s="1"/>
  <c r="CC115" i="5" s="1"/>
  <c r="CD115" i="5" s="1"/>
  <c r="CE115" i="5" s="1"/>
  <c r="CF115" i="5" s="1"/>
  <c r="CG115" i="5" s="1"/>
  <c r="CH115" i="5" s="1"/>
  <c r="CI115" i="5" s="1"/>
  <c r="CJ115" i="5" s="1"/>
  <c r="CK115" i="5" s="1"/>
  <c r="CL115" i="5" s="1"/>
  <c r="CM115" i="5" s="1"/>
  <c r="CN115" i="5" s="1"/>
  <c r="CO115" i="5" s="1"/>
  <c r="CP115" i="5" s="1"/>
  <c r="CQ115" i="5" s="1"/>
  <c r="CR115" i="5" s="1"/>
  <c r="CS115" i="5" s="1"/>
  <c r="CT115" i="5" s="1"/>
  <c r="CU115" i="5" s="1"/>
  <c r="CV115" i="5" s="1"/>
  <c r="CW115" i="5" s="1"/>
  <c r="CX115" i="5" s="1"/>
  <c r="CY115" i="5" s="1"/>
  <c r="CZ115" i="5" s="1"/>
  <c r="DA115" i="5" s="1"/>
  <c r="DB115" i="5" s="1"/>
  <c r="BN113" i="5"/>
  <c r="BS113" i="5" s="1"/>
  <c r="BT113" i="5" s="1"/>
  <c r="BU113" i="5" s="1"/>
  <c r="BV113" i="5" s="1"/>
  <c r="BW113" i="5" s="1"/>
  <c r="BX113" i="5" s="1"/>
  <c r="BY113" i="5" s="1"/>
  <c r="BZ113" i="5" s="1"/>
  <c r="CA113" i="5" s="1"/>
  <c r="CB113" i="5" s="1"/>
  <c r="CC113" i="5" s="1"/>
  <c r="CD113" i="5" s="1"/>
  <c r="CE113" i="5" s="1"/>
  <c r="CF113" i="5" s="1"/>
  <c r="CG113" i="5" s="1"/>
  <c r="CH113" i="5" s="1"/>
  <c r="CI113" i="5" s="1"/>
  <c r="CJ113" i="5" s="1"/>
  <c r="CK113" i="5" s="1"/>
  <c r="CL113" i="5" s="1"/>
  <c r="CM113" i="5" s="1"/>
  <c r="CN113" i="5" s="1"/>
  <c r="CO113" i="5" s="1"/>
  <c r="CP113" i="5" s="1"/>
  <c r="CQ113" i="5" s="1"/>
  <c r="CR113" i="5" s="1"/>
  <c r="CS113" i="5" s="1"/>
  <c r="CT113" i="5" s="1"/>
  <c r="CU113" i="5" s="1"/>
  <c r="CV113" i="5" s="1"/>
  <c r="CW113" i="5" s="1"/>
  <c r="CX113" i="5" s="1"/>
  <c r="CY113" i="5" s="1"/>
  <c r="CZ113" i="5" s="1"/>
  <c r="DA113" i="5" s="1"/>
  <c r="DB113" i="5" s="1"/>
  <c r="BN112" i="5"/>
  <c r="BL434" i="5"/>
  <c r="BM430" i="5"/>
  <c r="BM431" i="5" s="1"/>
  <c r="BR432" i="5" s="1"/>
  <c r="BS12" i="5"/>
  <c r="BN439" i="5"/>
  <c r="BT438" i="5"/>
  <c r="BU438" i="5" s="1"/>
  <c r="BQ122" i="5"/>
  <c r="BS122" i="5" s="1"/>
  <c r="BT122" i="5" s="1"/>
  <c r="BU122" i="5" s="1"/>
  <c r="BV122" i="5" s="1"/>
  <c r="BW122" i="5" s="1"/>
  <c r="BX122" i="5" s="1"/>
  <c r="BY122" i="5" s="1"/>
  <c r="BZ122" i="5" s="1"/>
  <c r="CA122" i="5" s="1"/>
  <c r="CB122" i="5" s="1"/>
  <c r="CC122" i="5" s="1"/>
  <c r="CD122" i="5" s="1"/>
  <c r="CE122" i="5" s="1"/>
  <c r="CF122" i="5" s="1"/>
  <c r="CG122" i="5" s="1"/>
  <c r="CH122" i="5" s="1"/>
  <c r="CI122" i="5" s="1"/>
  <c r="CJ122" i="5" s="1"/>
  <c r="CK122" i="5" s="1"/>
  <c r="CL122" i="5" s="1"/>
  <c r="CM122" i="5" s="1"/>
  <c r="CN122" i="5" s="1"/>
  <c r="CO122" i="5" s="1"/>
  <c r="CP122" i="5" s="1"/>
  <c r="CQ122" i="5" s="1"/>
  <c r="CR122" i="5" s="1"/>
  <c r="CS122" i="5" s="1"/>
  <c r="CT122" i="5" s="1"/>
  <c r="CU122" i="5" s="1"/>
  <c r="CV122" i="5" s="1"/>
  <c r="CW122" i="5" s="1"/>
  <c r="CX122" i="5" s="1"/>
  <c r="CY122" i="5" s="1"/>
  <c r="CZ122" i="5" s="1"/>
  <c r="DA122" i="5" s="1"/>
  <c r="DB122" i="5" s="1"/>
  <c r="BO242" i="5"/>
  <c r="BN85" i="5"/>
  <c r="CI164" i="5"/>
  <c r="BN39" i="5"/>
  <c r="BT164" i="5"/>
  <c r="CN164" i="5"/>
  <c r="CD164" i="5"/>
  <c r="X213" i="5"/>
  <c r="Y213" i="5" s="1"/>
  <c r="BN437" i="5"/>
  <c r="BN23" i="5"/>
  <c r="BN114" i="5"/>
  <c r="BS114" i="5" s="1"/>
  <c r="BT114" i="5" s="1"/>
  <c r="BU114" i="5" s="1"/>
  <c r="BV114" i="5" s="1"/>
  <c r="BW114" i="5" s="1"/>
  <c r="BX114" i="5" s="1"/>
  <c r="BY114" i="5" s="1"/>
  <c r="BZ114" i="5" s="1"/>
  <c r="CA114" i="5" s="1"/>
  <c r="CB114" i="5" s="1"/>
  <c r="CC114" i="5" s="1"/>
  <c r="CD114" i="5" s="1"/>
  <c r="CE114" i="5" s="1"/>
  <c r="CF114" i="5" s="1"/>
  <c r="CG114" i="5" s="1"/>
  <c r="CH114" i="5" s="1"/>
  <c r="CI114" i="5" s="1"/>
  <c r="CJ114" i="5" s="1"/>
  <c r="CK114" i="5" s="1"/>
  <c r="CL114" i="5" s="1"/>
  <c r="CM114" i="5" s="1"/>
  <c r="CN114" i="5" s="1"/>
  <c r="CO114" i="5" s="1"/>
  <c r="CP114" i="5" s="1"/>
  <c r="CQ114" i="5" s="1"/>
  <c r="CR114" i="5" s="1"/>
  <c r="CS114" i="5" s="1"/>
  <c r="CT114" i="5" s="1"/>
  <c r="CU114" i="5" s="1"/>
  <c r="CV114" i="5" s="1"/>
  <c r="CW114" i="5" s="1"/>
  <c r="CX114" i="5" s="1"/>
  <c r="CY114" i="5" s="1"/>
  <c r="CZ114" i="5" s="1"/>
  <c r="DA114" i="5" s="1"/>
  <c r="DB114" i="5" s="1"/>
  <c r="F175" i="5"/>
  <c r="BS13" i="5"/>
  <c r="BM454" i="5"/>
  <c r="B32" i="5"/>
  <c r="BN41" i="5"/>
  <c r="BN131" i="5"/>
  <c r="BN69" i="5"/>
  <c r="BN111" i="5"/>
  <c r="BY164" i="5"/>
  <c r="BS86" i="5"/>
  <c r="BT86" i="5" s="1"/>
  <c r="BU86" i="5" s="1"/>
  <c r="BV86" i="5" s="1"/>
  <c r="BW86" i="5" s="1"/>
  <c r="BX86" i="5" s="1"/>
  <c r="BY86" i="5" s="1"/>
  <c r="BZ86" i="5" s="1"/>
  <c r="CA86" i="5" s="1"/>
  <c r="CB86" i="5" s="1"/>
  <c r="CC86" i="5" s="1"/>
  <c r="CD86" i="5" s="1"/>
  <c r="CE86" i="5" s="1"/>
  <c r="CF86" i="5" s="1"/>
  <c r="CG86" i="5" s="1"/>
  <c r="CH86" i="5" s="1"/>
  <c r="CI86" i="5" s="1"/>
  <c r="CJ86" i="5" s="1"/>
  <c r="CK86" i="5" s="1"/>
  <c r="CL86" i="5" s="1"/>
  <c r="CM86" i="5" s="1"/>
  <c r="CN86" i="5" s="1"/>
  <c r="CO86" i="5" s="1"/>
  <c r="CP86" i="5" s="1"/>
  <c r="CQ86" i="5" s="1"/>
  <c r="CR86" i="5" s="1"/>
  <c r="CS86" i="5" s="1"/>
  <c r="CT86" i="5" s="1"/>
  <c r="CU86" i="5" s="1"/>
  <c r="CV86" i="5" s="1"/>
  <c r="CW86" i="5" s="1"/>
  <c r="CX86" i="5" s="1"/>
  <c r="CY86" i="5" s="1"/>
  <c r="CZ86" i="5" s="1"/>
  <c r="DA86" i="5" s="1"/>
  <c r="DB86" i="5" s="1"/>
  <c r="BS87" i="5"/>
  <c r="BT87" i="5" s="1"/>
  <c r="BU87" i="5" s="1"/>
  <c r="BV87" i="5" s="1"/>
  <c r="BW87" i="5" s="1"/>
  <c r="BX87" i="5" s="1"/>
  <c r="BY87" i="5" s="1"/>
  <c r="BZ87" i="5" s="1"/>
  <c r="CA87" i="5" s="1"/>
  <c r="CB87" i="5" s="1"/>
  <c r="CC87" i="5" s="1"/>
  <c r="CD87" i="5" s="1"/>
  <c r="CE87" i="5" s="1"/>
  <c r="CF87" i="5" s="1"/>
  <c r="CG87" i="5" s="1"/>
  <c r="CH87" i="5" s="1"/>
  <c r="CI87" i="5" s="1"/>
  <c r="CJ87" i="5" s="1"/>
  <c r="CK87" i="5" s="1"/>
  <c r="CL87" i="5" s="1"/>
  <c r="CM87" i="5" s="1"/>
  <c r="CN87" i="5" s="1"/>
  <c r="CO87" i="5" s="1"/>
  <c r="CP87" i="5" s="1"/>
  <c r="CQ87" i="5" s="1"/>
  <c r="CR87" i="5" s="1"/>
  <c r="CS87" i="5" s="1"/>
  <c r="CT87" i="5" s="1"/>
  <c r="CU87" i="5" s="1"/>
  <c r="CV87" i="5" s="1"/>
  <c r="CW87" i="5" s="1"/>
  <c r="CX87" i="5" s="1"/>
  <c r="CY87" i="5" s="1"/>
  <c r="CZ87" i="5" s="1"/>
  <c r="DA87" i="5" s="1"/>
  <c r="DB87" i="5" s="1"/>
  <c r="BO70" i="5"/>
  <c r="BQ121" i="5"/>
  <c r="BS121" i="5" s="1"/>
  <c r="BT121" i="5" s="1"/>
  <c r="BU121" i="5" s="1"/>
  <c r="BV121" i="5" s="1"/>
  <c r="BW121" i="5" s="1"/>
  <c r="BX121" i="5" s="1"/>
  <c r="BY121" i="5" s="1"/>
  <c r="BZ121" i="5" s="1"/>
  <c r="CA121" i="5" s="1"/>
  <c r="CB121" i="5" s="1"/>
  <c r="CC121" i="5" s="1"/>
  <c r="CD121" i="5" s="1"/>
  <c r="CE121" i="5" s="1"/>
  <c r="CF121" i="5" s="1"/>
  <c r="CG121" i="5" s="1"/>
  <c r="CH121" i="5" s="1"/>
  <c r="CI121" i="5" s="1"/>
  <c r="CJ121" i="5" s="1"/>
  <c r="CK121" i="5" s="1"/>
  <c r="CL121" i="5" s="1"/>
  <c r="CM121" i="5" s="1"/>
  <c r="CN121" i="5" s="1"/>
  <c r="CO121" i="5" s="1"/>
  <c r="CP121" i="5" s="1"/>
  <c r="CQ121" i="5" s="1"/>
  <c r="CR121" i="5" s="1"/>
  <c r="CS121" i="5" s="1"/>
  <c r="CT121" i="5" s="1"/>
  <c r="CU121" i="5" s="1"/>
  <c r="CV121" i="5" s="1"/>
  <c r="CW121" i="5" s="1"/>
  <c r="CX121" i="5" s="1"/>
  <c r="CY121" i="5" s="1"/>
  <c r="CZ121" i="5" s="1"/>
  <c r="DA121" i="5" s="1"/>
  <c r="DB121" i="5" s="1"/>
  <c r="BN133" i="5"/>
  <c r="BO454" i="5" s="1"/>
  <c r="BN116" i="5"/>
  <c r="BN90" i="5"/>
  <c r="BQ90" i="5" s="1"/>
  <c r="BS90" i="5" s="1"/>
  <c r="BT90" i="5" s="1"/>
  <c r="BU90" i="5" s="1"/>
  <c r="BV90" i="5" s="1"/>
  <c r="BW90" i="5" s="1"/>
  <c r="BX90" i="5" s="1"/>
  <c r="BY90" i="5" s="1"/>
  <c r="BZ90" i="5" s="1"/>
  <c r="CA90" i="5" s="1"/>
  <c r="CB90" i="5" s="1"/>
  <c r="CC90" i="5" s="1"/>
  <c r="CD90" i="5" s="1"/>
  <c r="CE90" i="5" s="1"/>
  <c r="CF90" i="5" s="1"/>
  <c r="CG90" i="5" s="1"/>
  <c r="CH90" i="5" s="1"/>
  <c r="CI90" i="5" s="1"/>
  <c r="CJ90" i="5" s="1"/>
  <c r="CK90" i="5" s="1"/>
  <c r="CL90" i="5" s="1"/>
  <c r="CM90" i="5" s="1"/>
  <c r="CN90" i="5" s="1"/>
  <c r="CO90" i="5" s="1"/>
  <c r="CP90" i="5" s="1"/>
  <c r="CQ90" i="5" s="1"/>
  <c r="CR90" i="5" s="1"/>
  <c r="CS90" i="5" s="1"/>
  <c r="CT90" i="5" s="1"/>
  <c r="CU90" i="5" s="1"/>
  <c r="CV90" i="5" s="1"/>
  <c r="CW90" i="5" s="1"/>
  <c r="CX90" i="5" s="1"/>
  <c r="CY90" i="5" s="1"/>
  <c r="CZ90" i="5" s="1"/>
  <c r="DA90" i="5" s="1"/>
  <c r="DB90" i="5" s="1"/>
  <c r="BN88" i="5"/>
  <c r="BN123" i="5"/>
  <c r="BN89" i="5"/>
  <c r="BN102" i="5"/>
  <c r="BN101" i="5"/>
  <c r="BN91" i="5"/>
  <c r="BO201" i="5"/>
  <c r="BS112" i="5"/>
  <c r="BP70" i="5"/>
  <c r="BQ242" i="5"/>
  <c r="BQ102" i="5"/>
  <c r="BS102" i="5" s="1"/>
  <c r="BT102" i="5" s="1"/>
  <c r="BU102" i="5" s="1"/>
  <c r="BV102" i="5" s="1"/>
  <c r="BW102" i="5" s="1"/>
  <c r="BX102" i="5" s="1"/>
  <c r="BY102" i="5" s="1"/>
  <c r="BZ102" i="5" s="1"/>
  <c r="CA102" i="5" s="1"/>
  <c r="CB102" i="5" s="1"/>
  <c r="CC102" i="5" s="1"/>
  <c r="CD102" i="5" s="1"/>
  <c r="CE102" i="5" s="1"/>
  <c r="CF102" i="5" s="1"/>
  <c r="CG102" i="5" s="1"/>
  <c r="CH102" i="5" s="1"/>
  <c r="CI102" i="5" s="1"/>
  <c r="CJ102" i="5" s="1"/>
  <c r="CK102" i="5" s="1"/>
  <c r="CL102" i="5" s="1"/>
  <c r="CM102" i="5" s="1"/>
  <c r="CN102" i="5" s="1"/>
  <c r="CO102" i="5" s="1"/>
  <c r="CP102" i="5" s="1"/>
  <c r="CQ102" i="5" s="1"/>
  <c r="BQ70" i="5"/>
  <c r="BS101" i="5"/>
  <c r="BT101" i="5" s="1"/>
  <c r="BQ89" i="5"/>
  <c r="BS89" i="5" s="1"/>
  <c r="BT89" i="5" s="1"/>
  <c r="BU89" i="5" s="1"/>
  <c r="BV89" i="5" s="1"/>
  <c r="BW89" i="5" s="1"/>
  <c r="BX89" i="5" s="1"/>
  <c r="BY89" i="5" s="1"/>
  <c r="BZ89" i="5" s="1"/>
  <c r="CA89" i="5" s="1"/>
  <c r="CB89" i="5" s="1"/>
  <c r="CC89" i="5" s="1"/>
  <c r="CD89" i="5" s="1"/>
  <c r="CE89" i="5" s="1"/>
  <c r="CF89" i="5" s="1"/>
  <c r="CG89" i="5" s="1"/>
  <c r="CH89" i="5" s="1"/>
  <c r="CI89" i="5" s="1"/>
  <c r="CJ89" i="5" s="1"/>
  <c r="CK89" i="5" s="1"/>
  <c r="CL89" i="5" s="1"/>
  <c r="CM89" i="5" s="1"/>
  <c r="CN89" i="5" s="1"/>
  <c r="CO89" i="5" s="1"/>
  <c r="CP89" i="5" s="1"/>
  <c r="CQ89" i="5" s="1"/>
  <c r="CR89" i="5" s="1"/>
  <c r="CS89" i="5" s="1"/>
  <c r="CT89" i="5" s="1"/>
  <c r="CU89" i="5" s="1"/>
  <c r="CV89" i="5" s="1"/>
  <c r="CW89" i="5" s="1"/>
  <c r="CX89" i="5" s="1"/>
  <c r="CY89" i="5" s="1"/>
  <c r="CZ89" i="5" s="1"/>
  <c r="DA89" i="5" s="1"/>
  <c r="DB89" i="5" s="1"/>
  <c r="BS116" i="5"/>
  <c r="BT116" i="5" s="1"/>
  <c r="BU116" i="5" s="1"/>
  <c r="BV116" i="5" s="1"/>
  <c r="BW116" i="5" s="1"/>
  <c r="BX116" i="5" s="1"/>
  <c r="BY116" i="5" s="1"/>
  <c r="BZ116" i="5" s="1"/>
  <c r="CA116" i="5" s="1"/>
  <c r="CB116" i="5" s="1"/>
  <c r="CC116" i="5" s="1"/>
  <c r="CD116" i="5" s="1"/>
  <c r="CE116" i="5" s="1"/>
  <c r="CF116" i="5" s="1"/>
  <c r="CG116" i="5" s="1"/>
  <c r="CH116" i="5" s="1"/>
  <c r="CI116" i="5" s="1"/>
  <c r="CJ116" i="5" s="1"/>
  <c r="CK116" i="5" s="1"/>
  <c r="CL116" i="5" s="1"/>
  <c r="CM116" i="5" s="1"/>
  <c r="CN116" i="5" s="1"/>
  <c r="CO116" i="5" s="1"/>
  <c r="CP116" i="5" s="1"/>
  <c r="CQ116" i="5" s="1"/>
  <c r="CR116" i="5" s="1"/>
  <c r="CS116" i="5" s="1"/>
  <c r="CT116" i="5" s="1"/>
  <c r="CU116" i="5" s="1"/>
  <c r="CV116" i="5" s="1"/>
  <c r="CW116" i="5" s="1"/>
  <c r="CX116" i="5" s="1"/>
  <c r="CY116" i="5" s="1"/>
  <c r="CZ116" i="5" s="1"/>
  <c r="DA116" i="5" s="1"/>
  <c r="DB116" i="5" s="1"/>
  <c r="BN135" i="5"/>
  <c r="BS135" i="5" s="1"/>
  <c r="CZ209" i="5"/>
  <c r="CL209" i="5"/>
  <c r="CV209" i="5"/>
  <c r="CJ209" i="5"/>
  <c r="CF209" i="5"/>
  <c r="CD209" i="5"/>
  <c r="CI209" i="5"/>
  <c r="CN209" i="5"/>
  <c r="CE209" i="5"/>
  <c r="CX209" i="5"/>
  <c r="CQ209" i="5"/>
  <c r="CK209" i="5"/>
  <c r="BZ209" i="5"/>
  <c r="BY209" i="5"/>
  <c r="CU209" i="5"/>
  <c r="BU209" i="5"/>
  <c r="BT167" i="5"/>
  <c r="BY167" i="5"/>
  <c r="CD167" i="5"/>
  <c r="CI167" i="5"/>
  <c r="CN167" i="5"/>
  <c r="CS167" i="5"/>
  <c r="CX167" i="5"/>
  <c r="BW463" i="5" l="1"/>
  <c r="BC216" i="5"/>
  <c r="BD300" i="5"/>
  <c r="CV463" i="5"/>
  <c r="AU214" i="5"/>
  <c r="CY463" i="5"/>
  <c r="BD302" i="5"/>
  <c r="BD303" i="5" s="1"/>
  <c r="U305" i="5"/>
  <c r="M186" i="5"/>
  <c r="N186" i="5" s="1"/>
  <c r="O186" i="5" s="1"/>
  <c r="BE303" i="5"/>
  <c r="BH430" i="5"/>
  <c r="BH431" i="5" s="1"/>
  <c r="BM432" i="5" s="1"/>
  <c r="BE301" i="5"/>
  <c r="CH236" i="5"/>
  <c r="AC443" i="5"/>
  <c r="AS204" i="5"/>
  <c r="BL209" i="5"/>
  <c r="BW192" i="5"/>
  <c r="BL435" i="5"/>
  <c r="BQ435" i="5"/>
  <c r="BN67" i="5"/>
  <c r="BN61" i="5"/>
  <c r="BL205" i="5"/>
  <c r="BM193" i="5"/>
  <c r="CG209" i="5"/>
  <c r="BS175" i="5"/>
  <c r="BS187" i="5" s="1"/>
  <c r="BR187" i="5"/>
  <c r="BT112" i="5"/>
  <c r="BZ146" i="5"/>
  <c r="CA146" i="5" s="1"/>
  <c r="CB146" i="5" s="1"/>
  <c r="BV209" i="5"/>
  <c r="J192" i="5"/>
  <c r="BI41" i="5"/>
  <c r="BI43" i="5" s="1"/>
  <c r="BC174" i="5"/>
  <c r="CC236" i="5"/>
  <c r="BV69" i="5"/>
  <c r="CG205" i="5"/>
  <c r="CH192" i="5"/>
  <c r="BV205" i="5"/>
  <c r="CA209" i="5"/>
  <c r="BW205" i="5"/>
  <c r="AN176" i="5"/>
  <c r="CL463" i="5"/>
  <c r="BE299" i="5"/>
  <c r="AM463" i="5"/>
  <c r="O199" i="5"/>
  <c r="BC463" i="5"/>
  <c r="CD463" i="5"/>
  <c r="BM463" i="5"/>
  <c r="BM51" i="5" s="1"/>
  <c r="AZ463" i="5"/>
  <c r="CQ463" i="5"/>
  <c r="BE463" i="5"/>
  <c r="BE51" i="5" s="1"/>
  <c r="BE49" i="5" s="1"/>
  <c r="BI49" i="5" s="1"/>
  <c r="AM126" i="5"/>
  <c r="AM138" i="5" s="1"/>
  <c r="BV463" i="5"/>
  <c r="G301" i="5"/>
  <c r="BZ463" i="5"/>
  <c r="AZ299" i="5"/>
  <c r="H186" i="5"/>
  <c r="I186" i="5" s="1"/>
  <c r="AW463" i="5"/>
  <c r="AW51" i="5" s="1"/>
  <c r="D454" i="5"/>
  <c r="AU463" i="5"/>
  <c r="AU51" i="5" s="1"/>
  <c r="AU56" i="5" s="1"/>
  <c r="BE175" i="5"/>
  <c r="CF463" i="5"/>
  <c r="J133" i="5"/>
  <c r="J454" i="5" s="1"/>
  <c r="P454" i="5"/>
  <c r="AS180" i="5"/>
  <c r="AD184" i="5"/>
  <c r="K136" i="5"/>
  <c r="O179" i="5"/>
  <c r="AC463" i="5"/>
  <c r="AC51" i="5" s="1"/>
  <c r="AC49" i="5" s="1"/>
  <c r="BP463" i="5"/>
  <c r="BP51" i="5" s="1"/>
  <c r="AE340" i="5"/>
  <c r="AF28" i="5"/>
  <c r="AF48" i="5" s="1"/>
  <c r="CV39" i="5"/>
  <c r="CV164" i="5" s="1"/>
  <c r="R463" i="5"/>
  <c r="R51" i="5" s="1"/>
  <c r="R56" i="5" s="1"/>
  <c r="M28" i="5"/>
  <c r="M48" i="5" s="1"/>
  <c r="W28" i="5"/>
  <c r="W48" i="5" s="1"/>
  <c r="AG28" i="5"/>
  <c r="AG48" i="5" s="1"/>
  <c r="E183" i="5"/>
  <c r="CU164" i="5"/>
  <c r="S463" i="5"/>
  <c r="S51" i="5" s="1"/>
  <c r="S56" i="5" s="1"/>
  <c r="B28" i="5"/>
  <c r="B48" i="5" s="1"/>
  <c r="L28" i="5"/>
  <c r="L48" i="5" s="1"/>
  <c r="V28" i="5"/>
  <c r="V48" i="5" s="1"/>
  <c r="E169" i="5"/>
  <c r="O172" i="5"/>
  <c r="AE214" i="5"/>
  <c r="V305" i="5"/>
  <c r="AQ48" i="5"/>
  <c r="BJ433" i="5"/>
  <c r="BM433" i="5" s="1"/>
  <c r="BJ34" i="5"/>
  <c r="AL28" i="5"/>
  <c r="AL48" i="5" s="1"/>
  <c r="AP36" i="5"/>
  <c r="AP490" i="5" s="1"/>
  <c r="AP48" i="5"/>
  <c r="AR48" i="5"/>
  <c r="AC168" i="5"/>
  <c r="J171" i="5"/>
  <c r="AY338" i="5"/>
  <c r="AK340" i="5"/>
  <c r="CJ78" i="5"/>
  <c r="AC406" i="5"/>
  <c r="Q305" i="5"/>
  <c r="CT164" i="5"/>
  <c r="AS183" i="5"/>
  <c r="H443" i="5"/>
  <c r="AU28" i="5"/>
  <c r="AU48" i="5" s="1"/>
  <c r="BI18" i="5"/>
  <c r="BA28" i="5"/>
  <c r="BA48" i="5" s="1"/>
  <c r="E24" i="5"/>
  <c r="AT24" i="5"/>
  <c r="AT28" i="5" s="1"/>
  <c r="U70" i="5"/>
  <c r="BI70" i="5"/>
  <c r="L126" i="5"/>
  <c r="L138" i="5" s="1"/>
  <c r="BL169" i="5"/>
  <c r="BK235" i="5"/>
  <c r="BH210" i="5"/>
  <c r="AT14" i="5"/>
  <c r="AS14" i="5" s="1"/>
  <c r="AS15" i="5" s="1"/>
  <c r="AS18" i="5" s="1"/>
  <c r="AS28" i="5" s="1"/>
  <c r="AS439" i="5"/>
  <c r="BN70" i="5"/>
  <c r="AX210" i="5"/>
  <c r="Q307" i="5"/>
  <c r="D174" i="5"/>
  <c r="E174" i="5" s="1"/>
  <c r="L301" i="5"/>
  <c r="AZ297" i="5"/>
  <c r="BD297" i="5" s="1"/>
  <c r="BG440" i="5"/>
  <c r="BG34" i="5" s="1"/>
  <c r="BB211" i="5"/>
  <c r="BB453" i="5" s="1"/>
  <c r="M377" i="5"/>
  <c r="AO416" i="5"/>
  <c r="AL418" i="5"/>
  <c r="AL416" i="5" s="1"/>
  <c r="AN117" i="5"/>
  <c r="AN126" i="5" s="1"/>
  <c r="AN138" i="5" s="1"/>
  <c r="BH117" i="5"/>
  <c r="B126" i="5"/>
  <c r="B138" i="5" s="1"/>
  <c r="AH418" i="5"/>
  <c r="AC408" i="5"/>
  <c r="AJ340" i="5"/>
  <c r="J168" i="5"/>
  <c r="AL453" i="5"/>
  <c r="BD104" i="5"/>
  <c r="BD105" i="5" s="1"/>
  <c r="AV405" i="5"/>
  <c r="AV408" i="5" s="1"/>
  <c r="AL205" i="5"/>
  <c r="AM205" i="5" s="1"/>
  <c r="AA126" i="5"/>
  <c r="AA138" i="5" s="1"/>
  <c r="AT362" i="5"/>
  <c r="O180" i="5"/>
  <c r="T95" i="5"/>
  <c r="T100" i="5" s="1"/>
  <c r="B175" i="5"/>
  <c r="AX216" i="5"/>
  <c r="T463" i="5"/>
  <c r="T51" i="5" s="1"/>
  <c r="AN172" i="5"/>
  <c r="AX399" i="5"/>
  <c r="AX405" i="5" s="1"/>
  <c r="AX33" i="5" s="1"/>
  <c r="AX14" i="5"/>
  <c r="BF117" i="5"/>
  <c r="BD214" i="5"/>
  <c r="AU376" i="5"/>
  <c r="AU378" i="5" s="1"/>
  <c r="AD169" i="5"/>
  <c r="AI180" i="5"/>
  <c r="AJ70" i="5"/>
  <c r="J176" i="5"/>
  <c r="AW32" i="5"/>
  <c r="AW342" i="5"/>
  <c r="BE443" i="5"/>
  <c r="AT187" i="5"/>
  <c r="AT218" i="5" s="1"/>
  <c r="AY70" i="5"/>
  <c r="B443" i="5"/>
  <c r="D180" i="5"/>
  <c r="E180" i="5" s="1"/>
  <c r="DA205" i="5"/>
  <c r="DA209" i="5"/>
  <c r="AR356" i="5"/>
  <c r="AW357" i="5" s="1"/>
  <c r="CT463" i="5"/>
  <c r="AD463" i="5"/>
  <c r="AD51" i="5" s="1"/>
  <c r="CJ463" i="5"/>
  <c r="BT463" i="5"/>
  <c r="AQ126" i="5"/>
  <c r="AQ138" i="5" s="1"/>
  <c r="BL211" i="5"/>
  <c r="BK453" i="5"/>
  <c r="L307" i="5"/>
  <c r="L31" i="5"/>
  <c r="V307" i="5"/>
  <c r="V31" i="5"/>
  <c r="AA31" i="5"/>
  <c r="AA307" i="5"/>
  <c r="AA305" i="5"/>
  <c r="AK307" i="5"/>
  <c r="AK31" i="5"/>
  <c r="AK305" i="5"/>
  <c r="AW31" i="5"/>
  <c r="AW305" i="5"/>
  <c r="AV463" i="5"/>
  <c r="AV51" i="5" s="1"/>
  <c r="CP39" i="5"/>
  <c r="CQ39" i="5" s="1"/>
  <c r="CR39" i="5" s="1"/>
  <c r="CR164" i="5" s="1"/>
  <c r="CO78" i="5"/>
  <c r="M126" i="5"/>
  <c r="M138" i="5" s="1"/>
  <c r="J24" i="5"/>
  <c r="I353" i="5"/>
  <c r="E185" i="5"/>
  <c r="E192" i="5"/>
  <c r="AF340" i="5"/>
  <c r="AC378" i="5"/>
  <c r="BK463" i="5"/>
  <c r="BK51" i="5" s="1"/>
  <c r="BC124" i="5"/>
  <c r="CI463" i="5"/>
  <c r="BU463" i="5"/>
  <c r="AG463" i="5"/>
  <c r="AG51" i="5" s="1"/>
  <c r="AG49" i="5" s="1"/>
  <c r="AS463" i="5"/>
  <c r="AS51" i="5" s="1"/>
  <c r="AS56" i="5" s="1"/>
  <c r="AH357" i="5"/>
  <c r="AQ363" i="5"/>
  <c r="AF443" i="5"/>
  <c r="AF34" i="5"/>
  <c r="CP463" i="5"/>
  <c r="V463" i="5"/>
  <c r="V51" i="5" s="1"/>
  <c r="CE463" i="5"/>
  <c r="CO463" i="5"/>
  <c r="CA463" i="5"/>
  <c r="BA463" i="5"/>
  <c r="BA51" i="5" s="1"/>
  <c r="BA56" i="5" s="1"/>
  <c r="CK463" i="5"/>
  <c r="BB463" i="5"/>
  <c r="BB51" i="5" s="1"/>
  <c r="BC51" i="5" s="1"/>
  <c r="AH463" i="5"/>
  <c r="AH51" i="5" s="1"/>
  <c r="CU463" i="5"/>
  <c r="X463" i="5"/>
  <c r="X51" i="5" s="1"/>
  <c r="AA463" i="5"/>
  <c r="AA51" i="5" s="1"/>
  <c r="AA56" i="5" s="1"/>
  <c r="BG463" i="5"/>
  <c r="BG51" i="5" s="1"/>
  <c r="AL463" i="5"/>
  <c r="AL51" i="5" s="1"/>
  <c r="AL49" i="5" s="1"/>
  <c r="CX463" i="5"/>
  <c r="BR463" i="5"/>
  <c r="BR51" i="5" s="1"/>
  <c r="BY463" i="5"/>
  <c r="AI463" i="5"/>
  <c r="AI51" i="5" s="1"/>
  <c r="CN463" i="5"/>
  <c r="BF463" i="5"/>
  <c r="BF51" i="5" s="1"/>
  <c r="AQ463" i="5"/>
  <c r="AQ51" i="5" s="1"/>
  <c r="AQ56" i="5" s="1"/>
  <c r="AF463" i="5"/>
  <c r="AF51" i="5" s="1"/>
  <c r="BQ463" i="5"/>
  <c r="CS463" i="5"/>
  <c r="AB463" i="5"/>
  <c r="AB51" i="5" s="1"/>
  <c r="BH463" i="5"/>
  <c r="BH51" i="5" s="1"/>
  <c r="AP463" i="5"/>
  <c r="AP51" i="5" s="1"/>
  <c r="AP56" i="5" s="1"/>
  <c r="CG463" i="5"/>
  <c r="AX463" i="5"/>
  <c r="AX51" i="5" s="1"/>
  <c r="DA463" i="5"/>
  <c r="AR463" i="5"/>
  <c r="AR51" i="5" s="1"/>
  <c r="AR56" i="5" s="1"/>
  <c r="W463" i="5"/>
  <c r="BJ463" i="5"/>
  <c r="BJ51" i="5" s="1"/>
  <c r="BE126" i="5"/>
  <c r="BE138" i="5" s="1"/>
  <c r="E95" i="5"/>
  <c r="E100" i="5" s="1"/>
  <c r="AK463" i="5"/>
  <c r="AK51" i="5" s="1"/>
  <c r="CB463" i="5"/>
  <c r="AN463" i="5"/>
  <c r="AN51" i="5" s="1"/>
  <c r="AN49" i="5" s="1"/>
  <c r="CZ463" i="5"/>
  <c r="AM192" i="5"/>
  <c r="AN192" i="5" s="1"/>
  <c r="BG211" i="5"/>
  <c r="BG453" i="5" s="1"/>
  <c r="BF453" i="5"/>
  <c r="CG39" i="5"/>
  <c r="CG164" i="5" s="1"/>
  <c r="CF78" i="5"/>
  <c r="BD18" i="5"/>
  <c r="BB28" i="5"/>
  <c r="BB48" i="5" s="1"/>
  <c r="AS126" i="5"/>
  <c r="AS138" i="5" s="1"/>
  <c r="T124" i="5"/>
  <c r="T338" i="5"/>
  <c r="X363" i="5"/>
  <c r="BK432" i="5"/>
  <c r="I463" i="5"/>
  <c r="I51" i="5" s="1"/>
  <c r="AY21" i="5"/>
  <c r="AY24" i="5" s="1"/>
  <c r="AY28" i="5" s="1"/>
  <c r="AK28" i="5"/>
  <c r="AK48" i="5" s="1"/>
  <c r="BG28" i="5"/>
  <c r="BG488" i="5" s="1"/>
  <c r="BH124" i="5"/>
  <c r="S126" i="5"/>
  <c r="S138" i="5" s="1"/>
  <c r="AC126" i="5"/>
  <c r="AC138" i="5" s="1"/>
  <c r="O124" i="5"/>
  <c r="AJ124" i="5"/>
  <c r="AB175" i="5"/>
  <c r="BC213" i="5"/>
  <c r="AP380" i="5"/>
  <c r="T437" i="5"/>
  <c r="BL126" i="5"/>
  <c r="BL138" i="5" s="1"/>
  <c r="CM205" i="5"/>
  <c r="AH28" i="5"/>
  <c r="AH48" i="5" s="1"/>
  <c r="G126" i="5"/>
  <c r="AR340" i="5"/>
  <c r="AO362" i="5"/>
  <c r="AO363" i="5" s="1"/>
  <c r="CO209" i="5"/>
  <c r="J173" i="5"/>
  <c r="J298" i="5"/>
  <c r="O299" i="5" s="1"/>
  <c r="AE24" i="5"/>
  <c r="L142" i="5"/>
  <c r="L146" i="5" s="1"/>
  <c r="AZ126" i="5"/>
  <c r="AZ138" i="5" s="1"/>
  <c r="J182" i="5"/>
  <c r="T186" i="5"/>
  <c r="E186" i="5"/>
  <c r="AV201" i="5"/>
  <c r="J205" i="5"/>
  <c r="BI308" i="5"/>
  <c r="AL360" i="5"/>
  <c r="AH397" i="5"/>
  <c r="AQ190" i="5"/>
  <c r="AR190" i="5" s="1"/>
  <c r="AR201" i="5" s="1"/>
  <c r="M204" i="5"/>
  <c r="N204" i="5" s="1"/>
  <c r="O204" i="5" s="1"/>
  <c r="L439" i="5"/>
  <c r="G142" i="5"/>
  <c r="G146" i="5" s="1"/>
  <c r="C454" i="5"/>
  <c r="AC186" i="5"/>
  <c r="AD186" i="5" s="1"/>
  <c r="L360" i="5"/>
  <c r="AX435" i="5"/>
  <c r="AI181" i="5"/>
  <c r="BG215" i="5"/>
  <c r="BH215" i="5" s="1"/>
  <c r="AV34" i="5"/>
  <c r="AV441" i="5"/>
  <c r="AR307" i="5"/>
  <c r="AM28" i="5"/>
  <c r="N195" i="5"/>
  <c r="O195" i="5" s="1"/>
  <c r="AZ214" i="5"/>
  <c r="BA204" i="5"/>
  <c r="BB204" i="5" s="1"/>
  <c r="AX204" i="5"/>
  <c r="O213" i="5"/>
  <c r="CJ164" i="5"/>
  <c r="BH183" i="5"/>
  <c r="V406" i="5"/>
  <c r="AM170" i="5"/>
  <c r="AN170" i="5" s="1"/>
  <c r="AK201" i="5"/>
  <c r="AL190" i="5"/>
  <c r="AM190" i="5" s="1"/>
  <c r="P307" i="5"/>
  <c r="P305" i="5"/>
  <c r="AV307" i="5"/>
  <c r="AV31" i="5"/>
  <c r="L342" i="5"/>
  <c r="L32" i="5"/>
  <c r="AK342" i="5"/>
  <c r="AK32" i="5"/>
  <c r="CT209" i="5"/>
  <c r="AA33" i="5"/>
  <c r="BH24" i="5"/>
  <c r="BH28" i="5" s="1"/>
  <c r="BH48" i="5" s="1"/>
  <c r="O24" i="5"/>
  <c r="J43" i="5"/>
  <c r="AY43" i="5"/>
  <c r="AJ45" i="5"/>
  <c r="AJ167" i="5" s="1"/>
  <c r="AJ161" i="5" s="1"/>
  <c r="AJ187" i="5" s="1"/>
  <c r="AJ218" i="5" s="1"/>
  <c r="AO105" i="5"/>
  <c r="H126" i="5"/>
  <c r="AU126" i="5"/>
  <c r="G136" i="5"/>
  <c r="H454" i="5"/>
  <c r="Y400" i="5"/>
  <c r="B463" i="5"/>
  <c r="B51" i="5" s="1"/>
  <c r="C463" i="5"/>
  <c r="C51" i="5" s="1"/>
  <c r="BV39" i="5"/>
  <c r="BU78" i="5"/>
  <c r="CW205" i="5"/>
  <c r="N194" i="5"/>
  <c r="O194" i="5" s="1"/>
  <c r="AC28" i="5"/>
  <c r="AM212" i="5"/>
  <c r="AN212" i="5" s="1"/>
  <c r="BA304" i="5"/>
  <c r="BA305" i="5" s="1"/>
  <c r="I216" i="5"/>
  <c r="J216" i="5" s="1"/>
  <c r="AK331" i="5"/>
  <c r="R353" i="5"/>
  <c r="AK363" i="5"/>
  <c r="J178" i="5"/>
  <c r="AA342" i="5"/>
  <c r="H342" i="5"/>
  <c r="N32" i="5"/>
  <c r="AQ342" i="5"/>
  <c r="AI183" i="5"/>
  <c r="AN204" i="5"/>
  <c r="J463" i="5"/>
  <c r="J51" i="5" s="1"/>
  <c r="I206" i="5"/>
  <c r="J206" i="5" s="1"/>
  <c r="AU201" i="5"/>
  <c r="O105" i="5"/>
  <c r="AY105" i="5"/>
  <c r="AO70" i="5"/>
  <c r="AT70" i="5"/>
  <c r="C453" i="5"/>
  <c r="D211" i="5"/>
  <c r="D453" i="5" s="1"/>
  <c r="AZ301" i="5"/>
  <c r="AZ304" i="5"/>
  <c r="AZ31" i="5" s="1"/>
  <c r="T204" i="5"/>
  <c r="S28" i="5"/>
  <c r="AA356" i="5"/>
  <c r="AA357" i="5" s="1"/>
  <c r="AF353" i="5"/>
  <c r="CK164" i="5"/>
  <c r="BK200" i="5"/>
  <c r="BL200" i="5" s="1"/>
  <c r="BM200" i="5" s="1"/>
  <c r="BJ201" i="5"/>
  <c r="AZ296" i="5"/>
  <c r="AU297" i="5"/>
  <c r="AP331" i="5"/>
  <c r="M353" i="5"/>
  <c r="T352" i="5"/>
  <c r="T356" i="5" s="1"/>
  <c r="AA363" i="5"/>
  <c r="AU363" i="5"/>
  <c r="CM209" i="5"/>
  <c r="CL39" i="5"/>
  <c r="CL78" i="5" s="1"/>
  <c r="G402" i="5"/>
  <c r="BW215" i="5"/>
  <c r="E216" i="5"/>
  <c r="AF32" i="5"/>
  <c r="AO41" i="5"/>
  <c r="AO43" i="5" s="1"/>
  <c r="Y210" i="5"/>
  <c r="H213" i="5"/>
  <c r="I213" i="5" s="1"/>
  <c r="BM215" i="5"/>
  <c r="D172" i="5"/>
  <c r="E172" i="5" s="1"/>
  <c r="S180" i="5"/>
  <c r="T180" i="5" s="1"/>
  <c r="BK186" i="5"/>
  <c r="BL186" i="5" s="1"/>
  <c r="BM186" i="5" s="1"/>
  <c r="BM175" i="5" s="1"/>
  <c r="BJ175" i="5"/>
  <c r="BJ187" i="5" s="1"/>
  <c r="BJ214" i="5"/>
  <c r="BK204" i="5"/>
  <c r="BL204" i="5" s="1"/>
  <c r="AC215" i="5"/>
  <c r="AD215" i="5" s="1"/>
  <c r="I28" i="5"/>
  <c r="I446" i="5" s="1"/>
  <c r="AK356" i="5"/>
  <c r="AK360" i="5"/>
  <c r="Y405" i="5"/>
  <c r="Y33" i="5" s="1"/>
  <c r="AC180" i="5"/>
  <c r="AD180" i="5" s="1"/>
  <c r="BH176" i="5"/>
  <c r="G463" i="5"/>
  <c r="G51" i="5" s="1"/>
  <c r="AS209" i="5"/>
  <c r="AS32" i="5"/>
  <c r="BK434" i="5"/>
  <c r="BK435" i="5" s="1"/>
  <c r="Q33" i="5"/>
  <c r="AD209" i="5"/>
  <c r="AM186" i="5"/>
  <c r="AN186" i="5" s="1"/>
  <c r="BF175" i="5"/>
  <c r="BF187" i="5" s="1"/>
  <c r="AO45" i="5"/>
  <c r="AO167" i="5" s="1"/>
  <c r="AO161" i="5" s="1"/>
  <c r="AO187" i="5" s="1"/>
  <c r="D34" i="5"/>
  <c r="BK28" i="5"/>
  <c r="BK48" i="5" s="1"/>
  <c r="J167" i="5"/>
  <c r="N174" i="5"/>
  <c r="O174" i="5" s="1"/>
  <c r="AM372" i="5"/>
  <c r="AM376" i="5" s="1"/>
  <c r="AR377" i="5" s="1"/>
  <c r="AN370" i="5"/>
  <c r="AN372" i="5" s="1"/>
  <c r="Y51" i="5"/>
  <c r="AW28" i="5"/>
  <c r="AW48" i="5" s="1"/>
  <c r="AD167" i="5"/>
  <c r="BH200" i="5"/>
  <c r="K28" i="5"/>
  <c r="K36" i="5" s="1"/>
  <c r="K490" i="5" s="1"/>
  <c r="U28" i="5"/>
  <c r="U488" i="5" s="1"/>
  <c r="I126" i="5"/>
  <c r="I138" i="5" s="1"/>
  <c r="BJ126" i="5"/>
  <c r="BJ138" i="5" s="1"/>
  <c r="Q126" i="5"/>
  <c r="Q138" i="5" s="1"/>
  <c r="AK126" i="5"/>
  <c r="AK138" i="5" s="1"/>
  <c r="I454" i="5"/>
  <c r="K214" i="5"/>
  <c r="BC206" i="5"/>
  <c r="D295" i="5"/>
  <c r="D297" i="5" s="1"/>
  <c r="AT43" i="5"/>
  <c r="BA138" i="5"/>
  <c r="J200" i="5"/>
  <c r="AC296" i="5"/>
  <c r="AM296" i="5"/>
  <c r="G299" i="5"/>
  <c r="BJ28" i="5"/>
  <c r="BI56" i="5"/>
  <c r="AT339" i="5"/>
  <c r="AT342" i="5" s="1"/>
  <c r="AK353" i="5"/>
  <c r="S377" i="5"/>
  <c r="AT375" i="5"/>
  <c r="AV398" i="5"/>
  <c r="AV28" i="5"/>
  <c r="J169" i="5"/>
  <c r="C175" i="5"/>
  <c r="O95" i="5"/>
  <c r="O100" i="5" s="1"/>
  <c r="BC117" i="5"/>
  <c r="BC126" i="5" s="1"/>
  <c r="BC138" i="5" s="1"/>
  <c r="AZ201" i="5"/>
  <c r="S176" i="5"/>
  <c r="T176" i="5" s="1"/>
  <c r="AH167" i="5"/>
  <c r="W453" i="5"/>
  <c r="AX15" i="5"/>
  <c r="AX18" i="5" s="1"/>
  <c r="AX28" i="5" s="1"/>
  <c r="BI142" i="5"/>
  <c r="BI146" i="5" s="1"/>
  <c r="AA142" i="5"/>
  <c r="AA146" i="5" s="1"/>
  <c r="O205" i="5"/>
  <c r="BW216" i="5"/>
  <c r="Y211" i="5"/>
  <c r="Y453" i="5" s="1"/>
  <c r="N215" i="5"/>
  <c r="O215" i="5" s="1"/>
  <c r="BA186" i="5"/>
  <c r="BB186" i="5" s="1"/>
  <c r="BC186" i="5" s="1"/>
  <c r="J164" i="5"/>
  <c r="CF216" i="5"/>
  <c r="CG216" i="5" s="1"/>
  <c r="X174" i="5"/>
  <c r="Y174" i="5" s="1"/>
  <c r="BD187" i="5"/>
  <c r="BI105" i="5"/>
  <c r="U126" i="5"/>
  <c r="U138" i="5" s="1"/>
  <c r="J165" i="5"/>
  <c r="AN164" i="5"/>
  <c r="AI170" i="5"/>
  <c r="E167" i="5"/>
  <c r="O167" i="5"/>
  <c r="Y167" i="5"/>
  <c r="AD192" i="5"/>
  <c r="O339" i="5"/>
  <c r="O342" i="5" s="1"/>
  <c r="S432" i="5"/>
  <c r="AI211" i="5"/>
  <c r="AI453" i="5" s="1"/>
  <c r="AM195" i="5"/>
  <c r="AN195" i="5" s="1"/>
  <c r="AW211" i="5"/>
  <c r="AG453" i="5"/>
  <c r="BC164" i="5"/>
  <c r="N463" i="5"/>
  <c r="N51" i="5" s="1"/>
  <c r="N56" i="5" s="1"/>
  <c r="AE18" i="5"/>
  <c r="Y24" i="5"/>
  <c r="BE28" i="5"/>
  <c r="BK126" i="5"/>
  <c r="BK138" i="5" s="1"/>
  <c r="AF126" i="5"/>
  <c r="AF138" i="5" s="1"/>
  <c r="AP126" i="5"/>
  <c r="AP138" i="5" s="1"/>
  <c r="J124" i="5"/>
  <c r="AD124" i="5"/>
  <c r="AY124" i="5"/>
  <c r="Y172" i="5"/>
  <c r="BH174" i="5"/>
  <c r="AS174" i="5"/>
  <c r="BC176" i="5"/>
  <c r="AQ175" i="5"/>
  <c r="AX186" i="5"/>
  <c r="AX175" i="5" s="1"/>
  <c r="E200" i="5"/>
  <c r="AX190" i="5"/>
  <c r="AX201" i="5" s="1"/>
  <c r="AG378" i="5"/>
  <c r="J414" i="5"/>
  <c r="E168" i="5"/>
  <c r="T184" i="5"/>
  <c r="AI179" i="5"/>
  <c r="Y95" i="5"/>
  <c r="Y100" i="5" s="1"/>
  <c r="M463" i="5"/>
  <c r="M51" i="5" s="1"/>
  <c r="M56" i="5" s="1"/>
  <c r="AR177" i="5"/>
  <c r="AS177" i="5" s="1"/>
  <c r="I105" i="5"/>
  <c r="J105" i="5"/>
  <c r="AD105" i="5"/>
  <c r="I180" i="5"/>
  <c r="J180" i="5" s="1"/>
  <c r="BJ304" i="5"/>
  <c r="BJ307" i="5" s="1"/>
  <c r="BM216" i="5"/>
  <c r="R28" i="5"/>
  <c r="R446" i="5" s="1"/>
  <c r="AB28" i="5"/>
  <c r="AB446" i="5" s="1"/>
  <c r="T43" i="5"/>
  <c r="AE43" i="5"/>
  <c r="AI204" i="5"/>
  <c r="T205" i="5"/>
  <c r="S380" i="5"/>
  <c r="AG380" i="5"/>
  <c r="AR33" i="5"/>
  <c r="N453" i="5"/>
  <c r="J204" i="5"/>
  <c r="D126" i="5"/>
  <c r="D138" i="5" s="1"/>
  <c r="AR126" i="5"/>
  <c r="AR138" i="5" s="1"/>
  <c r="S331" i="5"/>
  <c r="T330" i="5"/>
  <c r="T332" i="5" s="1"/>
  <c r="K360" i="5"/>
  <c r="AI396" i="5"/>
  <c r="AI398" i="5" s="1"/>
  <c r="O423" i="5"/>
  <c r="O426" i="5" s="1"/>
  <c r="Y423" i="5"/>
  <c r="Y426" i="5" s="1"/>
  <c r="AI423" i="5"/>
  <c r="AI426" i="5" s="1"/>
  <c r="E440" i="5"/>
  <c r="E34" i="5" s="1"/>
  <c r="E206" i="5"/>
  <c r="BI12" i="5"/>
  <c r="AN15" i="5"/>
  <c r="AN18" i="5" s="1"/>
  <c r="AN28" i="5" s="1"/>
  <c r="AN48" i="5" s="1"/>
  <c r="N126" i="5"/>
  <c r="N138" i="5" s="1"/>
  <c r="X126" i="5"/>
  <c r="X138" i="5" s="1"/>
  <c r="AH126" i="5"/>
  <c r="AH138" i="5" s="1"/>
  <c r="E124" i="5"/>
  <c r="AG175" i="5"/>
  <c r="AU377" i="5"/>
  <c r="AY161" i="5"/>
  <c r="AY187" i="5" s="1"/>
  <c r="AY218" i="5" s="1"/>
  <c r="AX167" i="5"/>
  <c r="AC164" i="5"/>
  <c r="Y198" i="5"/>
  <c r="E273" i="5"/>
  <c r="E275" i="5" s="1"/>
  <c r="S360" i="5"/>
  <c r="Q378" i="5"/>
  <c r="AH406" i="5"/>
  <c r="AM406" i="5"/>
  <c r="AL441" i="5"/>
  <c r="CA39" i="5"/>
  <c r="AA331" i="5"/>
  <c r="AS163" i="5"/>
  <c r="AM169" i="5"/>
  <c r="AN169" i="5" s="1"/>
  <c r="BE214" i="5"/>
  <c r="K70" i="5"/>
  <c r="BF124" i="5"/>
  <c r="AX170" i="5"/>
  <c r="Y404" i="5"/>
  <c r="P28" i="5"/>
  <c r="AO24" i="5"/>
  <c r="E259" i="5"/>
  <c r="E261" i="5" s="1"/>
  <c r="F304" i="5"/>
  <c r="K305" i="5" s="1"/>
  <c r="BH163" i="5"/>
  <c r="E209" i="5"/>
  <c r="Y191" i="5"/>
  <c r="AJ43" i="5"/>
  <c r="K454" i="5"/>
  <c r="E354" i="5"/>
  <c r="J355" i="5" s="1"/>
  <c r="Y43" i="5"/>
  <c r="O43" i="5"/>
  <c r="T181" i="5"/>
  <c r="AY441" i="5"/>
  <c r="Y184" i="5"/>
  <c r="T215" i="5"/>
  <c r="CE164" i="5"/>
  <c r="AE360" i="5"/>
  <c r="BG432" i="5"/>
  <c r="AB408" i="5"/>
  <c r="L404" i="5"/>
  <c r="S194" i="5"/>
  <c r="T194" i="5" s="1"/>
  <c r="O165" i="5"/>
  <c r="BH180" i="5"/>
  <c r="AX163" i="5"/>
  <c r="Y179" i="5"/>
  <c r="BC183" i="5"/>
  <c r="AC211" i="5"/>
  <c r="P214" i="5"/>
  <c r="D207" i="5"/>
  <c r="B214" i="5"/>
  <c r="AJ14" i="5"/>
  <c r="AI14" i="5" s="1"/>
  <c r="AI15" i="5" s="1"/>
  <c r="AN405" i="5"/>
  <c r="AN408" i="5" s="1"/>
  <c r="AH184" i="5"/>
  <c r="AM171" i="5"/>
  <c r="AN171" i="5" s="1"/>
  <c r="AZ142" i="5"/>
  <c r="AZ146" i="5" s="1"/>
  <c r="Q142" i="5"/>
  <c r="Q146" i="5" s="1"/>
  <c r="AJ142" i="5"/>
  <c r="AJ146" i="5" s="1"/>
  <c r="K126" i="5"/>
  <c r="K138" i="5" s="1"/>
  <c r="AX126" i="5"/>
  <c r="AX138" i="5" s="1"/>
  <c r="M397" i="5"/>
  <c r="W397" i="5"/>
  <c r="Y414" i="5"/>
  <c r="AG432" i="5"/>
  <c r="U214" i="5"/>
  <c r="CF164" i="5"/>
  <c r="CY209" i="5"/>
  <c r="W175" i="5"/>
  <c r="O216" i="5"/>
  <c r="R406" i="5"/>
  <c r="AS400" i="5"/>
  <c r="E133" i="5"/>
  <c r="E454" i="5" s="1"/>
  <c r="AL33" i="5"/>
  <c r="BC190" i="5"/>
  <c r="AJ373" i="5"/>
  <c r="AA214" i="5"/>
  <c r="CQ215" i="5"/>
  <c r="BH195" i="5"/>
  <c r="G454" i="5"/>
  <c r="R175" i="5"/>
  <c r="B362" i="5"/>
  <c r="T179" i="5"/>
  <c r="H136" i="5"/>
  <c r="CL215" i="5"/>
  <c r="R33" i="5"/>
  <c r="E215" i="5"/>
  <c r="AI171" i="5"/>
  <c r="AO215" i="5"/>
  <c r="I212" i="5"/>
  <c r="J212" i="5" s="1"/>
  <c r="BI187" i="5"/>
  <c r="AL175" i="5"/>
  <c r="J95" i="5"/>
  <c r="J100" i="5" s="1"/>
  <c r="AF356" i="5"/>
  <c r="BB215" i="5"/>
  <c r="BC215" i="5" s="1"/>
  <c r="AR179" i="5"/>
  <c r="AS179" i="5" s="1"/>
  <c r="L463" i="5"/>
  <c r="L51" i="5" s="1"/>
  <c r="CQ216" i="5"/>
  <c r="AU34" i="5"/>
  <c r="Q28" i="5"/>
  <c r="Q36" i="5" s="1"/>
  <c r="Q490" i="5" s="1"/>
  <c r="X28" i="5"/>
  <c r="X48" i="5" s="1"/>
  <c r="BF28" i="5"/>
  <c r="BF48" i="5" s="1"/>
  <c r="AZ28" i="5"/>
  <c r="V126" i="5"/>
  <c r="V138" i="5" s="1"/>
  <c r="Y124" i="5"/>
  <c r="AT124" i="5"/>
  <c r="AD136" i="5"/>
  <c r="AN166" i="5"/>
  <c r="B295" i="5"/>
  <c r="B297" i="5" s="1"/>
  <c r="AL307" i="5"/>
  <c r="O295" i="5"/>
  <c r="O297" i="5" s="1"/>
  <c r="T295" i="5"/>
  <c r="T297" i="5" s="1"/>
  <c r="AS330" i="5"/>
  <c r="AS332" i="5" s="1"/>
  <c r="AX352" i="5"/>
  <c r="AX360" i="5" s="1"/>
  <c r="AW377" i="5"/>
  <c r="E396" i="5"/>
  <c r="E398" i="5" s="1"/>
  <c r="S397" i="5"/>
  <c r="AX396" i="5"/>
  <c r="W418" i="5"/>
  <c r="AK418" i="5"/>
  <c r="BG437" i="5"/>
  <c r="X441" i="5"/>
  <c r="BL463" i="5"/>
  <c r="BL51" i="5" s="1"/>
  <c r="BO463" i="5"/>
  <c r="BO51" i="5" s="1"/>
  <c r="BL28" i="5"/>
  <c r="BL48" i="5" s="1"/>
  <c r="BZ78" i="5"/>
  <c r="CT78" i="5"/>
  <c r="AN208" i="5"/>
  <c r="AX212" i="5"/>
  <c r="AP332" i="5"/>
  <c r="Y15" i="5"/>
  <c r="Y18" i="5" s="1"/>
  <c r="AV126" i="5"/>
  <c r="AV138" i="5" s="1"/>
  <c r="BH105" i="5"/>
  <c r="Y215" i="5"/>
  <c r="BC210" i="5"/>
  <c r="AV175" i="5"/>
  <c r="E163" i="5"/>
  <c r="AH182" i="5"/>
  <c r="AI182" i="5" s="1"/>
  <c r="L356" i="5"/>
  <c r="BC307" i="5"/>
  <c r="AL406" i="5"/>
  <c r="E199" i="5"/>
  <c r="AP214" i="5"/>
  <c r="O163" i="5"/>
  <c r="AS167" i="5"/>
  <c r="E463" i="5"/>
  <c r="E51" i="5" s="1"/>
  <c r="T15" i="5"/>
  <c r="T18" i="5" s="1"/>
  <c r="AD15" i="5"/>
  <c r="AD18" i="5" s="1"/>
  <c r="AD28" i="5" s="1"/>
  <c r="Z28" i="5"/>
  <c r="T105" i="5"/>
  <c r="Y105" i="5"/>
  <c r="AT105" i="5"/>
  <c r="BD124" i="5"/>
  <c r="AI126" i="5"/>
  <c r="AI138" i="5" s="1"/>
  <c r="T167" i="5"/>
  <c r="AA296" i="5"/>
  <c r="AH331" i="5"/>
  <c r="U353" i="5"/>
  <c r="AE353" i="5"/>
  <c r="AH363" i="5"/>
  <c r="AM363" i="5"/>
  <c r="AK380" i="5"/>
  <c r="U397" i="5"/>
  <c r="AD405" i="5"/>
  <c r="O405" i="5"/>
  <c r="O33" i="5" s="1"/>
  <c r="J423" i="5"/>
  <c r="J426" i="5" s="1"/>
  <c r="T423" i="5"/>
  <c r="T426" i="5" s="1"/>
  <c r="AD423" i="5"/>
  <c r="AD426" i="5" s="1"/>
  <c r="AO432" i="5"/>
  <c r="BH436" i="5"/>
  <c r="BM437" i="5" s="1"/>
  <c r="AI440" i="5"/>
  <c r="AI443" i="5" s="1"/>
  <c r="AN437" i="5"/>
  <c r="BG126" i="5"/>
  <c r="BG138" i="5" s="1"/>
  <c r="C33" i="5"/>
  <c r="AG408" i="5"/>
  <c r="AG406" i="5"/>
  <c r="AS165" i="5"/>
  <c r="AV33" i="5"/>
  <c r="D463" i="5"/>
  <c r="D51" i="5" s="1"/>
  <c r="D28" i="5"/>
  <c r="D48" i="5" s="1"/>
  <c r="O15" i="5"/>
  <c r="O18" i="5" s="1"/>
  <c r="N28" i="5"/>
  <c r="N48" i="5" s="1"/>
  <c r="AJ105" i="5"/>
  <c r="J117" i="5"/>
  <c r="CS209" i="5"/>
  <c r="BC28" i="5"/>
  <c r="BD24" i="5"/>
  <c r="BD70" i="5"/>
  <c r="E105" i="5"/>
  <c r="AU138" i="5"/>
  <c r="CP209" i="5"/>
  <c r="J198" i="5"/>
  <c r="I211" i="5"/>
  <c r="AV214" i="5"/>
  <c r="E43" i="5"/>
  <c r="T170" i="5"/>
  <c r="L34" i="5"/>
  <c r="E181" i="5"/>
  <c r="AD178" i="5"/>
  <c r="AA28" i="5"/>
  <c r="T24" i="5"/>
  <c r="AJ24" i="5"/>
  <c r="BI32" i="5"/>
  <c r="BD43" i="5"/>
  <c r="J55" i="5"/>
  <c r="AO124" i="5"/>
  <c r="BA201" i="5"/>
  <c r="AD206" i="5"/>
  <c r="E268" i="5"/>
  <c r="E269" i="5" s="1"/>
  <c r="M296" i="5"/>
  <c r="BK304" i="5"/>
  <c r="BK31" i="5" s="1"/>
  <c r="B304" i="5"/>
  <c r="B307" i="5" s="1"/>
  <c r="T301" i="5"/>
  <c r="AT303" i="5"/>
  <c r="AD330" i="5"/>
  <c r="AD332" i="5" s="1"/>
  <c r="AN352" i="5"/>
  <c r="AN356" i="5" s="1"/>
  <c r="V353" i="5"/>
  <c r="AT356" i="5"/>
  <c r="P363" i="5"/>
  <c r="Z363" i="5"/>
  <c r="AE363" i="5"/>
  <c r="AS363" i="5"/>
  <c r="H373" i="5"/>
  <c r="T362" i="5"/>
  <c r="Q380" i="5"/>
  <c r="AF406" i="5"/>
  <c r="Y402" i="5"/>
  <c r="CE78" i="5"/>
  <c r="CR205" i="5"/>
  <c r="L353" i="5"/>
  <c r="AC441" i="5"/>
  <c r="Q356" i="5"/>
  <c r="V357" i="5" s="1"/>
  <c r="R356" i="5"/>
  <c r="R357" i="5" s="1"/>
  <c r="AR296" i="5"/>
  <c r="AD400" i="5"/>
  <c r="AQ441" i="5"/>
  <c r="K340" i="5"/>
  <c r="E254" i="5"/>
  <c r="E255" i="5" s="1"/>
  <c r="E287" i="5"/>
  <c r="E289" i="5" s="1"/>
  <c r="E339" i="5"/>
  <c r="E342" i="5" s="1"/>
  <c r="AY353" i="5"/>
  <c r="AQ408" i="5"/>
  <c r="X34" i="5"/>
  <c r="N380" i="5"/>
  <c r="AK406" i="5"/>
  <c r="AG34" i="5"/>
  <c r="H432" i="5"/>
  <c r="AT432" i="5"/>
  <c r="BJ441" i="5"/>
  <c r="O431" i="5"/>
  <c r="O433" i="5" s="1"/>
  <c r="Y435" i="5"/>
  <c r="AW353" i="5"/>
  <c r="K331" i="5"/>
  <c r="AJ433" i="5"/>
  <c r="AJ416" i="5"/>
  <c r="AF331" i="5"/>
  <c r="S443" i="5"/>
  <c r="AM297" i="5"/>
  <c r="S296" i="5"/>
  <c r="N378" i="5"/>
  <c r="X373" i="5"/>
  <c r="C360" i="5"/>
  <c r="AV443" i="5"/>
  <c r="F360" i="5"/>
  <c r="Y336" i="5"/>
  <c r="AS396" i="5"/>
  <c r="AY402" i="5"/>
  <c r="R418" i="5"/>
  <c r="AO417" i="5"/>
  <c r="E431" i="5"/>
  <c r="E433" i="5" s="1"/>
  <c r="Z432" i="5"/>
  <c r="AD439" i="5"/>
  <c r="O51" i="5"/>
  <c r="AM432" i="5"/>
  <c r="T400" i="5"/>
  <c r="W353" i="5"/>
  <c r="L400" i="5"/>
  <c r="G439" i="5"/>
  <c r="AF332" i="5"/>
  <c r="J399" i="5"/>
  <c r="V331" i="5"/>
  <c r="N296" i="5"/>
  <c r="AY397" i="5"/>
  <c r="AA353" i="5"/>
  <c r="AH360" i="5"/>
  <c r="AE305" i="5"/>
  <c r="N433" i="5"/>
  <c r="AC297" i="5"/>
  <c r="W51" i="5"/>
  <c r="W56" i="5" s="1"/>
  <c r="V33" i="5"/>
  <c r="AJ296" i="5"/>
  <c r="E306" i="5"/>
  <c r="Y304" i="5"/>
  <c r="Y307" i="5" s="1"/>
  <c r="AI303" i="5"/>
  <c r="AG331" i="5"/>
  <c r="X353" i="5"/>
  <c r="W363" i="5"/>
  <c r="AB363" i="5"/>
  <c r="Q373" i="5"/>
  <c r="V360" i="5"/>
  <c r="AK373" i="5"/>
  <c r="AD375" i="5"/>
  <c r="AI372" i="5"/>
  <c r="AI376" i="5" s="1"/>
  <c r="AY376" i="5"/>
  <c r="Z379" i="5"/>
  <c r="AH378" i="5"/>
  <c r="AM378" i="5" s="1"/>
  <c r="AR378" i="5" s="1"/>
  <c r="AD396" i="5"/>
  <c r="AD398" i="5" s="1"/>
  <c r="O396" i="5"/>
  <c r="O398" i="5" s="1"/>
  <c r="J412" i="5"/>
  <c r="Q432" i="5"/>
  <c r="AK432" i="5"/>
  <c r="AO441" i="5"/>
  <c r="BD441" i="5"/>
  <c r="H51" i="5"/>
  <c r="AK378" i="5"/>
  <c r="X443" i="5"/>
  <c r="Q353" i="5"/>
  <c r="AQ443" i="5"/>
  <c r="AW33" i="5"/>
  <c r="AZ432" i="5"/>
  <c r="AP378" i="5"/>
  <c r="T405" i="5"/>
  <c r="T408" i="5" s="1"/>
  <c r="Q331" i="5"/>
  <c r="AH432" i="5"/>
  <c r="AU340" i="5"/>
  <c r="I356" i="5"/>
  <c r="N357" i="5" s="1"/>
  <c r="BI33" i="5"/>
  <c r="AM340" i="5"/>
  <c r="AO339" i="5"/>
  <c r="AD362" i="5"/>
  <c r="AX377" i="5"/>
  <c r="AT416" i="5"/>
  <c r="Q418" i="5"/>
  <c r="AW432" i="5"/>
  <c r="BC440" i="5"/>
  <c r="M441" i="5"/>
  <c r="W441" i="5"/>
  <c r="L380" i="5"/>
  <c r="M418" i="5"/>
  <c r="BN13" i="5"/>
  <c r="AA441" i="5"/>
  <c r="AD355" i="5"/>
  <c r="H340" i="5"/>
  <c r="W305" i="5"/>
  <c r="AL340" i="5"/>
  <c r="AC332" i="5"/>
  <c r="T299" i="5"/>
  <c r="BC431" i="5"/>
  <c r="BD431" i="5" s="1"/>
  <c r="T439" i="5"/>
  <c r="AA443" i="5"/>
  <c r="AJ360" i="5"/>
  <c r="V373" i="5"/>
  <c r="I432" i="5"/>
  <c r="V441" i="5"/>
  <c r="AO331" i="5"/>
  <c r="AI375" i="5"/>
  <c r="BJ299" i="5"/>
  <c r="X305" i="5"/>
  <c r="R398" i="5"/>
  <c r="AP406" i="5"/>
  <c r="U398" i="5"/>
  <c r="BM434" i="5"/>
  <c r="BR435" i="5" s="1"/>
  <c r="J335" i="5"/>
  <c r="O336" i="5" s="1"/>
  <c r="AM356" i="5"/>
  <c r="AM357" i="5" s="1"/>
  <c r="AP408" i="5"/>
  <c r="BD12" i="5"/>
  <c r="Y330" i="5"/>
  <c r="Y332" i="5" s="1"/>
  <c r="AI334" i="5"/>
  <c r="AY339" i="5"/>
  <c r="AY342" i="5" s="1"/>
  <c r="AI352" i="5"/>
  <c r="AI360" i="5" s="1"/>
  <c r="Y372" i="5"/>
  <c r="Y376" i="5" s="1"/>
  <c r="Y378" i="5" s="1"/>
  <c r="X397" i="5"/>
  <c r="AS423" i="5"/>
  <c r="AS426" i="5" s="1"/>
  <c r="L376" i="5"/>
  <c r="L378" i="5" s="1"/>
  <c r="N353" i="5"/>
  <c r="AO356" i="5"/>
  <c r="G372" i="5"/>
  <c r="L373" i="5" s="1"/>
  <c r="S305" i="5"/>
  <c r="AO397" i="5"/>
  <c r="AC331" i="5"/>
  <c r="AT296" i="5"/>
  <c r="AR441" i="5"/>
  <c r="AD414" i="5"/>
  <c r="AR353" i="5"/>
  <c r="AC360" i="5"/>
  <c r="AY356" i="5"/>
  <c r="AW360" i="5"/>
  <c r="AW361" i="5" s="1"/>
  <c r="X331" i="5"/>
  <c r="S32" i="5"/>
  <c r="M34" i="5"/>
  <c r="G417" i="5"/>
  <c r="AO355" i="5"/>
  <c r="AH340" i="5"/>
  <c r="V296" i="5"/>
  <c r="N305" i="5"/>
  <c r="AH373" i="5"/>
  <c r="AK296" i="5"/>
  <c r="AO443" i="5"/>
  <c r="AH34" i="5"/>
  <c r="AO336" i="5"/>
  <c r="K406" i="5"/>
  <c r="X31" i="5"/>
  <c r="C376" i="5"/>
  <c r="H377" i="5" s="1"/>
  <c r="N360" i="5"/>
  <c r="AT397" i="5"/>
  <c r="G336" i="5"/>
  <c r="AJ406" i="5"/>
  <c r="J434" i="5"/>
  <c r="O435" i="5" s="1"/>
  <c r="V443" i="5"/>
  <c r="O330" i="5"/>
  <c r="O332" i="5" s="1"/>
  <c r="AS352" i="5"/>
  <c r="J352" i="5"/>
  <c r="J356" i="5" s="1"/>
  <c r="B372" i="5"/>
  <c r="B376" i="5" s="1"/>
  <c r="H378" i="5"/>
  <c r="V380" i="5"/>
  <c r="AU380" i="5"/>
  <c r="AO412" i="5"/>
  <c r="V418" i="5"/>
  <c r="P397" i="5"/>
  <c r="C32" i="5"/>
  <c r="AG342" i="5"/>
  <c r="N307" i="5"/>
  <c r="AT441" i="5"/>
  <c r="W31" i="5"/>
  <c r="X342" i="5"/>
  <c r="AJ353" i="5"/>
  <c r="AG305" i="5"/>
  <c r="AH353" i="5"/>
  <c r="AI304" i="5"/>
  <c r="AC373" i="5"/>
  <c r="AD299" i="5"/>
  <c r="X340" i="5"/>
  <c r="V376" i="5"/>
  <c r="V378" i="5" s="1"/>
  <c r="AV356" i="5"/>
  <c r="AC340" i="5"/>
  <c r="V432" i="5"/>
  <c r="V397" i="5"/>
  <c r="S31" i="5"/>
  <c r="R432" i="5"/>
  <c r="AG397" i="5"/>
  <c r="AT336" i="5"/>
  <c r="AJ441" i="5"/>
  <c r="H398" i="5"/>
  <c r="T375" i="5"/>
  <c r="Y375" i="5"/>
  <c r="U406" i="5"/>
  <c r="AE406" i="5"/>
  <c r="L435" i="5"/>
  <c r="S356" i="5"/>
  <c r="S357" i="5" s="1"/>
  <c r="K443" i="5"/>
  <c r="AL32" i="5"/>
  <c r="BN33" i="5"/>
  <c r="G330" i="5"/>
  <c r="G332" i="5" s="1"/>
  <c r="AX363" i="5"/>
  <c r="N373" i="5"/>
  <c r="AX439" i="5"/>
  <c r="AI439" i="5"/>
  <c r="AM353" i="5"/>
  <c r="Z360" i="5"/>
  <c r="Y439" i="5"/>
  <c r="AQ340" i="5"/>
  <c r="AF376" i="5"/>
  <c r="AF378" i="5" s="1"/>
  <c r="L433" i="5"/>
  <c r="AT301" i="5"/>
  <c r="AW406" i="5"/>
  <c r="AX334" i="5"/>
  <c r="AG433" i="5"/>
  <c r="AC342" i="5"/>
  <c r="S373" i="5"/>
  <c r="BB432" i="5"/>
  <c r="AF360" i="5"/>
  <c r="AH342" i="5"/>
  <c r="S353" i="5"/>
  <c r="AT338" i="5"/>
  <c r="AY375" i="5"/>
  <c r="AV377" i="5"/>
  <c r="H397" i="5"/>
  <c r="X418" i="5"/>
  <c r="AQ418" i="5"/>
  <c r="AQ416" i="5" s="1"/>
  <c r="BI441" i="5"/>
  <c r="AR446" i="5"/>
  <c r="AR36" i="5"/>
  <c r="AR490" i="5" s="1"/>
  <c r="AH488" i="5"/>
  <c r="BS131" i="5"/>
  <c r="BT131" i="5" s="1"/>
  <c r="BU131" i="5" s="1"/>
  <c r="BV131" i="5" s="1"/>
  <c r="BW131" i="5" s="1"/>
  <c r="AI176" i="5"/>
  <c r="AD205" i="5"/>
  <c r="J12" i="5"/>
  <c r="J15" i="5" s="1"/>
  <c r="J18" i="5" s="1"/>
  <c r="G15" i="5"/>
  <c r="G18" i="5" s="1"/>
  <c r="G28" i="5" s="1"/>
  <c r="G48" i="5" s="1"/>
  <c r="T142" i="5"/>
  <c r="T146" i="5" s="1"/>
  <c r="T117" i="5"/>
  <c r="AF142" i="5"/>
  <c r="AF146" i="5" s="1"/>
  <c r="AD142" i="5"/>
  <c r="AD146" i="5" s="1"/>
  <c r="AT142" i="5"/>
  <c r="AT146" i="5" s="1"/>
  <c r="BI124" i="5"/>
  <c r="AJ454" i="5"/>
  <c r="AK454" i="5"/>
  <c r="AK451" i="5"/>
  <c r="BG161" i="5"/>
  <c r="BH161" i="5" s="1"/>
  <c r="S163" i="5"/>
  <c r="T163" i="5" s="1"/>
  <c r="AD163" i="5"/>
  <c r="AS170" i="5"/>
  <c r="AV164" i="5"/>
  <c r="AW164" i="5" s="1"/>
  <c r="D165" i="5"/>
  <c r="E165" i="5" s="1"/>
  <c r="T165" i="5"/>
  <c r="AW169" i="5"/>
  <c r="AX169" i="5" s="1"/>
  <c r="BC166" i="5"/>
  <c r="D191" i="5"/>
  <c r="E191" i="5" s="1"/>
  <c r="S196" i="5"/>
  <c r="T196" i="5" s="1"/>
  <c r="W201" i="5"/>
  <c r="Y200" i="5"/>
  <c r="AH190" i="5"/>
  <c r="AH201" i="5" s="1"/>
  <c r="BG192" i="5"/>
  <c r="BG201" i="5" s="1"/>
  <c r="BF201" i="5"/>
  <c r="AB201" i="5"/>
  <c r="BL195" i="5"/>
  <c r="BM195" i="5" s="1"/>
  <c r="X204" i="5"/>
  <c r="W214" i="5"/>
  <c r="AH205" i="5"/>
  <c r="AH214" i="5" s="1"/>
  <c r="AG214" i="5"/>
  <c r="AM209" i="5"/>
  <c r="AN211" i="5"/>
  <c r="AN453" i="5" s="1"/>
  <c r="AM453" i="5"/>
  <c r="X216" i="5"/>
  <c r="Y216" i="5" s="1"/>
  <c r="AC216" i="5"/>
  <c r="AD216" i="5" s="1"/>
  <c r="P297" i="5"/>
  <c r="P296" i="5"/>
  <c r="AQ297" i="5"/>
  <c r="AQ296" i="5"/>
  <c r="BA296" i="5"/>
  <c r="AV297" i="5"/>
  <c r="AN304" i="5"/>
  <c r="AN31" i="5" s="1"/>
  <c r="AN299" i="5"/>
  <c r="H31" i="5"/>
  <c r="H307" i="5"/>
  <c r="M307" i="5"/>
  <c r="M305" i="5"/>
  <c r="R305" i="5"/>
  <c r="AB307" i="5"/>
  <c r="AB305" i="5"/>
  <c r="AB31" i="5"/>
  <c r="AM31" i="5"/>
  <c r="AR305" i="5"/>
  <c r="AQ307" i="5"/>
  <c r="AQ31" i="5"/>
  <c r="AV305" i="5"/>
  <c r="AI301" i="5"/>
  <c r="AD301" i="5"/>
  <c r="M332" i="5"/>
  <c r="M331" i="5"/>
  <c r="P332" i="5"/>
  <c r="P331" i="5"/>
  <c r="AE332" i="5"/>
  <c r="AE331" i="5"/>
  <c r="AL332" i="5"/>
  <c r="AL331" i="5"/>
  <c r="AN32" i="5"/>
  <c r="AN342" i="5"/>
  <c r="I32" i="5"/>
  <c r="I342" i="5"/>
  <c r="M342" i="5"/>
  <c r="M32" i="5"/>
  <c r="P342" i="5"/>
  <c r="P340" i="5"/>
  <c r="AG340" i="5"/>
  <c r="AB32" i="5"/>
  <c r="AR342" i="5"/>
  <c r="AW340" i="5"/>
  <c r="D342" i="5"/>
  <c r="D32" i="5"/>
  <c r="G334" i="5"/>
  <c r="L334" i="5"/>
  <c r="G338" i="5"/>
  <c r="J337" i="5"/>
  <c r="O338" i="5" s="1"/>
  <c r="U433" i="5"/>
  <c r="U432" i="5"/>
  <c r="AE433" i="5"/>
  <c r="AE432" i="5"/>
  <c r="AJ432" i="5"/>
  <c r="AL433" i="5"/>
  <c r="AL432" i="5"/>
  <c r="AR433" i="5"/>
  <c r="AR432" i="5"/>
  <c r="AY433" i="5"/>
  <c r="AY432" i="5"/>
  <c r="BA432" i="5"/>
  <c r="BE433" i="5"/>
  <c r="BE432" i="5"/>
  <c r="BJ432" i="5"/>
  <c r="BM439" i="5"/>
  <c r="BH439" i="5"/>
  <c r="P443" i="5"/>
  <c r="P441" i="5"/>
  <c r="R34" i="5"/>
  <c r="R441" i="5"/>
  <c r="U443" i="5"/>
  <c r="U441" i="5"/>
  <c r="AB441" i="5"/>
  <c r="W34" i="5"/>
  <c r="AB443" i="5"/>
  <c r="AG441" i="5"/>
  <c r="C34" i="5"/>
  <c r="C443" i="5"/>
  <c r="AK34" i="5"/>
  <c r="AK443" i="5"/>
  <c r="AK441" i="5"/>
  <c r="AM34" i="5"/>
  <c r="AM441" i="5"/>
  <c r="AP34" i="5"/>
  <c r="AP441" i="5"/>
  <c r="AZ441" i="5"/>
  <c r="AZ34" i="5"/>
  <c r="AZ443" i="5"/>
  <c r="BB443" i="5"/>
  <c r="BB34" i="5"/>
  <c r="BG441" i="5"/>
  <c r="L437" i="5"/>
  <c r="J436" i="5"/>
  <c r="T435" i="5"/>
  <c r="O440" i="5"/>
  <c r="Y437" i="5"/>
  <c r="T440" i="5"/>
  <c r="AD437" i="5"/>
  <c r="AD440" i="5"/>
  <c r="AD34" i="5" s="1"/>
  <c r="AE34" i="5" s="1"/>
  <c r="BS23" i="5"/>
  <c r="AB214" i="5"/>
  <c r="M446" i="5"/>
  <c r="E213" i="5"/>
  <c r="BD117" i="5"/>
  <c r="AP446" i="5"/>
  <c r="AP377" i="5"/>
  <c r="Y194" i="5"/>
  <c r="BJ443" i="5"/>
  <c r="AG307" i="5"/>
  <c r="Z441" i="5"/>
  <c r="AW175" i="5"/>
  <c r="AS340" i="5"/>
  <c r="W331" i="5"/>
  <c r="AS205" i="5"/>
  <c r="BB192" i="5"/>
  <c r="C126" i="5"/>
  <c r="C138" i="5" s="1"/>
  <c r="AP443" i="5"/>
  <c r="P432" i="5"/>
  <c r="C214" i="5"/>
  <c r="E11" i="5"/>
  <c r="E15" i="5" s="1"/>
  <c r="E18" i="5" s="1"/>
  <c r="I340" i="5"/>
  <c r="AD304" i="5"/>
  <c r="Y299" i="5"/>
  <c r="M340" i="5"/>
  <c r="AW201" i="5"/>
  <c r="G440" i="5"/>
  <c r="G441" i="5" s="1"/>
  <c r="AY331" i="5"/>
  <c r="M443" i="5"/>
  <c r="AG201" i="5"/>
  <c r="W443" i="5"/>
  <c r="J328" i="5"/>
  <c r="J330" i="5" s="1"/>
  <c r="BF441" i="5"/>
  <c r="M432" i="5"/>
  <c r="BF443" i="5"/>
  <c r="AV331" i="5"/>
  <c r="AF441" i="5"/>
  <c r="AN334" i="5"/>
  <c r="AQ432" i="5"/>
  <c r="AQ305" i="5"/>
  <c r="AL305" i="5"/>
  <c r="H441" i="5"/>
  <c r="H331" i="5"/>
  <c r="BF432" i="5"/>
  <c r="BE441" i="5"/>
  <c r="R307" i="5"/>
  <c r="K432" i="5"/>
  <c r="AN303" i="5"/>
  <c r="AE441" i="5"/>
  <c r="AS334" i="5"/>
  <c r="W432" i="5"/>
  <c r="AV432" i="5"/>
  <c r="V142" i="5"/>
  <c r="V146" i="5" s="1"/>
  <c r="AS166" i="5"/>
  <c r="E212" i="5"/>
  <c r="BE187" i="5"/>
  <c r="Y165" i="5"/>
  <c r="K299" i="5"/>
  <c r="AW307" i="5"/>
  <c r="AS195" i="5"/>
  <c r="AR206" i="5"/>
  <c r="AR214" i="5" s="1"/>
  <c r="AS210" i="5"/>
  <c r="CV216" i="5"/>
  <c r="AH169" i="5"/>
  <c r="AI169" i="5" s="1"/>
  <c r="P70" i="5"/>
  <c r="BB126" i="5"/>
  <c r="BB138" i="5" s="1"/>
  <c r="BB163" i="5"/>
  <c r="BC163" i="5" s="1"/>
  <c r="AC195" i="5"/>
  <c r="AC201" i="5" s="1"/>
  <c r="BI24" i="5"/>
  <c r="AE146" i="5"/>
  <c r="BC167" i="5"/>
  <c r="AE70" i="5"/>
  <c r="Z70" i="5"/>
  <c r="Z126" i="5"/>
  <c r="Z138" i="5" s="1"/>
  <c r="AB126" i="5"/>
  <c r="AB138" i="5" s="1"/>
  <c r="AE126" i="5"/>
  <c r="AE138" i="5" s="1"/>
  <c r="AG126" i="5"/>
  <c r="AG138" i="5" s="1"/>
  <c r="X166" i="5"/>
  <c r="Y166" i="5" s="1"/>
  <c r="AS164" i="5"/>
  <c r="I166" i="5"/>
  <c r="J166" i="5" s="1"/>
  <c r="BG171" i="5"/>
  <c r="BH171" i="5" s="1"/>
  <c r="D171" i="5"/>
  <c r="E171" i="5" s="1"/>
  <c r="I174" i="5"/>
  <c r="J174" i="5" s="1"/>
  <c r="T171" i="5"/>
  <c r="T173" i="5"/>
  <c r="Y169" i="5"/>
  <c r="Y171" i="5"/>
  <c r="Y173" i="5"/>
  <c r="BG177" i="5"/>
  <c r="BG175" i="5" s="1"/>
  <c r="D177" i="5"/>
  <c r="E177" i="5" s="1"/>
  <c r="D179" i="5"/>
  <c r="E179" i="5" s="1"/>
  <c r="J181" i="5"/>
  <c r="I183" i="5"/>
  <c r="J185" i="5"/>
  <c r="N177" i="5"/>
  <c r="O177" i="5" s="1"/>
  <c r="N181" i="5"/>
  <c r="O181" i="5" s="1"/>
  <c r="N183" i="5"/>
  <c r="O183" i="5" s="1"/>
  <c r="Y176" i="5"/>
  <c r="Y178" i="5"/>
  <c r="X180" i="5"/>
  <c r="X175" i="5" s="1"/>
  <c r="Y186" i="5"/>
  <c r="AD176" i="5"/>
  <c r="AD179" i="5"/>
  <c r="AD182" i="5"/>
  <c r="AN177" i="5"/>
  <c r="AM179" i="5"/>
  <c r="AN179" i="5" s="1"/>
  <c r="C201" i="5"/>
  <c r="N190" i="5"/>
  <c r="M201" i="5"/>
  <c r="O192" i="5"/>
  <c r="N197" i="5"/>
  <c r="O197" i="5" s="1"/>
  <c r="T190" i="5"/>
  <c r="T192" i="5"/>
  <c r="T195" i="5"/>
  <c r="BB205" i="5"/>
  <c r="BC205" i="5" s="1"/>
  <c r="X206" i="5"/>
  <c r="Y206" i="5" s="1"/>
  <c r="Y208" i="5"/>
  <c r="AW205" i="5"/>
  <c r="AX205" i="5" s="1"/>
  <c r="I207" i="5"/>
  <c r="J207" i="5" s="1"/>
  <c r="O208" i="5"/>
  <c r="O210" i="5"/>
  <c r="R214" i="5"/>
  <c r="T207" i="5"/>
  <c r="S211" i="5"/>
  <c r="S453" i="5" s="1"/>
  <c r="R453" i="5"/>
  <c r="S213" i="5"/>
  <c r="T213" i="5" s="1"/>
  <c r="AI210" i="5"/>
  <c r="AI212" i="5"/>
  <c r="BC212" i="5"/>
  <c r="AQ453" i="5"/>
  <c r="AS211" i="5"/>
  <c r="AS453" i="5" s="1"/>
  <c r="AH215" i="5"/>
  <c r="AI215" i="5" s="1"/>
  <c r="CG215" i="5"/>
  <c r="CV215" i="5"/>
  <c r="AD339" i="5"/>
  <c r="AI336" i="5"/>
  <c r="H353" i="5"/>
  <c r="H356" i="5"/>
  <c r="K353" i="5"/>
  <c r="P356" i="5"/>
  <c r="P357" i="5" s="1"/>
  <c r="P353" i="5"/>
  <c r="Z356" i="5"/>
  <c r="Z357" i="5" s="1"/>
  <c r="Z353" i="5"/>
  <c r="AB353" i="5"/>
  <c r="AP356" i="5"/>
  <c r="AU353" i="5"/>
  <c r="AP353" i="5"/>
  <c r="Y355" i="5"/>
  <c r="Y362" i="5"/>
  <c r="AI362" i="5"/>
  <c r="AN363" i="5" s="1"/>
  <c r="AI355" i="5"/>
  <c r="AT355" i="5"/>
  <c r="AY362" i="5"/>
  <c r="AY355" i="5"/>
  <c r="N363" i="5"/>
  <c r="I363" i="5"/>
  <c r="Q363" i="5"/>
  <c r="V363" i="5"/>
  <c r="AC363" i="5"/>
  <c r="AF363" i="5"/>
  <c r="AP363" i="5"/>
  <c r="AW363" i="5"/>
  <c r="AR363" i="5"/>
  <c r="M360" i="5"/>
  <c r="U376" i="5"/>
  <c r="U360" i="5"/>
  <c r="W360" i="5"/>
  <c r="W376" i="5"/>
  <c r="W378" i="5" s="1"/>
  <c r="Z376" i="5"/>
  <c r="Z373" i="5"/>
  <c r="AE376" i="5"/>
  <c r="AE373" i="5"/>
  <c r="AO376" i="5"/>
  <c r="AO377" i="5" s="1"/>
  <c r="AO360" i="5"/>
  <c r="AC380" i="5"/>
  <c r="AH380" i="5"/>
  <c r="AC397" i="5"/>
  <c r="AC398" i="5"/>
  <c r="AP398" i="5"/>
  <c r="AP397" i="5"/>
  <c r="AU398" i="5"/>
  <c r="AU397" i="5"/>
  <c r="H408" i="5"/>
  <c r="H406" i="5"/>
  <c r="S408" i="5"/>
  <c r="S33" i="5"/>
  <c r="S406" i="5"/>
  <c r="X33" i="5"/>
  <c r="X406" i="5"/>
  <c r="AH33" i="5"/>
  <c r="AH408" i="5"/>
  <c r="AM33" i="5"/>
  <c r="AR406" i="5"/>
  <c r="AN404" i="5"/>
  <c r="AI404" i="5"/>
  <c r="J393" i="5"/>
  <c r="J396" i="5" s="1"/>
  <c r="G396" i="5"/>
  <c r="L397" i="5" s="1"/>
  <c r="J401" i="5"/>
  <c r="G405" i="5"/>
  <c r="T402" i="5"/>
  <c r="T412" i="5"/>
  <c r="Y412" i="5"/>
  <c r="F28" i="5"/>
  <c r="C28" i="5"/>
  <c r="C48" i="5" s="1"/>
  <c r="Q51" i="5"/>
  <c r="BG107" i="5"/>
  <c r="H28" i="5"/>
  <c r="H446" i="5" s="1"/>
  <c r="E117" i="5"/>
  <c r="AO117" i="5"/>
  <c r="AY117" i="5"/>
  <c r="BI117" i="5"/>
  <c r="O117" i="5"/>
  <c r="Y117" i="5"/>
  <c r="AD117" i="5"/>
  <c r="AD126" i="5" s="1"/>
  <c r="AJ117" i="5"/>
  <c r="AT117" i="5"/>
  <c r="F126" i="5"/>
  <c r="F138" i="5" s="1"/>
  <c r="P126" i="5"/>
  <c r="P138" i="5" s="1"/>
  <c r="R126" i="5"/>
  <c r="R138" i="5" s="1"/>
  <c r="W126" i="5"/>
  <c r="W138" i="5" s="1"/>
  <c r="AL126" i="5"/>
  <c r="AL138" i="5" s="1"/>
  <c r="AW126" i="5"/>
  <c r="AW138" i="5" s="1"/>
  <c r="E451" i="5"/>
  <c r="AZ451" i="5"/>
  <c r="BD136" i="5"/>
  <c r="E198" i="5"/>
  <c r="BL192" i="5"/>
  <c r="AI299" i="5"/>
  <c r="T336" i="5"/>
  <c r="S418" i="5"/>
  <c r="AC418" i="5"/>
  <c r="AG418" i="5"/>
  <c r="AP418" i="5"/>
  <c r="AM418" i="5"/>
  <c r="AU418" i="5"/>
  <c r="AU416" i="5" s="1"/>
  <c r="AN423" i="5"/>
  <c r="AN426" i="5" s="1"/>
  <c r="BD304" i="5"/>
  <c r="BD307" i="5" s="1"/>
  <c r="W296" i="5"/>
  <c r="AE296" i="5"/>
  <c r="AY301" i="5"/>
  <c r="AI295" i="5"/>
  <c r="AI297" i="5" s="1"/>
  <c r="AN330" i="5"/>
  <c r="AX330" i="5"/>
  <c r="AX332" i="5" s="1"/>
  <c r="H360" i="5"/>
  <c r="P360" i="5"/>
  <c r="O352" i="5"/>
  <c r="O356" i="5" s="1"/>
  <c r="AN396" i="5"/>
  <c r="E417" i="5"/>
  <c r="F417" i="5" s="1"/>
  <c r="T417" i="5"/>
  <c r="U417" i="5" s="1"/>
  <c r="Y417" i="5"/>
  <c r="Z417" i="5" s="1"/>
  <c r="AT404" i="5"/>
  <c r="H418" i="5"/>
  <c r="T431" i="5"/>
  <c r="T433" i="5" s="1"/>
  <c r="AD431" i="5"/>
  <c r="AI431" i="5"/>
  <c r="AI433" i="5" s="1"/>
  <c r="BP14" i="5"/>
  <c r="AM397" i="5"/>
  <c r="V377" i="5"/>
  <c r="AE297" i="5"/>
  <c r="R296" i="5"/>
  <c r="Z296" i="5"/>
  <c r="Q296" i="5"/>
  <c r="AS295" i="5"/>
  <c r="AS297" i="5" s="1"/>
  <c r="I31" i="5"/>
  <c r="Y295" i="5"/>
  <c r="AD295" i="5"/>
  <c r="AD297" i="5" s="1"/>
  <c r="E330" i="5"/>
  <c r="E332" i="5" s="1"/>
  <c r="S363" i="5"/>
  <c r="I397" i="5"/>
  <c r="S398" i="5"/>
  <c r="Z406" i="5"/>
  <c r="BU224" i="5"/>
  <c r="BV224" i="5" s="1"/>
  <c r="BW224" i="5" s="1"/>
  <c r="BY224" i="5" s="1"/>
  <c r="BZ224" i="5" s="1"/>
  <c r="CA224" i="5" s="1"/>
  <c r="BP193" i="5"/>
  <c r="AO136" i="5"/>
  <c r="AT454" i="5"/>
  <c r="BI454" i="5"/>
  <c r="BJ451" i="5"/>
  <c r="O451" i="5"/>
  <c r="T451" i="5"/>
  <c r="BJ454" i="5"/>
  <c r="E282" i="5"/>
  <c r="E283" i="5" s="1"/>
  <c r="BT444" i="5"/>
  <c r="BU444" i="5" s="1"/>
  <c r="BV444" i="5" s="1"/>
  <c r="BW444" i="5" s="1"/>
  <c r="BY444" i="5" s="1"/>
  <c r="BZ444" i="5" s="1"/>
  <c r="CA444" i="5" s="1"/>
  <c r="CB444" i="5" s="1"/>
  <c r="CD444" i="5" s="1"/>
  <c r="J372" i="5"/>
  <c r="AH296" i="5"/>
  <c r="AX295" i="5"/>
  <c r="AX297" i="5" s="1"/>
  <c r="AH305" i="5"/>
  <c r="AY304" i="5"/>
  <c r="AY307" i="5" s="1"/>
  <c r="AO304" i="5"/>
  <c r="AO305" i="5" s="1"/>
  <c r="R331" i="5"/>
  <c r="AJ331" i="5"/>
  <c r="AD338" i="5"/>
  <c r="AO353" i="5"/>
  <c r="AT353" i="5"/>
  <c r="AJ363" i="5"/>
  <c r="AV363" i="5"/>
  <c r="R360" i="5"/>
  <c r="AA360" i="5"/>
  <c r="AG360" i="5"/>
  <c r="AU360" i="5"/>
  <c r="O362" i="5"/>
  <c r="T372" i="5"/>
  <c r="X380" i="5"/>
  <c r="R397" i="5"/>
  <c r="AM398" i="5"/>
  <c r="AW397" i="5"/>
  <c r="P406" i="5"/>
  <c r="AA406" i="5"/>
  <c r="AQ406" i="5"/>
  <c r="AY404" i="5"/>
  <c r="O412" i="5"/>
  <c r="J431" i="5"/>
  <c r="Y431" i="5"/>
  <c r="Y433" i="5" s="1"/>
  <c r="Y440" i="5"/>
  <c r="AI435" i="5"/>
  <c r="AZ51" i="5"/>
  <c r="AZ49" i="5" s="1"/>
  <c r="BG443" i="5"/>
  <c r="BD33" i="5"/>
  <c r="AB296" i="5"/>
  <c r="AL296" i="5"/>
  <c r="Z305" i="5"/>
  <c r="AD303" i="5"/>
  <c r="AY336" i="5"/>
  <c r="T355" i="5"/>
  <c r="M373" i="5"/>
  <c r="Q360" i="5"/>
  <c r="O372" i="5"/>
  <c r="O376" i="5" s="1"/>
  <c r="AO373" i="5"/>
  <c r="Z397" i="5"/>
  <c r="AB397" i="5"/>
  <c r="T396" i="5"/>
  <c r="O417" i="5"/>
  <c r="AT412" i="5"/>
  <c r="AF418" i="5"/>
  <c r="AR418" i="5"/>
  <c r="AR416" i="5" s="1"/>
  <c r="N432" i="5"/>
  <c r="AX431" i="5"/>
  <c r="AX433" i="5" s="1"/>
  <c r="BC439" i="5"/>
  <c r="BI443" i="5"/>
  <c r="AI437" i="5"/>
  <c r="AS437" i="5"/>
  <c r="AX32" i="5"/>
  <c r="AX340" i="5"/>
  <c r="AX342" i="5"/>
  <c r="X378" i="5"/>
  <c r="AC377" i="5"/>
  <c r="AX304" i="5"/>
  <c r="AX305" i="5" s="1"/>
  <c r="AX299" i="5"/>
  <c r="I33" i="5"/>
  <c r="I406" i="5"/>
  <c r="I408" i="5"/>
  <c r="BH14" i="5"/>
  <c r="N441" i="5"/>
  <c r="AS307" i="5"/>
  <c r="AS31" i="5"/>
  <c r="AS440" i="5"/>
  <c r="AW441" i="5"/>
  <c r="AL398" i="5"/>
  <c r="AL397" i="5"/>
  <c r="AQ397" i="5"/>
  <c r="D408" i="5"/>
  <c r="D33" i="5"/>
  <c r="AT414" i="5"/>
  <c r="AO414" i="5"/>
  <c r="I418" i="5"/>
  <c r="N418" i="5"/>
  <c r="AA418" i="5"/>
  <c r="AJ357" i="5"/>
  <c r="AY360" i="5"/>
  <c r="AV397" i="5"/>
  <c r="R373" i="5"/>
  <c r="AI338" i="5"/>
  <c r="I332" i="5"/>
  <c r="I331" i="5"/>
  <c r="N331" i="5"/>
  <c r="Q342" i="5"/>
  <c r="Q340" i="5"/>
  <c r="Q32" i="5"/>
  <c r="Q397" i="5"/>
  <c r="E405" i="5"/>
  <c r="AC307" i="5"/>
  <c r="AC305" i="5"/>
  <c r="AC31" i="5"/>
  <c r="BE307" i="5"/>
  <c r="BE31" i="5"/>
  <c r="U332" i="5"/>
  <c r="U331" i="5"/>
  <c r="Z331" i="5"/>
  <c r="W342" i="5"/>
  <c r="W32" i="5"/>
  <c r="W340" i="5"/>
  <c r="T334" i="5"/>
  <c r="T379" i="5"/>
  <c r="Y334" i="5"/>
  <c r="E351" i="5"/>
  <c r="E352" i="5" s="1"/>
  <c r="B352" i="5"/>
  <c r="BB441" i="5"/>
  <c r="AW443" i="5"/>
  <c r="AN440" i="5"/>
  <c r="AS435" i="5"/>
  <c r="AN435" i="5"/>
  <c r="C295" i="5"/>
  <c r="C297" i="5" s="1"/>
  <c r="E293" i="5"/>
  <c r="I303" i="5"/>
  <c r="D304" i="5"/>
  <c r="E302" i="5"/>
  <c r="E308" i="5"/>
  <c r="I373" i="5"/>
  <c r="I376" i="5"/>
  <c r="I377" i="5" s="1"/>
  <c r="R376" i="5"/>
  <c r="W373" i="5"/>
  <c r="AK397" i="5"/>
  <c r="AF398" i="5"/>
  <c r="O439" i="5"/>
  <c r="O414" i="5"/>
  <c r="I441" i="5"/>
  <c r="N34" i="5"/>
  <c r="T339" i="5"/>
  <c r="O301" i="5"/>
  <c r="AQ360" i="5"/>
  <c r="AQ353" i="5"/>
  <c r="AQ356" i="5"/>
  <c r="AV353" i="5"/>
  <c r="K373" i="5"/>
  <c r="K376" i="5"/>
  <c r="K377" i="5" s="1"/>
  <c r="P373" i="5"/>
  <c r="AB376" i="5"/>
  <c r="AB360" i="5"/>
  <c r="AG373" i="5"/>
  <c r="M380" i="5"/>
  <c r="R380" i="5"/>
  <c r="P379" i="5"/>
  <c r="M378" i="5"/>
  <c r="AF380" i="5"/>
  <c r="AL380" i="5"/>
  <c r="F398" i="5"/>
  <c r="K397" i="5"/>
  <c r="AM305" i="5"/>
  <c r="AH31" i="5"/>
  <c r="O304" i="5"/>
  <c r="AM332" i="5"/>
  <c r="AM331" i="5"/>
  <c r="R340" i="5"/>
  <c r="R32" i="5"/>
  <c r="R342" i="5"/>
  <c r="AB340" i="5"/>
  <c r="AB342" i="5"/>
  <c r="AD336" i="5"/>
  <c r="Y339" i="5"/>
  <c r="X377" i="5"/>
  <c r="AO301" i="5"/>
  <c r="BU439" i="5"/>
  <c r="BV438" i="5"/>
  <c r="N443" i="5"/>
  <c r="BC299" i="5"/>
  <c r="J439" i="5"/>
  <c r="AF397" i="5"/>
  <c r="AH307" i="5"/>
  <c r="I443" i="5"/>
  <c r="I360" i="5"/>
  <c r="E300" i="5"/>
  <c r="J301" i="5" s="1"/>
  <c r="K301" i="5"/>
  <c r="J302" i="5"/>
  <c r="L303" i="5"/>
  <c r="G303" i="5"/>
  <c r="G304" i="5"/>
  <c r="X356" i="5"/>
  <c r="X360" i="5"/>
  <c r="AC353" i="5"/>
  <c r="AF373" i="5"/>
  <c r="AA373" i="5"/>
  <c r="AB297" i="5"/>
  <c r="AY296" i="5"/>
  <c r="BD296" i="5"/>
  <c r="AN295" i="5"/>
  <c r="E372" i="5"/>
  <c r="E376" i="5" s="1"/>
  <c r="N340" i="5"/>
  <c r="S340" i="5"/>
  <c r="AD372" i="5"/>
  <c r="AB380" i="5"/>
  <c r="W380" i="5"/>
  <c r="G431" i="5"/>
  <c r="AU441" i="5"/>
  <c r="U296" i="5"/>
  <c r="H363" i="5"/>
  <c r="M363" i="5"/>
  <c r="G362" i="5"/>
  <c r="G375" i="5"/>
  <c r="J374" i="5"/>
  <c r="L375" i="5"/>
  <c r="AI405" i="5"/>
  <c r="AI400" i="5"/>
  <c r="AI417" i="5"/>
  <c r="AN400" i="5"/>
  <c r="AO402" i="5"/>
  <c r="AO405" i="5"/>
  <c r="AF432" i="5"/>
  <c r="AF433" i="5"/>
  <c r="N397" i="5"/>
  <c r="N398" i="5"/>
  <c r="K357" i="5"/>
  <c r="BD301" i="5"/>
  <c r="BA14" i="5"/>
  <c r="BD14" i="5" s="1"/>
  <c r="BD11" i="5"/>
  <c r="BI13" i="5"/>
  <c r="BD32" i="5"/>
  <c r="BN32" i="5"/>
  <c r="AW296" i="5"/>
  <c r="BB296" i="5"/>
  <c r="AW297" i="5"/>
  <c r="AT332" i="5"/>
  <c r="AT331" i="5"/>
  <c r="AU342" i="5"/>
  <c r="AU32" i="5"/>
  <c r="AI339" i="5"/>
  <c r="AI379" i="5"/>
  <c r="AP360" i="5"/>
  <c r="AT372" i="5"/>
  <c r="AY373" i="5" s="1"/>
  <c r="AP373" i="5"/>
  <c r="AU373" i="5"/>
  <c r="M406" i="5"/>
  <c r="M33" i="5"/>
  <c r="M408" i="5"/>
  <c r="W33" i="5"/>
  <c r="AB406" i="5"/>
  <c r="W406" i="5"/>
  <c r="AF33" i="5"/>
  <c r="AF408" i="5"/>
  <c r="AK408" i="5"/>
  <c r="AK33" i="5"/>
  <c r="B408" i="5"/>
  <c r="B33" i="5"/>
  <c r="AD417" i="5"/>
  <c r="AI402" i="5"/>
  <c r="AN402" i="5"/>
  <c r="AP297" i="5"/>
  <c r="AU296" i="5"/>
  <c r="AP296" i="5"/>
  <c r="AP31" i="5"/>
  <c r="AP305" i="5"/>
  <c r="T303" i="5"/>
  <c r="Y303" i="5"/>
  <c r="AB332" i="5"/>
  <c r="AB331" i="5"/>
  <c r="AU332" i="5"/>
  <c r="AU331" i="5"/>
  <c r="U342" i="5"/>
  <c r="U340" i="5"/>
  <c r="Z342" i="5"/>
  <c r="Z340" i="5"/>
  <c r="AP32" i="5"/>
  <c r="AP340" i="5"/>
  <c r="AV32" i="5"/>
  <c r="AV342" i="5"/>
  <c r="AV340" i="5"/>
  <c r="AD334" i="5"/>
  <c r="AD379" i="5"/>
  <c r="AB356" i="5"/>
  <c r="AB357" i="5" s="1"/>
  <c r="AG353" i="5"/>
  <c r="K363" i="5"/>
  <c r="AA397" i="5"/>
  <c r="AA398" i="5"/>
  <c r="AS417" i="5"/>
  <c r="AS405" i="5"/>
  <c r="N408" i="5"/>
  <c r="N406" i="5"/>
  <c r="AC432" i="5"/>
  <c r="X433" i="5"/>
  <c r="X432" i="5"/>
  <c r="Q34" i="5"/>
  <c r="Q441" i="5"/>
  <c r="AR443" i="5"/>
  <c r="AR34" i="5"/>
  <c r="BA34" i="5"/>
  <c r="BA443" i="5"/>
  <c r="BA441" i="5"/>
  <c r="L357" i="5"/>
  <c r="F295" i="5"/>
  <c r="F297" i="5" s="1"/>
  <c r="E294" i="5"/>
  <c r="AO296" i="5"/>
  <c r="AY303" i="5"/>
  <c r="V32" i="5"/>
  <c r="V340" i="5"/>
  <c r="V342" i="5"/>
  <c r="AA340" i="5"/>
  <c r="Y352" i="5"/>
  <c r="R363" i="5"/>
  <c r="AL376" i="5"/>
  <c r="AL378" i="5" s="1"/>
  <c r="AQ378" i="5" s="1"/>
  <c r="AL373" i="5"/>
  <c r="AJ397" i="5"/>
  <c r="AE398" i="5"/>
  <c r="H297" i="5"/>
  <c r="X296" i="5"/>
  <c r="X297" i="5"/>
  <c r="AG297" i="5"/>
  <c r="AG296" i="5"/>
  <c r="H299" i="5"/>
  <c r="C304" i="5"/>
  <c r="E298" i="5"/>
  <c r="Z307" i="5"/>
  <c r="AM32" i="5"/>
  <c r="AM342" i="5"/>
  <c r="G339" i="5"/>
  <c r="L340" i="5" s="1"/>
  <c r="J333" i="5"/>
  <c r="AL356" i="5"/>
  <c r="AL357" i="5" s="1"/>
  <c r="AL353" i="5"/>
  <c r="AT402" i="5"/>
  <c r="AT405" i="5"/>
  <c r="AB432" i="5"/>
  <c r="AX437" i="5"/>
  <c r="BB305" i="5"/>
  <c r="BB31" i="5"/>
  <c r="BB307" i="5"/>
  <c r="AR331" i="5"/>
  <c r="AR332" i="5"/>
  <c r="AW331" i="5"/>
  <c r="Z398" i="5"/>
  <c r="L408" i="5"/>
  <c r="Q406" i="5"/>
  <c r="P408" i="5"/>
  <c r="Y396" i="5"/>
  <c r="AL34" i="5"/>
  <c r="AL443" i="5"/>
  <c r="AN431" i="5"/>
  <c r="AH377" i="5"/>
  <c r="BD13" i="5"/>
  <c r="J293" i="5"/>
  <c r="J295" i="5" s="1"/>
  <c r="G295" i="5"/>
  <c r="AA297" i="5"/>
  <c r="AF296" i="5"/>
  <c r="AF31" i="5"/>
  <c r="AF307" i="5"/>
  <c r="AF305" i="5"/>
  <c r="AJ305" i="5"/>
  <c r="AU305" i="5"/>
  <c r="AU31" i="5"/>
  <c r="T304" i="5"/>
  <c r="AI330" i="5"/>
  <c r="D360" i="5"/>
  <c r="D356" i="5"/>
  <c r="P376" i="5"/>
  <c r="U373" i="5"/>
  <c r="AU408" i="5"/>
  <c r="AU406" i="5"/>
  <c r="AU33" i="5"/>
  <c r="S441" i="5"/>
  <c r="AM51" i="5"/>
  <c r="AM56" i="5" s="1"/>
  <c r="AD352" i="5"/>
  <c r="AD356" i="5" s="1"/>
  <c r="T414" i="5"/>
  <c r="AB418" i="5"/>
  <c r="BD443" i="5"/>
  <c r="AD435" i="5"/>
  <c r="Y338" i="5"/>
  <c r="J403" i="5"/>
  <c r="AN439" i="5"/>
  <c r="AS299" i="5"/>
  <c r="O355" i="5"/>
  <c r="U363" i="5"/>
  <c r="AL363" i="5"/>
  <c r="AR397" i="5"/>
  <c r="AD412" i="5"/>
  <c r="AT304" i="5"/>
  <c r="AQ331" i="5"/>
  <c r="AB373" i="5"/>
  <c r="AY405" i="5"/>
  <c r="AH441" i="5"/>
  <c r="AS431" i="5"/>
  <c r="BL432" i="5"/>
  <c r="T198" i="5"/>
  <c r="AO142" i="5"/>
  <c r="AO146" i="5" s="1"/>
  <c r="BU101" i="5"/>
  <c r="AL142" i="5"/>
  <c r="AL146" i="5" s="1"/>
  <c r="O142" i="5"/>
  <c r="O146" i="5" s="1"/>
  <c r="I191" i="5"/>
  <c r="J191" i="5" s="1"/>
  <c r="D190" i="5"/>
  <c r="E190" i="5" s="1"/>
  <c r="Y142" i="5"/>
  <c r="Y146" i="5" s="1"/>
  <c r="H201" i="5"/>
  <c r="BD142" i="5"/>
  <c r="BD146" i="5" s="1"/>
  <c r="R201" i="5"/>
  <c r="BN117" i="5"/>
  <c r="AP142" i="5"/>
  <c r="AP146" i="5" s="1"/>
  <c r="AU142" i="5"/>
  <c r="AU146" i="5" s="1"/>
  <c r="AV142" i="5"/>
  <c r="AV146" i="5" s="1"/>
  <c r="J142" i="5"/>
  <c r="J146" i="5" s="1"/>
  <c r="AY142" i="5"/>
  <c r="AY146" i="5" s="1"/>
  <c r="AQ142" i="5"/>
  <c r="AQ146" i="5" s="1"/>
  <c r="BT186" i="5"/>
  <c r="BU186" i="5" s="1"/>
  <c r="BV186" i="5" s="1"/>
  <c r="BW186" i="5" s="1"/>
  <c r="BY186" i="5" s="1"/>
  <c r="CA205" i="5"/>
  <c r="CB192" i="5"/>
  <c r="CR102" i="5"/>
  <c r="AU451" i="5"/>
  <c r="J451" i="5"/>
  <c r="AD451" i="5"/>
  <c r="BD451" i="5"/>
  <c r="O136" i="5"/>
  <c r="AY451" i="5"/>
  <c r="O454" i="5"/>
  <c r="BE451" i="5"/>
  <c r="AT136" i="5"/>
  <c r="Y136" i="5"/>
  <c r="AJ136" i="5"/>
  <c r="AP451" i="5"/>
  <c r="AY136" i="5"/>
  <c r="BN454" i="5"/>
  <c r="BI136" i="5"/>
  <c r="BI451" i="5"/>
  <c r="T136" i="5"/>
  <c r="Y451" i="5"/>
  <c r="AJ451" i="5"/>
  <c r="AT451" i="5"/>
  <c r="AO451" i="5"/>
  <c r="BD454" i="5"/>
  <c r="AY454" i="5"/>
  <c r="AU454" i="5"/>
  <c r="AO454" i="5"/>
  <c r="AZ454" i="5"/>
  <c r="BT135" i="5"/>
  <c r="BU135" i="5" s="1"/>
  <c r="BV135" i="5" s="1"/>
  <c r="BW135" i="5" s="1"/>
  <c r="BX135" i="5" s="1"/>
  <c r="BP242" i="5"/>
  <c r="BU174" i="5"/>
  <c r="BV174" i="5" s="1"/>
  <c r="BW174" i="5" s="1"/>
  <c r="BY174" i="5" s="1"/>
  <c r="CE23" i="5"/>
  <c r="CF23" i="5" s="1"/>
  <c r="CG23" i="5" s="1"/>
  <c r="CI23" i="5" s="1"/>
  <c r="CH209" i="5"/>
  <c r="BX23" i="5"/>
  <c r="CC23" i="5"/>
  <c r="BS88" i="5"/>
  <c r="BT88" i="5" s="1"/>
  <c r="BU88" i="5" s="1"/>
  <c r="BV88" i="5" s="1"/>
  <c r="BW88" i="5" s="1"/>
  <c r="BX88" i="5" s="1"/>
  <c r="BY88" i="5" s="1"/>
  <c r="BZ88" i="5" s="1"/>
  <c r="CA88" i="5" s="1"/>
  <c r="CB88" i="5" s="1"/>
  <c r="CC88" i="5" s="1"/>
  <c r="CD88" i="5" s="1"/>
  <c r="CE88" i="5" s="1"/>
  <c r="CF88" i="5" s="1"/>
  <c r="CG88" i="5" s="1"/>
  <c r="CH88" i="5" s="1"/>
  <c r="CI88" i="5" s="1"/>
  <c r="CJ88" i="5" s="1"/>
  <c r="CK88" i="5" s="1"/>
  <c r="CL88" i="5" s="1"/>
  <c r="CM88" i="5" s="1"/>
  <c r="CN88" i="5" s="1"/>
  <c r="CO88" i="5" s="1"/>
  <c r="CP88" i="5" s="1"/>
  <c r="CQ88" i="5" s="1"/>
  <c r="CR88" i="5" s="1"/>
  <c r="CS88" i="5" s="1"/>
  <c r="CT88" i="5" s="1"/>
  <c r="CU88" i="5" s="1"/>
  <c r="CV88" i="5" s="1"/>
  <c r="CW88" i="5" s="1"/>
  <c r="CX88" i="5" s="1"/>
  <c r="CY88" i="5" s="1"/>
  <c r="CZ88" i="5" s="1"/>
  <c r="DA88" i="5" s="1"/>
  <c r="DB88" i="5" s="1"/>
  <c r="BO117" i="5"/>
  <c r="BT41" i="5"/>
  <c r="BL164" i="5"/>
  <c r="BM164" i="5" s="1"/>
  <c r="E204" i="5"/>
  <c r="BG204" i="5"/>
  <c r="BQ117" i="5"/>
  <c r="BP117" i="5"/>
  <c r="BM117" i="5"/>
  <c r="AD204" i="5"/>
  <c r="F488" i="5"/>
  <c r="BT40" i="5"/>
  <c r="BL440" i="5"/>
  <c r="BQ441" i="5" s="1"/>
  <c r="AQ446" i="5"/>
  <c r="AQ488" i="5"/>
  <c r="AQ36" i="5"/>
  <c r="AQ490" i="5" s="1"/>
  <c r="AN181" i="5"/>
  <c r="E197" i="5"/>
  <c r="J210" i="5"/>
  <c r="T208" i="5"/>
  <c r="Y301" i="5"/>
  <c r="BD308" i="5"/>
  <c r="J195" i="5"/>
  <c r="AA378" i="5"/>
  <c r="AR488" i="5"/>
  <c r="BN431" i="5"/>
  <c r="BS432" i="5" s="1"/>
  <c r="AP488" i="5"/>
  <c r="AC446" i="5"/>
  <c r="X201" i="5"/>
  <c r="S378" i="5"/>
  <c r="AV296" i="5"/>
  <c r="BV431" i="5"/>
  <c r="AG363" i="5"/>
  <c r="AA380" i="5"/>
  <c r="AE397" i="5"/>
  <c r="AA432" i="5"/>
  <c r="AX440" i="5"/>
  <c r="CZ39" i="5"/>
  <c r="CY78" i="5"/>
  <c r="BX192" i="5"/>
  <c r="BB488" i="5" l="1"/>
  <c r="CM78" i="5"/>
  <c r="AU36" i="5"/>
  <c r="AU490" i="5" s="1"/>
  <c r="AR49" i="5"/>
  <c r="AR50" i="5" s="1"/>
  <c r="M36" i="5"/>
  <c r="M490" i="5" s="1"/>
  <c r="AX400" i="5"/>
  <c r="BW209" i="5"/>
  <c r="M488" i="5"/>
  <c r="AY126" i="5"/>
  <c r="AY138" i="5" s="1"/>
  <c r="AX408" i="5"/>
  <c r="M175" i="5"/>
  <c r="G331" i="5"/>
  <c r="V36" i="5"/>
  <c r="V490" i="5" s="1"/>
  <c r="B36" i="5"/>
  <c r="B490" i="5" s="1"/>
  <c r="J136" i="5"/>
  <c r="AL361" i="5"/>
  <c r="V446" i="5"/>
  <c r="J213" i="5"/>
  <c r="B488" i="5"/>
  <c r="CP78" i="5"/>
  <c r="G138" i="5"/>
  <c r="BI28" i="5"/>
  <c r="BI48" i="5" s="1"/>
  <c r="BI52" i="5" s="1"/>
  <c r="BK201" i="5"/>
  <c r="AL201" i="5"/>
  <c r="Y331" i="5"/>
  <c r="BR193" i="5"/>
  <c r="BM192" i="5"/>
  <c r="CH205" i="5"/>
  <c r="BL453" i="5"/>
  <c r="DB205" i="5"/>
  <c r="BU112" i="5"/>
  <c r="CD146" i="5"/>
  <c r="CE146" i="5" s="1"/>
  <c r="CF146" i="5" s="1"/>
  <c r="CG146" i="5" s="1"/>
  <c r="CI146" i="5" s="1"/>
  <c r="CJ146" i="5" s="1"/>
  <c r="CK146" i="5" s="1"/>
  <c r="CL146" i="5" s="1"/>
  <c r="CN146" i="5" s="1"/>
  <c r="CO146" i="5" s="1"/>
  <c r="CP146" i="5" s="1"/>
  <c r="CQ146" i="5" s="1"/>
  <c r="CS146" i="5" s="1"/>
  <c r="CT146" i="5" s="1"/>
  <c r="CU146" i="5" s="1"/>
  <c r="CV146" i="5" s="1"/>
  <c r="CX146" i="5" s="1"/>
  <c r="CY146" i="5" s="1"/>
  <c r="CZ146" i="5" s="1"/>
  <c r="DA146" i="5" s="1"/>
  <c r="V49" i="5"/>
  <c r="V52" i="5" s="1"/>
  <c r="V66" i="5" s="1"/>
  <c r="V56" i="5"/>
  <c r="W488" i="5"/>
  <c r="W36" i="5"/>
  <c r="W490" i="5" s="1"/>
  <c r="AK357" i="5"/>
  <c r="J297" i="5"/>
  <c r="BW69" i="5"/>
  <c r="BX205" i="5"/>
  <c r="CA225" i="5"/>
  <c r="H214" i="5"/>
  <c r="L446" i="5"/>
  <c r="N214" i="5"/>
  <c r="E28" i="5"/>
  <c r="E36" i="5" s="1"/>
  <c r="E490" i="5" s="1"/>
  <c r="AN167" i="5"/>
  <c r="AQ49" i="5"/>
  <c r="AQ52" i="5" s="1"/>
  <c r="AD406" i="5"/>
  <c r="H175" i="5"/>
  <c r="J186" i="5"/>
  <c r="AU488" i="5"/>
  <c r="D201" i="5"/>
  <c r="L36" i="5"/>
  <c r="L490" i="5" s="1"/>
  <c r="Q361" i="5"/>
  <c r="AY363" i="5"/>
  <c r="AP357" i="5"/>
  <c r="AW488" i="5"/>
  <c r="BB446" i="5"/>
  <c r="L488" i="5"/>
  <c r="BA488" i="5"/>
  <c r="CP164" i="5"/>
  <c r="O32" i="5"/>
  <c r="P32" i="5" s="1"/>
  <c r="AW36" i="5"/>
  <c r="AW490" i="5" s="1"/>
  <c r="BB36" i="5"/>
  <c r="BB490" i="5" s="1"/>
  <c r="AU446" i="5"/>
  <c r="AW446" i="5"/>
  <c r="AT126" i="5"/>
  <c r="AT138" i="5" s="1"/>
  <c r="AF488" i="5"/>
  <c r="AL446" i="5"/>
  <c r="AX398" i="5"/>
  <c r="BF126" i="5"/>
  <c r="BF138" i="5" s="1"/>
  <c r="BA36" i="5"/>
  <c r="BA490" i="5" s="1"/>
  <c r="R488" i="5"/>
  <c r="Y408" i="5"/>
  <c r="AL214" i="5"/>
  <c r="BA446" i="5"/>
  <c r="AF36" i="5"/>
  <c r="AF490" i="5" s="1"/>
  <c r="W446" i="5"/>
  <c r="DB209" i="5"/>
  <c r="BN434" i="5"/>
  <c r="BS435" i="5" s="1"/>
  <c r="BL175" i="5"/>
  <c r="BL187" i="5" s="1"/>
  <c r="O126" i="5"/>
  <c r="O138" i="5" s="1"/>
  <c r="R49" i="5"/>
  <c r="AL488" i="5"/>
  <c r="V488" i="5"/>
  <c r="AG446" i="5"/>
  <c r="F307" i="5"/>
  <c r="AG488" i="5"/>
  <c r="AH446" i="5"/>
  <c r="BC204" i="5"/>
  <c r="AG36" i="5"/>
  <c r="AG490" i="5" s="1"/>
  <c r="H138" i="5"/>
  <c r="CW39" i="5"/>
  <c r="CW164" i="5" s="1"/>
  <c r="CV78" i="5"/>
  <c r="CW78" i="5" s="1"/>
  <c r="J28" i="5"/>
  <c r="J48" i="5" s="1"/>
  <c r="AN205" i="5"/>
  <c r="AQ361" i="5"/>
  <c r="AF446" i="5"/>
  <c r="AL36" i="5"/>
  <c r="AL490" i="5" s="1"/>
  <c r="K361" i="5"/>
  <c r="D214" i="5"/>
  <c r="BE305" i="5"/>
  <c r="AM214" i="5"/>
  <c r="T126" i="5"/>
  <c r="T138" i="5" s="1"/>
  <c r="AH36" i="5"/>
  <c r="AH490" i="5" s="1"/>
  <c r="AV406" i="5"/>
  <c r="CR209" i="5"/>
  <c r="BA214" i="5"/>
  <c r="BH126" i="5"/>
  <c r="BH138" i="5" s="1"/>
  <c r="BS111" i="5"/>
  <c r="BS117" i="5" s="1"/>
  <c r="BK440" i="5"/>
  <c r="BK446" i="5" s="1"/>
  <c r="BP435" i="5"/>
  <c r="F36" i="5"/>
  <c r="F490" i="5" s="1"/>
  <c r="F48" i="5"/>
  <c r="F52" i="5" s="1"/>
  <c r="AT357" i="5"/>
  <c r="BC488" i="5"/>
  <c r="BC48" i="5"/>
  <c r="BC52" i="5" s="1"/>
  <c r="Z488" i="5"/>
  <c r="Z48" i="5"/>
  <c r="Q488" i="5"/>
  <c r="Q48" i="5"/>
  <c r="AB36" i="5"/>
  <c r="AB490" i="5" s="1"/>
  <c r="AB48" i="5"/>
  <c r="AX488" i="5"/>
  <c r="AX48" i="5"/>
  <c r="AX50" i="5" s="1"/>
  <c r="AV446" i="5"/>
  <c r="AV48" i="5"/>
  <c r="K446" i="5"/>
  <c r="K48" i="5"/>
  <c r="I36" i="5"/>
  <c r="I490" i="5" s="1"/>
  <c r="I48" i="5"/>
  <c r="I50" i="5" s="1"/>
  <c r="S36" i="5"/>
  <c r="S490" i="5" s="1"/>
  <c r="S48" i="5"/>
  <c r="AM36" i="5"/>
  <c r="AM490" i="5" s="1"/>
  <c r="AM48" i="5"/>
  <c r="AT48" i="5"/>
  <c r="H36" i="5"/>
  <c r="H490" i="5" s="1"/>
  <c r="H48" i="5"/>
  <c r="AA446" i="5"/>
  <c r="AA48" i="5"/>
  <c r="AD36" i="5"/>
  <c r="AD490" i="5" s="1"/>
  <c r="AD48" i="5"/>
  <c r="AZ488" i="5"/>
  <c r="AZ48" i="5"/>
  <c r="AZ50" i="5" s="1"/>
  <c r="AS488" i="5"/>
  <c r="AS48" i="5"/>
  <c r="P488" i="5"/>
  <c r="P48" i="5"/>
  <c r="R36" i="5"/>
  <c r="R490" i="5" s="1"/>
  <c r="R48" i="5"/>
  <c r="BE446" i="5"/>
  <c r="BE48" i="5"/>
  <c r="BE52" i="5" s="1"/>
  <c r="BE63" i="5" s="1"/>
  <c r="BJ488" i="5"/>
  <c r="BJ48" i="5"/>
  <c r="U446" i="5"/>
  <c r="U48" i="5"/>
  <c r="AC36" i="5"/>
  <c r="AC490" i="5" s="1"/>
  <c r="AC48" i="5"/>
  <c r="AC50" i="5" s="1"/>
  <c r="BG36" i="5"/>
  <c r="BG490" i="5" s="1"/>
  <c r="BG48" i="5"/>
  <c r="BG50" i="5" s="1"/>
  <c r="AY36" i="5"/>
  <c r="AY490" i="5" s="1"/>
  <c r="AY48" i="5"/>
  <c r="AT488" i="5"/>
  <c r="AT36" i="5"/>
  <c r="AT490" i="5" s="1"/>
  <c r="BI218" i="5"/>
  <c r="BP192" i="5"/>
  <c r="BD218" i="5"/>
  <c r="BM169" i="5"/>
  <c r="BM235" i="5" s="1"/>
  <c r="BL235" i="5"/>
  <c r="AD138" i="5"/>
  <c r="AI56" i="5"/>
  <c r="AI49" i="5"/>
  <c r="BP34" i="5"/>
  <c r="K488" i="5"/>
  <c r="Z36" i="5"/>
  <c r="Z490" i="5" s="1"/>
  <c r="X36" i="5"/>
  <c r="X490" i="5" s="1"/>
  <c r="AC56" i="5"/>
  <c r="AF357" i="5"/>
  <c r="BC211" i="5"/>
  <c r="BC453" i="5" s="1"/>
  <c r="AQ201" i="5"/>
  <c r="AE28" i="5"/>
  <c r="AE48" i="5" s="1"/>
  <c r="AS190" i="5"/>
  <c r="AS201" i="5" s="1"/>
  <c r="BI126" i="5"/>
  <c r="BI138" i="5" s="1"/>
  <c r="BU431" i="5"/>
  <c r="BZ431" i="5" s="1"/>
  <c r="BA175" i="5"/>
  <c r="AI190" i="5"/>
  <c r="AI201" i="5" s="1"/>
  <c r="E211" i="5"/>
  <c r="E453" i="5" s="1"/>
  <c r="AD443" i="5"/>
  <c r="AU49" i="5"/>
  <c r="AU52" i="5" s="1"/>
  <c r="AU66" i="5" s="1"/>
  <c r="AS36" i="5"/>
  <c r="AS490" i="5" s="1"/>
  <c r="AK361" i="5"/>
  <c r="BL201" i="5"/>
  <c r="AJ126" i="5"/>
  <c r="AJ138" i="5" s="1"/>
  <c r="AX36" i="5"/>
  <c r="AX490" i="5" s="1"/>
  <c r="BK175" i="5"/>
  <c r="BK187" i="5" s="1"/>
  <c r="AM201" i="5"/>
  <c r="CW209" i="5"/>
  <c r="AH49" i="5"/>
  <c r="AH50" i="5" s="1"/>
  <c r="AH56" i="5"/>
  <c r="BK52" i="5"/>
  <c r="BK57" i="5" s="1"/>
  <c r="BK50" i="5"/>
  <c r="AG56" i="5"/>
  <c r="AT340" i="5"/>
  <c r="AK36" i="5"/>
  <c r="AK490" i="5" s="1"/>
  <c r="D175" i="5"/>
  <c r="P446" i="5"/>
  <c r="B446" i="5"/>
  <c r="Y305" i="5"/>
  <c r="E443" i="5"/>
  <c r="AO340" i="5"/>
  <c r="T397" i="5"/>
  <c r="AT363" i="5"/>
  <c r="X446" i="5"/>
  <c r="I488" i="5"/>
  <c r="BQ75" i="5"/>
  <c r="T363" i="5"/>
  <c r="AO361" i="5"/>
  <c r="AD305" i="5"/>
  <c r="AN190" i="5"/>
  <c r="BH211" i="5"/>
  <c r="BH453" i="5" s="1"/>
  <c r="CM39" i="5"/>
  <c r="CH39" i="5"/>
  <c r="AK446" i="5"/>
  <c r="AM488" i="5"/>
  <c r="Y126" i="5"/>
  <c r="Y138" i="5" s="1"/>
  <c r="BK488" i="5"/>
  <c r="Y28" i="5"/>
  <c r="BK36" i="5"/>
  <c r="AK488" i="5"/>
  <c r="M214" i="5"/>
  <c r="AJ51" i="5"/>
  <c r="S175" i="5"/>
  <c r="BW431" i="5"/>
  <c r="BW433" i="5" s="1"/>
  <c r="BW434" i="5" s="1"/>
  <c r="I296" i="5"/>
  <c r="BD28" i="5"/>
  <c r="BD48" i="5" s="1"/>
  <c r="U36" i="5"/>
  <c r="U490" i="5" s="1"/>
  <c r="B31" i="5"/>
  <c r="W49" i="5"/>
  <c r="W52" i="5" s="1"/>
  <c r="W357" i="5"/>
  <c r="BK307" i="5"/>
  <c r="P361" i="5"/>
  <c r="BA31" i="5"/>
  <c r="BD31" i="5" s="1"/>
  <c r="Q446" i="5"/>
  <c r="O28" i="5"/>
  <c r="O446" i="5" s="1"/>
  <c r="CG78" i="5"/>
  <c r="CH78" i="5" s="1"/>
  <c r="AR373" i="5"/>
  <c r="AS49" i="5"/>
  <c r="AS175" i="5"/>
  <c r="AN376" i="5"/>
  <c r="AS377" i="5" s="1"/>
  <c r="AS373" i="5"/>
  <c r="AN360" i="5"/>
  <c r="AN361" i="5" s="1"/>
  <c r="AM175" i="5"/>
  <c r="AD418" i="5"/>
  <c r="AD175" i="5"/>
  <c r="BD126" i="5"/>
  <c r="BD138" i="5" s="1"/>
  <c r="J126" i="5"/>
  <c r="J138" i="5" s="1"/>
  <c r="AY51" i="5"/>
  <c r="X488" i="5"/>
  <c r="AM377" i="5"/>
  <c r="Y406" i="5"/>
  <c r="BJ305" i="5"/>
  <c r="J376" i="5"/>
  <c r="O377" i="5" s="1"/>
  <c r="AI167" i="5"/>
  <c r="BA307" i="5"/>
  <c r="AX356" i="5"/>
  <c r="CL164" i="5"/>
  <c r="CM164" i="5" s="1"/>
  <c r="AM360" i="5"/>
  <c r="AR361" i="5" s="1"/>
  <c r="BJ218" i="5"/>
  <c r="AA49" i="5"/>
  <c r="I175" i="5"/>
  <c r="AH361" i="5"/>
  <c r="T175" i="5"/>
  <c r="T33" i="5"/>
  <c r="U33" i="5" s="1"/>
  <c r="AA488" i="5"/>
  <c r="F446" i="5"/>
  <c r="S446" i="5"/>
  <c r="AZ305" i="5"/>
  <c r="AN441" i="5"/>
  <c r="J433" i="5"/>
  <c r="AZ307" i="5"/>
  <c r="E126" i="5"/>
  <c r="BJ446" i="5"/>
  <c r="T211" i="5"/>
  <c r="T453" i="5" s="1"/>
  <c r="S488" i="5"/>
  <c r="AT32" i="5"/>
  <c r="N49" i="5"/>
  <c r="N52" i="5" s="1"/>
  <c r="N66" i="5" s="1"/>
  <c r="BJ36" i="5"/>
  <c r="AC488" i="5"/>
  <c r="AC175" i="5"/>
  <c r="AF361" i="5"/>
  <c r="BA49" i="5"/>
  <c r="BA52" i="5" s="1"/>
  <c r="K51" i="5"/>
  <c r="K49" i="5" s="1"/>
  <c r="J49" i="5" s="1"/>
  <c r="F51" i="5"/>
  <c r="Y201" i="5"/>
  <c r="N446" i="5"/>
  <c r="AV488" i="5"/>
  <c r="T406" i="5"/>
  <c r="AD331" i="5"/>
  <c r="T331" i="5"/>
  <c r="BD51" i="5"/>
  <c r="Y363" i="5"/>
  <c r="AM446" i="5"/>
  <c r="AM373" i="5"/>
  <c r="AA361" i="5"/>
  <c r="BV164" i="5"/>
  <c r="BV78" i="5"/>
  <c r="BW39" i="5"/>
  <c r="BX39" i="5" s="1"/>
  <c r="AX211" i="5"/>
  <c r="AW453" i="5"/>
  <c r="AB488" i="5"/>
  <c r="P36" i="5"/>
  <c r="P490" i="5" s="1"/>
  <c r="D446" i="5"/>
  <c r="AO342" i="5"/>
  <c r="AO126" i="5"/>
  <c r="AO138" i="5" s="1"/>
  <c r="AW214" i="5"/>
  <c r="Q377" i="5"/>
  <c r="BU75" i="5"/>
  <c r="BU163" i="5"/>
  <c r="AN201" i="5"/>
  <c r="E207" i="5"/>
  <c r="BE488" i="5"/>
  <c r="BE36" i="5"/>
  <c r="BE490" i="5" s="1"/>
  <c r="AA36" i="5"/>
  <c r="AA490" i="5" s="1"/>
  <c r="AY488" i="5"/>
  <c r="AV36" i="5"/>
  <c r="AV490" i="5" s="1"/>
  <c r="AA377" i="5"/>
  <c r="X214" i="5"/>
  <c r="T296" i="5"/>
  <c r="BC175" i="5"/>
  <c r="AH175" i="5"/>
  <c r="BB175" i="5"/>
  <c r="N36" i="5"/>
  <c r="N490" i="5" s="1"/>
  <c r="D488" i="5"/>
  <c r="BB214" i="5"/>
  <c r="Y31" i="5"/>
  <c r="Z31" i="5" s="1"/>
  <c r="O408" i="5"/>
  <c r="E32" i="5"/>
  <c r="F32" i="5" s="1"/>
  <c r="BJ31" i="5"/>
  <c r="CB224" i="5"/>
  <c r="CD224" i="5" s="1"/>
  <c r="CE224" i="5" s="1"/>
  <c r="CF224" i="5" s="1"/>
  <c r="AI296" i="5"/>
  <c r="AE361" i="5"/>
  <c r="N488" i="5"/>
  <c r="D36" i="5"/>
  <c r="D490" i="5" s="1"/>
  <c r="M49" i="5"/>
  <c r="M52" i="5" s="1"/>
  <c r="AO15" i="5"/>
  <c r="AO18" i="5" s="1"/>
  <c r="AO28" i="5" s="1"/>
  <c r="O397" i="5"/>
  <c r="J183" i="5"/>
  <c r="Z51" i="5"/>
  <c r="Z49" i="5" s="1"/>
  <c r="AL52" i="5"/>
  <c r="AL66" i="5" s="1"/>
  <c r="AX296" i="5"/>
  <c r="AO31" i="5"/>
  <c r="CH164" i="5"/>
  <c r="AD488" i="5"/>
  <c r="J338" i="5"/>
  <c r="AZ36" i="5"/>
  <c r="AZ490" i="5" s="1"/>
  <c r="BE218" i="5"/>
  <c r="AY357" i="5"/>
  <c r="AI184" i="5"/>
  <c r="AI175" i="5" s="1"/>
  <c r="AJ15" i="5"/>
  <c r="AJ18" i="5" s="1"/>
  <c r="AJ28" i="5" s="1"/>
  <c r="AJ48" i="5" s="1"/>
  <c r="AI18" i="5"/>
  <c r="AI28" i="5" s="1"/>
  <c r="E362" i="5"/>
  <c r="AU357" i="5"/>
  <c r="I214" i="5"/>
  <c r="BS123" i="5"/>
  <c r="AY33" i="5"/>
  <c r="Z446" i="5"/>
  <c r="AV361" i="5"/>
  <c r="AL50" i="5"/>
  <c r="AE377" i="5"/>
  <c r="J435" i="5"/>
  <c r="AF377" i="5"/>
  <c r="Y204" i="5"/>
  <c r="Y214" i="5" s="1"/>
  <c r="AJ361" i="5"/>
  <c r="AI397" i="5"/>
  <c r="AD211" i="5"/>
  <c r="AD453" i="5" s="1"/>
  <c r="AC453" i="5"/>
  <c r="AR175" i="5"/>
  <c r="CQ78" i="5"/>
  <c r="CQ164" i="5"/>
  <c r="AV49" i="5"/>
  <c r="AV56" i="5"/>
  <c r="AY56" i="5" s="1"/>
  <c r="AI378" i="5"/>
  <c r="AN378" i="5" s="1"/>
  <c r="AO378" i="5" s="1"/>
  <c r="AI34" i="5"/>
  <c r="AJ34" i="5" s="1"/>
  <c r="J336" i="5"/>
  <c r="AD408" i="5"/>
  <c r="BL36" i="5"/>
  <c r="BL488" i="5"/>
  <c r="BF36" i="5"/>
  <c r="BF490" i="5" s="1"/>
  <c r="BF488" i="5"/>
  <c r="E201" i="5"/>
  <c r="AN373" i="5"/>
  <c r="T357" i="5"/>
  <c r="S214" i="5"/>
  <c r="AE417" i="5"/>
  <c r="AE418" i="5" s="1"/>
  <c r="I357" i="5"/>
  <c r="X361" i="5"/>
  <c r="AL56" i="5"/>
  <c r="BV225" i="5"/>
  <c r="O214" i="5"/>
  <c r="AI205" i="5"/>
  <c r="AI214" i="5" s="1"/>
  <c r="S361" i="5"/>
  <c r="AD33" i="5"/>
  <c r="AE33" i="5" s="1"/>
  <c r="T28" i="5"/>
  <c r="T48" i="5" s="1"/>
  <c r="AW50" i="5"/>
  <c r="AW52" i="5"/>
  <c r="CA78" i="5"/>
  <c r="CB39" i="5"/>
  <c r="CA164" i="5"/>
  <c r="AY446" i="5"/>
  <c r="E136" i="5"/>
  <c r="AM49" i="5"/>
  <c r="AK377" i="5"/>
  <c r="AN56" i="5"/>
  <c r="BC36" i="5"/>
  <c r="BC490" i="5" s="1"/>
  <c r="AN33" i="5"/>
  <c r="AO33" i="5" s="1"/>
  <c r="AZ446" i="5"/>
  <c r="J211" i="5"/>
  <c r="J453" i="5" s="1"/>
  <c r="I453" i="5"/>
  <c r="J440" i="5"/>
  <c r="J441" i="5" s="1"/>
  <c r="AI356" i="5"/>
  <c r="AI357" i="5" s="1"/>
  <c r="C488" i="5"/>
  <c r="BH440" i="5"/>
  <c r="BH34" i="5" s="1"/>
  <c r="BI34" i="5" s="1"/>
  <c r="J360" i="5"/>
  <c r="AD195" i="5"/>
  <c r="AD201" i="5" s="1"/>
  <c r="AO218" i="5"/>
  <c r="BC446" i="5"/>
  <c r="AX397" i="5"/>
  <c r="J400" i="5"/>
  <c r="J417" i="5"/>
  <c r="K417" i="5" s="1"/>
  <c r="K418" i="5" s="1"/>
  <c r="O400" i="5"/>
  <c r="BC433" i="5"/>
  <c r="AS397" i="5"/>
  <c r="AD56" i="5"/>
  <c r="AD49" i="5"/>
  <c r="AN353" i="5"/>
  <c r="P51" i="5"/>
  <c r="P49" i="5" s="1"/>
  <c r="AZ56" i="5"/>
  <c r="BD56" i="5" s="1"/>
  <c r="AO357" i="5"/>
  <c r="AD432" i="5"/>
  <c r="AT56" i="5"/>
  <c r="Z377" i="5"/>
  <c r="BC443" i="5"/>
  <c r="AE51" i="5"/>
  <c r="AY340" i="5"/>
  <c r="AM379" i="5"/>
  <c r="AM380" i="5" s="1"/>
  <c r="AS398" i="5"/>
  <c r="AD446" i="5"/>
  <c r="X49" i="5"/>
  <c r="X50" i="5" s="1"/>
  <c r="Q357" i="5"/>
  <c r="AI441" i="5"/>
  <c r="Z418" i="5"/>
  <c r="BM440" i="5"/>
  <c r="BR441" i="5" s="1"/>
  <c r="AJ297" i="5"/>
  <c r="W361" i="5"/>
  <c r="U357" i="5"/>
  <c r="BC34" i="5"/>
  <c r="BD34" i="5" s="1"/>
  <c r="BD432" i="5"/>
  <c r="BD433" i="5"/>
  <c r="E356" i="5"/>
  <c r="J357" i="5" s="1"/>
  <c r="J353" i="5"/>
  <c r="X56" i="5"/>
  <c r="AI31" i="5"/>
  <c r="AJ31" i="5" s="1"/>
  <c r="AI307" i="5"/>
  <c r="AX331" i="5"/>
  <c r="J432" i="5"/>
  <c r="BM435" i="5"/>
  <c r="T398" i="5"/>
  <c r="AD340" i="5"/>
  <c r="O360" i="5"/>
  <c r="AN305" i="5"/>
  <c r="AO307" i="5"/>
  <c r="AD32" i="5"/>
  <c r="AE32" i="5" s="1"/>
  <c r="T373" i="5"/>
  <c r="M361" i="5"/>
  <c r="AR52" i="5"/>
  <c r="AR57" i="5" s="1"/>
  <c r="S49" i="5"/>
  <c r="AJ377" i="5"/>
  <c r="L441" i="5"/>
  <c r="BX444" i="5"/>
  <c r="AN307" i="5"/>
  <c r="AD296" i="5"/>
  <c r="Z378" i="5"/>
  <c r="BC432" i="5"/>
  <c r="AB56" i="5"/>
  <c r="AB49" i="5"/>
  <c r="O432" i="5"/>
  <c r="AT305" i="5"/>
  <c r="AD342" i="5"/>
  <c r="AD433" i="5"/>
  <c r="L418" i="5"/>
  <c r="G418" i="5"/>
  <c r="G376" i="5"/>
  <c r="G360" i="5"/>
  <c r="L361" i="5" s="1"/>
  <c r="G373" i="5"/>
  <c r="AR357" i="5"/>
  <c r="P33" i="5"/>
  <c r="F34" i="5"/>
  <c r="T432" i="5"/>
  <c r="E360" i="5"/>
  <c r="AD363" i="5"/>
  <c r="G443" i="5"/>
  <c r="AP49" i="5"/>
  <c r="AP52" i="5" s="1"/>
  <c r="AS356" i="5"/>
  <c r="AS353" i="5"/>
  <c r="AS360" i="5"/>
  <c r="AX353" i="5"/>
  <c r="AT31" i="5"/>
  <c r="AO32" i="5"/>
  <c r="AT297" i="5"/>
  <c r="L331" i="5"/>
  <c r="G34" i="5"/>
  <c r="Y432" i="5"/>
  <c r="U361" i="5"/>
  <c r="J332" i="5"/>
  <c r="O331" i="5"/>
  <c r="J331" i="5"/>
  <c r="E48" i="5"/>
  <c r="E50" i="5" s="1"/>
  <c r="O175" i="5"/>
  <c r="E175" i="5"/>
  <c r="I201" i="5"/>
  <c r="T353" i="5"/>
  <c r="Q49" i="5"/>
  <c r="Q56" i="5"/>
  <c r="J402" i="5"/>
  <c r="O402" i="5"/>
  <c r="O190" i="5"/>
  <c r="O201" i="5" s="1"/>
  <c r="N201" i="5"/>
  <c r="AD307" i="5"/>
  <c r="AD31" i="5"/>
  <c r="AE31" i="5" s="1"/>
  <c r="AI305" i="5"/>
  <c r="BC192" i="5"/>
  <c r="BC201" i="5" s="1"/>
  <c r="BB201" i="5"/>
  <c r="T34" i="5"/>
  <c r="U34" i="5" s="1"/>
  <c r="T443" i="5"/>
  <c r="O34" i="5"/>
  <c r="P34" i="5" s="1"/>
  <c r="O443" i="5"/>
  <c r="J437" i="5"/>
  <c r="O437" i="5"/>
  <c r="G36" i="5"/>
  <c r="G490" i="5" s="1"/>
  <c r="G488" i="5"/>
  <c r="J397" i="5"/>
  <c r="N175" i="5"/>
  <c r="AS305" i="5"/>
  <c r="AE357" i="5"/>
  <c r="AN175" i="5"/>
  <c r="BI51" i="5"/>
  <c r="J373" i="5"/>
  <c r="O373" i="5"/>
  <c r="U51" i="5"/>
  <c r="U49" i="5" s="1"/>
  <c r="U52" i="5" s="1"/>
  <c r="CC444" i="5"/>
  <c r="C36" i="5"/>
  <c r="C490" i="5" s="1"/>
  <c r="S201" i="5"/>
  <c r="T201" i="5"/>
  <c r="Z33" i="5"/>
  <c r="Z361" i="5"/>
  <c r="BC296" i="5"/>
  <c r="AD441" i="5"/>
  <c r="J398" i="5"/>
  <c r="O357" i="5"/>
  <c r="AI432" i="5"/>
  <c r="O353" i="5"/>
  <c r="BD305" i="5"/>
  <c r="R361" i="5"/>
  <c r="T441" i="5"/>
  <c r="AT51" i="5"/>
  <c r="H488" i="5"/>
  <c r="BG139" i="5"/>
  <c r="L406" i="5"/>
  <c r="G33" i="5"/>
  <c r="G408" i="5"/>
  <c r="G406" i="5"/>
  <c r="G398" i="5"/>
  <c r="G397" i="5"/>
  <c r="H357" i="5"/>
  <c r="M357" i="5"/>
  <c r="Y180" i="5"/>
  <c r="Y175" i="5" s="1"/>
  <c r="BH177" i="5"/>
  <c r="BH175" i="5" s="1"/>
  <c r="BH187" i="5" s="1"/>
  <c r="BH488" i="5"/>
  <c r="BH36" i="5"/>
  <c r="BH490" i="5" s="1"/>
  <c r="AN209" i="5"/>
  <c r="AS206" i="5"/>
  <c r="AS214" i="5" s="1"/>
  <c r="BH192" i="5"/>
  <c r="BH201" i="5" s="1"/>
  <c r="AX164" i="5"/>
  <c r="AI363" i="5"/>
  <c r="BG187" i="5"/>
  <c r="Y418" i="5"/>
  <c r="AN332" i="5"/>
  <c r="AS331" i="5"/>
  <c r="H361" i="5"/>
  <c r="AN398" i="5"/>
  <c r="AN397" i="5"/>
  <c r="Y297" i="5"/>
  <c r="Y296" i="5"/>
  <c r="BZ225" i="5"/>
  <c r="BU225" i="5"/>
  <c r="BY225" i="5"/>
  <c r="BS39" i="5"/>
  <c r="J303" i="5"/>
  <c r="AV378" i="5"/>
  <c r="AV379" i="5" s="1"/>
  <c r="AQ379" i="5"/>
  <c r="AQ380" i="5" s="1"/>
  <c r="J304" i="5"/>
  <c r="O305" i="5" s="1"/>
  <c r="P417" i="5"/>
  <c r="U418" i="5" s="1"/>
  <c r="T418" i="5"/>
  <c r="AF56" i="5"/>
  <c r="AF49" i="5"/>
  <c r="Y34" i="5"/>
  <c r="Z34" i="5" s="1"/>
  <c r="Y441" i="5"/>
  <c r="Y443" i="5"/>
  <c r="AY297" i="5"/>
  <c r="AC361" i="5"/>
  <c r="O303" i="5"/>
  <c r="O378" i="5"/>
  <c r="P378" i="5" s="1"/>
  <c r="V361" i="5"/>
  <c r="T376" i="5"/>
  <c r="Y377" i="5" s="1"/>
  <c r="T360" i="5"/>
  <c r="Y373" i="5"/>
  <c r="G363" i="5"/>
  <c r="L363" i="5"/>
  <c r="BT436" i="5"/>
  <c r="Y397" i="5"/>
  <c r="Y398" i="5"/>
  <c r="AD353" i="5"/>
  <c r="Y356" i="5"/>
  <c r="Y357" i="5" s="1"/>
  <c r="Y353" i="5"/>
  <c r="Y360" i="5"/>
  <c r="AI332" i="5"/>
  <c r="AI331" i="5"/>
  <c r="AN331" i="5"/>
  <c r="AD380" i="5"/>
  <c r="AD397" i="5"/>
  <c r="AI418" i="5"/>
  <c r="AN418" i="5"/>
  <c r="AJ417" i="5"/>
  <c r="E33" i="5"/>
  <c r="F33" i="5" s="1"/>
  <c r="E408" i="5"/>
  <c r="AS443" i="5"/>
  <c r="AS441" i="5"/>
  <c r="AS34" i="5"/>
  <c r="AT34" i="5" s="1"/>
  <c r="AY32" i="5"/>
  <c r="AS433" i="5"/>
  <c r="AS432" i="5"/>
  <c r="AX432" i="5"/>
  <c r="T31" i="5"/>
  <c r="U31" i="5" s="1"/>
  <c r="T305" i="5"/>
  <c r="T307" i="5"/>
  <c r="J334" i="5"/>
  <c r="O334" i="5"/>
  <c r="J339" i="5"/>
  <c r="J379" i="5"/>
  <c r="AS408" i="5"/>
  <c r="AS33" i="5"/>
  <c r="AT33" i="5" s="1"/>
  <c r="AX406" i="5"/>
  <c r="AS406" i="5"/>
  <c r="AY305" i="5"/>
  <c r="AE379" i="5"/>
  <c r="AE380" i="5" s="1"/>
  <c r="AI32" i="5"/>
  <c r="AJ32" i="5" s="1"/>
  <c r="AN340" i="5"/>
  <c r="AI342" i="5"/>
  <c r="AI340" i="5"/>
  <c r="G433" i="5"/>
  <c r="L432" i="5"/>
  <c r="G432" i="5"/>
  <c r="I361" i="5"/>
  <c r="N361" i="5"/>
  <c r="G353" i="5"/>
  <c r="B356" i="5"/>
  <c r="G357" i="5" s="1"/>
  <c r="B360" i="5"/>
  <c r="G340" i="5"/>
  <c r="G342" i="5"/>
  <c r="G32" i="5"/>
  <c r="AY408" i="5"/>
  <c r="AY406" i="5"/>
  <c r="L56" i="5"/>
  <c r="L49" i="5"/>
  <c r="L52" i="5" s="1"/>
  <c r="G297" i="5"/>
  <c r="G296" i="5"/>
  <c r="L296" i="5"/>
  <c r="AP361" i="5"/>
  <c r="AU361" i="5"/>
  <c r="X357" i="5"/>
  <c r="AC357" i="5"/>
  <c r="AW378" i="5"/>
  <c r="AW379" i="5" s="1"/>
  <c r="AR379" i="5"/>
  <c r="D31" i="5"/>
  <c r="I305" i="5"/>
  <c r="D307" i="5"/>
  <c r="AN34" i="5"/>
  <c r="AO34" i="5" s="1"/>
  <c r="AN443" i="5"/>
  <c r="AX31" i="5"/>
  <c r="AY31" i="5" s="1"/>
  <c r="BC305" i="5"/>
  <c r="AX307" i="5"/>
  <c r="R378" i="5"/>
  <c r="R377" i="5"/>
  <c r="H305" i="5"/>
  <c r="C307" i="5"/>
  <c r="C31" i="5"/>
  <c r="O31" i="5"/>
  <c r="P31" i="5" s="1"/>
  <c r="O307" i="5"/>
  <c r="I378" i="5"/>
  <c r="N377" i="5"/>
  <c r="AT417" i="5"/>
  <c r="AT418" i="5" s="1"/>
  <c r="AS418" i="5"/>
  <c r="AT360" i="5"/>
  <c r="AT361" i="5" s="1"/>
  <c r="AT376" i="5"/>
  <c r="AT373" i="5"/>
  <c r="AI33" i="5"/>
  <c r="AJ33" i="5" s="1"/>
  <c r="AI408" i="5"/>
  <c r="AI406" i="5"/>
  <c r="AN406" i="5"/>
  <c r="AQ357" i="5"/>
  <c r="AV357" i="5"/>
  <c r="K296" i="5"/>
  <c r="G446" i="5"/>
  <c r="C446" i="5"/>
  <c r="O296" i="5"/>
  <c r="AN433" i="5"/>
  <c r="AN432" i="5"/>
  <c r="J375" i="5"/>
  <c r="O375" i="5"/>
  <c r="J362" i="5"/>
  <c r="BW438" i="5"/>
  <c r="BY438" i="5" s="1"/>
  <c r="Y342" i="5"/>
  <c r="Y32" i="5"/>
  <c r="Z32" i="5" s="1"/>
  <c r="Y340" i="5"/>
  <c r="AB361" i="5"/>
  <c r="AG361" i="5"/>
  <c r="AT446" i="5"/>
  <c r="AT307" i="5"/>
  <c r="E304" i="5"/>
  <c r="J299" i="5"/>
  <c r="O404" i="5"/>
  <c r="J405" i="5"/>
  <c r="J404" i="5"/>
  <c r="AN297" i="5"/>
  <c r="AO297" i="5" s="1"/>
  <c r="AN296" i="5"/>
  <c r="AS296" i="5"/>
  <c r="BD49" i="5"/>
  <c r="T380" i="5"/>
  <c r="U379" i="5"/>
  <c r="Y380" i="5"/>
  <c r="AS446" i="5"/>
  <c r="P377" i="5"/>
  <c r="U377" i="5"/>
  <c r="AT408" i="5"/>
  <c r="AT406" i="5"/>
  <c r="H296" i="5"/>
  <c r="AL377" i="5"/>
  <c r="AQ377" i="5"/>
  <c r="AI380" i="5"/>
  <c r="AJ379" i="5"/>
  <c r="AO408" i="5"/>
  <c r="AO406" i="5"/>
  <c r="AI353" i="5"/>
  <c r="AD376" i="5"/>
  <c r="AD360" i="5"/>
  <c r="AD373" i="5"/>
  <c r="AI373" i="5"/>
  <c r="L305" i="5"/>
  <c r="G307" i="5"/>
  <c r="G31" i="5"/>
  <c r="G305" i="5"/>
  <c r="W377" i="5"/>
  <c r="AB378" i="5"/>
  <c r="AG377" i="5"/>
  <c r="AB377" i="5"/>
  <c r="AG357" i="5"/>
  <c r="T32" i="5"/>
  <c r="U32" i="5" s="1"/>
  <c r="T342" i="5"/>
  <c r="T340" i="5"/>
  <c r="E295" i="5"/>
  <c r="E297" i="5" s="1"/>
  <c r="BH432" i="5"/>
  <c r="BH433" i="5"/>
  <c r="BI431" i="5"/>
  <c r="BN432" i="5" s="1"/>
  <c r="CS102" i="5"/>
  <c r="CT102" i="5" s="1"/>
  <c r="CU102" i="5" s="1"/>
  <c r="CV102" i="5" s="1"/>
  <c r="CW102" i="5" s="1"/>
  <c r="CX102" i="5" s="1"/>
  <c r="CY102" i="5" s="1"/>
  <c r="CZ102" i="5" s="1"/>
  <c r="DA102" i="5" s="1"/>
  <c r="DB102" i="5" s="1"/>
  <c r="J201" i="5"/>
  <c r="BP85" i="5"/>
  <c r="BV101" i="5"/>
  <c r="CB205" i="5"/>
  <c r="CC192" i="5"/>
  <c r="CB209" i="5"/>
  <c r="BY135" i="5"/>
  <c r="BZ135" i="5" s="1"/>
  <c r="CA135" i="5" s="1"/>
  <c r="CB135" i="5" s="1"/>
  <c r="CC135" i="5" s="1"/>
  <c r="BX131" i="5"/>
  <c r="BY131" i="5" s="1"/>
  <c r="BZ131" i="5" s="1"/>
  <c r="CA131" i="5" s="1"/>
  <c r="CB131" i="5" s="1"/>
  <c r="CC131" i="5" s="1"/>
  <c r="CD131" i="5" s="1"/>
  <c r="CE131" i="5" s="1"/>
  <c r="CF131" i="5" s="1"/>
  <c r="CG131" i="5" s="1"/>
  <c r="CH131" i="5" s="1"/>
  <c r="CI131" i="5" s="1"/>
  <c r="CJ131" i="5" s="1"/>
  <c r="CK131" i="5" s="1"/>
  <c r="CL131" i="5" s="1"/>
  <c r="CM131" i="5" s="1"/>
  <c r="CN131" i="5" s="1"/>
  <c r="CO131" i="5" s="1"/>
  <c r="CP131" i="5" s="1"/>
  <c r="CQ131" i="5" s="1"/>
  <c r="CR131" i="5" s="1"/>
  <c r="CS131" i="5" s="1"/>
  <c r="CT131" i="5" s="1"/>
  <c r="CU131" i="5" s="1"/>
  <c r="CV131" i="5" s="1"/>
  <c r="CW131" i="5" s="1"/>
  <c r="CX131" i="5" s="1"/>
  <c r="CY131" i="5" s="1"/>
  <c r="CZ131" i="5" s="1"/>
  <c r="DA131" i="5" s="1"/>
  <c r="DB131" i="5" s="1"/>
  <c r="BX174" i="5"/>
  <c r="BS41" i="5"/>
  <c r="C52" i="5"/>
  <c r="C50" i="5"/>
  <c r="DA39" i="5"/>
  <c r="DB39" i="5" s="1"/>
  <c r="DB164" i="5" s="1"/>
  <c r="CZ164" i="5"/>
  <c r="CZ78" i="5"/>
  <c r="AX34" i="5"/>
  <c r="AY34" i="5" s="1"/>
  <c r="AX441" i="5"/>
  <c r="BC441" i="5"/>
  <c r="AX443" i="5"/>
  <c r="AX446" i="5"/>
  <c r="AK56" i="5"/>
  <c r="AO51" i="5"/>
  <c r="AK49" i="5"/>
  <c r="BB52" i="5"/>
  <c r="BB50" i="5"/>
  <c r="D50" i="5"/>
  <c r="D52" i="5"/>
  <c r="BL34" i="5"/>
  <c r="BL441" i="5"/>
  <c r="BL443" i="5"/>
  <c r="BU40" i="5"/>
  <c r="BV40" i="5" s="1"/>
  <c r="BW40" i="5" s="1"/>
  <c r="BY40" i="5" s="1"/>
  <c r="F50" i="5"/>
  <c r="BR242" i="5"/>
  <c r="BT242" i="5"/>
  <c r="BS69" i="5"/>
  <c r="AG50" i="5"/>
  <c r="AG52" i="5"/>
  <c r="I52" i="5"/>
  <c r="AN36" i="5"/>
  <c r="AN490" i="5" s="1"/>
  <c r="AN488" i="5"/>
  <c r="AN446" i="5"/>
  <c r="BN120" i="5"/>
  <c r="BM124" i="5"/>
  <c r="BZ186" i="5"/>
  <c r="CA186" i="5" s="1"/>
  <c r="CB186" i="5" s="1"/>
  <c r="CD186" i="5" s="1"/>
  <c r="CE444" i="5"/>
  <c r="CF444" i="5" s="1"/>
  <c r="CG444" i="5" s="1"/>
  <c r="CI444" i="5" s="1"/>
  <c r="CJ23" i="5"/>
  <c r="CK23" i="5" s="1"/>
  <c r="CL23" i="5" s="1"/>
  <c r="CN23" i="5" s="1"/>
  <c r="BZ174" i="5"/>
  <c r="CA174" i="5" s="1"/>
  <c r="CB174" i="5" s="1"/>
  <c r="CD174" i="5" s="1"/>
  <c r="BS233" i="5"/>
  <c r="CA431" i="5"/>
  <c r="BV433" i="5"/>
  <c r="BV434" i="5" s="1"/>
  <c r="BN435" i="5"/>
  <c r="BS40" i="5"/>
  <c r="BH204" i="5"/>
  <c r="B50" i="5"/>
  <c r="B52" i="5"/>
  <c r="BU41" i="5"/>
  <c r="BV41" i="5" s="1"/>
  <c r="BW41" i="5" s="1"/>
  <c r="BY41" i="5" s="1"/>
  <c r="BI50" i="5"/>
  <c r="G52" i="5"/>
  <c r="G50" i="5"/>
  <c r="BX186" i="5"/>
  <c r="CH23" i="5"/>
  <c r="BN22" i="5"/>
  <c r="BM24" i="5"/>
  <c r="BN21" i="5"/>
  <c r="BW225" i="5" l="1"/>
  <c r="BX209" i="5"/>
  <c r="J36" i="5"/>
  <c r="J490" i="5" s="1"/>
  <c r="K56" i="5"/>
  <c r="J56" i="5" s="1"/>
  <c r="J488" i="5"/>
  <c r="BI36" i="5"/>
  <c r="J175" i="5"/>
  <c r="BN440" i="5"/>
  <c r="BS441" i="5" s="1"/>
  <c r="BI488" i="5"/>
  <c r="CB431" i="5"/>
  <c r="V50" i="5"/>
  <c r="AQ50" i="5"/>
  <c r="CR78" i="5"/>
  <c r="BE50" i="5"/>
  <c r="BG52" i="5"/>
  <c r="BG66" i="5" s="1"/>
  <c r="AU50" i="5"/>
  <c r="BA50" i="5"/>
  <c r="Z56" i="5"/>
  <c r="Y56" i="5" s="1"/>
  <c r="BJ490" i="5"/>
  <c r="BK490" i="5"/>
  <c r="BQ192" i="5"/>
  <c r="BR192" i="5" s="1"/>
  <c r="BL490" i="5"/>
  <c r="BV112" i="5"/>
  <c r="J31" i="5"/>
  <c r="AV50" i="5"/>
  <c r="BQ14" i="5"/>
  <c r="BS14" i="5" s="1"/>
  <c r="R50" i="5"/>
  <c r="BY69" i="5"/>
  <c r="S52" i="5"/>
  <c r="S57" i="5" s="1"/>
  <c r="S461" i="5" s="1"/>
  <c r="BT111" i="5"/>
  <c r="BU111" i="5" s="1"/>
  <c r="AS52" i="5"/>
  <c r="AS57" i="5" s="1"/>
  <c r="AS461" i="5" s="1"/>
  <c r="BC214" i="5"/>
  <c r="J377" i="5"/>
  <c r="E488" i="5"/>
  <c r="CC205" i="5"/>
  <c r="BD36" i="5"/>
  <c r="BD490" i="5" s="1"/>
  <c r="BD446" i="5"/>
  <c r="AH52" i="5"/>
  <c r="AH63" i="5" s="1"/>
  <c r="R52" i="5"/>
  <c r="R57" i="5" s="1"/>
  <c r="R64" i="5" s="1"/>
  <c r="AS50" i="5"/>
  <c r="M50" i="5"/>
  <c r="BN175" i="5"/>
  <c r="AJ56" i="5"/>
  <c r="P52" i="5"/>
  <c r="P63" i="5" s="1"/>
  <c r="AN357" i="5"/>
  <c r="V63" i="5"/>
  <c r="AN214" i="5"/>
  <c r="BK66" i="5"/>
  <c r="BU433" i="5"/>
  <c r="BU434" i="5" s="1"/>
  <c r="S50" i="5"/>
  <c r="AA52" i="5"/>
  <c r="AA66" i="5" s="1"/>
  <c r="BN235" i="5"/>
  <c r="BP441" i="5"/>
  <c r="BK34" i="5"/>
  <c r="BK441" i="5"/>
  <c r="BK443" i="5"/>
  <c r="AO488" i="5"/>
  <c r="AO48" i="5"/>
  <c r="O36" i="5"/>
  <c r="O490" i="5" s="1"/>
  <c r="O48" i="5"/>
  <c r="J361" i="5"/>
  <c r="AR64" i="5"/>
  <c r="AR461" i="5"/>
  <c r="AI488" i="5"/>
  <c r="AI48" i="5"/>
  <c r="O488" i="5"/>
  <c r="Y446" i="5"/>
  <c r="Y48" i="5"/>
  <c r="BK73" i="5"/>
  <c r="BK79" i="5" s="1"/>
  <c r="BK461" i="5"/>
  <c r="BQ51" i="5"/>
  <c r="BU51" i="5" s="1"/>
  <c r="BV51" i="5" s="1"/>
  <c r="BW51" i="5" s="1"/>
  <c r="BY51" i="5" s="1"/>
  <c r="BZ51" i="5" s="1"/>
  <c r="CA51" i="5" s="1"/>
  <c r="CB51" i="5" s="1"/>
  <c r="CD51" i="5" s="1"/>
  <c r="BN51" i="5"/>
  <c r="AU63" i="5"/>
  <c r="BI490" i="5"/>
  <c r="K50" i="5"/>
  <c r="AC52" i="5"/>
  <c r="AC63" i="5" s="1"/>
  <c r="J307" i="5"/>
  <c r="AN377" i="5"/>
  <c r="AT49" i="5"/>
  <c r="AT52" i="5" s="1"/>
  <c r="AT57" i="5" s="1"/>
  <c r="AT461" i="5" s="1"/>
  <c r="AD50" i="5"/>
  <c r="J52" i="5"/>
  <c r="J63" i="5" s="1"/>
  <c r="BD488" i="5"/>
  <c r="BP201" i="5"/>
  <c r="BU233" i="5"/>
  <c r="O441" i="5"/>
  <c r="AE446" i="5"/>
  <c r="AU57" i="5"/>
  <c r="AU461" i="5" s="1"/>
  <c r="AM50" i="5"/>
  <c r="AM361" i="5"/>
  <c r="AE36" i="5"/>
  <c r="AE490" i="5" s="1"/>
  <c r="U56" i="5"/>
  <c r="T56" i="5" s="1"/>
  <c r="W50" i="5"/>
  <c r="AP50" i="5"/>
  <c r="J214" i="5"/>
  <c r="AE488" i="5"/>
  <c r="E214" i="5"/>
  <c r="K52" i="5"/>
  <c r="K57" i="5" s="1"/>
  <c r="K461" i="5" s="1"/>
  <c r="AO56" i="5"/>
  <c r="AY49" i="5"/>
  <c r="AY50" i="5" s="1"/>
  <c r="AA50" i="5"/>
  <c r="P56" i="5"/>
  <c r="O56" i="5" s="1"/>
  <c r="BE57" i="5"/>
  <c r="BE452" i="5" s="1"/>
  <c r="BE455" i="5" s="1"/>
  <c r="J418" i="5"/>
  <c r="AX52" i="5"/>
  <c r="AX66" i="5" s="1"/>
  <c r="BK63" i="5"/>
  <c r="BE66" i="5"/>
  <c r="O418" i="5"/>
  <c r="BD52" i="5"/>
  <c r="Y36" i="5"/>
  <c r="Y490" i="5" s="1"/>
  <c r="Y488" i="5"/>
  <c r="BJ50" i="5"/>
  <c r="BJ52" i="5"/>
  <c r="CE225" i="5"/>
  <c r="CD225" i="5"/>
  <c r="J443" i="5"/>
  <c r="AS361" i="5"/>
  <c r="E138" i="5"/>
  <c r="J305" i="5"/>
  <c r="AM52" i="5"/>
  <c r="AM66" i="5" s="1"/>
  <c r="N50" i="5"/>
  <c r="AI446" i="5"/>
  <c r="J34" i="5"/>
  <c r="K34" i="5" s="1"/>
  <c r="BC50" i="5"/>
  <c r="AE49" i="5"/>
  <c r="AE52" i="5" s="1"/>
  <c r="O361" i="5"/>
  <c r="BW164" i="5"/>
  <c r="BX164" i="5" s="1"/>
  <c r="BW78" i="5"/>
  <c r="BX78" i="5" s="1"/>
  <c r="AZ52" i="5"/>
  <c r="AZ57" i="5" s="1"/>
  <c r="AZ461" i="5" s="1"/>
  <c r="T214" i="5"/>
  <c r="AL57" i="5"/>
  <c r="AX453" i="5"/>
  <c r="AX214" i="5"/>
  <c r="X52" i="5"/>
  <c r="X57" i="5" s="1"/>
  <c r="X161" i="5" s="1"/>
  <c r="X187" i="5" s="1"/>
  <c r="X218" i="5" s="1"/>
  <c r="AO446" i="5"/>
  <c r="AO36" i="5"/>
  <c r="AO490" i="5" s="1"/>
  <c r="AL63" i="5"/>
  <c r="J50" i="5"/>
  <c r="BP24" i="5"/>
  <c r="AV52" i="5"/>
  <c r="AV66" i="5" s="1"/>
  <c r="T488" i="5"/>
  <c r="T36" i="5"/>
  <c r="T490" i="5" s="1"/>
  <c r="AN379" i="5"/>
  <c r="AO379" i="5" s="1"/>
  <c r="AO380" i="5" s="1"/>
  <c r="AS378" i="5"/>
  <c r="AX378" i="5" s="1"/>
  <c r="AJ378" i="5"/>
  <c r="BV75" i="5"/>
  <c r="BV163" i="5"/>
  <c r="BH441" i="5"/>
  <c r="CC39" i="5"/>
  <c r="CB164" i="5"/>
  <c r="CC164" i="5" s="1"/>
  <c r="CB78" i="5"/>
  <c r="CC78" i="5" s="1"/>
  <c r="BL50" i="5"/>
  <c r="BL52" i="5"/>
  <c r="BH443" i="5"/>
  <c r="AD52" i="5"/>
  <c r="AD66" i="5" s="1"/>
  <c r="E52" i="5"/>
  <c r="E63" i="5" s="1"/>
  <c r="V57" i="5"/>
  <c r="AI36" i="5"/>
  <c r="AI490" i="5" s="1"/>
  <c r="T446" i="5"/>
  <c r="AW66" i="5"/>
  <c r="AW57" i="5"/>
  <c r="AW461" i="5" s="1"/>
  <c r="AW63" i="5"/>
  <c r="AJ36" i="5"/>
  <c r="AJ490" i="5" s="1"/>
  <c r="AJ488" i="5"/>
  <c r="AJ446" i="5"/>
  <c r="BF50" i="5"/>
  <c r="BF52" i="5"/>
  <c r="BM34" i="5"/>
  <c r="BM443" i="5"/>
  <c r="BM441" i="5"/>
  <c r="K31" i="5"/>
  <c r="T361" i="5"/>
  <c r="AX361" i="5"/>
  <c r="P418" i="5"/>
  <c r="AR452" i="5"/>
  <c r="AR455" i="5" s="1"/>
  <c r="AR380" i="5"/>
  <c r="G361" i="5"/>
  <c r="AE56" i="5"/>
  <c r="L377" i="5"/>
  <c r="G378" i="5"/>
  <c r="G377" i="5"/>
  <c r="N57" i="5"/>
  <c r="AR63" i="5"/>
  <c r="AR66" i="5"/>
  <c r="N63" i="5"/>
  <c r="AB52" i="5"/>
  <c r="AB66" i="5" s="1"/>
  <c r="AS357" i="5"/>
  <c r="AX357" i="5"/>
  <c r="AB50" i="5"/>
  <c r="AJ380" i="5"/>
  <c r="BC66" i="5"/>
  <c r="BC57" i="5"/>
  <c r="BC461" i="5" s="1"/>
  <c r="BC63" i="5"/>
  <c r="BX41" i="5"/>
  <c r="BH52" i="5"/>
  <c r="BH50" i="5"/>
  <c r="H50" i="5"/>
  <c r="H52" i="5"/>
  <c r="BG63" i="5"/>
  <c r="BG57" i="5"/>
  <c r="BG461" i="5" s="1"/>
  <c r="Q52" i="5"/>
  <c r="Q50" i="5"/>
  <c r="L50" i="5"/>
  <c r="Y361" i="5"/>
  <c r="CG224" i="5"/>
  <c r="CF225" i="5"/>
  <c r="T378" i="5"/>
  <c r="U378" i="5" s="1"/>
  <c r="T377" i="5"/>
  <c r="AF52" i="5"/>
  <c r="AF50" i="5"/>
  <c r="AJ49" i="5"/>
  <c r="Z380" i="5"/>
  <c r="U380" i="5"/>
  <c r="J296" i="5"/>
  <c r="O363" i="5"/>
  <c r="J363" i="5"/>
  <c r="AT377" i="5"/>
  <c r="AY377" i="5"/>
  <c r="AO418" i="5"/>
  <c r="AJ418" i="5"/>
  <c r="AD361" i="5"/>
  <c r="AI361" i="5"/>
  <c r="O380" i="5"/>
  <c r="K379" i="5"/>
  <c r="P380" i="5" s="1"/>
  <c r="J340" i="5"/>
  <c r="J342" i="5"/>
  <c r="O340" i="5"/>
  <c r="J32" i="5"/>
  <c r="K32" i="5" s="1"/>
  <c r="BU436" i="5"/>
  <c r="AD357" i="5"/>
  <c r="J378" i="5"/>
  <c r="BI433" i="5"/>
  <c r="BI432" i="5"/>
  <c r="AW380" i="5"/>
  <c r="AY361" i="5"/>
  <c r="BZ438" i="5"/>
  <c r="J446" i="5"/>
  <c r="AD377" i="5"/>
  <c r="AI377" i="5"/>
  <c r="J408" i="5"/>
  <c r="J33" i="5"/>
  <c r="K33" i="5" s="1"/>
  <c r="J406" i="5"/>
  <c r="O406" i="5"/>
  <c r="E31" i="5"/>
  <c r="F31" i="5" s="1"/>
  <c r="E307" i="5"/>
  <c r="E446" i="5"/>
  <c r="AY52" i="5"/>
  <c r="BX438" i="5"/>
  <c r="BX439" i="5" s="1"/>
  <c r="AD378" i="5"/>
  <c r="AE378" i="5" s="1"/>
  <c r="BQ85" i="5"/>
  <c r="BQ91" i="5" s="1"/>
  <c r="BW101" i="5"/>
  <c r="CC209" i="5"/>
  <c r="CB225" i="5"/>
  <c r="CD135" i="5"/>
  <c r="CE135" i="5" s="1"/>
  <c r="CF135" i="5" s="1"/>
  <c r="CG135" i="5" s="1"/>
  <c r="CH135" i="5" s="1"/>
  <c r="CI135" i="5" s="1"/>
  <c r="CJ135" i="5" s="1"/>
  <c r="CK135" i="5" s="1"/>
  <c r="CL135" i="5" s="1"/>
  <c r="CM135" i="5" s="1"/>
  <c r="CN135" i="5" s="1"/>
  <c r="CO135" i="5" s="1"/>
  <c r="CP135" i="5" s="1"/>
  <c r="CQ135" i="5" s="1"/>
  <c r="CR135" i="5" s="1"/>
  <c r="CS135" i="5" s="1"/>
  <c r="CT135" i="5" s="1"/>
  <c r="CU135" i="5" s="1"/>
  <c r="CV135" i="5" s="1"/>
  <c r="CW135" i="5" s="1"/>
  <c r="CX135" i="5" s="1"/>
  <c r="CY135" i="5" s="1"/>
  <c r="CZ135" i="5" s="1"/>
  <c r="DA135" i="5" s="1"/>
  <c r="DB135" i="5" s="1"/>
  <c r="BQ454" i="5"/>
  <c r="CC186" i="5"/>
  <c r="BX40" i="5"/>
  <c r="C66" i="5"/>
  <c r="C63" i="5"/>
  <c r="C57" i="5"/>
  <c r="C461" i="5" s="1"/>
  <c r="BZ75" i="5"/>
  <c r="BZ163" i="5"/>
  <c r="CE174" i="5"/>
  <c r="CF174" i="5" s="1"/>
  <c r="CG174" i="5" s="1"/>
  <c r="CI174" i="5" s="1"/>
  <c r="CO23" i="5"/>
  <c r="CP23" i="5" s="1"/>
  <c r="CQ23" i="5" s="1"/>
  <c r="CS23" i="5" s="1"/>
  <c r="CJ444" i="5"/>
  <c r="CK444" i="5" s="1"/>
  <c r="CL444" i="5" s="1"/>
  <c r="CN444" i="5" s="1"/>
  <c r="BN124" i="5"/>
  <c r="AN50" i="5"/>
  <c r="AN52" i="5"/>
  <c r="O49" i="5"/>
  <c r="P50" i="5"/>
  <c r="AG57" i="5"/>
  <c r="AG461" i="5" s="1"/>
  <c r="AG63" i="5"/>
  <c r="AG66" i="5"/>
  <c r="BA57" i="5"/>
  <c r="BA461" i="5" s="1"/>
  <c r="BA66" i="5"/>
  <c r="BA63" i="5"/>
  <c r="BS242" i="5"/>
  <c r="BS70" i="5"/>
  <c r="BT70" i="5"/>
  <c r="BU242" i="5"/>
  <c r="BZ40" i="5"/>
  <c r="CA40" i="5" s="1"/>
  <c r="CB40" i="5" s="1"/>
  <c r="CD40" i="5" s="1"/>
  <c r="L57" i="5"/>
  <c r="L461" i="5" s="1"/>
  <c r="L66" i="5"/>
  <c r="L63" i="5"/>
  <c r="BB57" i="5"/>
  <c r="BB461" i="5" s="1"/>
  <c r="BB63" i="5"/>
  <c r="BB66" i="5"/>
  <c r="BZ433" i="5"/>
  <c r="BZ434" i="5" s="1"/>
  <c r="CE431" i="5"/>
  <c r="DA78" i="5"/>
  <c r="DB78" i="5" s="1"/>
  <c r="DA164" i="5"/>
  <c r="B57" i="5"/>
  <c r="B461" i="5" s="1"/>
  <c r="B63" i="5"/>
  <c r="B66" i="5"/>
  <c r="Z50" i="5"/>
  <c r="Z52" i="5"/>
  <c r="Y49" i="5"/>
  <c r="M57" i="5"/>
  <c r="M461" i="5" s="1"/>
  <c r="M66" i="5"/>
  <c r="M63" i="5"/>
  <c r="CG431" i="5"/>
  <c r="CB433" i="5"/>
  <c r="CB434" i="5" s="1"/>
  <c r="G66" i="5"/>
  <c r="G63" i="5"/>
  <c r="G57" i="5"/>
  <c r="G461" i="5" s="1"/>
  <c r="BI57" i="5"/>
  <c r="BI63" i="5"/>
  <c r="BI66" i="5"/>
  <c r="BZ41" i="5"/>
  <c r="CA41" i="5" s="1"/>
  <c r="CB41" i="5" s="1"/>
  <c r="CD41" i="5" s="1"/>
  <c r="BN441" i="5"/>
  <c r="U66" i="5"/>
  <c r="U63" i="5"/>
  <c r="CF431" i="5"/>
  <c r="CA433" i="5"/>
  <c r="CA434" i="5" s="1"/>
  <c r="BO24" i="5"/>
  <c r="CC174" i="5"/>
  <c r="CM23" i="5"/>
  <c r="CH444" i="5"/>
  <c r="CE186" i="5"/>
  <c r="CF186" i="5" s="1"/>
  <c r="CG186" i="5" s="1"/>
  <c r="CI186" i="5" s="1"/>
  <c r="E57" i="5"/>
  <c r="E461" i="5" s="1"/>
  <c r="U50" i="5"/>
  <c r="T49" i="5"/>
  <c r="AV380" i="5"/>
  <c r="W66" i="5"/>
  <c r="W63" i="5"/>
  <c r="W57" i="5"/>
  <c r="W461" i="5" s="1"/>
  <c r="I63" i="5"/>
  <c r="I66" i="5"/>
  <c r="I57" i="5"/>
  <c r="I461" i="5" s="1"/>
  <c r="F63" i="5"/>
  <c r="F66" i="5"/>
  <c r="F57" i="5"/>
  <c r="F461" i="5" s="1"/>
  <c r="D66" i="5"/>
  <c r="D57" i="5"/>
  <c r="D461" i="5" s="1"/>
  <c r="D63" i="5"/>
  <c r="BK64" i="5"/>
  <c r="BK452" i="5"/>
  <c r="BK455" i="5" s="1"/>
  <c r="AQ63" i="5"/>
  <c r="AQ66" i="5"/>
  <c r="AQ57" i="5"/>
  <c r="AQ461" i="5" s="1"/>
  <c r="AP63" i="5"/>
  <c r="AP57" i="5"/>
  <c r="AP461" i="5" s="1"/>
  <c r="AP66" i="5"/>
  <c r="AK50" i="5"/>
  <c r="AK52" i="5"/>
  <c r="AO49" i="5"/>
  <c r="BN15" i="5"/>
  <c r="BN14" i="5"/>
  <c r="BN24" i="5"/>
  <c r="BM28" i="5"/>
  <c r="BN443" i="5" l="1"/>
  <c r="S64" i="5"/>
  <c r="S161" i="5"/>
  <c r="S187" i="5" s="1"/>
  <c r="S218" i="5" s="1"/>
  <c r="S63" i="5"/>
  <c r="S452" i="5"/>
  <c r="S455" i="5" s="1"/>
  <c r="S66" i="5"/>
  <c r="BU117" i="5"/>
  <c r="BV111" i="5"/>
  <c r="AH66" i="5"/>
  <c r="AM63" i="5"/>
  <c r="AM57" i="5"/>
  <c r="AM461" i="5" s="1"/>
  <c r="BK231" i="5"/>
  <c r="BK238" i="5" s="1"/>
  <c r="BR201" i="5"/>
  <c r="BQ201" i="5"/>
  <c r="BQ218" i="5" s="1"/>
  <c r="BW112" i="5"/>
  <c r="AS63" i="5"/>
  <c r="BN34" i="5"/>
  <c r="R66" i="5"/>
  <c r="BZ69" i="5"/>
  <c r="AS66" i="5"/>
  <c r="BT117" i="5"/>
  <c r="R63" i="5"/>
  <c r="AT63" i="5"/>
  <c r="AU64" i="5"/>
  <c r="AU452" i="5"/>
  <c r="AU455" i="5" s="1"/>
  <c r="AE50" i="5"/>
  <c r="AH57" i="5"/>
  <c r="AH452" i="5" s="1"/>
  <c r="AH455" i="5" s="1"/>
  <c r="BX51" i="5"/>
  <c r="P57" i="5"/>
  <c r="P461" i="5" s="1"/>
  <c r="AC66" i="5"/>
  <c r="P66" i="5"/>
  <c r="AC57" i="5"/>
  <c r="AC461" i="5" s="1"/>
  <c r="AB57" i="5"/>
  <c r="AB461" i="5" s="1"/>
  <c r="AA63" i="5"/>
  <c r="AU161" i="5"/>
  <c r="AU187" i="5" s="1"/>
  <c r="AU218" i="5" s="1"/>
  <c r="BU440" i="5"/>
  <c r="BU441" i="5" s="1"/>
  <c r="AA57" i="5"/>
  <c r="AA461" i="5" s="1"/>
  <c r="J66" i="5"/>
  <c r="BI461" i="5"/>
  <c r="AL64" i="5"/>
  <c r="AL461" i="5"/>
  <c r="BE64" i="5"/>
  <c r="BE461" i="5"/>
  <c r="R452" i="5"/>
  <c r="R455" i="5" s="1"/>
  <c r="R461" i="5"/>
  <c r="N161" i="5"/>
  <c r="N187" i="5" s="1"/>
  <c r="N218" i="5" s="1"/>
  <c r="N461" i="5"/>
  <c r="V452" i="5"/>
  <c r="V455" i="5" s="1"/>
  <c r="V461" i="5"/>
  <c r="X452" i="5"/>
  <c r="X455" i="5" s="1"/>
  <c r="X461" i="5"/>
  <c r="BS51" i="5"/>
  <c r="AZ66" i="5"/>
  <c r="R161" i="5"/>
  <c r="R187" i="5" s="1"/>
  <c r="R218" i="5" s="1"/>
  <c r="AB63" i="5"/>
  <c r="AT66" i="5"/>
  <c r="J57" i="5"/>
  <c r="J461" i="5" s="1"/>
  <c r="AX63" i="5"/>
  <c r="BT429" i="5"/>
  <c r="BU429" i="5" s="1"/>
  <c r="E66" i="5"/>
  <c r="U57" i="5"/>
  <c r="U161" i="5" s="1"/>
  <c r="U187" i="5" s="1"/>
  <c r="U218" i="5" s="1"/>
  <c r="X64" i="5"/>
  <c r="AZ63" i="5"/>
  <c r="AX57" i="5"/>
  <c r="AX64" i="5" s="1"/>
  <c r="AT50" i="5"/>
  <c r="BT193" i="5"/>
  <c r="K66" i="5"/>
  <c r="K63" i="5"/>
  <c r="V161" i="5"/>
  <c r="V187" i="5" s="1"/>
  <c r="V218" i="5" s="1"/>
  <c r="AO50" i="5"/>
  <c r="AN380" i="5"/>
  <c r="BD50" i="5"/>
  <c r="V64" i="5"/>
  <c r="X63" i="5"/>
  <c r="CR23" i="5"/>
  <c r="X66" i="5"/>
  <c r="AL452" i="5"/>
  <c r="AL455" i="5" s="1"/>
  <c r="BJ63" i="5"/>
  <c r="BJ57" i="5"/>
  <c r="BJ66" i="5"/>
  <c r="AL161" i="5"/>
  <c r="AL187" i="5" s="1"/>
  <c r="AL218" i="5" s="1"/>
  <c r="AV63" i="5"/>
  <c r="AS379" i="5"/>
  <c r="AS380" i="5" s="1"/>
  <c r="AD57" i="5"/>
  <c r="AV57" i="5"/>
  <c r="AD63" i="5"/>
  <c r="CA75" i="5"/>
  <c r="CA163" i="5"/>
  <c r="AT378" i="5"/>
  <c r="AI50" i="5"/>
  <c r="AI52" i="5"/>
  <c r="AW452" i="5"/>
  <c r="AW455" i="5" s="1"/>
  <c r="AW64" i="5"/>
  <c r="BL146" i="5"/>
  <c r="BM146" i="5" s="1"/>
  <c r="BL57" i="5"/>
  <c r="BL66" i="5"/>
  <c r="BL63" i="5"/>
  <c r="BF66" i="5"/>
  <c r="BF63" i="5"/>
  <c r="BF57" i="5"/>
  <c r="BF461" i="5" s="1"/>
  <c r="BR75" i="5"/>
  <c r="BS75" i="5" s="1"/>
  <c r="BS22" i="5"/>
  <c r="N452" i="5"/>
  <c r="N455" i="5" s="1"/>
  <c r="N64" i="5"/>
  <c r="K378" i="5"/>
  <c r="BH57" i="5"/>
  <c r="BH461" i="5" s="1"/>
  <c r="BH66" i="5"/>
  <c r="BH63" i="5"/>
  <c r="Q66" i="5"/>
  <c r="Q63" i="5"/>
  <c r="Q57" i="5"/>
  <c r="Q461" i="5" s="1"/>
  <c r="BG452" i="5"/>
  <c r="BG455" i="5" s="1"/>
  <c r="BG64" i="5"/>
  <c r="H57" i="5"/>
  <c r="H461" i="5" s="1"/>
  <c r="H66" i="5"/>
  <c r="H63" i="5"/>
  <c r="BC452" i="5"/>
  <c r="BC455" i="5" s="1"/>
  <c r="BC64" i="5"/>
  <c r="CM444" i="5"/>
  <c r="CI224" i="5"/>
  <c r="CG225" i="5"/>
  <c r="CC40" i="5"/>
  <c r="AT64" i="5"/>
  <c r="AT452" i="5"/>
  <c r="AT455" i="5" s="1"/>
  <c r="AJ50" i="5"/>
  <c r="AJ52" i="5"/>
  <c r="AF57" i="5"/>
  <c r="AF461" i="5" s="1"/>
  <c r="AF63" i="5"/>
  <c r="AF66" i="5"/>
  <c r="AM452" i="5"/>
  <c r="AM455" i="5" s="1"/>
  <c r="BD63" i="5"/>
  <c r="BD66" i="5"/>
  <c r="BD57" i="5"/>
  <c r="BU437" i="5"/>
  <c r="BV436" i="5"/>
  <c r="AY57" i="5"/>
  <c r="AY461" i="5" s="1"/>
  <c r="AY63" i="5"/>
  <c r="AY66" i="5"/>
  <c r="BZ439" i="5"/>
  <c r="CA438" i="5"/>
  <c r="AE66" i="5"/>
  <c r="AE63" i="5"/>
  <c r="AE57" i="5"/>
  <c r="AE461" i="5" s="1"/>
  <c r="AZ161" i="5"/>
  <c r="AZ187" i="5" s="1"/>
  <c r="AZ218" i="5" s="1"/>
  <c r="AZ452" i="5"/>
  <c r="AZ455" i="5" s="1"/>
  <c r="AZ64" i="5"/>
  <c r="BS85" i="5"/>
  <c r="BU168" i="5"/>
  <c r="BU169" i="5" s="1"/>
  <c r="BU234" i="5"/>
  <c r="BV233" i="5"/>
  <c r="BU193" i="5"/>
  <c r="BX101" i="5"/>
  <c r="BR454" i="5"/>
  <c r="BS133" i="5"/>
  <c r="CC41" i="5"/>
  <c r="C161" i="5"/>
  <c r="C187" i="5" s="1"/>
  <c r="C218" i="5" s="1"/>
  <c r="C64" i="5"/>
  <c r="C452" i="5"/>
  <c r="C455" i="5" s="1"/>
  <c r="C457" i="5" s="1"/>
  <c r="AK57" i="5"/>
  <c r="AK461" i="5" s="1"/>
  <c r="AK66" i="5"/>
  <c r="AK63" i="5"/>
  <c r="AP64" i="5"/>
  <c r="AP161" i="5"/>
  <c r="AP187" i="5" s="1"/>
  <c r="AP218" i="5" s="1"/>
  <c r="AP452" i="5"/>
  <c r="AP455" i="5" s="1"/>
  <c r="AQ161" i="5"/>
  <c r="AQ452" i="5"/>
  <c r="AQ455" i="5" s="1"/>
  <c r="AQ64" i="5"/>
  <c r="D452" i="5"/>
  <c r="D455" i="5" s="1"/>
  <c r="D64" i="5"/>
  <c r="D161" i="5"/>
  <c r="D187" i="5" s="1"/>
  <c r="D218" i="5" s="1"/>
  <c r="CE51" i="5"/>
  <c r="CF51" i="5" s="1"/>
  <c r="CG51" i="5" s="1"/>
  <c r="CI51" i="5" s="1"/>
  <c r="AS452" i="5"/>
  <c r="AS455" i="5" s="1"/>
  <c r="AS64" i="5"/>
  <c r="W64" i="5"/>
  <c r="W452" i="5"/>
  <c r="W455" i="5" s="1"/>
  <c r="W161" i="5"/>
  <c r="W187" i="5" s="1"/>
  <c r="W218" i="5" s="1"/>
  <c r="T52" i="5"/>
  <c r="T50" i="5"/>
  <c r="E161" i="5"/>
  <c r="E187" i="5" s="1"/>
  <c r="E218" i="5" s="1"/>
  <c r="E64" i="5"/>
  <c r="E452" i="5"/>
  <c r="E455" i="5" s="1"/>
  <c r="CJ186" i="5"/>
  <c r="CK186" i="5" s="1"/>
  <c r="CL186" i="5" s="1"/>
  <c r="CN186" i="5" s="1"/>
  <c r="CF433" i="5"/>
  <c r="CF434" i="5" s="1"/>
  <c r="CK431" i="5"/>
  <c r="AX379" i="5"/>
  <c r="AY378" i="5"/>
  <c r="BI64" i="5"/>
  <c r="BI452" i="5"/>
  <c r="BI455" i="5" s="1"/>
  <c r="Y50" i="5"/>
  <c r="Y52" i="5"/>
  <c r="BQ234" i="5"/>
  <c r="BS26" i="5"/>
  <c r="BZ435" i="5"/>
  <c r="K452" i="5"/>
  <c r="K455" i="5" s="1"/>
  <c r="K64" i="5"/>
  <c r="K161" i="5"/>
  <c r="K187" i="5" s="1"/>
  <c r="K218" i="5" s="1"/>
  <c r="BA161" i="5"/>
  <c r="BA64" i="5"/>
  <c r="BA452" i="5"/>
  <c r="BA455" i="5" s="1"/>
  <c r="AN66" i="5"/>
  <c r="AN63" i="5"/>
  <c r="AN57" i="5"/>
  <c r="AN461" i="5" s="1"/>
  <c r="CJ174" i="5"/>
  <c r="CK174" i="5" s="1"/>
  <c r="CL174" i="5" s="1"/>
  <c r="CN174" i="5" s="1"/>
  <c r="F452" i="5"/>
  <c r="F64" i="5"/>
  <c r="F161" i="5"/>
  <c r="F187" i="5" s="1"/>
  <c r="F218" i="5" s="1"/>
  <c r="F220" i="5" s="1"/>
  <c r="CC51" i="5"/>
  <c r="I452" i="5"/>
  <c r="I455" i="5" s="1"/>
  <c r="I161" i="5"/>
  <c r="I187" i="5" s="1"/>
  <c r="I218" i="5" s="1"/>
  <c r="I64" i="5"/>
  <c r="CH186" i="5"/>
  <c r="BO246" i="5"/>
  <c r="BO61" i="5"/>
  <c r="BO67" i="5"/>
  <c r="CE75" i="5"/>
  <c r="CE163" i="5"/>
  <c r="AO52" i="5"/>
  <c r="CE41" i="5"/>
  <c r="CF41" i="5" s="1"/>
  <c r="CG41" i="5" s="1"/>
  <c r="CI41" i="5" s="1"/>
  <c r="G161" i="5"/>
  <c r="G187" i="5" s="1"/>
  <c r="G218" i="5" s="1"/>
  <c r="G452" i="5"/>
  <c r="G455" i="5" s="1"/>
  <c r="G64" i="5"/>
  <c r="CL431" i="5"/>
  <c r="CG433" i="5"/>
  <c r="CG434" i="5" s="1"/>
  <c r="AB161" i="5"/>
  <c r="AB187" i="5" s="1"/>
  <c r="AB218" i="5" s="1"/>
  <c r="M161" i="5"/>
  <c r="M187" i="5" s="1"/>
  <c r="M218" i="5" s="1"/>
  <c r="M452" i="5"/>
  <c r="M455" i="5" s="1"/>
  <c r="M64" i="5"/>
  <c r="Z63" i="5"/>
  <c r="Z57" i="5"/>
  <c r="Z461" i="5" s="1"/>
  <c r="Z66" i="5"/>
  <c r="B161" i="5"/>
  <c r="B187" i="5" s="1"/>
  <c r="B218" i="5" s="1"/>
  <c r="B220" i="5" s="1"/>
  <c r="B64" i="5"/>
  <c r="B452" i="5"/>
  <c r="CE433" i="5"/>
  <c r="CE434" i="5" s="1"/>
  <c r="CJ431" i="5"/>
  <c r="BB452" i="5"/>
  <c r="BB455" i="5" s="1"/>
  <c r="BB64" i="5"/>
  <c r="L161" i="5"/>
  <c r="L187" i="5" s="1"/>
  <c r="L218" i="5" s="1"/>
  <c r="L64" i="5"/>
  <c r="L452" i="5"/>
  <c r="L455" i="5" s="1"/>
  <c r="CE40" i="5"/>
  <c r="CF40" i="5" s="1"/>
  <c r="CG40" i="5" s="1"/>
  <c r="CI40" i="5" s="1"/>
  <c r="BU70" i="5"/>
  <c r="BV242" i="5"/>
  <c r="AG161" i="5"/>
  <c r="AG64" i="5"/>
  <c r="AG452" i="5"/>
  <c r="AG455" i="5" s="1"/>
  <c r="O50" i="5"/>
  <c r="O52" i="5"/>
  <c r="BO124" i="5"/>
  <c r="CO444" i="5"/>
  <c r="CP444" i="5" s="1"/>
  <c r="CQ444" i="5" s="1"/>
  <c r="CS444" i="5" s="1"/>
  <c r="CT23" i="5"/>
  <c r="CU23" i="5" s="1"/>
  <c r="CV23" i="5" s="1"/>
  <c r="CX23" i="5" s="1"/>
  <c r="CH174" i="5"/>
  <c r="BM488" i="5"/>
  <c r="BM36" i="5"/>
  <c r="BN17" i="5"/>
  <c r="BM43" i="5"/>
  <c r="BM48" i="5" s="1"/>
  <c r="BN42" i="5"/>
  <c r="AM64" i="5" l="1"/>
  <c r="P452" i="5"/>
  <c r="P455" i="5" s="1"/>
  <c r="BV117" i="5"/>
  <c r="P64" i="5"/>
  <c r="BW111" i="5"/>
  <c r="P161" i="5"/>
  <c r="P187" i="5" s="1"/>
  <c r="P218" i="5" s="1"/>
  <c r="AB64" i="5"/>
  <c r="AB452" i="5"/>
  <c r="AB455" i="5" s="1"/>
  <c r="AC64" i="5"/>
  <c r="AA452" i="5"/>
  <c r="AA455" i="5" s="1"/>
  <c r="BM490" i="5"/>
  <c r="AA64" i="5"/>
  <c r="BK239" i="5"/>
  <c r="BX112" i="5"/>
  <c r="BU201" i="5"/>
  <c r="AA161" i="5"/>
  <c r="AA187" i="5" s="1"/>
  <c r="AA218" i="5" s="1"/>
  <c r="BT201" i="5"/>
  <c r="CA69" i="5"/>
  <c r="BU443" i="5"/>
  <c r="AH461" i="5"/>
  <c r="AH64" i="5"/>
  <c r="AC161" i="5"/>
  <c r="AC187" i="5" s="1"/>
  <c r="AC452" i="5"/>
  <c r="AC455" i="5" s="1"/>
  <c r="U64" i="5"/>
  <c r="BD461" i="5"/>
  <c r="AD64" i="5"/>
  <c r="AD461" i="5"/>
  <c r="AX452" i="5"/>
  <c r="AX455" i="5" s="1"/>
  <c r="AX461" i="5"/>
  <c r="BL73" i="5"/>
  <c r="BL79" i="5" s="1"/>
  <c r="BL461" i="5"/>
  <c r="AV64" i="5"/>
  <c r="AV461" i="5"/>
  <c r="BJ73" i="5"/>
  <c r="BJ78" i="5" s="1"/>
  <c r="BJ461" i="5"/>
  <c r="U452" i="5"/>
  <c r="U455" i="5" s="1"/>
  <c r="U461" i="5"/>
  <c r="J452" i="5"/>
  <c r="J455" i="5" s="1"/>
  <c r="J161" i="5"/>
  <c r="J187" i="5" s="1"/>
  <c r="J218" i="5" s="1"/>
  <c r="J64" i="5"/>
  <c r="AV161" i="5"/>
  <c r="AV187" i="5" s="1"/>
  <c r="AV218" i="5" s="1"/>
  <c r="BR225" i="5"/>
  <c r="BS60" i="5" s="1"/>
  <c r="AT379" i="5"/>
  <c r="AT380" i="5" s="1"/>
  <c r="BJ64" i="5"/>
  <c r="BJ452" i="5"/>
  <c r="BJ455" i="5" s="1"/>
  <c r="AD452" i="5"/>
  <c r="AD455" i="5" s="1"/>
  <c r="AD161" i="5"/>
  <c r="AD187" i="5" s="1"/>
  <c r="BL452" i="5"/>
  <c r="BL455" i="5" s="1"/>
  <c r="BL64" i="5"/>
  <c r="BF452" i="5"/>
  <c r="BF455" i="5" s="1"/>
  <c r="BF64" i="5"/>
  <c r="AI66" i="5"/>
  <c r="AI63" i="5"/>
  <c r="AI57" i="5"/>
  <c r="AI461" i="5" s="1"/>
  <c r="AV452" i="5"/>
  <c r="AV455" i="5" s="1"/>
  <c r="CF163" i="5"/>
  <c r="CF75" i="5"/>
  <c r="BW75" i="5"/>
  <c r="BW163" i="5"/>
  <c r="BU24" i="5"/>
  <c r="Q161" i="5"/>
  <c r="Q187" i="5" s="1"/>
  <c r="Q218" i="5" s="1"/>
  <c r="Q452" i="5"/>
  <c r="Q455" i="5" s="1"/>
  <c r="Q64" i="5"/>
  <c r="CH41" i="5"/>
  <c r="H161" i="5"/>
  <c r="H187" i="5" s="1"/>
  <c r="H218" i="5" s="1"/>
  <c r="H64" i="5"/>
  <c r="H452" i="5"/>
  <c r="H455" i="5" s="1"/>
  <c r="BH64" i="5"/>
  <c r="BH452" i="5"/>
  <c r="BH455" i="5" s="1"/>
  <c r="CJ224" i="5"/>
  <c r="CI225" i="5"/>
  <c r="AJ57" i="5"/>
  <c r="AJ461" i="5" s="1"/>
  <c r="AJ66" i="5"/>
  <c r="AJ63" i="5"/>
  <c r="AF64" i="5"/>
  <c r="AF452" i="5"/>
  <c r="AF455" i="5" s="1"/>
  <c r="AF161" i="5"/>
  <c r="AF187" i="5" s="1"/>
  <c r="AF218" i="5" s="1"/>
  <c r="BW436" i="5"/>
  <c r="BX436" i="5" s="1"/>
  <c r="BV440" i="5"/>
  <c r="AY452" i="5"/>
  <c r="AY455" i="5" s="1"/>
  <c r="AY64" i="5"/>
  <c r="BD452" i="5"/>
  <c r="BD455" i="5" s="1"/>
  <c r="BD64" i="5"/>
  <c r="AE452" i="5"/>
  <c r="AE455" i="5" s="1"/>
  <c r="AE64" i="5"/>
  <c r="AE161" i="5"/>
  <c r="AE187" i="5" s="1"/>
  <c r="AE218" i="5" s="1"/>
  <c r="CB438" i="5"/>
  <c r="CD438" i="5" s="1"/>
  <c r="BY101" i="5"/>
  <c r="BT85" i="5"/>
  <c r="BZ168" i="5"/>
  <c r="BZ169" i="5" s="1"/>
  <c r="BZ234" i="5"/>
  <c r="BX111" i="5"/>
  <c r="BW117" i="5"/>
  <c r="BW233" i="5"/>
  <c r="BV193" i="5"/>
  <c r="BV168" i="5"/>
  <c r="BV169" i="5" s="1"/>
  <c r="BV234" i="5"/>
  <c r="BT133" i="5"/>
  <c r="BS454" i="5"/>
  <c r="D450" i="5"/>
  <c r="D457" i="5" s="1"/>
  <c r="E450" i="5" s="1"/>
  <c r="E457" i="5" s="1"/>
  <c r="E458" i="5" s="1"/>
  <c r="C458" i="5"/>
  <c r="CY23" i="5"/>
  <c r="CZ23" i="5" s="1"/>
  <c r="DA23" i="5" s="1"/>
  <c r="CT444" i="5"/>
  <c r="CU444" i="5" s="1"/>
  <c r="CV444" i="5" s="1"/>
  <c r="CX444" i="5" s="1"/>
  <c r="CJ40" i="5"/>
  <c r="CK40" i="5" s="1"/>
  <c r="CL40" i="5" s="1"/>
  <c r="CN40" i="5" s="1"/>
  <c r="CJ433" i="5"/>
  <c r="CJ434" i="5" s="1"/>
  <c r="CO431" i="5"/>
  <c r="CL433" i="5"/>
  <c r="CL434" i="5" s="1"/>
  <c r="CQ431" i="5"/>
  <c r="AO63" i="5"/>
  <c r="AO66" i="5"/>
  <c r="AO57" i="5"/>
  <c r="AO461" i="5" s="1"/>
  <c r="CO174" i="5"/>
  <c r="CP174" i="5" s="1"/>
  <c r="CQ174" i="5" s="1"/>
  <c r="CS174" i="5" s="1"/>
  <c r="AN452" i="5"/>
  <c r="AN455" i="5" s="1"/>
  <c r="AN64" i="5"/>
  <c r="BV429" i="5"/>
  <c r="BU430" i="5"/>
  <c r="Y57" i="5"/>
  <c r="Y461" i="5" s="1"/>
  <c r="Y66" i="5"/>
  <c r="Y63" i="5"/>
  <c r="AX380" i="5"/>
  <c r="AY379" i="5"/>
  <c r="CO186" i="5"/>
  <c r="CP186" i="5" s="1"/>
  <c r="CQ186" i="5" s="1"/>
  <c r="CS186" i="5" s="1"/>
  <c r="CJ51" i="5"/>
  <c r="CK51" i="5" s="1"/>
  <c r="CL51" i="5" s="1"/>
  <c r="CN51" i="5" s="1"/>
  <c r="CW23" i="5"/>
  <c r="CR444" i="5"/>
  <c r="O66" i="5"/>
  <c r="O57" i="5"/>
  <c r="O461" i="5" s="1"/>
  <c r="O63" i="5"/>
  <c r="AG187" i="5"/>
  <c r="AG218" i="5" s="1"/>
  <c r="BV70" i="5"/>
  <c r="BW242" i="5"/>
  <c r="CH40" i="5"/>
  <c r="CE435" i="5"/>
  <c r="B455" i="5"/>
  <c r="B457" i="5" s="1"/>
  <c r="B458" i="5" s="1"/>
  <c r="B84" i="5"/>
  <c r="B92" i="5" s="1"/>
  <c r="B107" i="5" s="1"/>
  <c r="B139" i="5" s="1"/>
  <c r="C219" i="5"/>
  <c r="C220" i="5" s="1"/>
  <c r="Z64" i="5"/>
  <c r="Z452" i="5"/>
  <c r="Z455" i="5" s="1"/>
  <c r="Z161" i="5"/>
  <c r="Z187" i="5" s="1"/>
  <c r="Z218" i="5" s="1"/>
  <c r="CJ41" i="5"/>
  <c r="CK41" i="5" s="1"/>
  <c r="CL41" i="5" s="1"/>
  <c r="CN41" i="5" s="1"/>
  <c r="BP67" i="5"/>
  <c r="BP61" i="5"/>
  <c r="BP246" i="5"/>
  <c r="F84" i="5"/>
  <c r="F221" i="5" s="1"/>
  <c r="K219" i="5"/>
  <c r="K220" i="5" s="1"/>
  <c r="G219" i="5"/>
  <c r="G220" i="5" s="1"/>
  <c r="F455" i="5"/>
  <c r="F457" i="5" s="1"/>
  <c r="CM174" i="5"/>
  <c r="BA187" i="5"/>
  <c r="BA218" i="5" s="1"/>
  <c r="BB161" i="5"/>
  <c r="BT234" i="5"/>
  <c r="BR234" i="5"/>
  <c r="CP431" i="5"/>
  <c r="CK433" i="5"/>
  <c r="CK434" i="5" s="1"/>
  <c r="CJ75" i="5"/>
  <c r="CJ163" i="5"/>
  <c r="CM186" i="5"/>
  <c r="T63" i="5"/>
  <c r="T57" i="5"/>
  <c r="T461" i="5" s="1"/>
  <c r="T66" i="5"/>
  <c r="CH51" i="5"/>
  <c r="AQ187" i="5"/>
  <c r="AR161" i="5"/>
  <c r="AK64" i="5"/>
  <c r="AK452" i="5"/>
  <c r="AK455" i="5" s="1"/>
  <c r="AK161" i="5"/>
  <c r="CY167" i="5"/>
  <c r="CE167" i="5"/>
  <c r="CJ167" i="5"/>
  <c r="BN18" i="5"/>
  <c r="BN43" i="5"/>
  <c r="BZ167" i="5"/>
  <c r="BN45" i="5"/>
  <c r="CO167" i="5"/>
  <c r="BL231" i="5" l="1"/>
  <c r="BL238" i="5" s="1"/>
  <c r="BY112" i="5"/>
  <c r="BV201" i="5"/>
  <c r="BS234" i="5"/>
  <c r="BX233" i="5"/>
  <c r="CB69" i="5"/>
  <c r="BN78" i="5"/>
  <c r="BJ79" i="5"/>
  <c r="AW161" i="5"/>
  <c r="AX161" i="5" s="1"/>
  <c r="AX187" i="5" s="1"/>
  <c r="AX218" i="5" s="1"/>
  <c r="AY380" i="5"/>
  <c r="AI452" i="5"/>
  <c r="AI455" i="5" s="1"/>
  <c r="AI64" i="5"/>
  <c r="BT60" i="5"/>
  <c r="CK75" i="5"/>
  <c r="CK163" i="5"/>
  <c r="CB163" i="5"/>
  <c r="CB75" i="5"/>
  <c r="CT167" i="5"/>
  <c r="BU167" i="5"/>
  <c r="B221" i="5"/>
  <c r="CM51" i="5"/>
  <c r="CC438" i="5"/>
  <c r="CC439" i="5" s="1"/>
  <c r="CK224" i="5"/>
  <c r="CJ225" i="5"/>
  <c r="BV24" i="5"/>
  <c r="AH161" i="5"/>
  <c r="AH187" i="5" s="1"/>
  <c r="AH218" i="5" s="1"/>
  <c r="AJ64" i="5"/>
  <c r="AJ452" i="5"/>
  <c r="AJ455" i="5" s="1"/>
  <c r="BX437" i="5"/>
  <c r="CE438" i="5"/>
  <c r="BV441" i="5"/>
  <c r="BV443" i="5"/>
  <c r="BY436" i="5"/>
  <c r="BW440" i="5"/>
  <c r="BX117" i="5"/>
  <c r="BY111" i="5"/>
  <c r="CE168" i="5"/>
  <c r="CE169" i="5" s="1"/>
  <c r="CE234" i="5"/>
  <c r="BU85" i="5"/>
  <c r="BW168" i="5"/>
  <c r="BW169" i="5" s="1"/>
  <c r="BW234" i="5"/>
  <c r="BW193" i="5"/>
  <c r="BZ101" i="5"/>
  <c r="CA168" i="5"/>
  <c r="CA169" i="5" s="1"/>
  <c r="CA234" i="5"/>
  <c r="D458" i="5"/>
  <c r="BU133" i="5"/>
  <c r="BT454" i="5"/>
  <c r="BM52" i="5"/>
  <c r="BM57" i="5" s="1"/>
  <c r="BM50" i="5"/>
  <c r="CR174" i="5"/>
  <c r="CM41" i="5"/>
  <c r="H219" i="5"/>
  <c r="H220" i="5" s="1"/>
  <c r="G84" i="5"/>
  <c r="CJ435" i="5"/>
  <c r="AK187" i="5"/>
  <c r="AK218" i="5" s="1"/>
  <c r="AM161" i="5"/>
  <c r="AR187" i="5"/>
  <c r="AR218" i="5" s="1"/>
  <c r="AS161" i="5"/>
  <c r="AS187" i="5" s="1"/>
  <c r="AS218" i="5" s="1"/>
  <c r="T64" i="5"/>
  <c r="T161" i="5"/>
  <c r="T187" i="5" s="1"/>
  <c r="T218" i="5" s="1"/>
  <c r="T452" i="5"/>
  <c r="T455" i="5" s="1"/>
  <c r="BY234" i="5"/>
  <c r="BT168" i="5"/>
  <c r="BT169" i="5" s="1"/>
  <c r="BX26" i="5"/>
  <c r="G450" i="5"/>
  <c r="F458" i="5"/>
  <c r="F92" i="5"/>
  <c r="F107" i="5" s="1"/>
  <c r="F139" i="5" s="1"/>
  <c r="BQ67" i="5"/>
  <c r="BQ61" i="5"/>
  <c r="BQ453" i="5"/>
  <c r="BQ246" i="5"/>
  <c r="C84" i="5"/>
  <c r="C92" i="5" s="1"/>
  <c r="C107" i="5" s="1"/>
  <c r="C139" i="5" s="1"/>
  <c r="D219" i="5"/>
  <c r="D220" i="5" s="1"/>
  <c r="BY242" i="5"/>
  <c r="BW70" i="5"/>
  <c r="O452" i="5"/>
  <c r="O455" i="5" s="1"/>
  <c r="O161" i="5"/>
  <c r="O187" i="5" s="1"/>
  <c r="O218" i="5" s="1"/>
  <c r="O64" i="5"/>
  <c r="CT186" i="5"/>
  <c r="CU186" i="5" s="1"/>
  <c r="CV186" i="5" s="1"/>
  <c r="CX186" i="5" s="1"/>
  <c r="CO75" i="5"/>
  <c r="CO163" i="5"/>
  <c r="Y161" i="5"/>
  <c r="Y187" i="5" s="1"/>
  <c r="Y218" i="5" s="1"/>
  <c r="Y452" i="5"/>
  <c r="Y455" i="5" s="1"/>
  <c r="Y64" i="5"/>
  <c r="BW429" i="5"/>
  <c r="BV430" i="5"/>
  <c r="CP433" i="5"/>
  <c r="CP434" i="5" s="1"/>
  <c r="CU431" i="5"/>
  <c r="P219" i="5"/>
  <c r="P220" i="5" s="1"/>
  <c r="K84" i="5"/>
  <c r="K221" i="5" s="1"/>
  <c r="L219" i="5"/>
  <c r="L220" i="5" s="1"/>
  <c r="BB187" i="5"/>
  <c r="BB218" i="5" s="1"/>
  <c r="BC161" i="5"/>
  <c r="BC187" i="5" s="1"/>
  <c r="BC218" i="5" s="1"/>
  <c r="CO41" i="5"/>
  <c r="CP41" i="5" s="1"/>
  <c r="CQ41" i="5" s="1"/>
  <c r="CS41" i="5" s="1"/>
  <c r="BX69" i="5"/>
  <c r="CO51" i="5"/>
  <c r="CP51" i="5" s="1"/>
  <c r="CQ51" i="5" s="1"/>
  <c r="CS51" i="5" s="1"/>
  <c r="CR186" i="5"/>
  <c r="BQ24" i="5"/>
  <c r="BS21" i="5"/>
  <c r="BS24" i="5" s="1"/>
  <c r="CT174" i="5"/>
  <c r="CU174" i="5" s="1"/>
  <c r="CV174" i="5" s="1"/>
  <c r="CX174" i="5" s="1"/>
  <c r="AO452" i="5"/>
  <c r="AO455" i="5" s="1"/>
  <c r="AO64" i="5"/>
  <c r="CO40" i="5"/>
  <c r="CP40" i="5" s="1"/>
  <c r="CQ40" i="5" s="1"/>
  <c r="CS40" i="5" s="1"/>
  <c r="CY444" i="5"/>
  <c r="CZ444" i="5" s="1"/>
  <c r="DA444" i="5" s="1"/>
  <c r="CQ433" i="5"/>
  <c r="CQ434" i="5" s="1"/>
  <c r="CV431" i="5"/>
  <c r="CO433" i="5"/>
  <c r="CO434" i="5" s="1"/>
  <c r="CT431" i="5"/>
  <c r="CM40" i="5"/>
  <c r="CW444" i="5"/>
  <c r="DB23" i="5"/>
  <c r="BX45" i="5"/>
  <c r="BV167" i="5"/>
  <c r="CK167" i="5"/>
  <c r="CA167" i="5"/>
  <c r="BN28" i="5"/>
  <c r="CV167" i="5"/>
  <c r="CU167" i="5"/>
  <c r="CP167" i="5"/>
  <c r="CF167" i="5"/>
  <c r="BN49" i="5"/>
  <c r="CZ167" i="5"/>
  <c r="BL239" i="5" l="1"/>
  <c r="BJ231" i="5"/>
  <c r="BJ236" i="5" s="1"/>
  <c r="BN236" i="5" s="1"/>
  <c r="BZ112" i="5"/>
  <c r="AW187" i="5"/>
  <c r="AW218" i="5" s="1"/>
  <c r="BX242" i="5"/>
  <c r="BX234" i="5"/>
  <c r="CD69" i="5"/>
  <c r="BN48" i="5"/>
  <c r="BN52" i="5" s="1"/>
  <c r="BM73" i="5"/>
  <c r="BN73" i="5" s="1"/>
  <c r="BN79" i="5" s="1"/>
  <c r="BM461" i="5"/>
  <c r="BJ238" i="5"/>
  <c r="BY233" i="5"/>
  <c r="CR51" i="5"/>
  <c r="BS59" i="5"/>
  <c r="CP163" i="5"/>
  <c r="CP75" i="5"/>
  <c r="C221" i="5"/>
  <c r="BM63" i="5"/>
  <c r="CG75" i="5"/>
  <c r="CG163" i="5"/>
  <c r="BM66" i="5"/>
  <c r="BU60" i="5"/>
  <c r="BV60" i="5" s="1"/>
  <c r="BW60" i="5" s="1"/>
  <c r="BY60" i="5" s="1"/>
  <c r="BZ60" i="5" s="1"/>
  <c r="AI161" i="5"/>
  <c r="AI187" i="5" s="1"/>
  <c r="AI218" i="5" s="1"/>
  <c r="BW24" i="5"/>
  <c r="CW167" i="5"/>
  <c r="CL224" i="5"/>
  <c r="CK225" i="5"/>
  <c r="CR41" i="5"/>
  <c r="DB444" i="5"/>
  <c r="BZ436" i="5"/>
  <c r="CE439" i="5"/>
  <c r="CF438" i="5"/>
  <c r="BW443" i="5"/>
  <c r="BW441" i="5"/>
  <c r="CJ168" i="5"/>
  <c r="CJ169" i="5" s="1"/>
  <c r="CJ234" i="5"/>
  <c r="BV85" i="5"/>
  <c r="CA101" i="5"/>
  <c r="BW201" i="5"/>
  <c r="BX193" i="5"/>
  <c r="BY117" i="5"/>
  <c r="BZ111" i="5"/>
  <c r="CF168" i="5"/>
  <c r="CF169" i="5" s="1"/>
  <c r="CF234" i="5"/>
  <c r="BX168" i="5"/>
  <c r="CB168" i="5"/>
  <c r="CB169" i="5" s="1"/>
  <c r="CB234" i="5"/>
  <c r="BV133" i="5"/>
  <c r="BU454" i="5"/>
  <c r="CW174" i="5"/>
  <c r="CR40" i="5"/>
  <c r="CO435" i="5"/>
  <c r="BX70" i="5"/>
  <c r="M219" i="5"/>
  <c r="M220" i="5" s="1"/>
  <c r="L84" i="5"/>
  <c r="P84" i="5"/>
  <c r="P143" i="5" s="1"/>
  <c r="U219" i="5"/>
  <c r="U220" i="5" s="1"/>
  <c r="Q219" i="5"/>
  <c r="Q220" i="5" s="1"/>
  <c r="CT433" i="5"/>
  <c r="CT434" i="5" s="1"/>
  <c r="CY431" i="5"/>
  <c r="CV433" i="5"/>
  <c r="CV434" i="5" s="1"/>
  <c r="DA431" i="5"/>
  <c r="CT40" i="5"/>
  <c r="CU40" i="5" s="1"/>
  <c r="CV40" i="5" s="1"/>
  <c r="CX40" i="5" s="1"/>
  <c r="CY174" i="5"/>
  <c r="CZ174" i="5" s="1"/>
  <c r="DA174" i="5" s="1"/>
  <c r="CT75" i="5"/>
  <c r="CT163" i="5"/>
  <c r="CT51" i="5"/>
  <c r="CU51" i="5" s="1"/>
  <c r="CV51" i="5" s="1"/>
  <c r="CX51" i="5" s="1"/>
  <c r="CT41" i="5"/>
  <c r="CU41" i="5" s="1"/>
  <c r="CV41" i="5" s="1"/>
  <c r="CX41" i="5" s="1"/>
  <c r="K92" i="5"/>
  <c r="K107" i="5" s="1"/>
  <c r="K139" i="5" s="1"/>
  <c r="CU433" i="5"/>
  <c r="CU434" i="5" s="1"/>
  <c r="CZ431" i="5"/>
  <c r="BY429" i="5"/>
  <c r="BW430" i="5"/>
  <c r="BX429" i="5"/>
  <c r="CY186" i="5"/>
  <c r="CZ186" i="5" s="1"/>
  <c r="DA186" i="5" s="1"/>
  <c r="DB186" i="5" s="1"/>
  <c r="K143" i="5"/>
  <c r="CD234" i="5"/>
  <c r="BY168" i="5"/>
  <c r="BY169" i="5" s="1"/>
  <c r="CC26" i="5"/>
  <c r="BT235" i="5"/>
  <c r="G92" i="5"/>
  <c r="G107" i="5" s="1"/>
  <c r="G139" i="5" s="1"/>
  <c r="I219" i="5"/>
  <c r="I220" i="5" s="1"/>
  <c r="H84" i="5"/>
  <c r="CW186" i="5"/>
  <c r="BY70" i="5"/>
  <c r="BZ242" i="5"/>
  <c r="D84" i="5"/>
  <c r="D92" i="5" s="1"/>
  <c r="D107" i="5" s="1"/>
  <c r="D139" i="5" s="1"/>
  <c r="E219" i="5"/>
  <c r="E220" i="5" s="1"/>
  <c r="BR246" i="5"/>
  <c r="K450" i="5"/>
  <c r="K457" i="5" s="1"/>
  <c r="G457" i="5"/>
  <c r="AM187" i="5"/>
  <c r="AM218" i="5" s="1"/>
  <c r="AN161" i="5"/>
  <c r="AN187" i="5" s="1"/>
  <c r="AN218" i="5" s="1"/>
  <c r="G221" i="5"/>
  <c r="BN128" i="5"/>
  <c r="BN488" i="5"/>
  <c r="BN36" i="5"/>
  <c r="BW167" i="5"/>
  <c r="BS45" i="5"/>
  <c r="CB167" i="5"/>
  <c r="CG167" i="5"/>
  <c r="BM64" i="5"/>
  <c r="BM452" i="5"/>
  <c r="DA167" i="5"/>
  <c r="DB167" i="5" s="1"/>
  <c r="CQ167" i="5"/>
  <c r="CL167" i="5"/>
  <c r="CC169" i="5" l="1"/>
  <c r="BX243" i="5"/>
  <c r="BJ239" i="5"/>
  <c r="CA112" i="5"/>
  <c r="BT59" i="5"/>
  <c r="CC234" i="5"/>
  <c r="CE69" i="5"/>
  <c r="BS235" i="5"/>
  <c r="BZ233" i="5"/>
  <c r="BS246" i="5"/>
  <c r="BS67" i="5"/>
  <c r="BM79" i="5"/>
  <c r="BY193" i="5"/>
  <c r="BX201" i="5"/>
  <c r="CA60" i="5"/>
  <c r="CB60" i="5" s="1"/>
  <c r="CD60" i="5" s="1"/>
  <c r="BX60" i="5"/>
  <c r="CZ163" i="5"/>
  <c r="CZ75" i="5"/>
  <c r="CL75" i="5"/>
  <c r="CL163" i="5"/>
  <c r="CU163" i="5"/>
  <c r="CU75" i="5"/>
  <c r="CC168" i="5"/>
  <c r="BX21" i="5"/>
  <c r="CW51" i="5"/>
  <c r="CN224" i="5"/>
  <c r="CL225" i="5"/>
  <c r="CW41" i="5"/>
  <c r="BZ437" i="5"/>
  <c r="CA436" i="5"/>
  <c r="BZ440" i="5"/>
  <c r="CG438" i="5"/>
  <c r="CI438" i="5" s="1"/>
  <c r="BW85" i="5"/>
  <c r="BX85" i="5" s="1"/>
  <c r="BY85" i="5" s="1"/>
  <c r="BZ85" i="5" s="1"/>
  <c r="CA85" i="5" s="1"/>
  <c r="CB85" i="5" s="1"/>
  <c r="CC85" i="5" s="1"/>
  <c r="CD85" i="5" s="1"/>
  <c r="CE85" i="5" s="1"/>
  <c r="CF85" i="5" s="1"/>
  <c r="CG85" i="5" s="1"/>
  <c r="CH85" i="5" s="1"/>
  <c r="CI85" i="5" s="1"/>
  <c r="CJ85" i="5" s="1"/>
  <c r="CK85" i="5" s="1"/>
  <c r="CL85" i="5" s="1"/>
  <c r="CM85" i="5" s="1"/>
  <c r="CN85" i="5" s="1"/>
  <c r="CO85" i="5" s="1"/>
  <c r="CP85" i="5" s="1"/>
  <c r="CQ85" i="5" s="1"/>
  <c r="CR85" i="5" s="1"/>
  <c r="CS85" i="5" s="1"/>
  <c r="CT85" i="5" s="1"/>
  <c r="CU85" i="5" s="1"/>
  <c r="CV85" i="5" s="1"/>
  <c r="CW85" i="5" s="1"/>
  <c r="CX85" i="5" s="1"/>
  <c r="CY85" i="5" s="1"/>
  <c r="CZ85" i="5" s="1"/>
  <c r="DA85" i="5" s="1"/>
  <c r="DB85" i="5" s="1"/>
  <c r="CG168" i="5"/>
  <c r="CG169" i="5" s="1"/>
  <c r="CG234" i="5"/>
  <c r="CO168" i="5"/>
  <c r="CO169" i="5" s="1"/>
  <c r="CO234" i="5"/>
  <c r="BZ117" i="5"/>
  <c r="CA111" i="5"/>
  <c r="CK168" i="5"/>
  <c r="CK169" i="5" s="1"/>
  <c r="CK234" i="5"/>
  <c r="CA233" i="5"/>
  <c r="BZ193" i="5"/>
  <c r="CB101" i="5"/>
  <c r="BW133" i="5"/>
  <c r="BV454" i="5"/>
  <c r="K458" i="5"/>
  <c r="L450" i="5"/>
  <c r="BS61" i="5"/>
  <c r="BZ70" i="5"/>
  <c r="CA242" i="5"/>
  <c r="H92" i="5"/>
  <c r="H107" i="5" s="1"/>
  <c r="H139" i="5" s="1"/>
  <c r="H143" i="5"/>
  <c r="CI234" i="5"/>
  <c r="CH26" i="5"/>
  <c r="CD168" i="5"/>
  <c r="CD169" i="5" s="1"/>
  <c r="BZ429" i="5"/>
  <c r="CZ433" i="5"/>
  <c r="CZ434" i="5" s="1"/>
  <c r="P145" i="5"/>
  <c r="P144" i="5"/>
  <c r="CY40" i="5"/>
  <c r="CZ40" i="5" s="1"/>
  <c r="DA40" i="5" s="1"/>
  <c r="CT435" i="5"/>
  <c r="Q84" i="5"/>
  <c r="Q221" i="5" s="1"/>
  <c r="R219" i="5"/>
  <c r="R220" i="5" s="1"/>
  <c r="P92" i="5"/>
  <c r="P107" i="5" s="1"/>
  <c r="P139" i="5" s="1"/>
  <c r="L92" i="5"/>
  <c r="L107" i="5" s="1"/>
  <c r="L139" i="5" s="1"/>
  <c r="CY75" i="5"/>
  <c r="CY163" i="5"/>
  <c r="BN50" i="5"/>
  <c r="H450" i="5"/>
  <c r="H457" i="5" s="1"/>
  <c r="G458" i="5"/>
  <c r="BR453" i="5"/>
  <c r="E84" i="5"/>
  <c r="E221" i="5" s="1"/>
  <c r="D221" i="5"/>
  <c r="H221" i="5"/>
  <c r="J219" i="5"/>
  <c r="J220" i="5" s="1"/>
  <c r="I84" i="5"/>
  <c r="I221" i="5" s="1"/>
  <c r="K144" i="5"/>
  <c r="K145" i="5"/>
  <c r="CY41" i="5"/>
  <c r="CZ41" i="5" s="1"/>
  <c r="DA41" i="5" s="1"/>
  <c r="CY51" i="5"/>
  <c r="CZ51" i="5" s="1"/>
  <c r="DA51" i="5" s="1"/>
  <c r="DB174" i="5"/>
  <c r="CW40" i="5"/>
  <c r="DA433" i="5"/>
  <c r="DA434" i="5" s="1"/>
  <c r="CY433" i="5"/>
  <c r="CY434" i="5" s="1"/>
  <c r="P221" i="5"/>
  <c r="Z219" i="5"/>
  <c r="Z220" i="5" s="1"/>
  <c r="V219" i="5"/>
  <c r="V220" i="5" s="1"/>
  <c r="U84" i="5"/>
  <c r="L221" i="5"/>
  <c r="M84" i="5"/>
  <c r="M221" i="5" s="1"/>
  <c r="N219" i="5"/>
  <c r="N220" i="5" s="1"/>
  <c r="CM167" i="5"/>
  <c r="BN490" i="5"/>
  <c r="CR167" i="5"/>
  <c r="CH167" i="5"/>
  <c r="CC167" i="5"/>
  <c r="BX167" i="5"/>
  <c r="BN63" i="5"/>
  <c r="BN57" i="5"/>
  <c r="BN66" i="5"/>
  <c r="BM231" i="5" l="1"/>
  <c r="CH169" i="5"/>
  <c r="CB112" i="5"/>
  <c r="BZ201" i="5"/>
  <c r="BY201" i="5"/>
  <c r="CH234" i="5"/>
  <c r="CF69" i="5"/>
  <c r="BN461" i="5"/>
  <c r="BS453" i="5"/>
  <c r="CE60" i="5"/>
  <c r="CF60" i="5" s="1"/>
  <c r="CG60" i="5" s="1"/>
  <c r="CI60" i="5" s="1"/>
  <c r="CJ60" i="5" s="1"/>
  <c r="CK60" i="5" s="1"/>
  <c r="CL60" i="5" s="1"/>
  <c r="CC60" i="5"/>
  <c r="DB51" i="5"/>
  <c r="BZ24" i="5"/>
  <c r="BT246" i="5"/>
  <c r="CQ75" i="5"/>
  <c r="CQ163" i="5"/>
  <c r="CH168" i="5"/>
  <c r="CH438" i="5"/>
  <c r="CH439" i="5" s="1"/>
  <c r="CO224" i="5"/>
  <c r="CN225" i="5"/>
  <c r="BZ441" i="5"/>
  <c r="BZ443" i="5"/>
  <c r="CB436" i="5"/>
  <c r="CC436" i="5" s="1"/>
  <c r="CA440" i="5"/>
  <c r="CJ438" i="5"/>
  <c r="CL168" i="5"/>
  <c r="CL169" i="5" s="1"/>
  <c r="CL234" i="5"/>
  <c r="CM234" i="5" s="1"/>
  <c r="CB233" i="5"/>
  <c r="CA193" i="5"/>
  <c r="CP168" i="5"/>
  <c r="CP169" i="5" s="1"/>
  <c r="CP234" i="5"/>
  <c r="CB111" i="5"/>
  <c r="CA117" i="5"/>
  <c r="CY168" i="5"/>
  <c r="CY169" i="5" s="1"/>
  <c r="CY234" i="5"/>
  <c r="BU235" i="5"/>
  <c r="CT168" i="5"/>
  <c r="CT169" i="5" s="1"/>
  <c r="CT234" i="5"/>
  <c r="CC101" i="5"/>
  <c r="BX133" i="5"/>
  <c r="BY133" i="5" s="1"/>
  <c r="BZ133" i="5" s="1"/>
  <c r="CA133" i="5" s="1"/>
  <c r="CB133" i="5" s="1"/>
  <c r="CC133" i="5" s="1"/>
  <c r="CD133" i="5" s="1"/>
  <c r="CE133" i="5" s="1"/>
  <c r="CF133" i="5" s="1"/>
  <c r="CG133" i="5" s="1"/>
  <c r="CH133" i="5" s="1"/>
  <c r="CI133" i="5" s="1"/>
  <c r="CJ133" i="5" s="1"/>
  <c r="CK133" i="5" s="1"/>
  <c r="CL133" i="5" s="1"/>
  <c r="CM133" i="5" s="1"/>
  <c r="CN133" i="5" s="1"/>
  <c r="CO133" i="5" s="1"/>
  <c r="CP133" i="5" s="1"/>
  <c r="CQ133" i="5" s="1"/>
  <c r="CR133" i="5" s="1"/>
  <c r="CS133" i="5" s="1"/>
  <c r="CT133" i="5" s="1"/>
  <c r="CU133" i="5" s="1"/>
  <c r="CV133" i="5" s="1"/>
  <c r="CW133" i="5" s="1"/>
  <c r="CX133" i="5" s="1"/>
  <c r="CY133" i="5" s="1"/>
  <c r="CZ133" i="5" s="1"/>
  <c r="DA133" i="5" s="1"/>
  <c r="DB133" i="5" s="1"/>
  <c r="BW454" i="5"/>
  <c r="DB41" i="5"/>
  <c r="CY435" i="5"/>
  <c r="N84" i="5"/>
  <c r="N143" i="5" s="1"/>
  <c r="O219" i="5"/>
  <c r="O220" i="5" s="1"/>
  <c r="V84" i="5"/>
  <c r="V221" i="5" s="1"/>
  <c r="W219" i="5"/>
  <c r="W220" i="5" s="1"/>
  <c r="AA219" i="5"/>
  <c r="AA220" i="5" s="1"/>
  <c r="Z84" i="5"/>
  <c r="Z221" i="5" s="1"/>
  <c r="AE219" i="5"/>
  <c r="AE220" i="5" s="1"/>
  <c r="M92" i="5"/>
  <c r="M107" i="5" s="1"/>
  <c r="M139" i="5" s="1"/>
  <c r="U92" i="5"/>
  <c r="U107" i="5" s="1"/>
  <c r="U139" i="5" s="1"/>
  <c r="U221" i="5"/>
  <c r="BO28" i="5"/>
  <c r="E92" i="5"/>
  <c r="E107" i="5" s="1"/>
  <c r="E139" i="5" s="1"/>
  <c r="G143" i="5"/>
  <c r="R84" i="5"/>
  <c r="R143" i="5" s="1"/>
  <c r="S219" i="5"/>
  <c r="S220" i="5" s="1"/>
  <c r="DB40" i="5"/>
  <c r="CA429" i="5"/>
  <c r="BZ430" i="5"/>
  <c r="CN234" i="5"/>
  <c r="CM26" i="5"/>
  <c r="CI168" i="5"/>
  <c r="CI169" i="5" s="1"/>
  <c r="I92" i="5"/>
  <c r="I107" i="5" s="1"/>
  <c r="I139" i="5" s="1"/>
  <c r="J84" i="5"/>
  <c r="J143" i="5" s="1"/>
  <c r="I450" i="5"/>
  <c r="I457" i="5" s="1"/>
  <c r="H458" i="5"/>
  <c r="M143" i="5"/>
  <c r="U143" i="5"/>
  <c r="Q92" i="5"/>
  <c r="Q107" i="5" s="1"/>
  <c r="Q139" i="5" s="1"/>
  <c r="H145" i="5"/>
  <c r="H144" i="5"/>
  <c r="I143" i="5"/>
  <c r="CA70" i="5"/>
  <c r="CB242" i="5"/>
  <c r="BT67" i="5"/>
  <c r="BT61" i="5"/>
  <c r="BT211" i="5"/>
  <c r="P450" i="5"/>
  <c r="P457" i="5" s="1"/>
  <c r="L457" i="5"/>
  <c r="BN452" i="5"/>
  <c r="BN64" i="5"/>
  <c r="BN231" i="5" l="1"/>
  <c r="BM238" i="5"/>
  <c r="CC112" i="5"/>
  <c r="CM169" i="5"/>
  <c r="CA201" i="5"/>
  <c r="CB193" i="5"/>
  <c r="CG69" i="5"/>
  <c r="BU59" i="5"/>
  <c r="BO488" i="5"/>
  <c r="CH60" i="5"/>
  <c r="CN60" i="5"/>
  <c r="CV75" i="5"/>
  <c r="CV163" i="5"/>
  <c r="CC233" i="5"/>
  <c r="CM60" i="5"/>
  <c r="CM168" i="5"/>
  <c r="CC193" i="5"/>
  <c r="CP224" i="5"/>
  <c r="CO225" i="5"/>
  <c r="CC437" i="5"/>
  <c r="Z143" i="5"/>
  <c r="Z144" i="5" s="1"/>
  <c r="CA443" i="5"/>
  <c r="CA441" i="5"/>
  <c r="CD436" i="5"/>
  <c r="CB440" i="5"/>
  <c r="N221" i="5"/>
  <c r="CJ439" i="5"/>
  <c r="CK438" i="5"/>
  <c r="CD101" i="5"/>
  <c r="BV235" i="5"/>
  <c r="CU168" i="5"/>
  <c r="CU169" i="5" s="1"/>
  <c r="CU234" i="5"/>
  <c r="CB117" i="5"/>
  <c r="CC111" i="5"/>
  <c r="CZ168" i="5"/>
  <c r="CZ169" i="5" s="1"/>
  <c r="CZ234" i="5"/>
  <c r="CQ168" i="5"/>
  <c r="CQ169" i="5" s="1"/>
  <c r="CQ234" i="5"/>
  <c r="CR234" i="5" s="1"/>
  <c r="R221" i="5"/>
  <c r="BX454" i="5"/>
  <c r="J221" i="5"/>
  <c r="N145" i="5"/>
  <c r="N144" i="5"/>
  <c r="Q450" i="5"/>
  <c r="P458" i="5"/>
  <c r="R145" i="5"/>
  <c r="R144" i="5"/>
  <c r="J145" i="5"/>
  <c r="J144" i="5"/>
  <c r="CS234" i="5"/>
  <c r="M450" i="5"/>
  <c r="M457" i="5" s="1"/>
  <c r="L458" i="5"/>
  <c r="BT453" i="5"/>
  <c r="CB70" i="5"/>
  <c r="CD242" i="5"/>
  <c r="CC69" i="5"/>
  <c r="I144" i="5"/>
  <c r="I145" i="5"/>
  <c r="M145" i="5"/>
  <c r="M144" i="5"/>
  <c r="J450" i="5"/>
  <c r="J457" i="5" s="1"/>
  <c r="J458" i="5" s="1"/>
  <c r="I458" i="5"/>
  <c r="L143" i="5"/>
  <c r="J92" i="5"/>
  <c r="J107" i="5" s="1"/>
  <c r="J139" i="5" s="1"/>
  <c r="CR26" i="5"/>
  <c r="CR168" i="5" s="1"/>
  <c r="CN168" i="5"/>
  <c r="CN169" i="5" s="1"/>
  <c r="CB429" i="5"/>
  <c r="CC429" i="5" s="1"/>
  <c r="CA430" i="5"/>
  <c r="R92" i="5"/>
  <c r="R107" i="5" s="1"/>
  <c r="R139" i="5" s="1"/>
  <c r="G145" i="5"/>
  <c r="G144" i="5"/>
  <c r="BO36" i="5"/>
  <c r="Z92" i="5"/>
  <c r="Z107" i="5" s="1"/>
  <c r="Z139" i="5" s="1"/>
  <c r="V92" i="5"/>
  <c r="V107" i="5" s="1"/>
  <c r="V139" i="5" s="1"/>
  <c r="O84" i="5"/>
  <c r="O221" i="5" s="1"/>
  <c r="U144" i="5"/>
  <c r="U145" i="5"/>
  <c r="S84" i="5"/>
  <c r="S143" i="5" s="1"/>
  <c r="T219" i="5"/>
  <c r="T220" i="5" s="1"/>
  <c r="AJ219" i="5"/>
  <c r="AJ220" i="5" s="1"/>
  <c r="AF219" i="5"/>
  <c r="AF220" i="5" s="1"/>
  <c r="AE84" i="5"/>
  <c r="AB219" i="5"/>
  <c r="AB220" i="5" s="1"/>
  <c r="AA84" i="5"/>
  <c r="AA221" i="5" s="1"/>
  <c r="W84" i="5"/>
  <c r="W143" i="5" s="1"/>
  <c r="X219" i="5"/>
  <c r="X220" i="5" s="1"/>
  <c r="N92" i="5"/>
  <c r="N107" i="5" s="1"/>
  <c r="N139" i="5" s="1"/>
  <c r="BM239" i="5" l="1"/>
  <c r="BN238" i="5"/>
  <c r="CD112" i="5"/>
  <c r="BU61" i="5"/>
  <c r="CI69" i="5"/>
  <c r="CC201" i="5"/>
  <c r="CB201" i="5"/>
  <c r="BU211" i="5"/>
  <c r="BU67" i="5"/>
  <c r="BU246" i="5"/>
  <c r="CD233" i="5"/>
  <c r="CB24" i="5"/>
  <c r="CO60" i="5"/>
  <c r="DA163" i="5"/>
  <c r="DA75" i="5"/>
  <c r="CQ224" i="5"/>
  <c r="CP225" i="5"/>
  <c r="O143" i="5"/>
  <c r="O144" i="5" s="1"/>
  <c r="CE436" i="5"/>
  <c r="Z145" i="5"/>
  <c r="CL438" i="5"/>
  <c r="CN438" i="5" s="1"/>
  <c r="CB441" i="5"/>
  <c r="CB443" i="5"/>
  <c r="CC70" i="5"/>
  <c r="CC242" i="5"/>
  <c r="CE101" i="5"/>
  <c r="DA168" i="5"/>
  <c r="DA169" i="5" s="1"/>
  <c r="DA234" i="5"/>
  <c r="CV168" i="5"/>
  <c r="CV169" i="5" s="1"/>
  <c r="CV234" i="5"/>
  <c r="CW234" i="5" s="1"/>
  <c r="BW235" i="5"/>
  <c r="W221" i="5"/>
  <c r="S221" i="5"/>
  <c r="BX169" i="5"/>
  <c r="CC117" i="5"/>
  <c r="CD111" i="5"/>
  <c r="BY454" i="5"/>
  <c r="S145" i="5"/>
  <c r="S144" i="5"/>
  <c r="W145" i="5"/>
  <c r="W144" i="5"/>
  <c r="Y219" i="5"/>
  <c r="Y220" i="5" s="1"/>
  <c r="X84" i="5"/>
  <c r="X221" i="5" s="1"/>
  <c r="AB84" i="5"/>
  <c r="AB221" i="5" s="1"/>
  <c r="AC219" i="5"/>
  <c r="AC213" i="5" s="1"/>
  <c r="AF84" i="5"/>
  <c r="AF221" i="5" s="1"/>
  <c r="AG219" i="5"/>
  <c r="AG220" i="5" s="1"/>
  <c r="AO219" i="5"/>
  <c r="AO220" i="5" s="1"/>
  <c r="AK219" i="5"/>
  <c r="AK220" i="5" s="1"/>
  <c r="T84" i="5"/>
  <c r="T221" i="5" s="1"/>
  <c r="L145" i="5"/>
  <c r="L144" i="5"/>
  <c r="CW26" i="5"/>
  <c r="CW168" i="5" s="1"/>
  <c r="CS168" i="5"/>
  <c r="CS169" i="5" s="1"/>
  <c r="Q457" i="5"/>
  <c r="U450" i="5"/>
  <c r="U457" i="5" s="1"/>
  <c r="W92" i="5"/>
  <c r="W107" i="5" s="1"/>
  <c r="W139" i="5" s="1"/>
  <c r="AA92" i="5"/>
  <c r="AA107" i="5" s="1"/>
  <c r="AA139" i="5" s="1"/>
  <c r="AE92" i="5"/>
  <c r="AE107" i="5" s="1"/>
  <c r="AE139" i="5" s="1"/>
  <c r="AE221" i="5"/>
  <c r="S92" i="5"/>
  <c r="S107" i="5" s="1"/>
  <c r="S139" i="5" s="1"/>
  <c r="Q143" i="5"/>
  <c r="O92" i="5"/>
  <c r="O107" i="5" s="1"/>
  <c r="O139" i="5" s="1"/>
  <c r="AE143" i="5"/>
  <c r="BO490" i="5"/>
  <c r="CD429" i="5"/>
  <c r="CB430" i="5"/>
  <c r="CD70" i="5"/>
  <c r="CE242" i="5"/>
  <c r="N450" i="5"/>
  <c r="N457" i="5" s="1"/>
  <c r="M458" i="5"/>
  <c r="CX234" i="5"/>
  <c r="BV59" i="5" l="1"/>
  <c r="BV61" i="5" s="1"/>
  <c r="BN239" i="5"/>
  <c r="CE112" i="5"/>
  <c r="BV211" i="5"/>
  <c r="CW169" i="5"/>
  <c r="BU453" i="5"/>
  <c r="BX235" i="5"/>
  <c r="CE233" i="5"/>
  <c r="CE193" i="5" s="1"/>
  <c r="CJ69" i="5"/>
  <c r="DB297" i="5"/>
  <c r="BJ153" i="5"/>
  <c r="BJ156" i="5" s="1"/>
  <c r="BK153" i="5"/>
  <c r="BK156" i="5" s="1"/>
  <c r="BO153" i="5"/>
  <c r="BO157" i="5" s="1"/>
  <c r="CE298" i="5"/>
  <c r="CE304" i="5" s="1"/>
  <c r="CE296" i="5"/>
  <c r="DA296" i="5"/>
  <c r="DA298" i="5"/>
  <c r="DA304" i="5" s="1"/>
  <c r="BO303" i="5"/>
  <c r="BS302" i="5"/>
  <c r="CL301" i="5"/>
  <c r="CF303" i="5"/>
  <c r="CY296" i="5"/>
  <c r="CY298" i="5"/>
  <c r="CY304" i="5" s="1"/>
  <c r="BL298" i="5"/>
  <c r="BN295" i="5"/>
  <c r="BL296" i="5"/>
  <c r="BL11" i="5"/>
  <c r="AY153" i="5"/>
  <c r="BV301" i="5"/>
  <c r="AW153" i="5"/>
  <c r="CH302" i="5"/>
  <c r="CD303" i="5"/>
  <c r="BL153" i="5"/>
  <c r="BL157" i="5" s="1"/>
  <c r="BQ303" i="5"/>
  <c r="CQ298" i="5"/>
  <c r="CQ304" i="5" s="1"/>
  <c r="CQ307" i="5" s="1"/>
  <c r="CQ296" i="5"/>
  <c r="AP153" i="5"/>
  <c r="AP156" i="5" s="1"/>
  <c r="AM153" i="5"/>
  <c r="AM156" i="5" s="1"/>
  <c r="CO296" i="5"/>
  <c r="CO298" i="5"/>
  <c r="CO304" i="5" s="1"/>
  <c r="CM308" i="5"/>
  <c r="CH300" i="5"/>
  <c r="CD301" i="5"/>
  <c r="BV296" i="5"/>
  <c r="BV298" i="5"/>
  <c r="BV304" i="5" s="1"/>
  <c r="AF153" i="5"/>
  <c r="AF156" i="5" s="1"/>
  <c r="AH153" i="5"/>
  <c r="AH156" i="5" s="1"/>
  <c r="DA303" i="5"/>
  <c r="DB308" i="5"/>
  <c r="BW301" i="5"/>
  <c r="BG303" i="5"/>
  <c r="AL153" i="5"/>
  <c r="AL156" i="5" s="1"/>
  <c r="CZ303" i="5"/>
  <c r="BI300" i="5"/>
  <c r="BI301" i="5" s="1"/>
  <c r="BF301" i="5"/>
  <c r="BK301" i="5"/>
  <c r="CE303" i="5"/>
  <c r="CY303" i="5"/>
  <c r="CC300" i="5"/>
  <c r="CH301" i="5" s="1"/>
  <c r="BY301" i="5"/>
  <c r="BZ303" i="5"/>
  <c r="BN308" i="5"/>
  <c r="CG301" i="5"/>
  <c r="BB153" i="5"/>
  <c r="CZ301" i="5"/>
  <c r="CY301" i="5"/>
  <c r="AZ153" i="5"/>
  <c r="BM298" i="5"/>
  <c r="BM304" i="5" s="1"/>
  <c r="BM11" i="5"/>
  <c r="BM296" i="5"/>
  <c r="CF296" i="5"/>
  <c r="CF298" i="5"/>
  <c r="CF304" i="5" s="1"/>
  <c r="BW296" i="5"/>
  <c r="BW298" i="5"/>
  <c r="CU298" i="5"/>
  <c r="CU304" i="5" s="1"/>
  <c r="CU296" i="5"/>
  <c r="BU301" i="5"/>
  <c r="AS153" i="5"/>
  <c r="AS156" i="5" s="1"/>
  <c r="CT298" i="5"/>
  <c r="CT296" i="5"/>
  <c r="CA303" i="5"/>
  <c r="BI153" i="5"/>
  <c r="BI157" i="5" s="1"/>
  <c r="CQ301" i="5"/>
  <c r="AQ153" i="5"/>
  <c r="AQ156" i="5" s="1"/>
  <c r="CJ303" i="5"/>
  <c r="BY296" i="5"/>
  <c r="BY298" i="5"/>
  <c r="BY304" i="5" s="1"/>
  <c r="CC295" i="5"/>
  <c r="BP11" i="5"/>
  <c r="BP298" i="5"/>
  <c r="BP299" i="5" s="1"/>
  <c r="BP296" i="5"/>
  <c r="CT301" i="5"/>
  <c r="CL298" i="5"/>
  <c r="CL304" i="5" s="1"/>
  <c r="CL307" i="5" s="1"/>
  <c r="CL296" i="5"/>
  <c r="CB301" i="5"/>
  <c r="CR300" i="5"/>
  <c r="CN301" i="5"/>
  <c r="BR303" i="5"/>
  <c r="BT303" i="5"/>
  <c r="BX302" i="5"/>
  <c r="CT303" i="5"/>
  <c r="CH308" i="5"/>
  <c r="AR153" i="5"/>
  <c r="AR156" i="5" s="1"/>
  <c r="CW302" i="5"/>
  <c r="CS303" i="5"/>
  <c r="BX300" i="5"/>
  <c r="BT301" i="5"/>
  <c r="CX301" i="5"/>
  <c r="DB300" i="5"/>
  <c r="CC302" i="5"/>
  <c r="BY303" i="5"/>
  <c r="CP303" i="5"/>
  <c r="CW300" i="5"/>
  <c r="CS301" i="5"/>
  <c r="BM303" i="5"/>
  <c r="BF153" i="5"/>
  <c r="BF157" i="5" s="1"/>
  <c r="BA153" i="5"/>
  <c r="BD153" i="5"/>
  <c r="AJ153" i="5"/>
  <c r="AJ156" i="5" s="1"/>
  <c r="AK153" i="5"/>
  <c r="AK156" i="5" s="1"/>
  <c r="CJ301" i="5"/>
  <c r="CV303" i="5"/>
  <c r="BE153" i="5"/>
  <c r="BE156" i="5" s="1"/>
  <c r="BR301" i="5"/>
  <c r="CM300" i="5"/>
  <c r="CM301" i="5" s="1"/>
  <c r="CI301" i="5"/>
  <c r="CU301" i="5"/>
  <c r="CC308" i="5"/>
  <c r="CI303" i="5"/>
  <c r="CM302" i="5"/>
  <c r="CA298" i="5"/>
  <c r="CA304" i="5" s="1"/>
  <c r="CA307" i="5" s="1"/>
  <c r="CA296" i="5"/>
  <c r="AU153" i="5"/>
  <c r="CM297" i="5"/>
  <c r="AT153" i="5"/>
  <c r="AT156" i="5" s="1"/>
  <c r="CQ303" i="5"/>
  <c r="CN296" i="5"/>
  <c r="CN298" i="5"/>
  <c r="CN304" i="5" s="1"/>
  <c r="CR295" i="5"/>
  <c r="BM301" i="5"/>
  <c r="CX296" i="5"/>
  <c r="DB295" i="5"/>
  <c r="CX298" i="5"/>
  <c r="CX304" i="5" s="1"/>
  <c r="BG153" i="5"/>
  <c r="BG157" i="5" s="1"/>
  <c r="BZ301" i="5"/>
  <c r="CW297" i="5"/>
  <c r="CG303" i="5"/>
  <c r="CK303" i="5"/>
  <c r="BR298" i="5"/>
  <c r="BR304" i="5" s="1"/>
  <c r="BR307" i="5" s="1"/>
  <c r="BR296" i="5"/>
  <c r="AN153" i="5"/>
  <c r="AN156" i="5" s="1"/>
  <c r="BN300" i="5"/>
  <c r="BL301" i="5"/>
  <c r="BL12" i="5" s="1"/>
  <c r="BN12" i="5" s="1"/>
  <c r="BG11" i="5"/>
  <c r="BG14" i="5" s="1"/>
  <c r="BG296" i="5"/>
  <c r="BG298" i="5"/>
  <c r="DB302" i="5"/>
  <c r="CX303" i="5"/>
  <c r="CV298" i="5"/>
  <c r="CV304" i="5" s="1"/>
  <c r="CV296" i="5"/>
  <c r="CG296" i="5"/>
  <c r="CG298" i="5"/>
  <c r="CG304" i="5" s="1"/>
  <c r="CG307" i="5" s="1"/>
  <c r="CO303" i="5"/>
  <c r="CK296" i="5"/>
  <c r="CK298" i="5"/>
  <c r="CK304" i="5" s="1"/>
  <c r="BF11" i="5"/>
  <c r="BF14" i="5" s="1"/>
  <c r="BF296" i="5"/>
  <c r="BK296" i="5"/>
  <c r="BI295" i="5"/>
  <c r="BI296" i="5" s="1"/>
  <c r="BF298" i="5"/>
  <c r="BN297" i="5"/>
  <c r="CB296" i="5"/>
  <c r="CB298" i="5"/>
  <c r="CB304" i="5" s="1"/>
  <c r="CR302" i="5"/>
  <c r="CN303" i="5"/>
  <c r="CB303" i="5"/>
  <c r="BH153" i="5"/>
  <c r="BH157" i="5" s="1"/>
  <c r="CO301" i="5"/>
  <c r="BH296" i="5"/>
  <c r="BH11" i="5"/>
  <c r="BH298" i="5"/>
  <c r="BH299" i="5" s="1"/>
  <c r="CC297" i="5"/>
  <c r="CZ296" i="5"/>
  <c r="CZ298" i="5"/>
  <c r="BU296" i="5"/>
  <c r="BU298" i="5"/>
  <c r="AI153" i="5"/>
  <c r="AI156" i="5" s="1"/>
  <c r="BZ298" i="5"/>
  <c r="BZ304" i="5" s="1"/>
  <c r="BZ307" i="5" s="1"/>
  <c r="BZ296" i="5"/>
  <c r="CF301" i="5"/>
  <c r="BF303" i="5"/>
  <c r="BK303" i="5"/>
  <c r="BI302" i="5"/>
  <c r="BI303" i="5" s="1"/>
  <c r="CL303" i="5"/>
  <c r="BQ301" i="5"/>
  <c r="BP303" i="5"/>
  <c r="CK301" i="5"/>
  <c r="AX153" i="5"/>
  <c r="BS308" i="5"/>
  <c r="BS300" i="5"/>
  <c r="BO301" i="5"/>
  <c r="AG153" i="5"/>
  <c r="AG156" i="5" s="1"/>
  <c r="CR308" i="5"/>
  <c r="BI297" i="5"/>
  <c r="CW308" i="5"/>
  <c r="CS296" i="5"/>
  <c r="CW295" i="5"/>
  <c r="CS298" i="5"/>
  <c r="BN302" i="5"/>
  <c r="BN303" i="5" s="1"/>
  <c r="BL303" i="5"/>
  <c r="BX308" i="5"/>
  <c r="BP301" i="5"/>
  <c r="CJ298" i="5"/>
  <c r="CJ304" i="5" s="1"/>
  <c r="CJ307" i="5" s="1"/>
  <c r="CJ296" i="5"/>
  <c r="BC153" i="5"/>
  <c r="BH301" i="5"/>
  <c r="AO153" i="5"/>
  <c r="AO156" i="5" s="1"/>
  <c r="BS297" i="5"/>
  <c r="BU303" i="5"/>
  <c r="CD298" i="5"/>
  <c r="CD304" i="5" s="1"/>
  <c r="CD296" i="5"/>
  <c r="CH295" i="5"/>
  <c r="CH297" i="5"/>
  <c r="CP298" i="5"/>
  <c r="CP304" i="5" s="1"/>
  <c r="CP296" i="5"/>
  <c r="DA301" i="5"/>
  <c r="CU303" i="5"/>
  <c r="BT298" i="5"/>
  <c r="BT299" i="5" s="1"/>
  <c r="BT296" i="5"/>
  <c r="BX295" i="5"/>
  <c r="CA301" i="5"/>
  <c r="BW303" i="5"/>
  <c r="CV301" i="5"/>
  <c r="BQ296" i="5"/>
  <c r="BQ298" i="5"/>
  <c r="BQ304" i="5" s="1"/>
  <c r="BG301" i="5"/>
  <c r="BV303" i="5"/>
  <c r="BO296" i="5"/>
  <c r="BS295" i="5"/>
  <c r="BO298" i="5"/>
  <c r="BO299" i="5" s="1"/>
  <c r="BO11" i="5"/>
  <c r="CP301" i="5"/>
  <c r="CI298" i="5"/>
  <c r="CM295" i="5"/>
  <c r="CI296" i="5"/>
  <c r="CE301" i="5"/>
  <c r="BX297" i="5"/>
  <c r="CR297" i="5"/>
  <c r="AV153" i="5"/>
  <c r="BH303" i="5"/>
  <c r="BJ157" i="5"/>
  <c r="CF307" i="5"/>
  <c r="BN11" i="5"/>
  <c r="CS304" i="5"/>
  <c r="BU304" i="5"/>
  <c r="BF304" i="5"/>
  <c r="BF299" i="5"/>
  <c r="BK299" i="5"/>
  <c r="BO304" i="5"/>
  <c r="CE24" i="5"/>
  <c r="CD193" i="5"/>
  <c r="CC243" i="5"/>
  <c r="BV15" i="5"/>
  <c r="CP60" i="5"/>
  <c r="T143" i="5"/>
  <c r="T145" i="5" s="1"/>
  <c r="AB143" i="5"/>
  <c r="AB145" i="5" s="1"/>
  <c r="DB234" i="5"/>
  <c r="O145" i="5"/>
  <c r="CS224" i="5"/>
  <c r="CQ225" i="5"/>
  <c r="CO438" i="5"/>
  <c r="CE437" i="5"/>
  <c r="CF436" i="5"/>
  <c r="CE440" i="5"/>
  <c r="CM438" i="5"/>
  <c r="CM439" i="5" s="1"/>
  <c r="X143" i="5"/>
  <c r="X145" i="5" s="1"/>
  <c r="BY235" i="5"/>
  <c r="CE111" i="5"/>
  <c r="CD117" i="5"/>
  <c r="CF101" i="5"/>
  <c r="BZ454" i="5"/>
  <c r="DB26" i="5"/>
  <c r="DB168" i="5" s="1"/>
  <c r="CX168" i="5"/>
  <c r="CX169" i="5" s="1"/>
  <c r="DB169" i="5" s="1"/>
  <c r="N458" i="5"/>
  <c r="O450" i="5"/>
  <c r="O457" i="5" s="1"/>
  <c r="O458" i="5" s="1"/>
  <c r="CE70" i="5"/>
  <c r="CF242" i="5"/>
  <c r="Q144" i="5"/>
  <c r="Q145" i="5"/>
  <c r="U458" i="5"/>
  <c r="V450" i="5"/>
  <c r="R450" i="5"/>
  <c r="R457" i="5" s="1"/>
  <c r="Q458" i="5"/>
  <c r="V143" i="5"/>
  <c r="T92" i="5"/>
  <c r="T107" i="5" s="1"/>
  <c r="T139" i="5" s="1"/>
  <c r="AK84" i="5"/>
  <c r="AK92" i="5" s="1"/>
  <c r="AK107" i="5" s="1"/>
  <c r="AK139" i="5" s="1"/>
  <c r="AL219" i="5"/>
  <c r="AL220" i="5" s="1"/>
  <c r="AF92" i="5"/>
  <c r="AF107" i="5" s="1"/>
  <c r="AF139" i="5" s="1"/>
  <c r="AC214" i="5"/>
  <c r="AC218" i="5" s="1"/>
  <c r="AC220" i="5" s="1"/>
  <c r="AD213" i="5"/>
  <c r="AD214" i="5" s="1"/>
  <c r="AD218" i="5" s="1"/>
  <c r="X92" i="5"/>
  <c r="X107" i="5" s="1"/>
  <c r="X139" i="5" s="1"/>
  <c r="Y84" i="5"/>
  <c r="Y221" i="5" s="1"/>
  <c r="CE429" i="5"/>
  <c r="AE145" i="5"/>
  <c r="AE144" i="5"/>
  <c r="CA24" i="5"/>
  <c r="CC21" i="5"/>
  <c r="AT219" i="5"/>
  <c r="AT220" i="5" s="1"/>
  <c r="AP219" i="5"/>
  <c r="AP220" i="5" s="1"/>
  <c r="AH219" i="5"/>
  <c r="AH220" i="5" s="1"/>
  <c r="AG84" i="5"/>
  <c r="AG221" i="5" s="1"/>
  <c r="AB92" i="5"/>
  <c r="AB107" i="5" s="1"/>
  <c r="AB139" i="5" s="1"/>
  <c r="BS128" i="5"/>
  <c r="BV67" i="5" l="1"/>
  <c r="BV453" i="5"/>
  <c r="CI299" i="5"/>
  <c r="BZ299" i="5"/>
  <c r="BS296" i="5"/>
  <c r="BT304" i="5"/>
  <c r="BT305" i="5" s="1"/>
  <c r="AQ157" i="5"/>
  <c r="CR303" i="5"/>
  <c r="CC303" i="5"/>
  <c r="BV246" i="5"/>
  <c r="BN301" i="5"/>
  <c r="AF157" i="5"/>
  <c r="CL305" i="5"/>
  <c r="BS303" i="5"/>
  <c r="AO157" i="5"/>
  <c r="CM303" i="5"/>
  <c r="BX303" i="5"/>
  <c r="BH304" i="5"/>
  <c r="BH446" i="5" s="1"/>
  <c r="BM299" i="5"/>
  <c r="CQ299" i="5"/>
  <c r="CZ299" i="5"/>
  <c r="CL299" i="5"/>
  <c r="CW296" i="5"/>
  <c r="CB299" i="5"/>
  <c r="CC301" i="5"/>
  <c r="CG299" i="5"/>
  <c r="BI14" i="5"/>
  <c r="CP299" i="5"/>
  <c r="BR299" i="5"/>
  <c r="CI304" i="5"/>
  <c r="CI307" i="5" s="1"/>
  <c r="DB296" i="5"/>
  <c r="CR296" i="5"/>
  <c r="CF112" i="5"/>
  <c r="CW303" i="5"/>
  <c r="CW301" i="5"/>
  <c r="BX298" i="5"/>
  <c r="BX299" i="5" s="1"/>
  <c r="BW59" i="5"/>
  <c r="CH296" i="5"/>
  <c r="CE299" i="5"/>
  <c r="AK157" i="5"/>
  <c r="CW298" i="5"/>
  <c r="CW304" i="5" s="1"/>
  <c r="BS301" i="5"/>
  <c r="CY299" i="5"/>
  <c r="CD201" i="5"/>
  <c r="CK299" i="5"/>
  <c r="CA299" i="5"/>
  <c r="CH298" i="5"/>
  <c r="CH304" i="5" s="1"/>
  <c r="AM157" i="5"/>
  <c r="AJ157" i="5"/>
  <c r="BI11" i="5"/>
  <c r="AT157" i="5"/>
  <c r="BV299" i="5"/>
  <c r="DB303" i="5"/>
  <c r="CF299" i="5"/>
  <c r="CE201" i="5"/>
  <c r="BY299" i="5"/>
  <c r="AR157" i="5"/>
  <c r="BI298" i="5"/>
  <c r="BI299" i="5" s="1"/>
  <c r="AN157" i="5"/>
  <c r="BT128" i="5"/>
  <c r="CD299" i="5"/>
  <c r="CM296" i="5"/>
  <c r="AP157" i="5"/>
  <c r="BN296" i="5"/>
  <c r="CK69" i="5"/>
  <c r="BW299" i="5"/>
  <c r="BL299" i="5"/>
  <c r="CF233" i="5"/>
  <c r="BX59" i="5"/>
  <c r="CU299" i="5"/>
  <c r="CR298" i="5"/>
  <c r="CR304" i="5" s="1"/>
  <c r="CR307" i="5" s="1"/>
  <c r="DB298" i="5"/>
  <c r="DB304" i="5" s="1"/>
  <c r="BL304" i="5"/>
  <c r="BL446" i="5" s="1"/>
  <c r="DA299" i="5"/>
  <c r="BG304" i="5"/>
  <c r="BG305" i="5" s="1"/>
  <c r="CZ304" i="5"/>
  <c r="CZ305" i="5" s="1"/>
  <c r="BQ299" i="5"/>
  <c r="BE157" i="5"/>
  <c r="BP304" i="5"/>
  <c r="BP305" i="5" s="1"/>
  <c r="CO299" i="5"/>
  <c r="BG299" i="5"/>
  <c r="AH157" i="5"/>
  <c r="CV299" i="5"/>
  <c r="BK157" i="5"/>
  <c r="AS157" i="5"/>
  <c r="CX299" i="5"/>
  <c r="CN299" i="5"/>
  <c r="BU299" i="5"/>
  <c r="BS298" i="5"/>
  <c r="BW304" i="5"/>
  <c r="BW305" i="5" s="1"/>
  <c r="CC298" i="5"/>
  <c r="CC304" i="5" s="1"/>
  <c r="AI157" i="5"/>
  <c r="AL157" i="5"/>
  <c r="BX296" i="5"/>
  <c r="AG157" i="5"/>
  <c r="CS299" i="5"/>
  <c r="BX301" i="5"/>
  <c r="CR301" i="5"/>
  <c r="CC296" i="5"/>
  <c r="CT304" i="5"/>
  <c r="CT307" i="5" s="1"/>
  <c r="CT299" i="5"/>
  <c r="CF305" i="5"/>
  <c r="CH303" i="5"/>
  <c r="CM298" i="5"/>
  <c r="CM299" i="5" s="1"/>
  <c r="DB301" i="5"/>
  <c r="BN298" i="5"/>
  <c r="BN304" i="5" s="1"/>
  <c r="BN446" i="5" s="1"/>
  <c r="CJ299" i="5"/>
  <c r="CQ305" i="5"/>
  <c r="BY307" i="5"/>
  <c r="CN307" i="5"/>
  <c r="CX307" i="5"/>
  <c r="CX305" i="5"/>
  <c r="BL156" i="5"/>
  <c r="BO31" i="5"/>
  <c r="BO305" i="5"/>
  <c r="BO446" i="5"/>
  <c r="BO156" i="5"/>
  <c r="BO307" i="5"/>
  <c r="BH31" i="5"/>
  <c r="CK307" i="5"/>
  <c r="CK305" i="5"/>
  <c r="BT307" i="5"/>
  <c r="CO305" i="5"/>
  <c r="CO307" i="5"/>
  <c r="BV307" i="5"/>
  <c r="BV305" i="5"/>
  <c r="BI304" i="5"/>
  <c r="CE305" i="5"/>
  <c r="CJ305" i="5"/>
  <c r="CE307" i="5"/>
  <c r="CV307" i="5"/>
  <c r="CV305" i="5"/>
  <c r="BU307" i="5"/>
  <c r="BZ305" i="5"/>
  <c r="BR305" i="5"/>
  <c r="BM31" i="5"/>
  <c r="BM446" i="5"/>
  <c r="BM307" i="5"/>
  <c r="BM305" i="5"/>
  <c r="CA305" i="5"/>
  <c r="CP305" i="5"/>
  <c r="CP307" i="5"/>
  <c r="CU305" i="5"/>
  <c r="CU307" i="5"/>
  <c r="DA307" i="5"/>
  <c r="DA305" i="5"/>
  <c r="BF305" i="5"/>
  <c r="BF31" i="5"/>
  <c r="BK305" i="5"/>
  <c r="BF446" i="5"/>
  <c r="BF307" i="5"/>
  <c r="BF156" i="5"/>
  <c r="CD307" i="5"/>
  <c r="CD305" i="5"/>
  <c r="CB307" i="5"/>
  <c r="CG305" i="5"/>
  <c r="CY307" i="5"/>
  <c r="BQ307" i="5"/>
  <c r="BQ305" i="5"/>
  <c r="CS307" i="5"/>
  <c r="CS305" i="5"/>
  <c r="CQ60" i="5"/>
  <c r="CR60" i="5" s="1"/>
  <c r="BW67" i="5"/>
  <c r="T144" i="5"/>
  <c r="AB144" i="5"/>
  <c r="BW246" i="5"/>
  <c r="X144" i="5"/>
  <c r="CT224" i="5"/>
  <c r="CS225" i="5"/>
  <c r="CE441" i="5"/>
  <c r="CE443" i="5"/>
  <c r="CG436" i="5"/>
  <c r="CH436" i="5" s="1"/>
  <c r="CF440" i="5"/>
  <c r="AK221" i="5"/>
  <c r="CP438" i="5"/>
  <c r="CO439" i="5"/>
  <c r="CE117" i="5"/>
  <c r="CF111" i="5"/>
  <c r="BZ235" i="5"/>
  <c r="CG101" i="5"/>
  <c r="CA454" i="5"/>
  <c r="Y143" i="5"/>
  <c r="Y144" i="5" s="1"/>
  <c r="CF24" i="5"/>
  <c r="AP84" i="5"/>
  <c r="AP92" i="5" s="1"/>
  <c r="AP107" i="5" s="1"/>
  <c r="AP139" i="5" s="1"/>
  <c r="AQ219" i="5"/>
  <c r="AQ213" i="5" s="1"/>
  <c r="AQ214" i="5" s="1"/>
  <c r="AQ218" i="5" s="1"/>
  <c r="AQ220" i="5" s="1"/>
  <c r="AG92" i="5"/>
  <c r="AG107" i="5" s="1"/>
  <c r="AG139" i="5" s="1"/>
  <c r="AI219" i="5"/>
  <c r="AI220" i="5" s="1"/>
  <c r="AH84" i="5"/>
  <c r="AH143" i="5" s="1"/>
  <c r="AG143" i="5"/>
  <c r="S450" i="5"/>
  <c r="S457" i="5" s="1"/>
  <c r="R458" i="5"/>
  <c r="V457" i="5"/>
  <c r="Z450" i="5"/>
  <c r="Z457" i="5" s="1"/>
  <c r="BV18" i="5"/>
  <c r="BV28" i="5" s="1"/>
  <c r="CG242" i="5"/>
  <c r="CF70" i="5"/>
  <c r="AU219" i="5"/>
  <c r="AU220" i="5" s="1"/>
  <c r="AY219" i="5"/>
  <c r="AY220" i="5" s="1"/>
  <c r="CF429" i="5"/>
  <c r="CE430" i="5"/>
  <c r="AA143" i="5"/>
  <c r="Y92" i="5"/>
  <c r="Y107" i="5" s="1"/>
  <c r="Y139" i="5" s="1"/>
  <c r="AC84" i="5"/>
  <c r="AC221" i="5" s="1"/>
  <c r="AD219" i="5"/>
  <c r="AD220" i="5" s="1"/>
  <c r="AL84" i="5"/>
  <c r="AM219" i="5"/>
  <c r="AM220" i="5" s="1"/>
  <c r="V144" i="5"/>
  <c r="V145" i="5"/>
  <c r="BW61" i="5" l="1"/>
  <c r="BW211" i="5"/>
  <c r="BG446" i="5"/>
  <c r="BY305" i="5"/>
  <c r="CI305" i="5"/>
  <c r="BH156" i="5"/>
  <c r="BS299" i="5"/>
  <c r="CH299" i="5"/>
  <c r="BH307" i="5"/>
  <c r="BH305" i="5"/>
  <c r="CC299" i="5"/>
  <c r="BL31" i="5"/>
  <c r="BN299" i="5"/>
  <c r="BW307" i="5"/>
  <c r="BX304" i="5"/>
  <c r="BX307" i="5" s="1"/>
  <c r="CB305" i="5"/>
  <c r="CN305" i="5"/>
  <c r="BS304" i="5"/>
  <c r="BS305" i="5" s="1"/>
  <c r="BL307" i="5"/>
  <c r="BN307" i="5"/>
  <c r="CG112" i="5"/>
  <c r="CW299" i="5"/>
  <c r="CL69" i="5"/>
  <c r="BP307" i="5"/>
  <c r="BU128" i="5"/>
  <c r="CY305" i="5"/>
  <c r="BU305" i="5"/>
  <c r="BP31" i="5"/>
  <c r="DB299" i="5"/>
  <c r="CT305" i="5"/>
  <c r="CG233" i="5"/>
  <c r="CF193" i="5"/>
  <c r="BW453" i="5"/>
  <c r="BY59" i="5"/>
  <c r="BX246" i="5"/>
  <c r="BX67" i="5"/>
  <c r="CZ307" i="5"/>
  <c r="BG156" i="5"/>
  <c r="BL305" i="5"/>
  <c r="BG307" i="5"/>
  <c r="BG31" i="5"/>
  <c r="BI31" i="5" s="1"/>
  <c r="CR299" i="5"/>
  <c r="CM304" i="5"/>
  <c r="DB307" i="5"/>
  <c r="DB305" i="5"/>
  <c r="BN31" i="5"/>
  <c r="CC305" i="5"/>
  <c r="CC307" i="5"/>
  <c r="CH307" i="5"/>
  <c r="CH305" i="5"/>
  <c r="BN305" i="5"/>
  <c r="BI446" i="5"/>
  <c r="BI305" i="5"/>
  <c r="BI307" i="5"/>
  <c r="BI156" i="5"/>
  <c r="CW307" i="5"/>
  <c r="CW305" i="5"/>
  <c r="BX211" i="5"/>
  <c r="CS60" i="5"/>
  <c r="BX61" i="5"/>
  <c r="CG24" i="5"/>
  <c r="CU224" i="5"/>
  <c r="CT225" i="5"/>
  <c r="Y145" i="5"/>
  <c r="CF443" i="5"/>
  <c r="CF441" i="5"/>
  <c r="CH437" i="5"/>
  <c r="AP221" i="5"/>
  <c r="CI436" i="5"/>
  <c r="CG440" i="5"/>
  <c r="CQ438" i="5"/>
  <c r="CS438" i="5" s="1"/>
  <c r="CA235" i="5"/>
  <c r="CH101" i="5"/>
  <c r="CF117" i="5"/>
  <c r="CG111" i="5"/>
  <c r="CB454" i="5"/>
  <c r="AH145" i="5"/>
  <c r="AH144" i="5"/>
  <c r="AH154" i="5"/>
  <c r="AH155" i="5" s="1"/>
  <c r="AD84" i="5"/>
  <c r="AD221" i="5" s="1"/>
  <c r="AM84" i="5"/>
  <c r="AM221" i="5" s="1"/>
  <c r="AN219" i="5"/>
  <c r="AN220" i="5" s="1"/>
  <c r="AL92" i="5"/>
  <c r="AL107" i="5" s="1"/>
  <c r="AL139" i="5" s="1"/>
  <c r="BV36" i="5"/>
  <c r="BV488" i="5"/>
  <c r="BV446" i="5"/>
  <c r="AL221" i="5"/>
  <c r="AC92" i="5"/>
  <c r="AC107" i="5" s="1"/>
  <c r="AC139" i="5" s="1"/>
  <c r="AC143" i="5"/>
  <c r="AA145" i="5"/>
  <c r="AA144" i="5"/>
  <c r="CG429" i="5"/>
  <c r="CH429" i="5" s="1"/>
  <c r="CF430" i="5"/>
  <c r="AV219" i="5"/>
  <c r="AV220" i="5" s="1"/>
  <c r="AU84" i="5"/>
  <c r="AU221" i="5" s="1"/>
  <c r="CI242" i="5"/>
  <c r="CG70" i="5"/>
  <c r="CH69" i="5"/>
  <c r="AA450" i="5"/>
  <c r="Z458" i="5"/>
  <c r="AG144" i="5"/>
  <c r="AG145" i="5"/>
  <c r="AG154" i="5"/>
  <c r="AG155" i="5" s="1"/>
  <c r="AH221" i="5"/>
  <c r="AQ84" i="5"/>
  <c r="AQ221" i="5" s="1"/>
  <c r="AR219" i="5"/>
  <c r="AR220" i="5" s="1"/>
  <c r="AZ219" i="5"/>
  <c r="AZ220" i="5" s="1"/>
  <c r="BD219" i="5"/>
  <c r="W450" i="5"/>
  <c r="W457" i="5" s="1"/>
  <c r="V458" i="5"/>
  <c r="S458" i="5"/>
  <c r="T450" i="5"/>
  <c r="T457" i="5" s="1"/>
  <c r="T458" i="5" s="1"/>
  <c r="AH92" i="5"/>
  <c r="AH107" i="5" s="1"/>
  <c r="AH139" i="5" s="1"/>
  <c r="AI84" i="5"/>
  <c r="AI143" i="5" s="1"/>
  <c r="BX305" i="5" l="1"/>
  <c r="BS307" i="5"/>
  <c r="CH112" i="5"/>
  <c r="BY246" i="5"/>
  <c r="BV128" i="5"/>
  <c r="CF201" i="5"/>
  <c r="CG193" i="5"/>
  <c r="CH233" i="5"/>
  <c r="BY211" i="5"/>
  <c r="BY61" i="5"/>
  <c r="BY67" i="5"/>
  <c r="CR305" i="5"/>
  <c r="CM307" i="5"/>
  <c r="CM305" i="5"/>
  <c r="BD220" i="5"/>
  <c r="BX453" i="5"/>
  <c r="CT60" i="5"/>
  <c r="CH21" i="5"/>
  <c r="CV224" i="5"/>
  <c r="CU225" i="5"/>
  <c r="CR438" i="5"/>
  <c r="CR439" i="5" s="1"/>
  <c r="CJ436" i="5"/>
  <c r="CT438" i="5"/>
  <c r="AM143" i="5"/>
  <c r="AM145" i="5" s="1"/>
  <c r="CG443" i="5"/>
  <c r="CG441" i="5"/>
  <c r="CH70" i="5"/>
  <c r="CH242" i="5"/>
  <c r="CB235" i="5"/>
  <c r="AD143" i="5"/>
  <c r="AD145" i="5" s="1"/>
  <c r="CI101" i="5"/>
  <c r="CH111" i="5"/>
  <c r="CG117" i="5"/>
  <c r="CC454" i="5"/>
  <c r="AI92" i="5"/>
  <c r="AI107" i="5" s="1"/>
  <c r="AI139" i="5" s="1"/>
  <c r="AK143" i="5"/>
  <c r="AJ84" i="5"/>
  <c r="AR84" i="5"/>
  <c r="AR143" i="5" s="1"/>
  <c r="AS219" i="5"/>
  <c r="AS220" i="5" s="1"/>
  <c r="AI221" i="5"/>
  <c r="X450" i="5"/>
  <c r="X457" i="5" s="1"/>
  <c r="W458" i="5"/>
  <c r="AE450" i="5"/>
  <c r="AE457" i="5" s="1"/>
  <c r="AA457" i="5"/>
  <c r="AU92" i="5"/>
  <c r="AU107" i="5" s="1"/>
  <c r="AU139" i="5" s="1"/>
  <c r="AV84" i="5"/>
  <c r="AV92" i="5" s="1"/>
  <c r="AV107" i="5" s="1"/>
  <c r="AV139" i="5" s="1"/>
  <c r="AW219" i="5"/>
  <c r="AW220" i="5" s="1"/>
  <c r="CI429" i="5"/>
  <c r="CG430" i="5"/>
  <c r="AM92" i="5"/>
  <c r="AM107" i="5" s="1"/>
  <c r="AM139" i="5" s="1"/>
  <c r="AI144" i="5"/>
  <c r="AI145" i="5"/>
  <c r="AI154" i="5"/>
  <c r="AI155" i="5" s="1"/>
  <c r="AZ84" i="5"/>
  <c r="AZ221" i="5" s="1"/>
  <c r="BA219" i="5"/>
  <c r="BA220" i="5" s="1"/>
  <c r="AQ92" i="5"/>
  <c r="AQ107" i="5" s="1"/>
  <c r="AQ139" i="5" s="1"/>
  <c r="CJ242" i="5"/>
  <c r="CI70" i="5"/>
  <c r="AC144" i="5"/>
  <c r="AC145" i="5"/>
  <c r="BV490" i="5"/>
  <c r="AN84" i="5"/>
  <c r="AN221" i="5" s="1"/>
  <c r="AF143" i="5"/>
  <c r="AD92" i="5"/>
  <c r="AD107" i="5" s="1"/>
  <c r="AD139" i="5" s="1"/>
  <c r="CI112" i="5" l="1"/>
  <c r="BZ59" i="5"/>
  <c r="BZ67" i="5" s="1"/>
  <c r="CA15" i="5"/>
  <c r="CI233" i="5"/>
  <c r="CG201" i="5"/>
  <c r="CH193" i="5"/>
  <c r="BY453" i="5"/>
  <c r="BW128" i="5"/>
  <c r="CC235" i="5"/>
  <c r="BI219" i="5"/>
  <c r="BE219" i="5"/>
  <c r="BE220" i="5" s="1"/>
  <c r="BF219" i="5" s="1"/>
  <c r="BF213" i="5" s="1"/>
  <c r="BI220" i="5"/>
  <c r="BN219" i="5" s="1"/>
  <c r="CH243" i="5"/>
  <c r="CU60" i="5"/>
  <c r="CJ24" i="5"/>
  <c r="AR221" i="5"/>
  <c r="AV221" i="5"/>
  <c r="AM144" i="5"/>
  <c r="AM154" i="5"/>
  <c r="AM155" i="5" s="1"/>
  <c r="CX224" i="5"/>
  <c r="CV225" i="5"/>
  <c r="CJ437" i="5"/>
  <c r="CK436" i="5"/>
  <c r="CJ440" i="5"/>
  <c r="CT439" i="5"/>
  <c r="CU438" i="5"/>
  <c r="CJ101" i="5"/>
  <c r="AD144" i="5"/>
  <c r="CD235" i="5"/>
  <c r="CH117" i="5"/>
  <c r="CI111" i="5"/>
  <c r="CD454" i="5"/>
  <c r="AF144" i="5"/>
  <c r="AF145" i="5"/>
  <c r="AF154" i="5"/>
  <c r="AF155" i="5" s="1"/>
  <c r="CJ70" i="5"/>
  <c r="CK242" i="5"/>
  <c r="AN92" i="5"/>
  <c r="AN107" i="5" s="1"/>
  <c r="AN139" i="5" s="1"/>
  <c r="AO84" i="5"/>
  <c r="AO143" i="5" s="1"/>
  <c r="BB219" i="5"/>
  <c r="BB220" i="5" s="1"/>
  <c r="BA84" i="5"/>
  <c r="BA143" i="5" s="1"/>
  <c r="AN143" i="5"/>
  <c r="CJ429" i="5"/>
  <c r="AX219" i="5"/>
  <c r="AX220" i="5" s="1"/>
  <c r="AW84" i="5"/>
  <c r="AW221" i="5" s="1"/>
  <c r="AE458" i="5"/>
  <c r="AF450" i="5"/>
  <c r="Y450" i="5"/>
  <c r="Y457" i="5" s="1"/>
  <c r="Y458" i="5" s="1"/>
  <c r="X458" i="5"/>
  <c r="AR92" i="5"/>
  <c r="AR107" i="5" s="1"/>
  <c r="AR139" i="5" s="1"/>
  <c r="AK144" i="5"/>
  <c r="AK145" i="5"/>
  <c r="AK154" i="5"/>
  <c r="AK155" i="5" s="1"/>
  <c r="AR144" i="5"/>
  <c r="AR145" i="5"/>
  <c r="AR154" i="5"/>
  <c r="AR155" i="5" s="1"/>
  <c r="AZ92" i="5"/>
  <c r="AZ107" i="5" s="1"/>
  <c r="AZ139" i="5" s="1"/>
  <c r="AB450" i="5"/>
  <c r="AB457" i="5" s="1"/>
  <c r="AA458" i="5"/>
  <c r="BE84" i="5"/>
  <c r="BE221" i="5" s="1"/>
  <c r="AS84" i="5"/>
  <c r="AS221" i="5" s="1"/>
  <c r="AL143" i="5"/>
  <c r="AJ92" i="5"/>
  <c r="AJ107" i="5" s="1"/>
  <c r="AJ139" i="5" s="1"/>
  <c r="AJ221" i="5"/>
  <c r="AJ143" i="5"/>
  <c r="BZ246" i="5" l="1"/>
  <c r="BZ211" i="5"/>
  <c r="CJ112" i="5"/>
  <c r="BZ61" i="5"/>
  <c r="CA18" i="5"/>
  <c r="CA28" i="5" s="1"/>
  <c r="CH201" i="5"/>
  <c r="CJ233" i="5"/>
  <c r="CI193" i="5"/>
  <c r="BX128" i="5"/>
  <c r="BJ219" i="5"/>
  <c r="BJ220" i="5" s="1"/>
  <c r="BJ84" i="5" s="1"/>
  <c r="CK24" i="5"/>
  <c r="CV60" i="5"/>
  <c r="CW60" i="5" s="1"/>
  <c r="CY224" i="5"/>
  <c r="CX225" i="5"/>
  <c r="CJ441" i="5"/>
  <c r="CJ443" i="5"/>
  <c r="CK440" i="5"/>
  <c r="CL436" i="5"/>
  <c r="CM436" i="5" s="1"/>
  <c r="CV438" i="5"/>
  <c r="CX438" i="5" s="1"/>
  <c r="CE235" i="5"/>
  <c r="CI117" i="5"/>
  <c r="CJ111" i="5"/>
  <c r="CK101" i="5"/>
  <c r="CE454" i="5"/>
  <c r="BF214" i="5"/>
  <c r="BF218" i="5" s="1"/>
  <c r="BF220" i="5" s="1"/>
  <c r="AJ144" i="5"/>
  <c r="AJ145" i="5"/>
  <c r="AJ154" i="5"/>
  <c r="AJ155" i="5" s="1"/>
  <c r="AO145" i="5"/>
  <c r="AO144" i="5"/>
  <c r="AO154" i="5"/>
  <c r="AO155" i="5" s="1"/>
  <c r="AL145" i="5"/>
  <c r="AL144" i="5"/>
  <c r="AL154" i="5"/>
  <c r="AL155" i="5" s="1"/>
  <c r="AT84" i="5"/>
  <c r="AT143" i="5" s="1"/>
  <c r="AS92" i="5"/>
  <c r="AS107" i="5" s="1"/>
  <c r="AS139" i="5" s="1"/>
  <c r="AC450" i="5"/>
  <c r="AC457" i="5" s="1"/>
  <c r="AB458" i="5"/>
  <c r="BA145" i="5"/>
  <c r="BA144" i="5"/>
  <c r="BA154" i="5"/>
  <c r="AS143" i="5"/>
  <c r="AJ450" i="5"/>
  <c r="AJ457" i="5" s="1"/>
  <c r="AF457" i="5"/>
  <c r="CK429" i="5"/>
  <c r="CJ430" i="5"/>
  <c r="BA92" i="5"/>
  <c r="BA107" i="5" s="1"/>
  <c r="BA139" i="5" s="1"/>
  <c r="BC219" i="5"/>
  <c r="BC220" i="5" s="1"/>
  <c r="BB84" i="5"/>
  <c r="BB143" i="5" s="1"/>
  <c r="AQ143" i="5"/>
  <c r="AO92" i="5"/>
  <c r="AO107" i="5" s="1"/>
  <c r="AO139" i="5" s="1"/>
  <c r="AP143" i="5"/>
  <c r="AO221" i="5"/>
  <c r="BE92" i="5"/>
  <c r="BE107" i="5" s="1"/>
  <c r="BE139" i="5" s="1"/>
  <c r="AW92" i="5"/>
  <c r="AW107" i="5" s="1"/>
  <c r="AW139" i="5" s="1"/>
  <c r="AW143" i="5"/>
  <c r="AX84" i="5"/>
  <c r="AX221" i="5" s="1"/>
  <c r="AN145" i="5"/>
  <c r="AN144" i="5"/>
  <c r="AN154" i="5"/>
  <c r="AN155" i="5" s="1"/>
  <c r="BA221" i="5"/>
  <c r="CL242" i="5"/>
  <c r="CK70" i="5"/>
  <c r="BK219" i="5" l="1"/>
  <c r="BK213" i="5" s="1"/>
  <c r="BZ453" i="5"/>
  <c r="CK112" i="5"/>
  <c r="BJ221" i="5"/>
  <c r="CA59" i="5"/>
  <c r="CA488" i="5"/>
  <c r="CA36" i="5"/>
  <c r="CA446" i="5"/>
  <c r="CI201" i="5"/>
  <c r="CK233" i="5"/>
  <c r="CJ193" i="5"/>
  <c r="BY128" i="5"/>
  <c r="CX60" i="5"/>
  <c r="CL24" i="5"/>
  <c r="CW438" i="5"/>
  <c r="CW439" i="5" s="1"/>
  <c r="CZ224" i="5"/>
  <c r="CY225" i="5"/>
  <c r="CY438" i="5"/>
  <c r="CN436" i="5"/>
  <c r="CL440" i="5"/>
  <c r="CM437" i="5"/>
  <c r="CK441" i="5"/>
  <c r="CK443" i="5"/>
  <c r="CM69" i="5"/>
  <c r="CJ117" i="5"/>
  <c r="CK111" i="5"/>
  <c r="CL101" i="5"/>
  <c r="CF235" i="5"/>
  <c r="CF454" i="5"/>
  <c r="BB145" i="5"/>
  <c r="BB144" i="5"/>
  <c r="BB154" i="5"/>
  <c r="AW145" i="5"/>
  <c r="AW144" i="5"/>
  <c r="AW154" i="5"/>
  <c r="CL70" i="5"/>
  <c r="CN69" i="5"/>
  <c r="CO69" i="5" s="1"/>
  <c r="CP69" i="5" s="1"/>
  <c r="AX92" i="5"/>
  <c r="AX107" i="5" s="1"/>
  <c r="AX139" i="5" s="1"/>
  <c r="AY84" i="5"/>
  <c r="AY143" i="5" s="1"/>
  <c r="AX143" i="5"/>
  <c r="AP145" i="5"/>
  <c r="AP144" i="5"/>
  <c r="AP154" i="5"/>
  <c r="AP155" i="5" s="1"/>
  <c r="AT145" i="5"/>
  <c r="AT144" i="5"/>
  <c r="AT154" i="5"/>
  <c r="AT155" i="5" s="1"/>
  <c r="BB221" i="5"/>
  <c r="AK450" i="5"/>
  <c r="AJ458" i="5"/>
  <c r="BJ92" i="5"/>
  <c r="BJ107" i="5" s="1"/>
  <c r="BJ139" i="5" s="1"/>
  <c r="BF84" i="5"/>
  <c r="BF221" i="5" s="1"/>
  <c r="BG219" i="5"/>
  <c r="BG213" i="5" s="1"/>
  <c r="AQ144" i="5"/>
  <c r="AQ145" i="5"/>
  <c r="AQ154" i="5"/>
  <c r="AQ155" i="5" s="1"/>
  <c r="BB92" i="5"/>
  <c r="BB107" i="5" s="1"/>
  <c r="BB139" i="5" s="1"/>
  <c r="BC84" i="5"/>
  <c r="BC143" i="5" s="1"/>
  <c r="CL429" i="5"/>
  <c r="CM429" i="5" s="1"/>
  <c r="CK430" i="5"/>
  <c r="AG450" i="5"/>
  <c r="AG457" i="5" s="1"/>
  <c r="AF458" i="5"/>
  <c r="BK214" i="5"/>
  <c r="BK218" i="5" s="1"/>
  <c r="BK220" i="5" s="1"/>
  <c r="AS144" i="5"/>
  <c r="AS145" i="5"/>
  <c r="AS154" i="5"/>
  <c r="AS155" i="5" s="1"/>
  <c r="AC458" i="5"/>
  <c r="AD450" i="5"/>
  <c r="AD457" i="5" s="1"/>
  <c r="AD458" i="5" s="1"/>
  <c r="AU143" i="5"/>
  <c r="AV143" i="5"/>
  <c r="AT92" i="5"/>
  <c r="AT107" i="5" s="1"/>
  <c r="AT139" i="5" s="1"/>
  <c r="AT221" i="5"/>
  <c r="CA490" i="5" l="1"/>
  <c r="CL112" i="5"/>
  <c r="CA67" i="5"/>
  <c r="CA246" i="5"/>
  <c r="CA211" i="5"/>
  <c r="CA61" i="5"/>
  <c r="CJ201" i="5"/>
  <c r="CL233" i="5"/>
  <c r="CL193" i="5" s="1"/>
  <c r="CK193" i="5"/>
  <c r="BZ128" i="5"/>
  <c r="CY60" i="5"/>
  <c r="CO24" i="5"/>
  <c r="CM21" i="5"/>
  <c r="CN242" i="5"/>
  <c r="CQ69" i="5"/>
  <c r="CS69" i="5" s="1"/>
  <c r="CT69" i="5" s="1"/>
  <c r="CU69" i="5" s="1"/>
  <c r="CV69" i="5" s="1"/>
  <c r="DA224" i="5"/>
  <c r="DA225" i="5" s="1"/>
  <c r="CZ225" i="5"/>
  <c r="CO436" i="5"/>
  <c r="CL441" i="5"/>
  <c r="CL443" i="5"/>
  <c r="CY439" i="5"/>
  <c r="CZ438" i="5"/>
  <c r="CM70" i="5"/>
  <c r="CM242" i="5"/>
  <c r="CL111" i="5"/>
  <c r="CK117" i="5"/>
  <c r="CG235" i="5"/>
  <c r="CM101" i="5"/>
  <c r="CG454" i="5"/>
  <c r="BC144" i="5"/>
  <c r="BC145" i="5"/>
  <c r="BC154" i="5"/>
  <c r="AV145" i="5"/>
  <c r="AV144" i="5"/>
  <c r="AV154" i="5"/>
  <c r="AH450" i="5"/>
  <c r="AH457" i="5" s="1"/>
  <c r="AG458" i="5"/>
  <c r="AY144" i="5"/>
  <c r="AY145" i="5"/>
  <c r="AY154" i="5"/>
  <c r="AU145" i="5"/>
  <c r="AU144" i="5"/>
  <c r="AU154" i="5"/>
  <c r="BL219" i="5"/>
  <c r="BL213" i="5" s="1"/>
  <c r="BK84" i="5"/>
  <c r="CN429" i="5"/>
  <c r="CL430" i="5"/>
  <c r="BC221" i="5"/>
  <c r="BG214" i="5"/>
  <c r="BG218" i="5" s="1"/>
  <c r="BG220" i="5" s="1"/>
  <c r="BH213" i="5"/>
  <c r="BH214" i="5" s="1"/>
  <c r="BH218" i="5" s="1"/>
  <c r="BG143" i="5"/>
  <c r="BF92" i="5"/>
  <c r="BF107" i="5" s="1"/>
  <c r="BF139" i="5" s="1"/>
  <c r="BF143" i="5"/>
  <c r="AZ143" i="5"/>
  <c r="AY92" i="5"/>
  <c r="AY107" i="5" s="1"/>
  <c r="AY139" i="5" s="1"/>
  <c r="AY221" i="5"/>
  <c r="BE143" i="5"/>
  <c r="BC92" i="5"/>
  <c r="BC107" i="5" s="1"/>
  <c r="BC139" i="5" s="1"/>
  <c r="BD84" i="5"/>
  <c r="AO450" i="5"/>
  <c r="AO457" i="5" s="1"/>
  <c r="AK457" i="5"/>
  <c r="AX145" i="5"/>
  <c r="AX144" i="5"/>
  <c r="AX154" i="5"/>
  <c r="CN70" i="5"/>
  <c r="CM112" i="5" l="1"/>
  <c r="CM243" i="5"/>
  <c r="BK221" i="5"/>
  <c r="CA453" i="5"/>
  <c r="CB59" i="5"/>
  <c r="CM233" i="5"/>
  <c r="CN233" i="5" s="1"/>
  <c r="CN193" i="5" s="1"/>
  <c r="CK201" i="5"/>
  <c r="CH235" i="5"/>
  <c r="CL201" i="5"/>
  <c r="CM193" i="5"/>
  <c r="CA128" i="5"/>
  <c r="CP24" i="5"/>
  <c r="CZ60" i="5"/>
  <c r="DA60" i="5" s="1"/>
  <c r="DB60" i="5" s="1"/>
  <c r="CF15" i="5"/>
  <c r="BD143" i="5"/>
  <c r="BD145" i="5" s="1"/>
  <c r="CX69" i="5"/>
  <c r="CO242" i="5"/>
  <c r="CO437" i="5"/>
  <c r="CP436" i="5"/>
  <c r="CO440" i="5"/>
  <c r="DA438" i="5"/>
  <c r="DB438" i="5" s="1"/>
  <c r="DB439" i="5" s="1"/>
  <c r="CI235" i="5"/>
  <c r="CN101" i="5"/>
  <c r="CM111" i="5"/>
  <c r="CL117" i="5"/>
  <c r="CH454" i="5"/>
  <c r="CO70" i="5"/>
  <c r="CP242" i="5"/>
  <c r="BE144" i="5"/>
  <c r="BE145" i="5"/>
  <c r="BE154" i="5"/>
  <c r="BE155" i="5" s="1"/>
  <c r="AL450" i="5"/>
  <c r="AL457" i="5" s="1"/>
  <c r="AK458" i="5"/>
  <c r="BF144" i="5"/>
  <c r="BF145" i="5"/>
  <c r="BF154" i="5"/>
  <c r="BF155" i="5" s="1"/>
  <c r="BG145" i="5"/>
  <c r="BG144" i="5"/>
  <c r="BG154" i="5"/>
  <c r="BG155" i="5" s="1"/>
  <c r="BG221" i="5"/>
  <c r="BH219" i="5"/>
  <c r="BH220" i="5" s="1"/>
  <c r="CO429" i="5"/>
  <c r="BK92" i="5"/>
  <c r="BK107" i="5" s="1"/>
  <c r="BK139" i="5" s="1"/>
  <c r="BK143" i="5"/>
  <c r="AO458" i="5"/>
  <c r="AP450" i="5"/>
  <c r="BD92" i="5"/>
  <c r="BD107" i="5" s="1"/>
  <c r="BD221" i="5"/>
  <c r="AZ144" i="5"/>
  <c r="AZ145" i="5"/>
  <c r="AZ154" i="5"/>
  <c r="BL214" i="5"/>
  <c r="AH458" i="5"/>
  <c r="AI450" i="5"/>
  <c r="AI457" i="5" s="1"/>
  <c r="AI458" i="5" s="1"/>
  <c r="CO233" i="5" l="1"/>
  <c r="CP233" i="5" s="1"/>
  <c r="CN201" i="5"/>
  <c r="CM201" i="5"/>
  <c r="CN112" i="5"/>
  <c r="CB67" i="5"/>
  <c r="CB61" i="5"/>
  <c r="CC59" i="5"/>
  <c r="CB246" i="5"/>
  <c r="CB211" i="5"/>
  <c r="BD144" i="5"/>
  <c r="CB128" i="5"/>
  <c r="CO193" i="5"/>
  <c r="BD154" i="5"/>
  <c r="CF18" i="5"/>
  <c r="CF28" i="5" s="1"/>
  <c r="BD139" i="5"/>
  <c r="CY69" i="5"/>
  <c r="CZ69" i="5" s="1"/>
  <c r="CO443" i="5"/>
  <c r="CO441" i="5"/>
  <c r="CP440" i="5"/>
  <c r="CQ436" i="5"/>
  <c r="CR436" i="5" s="1"/>
  <c r="CO101" i="5"/>
  <c r="CJ235" i="5"/>
  <c r="CM117" i="5"/>
  <c r="CN111" i="5"/>
  <c r="CI454" i="5"/>
  <c r="BL218" i="5"/>
  <c r="BL220" i="5" s="1"/>
  <c r="BH84" i="5"/>
  <c r="BH221" i="5" s="1"/>
  <c r="BK145" i="5"/>
  <c r="BK144" i="5"/>
  <c r="BK154" i="5"/>
  <c r="BK155" i="5" s="1"/>
  <c r="CQ242" i="5"/>
  <c r="CP70" i="5"/>
  <c r="AT450" i="5"/>
  <c r="AT457" i="5" s="1"/>
  <c r="AP457" i="5"/>
  <c r="CP429" i="5"/>
  <c r="CO430" i="5"/>
  <c r="AM450" i="5"/>
  <c r="AM457" i="5" s="1"/>
  <c r="AL458" i="5"/>
  <c r="CO201" i="5" l="1"/>
  <c r="CO112" i="5"/>
  <c r="CB453" i="5"/>
  <c r="CC211" i="5"/>
  <c r="CC67" i="5"/>
  <c r="CC246" i="5"/>
  <c r="CC61" i="5"/>
  <c r="CD59" i="5"/>
  <c r="DA69" i="5"/>
  <c r="CQ24" i="5" s="1"/>
  <c r="CC128" i="5"/>
  <c r="CP193" i="5"/>
  <c r="CQ233" i="5"/>
  <c r="CF488" i="5"/>
  <c r="CF446" i="5"/>
  <c r="CF36" i="5"/>
  <c r="BM219" i="5"/>
  <c r="BL84" i="5"/>
  <c r="CS436" i="5"/>
  <c r="CQ440" i="5"/>
  <c r="CP443" i="5"/>
  <c r="CP441" i="5"/>
  <c r="CR437" i="5"/>
  <c r="CR69" i="5"/>
  <c r="CK235" i="5"/>
  <c r="CN117" i="5"/>
  <c r="CO111" i="5"/>
  <c r="CP101" i="5"/>
  <c r="CJ454" i="5"/>
  <c r="CQ429" i="5"/>
  <c r="CR429" i="5" s="1"/>
  <c r="CP430" i="5"/>
  <c r="AU450" i="5"/>
  <c r="AT458" i="5"/>
  <c r="CQ70" i="5"/>
  <c r="CS242" i="5"/>
  <c r="AM458" i="5"/>
  <c r="AN450" i="5"/>
  <c r="AN457" i="5" s="1"/>
  <c r="AN458" i="5" s="1"/>
  <c r="AQ450" i="5"/>
  <c r="AQ457" i="5" s="1"/>
  <c r="AP458" i="5"/>
  <c r="BJ143" i="5"/>
  <c r="BH143" i="5"/>
  <c r="BH92" i="5"/>
  <c r="BH107" i="5" s="1"/>
  <c r="BH139" i="5" s="1"/>
  <c r="BI84" i="5"/>
  <c r="CR21" i="5" l="1"/>
  <c r="CT24" i="5" s="1"/>
  <c r="CP112" i="5"/>
  <c r="BL221" i="5"/>
  <c r="CC453" i="5"/>
  <c r="CD246" i="5"/>
  <c r="CD67" i="5"/>
  <c r="CD61" i="5"/>
  <c r="CD211" i="5"/>
  <c r="CQ193" i="5"/>
  <c r="CR193" i="5" s="1"/>
  <c r="CR233" i="5"/>
  <c r="CS233" i="5" s="1"/>
  <c r="CP201" i="5"/>
  <c r="CD128" i="5"/>
  <c r="CF490" i="5"/>
  <c r="CK15" i="5"/>
  <c r="BL143" i="5"/>
  <c r="BL92" i="5"/>
  <c r="BL107" i="5" s="1"/>
  <c r="BL139" i="5" s="1"/>
  <c r="CQ443" i="5"/>
  <c r="CQ441" i="5"/>
  <c r="CT436" i="5"/>
  <c r="CR70" i="5"/>
  <c r="CR242" i="5"/>
  <c r="CO117" i="5"/>
  <c r="CP111" i="5"/>
  <c r="CQ101" i="5"/>
  <c r="CL235" i="5"/>
  <c r="CM235" i="5" s="1"/>
  <c r="CK454" i="5"/>
  <c r="BJ144" i="5"/>
  <c r="BJ145" i="5"/>
  <c r="BJ154" i="5"/>
  <c r="BJ155" i="5" s="1"/>
  <c r="BI92" i="5"/>
  <c r="BI107" i="5" s="1"/>
  <c r="BI221" i="5"/>
  <c r="BI143" i="5"/>
  <c r="BH144" i="5"/>
  <c r="BH145" i="5"/>
  <c r="BH154" i="5"/>
  <c r="BH155" i="5" s="1"/>
  <c r="CT242" i="5"/>
  <c r="CS70" i="5"/>
  <c r="CS429" i="5"/>
  <c r="CQ430" i="5"/>
  <c r="CV24" i="5"/>
  <c r="AR450" i="5"/>
  <c r="AR457" i="5" s="1"/>
  <c r="AQ458" i="5"/>
  <c r="AY450" i="5"/>
  <c r="AY457" i="5" s="1"/>
  <c r="AU457" i="5"/>
  <c r="CQ201" i="5" l="1"/>
  <c r="CR201" i="5"/>
  <c r="CQ112" i="5"/>
  <c r="CR243" i="5"/>
  <c r="BL154" i="5"/>
  <c r="BL155" i="5" s="1"/>
  <c r="CD453" i="5"/>
  <c r="CE59" i="5"/>
  <c r="CS193" i="5"/>
  <c r="CT233" i="5"/>
  <c r="CE128" i="5"/>
  <c r="CK18" i="5"/>
  <c r="CK28" i="5" s="1"/>
  <c r="BI139" i="5"/>
  <c r="BL144" i="5"/>
  <c r="BL145" i="5"/>
  <c r="CT437" i="5"/>
  <c r="CU436" i="5"/>
  <c r="CT440" i="5"/>
  <c r="CN235" i="5"/>
  <c r="CR101" i="5"/>
  <c r="CQ111" i="5"/>
  <c r="CP117" i="5"/>
  <c r="CL454" i="5"/>
  <c r="AV450" i="5"/>
  <c r="AV457" i="5" s="1"/>
  <c r="AU458" i="5"/>
  <c r="CT70" i="5"/>
  <c r="CU242" i="5"/>
  <c r="AY458" i="5"/>
  <c r="AZ450" i="5"/>
  <c r="AS450" i="5"/>
  <c r="AS457" i="5" s="1"/>
  <c r="AS458" i="5" s="1"/>
  <c r="AR458" i="5"/>
  <c r="CT429" i="5"/>
  <c r="BI145" i="5"/>
  <c r="BI144" i="5"/>
  <c r="BI154" i="5"/>
  <c r="BI155" i="5" s="1"/>
  <c r="CS201" i="5" l="1"/>
  <c r="CR112" i="5"/>
  <c r="CE61" i="5"/>
  <c r="CE67" i="5"/>
  <c r="CE211" i="5"/>
  <c r="CE246" i="5"/>
  <c r="CF128" i="5"/>
  <c r="CU233" i="5"/>
  <c r="CT193" i="5"/>
  <c r="CK36" i="5"/>
  <c r="CK488" i="5"/>
  <c r="CK446" i="5"/>
  <c r="CZ24" i="5"/>
  <c r="CU24" i="5"/>
  <c r="CW21" i="5"/>
  <c r="CV436" i="5"/>
  <c r="CW436" i="5" s="1"/>
  <c r="CU440" i="5"/>
  <c r="CT443" i="5"/>
  <c r="CT441" i="5"/>
  <c r="CR111" i="5"/>
  <c r="CQ117" i="5"/>
  <c r="CS101" i="5"/>
  <c r="CO235" i="5"/>
  <c r="CM454" i="5"/>
  <c r="CU429" i="5"/>
  <c r="CT430" i="5"/>
  <c r="AZ457" i="5"/>
  <c r="BD450" i="5"/>
  <c r="BD457" i="5" s="1"/>
  <c r="CU70" i="5"/>
  <c r="CV242" i="5"/>
  <c r="AW450" i="5"/>
  <c r="AW457" i="5" s="1"/>
  <c r="AV458" i="5"/>
  <c r="CS112" i="5" l="1"/>
  <c r="CE453" i="5"/>
  <c r="CF59" i="5"/>
  <c r="CT201" i="5"/>
  <c r="CU193" i="5"/>
  <c r="CV233" i="5"/>
  <c r="CV193" i="5" s="1"/>
  <c r="CG128" i="5"/>
  <c r="CK490" i="5"/>
  <c r="DA24" i="5"/>
  <c r="CW437" i="5"/>
  <c r="CU441" i="5"/>
  <c r="CU443" i="5"/>
  <c r="CV440" i="5"/>
  <c r="CX436" i="5"/>
  <c r="CR169" i="5"/>
  <c r="CP235" i="5"/>
  <c r="CT101" i="5"/>
  <c r="CR117" i="5"/>
  <c r="CS111" i="5"/>
  <c r="CN454" i="5"/>
  <c r="CV70" i="5"/>
  <c r="CX242" i="5"/>
  <c r="CW69" i="5"/>
  <c r="BD458" i="5"/>
  <c r="BE450" i="5"/>
  <c r="CV429" i="5"/>
  <c r="CW429" i="5" s="1"/>
  <c r="CU430" i="5"/>
  <c r="AX450" i="5"/>
  <c r="AX457" i="5" s="1"/>
  <c r="AX458" i="5" s="1"/>
  <c r="AW458" i="5"/>
  <c r="AZ458" i="5"/>
  <c r="BA450" i="5"/>
  <c r="BA457" i="5" s="1"/>
  <c r="CW233" i="5" l="1"/>
  <c r="CX233" i="5" s="1"/>
  <c r="CY233" i="5" s="1"/>
  <c r="CU201" i="5"/>
  <c r="CV201" i="5"/>
  <c r="CT112" i="5"/>
  <c r="CF246" i="5"/>
  <c r="CF61" i="5"/>
  <c r="CF67" i="5"/>
  <c r="CF211" i="5"/>
  <c r="CH128" i="5"/>
  <c r="CW193" i="5"/>
  <c r="CP15" i="5"/>
  <c r="CY24" i="5"/>
  <c r="DB21" i="5"/>
  <c r="CY436" i="5"/>
  <c r="CV443" i="5"/>
  <c r="CV441" i="5"/>
  <c r="CW70" i="5"/>
  <c r="CW242" i="5"/>
  <c r="CU101" i="5"/>
  <c r="CS117" i="5"/>
  <c r="CT111" i="5"/>
  <c r="CQ235" i="5"/>
  <c r="CR235" i="5" s="1"/>
  <c r="CO454" i="5"/>
  <c r="BB450" i="5"/>
  <c r="BB457" i="5" s="1"/>
  <c r="BA458" i="5"/>
  <c r="BE457" i="5"/>
  <c r="BI450" i="5"/>
  <c r="BI457" i="5" s="1"/>
  <c r="CX429" i="5"/>
  <c r="CV430" i="5"/>
  <c r="CY242" i="5"/>
  <c r="CX70" i="5"/>
  <c r="CX193" i="5" l="1"/>
  <c r="CX201" i="5"/>
  <c r="CW201" i="5"/>
  <c r="CU112" i="5"/>
  <c r="CW243" i="5"/>
  <c r="CF453" i="5"/>
  <c r="CG59" i="5"/>
  <c r="CZ233" i="5"/>
  <c r="CY193" i="5"/>
  <c r="CI128" i="5"/>
  <c r="CP18" i="5"/>
  <c r="CP28" i="5" s="1"/>
  <c r="CY437" i="5"/>
  <c r="CZ436" i="5"/>
  <c r="CY440" i="5"/>
  <c r="CS235" i="5"/>
  <c r="CT117" i="5"/>
  <c r="CU111" i="5"/>
  <c r="CV101" i="5"/>
  <c r="CP454" i="5"/>
  <c r="CY70" i="5"/>
  <c r="CZ242" i="5"/>
  <c r="CY429" i="5"/>
  <c r="BE458" i="5"/>
  <c r="BF450" i="5"/>
  <c r="BF457" i="5" s="1"/>
  <c r="BB458" i="5"/>
  <c r="BC450" i="5"/>
  <c r="BC457" i="5" s="1"/>
  <c r="BC458" i="5" s="1"/>
  <c r="BJ450" i="5"/>
  <c r="BI458" i="5"/>
  <c r="CY201" i="5" l="1"/>
  <c r="CV112" i="5"/>
  <c r="CG67" i="5"/>
  <c r="CG246" i="5"/>
  <c r="CG61" i="5"/>
  <c r="CG211" i="5"/>
  <c r="CH59" i="5"/>
  <c r="CJ128" i="5"/>
  <c r="DA233" i="5"/>
  <c r="CZ193" i="5"/>
  <c r="CP488" i="5"/>
  <c r="CP446" i="5"/>
  <c r="CP36" i="5"/>
  <c r="CY441" i="5"/>
  <c r="CY443" i="5"/>
  <c r="CZ440" i="5"/>
  <c r="DA436" i="5"/>
  <c r="DA440" i="5" s="1"/>
  <c r="CW101" i="5"/>
  <c r="CT235" i="5"/>
  <c r="CV111" i="5"/>
  <c r="CU117" i="5"/>
  <c r="CQ454" i="5"/>
  <c r="BJ457" i="5"/>
  <c r="BN450" i="5"/>
  <c r="BF458" i="5"/>
  <c r="BG450" i="5"/>
  <c r="BG457" i="5" s="1"/>
  <c r="CZ429" i="5"/>
  <c r="CY430" i="5"/>
  <c r="CZ70" i="5"/>
  <c r="CW112" i="5" l="1"/>
  <c r="CH67" i="5"/>
  <c r="CH61" i="5"/>
  <c r="CI59" i="5"/>
  <c r="CG453" i="5"/>
  <c r="CH211" i="5"/>
  <c r="CH246" i="5"/>
  <c r="CZ201" i="5"/>
  <c r="DA193" i="5"/>
  <c r="DB233" i="5"/>
  <c r="CK128" i="5"/>
  <c r="CP490" i="5"/>
  <c r="DB436" i="5"/>
  <c r="CZ441" i="5"/>
  <c r="CZ443" i="5"/>
  <c r="DA441" i="5"/>
  <c r="DA443" i="5"/>
  <c r="DA70" i="5"/>
  <c r="DA242" i="5"/>
  <c r="CW111" i="5"/>
  <c r="CV117" i="5"/>
  <c r="CU235" i="5"/>
  <c r="CX101" i="5"/>
  <c r="CR454" i="5"/>
  <c r="DB69" i="5"/>
  <c r="DA429" i="5"/>
  <c r="DA430" i="5" s="1"/>
  <c r="CZ430" i="5"/>
  <c r="BH450" i="5"/>
  <c r="BH457" i="5" s="1"/>
  <c r="BH458" i="5" s="1"/>
  <c r="BG458" i="5"/>
  <c r="BK450" i="5"/>
  <c r="BK457" i="5" s="1"/>
  <c r="BJ458" i="5"/>
  <c r="DA201" i="5" l="1"/>
  <c r="CX112" i="5"/>
  <c r="CH453" i="5"/>
  <c r="CI246" i="5"/>
  <c r="CI211" i="5"/>
  <c r="CI61" i="5"/>
  <c r="CI67" i="5"/>
  <c r="DB193" i="5"/>
  <c r="CL128" i="5"/>
  <c r="CU15" i="5"/>
  <c r="DB429" i="5"/>
  <c r="DB437" i="5"/>
  <c r="DB70" i="5"/>
  <c r="DB242" i="5"/>
  <c r="CY101" i="5"/>
  <c r="CW117" i="5"/>
  <c r="CX111" i="5"/>
  <c r="CV235" i="5"/>
  <c r="CW235" i="5" s="1"/>
  <c r="CS454" i="5"/>
  <c r="BL450" i="5"/>
  <c r="BL457" i="5" s="1"/>
  <c r="BK458" i="5"/>
  <c r="DB201" i="5" l="1"/>
  <c r="CY112" i="5"/>
  <c r="DB243" i="5"/>
  <c r="CI453" i="5"/>
  <c r="CJ59" i="5"/>
  <c r="CM128" i="5"/>
  <c r="CN128" i="5" s="1"/>
  <c r="CO128" i="5" s="1"/>
  <c r="CP128" i="5" s="1"/>
  <c r="CQ128" i="5" s="1"/>
  <c r="CR128" i="5" s="1"/>
  <c r="CS128" i="5" s="1"/>
  <c r="CT128" i="5" s="1"/>
  <c r="CU128" i="5" s="1"/>
  <c r="CV128" i="5" s="1"/>
  <c r="CW128" i="5" s="1"/>
  <c r="CX128" i="5" s="1"/>
  <c r="CY128" i="5" s="1"/>
  <c r="CZ128" i="5" s="1"/>
  <c r="DA128" i="5" s="1"/>
  <c r="DB128" i="5" s="1"/>
  <c r="CX117" i="5"/>
  <c r="CY111" i="5"/>
  <c r="CX235" i="5"/>
  <c r="CZ101" i="5"/>
  <c r="CT454" i="5"/>
  <c r="BL458" i="5"/>
  <c r="BM450" i="5"/>
  <c r="CZ112" i="5" l="1"/>
  <c r="CJ61" i="5"/>
  <c r="CJ67" i="5"/>
  <c r="CJ246" i="5"/>
  <c r="CJ211" i="5"/>
  <c r="CU18" i="5"/>
  <c r="CU28" i="5" s="1"/>
  <c r="CY235" i="5"/>
  <c r="CY117" i="5"/>
  <c r="CZ111" i="5"/>
  <c r="DA101" i="5"/>
  <c r="CU454" i="5"/>
  <c r="DA112" i="5" l="1"/>
  <c r="CK59" i="5"/>
  <c r="CJ453" i="5"/>
  <c r="CU488" i="5"/>
  <c r="CU446" i="5"/>
  <c r="CU36" i="5"/>
  <c r="DB101" i="5"/>
  <c r="CZ117" i="5"/>
  <c r="DA111" i="5"/>
  <c r="DA235" i="5"/>
  <c r="CZ235" i="5"/>
  <c r="CV454" i="5"/>
  <c r="DB112" i="5" l="1"/>
  <c r="CK67" i="5"/>
  <c r="CK211" i="5"/>
  <c r="CK246" i="5"/>
  <c r="CK61" i="5"/>
  <c r="CU490" i="5"/>
  <c r="CZ15" i="5"/>
  <c r="DB235" i="5"/>
  <c r="DA117" i="5"/>
  <c r="DB111" i="5"/>
  <c r="DB117" i="5" s="1"/>
  <c r="CW454" i="5"/>
  <c r="CL59" i="5" l="1"/>
  <c r="CK453" i="5"/>
  <c r="CZ18" i="5"/>
  <c r="CZ28" i="5" s="1"/>
  <c r="CX454" i="5"/>
  <c r="CL246" i="5" l="1"/>
  <c r="CL61" i="5"/>
  <c r="CL211" i="5"/>
  <c r="CL67" i="5"/>
  <c r="CM59" i="5"/>
  <c r="CZ488" i="5"/>
  <c r="CZ36" i="5"/>
  <c r="CZ446" i="5"/>
  <c r="CY454" i="5"/>
  <c r="CM67" i="5" l="1"/>
  <c r="CM246" i="5"/>
  <c r="CL453" i="5"/>
  <c r="CM211" i="5"/>
  <c r="CN59" i="5"/>
  <c r="CM61" i="5"/>
  <c r="CZ490" i="5"/>
  <c r="CZ454" i="5"/>
  <c r="CN61" i="5" l="1"/>
  <c r="CN67" i="5"/>
  <c r="CN211" i="5"/>
  <c r="CN246" i="5"/>
  <c r="CM453" i="5"/>
  <c r="DA454" i="5"/>
  <c r="DB454" i="5"/>
  <c r="CO59" i="5" l="1"/>
  <c r="CN453" i="5"/>
  <c r="CO246" i="5" l="1"/>
  <c r="CO211" i="5"/>
  <c r="CO67" i="5"/>
  <c r="CO61" i="5"/>
  <c r="CP59" i="5" l="1"/>
  <c r="CO453" i="5"/>
  <c r="CP246" i="5" l="1"/>
  <c r="CP67" i="5"/>
  <c r="CP61" i="5"/>
  <c r="CP211" i="5"/>
  <c r="CQ59" i="5" l="1"/>
  <c r="CP453" i="5"/>
  <c r="CQ211" i="5" l="1"/>
  <c r="CQ67" i="5"/>
  <c r="CQ61" i="5"/>
  <c r="CQ246" i="5"/>
  <c r="CR246" i="5" s="1"/>
  <c r="CR59" i="5"/>
  <c r="CQ453" i="5" l="1"/>
  <c r="CR211" i="5"/>
  <c r="CR67" i="5"/>
  <c r="CS59" i="5"/>
  <c r="CR61" i="5"/>
  <c r="CS61" i="5" l="1"/>
  <c r="CS246" i="5"/>
  <c r="CS67" i="5"/>
  <c r="CS211" i="5"/>
  <c r="CR453" i="5"/>
  <c r="CT59" i="5" l="1"/>
  <c r="CS453" i="5"/>
  <c r="CT61" i="5" l="1"/>
  <c r="CT67" i="5"/>
  <c r="CT246" i="5"/>
  <c r="CT211" i="5"/>
  <c r="CU59" i="5" l="1"/>
  <c r="CT453" i="5"/>
  <c r="CU211" i="5" l="1"/>
  <c r="CU61" i="5"/>
  <c r="CU67" i="5"/>
  <c r="CU246" i="5"/>
  <c r="CU453" i="5" l="1"/>
  <c r="CV59" i="5"/>
  <c r="CV246" i="5" l="1"/>
  <c r="CW246" i="5" s="1"/>
  <c r="CV211" i="5"/>
  <c r="CV67" i="5"/>
  <c r="CV61" i="5"/>
  <c r="CW59" i="5"/>
  <c r="CW67" i="5" l="1"/>
  <c r="CX59" i="5"/>
  <c r="CW61" i="5"/>
  <c r="CV453" i="5"/>
  <c r="CW211" i="5"/>
  <c r="CX246" i="5" l="1"/>
  <c r="CX211" i="5"/>
  <c r="CX67" i="5"/>
  <c r="CX61" i="5"/>
  <c r="CW453" i="5"/>
  <c r="CY59" i="5" l="1"/>
  <c r="CX453" i="5"/>
  <c r="CY211" i="5" l="1"/>
  <c r="CY61" i="5"/>
  <c r="CY246" i="5"/>
  <c r="CY67" i="5"/>
  <c r="CY453" i="5" l="1"/>
  <c r="CZ59" i="5"/>
  <c r="CZ246" i="5" l="1"/>
  <c r="CZ61" i="5"/>
  <c r="CZ67" i="5"/>
  <c r="CZ211" i="5"/>
  <c r="CZ453" i="5" l="1"/>
  <c r="DA59" i="5"/>
  <c r="DA246" i="5" l="1"/>
  <c r="DB246" i="5" s="1"/>
  <c r="DA61" i="5"/>
  <c r="DA67" i="5"/>
  <c r="DA211" i="5"/>
  <c r="DB59" i="5"/>
  <c r="DB67" i="5" l="1"/>
  <c r="DA453" i="5"/>
  <c r="DB211" i="5"/>
  <c r="DB61" i="5"/>
  <c r="DB453" i="5" l="1"/>
  <c r="BM165" i="5" l="1"/>
  <c r="BT165" i="5" l="1"/>
  <c r="BX165" i="5" l="1"/>
  <c r="BY165" i="5" l="1"/>
  <c r="CC165" i="5" l="1"/>
  <c r="CD165" i="5" l="1"/>
  <c r="CH165" i="5" l="1"/>
  <c r="CI165" i="5" l="1"/>
  <c r="CM165" i="5" l="1"/>
  <c r="CN165" i="5" l="1"/>
  <c r="CR165" i="5" l="1"/>
  <c r="CS165" i="5" l="1"/>
  <c r="CW165" i="5" l="1"/>
  <c r="CX165" i="5" l="1"/>
  <c r="DB165" i="5" l="1"/>
  <c r="BN187" i="5"/>
  <c r="BM172" i="5"/>
  <c r="BM187" i="5" l="1"/>
  <c r="BT172" i="5" l="1"/>
  <c r="BU172" i="5" l="1"/>
  <c r="BV172" i="5" l="1"/>
  <c r="BW172" i="5" l="1"/>
  <c r="BY172" i="5" l="1"/>
  <c r="BX172" i="5"/>
  <c r="BZ172" i="5" l="1"/>
  <c r="CA172" i="5" l="1"/>
  <c r="CB172" i="5" l="1"/>
  <c r="CD172" i="5" l="1"/>
  <c r="CC172" i="5"/>
  <c r="CE172" i="5" l="1"/>
  <c r="CF172" i="5" l="1"/>
  <c r="CG172" i="5" l="1"/>
  <c r="CI172" i="5" l="1"/>
  <c r="CH172" i="5"/>
  <c r="CJ172" i="5" l="1"/>
  <c r="CK172" i="5" l="1"/>
  <c r="CL172" i="5" l="1"/>
  <c r="CN172" i="5" l="1"/>
  <c r="CM172" i="5"/>
  <c r="CO172" i="5" l="1"/>
  <c r="CP172" i="5" l="1"/>
  <c r="CQ172" i="5" l="1"/>
  <c r="CS172" i="5" l="1"/>
  <c r="CR172" i="5"/>
  <c r="CT172" i="5" l="1"/>
  <c r="CU172" i="5" l="1"/>
  <c r="CV172" i="5" l="1"/>
  <c r="CW172" i="5" s="1"/>
  <c r="CX172" i="5" l="1"/>
  <c r="CY172" i="5" l="1"/>
  <c r="CZ172" i="5" l="1"/>
  <c r="DA172" i="5" l="1"/>
  <c r="DB172" i="5" s="1"/>
  <c r="BM190" i="5" l="1"/>
  <c r="BN103" i="5" l="1"/>
  <c r="BS103" i="5" l="1"/>
  <c r="BT103" i="5" s="1"/>
  <c r="BU103" i="5" l="1"/>
  <c r="BM191" i="5"/>
  <c r="BM194" i="5"/>
  <c r="BV103" i="5" l="1"/>
  <c r="BN100" i="5"/>
  <c r="BW103" i="5" l="1"/>
  <c r="BS100" i="5"/>
  <c r="BX103" i="5" l="1"/>
  <c r="BM197" i="5"/>
  <c r="BN201" i="5"/>
  <c r="BY103" i="5" l="1"/>
  <c r="BM201" i="5"/>
  <c r="BZ103" i="5" l="1"/>
  <c r="BN104" i="5"/>
  <c r="BM105" i="5"/>
  <c r="CA103" i="5" l="1"/>
  <c r="BN105" i="5"/>
  <c r="CB103" i="5" l="1"/>
  <c r="BO105" i="5"/>
  <c r="CC103" i="5" l="1"/>
  <c r="BP105" i="5"/>
  <c r="CD103" i="5" l="1"/>
  <c r="BQ105" i="5"/>
  <c r="CE103" i="5" l="1"/>
  <c r="BS104" i="5"/>
  <c r="BT104" i="5" s="1"/>
  <c r="CF103" i="5" l="1"/>
  <c r="BU104" i="5"/>
  <c r="BT105" i="5"/>
  <c r="BS105" i="5"/>
  <c r="BV104" i="5" l="1"/>
  <c r="BU105" i="5"/>
  <c r="CG103" i="5"/>
  <c r="BM204" i="5"/>
  <c r="BM205" i="5"/>
  <c r="BW104" i="5" l="1"/>
  <c r="BV105" i="5"/>
  <c r="CH103" i="5"/>
  <c r="BM126" i="5"/>
  <c r="BM142" i="5"/>
  <c r="BM153" i="5" s="1"/>
  <c r="BN119" i="5"/>
  <c r="BP142" i="5" l="1"/>
  <c r="BX104" i="5"/>
  <c r="BW105" i="5"/>
  <c r="CI103" i="5"/>
  <c r="BM157" i="5"/>
  <c r="BM156" i="5"/>
  <c r="BN142" i="5"/>
  <c r="BN126" i="5"/>
  <c r="BP146" i="5" l="1"/>
  <c r="BP153" i="5"/>
  <c r="BY104" i="5"/>
  <c r="BX105" i="5"/>
  <c r="CJ103" i="5"/>
  <c r="BN146" i="5"/>
  <c r="BN153" i="5"/>
  <c r="BO126" i="5"/>
  <c r="BP157" i="5" l="1"/>
  <c r="CK103" i="5"/>
  <c r="BZ104" i="5"/>
  <c r="BY105" i="5"/>
  <c r="BQ142" i="5"/>
  <c r="BQ146" i="5" s="1"/>
  <c r="BN157" i="5"/>
  <c r="BN156" i="5"/>
  <c r="CA104" i="5" l="1"/>
  <c r="BZ105" i="5"/>
  <c r="CL103" i="5"/>
  <c r="BO232" i="5"/>
  <c r="BO43" i="5"/>
  <c r="BO48" i="5" s="1"/>
  <c r="BQ153" i="5"/>
  <c r="BR142" i="5" l="1"/>
  <c r="BR153" i="5" s="1"/>
  <c r="CM103" i="5"/>
  <c r="CB104" i="5"/>
  <c r="CA105" i="5"/>
  <c r="BQ74" i="5"/>
  <c r="BQ232" i="5" s="1"/>
  <c r="BQ157" i="5"/>
  <c r="BQ43" i="5"/>
  <c r="BS42" i="5"/>
  <c r="BS119" i="5"/>
  <c r="BP43" i="5"/>
  <c r="BO52" i="5"/>
  <c r="BT119" i="5" l="1"/>
  <c r="CC104" i="5"/>
  <c r="CB105" i="5"/>
  <c r="CN103" i="5"/>
  <c r="BS43" i="5"/>
  <c r="BO66" i="5"/>
  <c r="BO63" i="5"/>
  <c r="BO57" i="5"/>
  <c r="BO50" i="5"/>
  <c r="BS142" i="5"/>
  <c r="BS153" i="5" s="1"/>
  <c r="BR157" i="5"/>
  <c r="BR74" i="5"/>
  <c r="BU119" i="5" l="1"/>
  <c r="BO73" i="5"/>
  <c r="BO78" i="5" s="1"/>
  <c r="BO79" i="5" s="1"/>
  <c r="BO461" i="5"/>
  <c r="BO452" i="5"/>
  <c r="CD104" i="5"/>
  <c r="CC105" i="5"/>
  <c r="CO103" i="5"/>
  <c r="BR232" i="5"/>
  <c r="BS74" i="5"/>
  <c r="BT142" i="5"/>
  <c r="BO64" i="5"/>
  <c r="BS157" i="5"/>
  <c r="BS146" i="5"/>
  <c r="BO231" i="5" l="1"/>
  <c r="BV119" i="5"/>
  <c r="BO236" i="5"/>
  <c r="BS232" i="5"/>
  <c r="CE104" i="5"/>
  <c r="CD105" i="5"/>
  <c r="CP103" i="5"/>
  <c r="BT153" i="5"/>
  <c r="BT42" i="5"/>
  <c r="BU142" i="5"/>
  <c r="BW119" i="5" l="1"/>
  <c r="CF104" i="5"/>
  <c r="CE105" i="5"/>
  <c r="CQ103" i="5"/>
  <c r="BU153" i="5"/>
  <c r="BU42" i="5"/>
  <c r="BV142" i="5"/>
  <c r="BT157" i="5"/>
  <c r="BT74" i="5"/>
  <c r="BT232" i="5" s="1"/>
  <c r="BT43" i="5"/>
  <c r="BX119" i="5" l="1"/>
  <c r="BS236" i="5"/>
  <c r="BO238" i="5"/>
  <c r="CR103" i="5"/>
  <c r="CG104" i="5"/>
  <c r="CF105" i="5"/>
  <c r="BU74" i="5"/>
  <c r="BU232" i="5" s="1"/>
  <c r="BU157" i="5"/>
  <c r="BU43" i="5"/>
  <c r="BW142" i="5"/>
  <c r="BV153" i="5"/>
  <c r="BV156" i="5" s="1"/>
  <c r="BV42" i="5"/>
  <c r="BY119" i="5" l="1"/>
  <c r="BO239" i="5"/>
  <c r="CS103" i="5"/>
  <c r="CH104" i="5"/>
  <c r="CG105" i="5"/>
  <c r="BZ119" i="5"/>
  <c r="BW153" i="5"/>
  <c r="BW42" i="5"/>
  <c r="BX42" i="5" s="1"/>
  <c r="BX142" i="5"/>
  <c r="BX153" i="5" s="1"/>
  <c r="BV157" i="5"/>
  <c r="BV74" i="5"/>
  <c r="BV232" i="5" s="1"/>
  <c r="BV43" i="5"/>
  <c r="BV48" i="5" s="1"/>
  <c r="BO244" i="5" l="1"/>
  <c r="CT103" i="5"/>
  <c r="CI104" i="5"/>
  <c r="CH105" i="5"/>
  <c r="CA119" i="5"/>
  <c r="BV49" i="5"/>
  <c r="BV170" i="5" s="1"/>
  <c r="BY142" i="5"/>
  <c r="BX146" i="5"/>
  <c r="BX157" i="5"/>
  <c r="BX43" i="5"/>
  <c r="BW157" i="5"/>
  <c r="BW74" i="5"/>
  <c r="BW43" i="5"/>
  <c r="BV52" i="5" l="1"/>
  <c r="CU103" i="5"/>
  <c r="CJ104" i="5"/>
  <c r="CI105" i="5"/>
  <c r="CB119" i="5"/>
  <c r="BX74" i="5"/>
  <c r="BW232" i="5"/>
  <c r="BY153" i="5"/>
  <c r="BY42" i="5"/>
  <c r="BZ142" i="5"/>
  <c r="BV50" i="5"/>
  <c r="BV76" i="5"/>
  <c r="BX232" i="5" l="1"/>
  <c r="BV63" i="5"/>
  <c r="BV66" i="5"/>
  <c r="BV57" i="5"/>
  <c r="CV103" i="5"/>
  <c r="CK104" i="5"/>
  <c r="CJ105" i="5"/>
  <c r="CC119" i="5"/>
  <c r="BZ153" i="5"/>
  <c r="BZ42" i="5"/>
  <c r="CB142" i="5"/>
  <c r="CA142" i="5"/>
  <c r="BY157" i="5"/>
  <c r="BY74" i="5"/>
  <c r="BY232" i="5" s="1"/>
  <c r="BY43" i="5"/>
  <c r="BV64" i="5" l="1"/>
  <c r="BV461" i="5"/>
  <c r="BV73" i="5"/>
  <c r="BV452" i="5"/>
  <c r="BV161" i="5"/>
  <c r="CW103" i="5"/>
  <c r="CL104" i="5"/>
  <c r="CK105" i="5"/>
  <c r="CD119" i="5"/>
  <c r="CB153" i="5"/>
  <c r="CB42" i="5"/>
  <c r="CA153" i="5"/>
  <c r="CA156" i="5" s="1"/>
  <c r="CA42" i="5"/>
  <c r="BZ157" i="5"/>
  <c r="BZ74" i="5"/>
  <c r="BZ232" i="5" s="1"/>
  <c r="BZ43" i="5"/>
  <c r="CX103" i="5" l="1"/>
  <c r="CM104" i="5"/>
  <c r="CL105" i="5"/>
  <c r="CE119" i="5"/>
  <c r="CC142" i="5"/>
  <c r="CC153" i="5" s="1"/>
  <c r="CA74" i="5"/>
  <c r="CA232" i="5" s="1"/>
  <c r="CA157" i="5"/>
  <c r="CA43" i="5"/>
  <c r="CA48" i="5" s="1"/>
  <c r="CC42" i="5"/>
  <c r="CB74" i="5"/>
  <c r="CB232" i="5" s="1"/>
  <c r="CB157" i="5"/>
  <c r="CB43" i="5"/>
  <c r="CY103" i="5" l="1"/>
  <c r="CN104" i="5"/>
  <c r="CM105" i="5"/>
  <c r="CC232" i="5"/>
  <c r="CF119" i="5"/>
  <c r="CC74" i="5"/>
  <c r="CC146" i="5"/>
  <c r="CC157" i="5"/>
  <c r="CC43" i="5"/>
  <c r="CA49" i="5"/>
  <c r="CA170" i="5" s="1"/>
  <c r="CD142" i="5"/>
  <c r="CZ103" i="5" l="1"/>
  <c r="CO104" i="5"/>
  <c r="CN105" i="5"/>
  <c r="CG119" i="5"/>
  <c r="CA52" i="5"/>
  <c r="CD153" i="5"/>
  <c r="CD42" i="5"/>
  <c r="CF142" i="5"/>
  <c r="CE142" i="5"/>
  <c r="CA76" i="5"/>
  <c r="CA50" i="5"/>
  <c r="CA66" i="5" l="1"/>
  <c r="DA103" i="5"/>
  <c r="CP104" i="5"/>
  <c r="CO105" i="5"/>
  <c r="CH119" i="5"/>
  <c r="CA63" i="5"/>
  <c r="CA57" i="5"/>
  <c r="CF153" i="5"/>
  <c r="CF156" i="5" s="1"/>
  <c r="CF42" i="5"/>
  <c r="CE153" i="5"/>
  <c r="CE42" i="5"/>
  <c r="CG142" i="5"/>
  <c r="CD157" i="5"/>
  <c r="CD74" i="5"/>
  <c r="CD232" i="5" s="1"/>
  <c r="CD43" i="5"/>
  <c r="CA452" i="5" l="1"/>
  <c r="CA461" i="5"/>
  <c r="CQ104" i="5"/>
  <c r="CP105" i="5"/>
  <c r="DB103" i="5"/>
  <c r="CI119" i="5"/>
  <c r="CA64" i="5"/>
  <c r="CA73" i="5"/>
  <c r="CA161" i="5"/>
  <c r="CG153" i="5"/>
  <c r="CG42" i="5"/>
  <c r="CF157" i="5"/>
  <c r="CF74" i="5"/>
  <c r="CF232" i="5" s="1"/>
  <c r="CF43" i="5"/>
  <c r="CF48" i="5" s="1"/>
  <c r="CE74" i="5"/>
  <c r="CE232" i="5" s="1"/>
  <c r="CE157" i="5"/>
  <c r="CE43" i="5"/>
  <c r="CR104" i="5" l="1"/>
  <c r="CQ105" i="5"/>
  <c r="CJ119" i="5"/>
  <c r="CH142" i="5"/>
  <c r="CH153" i="5" s="1"/>
  <c r="CF49" i="5"/>
  <c r="CG157" i="5"/>
  <c r="CG74" i="5"/>
  <c r="CG43" i="5"/>
  <c r="CH42" i="5"/>
  <c r="CF52" i="5" l="1"/>
  <c r="CF170" i="5"/>
  <c r="CS104" i="5"/>
  <c r="CR105" i="5"/>
  <c r="CK119" i="5"/>
  <c r="CH74" i="5"/>
  <c r="CG232" i="5"/>
  <c r="CH146" i="5"/>
  <c r="CH157" i="5"/>
  <c r="CH43" i="5"/>
  <c r="CF76" i="5"/>
  <c r="CF50" i="5"/>
  <c r="CI142" i="5"/>
  <c r="CH232" i="5" l="1"/>
  <c r="CF66" i="5"/>
  <c r="CF57" i="5"/>
  <c r="CF63" i="5"/>
  <c r="CT104" i="5"/>
  <c r="CS105" i="5"/>
  <c r="CL119" i="5"/>
  <c r="CI153" i="5"/>
  <c r="CI42" i="5"/>
  <c r="CK142" i="5"/>
  <c r="CJ142" i="5"/>
  <c r="CF73" i="5" l="1"/>
  <c r="CF461" i="5"/>
  <c r="CF161" i="5"/>
  <c r="CF452" i="5"/>
  <c r="CF64" i="5"/>
  <c r="CU104" i="5"/>
  <c r="CT105" i="5"/>
  <c r="CM119" i="5"/>
  <c r="CK153" i="5"/>
  <c r="CK156" i="5" s="1"/>
  <c r="CK42" i="5"/>
  <c r="CI157" i="5"/>
  <c r="CI74" i="5"/>
  <c r="CI232" i="5" s="1"/>
  <c r="CI43" i="5"/>
  <c r="CJ153" i="5"/>
  <c r="CJ42" i="5"/>
  <c r="CV104" i="5" l="1"/>
  <c r="CU105" i="5"/>
  <c r="CN119" i="5"/>
  <c r="CJ74" i="5"/>
  <c r="CJ232" i="5" s="1"/>
  <c r="CJ157" i="5"/>
  <c r="CJ43" i="5"/>
  <c r="CL142" i="5"/>
  <c r="CK157" i="5"/>
  <c r="CK74" i="5"/>
  <c r="CK232" i="5" s="1"/>
  <c r="CK43" i="5"/>
  <c r="CK48" i="5" s="1"/>
  <c r="CW104" i="5" l="1"/>
  <c r="CV105" i="5"/>
  <c r="CO119" i="5"/>
  <c r="CK49" i="5"/>
  <c r="CL153" i="5"/>
  <c r="CL42" i="5"/>
  <c r="CM142" i="5"/>
  <c r="CM153" i="5" s="1"/>
  <c r="CK52" i="5" l="1"/>
  <c r="CK170" i="5"/>
  <c r="CX104" i="5"/>
  <c r="CW105" i="5"/>
  <c r="CP119" i="5"/>
  <c r="CK76" i="5"/>
  <c r="CK50" i="5"/>
  <c r="CN142" i="5"/>
  <c r="CL157" i="5"/>
  <c r="CL74" i="5"/>
  <c r="CL43" i="5"/>
  <c r="CM42" i="5"/>
  <c r="CK66" i="5" l="1"/>
  <c r="CK57" i="5"/>
  <c r="CK63" i="5"/>
  <c r="CY104" i="5"/>
  <c r="CX105" i="5"/>
  <c r="CQ119" i="5"/>
  <c r="CM74" i="5"/>
  <c r="CL232" i="5"/>
  <c r="CM232" i="5" s="1"/>
  <c r="CN153" i="5"/>
  <c r="CN42" i="5"/>
  <c r="CM157" i="5"/>
  <c r="CM146" i="5"/>
  <c r="CM43" i="5"/>
  <c r="CO142" i="5"/>
  <c r="CK64" i="5" l="1"/>
  <c r="CK461" i="5"/>
  <c r="CK452" i="5"/>
  <c r="CK161" i="5"/>
  <c r="CK73" i="5"/>
  <c r="CZ104" i="5"/>
  <c r="CY105" i="5"/>
  <c r="CR119" i="5"/>
  <c r="CO153" i="5"/>
  <c r="CO42" i="5"/>
  <c r="CP142" i="5"/>
  <c r="CQ142" i="5"/>
  <c r="CN157" i="5"/>
  <c r="CN74" i="5"/>
  <c r="CN232" i="5" s="1"/>
  <c r="CN43" i="5"/>
  <c r="DA104" i="5" l="1"/>
  <c r="CZ105" i="5"/>
  <c r="CS119" i="5"/>
  <c r="CP153" i="5"/>
  <c r="CP156" i="5" s="1"/>
  <c r="CP42" i="5"/>
  <c r="CO157" i="5"/>
  <c r="CO74" i="5"/>
  <c r="CO232" i="5" s="1"/>
  <c r="CO43" i="5"/>
  <c r="CQ153" i="5"/>
  <c r="CQ42" i="5"/>
  <c r="DB104" i="5" l="1"/>
  <c r="DB105" i="5" s="1"/>
  <c r="DA105" i="5"/>
  <c r="CT119" i="5"/>
  <c r="CQ74" i="5"/>
  <c r="CQ232" i="5" s="1"/>
  <c r="CQ157" i="5"/>
  <c r="CQ43" i="5"/>
  <c r="CP157" i="5"/>
  <c r="CP74" i="5"/>
  <c r="CP43" i="5"/>
  <c r="CP48" i="5" s="1"/>
  <c r="CR42" i="5"/>
  <c r="CR142" i="5"/>
  <c r="CR153" i="5" s="1"/>
  <c r="CU119" i="5" l="1"/>
  <c r="CR74" i="5"/>
  <c r="CP232" i="5"/>
  <c r="CR232" i="5" s="1"/>
  <c r="CT142" i="5"/>
  <c r="CS142" i="5"/>
  <c r="CR146" i="5"/>
  <c r="CR157" i="5"/>
  <c r="CR43" i="5"/>
  <c r="CP49" i="5"/>
  <c r="CP237" i="5" l="1"/>
  <c r="CP170" i="5" s="1"/>
  <c r="CP52" i="5"/>
  <c r="CV119" i="5"/>
  <c r="CT153" i="5"/>
  <c r="CT42" i="5"/>
  <c r="CP76" i="5"/>
  <c r="CP50" i="5"/>
  <c r="CS153" i="5"/>
  <c r="CS42" i="5"/>
  <c r="CU142" i="5"/>
  <c r="CP63" i="5" l="1"/>
  <c r="CP66" i="5"/>
  <c r="CP57" i="5"/>
  <c r="CW119" i="5"/>
  <c r="CU153" i="5"/>
  <c r="CU156" i="5" s="1"/>
  <c r="CU42" i="5"/>
  <c r="CT74" i="5"/>
  <c r="CT232" i="5" s="1"/>
  <c r="CT157" i="5"/>
  <c r="CT43" i="5"/>
  <c r="CV142" i="5"/>
  <c r="CS157" i="5"/>
  <c r="CS74" i="5"/>
  <c r="CS232" i="5" s="1"/>
  <c r="CS43" i="5"/>
  <c r="CP161" i="5" l="1"/>
  <c r="CP461" i="5"/>
  <c r="CP73" i="5"/>
  <c r="CP64" i="5"/>
  <c r="CP452" i="5"/>
  <c r="CX119" i="5"/>
  <c r="CV153" i="5"/>
  <c r="CV42" i="5"/>
  <c r="CU74" i="5"/>
  <c r="CU232" i="5" s="1"/>
  <c r="CU157" i="5"/>
  <c r="CU43" i="5"/>
  <c r="CU48" i="5" s="1"/>
  <c r="CY119" i="5" l="1"/>
  <c r="CU49" i="5"/>
  <c r="CU237" i="5" s="1"/>
  <c r="CW142" i="5"/>
  <c r="CW153" i="5" s="1"/>
  <c r="CV157" i="5"/>
  <c r="CV74" i="5"/>
  <c r="CV43" i="5"/>
  <c r="CW42" i="5"/>
  <c r="CU170" i="5" l="1"/>
  <c r="CU52" i="5"/>
  <c r="CZ119" i="5"/>
  <c r="CW74" i="5"/>
  <c r="CV232" i="5"/>
  <c r="CW232" i="5" s="1"/>
  <c r="CW146" i="5"/>
  <c r="CW157" i="5"/>
  <c r="CW43" i="5"/>
  <c r="CY142" i="5"/>
  <c r="CX142" i="5"/>
  <c r="CU50" i="5"/>
  <c r="CU76" i="5"/>
  <c r="CU63" i="5" l="1"/>
  <c r="CU66" i="5"/>
  <c r="CU57" i="5"/>
  <c r="DA119" i="5"/>
  <c r="CY153" i="5"/>
  <c r="CY42" i="5"/>
  <c r="CZ142" i="5"/>
  <c r="CX153" i="5"/>
  <c r="CX42" i="5"/>
  <c r="CU452" i="5" l="1"/>
  <c r="CU461" i="5"/>
  <c r="CU64" i="5"/>
  <c r="CU161" i="5"/>
  <c r="CU73" i="5"/>
  <c r="DB119" i="5"/>
  <c r="CZ153" i="5"/>
  <c r="CZ156" i="5" s="1"/>
  <c r="CZ42" i="5"/>
  <c r="CY74" i="5"/>
  <c r="CY232" i="5" s="1"/>
  <c r="CY157" i="5"/>
  <c r="CY43" i="5"/>
  <c r="CX157" i="5"/>
  <c r="CX74" i="5"/>
  <c r="CX232" i="5" s="1"/>
  <c r="CX43" i="5"/>
  <c r="CZ74" i="5" l="1"/>
  <c r="CZ232" i="5" s="1"/>
  <c r="CZ157" i="5"/>
  <c r="CZ43" i="5"/>
  <c r="CZ48" i="5" s="1"/>
  <c r="DA142" i="5"/>
  <c r="DA153" i="5" l="1"/>
  <c r="DA42" i="5"/>
  <c r="CZ49" i="5"/>
  <c r="CZ237" i="5" s="1"/>
  <c r="DB142" i="5"/>
  <c r="DB153" i="5" s="1"/>
  <c r="CZ170" i="5" l="1"/>
  <c r="CZ50" i="5"/>
  <c r="CZ76" i="5"/>
  <c r="DA74" i="5"/>
  <c r="DA157" i="5"/>
  <c r="DA43" i="5"/>
  <c r="DB42" i="5"/>
  <c r="CZ52" i="5"/>
  <c r="DB74" i="5" l="1"/>
  <c r="DA232" i="5"/>
  <c r="DB232" i="5" s="1"/>
  <c r="CZ63" i="5"/>
  <c r="CZ66" i="5"/>
  <c r="CZ57" i="5"/>
  <c r="DB146" i="5"/>
  <c r="DB157" i="5"/>
  <c r="DB43" i="5"/>
  <c r="CZ461" i="5" l="1"/>
  <c r="CZ64" i="5"/>
  <c r="CZ452" i="5"/>
  <c r="CZ73" i="5"/>
  <c r="CZ161" i="5"/>
  <c r="BM206" i="5" l="1"/>
  <c r="BM207" i="5"/>
  <c r="BM208" i="5"/>
  <c r="BM209" i="5"/>
  <c r="BM210" i="5"/>
  <c r="BM451" i="5" l="1"/>
  <c r="BN132" i="5"/>
  <c r="BO451" i="5" s="1"/>
  <c r="BN451" i="5" l="1"/>
  <c r="BQ451" i="5" l="1"/>
  <c r="BR451" i="5" l="1"/>
  <c r="BS132" i="5"/>
  <c r="BT132" i="5" s="1"/>
  <c r="BU132" i="5" l="1"/>
  <c r="BS451" i="5"/>
  <c r="BV132" i="5" l="1"/>
  <c r="BT451" i="5"/>
  <c r="BW132" i="5" l="1"/>
  <c r="BU451" i="5"/>
  <c r="BX132" i="5" l="1"/>
  <c r="BY132" i="5" s="1"/>
  <c r="BV451" i="5"/>
  <c r="BZ132" i="5" l="1"/>
  <c r="BW451" i="5"/>
  <c r="CA132" i="5" l="1"/>
  <c r="BX451" i="5"/>
  <c r="CB132" i="5" l="1"/>
  <c r="BY451" i="5"/>
  <c r="CC132" i="5" l="1"/>
  <c r="CD132" i="5" s="1"/>
  <c r="BZ451" i="5"/>
  <c r="CE132" i="5" l="1"/>
  <c r="CA451" i="5"/>
  <c r="CF132" i="5" l="1"/>
  <c r="CB451" i="5"/>
  <c r="CG132" i="5" l="1"/>
  <c r="CC451" i="5"/>
  <c r="CH132" i="5" l="1"/>
  <c r="CI132" i="5" s="1"/>
  <c r="CJ132" i="5" s="1"/>
  <c r="CK132" i="5" s="1"/>
  <c r="CL132" i="5" s="1"/>
  <c r="CM132" i="5" s="1"/>
  <c r="CN132" i="5" s="1"/>
  <c r="CO132" i="5" s="1"/>
  <c r="CP132" i="5" s="1"/>
  <c r="CQ132" i="5" s="1"/>
  <c r="CR132" i="5" s="1"/>
  <c r="CS132" i="5" s="1"/>
  <c r="CT132" i="5" s="1"/>
  <c r="CU132" i="5" s="1"/>
  <c r="CV132" i="5" s="1"/>
  <c r="CW132" i="5" s="1"/>
  <c r="CX132" i="5" s="1"/>
  <c r="CY132" i="5" s="1"/>
  <c r="CZ132" i="5" s="1"/>
  <c r="DA132" i="5" s="1"/>
  <c r="DB132" i="5" s="1"/>
  <c r="CD451" i="5"/>
  <c r="CE451" i="5" l="1"/>
  <c r="CF451" i="5" l="1"/>
  <c r="CG451" i="5" l="1"/>
  <c r="CH451" i="5" l="1"/>
  <c r="CI451" i="5" l="1"/>
  <c r="CJ451" i="5" l="1"/>
  <c r="CK451" i="5" l="1"/>
  <c r="CL451" i="5" l="1"/>
  <c r="CM451" i="5" l="1"/>
  <c r="CN451" i="5" l="1"/>
  <c r="CO451" i="5" l="1"/>
  <c r="CP451" i="5" l="1"/>
  <c r="CQ451" i="5" l="1"/>
  <c r="CR451" i="5" l="1"/>
  <c r="CS451" i="5" l="1"/>
  <c r="CT451" i="5" l="1"/>
  <c r="CU451" i="5" l="1"/>
  <c r="CV451" i="5" l="1"/>
  <c r="CW451" i="5" l="1"/>
  <c r="CX451" i="5" l="1"/>
  <c r="CY451" i="5" l="1"/>
  <c r="CZ451" i="5" l="1"/>
  <c r="DA451" i="5" l="1"/>
  <c r="DB451" i="5" l="1"/>
  <c r="BN453" i="5"/>
  <c r="BM211" i="5"/>
  <c r="BM453" i="5" l="1"/>
  <c r="BM212" i="5"/>
  <c r="BM213" i="5"/>
  <c r="BN214" i="5"/>
  <c r="BN218" i="5" l="1"/>
  <c r="BN220" i="5" s="1"/>
  <c r="BM214" i="5"/>
  <c r="BM218" i="5" s="1"/>
  <c r="BM220" i="5" s="1"/>
  <c r="BM84" i="5" s="1"/>
  <c r="BM455" i="5"/>
  <c r="BM457" i="5" s="1"/>
  <c r="BM136" i="5"/>
  <c r="BM138" i="5" s="1"/>
  <c r="BS219" i="5" l="1"/>
  <c r="BO219" i="5"/>
  <c r="BN134" i="5"/>
  <c r="BM458" i="5"/>
  <c r="BM143" i="5"/>
  <c r="BM92" i="5"/>
  <c r="BM107" i="5" s="1"/>
  <c r="BM139" i="5" s="1"/>
  <c r="BN84" i="5"/>
  <c r="BO214" i="5"/>
  <c r="BO218" i="5" s="1"/>
  <c r="BM221" i="5"/>
  <c r="BO220" i="5" l="1"/>
  <c r="BP143" i="5"/>
  <c r="BN221" i="5"/>
  <c r="BN136" i="5"/>
  <c r="BN138" i="5" s="1"/>
  <c r="BO455" i="5"/>
  <c r="BN455" i="5"/>
  <c r="BN457" i="5" s="1"/>
  <c r="BO450" i="5" s="1"/>
  <c r="BN92" i="5"/>
  <c r="BN107" i="5" s="1"/>
  <c r="BN143" i="5"/>
  <c r="BM144" i="5"/>
  <c r="BM154" i="5"/>
  <c r="BM155" i="5" s="1"/>
  <c r="BM145" i="5"/>
  <c r="BO84" i="5"/>
  <c r="BP219" i="5"/>
  <c r="BP154" i="5" l="1"/>
  <c r="BO143" i="5"/>
  <c r="BN139" i="5"/>
  <c r="BO457" i="5"/>
  <c r="BP450" i="5" s="1"/>
  <c r="BN458" i="5"/>
  <c r="BO136" i="5"/>
  <c r="BO138" i="5" s="1"/>
  <c r="BO92" i="5"/>
  <c r="BO107" i="5" s="1"/>
  <c r="BN144" i="5"/>
  <c r="BN145" i="5"/>
  <c r="BN154" i="5"/>
  <c r="BN155" i="5" s="1"/>
  <c r="BS450" i="5"/>
  <c r="BO221" i="5"/>
  <c r="BO145" i="5" l="1"/>
  <c r="BO154" i="5"/>
  <c r="BO144" i="5"/>
  <c r="BO155" i="5"/>
  <c r="BO458" i="5"/>
  <c r="BO139" i="5"/>
  <c r="BT15" i="5" l="1"/>
  <c r="BT18" i="5" l="1"/>
  <c r="BP18" i="5" l="1"/>
  <c r="BP28" i="5" s="1"/>
  <c r="BP48" i="5" s="1"/>
  <c r="BP36" i="5" l="1"/>
  <c r="BP446" i="5"/>
  <c r="BP488" i="5"/>
  <c r="BP156" i="5" l="1"/>
  <c r="BP145" i="5"/>
  <c r="BP490" i="5"/>
  <c r="BP124" i="5"/>
  <c r="BP126" i="5" s="1"/>
  <c r="BP50" i="5" l="1"/>
  <c r="BP52" i="5"/>
  <c r="BP63" i="5" l="1"/>
  <c r="BP66" i="5"/>
  <c r="BP57" i="5"/>
  <c r="BP461" i="5" l="1"/>
  <c r="BP452" i="5"/>
  <c r="BP73" i="5"/>
  <c r="BP78" i="5" s="1"/>
  <c r="BP64" i="5"/>
  <c r="BP455" i="5" l="1"/>
  <c r="BP457" i="5" s="1"/>
  <c r="BP187" i="5"/>
  <c r="BP214" i="5" l="1"/>
  <c r="BP218" i="5" l="1"/>
  <c r="BP220" i="5" s="1"/>
  <c r="BQ219" i="5" s="1"/>
  <c r="BQ220" i="5" s="1"/>
  <c r="BP136" i="5"/>
  <c r="BP138" i="5" l="1"/>
  <c r="BP144" i="5"/>
  <c r="BP155" i="5"/>
  <c r="BP458" i="5"/>
  <c r="BQ450" i="5"/>
  <c r="BP92" i="5"/>
  <c r="BP107" i="5" s="1"/>
  <c r="BP221" i="5"/>
  <c r="BP139" i="5" l="1"/>
  <c r="BY75" i="5" l="1"/>
  <c r="CC75" i="5" s="1"/>
  <c r="BY163" i="5"/>
  <c r="CC163" i="5" s="1"/>
  <c r="BY24" i="5"/>
  <c r="CC22" i="5"/>
  <c r="CC24" i="5" s="1"/>
  <c r="BT75" i="5"/>
  <c r="BX75" i="5" s="1"/>
  <c r="BT163" i="5"/>
  <c r="BX22" i="5"/>
  <c r="BX24" i="5" s="1"/>
  <c r="BT24" i="5"/>
  <c r="BT28" i="5" s="1"/>
  <c r="BT48" i="5" s="1"/>
  <c r="CD75" i="5" l="1"/>
  <c r="CH75" i="5" s="1"/>
  <c r="CD163" i="5"/>
  <c r="CH163" i="5" s="1"/>
  <c r="CH22" i="5"/>
  <c r="CH24" i="5" s="1"/>
  <c r="CD24" i="5"/>
  <c r="BT488" i="5"/>
  <c r="BT36" i="5"/>
  <c r="BX163" i="5"/>
  <c r="BT100" i="5"/>
  <c r="BU100" i="5" s="1"/>
  <c r="BV100" i="5" s="1"/>
  <c r="BW100" i="5" s="1"/>
  <c r="BT156" i="5" l="1"/>
  <c r="BT490" i="5"/>
  <c r="BT49" i="5"/>
  <c r="BT52" i="5" s="1"/>
  <c r="BX100" i="5"/>
  <c r="BY100" i="5"/>
  <c r="BZ100" i="5" s="1"/>
  <c r="CA100" i="5" s="1"/>
  <c r="CB100" i="5" s="1"/>
  <c r="CI163" i="5"/>
  <c r="CM163" i="5" s="1"/>
  <c r="CI75" i="5"/>
  <c r="CM75" i="5" s="1"/>
  <c r="CM22" i="5"/>
  <c r="CM24" i="5" s="1"/>
  <c r="CI24" i="5"/>
  <c r="BT76" i="5" l="1"/>
  <c r="BT50" i="5"/>
  <c r="BT170" i="5"/>
  <c r="CN75" i="5"/>
  <c r="CR75" i="5" s="1"/>
  <c r="CN163" i="5"/>
  <c r="CR163" i="5" s="1"/>
  <c r="CR22" i="5"/>
  <c r="CR24" i="5" s="1"/>
  <c r="CN24" i="5"/>
  <c r="BT63" i="5"/>
  <c r="BT57" i="5"/>
  <c r="BT66" i="5"/>
  <c r="CC100" i="5"/>
  <c r="CD100" i="5"/>
  <c r="CE100" i="5" s="1"/>
  <c r="CF100" i="5" s="1"/>
  <c r="CG100" i="5" s="1"/>
  <c r="BT461" i="5" l="1"/>
  <c r="CS75" i="5"/>
  <c r="CW75" i="5" s="1"/>
  <c r="CS163" i="5"/>
  <c r="CW163" i="5" s="1"/>
  <c r="CW22" i="5"/>
  <c r="CW24" i="5" s="1"/>
  <c r="CS24" i="5"/>
  <c r="BT64" i="5"/>
  <c r="BT452" i="5"/>
  <c r="BT73" i="5"/>
  <c r="BT161" i="5"/>
  <c r="CH100" i="5"/>
  <c r="CI100" i="5"/>
  <c r="CJ100" i="5" s="1"/>
  <c r="CK100" i="5" s="1"/>
  <c r="CL100" i="5" s="1"/>
  <c r="CX163" i="5" l="1"/>
  <c r="DB163" i="5" s="1"/>
  <c r="CX75" i="5"/>
  <c r="DB75" i="5" s="1"/>
  <c r="DB22" i="5"/>
  <c r="DB24" i="5" s="1"/>
  <c r="CX24" i="5"/>
  <c r="CM100" i="5"/>
  <c r="CN100" i="5"/>
  <c r="CO100" i="5" s="1"/>
  <c r="CP100" i="5" s="1"/>
  <c r="CQ100" i="5" s="1"/>
  <c r="CR100" i="5" l="1"/>
  <c r="CS100" i="5"/>
  <c r="CT100" i="5" s="1"/>
  <c r="CU100" i="5" s="1"/>
  <c r="CV100" i="5" s="1"/>
  <c r="CW100" i="5" l="1"/>
  <c r="CX100" i="5"/>
  <c r="CY100" i="5" s="1"/>
  <c r="CZ100" i="5" s="1"/>
  <c r="DA100" i="5" s="1"/>
  <c r="DB100" i="5" s="1"/>
  <c r="BP79" i="5" l="1"/>
  <c r="BS77" i="5"/>
  <c r="BP231" i="5" l="1"/>
  <c r="BT77" i="5"/>
  <c r="BT171" i="5" l="1"/>
  <c r="BU77" i="5"/>
  <c r="BT79" i="5"/>
  <c r="BP238" i="5"/>
  <c r="BT231" i="5" l="1"/>
  <c r="BP239" i="5"/>
  <c r="BU171" i="5"/>
  <c r="BV77" i="5"/>
  <c r="BT123" i="5"/>
  <c r="BP244" i="5" l="1"/>
  <c r="BT238" i="5"/>
  <c r="BV79" i="5"/>
  <c r="BW77" i="5"/>
  <c r="BX77" i="5" s="1"/>
  <c r="BV171" i="5"/>
  <c r="BU123" i="5"/>
  <c r="BT239" i="5" l="1"/>
  <c r="BV231" i="5"/>
  <c r="BY77" i="5"/>
  <c r="BW171" i="5"/>
  <c r="BV123" i="5"/>
  <c r="BT244" i="5" l="1"/>
  <c r="BV238" i="5"/>
  <c r="BX171" i="5"/>
  <c r="BW123" i="5"/>
  <c r="BY171" i="5"/>
  <c r="BZ77" i="5"/>
  <c r="BV239" i="5" l="1"/>
  <c r="BZ171" i="5"/>
  <c r="CA77" i="5"/>
  <c r="BX123" i="5"/>
  <c r="BV244" i="5" l="1"/>
  <c r="BY123" i="5"/>
  <c r="CA79" i="5"/>
  <c r="CA171" i="5"/>
  <c r="CB77" i="5"/>
  <c r="CA231" i="5" l="1"/>
  <c r="CB171" i="5"/>
  <c r="CC77" i="5"/>
  <c r="BZ123" i="5"/>
  <c r="CA238" i="5" l="1"/>
  <c r="CC171" i="5"/>
  <c r="CA123" i="5"/>
  <c r="CD77" i="5"/>
  <c r="CA239" i="5" l="1"/>
  <c r="CA244" i="5" s="1"/>
  <c r="CD171" i="5"/>
  <c r="CE77" i="5"/>
  <c r="CB123" i="5"/>
  <c r="CC123" i="5" l="1"/>
  <c r="CE171" i="5"/>
  <c r="CF77" i="5"/>
  <c r="CF79" i="5" l="1"/>
  <c r="CG77" i="5"/>
  <c r="CH77" i="5" s="1"/>
  <c r="CF171" i="5"/>
  <c r="CD123" i="5"/>
  <c r="CF231" i="5" l="1"/>
  <c r="CI77" i="5"/>
  <c r="CG171" i="5"/>
  <c r="CE123" i="5"/>
  <c r="CF238" i="5" l="1"/>
  <c r="CF123" i="5"/>
  <c r="CH171" i="5"/>
  <c r="CI171" i="5"/>
  <c r="CJ77" i="5"/>
  <c r="CF239" i="5" l="1"/>
  <c r="CG123" i="5"/>
  <c r="CJ171" i="5"/>
  <c r="CK77" i="5"/>
  <c r="CF244" i="5" l="1"/>
  <c r="CH123" i="5"/>
  <c r="CK79" i="5"/>
  <c r="CL77" i="5"/>
  <c r="CM77" i="5" s="1"/>
  <c r="CK171" i="5"/>
  <c r="CK231" i="5" l="1"/>
  <c r="CN77" i="5"/>
  <c r="CL171" i="5"/>
  <c r="CI123" i="5"/>
  <c r="CK238" i="5" l="1"/>
  <c r="CM171" i="5"/>
  <c r="CJ123" i="5"/>
  <c r="CO77" i="5"/>
  <c r="CN171" i="5"/>
  <c r="CK239" i="5" l="1"/>
  <c r="CO171" i="5"/>
  <c r="CP77" i="5"/>
  <c r="CK123" i="5"/>
  <c r="CK244" i="5" l="1"/>
  <c r="CL123" i="5"/>
  <c r="CP79" i="5"/>
  <c r="CP171" i="5"/>
  <c r="CQ77" i="5"/>
  <c r="CP231" i="5" l="1"/>
  <c r="CP238" i="5" s="1"/>
  <c r="CQ171" i="5"/>
  <c r="CR77" i="5"/>
  <c r="CM123" i="5"/>
  <c r="CP239" i="5" l="1"/>
  <c r="CN123" i="5"/>
  <c r="CS77" i="5"/>
  <c r="CR171" i="5"/>
  <c r="CP244" i="5" l="1"/>
  <c r="CS171" i="5"/>
  <c r="CT77" i="5"/>
  <c r="CO123" i="5"/>
  <c r="CP123" i="5" l="1"/>
  <c r="CT171" i="5"/>
  <c r="CU77" i="5"/>
  <c r="CV77" i="5" l="1"/>
  <c r="CU171" i="5"/>
  <c r="CU79" i="5"/>
  <c r="CQ123" i="5"/>
  <c r="CU231" i="5" l="1"/>
  <c r="CU238" i="5" s="1"/>
  <c r="CV171" i="5"/>
  <c r="CW77" i="5"/>
  <c r="CR123" i="5"/>
  <c r="CU239" i="5" l="1"/>
  <c r="CW171" i="5"/>
  <c r="CS123" i="5"/>
  <c r="CX77" i="5"/>
  <c r="CU244" i="5" l="1"/>
  <c r="CX171" i="5"/>
  <c r="CY77" i="5"/>
  <c r="CT123" i="5"/>
  <c r="CZ77" i="5" l="1"/>
  <c r="CY171" i="5"/>
  <c r="CU123" i="5"/>
  <c r="CV123" i="5" l="1"/>
  <c r="DA77" i="5"/>
  <c r="CZ79" i="5"/>
  <c r="CZ171" i="5"/>
  <c r="CZ231" i="5" l="1"/>
  <c r="CZ238" i="5" s="1"/>
  <c r="DA171" i="5"/>
  <c r="DB77" i="5"/>
  <c r="CW123" i="5"/>
  <c r="CZ239" i="5" l="1"/>
  <c r="DB171" i="5"/>
  <c r="CX123" i="5"/>
  <c r="CZ244" i="5" l="1"/>
  <c r="CY123" i="5"/>
  <c r="CZ123" i="5" l="1"/>
  <c r="DA123" i="5" l="1"/>
  <c r="DB123" i="5" l="1"/>
  <c r="BT431" i="5" l="1"/>
  <c r="BT433" i="5" l="1"/>
  <c r="BT434" i="5" s="1"/>
  <c r="BT430" i="5"/>
  <c r="BX430" i="5" s="1"/>
  <c r="BY431" i="5"/>
  <c r="BX431" i="5"/>
  <c r="BX432" i="5" l="1"/>
  <c r="CC431" i="5"/>
  <c r="CD431" i="5"/>
  <c r="BY433" i="5"/>
  <c r="BY434" i="5" s="1"/>
  <c r="BY430" i="5"/>
  <c r="CC430" i="5" s="1"/>
  <c r="BT440" i="5"/>
  <c r="BX434" i="5"/>
  <c r="BX440" i="5" s="1"/>
  <c r="BO34" i="5"/>
  <c r="CC434" i="5" l="1"/>
  <c r="CC433" i="5" s="1"/>
  <c r="BY440" i="5"/>
  <c r="BT443" i="5"/>
  <c r="BT441" i="5"/>
  <c r="BT446" i="5"/>
  <c r="CD433" i="5"/>
  <c r="CD434" i="5" s="1"/>
  <c r="CD430" i="5"/>
  <c r="CH430" i="5" s="1"/>
  <c r="CH431" i="5"/>
  <c r="CI431" i="5"/>
  <c r="BX443" i="5"/>
  <c r="BX441" i="5"/>
  <c r="CC432" i="5"/>
  <c r="BX433" i="5"/>
  <c r="CI430" i="5" l="1"/>
  <c r="CM430" i="5" s="1"/>
  <c r="CN431" i="5"/>
  <c r="CI433" i="5"/>
  <c r="CI434" i="5" s="1"/>
  <c r="CM431" i="5"/>
  <c r="CH432" i="5"/>
  <c r="BY443" i="5"/>
  <c r="BY441" i="5"/>
  <c r="CD440" i="5"/>
  <c r="CH434" i="5"/>
  <c r="CC435" i="5"/>
  <c r="CC440" i="5"/>
  <c r="CI440" i="5" l="1"/>
  <c r="CM434" i="5"/>
  <c r="CM433" i="5" s="1"/>
  <c r="CD443" i="5"/>
  <c r="CD441" i="5"/>
  <c r="CC441" i="5"/>
  <c r="CC443" i="5"/>
  <c r="CH435" i="5"/>
  <c r="CH440" i="5"/>
  <c r="CH433" i="5"/>
  <c r="CM432" i="5"/>
  <c r="CR431" i="5"/>
  <c r="CN430" i="5"/>
  <c r="CR430" i="5" s="1"/>
  <c r="CS431" i="5"/>
  <c r="CN433" i="5"/>
  <c r="CN434" i="5" s="1"/>
  <c r="CR434" i="5" l="1"/>
  <c r="CR433" i="5" s="1"/>
  <c r="CN440" i="5"/>
  <c r="CR432" i="5"/>
  <c r="CH441" i="5"/>
  <c r="CH443" i="5"/>
  <c r="CM435" i="5"/>
  <c r="CM440" i="5"/>
  <c r="CX431" i="5"/>
  <c r="CW431" i="5"/>
  <c r="CS433" i="5"/>
  <c r="CS434" i="5" s="1"/>
  <c r="CS430" i="5"/>
  <c r="CW430" i="5" s="1"/>
  <c r="CI443" i="5"/>
  <c r="CI441" i="5"/>
  <c r="CS440" i="5" l="1"/>
  <c r="CW434" i="5"/>
  <c r="CW433" i="5" s="1"/>
  <c r="CN443" i="5"/>
  <c r="CN441" i="5"/>
  <c r="CW432" i="5"/>
  <c r="CX433" i="5"/>
  <c r="CX434" i="5" s="1"/>
  <c r="DB431" i="5"/>
  <c r="CX430" i="5"/>
  <c r="DB430" i="5" s="1"/>
  <c r="CM443" i="5"/>
  <c r="CM441" i="5"/>
  <c r="CR435" i="5"/>
  <c r="CR440" i="5"/>
  <c r="CR443" i="5" l="1"/>
  <c r="CR441" i="5"/>
  <c r="CX440" i="5"/>
  <c r="DB434" i="5"/>
  <c r="DB433" i="5" s="1"/>
  <c r="CW435" i="5"/>
  <c r="CW440" i="5"/>
  <c r="DB432" i="5"/>
  <c r="CS443" i="5"/>
  <c r="CS441" i="5"/>
  <c r="CX443" i="5" l="1"/>
  <c r="CX441" i="5"/>
  <c r="CW443" i="5"/>
  <c r="CW441" i="5"/>
  <c r="DB440" i="5"/>
  <c r="DB435" i="5"/>
  <c r="DB441" i="5" l="1"/>
  <c r="DB443" i="5"/>
  <c r="BY15" i="5" l="1"/>
  <c r="CD15" i="5" l="1"/>
  <c r="BY18" i="5"/>
  <c r="BY28" i="5" s="1"/>
  <c r="BY48" i="5" l="1"/>
  <c r="BY49" i="5" s="1"/>
  <c r="BY488" i="5"/>
  <c r="BY36" i="5"/>
  <c r="BY446" i="5"/>
  <c r="CD18" i="5"/>
  <c r="CD28" i="5" s="1"/>
  <c r="CI15" i="5" l="1"/>
  <c r="CD48" i="5"/>
  <c r="CD49" i="5" s="1"/>
  <c r="CD36" i="5"/>
  <c r="CD488" i="5"/>
  <c r="CD446" i="5"/>
  <c r="CN15" i="5"/>
  <c r="BY156" i="5"/>
  <c r="BY490" i="5"/>
  <c r="BY52" i="5"/>
  <c r="BY170" i="5"/>
  <c r="BY76" i="5"/>
  <c r="BY50" i="5"/>
  <c r="CI18" i="5" l="1"/>
  <c r="CI28" i="5" s="1"/>
  <c r="CI48" i="5" s="1"/>
  <c r="CI49" i="5" s="1"/>
  <c r="CS15" i="5"/>
  <c r="CN18" i="5"/>
  <c r="CN28" i="5" s="1"/>
  <c r="CD156" i="5"/>
  <c r="CD490" i="5"/>
  <c r="BY66" i="5"/>
  <c r="BY63" i="5"/>
  <c r="BY57" i="5"/>
  <c r="CX15" i="5"/>
  <c r="CD52" i="5"/>
  <c r="CD50" i="5"/>
  <c r="CD170" i="5"/>
  <c r="CD76" i="5"/>
  <c r="CI446" i="5" l="1"/>
  <c r="CI36" i="5"/>
  <c r="CI488" i="5"/>
  <c r="CN48" i="5"/>
  <c r="CN49" i="5" s="1"/>
  <c r="CN36" i="5"/>
  <c r="CN488" i="5"/>
  <c r="CN446" i="5"/>
  <c r="CD63" i="5"/>
  <c r="CD66" i="5"/>
  <c r="CD57" i="5"/>
  <c r="CX18" i="5"/>
  <c r="CX28" i="5" s="1"/>
  <c r="BY461" i="5"/>
  <c r="BY452" i="5"/>
  <c r="BY161" i="5"/>
  <c r="BY64" i="5"/>
  <c r="BY73" i="5"/>
  <c r="BY79" i="5" s="1"/>
  <c r="CS18" i="5"/>
  <c r="CS28" i="5" s="1"/>
  <c r="CI52" i="5"/>
  <c r="CI50" i="5"/>
  <c r="CI170" i="5"/>
  <c r="CI76" i="5"/>
  <c r="CI490" i="5" l="1"/>
  <c r="BY231" i="5"/>
  <c r="CI156" i="5"/>
  <c r="CX48" i="5"/>
  <c r="CX36" i="5"/>
  <c r="CX488" i="5"/>
  <c r="CX446" i="5"/>
  <c r="CS48" i="5"/>
  <c r="CS49" i="5" s="1"/>
  <c r="CS237" i="5" s="1"/>
  <c r="CS36" i="5"/>
  <c r="CS488" i="5"/>
  <c r="CS446" i="5"/>
  <c r="CD461" i="5"/>
  <c r="CD64" i="5"/>
  <c r="CD161" i="5"/>
  <c r="CD452" i="5"/>
  <c r="CD73" i="5"/>
  <c r="CD79" i="5" s="1"/>
  <c r="CN52" i="5"/>
  <c r="CN76" i="5"/>
  <c r="CN50" i="5"/>
  <c r="CN237" i="5"/>
  <c r="CN170" i="5" s="1"/>
  <c r="CI66" i="5"/>
  <c r="CI63" i="5"/>
  <c r="CI57" i="5"/>
  <c r="CN490" i="5"/>
  <c r="CN156" i="5"/>
  <c r="BY238" i="5" l="1"/>
  <c r="CD231" i="5"/>
  <c r="CS170" i="5"/>
  <c r="CN66" i="5"/>
  <c r="CN57" i="5"/>
  <c r="CN63" i="5"/>
  <c r="CS156" i="5"/>
  <c r="CS490" i="5"/>
  <c r="CX156" i="5"/>
  <c r="CX490" i="5"/>
  <c r="CI461" i="5"/>
  <c r="CI64" i="5"/>
  <c r="CI73" i="5"/>
  <c r="CI79" i="5" s="1"/>
  <c r="CI452" i="5"/>
  <c r="CI161" i="5"/>
  <c r="CS52" i="5"/>
  <c r="CS76" i="5"/>
  <c r="CS50" i="5"/>
  <c r="CX49" i="5"/>
  <c r="CX237" i="5" s="1"/>
  <c r="BY239" i="5" l="1"/>
  <c r="CD238" i="5"/>
  <c r="CI231" i="5"/>
  <c r="CX170" i="5"/>
  <c r="CX50" i="5"/>
  <c r="CX76" i="5"/>
  <c r="CN461" i="5"/>
  <c r="CN452" i="5"/>
  <c r="CN73" i="5"/>
  <c r="CN79" i="5" s="1"/>
  <c r="CN64" i="5"/>
  <c r="CN161" i="5"/>
  <c r="CX52" i="5"/>
  <c r="CS66" i="5"/>
  <c r="CS63" i="5"/>
  <c r="CS57" i="5"/>
  <c r="CD239" i="5" l="1"/>
  <c r="BY244" i="5"/>
  <c r="CI238" i="5"/>
  <c r="CN231" i="5"/>
  <c r="CN238" i="5" s="1"/>
  <c r="CX63" i="5"/>
  <c r="CX57" i="5"/>
  <c r="CX66" i="5"/>
  <c r="CS461" i="5"/>
  <c r="CS452" i="5"/>
  <c r="CS73" i="5"/>
  <c r="CS79" i="5" s="1"/>
  <c r="CS64" i="5"/>
  <c r="CS161" i="5"/>
  <c r="CD244" i="5" l="1"/>
  <c r="CI239" i="5"/>
  <c r="CN239" i="5"/>
  <c r="CN244" i="5" s="1"/>
  <c r="CS231" i="5"/>
  <c r="CS238" i="5" s="1"/>
  <c r="CX461" i="5"/>
  <c r="CX452" i="5"/>
  <c r="CX73" i="5"/>
  <c r="CX79" i="5" s="1"/>
  <c r="CX64" i="5"/>
  <c r="CX161" i="5"/>
  <c r="CI244" i="5" l="1"/>
  <c r="CS239" i="5"/>
  <c r="CX231" i="5"/>
  <c r="CX238" i="5" s="1"/>
  <c r="CS244" i="5" l="1"/>
  <c r="CX239" i="5"/>
  <c r="CX244" i="5" s="1"/>
  <c r="BU15" i="5" l="1"/>
  <c r="BU18" i="5" l="1"/>
  <c r="BU28" i="5" s="1"/>
  <c r="BZ15" i="5"/>
  <c r="BZ18" i="5" l="1"/>
  <c r="BZ28" i="5" s="1"/>
  <c r="BU446" i="5"/>
  <c r="BU488" i="5"/>
  <c r="BU36" i="5"/>
  <c r="BU48" i="5"/>
  <c r="CE15" i="5"/>
  <c r="CE18" i="5" l="1"/>
  <c r="CE28" i="5" s="1"/>
  <c r="BU49" i="5"/>
  <c r="BU52" i="5" s="1"/>
  <c r="BZ446" i="5"/>
  <c r="BZ488" i="5"/>
  <c r="BZ36" i="5"/>
  <c r="BZ48" i="5"/>
  <c r="CJ15" i="5"/>
  <c r="BU490" i="5"/>
  <c r="BU156" i="5"/>
  <c r="CO15" i="5" l="1"/>
  <c r="CJ18" i="5"/>
  <c r="CJ28" i="5" s="1"/>
  <c r="BZ49" i="5"/>
  <c r="BZ52" i="5" s="1"/>
  <c r="BU63" i="5"/>
  <c r="BU66" i="5"/>
  <c r="BU57" i="5"/>
  <c r="CE488" i="5"/>
  <c r="CE36" i="5"/>
  <c r="CE446" i="5"/>
  <c r="CE48" i="5"/>
  <c r="BZ490" i="5"/>
  <c r="BZ156" i="5"/>
  <c r="BU50" i="5"/>
  <c r="BU76" i="5"/>
  <c r="BU170" i="5"/>
  <c r="BZ66" i="5" l="1"/>
  <c r="BZ63" i="5"/>
  <c r="BZ57" i="5"/>
  <c r="CJ446" i="5"/>
  <c r="CJ488" i="5"/>
  <c r="CJ36" i="5"/>
  <c r="CJ48" i="5"/>
  <c r="CO18" i="5"/>
  <c r="CO28" i="5" s="1"/>
  <c r="CY15" i="5"/>
  <c r="CE49" i="5"/>
  <c r="CE52" i="5" s="1"/>
  <c r="CE490" i="5"/>
  <c r="CE156" i="5"/>
  <c r="CT15" i="5"/>
  <c r="BU64" i="5"/>
  <c r="BU461" i="5"/>
  <c r="BU452" i="5"/>
  <c r="BU161" i="5"/>
  <c r="BU73" i="5"/>
  <c r="BZ50" i="5"/>
  <c r="BZ76" i="5"/>
  <c r="BZ170" i="5"/>
  <c r="CT18" i="5" l="1"/>
  <c r="CT28" i="5" s="1"/>
  <c r="CE63" i="5"/>
  <c r="CE66" i="5"/>
  <c r="CE57" i="5"/>
  <c r="CO488" i="5"/>
  <c r="CO36" i="5"/>
  <c r="CO446" i="5"/>
  <c r="CO48" i="5"/>
  <c r="CJ490" i="5"/>
  <c r="CJ156" i="5"/>
  <c r="BU79" i="5"/>
  <c r="CE50" i="5"/>
  <c r="CE170" i="5"/>
  <c r="CE76" i="5"/>
  <c r="CY18" i="5"/>
  <c r="CY28" i="5" s="1"/>
  <c r="CJ49" i="5"/>
  <c r="CJ52" i="5" s="1"/>
  <c r="BZ452" i="5"/>
  <c r="BZ64" i="5"/>
  <c r="BZ461" i="5"/>
  <c r="BZ73" i="5"/>
  <c r="BZ161" i="5"/>
  <c r="BU231" i="5" l="1"/>
  <c r="BZ79" i="5"/>
  <c r="CJ63" i="5"/>
  <c r="CJ66" i="5"/>
  <c r="CJ57" i="5"/>
  <c r="CY488" i="5"/>
  <c r="CY36" i="5"/>
  <c r="CY446" i="5"/>
  <c r="CY48" i="5"/>
  <c r="CO49" i="5"/>
  <c r="CO490" i="5"/>
  <c r="CO156" i="5"/>
  <c r="CT488" i="5"/>
  <c r="CT446" i="5"/>
  <c r="CT36" i="5"/>
  <c r="CT48" i="5"/>
  <c r="CJ50" i="5"/>
  <c r="CJ170" i="5"/>
  <c r="CJ76" i="5"/>
  <c r="CE64" i="5"/>
  <c r="CE452" i="5"/>
  <c r="CE461" i="5"/>
  <c r="CE73" i="5"/>
  <c r="CE161" i="5"/>
  <c r="BU238" i="5" l="1"/>
  <c r="BZ231" i="5"/>
  <c r="CO52" i="5"/>
  <c r="CO57" i="5" s="1"/>
  <c r="CT49" i="5"/>
  <c r="CT237" i="5" s="1"/>
  <c r="CY49" i="5"/>
  <c r="CY237" i="5" s="1"/>
  <c r="CY490" i="5"/>
  <c r="CY156" i="5"/>
  <c r="CJ64" i="5"/>
  <c r="CJ452" i="5"/>
  <c r="CJ461" i="5"/>
  <c r="CJ73" i="5"/>
  <c r="CJ161" i="5"/>
  <c r="CE79" i="5"/>
  <c r="CT490" i="5"/>
  <c r="CT156" i="5"/>
  <c r="CO237" i="5"/>
  <c r="CO50" i="5"/>
  <c r="CO76" i="5"/>
  <c r="BU239" i="5" l="1"/>
  <c r="BZ238" i="5"/>
  <c r="CE231" i="5"/>
  <c r="CO170" i="5"/>
  <c r="CO66" i="5"/>
  <c r="CO63" i="5"/>
  <c r="CY170" i="5"/>
  <c r="CT52" i="5"/>
  <c r="CT66" i="5" s="1"/>
  <c r="CT170" i="5"/>
  <c r="CY50" i="5"/>
  <c r="CY76" i="5"/>
  <c r="CJ79" i="5"/>
  <c r="CY52" i="5"/>
  <c r="CO64" i="5"/>
  <c r="CO461" i="5"/>
  <c r="CO452" i="5"/>
  <c r="CO73" i="5"/>
  <c r="CO161" i="5"/>
  <c r="CT50" i="5"/>
  <c r="CT76" i="5"/>
  <c r="BU244" i="5" l="1"/>
  <c r="BZ239" i="5"/>
  <c r="CE238" i="5"/>
  <c r="CJ231" i="5"/>
  <c r="CT63" i="5"/>
  <c r="CT57" i="5"/>
  <c r="CY66" i="5"/>
  <c r="CY63" i="5"/>
  <c r="CY57" i="5"/>
  <c r="CO79" i="5"/>
  <c r="BZ244" i="5" l="1"/>
  <c r="CE239" i="5"/>
  <c r="CJ238" i="5"/>
  <c r="CO231" i="5"/>
  <c r="CO238" i="5" s="1"/>
  <c r="CT461" i="5"/>
  <c r="CT161" i="5"/>
  <c r="CT64" i="5"/>
  <c r="CT73" i="5"/>
  <c r="CT79" i="5" s="1"/>
  <c r="CT452" i="5"/>
  <c r="CY64" i="5"/>
  <c r="CY461" i="5"/>
  <c r="CY452" i="5"/>
  <c r="CY73" i="5"/>
  <c r="CY161" i="5"/>
  <c r="CE244" i="5" l="1"/>
  <c r="CJ239" i="5"/>
  <c r="CJ244" i="5" s="1"/>
  <c r="CT231" i="5"/>
  <c r="CO239" i="5"/>
  <c r="CY79" i="5"/>
  <c r="CT238" i="5" l="1"/>
  <c r="CY231" i="5"/>
  <c r="CY238" i="5" s="1"/>
  <c r="CO244" i="5"/>
  <c r="CT239" i="5" l="1"/>
  <c r="CT244" i="5" s="1"/>
  <c r="CY239" i="5"/>
  <c r="CY244" i="5" l="1"/>
  <c r="BQ18" i="5" l="1"/>
  <c r="BQ28" i="5" s="1"/>
  <c r="BS17" i="5" l="1"/>
  <c r="BQ446" i="5"/>
  <c r="BQ488" i="5"/>
  <c r="BQ36" i="5"/>
  <c r="BQ48" i="5"/>
  <c r="BQ490" i="5" l="1"/>
  <c r="BQ156" i="5"/>
  <c r="BR28" i="5"/>
  <c r="BR48" i="5" s="1"/>
  <c r="BS15" i="5"/>
  <c r="BR52" i="5" l="1"/>
  <c r="BR50" i="5"/>
  <c r="BS18" i="5"/>
  <c r="BS28" i="5" s="1"/>
  <c r="BQ76" i="5"/>
  <c r="BQ50" i="5"/>
  <c r="BQ52" i="5"/>
  <c r="BR488" i="5"/>
  <c r="BR446" i="5"/>
  <c r="BR36" i="5"/>
  <c r="BR57" i="5" l="1"/>
  <c r="BR64" i="5" s="1"/>
  <c r="BR63" i="5"/>
  <c r="BR66" i="5"/>
  <c r="BQ66" i="5"/>
  <c r="BQ63" i="5"/>
  <c r="BQ57" i="5"/>
  <c r="BR490" i="5"/>
  <c r="BR156" i="5"/>
  <c r="BS446" i="5"/>
  <c r="BS36" i="5"/>
  <c r="BS488" i="5"/>
  <c r="BS48" i="5"/>
  <c r="BQ461" i="5" l="1"/>
  <c r="BQ64" i="5"/>
  <c r="BQ452" i="5"/>
  <c r="BQ73" i="5"/>
  <c r="BQ78" i="5" s="1"/>
  <c r="BR76" i="5"/>
  <c r="BS76" i="5" s="1"/>
  <c r="BS49" i="5"/>
  <c r="BQ124" i="5"/>
  <c r="BQ126" i="5" s="1"/>
  <c r="BS156" i="5"/>
  <c r="BS490" i="5"/>
  <c r="BS120" i="5" l="1"/>
  <c r="BQ79" i="5"/>
  <c r="BS50" i="5"/>
  <c r="BS52" i="5"/>
  <c r="BR452" i="5"/>
  <c r="BR461" i="5"/>
  <c r="BR73" i="5"/>
  <c r="BR78" i="5" l="1"/>
  <c r="BS78" i="5" s="1"/>
  <c r="BQ231" i="5"/>
  <c r="BQ238" i="5"/>
  <c r="BS124" i="5"/>
  <c r="BS126" i="5" s="1"/>
  <c r="BT120" i="5"/>
  <c r="BS63" i="5"/>
  <c r="BS66" i="5"/>
  <c r="BS57" i="5"/>
  <c r="BS73" i="5"/>
  <c r="BS79" i="5" s="1"/>
  <c r="BR79" i="5" l="1"/>
  <c r="BQ239" i="5"/>
  <c r="BT124" i="5"/>
  <c r="BT126" i="5" s="1"/>
  <c r="BU120" i="5"/>
  <c r="BS461" i="5"/>
  <c r="BS64" i="5"/>
  <c r="BS452" i="5"/>
  <c r="BR231" i="5" l="1"/>
  <c r="BQ244" i="5"/>
  <c r="BU124" i="5"/>
  <c r="BU126" i="5" s="1"/>
  <c r="BV120" i="5"/>
  <c r="BQ136" i="5"/>
  <c r="BQ138" i="5" s="1"/>
  <c r="BQ455" i="5"/>
  <c r="BQ457" i="5" s="1"/>
  <c r="BR219" i="5"/>
  <c r="BQ221" i="5"/>
  <c r="BR238" i="5" l="1"/>
  <c r="BS231" i="5"/>
  <c r="BQ458" i="5"/>
  <c r="BR450" i="5"/>
  <c r="BV124" i="5"/>
  <c r="BV126" i="5" s="1"/>
  <c r="BQ92" i="5"/>
  <c r="BQ107" i="5" s="1"/>
  <c r="BQ139" i="5" s="1"/>
  <c r="BQ143" i="5"/>
  <c r="BS238" i="5" l="1"/>
  <c r="BR239" i="5"/>
  <c r="BQ154" i="5"/>
  <c r="BQ155" i="5" s="1"/>
  <c r="BQ145" i="5"/>
  <c r="BQ144" i="5"/>
  <c r="BR455" i="5"/>
  <c r="BR457" i="5" s="1"/>
  <c r="BS134" i="5"/>
  <c r="BS240" i="5" l="1"/>
  <c r="BS239" i="5"/>
  <c r="BR244" i="5"/>
  <c r="BR458" i="5"/>
  <c r="BS455" i="5"/>
  <c r="BS457" i="5" s="1"/>
  <c r="BT450" i="5" s="1"/>
  <c r="BS136" i="5"/>
  <c r="BS244" i="5" l="1"/>
  <c r="BX450" i="5"/>
  <c r="BS138" i="5"/>
  <c r="BS458" i="5"/>
  <c r="BS91" i="5" l="1"/>
  <c r="BR218" i="5" l="1"/>
  <c r="BR220" i="5" s="1"/>
  <c r="BT91" i="5"/>
  <c r="BT175" i="5" s="1"/>
  <c r="BR84" i="5" l="1"/>
  <c r="BT187" i="5"/>
  <c r="BU91" i="5"/>
  <c r="BV91" i="5" l="1"/>
  <c r="BS218" i="5"/>
  <c r="BS220" i="5" s="1"/>
  <c r="BR92" i="5"/>
  <c r="BR107" i="5" s="1"/>
  <c r="BR139" i="5" s="1"/>
  <c r="BR143" i="5"/>
  <c r="BS84" i="5"/>
  <c r="BU175" i="5"/>
  <c r="BR221" i="5"/>
  <c r="BS92" i="5" l="1"/>
  <c r="BS107" i="5" s="1"/>
  <c r="BS143" i="5"/>
  <c r="BR144" i="5"/>
  <c r="BR145" i="5"/>
  <c r="BR154" i="5"/>
  <c r="BR155" i="5" s="1"/>
  <c r="BX219" i="5"/>
  <c r="BS221" i="5"/>
  <c r="BT219" i="5"/>
  <c r="BT213" i="5" s="1"/>
  <c r="BW91" i="5"/>
  <c r="BX91" i="5" s="1"/>
  <c r="BU187" i="5"/>
  <c r="BV175" i="5"/>
  <c r="BV187" i="5" s="1"/>
  <c r="BY91" i="5" l="1"/>
  <c r="BT214" i="5"/>
  <c r="BT218" i="5" s="1"/>
  <c r="BT220" i="5" s="1"/>
  <c r="BT134" i="5"/>
  <c r="BW175" i="5"/>
  <c r="BS154" i="5"/>
  <c r="BS155" i="5" s="1"/>
  <c r="BS145" i="5"/>
  <c r="BS144" i="5"/>
  <c r="BS139" i="5"/>
  <c r="BT455" i="5" l="1"/>
  <c r="BT457" i="5" s="1"/>
  <c r="BT136" i="5"/>
  <c r="BT138" i="5" s="1"/>
  <c r="BZ91" i="5"/>
  <c r="BZ175" i="5" s="1"/>
  <c r="BZ187" i="5" s="1"/>
  <c r="BX175" i="5"/>
  <c r="BT84" i="5"/>
  <c r="BT221" i="5" s="1"/>
  <c r="BU219" i="5"/>
  <c r="BU213" i="5" s="1"/>
  <c r="BY175" i="5"/>
  <c r="BU214" i="5" l="1"/>
  <c r="BU218" i="5" s="1"/>
  <c r="BU220" i="5" s="1"/>
  <c r="BU134" i="5"/>
  <c r="BY187" i="5"/>
  <c r="BT92" i="5"/>
  <c r="BT107" i="5" s="1"/>
  <c r="BT139" i="5" s="1"/>
  <c r="BT143" i="5"/>
  <c r="CA91" i="5"/>
  <c r="BT458" i="5"/>
  <c r="BU450" i="5"/>
  <c r="CB91" i="5" l="1"/>
  <c r="CC91" i="5" s="1"/>
  <c r="BU455" i="5"/>
  <c r="BU136" i="5"/>
  <c r="BU138" i="5" s="1"/>
  <c r="BU457" i="5"/>
  <c r="CA175" i="5"/>
  <c r="BT144" i="5"/>
  <c r="BT154" i="5"/>
  <c r="BT155" i="5" s="1"/>
  <c r="BT145" i="5"/>
  <c r="BU84" i="5"/>
  <c r="BU221" i="5" s="1"/>
  <c r="BV219" i="5"/>
  <c r="BV213" i="5" s="1"/>
  <c r="BV214" i="5" l="1"/>
  <c r="BV218" i="5" s="1"/>
  <c r="BV220" i="5" s="1"/>
  <c r="BU458" i="5"/>
  <c r="BV450" i="5"/>
  <c r="CD91" i="5"/>
  <c r="BU92" i="5"/>
  <c r="BU107" i="5" s="1"/>
  <c r="BU139" i="5" s="1"/>
  <c r="BU143" i="5"/>
  <c r="CA187" i="5"/>
  <c r="BV134" i="5"/>
  <c r="CB175" i="5"/>
  <c r="BV455" i="5" l="1"/>
  <c r="BV457" i="5" s="1"/>
  <c r="BV136" i="5"/>
  <c r="BV138" i="5" s="1"/>
  <c r="CE91" i="5"/>
  <c r="CE175" i="5" s="1"/>
  <c r="CE187" i="5" s="1"/>
  <c r="CC175" i="5"/>
  <c r="BU144" i="5"/>
  <c r="BU154" i="5"/>
  <c r="BU155" i="5" s="1"/>
  <c r="BU145" i="5"/>
  <c r="CD175" i="5"/>
  <c r="BW219" i="5"/>
  <c r="BV84" i="5"/>
  <c r="BW450" i="5" l="1"/>
  <c r="BV458" i="5"/>
  <c r="BV92" i="5"/>
  <c r="BV107" i="5" s="1"/>
  <c r="BV139" i="5" s="1"/>
  <c r="BV143" i="5"/>
  <c r="BV221" i="5"/>
  <c r="CD187" i="5"/>
  <c r="CF91" i="5"/>
  <c r="CG91" i="5" l="1"/>
  <c r="CH91" i="5" s="1"/>
  <c r="CF175" i="5"/>
  <c r="BV144" i="5"/>
  <c r="BV145" i="5"/>
  <c r="BV154" i="5"/>
  <c r="BV155" i="5" s="1"/>
  <c r="CI91" i="5" l="1"/>
  <c r="CF187" i="5"/>
  <c r="CG175" i="5"/>
  <c r="CH175" i="5" l="1"/>
  <c r="CJ91" i="5"/>
  <c r="CI175" i="5"/>
  <c r="CK91" i="5" l="1"/>
  <c r="CI187" i="5"/>
  <c r="CJ175" i="5"/>
  <c r="CJ187" i="5" s="1"/>
  <c r="CL91" i="5" l="1"/>
  <c r="CM91" i="5" s="1"/>
  <c r="CK175" i="5"/>
  <c r="CK187" i="5" s="1"/>
  <c r="CN91" i="5" l="1"/>
  <c r="CL175" i="5"/>
  <c r="CM175" i="5" l="1"/>
  <c r="CO91" i="5"/>
  <c r="CO175" i="5" s="1"/>
  <c r="CO187" i="5" s="1"/>
  <c r="CN175" i="5"/>
  <c r="CN187" i="5" l="1"/>
  <c r="CP91" i="5"/>
  <c r="CP175" i="5" s="1"/>
  <c r="CP187" i="5" s="1"/>
  <c r="CQ91" i="5" l="1"/>
  <c r="CR91" i="5" s="1"/>
  <c r="CS91" i="5" l="1"/>
  <c r="CQ175" i="5"/>
  <c r="CT91" i="5" l="1"/>
  <c r="CR175" i="5"/>
  <c r="CS175" i="5"/>
  <c r="CU91" i="5" l="1"/>
  <c r="CS187" i="5"/>
  <c r="CT175" i="5"/>
  <c r="CT187" i="5" s="1"/>
  <c r="CV91" i="5" l="1"/>
  <c r="CW91" i="5" s="1"/>
  <c r="CV175" i="5"/>
  <c r="CU175" i="5"/>
  <c r="CU187" i="5" l="1"/>
  <c r="CW175" i="5"/>
  <c r="CX91" i="5"/>
  <c r="CY91" i="5" l="1"/>
  <c r="CY175" i="5"/>
  <c r="CY187" i="5" s="1"/>
  <c r="CX175" i="5"/>
  <c r="CX187" i="5" l="1"/>
  <c r="CZ91" i="5"/>
  <c r="DA91" i="5" l="1"/>
  <c r="DB91" i="5" s="1"/>
  <c r="DA175" i="5"/>
  <c r="CZ175" i="5"/>
  <c r="CZ187" i="5" l="1"/>
  <c r="DB175" i="5"/>
  <c r="BS11" i="5"/>
  <c r="BX11" i="5" l="1"/>
  <c r="BW15" i="5"/>
  <c r="BX17" i="5"/>
  <c r="CC17" i="5" l="1"/>
  <c r="BX15" i="5"/>
  <c r="BW18" i="5"/>
  <c r="BW28" i="5" s="1"/>
  <c r="CC11" i="5"/>
  <c r="CB15" i="5"/>
  <c r="CH17" i="5" l="1"/>
  <c r="CC15" i="5"/>
  <c r="CB18" i="5"/>
  <c r="CB28" i="5" s="1"/>
  <c r="BW488" i="5"/>
  <c r="BW446" i="5"/>
  <c r="BW36" i="5"/>
  <c r="BW48" i="5"/>
  <c r="CH11" i="5"/>
  <c r="CG15" i="5"/>
  <c r="BX18" i="5"/>
  <c r="BX28" i="5" s="1"/>
  <c r="CH15" i="5" l="1"/>
  <c r="CG18" i="5"/>
  <c r="CG28" i="5" s="1"/>
  <c r="BW49" i="5"/>
  <c r="CC18" i="5"/>
  <c r="CC28" i="5" s="1"/>
  <c r="CM11" i="5"/>
  <c r="CL15" i="5"/>
  <c r="CM17" i="5"/>
  <c r="BX488" i="5"/>
  <c r="BX36" i="5"/>
  <c r="BX446" i="5"/>
  <c r="BX48" i="5"/>
  <c r="BW156" i="5"/>
  <c r="BW490" i="5"/>
  <c r="CB446" i="5"/>
  <c r="CB36" i="5"/>
  <c r="CB488" i="5"/>
  <c r="CB48" i="5"/>
  <c r="CB49" i="5" l="1"/>
  <c r="CB52" i="5" s="1"/>
  <c r="CB156" i="5"/>
  <c r="CB490" i="5"/>
  <c r="CC446" i="5"/>
  <c r="CC488" i="5"/>
  <c r="CC48" i="5"/>
  <c r="CC36" i="5"/>
  <c r="CR11" i="5"/>
  <c r="CQ15" i="5"/>
  <c r="BW50" i="5"/>
  <c r="BX49" i="5"/>
  <c r="BX50" i="5" s="1"/>
  <c r="BW76" i="5"/>
  <c r="BX76" i="5" s="1"/>
  <c r="BW170" i="5"/>
  <c r="CG488" i="5"/>
  <c r="CG446" i="5"/>
  <c r="CG36" i="5"/>
  <c r="CG48" i="5"/>
  <c r="CR17" i="5"/>
  <c r="BX156" i="5"/>
  <c r="BX490" i="5"/>
  <c r="CM15" i="5"/>
  <c r="CL18" i="5"/>
  <c r="CL28" i="5" s="1"/>
  <c r="BW52" i="5"/>
  <c r="CH18" i="5"/>
  <c r="CH28" i="5" s="1"/>
  <c r="DB17" i="5" l="1"/>
  <c r="BX52" i="5"/>
  <c r="BX63" i="5" s="1"/>
  <c r="CH446" i="5"/>
  <c r="CH488" i="5"/>
  <c r="CH36" i="5"/>
  <c r="CH48" i="5"/>
  <c r="BW66" i="5"/>
  <c r="BW63" i="5"/>
  <c r="BW57" i="5"/>
  <c r="CM18" i="5"/>
  <c r="CM28" i="5" s="1"/>
  <c r="CG490" i="5"/>
  <c r="CG156" i="5"/>
  <c r="CB63" i="5"/>
  <c r="CB66" i="5"/>
  <c r="CB57" i="5"/>
  <c r="CW11" i="5"/>
  <c r="CV15" i="5"/>
  <c r="CL488" i="5"/>
  <c r="CL36" i="5"/>
  <c r="CL446" i="5"/>
  <c r="CL48" i="5"/>
  <c r="CW17" i="5"/>
  <c r="CG49" i="5"/>
  <c r="CG52" i="5" s="1"/>
  <c r="BX170" i="5"/>
  <c r="BW120" i="5"/>
  <c r="CR15" i="5"/>
  <c r="CQ18" i="5"/>
  <c r="CQ28" i="5" s="1"/>
  <c r="CC156" i="5"/>
  <c r="CC490" i="5"/>
  <c r="DB11" i="5"/>
  <c r="DA15" i="5"/>
  <c r="CB170" i="5"/>
  <c r="CC170" i="5" s="1"/>
  <c r="CB50" i="5"/>
  <c r="CC49" i="5"/>
  <c r="CC50" i="5" s="1"/>
  <c r="CB76" i="5"/>
  <c r="CC76" i="5" s="1"/>
  <c r="BX66" i="5" l="1"/>
  <c r="BX57" i="5"/>
  <c r="CQ446" i="5"/>
  <c r="CQ36" i="5"/>
  <c r="CQ488" i="5"/>
  <c r="CQ48" i="5"/>
  <c r="CG63" i="5"/>
  <c r="CG66" i="5"/>
  <c r="CG57" i="5"/>
  <c r="CL49" i="5"/>
  <c r="CL156" i="5"/>
  <c r="CL490" i="5"/>
  <c r="CW15" i="5"/>
  <c r="CV18" i="5"/>
  <c r="CV28" i="5" s="1"/>
  <c r="CB452" i="5"/>
  <c r="CB461" i="5"/>
  <c r="CB64" i="5"/>
  <c r="CB73" i="5"/>
  <c r="CB161" i="5"/>
  <c r="CC52" i="5"/>
  <c r="CM446" i="5"/>
  <c r="CM488" i="5"/>
  <c r="CM36" i="5"/>
  <c r="CM48" i="5"/>
  <c r="DB15" i="5"/>
  <c r="DA18" i="5"/>
  <c r="DA28" i="5" s="1"/>
  <c r="CR18" i="5"/>
  <c r="CR28" i="5" s="1"/>
  <c r="BX120" i="5"/>
  <c r="BW124" i="5"/>
  <c r="BW126" i="5" s="1"/>
  <c r="CG50" i="5"/>
  <c r="CG76" i="5"/>
  <c r="CH76" i="5" s="1"/>
  <c r="CG170" i="5"/>
  <c r="CH170" i="5" s="1"/>
  <c r="CH49" i="5"/>
  <c r="CH50" i="5" s="1"/>
  <c r="BW461" i="5"/>
  <c r="BW64" i="5"/>
  <c r="BW452" i="5"/>
  <c r="BW73" i="5"/>
  <c r="BW161" i="5"/>
  <c r="CH490" i="5"/>
  <c r="CH156" i="5"/>
  <c r="BX461" i="5" l="1"/>
  <c r="CH52" i="5"/>
  <c r="CH63" i="5" s="1"/>
  <c r="BX452" i="5"/>
  <c r="BX64" i="5"/>
  <c r="BX73" i="5"/>
  <c r="BX79" i="5" s="1"/>
  <c r="BW79" i="5"/>
  <c r="BX124" i="5"/>
  <c r="BX126" i="5" s="1"/>
  <c r="BY120" i="5"/>
  <c r="DB18" i="5"/>
  <c r="DB28" i="5" s="1"/>
  <c r="CM156" i="5"/>
  <c r="CM490" i="5"/>
  <c r="CB79" i="5"/>
  <c r="CC73" i="5"/>
  <c r="CC79" i="5" s="1"/>
  <c r="CW18" i="5"/>
  <c r="CW28" i="5" s="1"/>
  <c r="CL50" i="5"/>
  <c r="CM49" i="5"/>
  <c r="CM50" i="5" s="1"/>
  <c r="CL76" i="5"/>
  <c r="CM76" i="5" s="1"/>
  <c r="CL170" i="5"/>
  <c r="CM170" i="5" s="1"/>
  <c r="CQ49" i="5"/>
  <c r="CQ490" i="5"/>
  <c r="CQ156" i="5"/>
  <c r="BW187" i="5"/>
  <c r="BX161" i="5"/>
  <c r="BX187" i="5" s="1"/>
  <c r="CR446" i="5"/>
  <c r="CR36" i="5"/>
  <c r="CR488" i="5"/>
  <c r="CR48" i="5"/>
  <c r="DA446" i="5"/>
  <c r="DA36" i="5"/>
  <c r="DA488" i="5"/>
  <c r="DA48" i="5"/>
  <c r="CC66" i="5"/>
  <c r="CC63" i="5"/>
  <c r="CC57" i="5"/>
  <c r="CC161" i="5"/>
  <c r="CC187" i="5" s="1"/>
  <c r="CB187" i="5"/>
  <c r="CV446" i="5"/>
  <c r="CV36" i="5"/>
  <c r="CV488" i="5"/>
  <c r="CV48" i="5"/>
  <c r="CL52" i="5"/>
  <c r="CG452" i="5"/>
  <c r="CG461" i="5"/>
  <c r="CG64" i="5"/>
  <c r="CG73" i="5"/>
  <c r="CG161" i="5"/>
  <c r="CH57" i="5" l="1"/>
  <c r="CH64" i="5" s="1"/>
  <c r="CM52" i="5"/>
  <c r="CM57" i="5" s="1"/>
  <c r="CH66" i="5"/>
  <c r="CH73" i="5"/>
  <c r="CH79" i="5" s="1"/>
  <c r="CG79" i="5"/>
  <c r="CV49" i="5"/>
  <c r="CV52" i="5" s="1"/>
  <c r="CV156" i="5"/>
  <c r="CV490" i="5"/>
  <c r="CQ50" i="5"/>
  <c r="CR49" i="5"/>
  <c r="CR50" i="5" s="1"/>
  <c r="CQ76" i="5"/>
  <c r="CR76" i="5" s="1"/>
  <c r="CQ237" i="5"/>
  <c r="CR237" i="5" s="1"/>
  <c r="CB231" i="5"/>
  <c r="DB446" i="5"/>
  <c r="DB36" i="5"/>
  <c r="DB488" i="5"/>
  <c r="DB48" i="5"/>
  <c r="BZ120" i="5"/>
  <c r="BY124" i="5"/>
  <c r="BY126" i="5" s="1"/>
  <c r="BW231" i="5"/>
  <c r="CH161" i="5"/>
  <c r="CH187" i="5" s="1"/>
  <c r="CG187" i="5"/>
  <c r="CL66" i="5"/>
  <c r="CL63" i="5"/>
  <c r="CL57" i="5"/>
  <c r="CC461" i="5"/>
  <c r="CC64" i="5"/>
  <c r="CC452" i="5"/>
  <c r="DA49" i="5"/>
  <c r="DA52" i="5" s="1"/>
  <c r="DA490" i="5"/>
  <c r="DA156" i="5"/>
  <c r="CR156" i="5"/>
  <c r="CR490" i="5"/>
  <c r="BW213" i="5"/>
  <c r="CQ52" i="5"/>
  <c r="CW446" i="5"/>
  <c r="CW488" i="5"/>
  <c r="CW36" i="5"/>
  <c r="CW48" i="5"/>
  <c r="BX81" i="5"/>
  <c r="BX80" i="5"/>
  <c r="CH452" i="5" l="1"/>
  <c r="CH461" i="5"/>
  <c r="CR52" i="5"/>
  <c r="CR66" i="5" s="1"/>
  <c r="CM66" i="5"/>
  <c r="CM63" i="5"/>
  <c r="CW156" i="5"/>
  <c r="CW490" i="5"/>
  <c r="DA63" i="5"/>
  <c r="DA57" i="5"/>
  <c r="DA66" i="5"/>
  <c r="CL64" i="5"/>
  <c r="CL452" i="5"/>
  <c r="CL461" i="5"/>
  <c r="CL73" i="5"/>
  <c r="CL161" i="5"/>
  <c r="BW238" i="5"/>
  <c r="BX231" i="5"/>
  <c r="DB156" i="5"/>
  <c r="DB490" i="5"/>
  <c r="CB238" i="5"/>
  <c r="CC231" i="5"/>
  <c r="CM452" i="5"/>
  <c r="CM461" i="5"/>
  <c r="CM64" i="5"/>
  <c r="CV66" i="5"/>
  <c r="CV63" i="5"/>
  <c r="CV57" i="5"/>
  <c r="CG231" i="5"/>
  <c r="CQ63" i="5"/>
  <c r="CQ66" i="5"/>
  <c r="CQ57" i="5"/>
  <c r="BW214" i="5"/>
  <c r="BW218" i="5" s="1"/>
  <c r="BW220" i="5" s="1"/>
  <c r="BX213" i="5"/>
  <c r="BW134" i="5"/>
  <c r="DB49" i="5"/>
  <c r="DB50" i="5" s="1"/>
  <c r="DA76" i="5"/>
  <c r="DB76" i="5" s="1"/>
  <c r="DA50" i="5"/>
  <c r="DA237" i="5"/>
  <c r="DB237" i="5" s="1"/>
  <c r="BZ124" i="5"/>
  <c r="BZ126" i="5" s="1"/>
  <c r="CA120" i="5"/>
  <c r="CQ170" i="5"/>
  <c r="CR170" i="5" s="1"/>
  <c r="CV50" i="5"/>
  <c r="CW49" i="5"/>
  <c r="CW50" i="5" s="1"/>
  <c r="CV76" i="5"/>
  <c r="CW76" i="5" s="1"/>
  <c r="CV237" i="5"/>
  <c r="CW237" i="5" s="1"/>
  <c r="CR57" i="5" l="1"/>
  <c r="CR452" i="5" s="1"/>
  <c r="CR63" i="5"/>
  <c r="DA170" i="5"/>
  <c r="DB170" i="5" s="1"/>
  <c r="DB52" i="5"/>
  <c r="DB63" i="5" s="1"/>
  <c r="BW136" i="5"/>
  <c r="BW138" i="5" s="1"/>
  <c r="BX134" i="5"/>
  <c r="BW455" i="5"/>
  <c r="BW457" i="5" s="1"/>
  <c r="BW84" i="5"/>
  <c r="CQ452" i="5"/>
  <c r="CQ461" i="5"/>
  <c r="CQ64" i="5"/>
  <c r="CQ73" i="5"/>
  <c r="CQ161" i="5"/>
  <c r="CG238" i="5"/>
  <c r="CH231" i="5"/>
  <c r="CV452" i="5"/>
  <c r="CV461" i="5"/>
  <c r="CV64" i="5"/>
  <c r="CV73" i="5"/>
  <c r="CV161" i="5"/>
  <c r="CC238" i="5"/>
  <c r="BX238" i="5"/>
  <c r="BW239" i="5"/>
  <c r="CM161" i="5"/>
  <c r="CM187" i="5" s="1"/>
  <c r="CL187" i="5"/>
  <c r="CM73" i="5"/>
  <c r="CM79" i="5" s="1"/>
  <c r="CL79" i="5"/>
  <c r="CV170" i="5"/>
  <c r="CW170" i="5" s="1"/>
  <c r="CB120" i="5"/>
  <c r="CA124" i="5"/>
  <c r="CA126" i="5" s="1"/>
  <c r="BX214" i="5"/>
  <c r="CW52" i="5"/>
  <c r="CB239" i="5"/>
  <c r="DA452" i="5"/>
  <c r="DA461" i="5"/>
  <c r="DA64" i="5"/>
  <c r="DA73" i="5"/>
  <c r="DA161" i="5"/>
  <c r="CR461" i="5" l="1"/>
  <c r="DB66" i="5"/>
  <c r="CR64" i="5"/>
  <c r="BW458" i="5"/>
  <c r="DB57" i="5"/>
  <c r="DB461" i="5" s="1"/>
  <c r="DB73" i="5"/>
  <c r="DB79" i="5" s="1"/>
  <c r="DA79" i="5"/>
  <c r="CB244" i="5"/>
  <c r="CW57" i="5"/>
  <c r="CW66" i="5"/>
  <c r="CW63" i="5"/>
  <c r="CB124" i="5"/>
  <c r="CB126" i="5" s="1"/>
  <c r="CC120" i="5"/>
  <c r="CL231" i="5"/>
  <c r="BW244" i="5"/>
  <c r="BX239" i="5"/>
  <c r="CV187" i="5"/>
  <c r="CW161" i="5"/>
  <c r="CW187" i="5" s="1"/>
  <c r="CH238" i="5"/>
  <c r="CG239" i="5"/>
  <c r="CQ187" i="5"/>
  <c r="CR161" i="5"/>
  <c r="CR187" i="5" s="1"/>
  <c r="BW92" i="5"/>
  <c r="BW107" i="5" s="1"/>
  <c r="BW139" i="5" s="1"/>
  <c r="BW143" i="5"/>
  <c r="BX84" i="5"/>
  <c r="DA187" i="5"/>
  <c r="DB161" i="5"/>
  <c r="DB187" i="5" s="1"/>
  <c r="BX218" i="5"/>
  <c r="BX220" i="5" s="1"/>
  <c r="CC239" i="5"/>
  <c r="CV79" i="5"/>
  <c r="CW73" i="5"/>
  <c r="CW79" i="5" s="1"/>
  <c r="CQ79" i="5"/>
  <c r="CR73" i="5"/>
  <c r="CR79" i="5" s="1"/>
  <c r="BW221" i="5"/>
  <c r="BX455" i="5"/>
  <c r="BX457" i="5" s="1"/>
  <c r="BX136" i="5"/>
  <c r="BX138" i="5" s="1"/>
  <c r="DB452" i="5" l="1"/>
  <c r="DB64" i="5"/>
  <c r="BX458" i="5"/>
  <c r="BY450" i="5"/>
  <c r="BX92" i="5"/>
  <c r="BX107" i="5" s="1"/>
  <c r="BX143" i="5"/>
  <c r="BW144" i="5"/>
  <c r="BW154" i="5"/>
  <c r="BW155" i="5" s="1"/>
  <c r="BW145" i="5"/>
  <c r="CL238" i="5"/>
  <c r="CM231" i="5"/>
  <c r="CM238" i="5" s="1"/>
  <c r="DA231" i="5"/>
  <c r="CQ231" i="5"/>
  <c r="CV231" i="5"/>
  <c r="CC240" i="5"/>
  <c r="CC244" i="5"/>
  <c r="CC219" i="5"/>
  <c r="BX221" i="5"/>
  <c r="BY219" i="5"/>
  <c r="BY213" i="5" s="1"/>
  <c r="CG244" i="5"/>
  <c r="CH239" i="5"/>
  <c r="BX244" i="5"/>
  <c r="BX240" i="5"/>
  <c r="CC124" i="5"/>
  <c r="CC126" i="5" s="1"/>
  <c r="CD120" i="5"/>
  <c r="CW461" i="5"/>
  <c r="CW452" i="5"/>
  <c r="CW64" i="5"/>
  <c r="CH240" i="5" l="1"/>
  <c r="CH244" i="5"/>
  <c r="CR231" i="5"/>
  <c r="CR238" i="5" s="1"/>
  <c r="CQ238" i="5"/>
  <c r="DA238" i="5"/>
  <c r="DB231" i="5"/>
  <c r="DB238" i="5" s="1"/>
  <c r="CL239" i="5"/>
  <c r="BX145" i="5"/>
  <c r="BX154" i="5"/>
  <c r="BX155" i="5" s="1"/>
  <c r="BX144" i="5"/>
  <c r="CD124" i="5"/>
  <c r="CD126" i="5" s="1"/>
  <c r="CE120" i="5"/>
  <c r="BY214" i="5"/>
  <c r="BY218" i="5" s="1"/>
  <c r="BY220" i="5" s="1"/>
  <c r="BY134" i="5"/>
  <c r="CW231" i="5"/>
  <c r="CW238" i="5" s="1"/>
  <c r="CV238" i="5"/>
  <c r="CM239" i="5"/>
  <c r="CC450" i="5"/>
  <c r="BX139" i="5"/>
  <c r="CM240" i="5" l="1"/>
  <c r="CM244" i="5"/>
  <c r="CV239" i="5"/>
  <c r="BY84" i="5"/>
  <c r="BZ219" i="5"/>
  <c r="BZ213" i="5" s="1"/>
  <c r="CF120" i="5"/>
  <c r="CE124" i="5"/>
  <c r="CE126" i="5" s="1"/>
  <c r="CL244" i="5"/>
  <c r="DA239" i="5"/>
  <c r="CR239" i="5"/>
  <c r="CW239" i="5"/>
  <c r="BY136" i="5"/>
  <c r="BY138" i="5" s="1"/>
  <c r="BY455" i="5"/>
  <c r="BY457" i="5" s="1"/>
  <c r="DB239" i="5"/>
  <c r="CQ239" i="5"/>
  <c r="BY458" i="5" l="1"/>
  <c r="BZ450" i="5"/>
  <c r="CF124" i="5"/>
  <c r="CF126" i="5" s="1"/>
  <c r="CG120" i="5"/>
  <c r="BZ214" i="5"/>
  <c r="BZ218" i="5" s="1"/>
  <c r="BZ220" i="5" s="1"/>
  <c r="BY92" i="5"/>
  <c r="BY107" i="5" s="1"/>
  <c r="BY139" i="5" s="1"/>
  <c r="BY143" i="5"/>
  <c r="CV244" i="5"/>
  <c r="CQ244" i="5"/>
  <c r="DB240" i="5"/>
  <c r="DB244" i="5"/>
  <c r="BZ134" i="5"/>
  <c r="CW240" i="5"/>
  <c r="CW244" i="5"/>
  <c r="CR240" i="5"/>
  <c r="CR244" i="5"/>
  <c r="DA244" i="5"/>
  <c r="BY221" i="5"/>
  <c r="BY144" i="5" l="1"/>
  <c r="BY154" i="5"/>
  <c r="BY155" i="5" s="1"/>
  <c r="BY145" i="5"/>
  <c r="CA219" i="5"/>
  <c r="CA213" i="5" s="1"/>
  <c r="CA134" i="5" s="1"/>
  <c r="BZ84" i="5"/>
  <c r="CG124" i="5"/>
  <c r="CG126" i="5" s="1"/>
  <c r="CH120" i="5"/>
  <c r="BZ455" i="5"/>
  <c r="BZ457" i="5" s="1"/>
  <c r="BZ136" i="5"/>
  <c r="BZ138" i="5" s="1"/>
  <c r="CH124" i="5" l="1"/>
  <c r="CH126" i="5" s="1"/>
  <c r="CI120" i="5"/>
  <c r="BZ92" i="5"/>
  <c r="BZ107" i="5" s="1"/>
  <c r="BZ139" i="5" s="1"/>
  <c r="BZ143" i="5"/>
  <c r="BZ221" i="5"/>
  <c r="BZ458" i="5"/>
  <c r="CA450" i="5"/>
  <c r="CA136" i="5"/>
  <c r="CA138" i="5" s="1"/>
  <c r="CA455" i="5"/>
  <c r="CA214" i="5"/>
  <c r="CA218" i="5" s="1"/>
  <c r="CA220" i="5" s="1"/>
  <c r="CA457" i="5" l="1"/>
  <c r="BZ145" i="5"/>
  <c r="BZ154" i="5"/>
  <c r="BZ155" i="5" s="1"/>
  <c r="BZ144" i="5"/>
  <c r="CB219" i="5"/>
  <c r="CB213" i="5" s="1"/>
  <c r="CA84" i="5"/>
  <c r="CI124" i="5"/>
  <c r="CI126" i="5" s="1"/>
  <c r="CJ120" i="5"/>
  <c r="CJ124" i="5" l="1"/>
  <c r="CJ126" i="5" s="1"/>
  <c r="CK120" i="5"/>
  <c r="CA92" i="5"/>
  <c r="CA107" i="5" s="1"/>
  <c r="CA139" i="5" s="1"/>
  <c r="CA143" i="5"/>
  <c r="CA221" i="5"/>
  <c r="CA458" i="5"/>
  <c r="CB450" i="5"/>
  <c r="CB214" i="5"/>
  <c r="CB218" i="5" s="1"/>
  <c r="CB220" i="5" s="1"/>
  <c r="CB134" i="5"/>
  <c r="CC213" i="5"/>
  <c r="CB136" i="5" l="1"/>
  <c r="CB138" i="5" s="1"/>
  <c r="CC134" i="5"/>
  <c r="CB455" i="5"/>
  <c r="CB457" i="5" s="1"/>
  <c r="CL120" i="5"/>
  <c r="CK124" i="5"/>
  <c r="CK126" i="5" s="1"/>
  <c r="CC214" i="5"/>
  <c r="CC218" i="5" s="1"/>
  <c r="CC220" i="5" s="1"/>
  <c r="CB84" i="5"/>
  <c r="CB221" i="5" s="1"/>
  <c r="CA145" i="5"/>
  <c r="CA144" i="5"/>
  <c r="CA154" i="5"/>
  <c r="CA155" i="5" s="1"/>
  <c r="CB458" i="5" l="1"/>
  <c r="CH219" i="5"/>
  <c r="CD219" i="5"/>
  <c r="CD213" i="5" s="1"/>
  <c r="CD134" i="5" s="1"/>
  <c r="CC455" i="5"/>
  <c r="CC457" i="5" s="1"/>
  <c r="CC136" i="5"/>
  <c r="CC138" i="5" s="1"/>
  <c r="CB92" i="5"/>
  <c r="CB107" i="5" s="1"/>
  <c r="CB139" i="5" s="1"/>
  <c r="CC84" i="5"/>
  <c r="CB143" i="5"/>
  <c r="CL124" i="5"/>
  <c r="CL126" i="5" s="1"/>
  <c r="CM120" i="5"/>
  <c r="CN120" i="5" l="1"/>
  <c r="CM124" i="5"/>
  <c r="CM126" i="5" s="1"/>
  <c r="CD136" i="5"/>
  <c r="CD138" i="5" s="1"/>
  <c r="CD455" i="5"/>
  <c r="CD214" i="5"/>
  <c r="CD218" i="5" s="1"/>
  <c r="CD220" i="5" s="1"/>
  <c r="CB144" i="5"/>
  <c r="CB145" i="5"/>
  <c r="CB154" i="5"/>
  <c r="CB155" i="5" s="1"/>
  <c r="CC92" i="5"/>
  <c r="CC107" i="5" s="1"/>
  <c r="CC139" i="5" s="1"/>
  <c r="CC143" i="5"/>
  <c r="CC458" i="5"/>
  <c r="CD450" i="5"/>
  <c r="CC221" i="5"/>
  <c r="CC144" i="5" l="1"/>
  <c r="CC154" i="5"/>
  <c r="CC155" i="5" s="1"/>
  <c r="CC145" i="5"/>
  <c r="CN124" i="5"/>
  <c r="CN126" i="5" s="1"/>
  <c r="CO120" i="5"/>
  <c r="CH450" i="5"/>
  <c r="CD457" i="5"/>
  <c r="CD84" i="5"/>
  <c r="CD221" i="5" s="1"/>
  <c r="CE219" i="5"/>
  <c r="CE213" i="5" s="1"/>
  <c r="CD458" i="5" l="1"/>
  <c r="CE450" i="5"/>
  <c r="CE214" i="5"/>
  <c r="CE218" i="5" s="1"/>
  <c r="CE220" i="5" s="1"/>
  <c r="CE134" i="5"/>
  <c r="CD92" i="5"/>
  <c r="CD107" i="5" s="1"/>
  <c r="CD139" i="5" s="1"/>
  <c r="CD143" i="5"/>
  <c r="CP120" i="5"/>
  <c r="CO124" i="5"/>
  <c r="CO126" i="5" s="1"/>
  <c r="CP124" i="5" l="1"/>
  <c r="CP126" i="5" s="1"/>
  <c r="CQ120" i="5"/>
  <c r="CE84" i="5"/>
  <c r="CF219" i="5"/>
  <c r="CF213" i="5" s="1"/>
  <c r="CF134" i="5" s="1"/>
  <c r="CD144" i="5"/>
  <c r="CD145" i="5"/>
  <c r="CD154" i="5"/>
  <c r="CD155" i="5" s="1"/>
  <c r="CE136" i="5"/>
  <c r="CE138" i="5" s="1"/>
  <c r="CE455" i="5"/>
  <c r="CE457" i="5" s="1"/>
  <c r="CE458" i="5" l="1"/>
  <c r="CF450" i="5"/>
  <c r="CE92" i="5"/>
  <c r="CE107" i="5" s="1"/>
  <c r="CE139" i="5" s="1"/>
  <c r="CE143" i="5"/>
  <c r="CR120" i="5"/>
  <c r="CQ124" i="5"/>
  <c r="CQ126" i="5" s="1"/>
  <c r="CF455" i="5"/>
  <c r="CF136" i="5"/>
  <c r="CF138" i="5" s="1"/>
  <c r="CF214" i="5"/>
  <c r="CF218" i="5" s="1"/>
  <c r="CF220" i="5" s="1"/>
  <c r="CE221" i="5"/>
  <c r="CR124" i="5" l="1"/>
  <c r="CR126" i="5" s="1"/>
  <c r="CS120" i="5"/>
  <c r="CF457" i="5"/>
  <c r="CF84" i="5"/>
  <c r="CF221" i="5" s="1"/>
  <c r="CG219" i="5"/>
  <c r="CG213" i="5" s="1"/>
  <c r="CE144" i="5"/>
  <c r="CE154" i="5"/>
  <c r="CE155" i="5" s="1"/>
  <c r="CE145" i="5"/>
  <c r="CG214" i="5" l="1"/>
  <c r="CG218" i="5" s="1"/>
  <c r="CG220" i="5" s="1"/>
  <c r="CH213" i="5"/>
  <c r="CG134" i="5"/>
  <c r="CT120" i="5"/>
  <c r="CS124" i="5"/>
  <c r="CS126" i="5" s="1"/>
  <c r="CF92" i="5"/>
  <c r="CF107" i="5" s="1"/>
  <c r="CF139" i="5" s="1"/>
  <c r="CF143" i="5"/>
  <c r="CF458" i="5"/>
  <c r="CG450" i="5"/>
  <c r="CF145" i="5" l="1"/>
  <c r="CF154" i="5"/>
  <c r="CF155" i="5" s="1"/>
  <c r="CF144" i="5"/>
  <c r="CG455" i="5"/>
  <c r="CG457" i="5" s="1"/>
  <c r="CH134" i="5"/>
  <c r="CG136" i="5"/>
  <c r="CG138" i="5" s="1"/>
  <c r="CG84" i="5"/>
  <c r="CT124" i="5"/>
  <c r="CT126" i="5" s="1"/>
  <c r="CU120" i="5"/>
  <c r="CH214" i="5"/>
  <c r="CH218" i="5" s="1"/>
  <c r="CH220" i="5" s="1"/>
  <c r="CG458" i="5" l="1"/>
  <c r="CM219" i="5"/>
  <c r="CI219" i="5"/>
  <c r="CI213" i="5" s="1"/>
  <c r="CV120" i="5"/>
  <c r="CU124" i="5"/>
  <c r="CU126" i="5" s="1"/>
  <c r="CG92" i="5"/>
  <c r="CG107" i="5" s="1"/>
  <c r="CG139" i="5" s="1"/>
  <c r="CH84" i="5"/>
  <c r="CG143" i="5"/>
  <c r="CG221" i="5"/>
  <c r="CH455" i="5"/>
  <c r="CH457" i="5" s="1"/>
  <c r="CH136" i="5"/>
  <c r="CH138" i="5" s="1"/>
  <c r="CG144" i="5" l="1"/>
  <c r="CG145" i="5"/>
  <c r="CG154" i="5"/>
  <c r="CG155" i="5" s="1"/>
  <c r="CI214" i="5"/>
  <c r="CI218" i="5" s="1"/>
  <c r="CI220" i="5" s="1"/>
  <c r="CI134" i="5"/>
  <c r="CH458" i="5"/>
  <c r="CI450" i="5"/>
  <c r="CH92" i="5"/>
  <c r="CH107" i="5" s="1"/>
  <c r="CH139" i="5" s="1"/>
  <c r="CH143" i="5"/>
  <c r="CV124" i="5"/>
  <c r="CV126" i="5" s="1"/>
  <c r="CW120" i="5"/>
  <c r="CH221" i="5"/>
  <c r="CX120" i="5" l="1"/>
  <c r="CW124" i="5"/>
  <c r="CW126" i="5" s="1"/>
  <c r="CH145" i="5"/>
  <c r="CH144" i="5"/>
  <c r="CH154" i="5"/>
  <c r="CH155" i="5" s="1"/>
  <c r="CM450" i="5"/>
  <c r="CI455" i="5"/>
  <c r="CI457" i="5" s="1"/>
  <c r="CI136" i="5"/>
  <c r="CI138" i="5" s="1"/>
  <c r="CI84" i="5"/>
  <c r="CI221" i="5" s="1"/>
  <c r="CJ219" i="5"/>
  <c r="CJ213" i="5" s="1"/>
  <c r="CI458" i="5" l="1"/>
  <c r="CJ450" i="5"/>
  <c r="CJ214" i="5"/>
  <c r="CJ218" i="5" s="1"/>
  <c r="CJ220" i="5" s="1"/>
  <c r="CJ134" i="5"/>
  <c r="CI92" i="5"/>
  <c r="CI107" i="5" s="1"/>
  <c r="CI139" i="5" s="1"/>
  <c r="CI143" i="5"/>
  <c r="CY120" i="5"/>
  <c r="CX124" i="5"/>
  <c r="CX126" i="5" s="1"/>
  <c r="CJ136" i="5" l="1"/>
  <c r="CJ138" i="5" s="1"/>
  <c r="CJ455" i="5"/>
  <c r="CJ457" i="5" s="1"/>
  <c r="CJ84" i="5"/>
  <c r="CK219" i="5"/>
  <c r="CK213" i="5" s="1"/>
  <c r="CY124" i="5"/>
  <c r="CY126" i="5" s="1"/>
  <c r="CZ120" i="5"/>
  <c r="CI145" i="5"/>
  <c r="CI144" i="5"/>
  <c r="CI154" i="5"/>
  <c r="CI155" i="5" s="1"/>
  <c r="CZ124" i="5" l="1"/>
  <c r="CZ126" i="5" s="1"/>
  <c r="DA120" i="5"/>
  <c r="CJ458" i="5"/>
  <c r="CK450" i="5"/>
  <c r="CJ92" i="5"/>
  <c r="CJ107" i="5" s="1"/>
  <c r="CJ139" i="5" s="1"/>
  <c r="CJ143" i="5"/>
  <c r="CK214" i="5"/>
  <c r="CK218" i="5" s="1"/>
  <c r="CK220" i="5" s="1"/>
  <c r="CJ221" i="5"/>
  <c r="CK134" i="5"/>
  <c r="CJ144" i="5" l="1"/>
  <c r="CJ145" i="5"/>
  <c r="CJ154" i="5"/>
  <c r="CJ155" i="5" s="1"/>
  <c r="CK455" i="5"/>
  <c r="CK457" i="5" s="1"/>
  <c r="CK136" i="5"/>
  <c r="CK138" i="5" s="1"/>
  <c r="CK84" i="5"/>
  <c r="CL219" i="5"/>
  <c r="CL213" i="5" s="1"/>
  <c r="CL134" i="5" s="1"/>
  <c r="DA124" i="5"/>
  <c r="DA126" i="5" s="1"/>
  <c r="DB120" i="5"/>
  <c r="DB124" i="5" s="1"/>
  <c r="DB126" i="5" s="1"/>
  <c r="CK458" i="5" l="1"/>
  <c r="CL450" i="5"/>
  <c r="CK92" i="5"/>
  <c r="CK107" i="5" s="1"/>
  <c r="CK139" i="5" s="1"/>
  <c r="CK143" i="5"/>
  <c r="CL136" i="5"/>
  <c r="CL138" i="5" s="1"/>
  <c r="CL455" i="5"/>
  <c r="CM134" i="5"/>
  <c r="CL214" i="5"/>
  <c r="CL218" i="5" s="1"/>
  <c r="CL220" i="5" s="1"/>
  <c r="CM213" i="5"/>
  <c r="CM214" i="5" s="1"/>
  <c r="CM218" i="5" s="1"/>
  <c r="CM220" i="5" s="1"/>
  <c r="CK221" i="5"/>
  <c r="CK144" i="5" l="1"/>
  <c r="CK145" i="5"/>
  <c r="CK154" i="5"/>
  <c r="CK155" i="5" s="1"/>
  <c r="CL457" i="5"/>
  <c r="CL458" i="5" s="1"/>
  <c r="CR219" i="5"/>
  <c r="CN219" i="5"/>
  <c r="CN213" i="5" s="1"/>
  <c r="CN134" i="5" s="1"/>
  <c r="CL84" i="5"/>
  <c r="CL221" i="5" s="1"/>
  <c r="CM136" i="5"/>
  <c r="CM138" i="5" s="1"/>
  <c r="CM455" i="5"/>
  <c r="CM457" i="5" s="1"/>
  <c r="CN455" i="5" l="1"/>
  <c r="CN136" i="5"/>
  <c r="CN138" i="5" s="1"/>
  <c r="CM458" i="5"/>
  <c r="CN450" i="5"/>
  <c r="CL92" i="5"/>
  <c r="CL107" i="5" s="1"/>
  <c r="CL139" i="5" s="1"/>
  <c r="CM84" i="5"/>
  <c r="CL143" i="5"/>
  <c r="CN214" i="5"/>
  <c r="CN218" i="5" s="1"/>
  <c r="CN220" i="5" s="1"/>
  <c r="CO219" i="5" l="1"/>
  <c r="CO213" i="5" s="1"/>
  <c r="CN84" i="5"/>
  <c r="CL144" i="5"/>
  <c r="CL154" i="5"/>
  <c r="CL155" i="5" s="1"/>
  <c r="CL145" i="5"/>
  <c r="CR450" i="5"/>
  <c r="CN457" i="5"/>
  <c r="CM92" i="5"/>
  <c r="CM107" i="5" s="1"/>
  <c r="CM139" i="5" s="1"/>
  <c r="CM143" i="5"/>
  <c r="CM221" i="5"/>
  <c r="CO214" i="5" l="1"/>
  <c r="CO218" i="5" s="1"/>
  <c r="CO220" i="5" s="1"/>
  <c r="CO134" i="5"/>
  <c r="CM145" i="5"/>
  <c r="CM154" i="5"/>
  <c r="CM155" i="5" s="1"/>
  <c r="CM144" i="5"/>
  <c r="CN458" i="5"/>
  <c r="CO450" i="5"/>
  <c r="CN92" i="5"/>
  <c r="CN107" i="5" s="1"/>
  <c r="CN139" i="5" s="1"/>
  <c r="CN143" i="5"/>
  <c r="CN221" i="5"/>
  <c r="CO84" i="5" l="1"/>
  <c r="CO221" i="5" s="1"/>
  <c r="CP219" i="5"/>
  <c r="CP213" i="5" s="1"/>
  <c r="CP134" i="5" s="1"/>
  <c r="CN144" i="5"/>
  <c r="CN145" i="5"/>
  <c r="CN154" i="5"/>
  <c r="CN155" i="5" s="1"/>
  <c r="CO136" i="5"/>
  <c r="CO138" i="5" s="1"/>
  <c r="CO455" i="5"/>
  <c r="CO457" i="5" s="1"/>
  <c r="CP455" i="5" l="1"/>
  <c r="CP136" i="5"/>
  <c r="CP138" i="5" s="1"/>
  <c r="CO458" i="5"/>
  <c r="CP450" i="5"/>
  <c r="CP214" i="5"/>
  <c r="CP218" i="5" s="1"/>
  <c r="CP220" i="5" s="1"/>
  <c r="CO92" i="5"/>
  <c r="CO107" i="5" s="1"/>
  <c r="CO139" i="5" s="1"/>
  <c r="CO143" i="5"/>
  <c r="CP457" i="5" l="1"/>
  <c r="CP458" i="5" s="1"/>
  <c r="CO144" i="5"/>
  <c r="CO145" i="5"/>
  <c r="CO154" i="5"/>
  <c r="CO155" i="5" s="1"/>
  <c r="CP84" i="5"/>
  <c r="CQ219" i="5"/>
  <c r="CQ213" i="5" s="1"/>
  <c r="CQ450" i="5" l="1"/>
  <c r="CP92" i="5"/>
  <c r="CP107" i="5" s="1"/>
  <c r="CP139" i="5" s="1"/>
  <c r="CP143" i="5"/>
  <c r="CQ214" i="5"/>
  <c r="CQ218" i="5" s="1"/>
  <c r="CQ220" i="5" s="1"/>
  <c r="CQ134" i="5"/>
  <c r="CR213" i="5"/>
  <c r="CR214" i="5" s="1"/>
  <c r="CR218" i="5" s="1"/>
  <c r="CR220" i="5" s="1"/>
  <c r="CP221" i="5"/>
  <c r="CQ455" i="5" l="1"/>
  <c r="CQ457" i="5" s="1"/>
  <c r="CR134" i="5"/>
  <c r="CQ136" i="5"/>
  <c r="CQ138" i="5" s="1"/>
  <c r="CP154" i="5"/>
  <c r="CP155" i="5" s="1"/>
  <c r="CP144" i="5"/>
  <c r="CP145" i="5"/>
  <c r="CW219" i="5"/>
  <c r="CS219" i="5"/>
  <c r="CS213" i="5" s="1"/>
  <c r="CQ84" i="5"/>
  <c r="CQ92" i="5" l="1"/>
  <c r="CQ107" i="5" s="1"/>
  <c r="CQ139" i="5" s="1"/>
  <c r="CR84" i="5"/>
  <c r="CQ143" i="5"/>
  <c r="CS214" i="5"/>
  <c r="CS218" i="5" s="1"/>
  <c r="CS220" i="5" s="1"/>
  <c r="CR455" i="5"/>
  <c r="CR457" i="5" s="1"/>
  <c r="CS134" i="5"/>
  <c r="CR136" i="5"/>
  <c r="CR138" i="5" s="1"/>
  <c r="CQ221" i="5"/>
  <c r="CQ458" i="5"/>
  <c r="CS136" i="5" l="1"/>
  <c r="CS138" i="5" s="1"/>
  <c r="CS455" i="5"/>
  <c r="CT219" i="5"/>
  <c r="CT213" i="5" s="1"/>
  <c r="CS84" i="5"/>
  <c r="CQ145" i="5"/>
  <c r="CQ154" i="5"/>
  <c r="CQ155" i="5" s="1"/>
  <c r="CQ144" i="5"/>
  <c r="CS450" i="5"/>
  <c r="CR458" i="5"/>
  <c r="CR92" i="5"/>
  <c r="CR107" i="5" s="1"/>
  <c r="CR139" i="5" s="1"/>
  <c r="CR143" i="5"/>
  <c r="CR221" i="5"/>
  <c r="CR144" i="5" l="1"/>
  <c r="CR145" i="5"/>
  <c r="CR154" i="5"/>
  <c r="CR155" i="5" s="1"/>
  <c r="CS92" i="5"/>
  <c r="CS107" i="5" s="1"/>
  <c r="CS139" i="5" s="1"/>
  <c r="CS143" i="5"/>
  <c r="CS221" i="5"/>
  <c r="CS457" i="5"/>
  <c r="CW450" i="5"/>
  <c r="CT214" i="5"/>
  <c r="CT218" i="5" s="1"/>
  <c r="CT220" i="5" s="1"/>
  <c r="CT134" i="5"/>
  <c r="CT455" i="5" l="1"/>
  <c r="CT136" i="5"/>
  <c r="CT138" i="5" s="1"/>
  <c r="CT84" i="5"/>
  <c r="CT221" i="5" s="1"/>
  <c r="CU219" i="5"/>
  <c r="CU213" i="5" s="1"/>
  <c r="CS458" i="5"/>
  <c r="CT450" i="5"/>
  <c r="CS144" i="5"/>
  <c r="CS154" i="5"/>
  <c r="CS155" i="5" s="1"/>
  <c r="CS145" i="5"/>
  <c r="CT457" i="5" l="1"/>
  <c r="CU450" i="5" s="1"/>
  <c r="CU214" i="5"/>
  <c r="CU218" i="5" s="1"/>
  <c r="CU220" i="5" s="1"/>
  <c r="CU134" i="5"/>
  <c r="CT92" i="5"/>
  <c r="CT107" i="5" s="1"/>
  <c r="CT139" i="5" s="1"/>
  <c r="CT143" i="5"/>
  <c r="CT458" i="5" l="1"/>
  <c r="CU136" i="5"/>
  <c r="CU138" i="5" s="1"/>
  <c r="CU455" i="5"/>
  <c r="CU457" i="5" s="1"/>
  <c r="CU84" i="5"/>
  <c r="CU221" i="5" s="1"/>
  <c r="CV219" i="5"/>
  <c r="CV213" i="5" s="1"/>
  <c r="CT145" i="5"/>
  <c r="CT144" i="5"/>
  <c r="CT154" i="5"/>
  <c r="CT155" i="5" s="1"/>
  <c r="CU458" i="5" l="1"/>
  <c r="CV450" i="5"/>
  <c r="CV214" i="5"/>
  <c r="CV218" i="5" s="1"/>
  <c r="CV220" i="5" s="1"/>
  <c r="CW213" i="5"/>
  <c r="CW214" i="5" s="1"/>
  <c r="CW218" i="5" s="1"/>
  <c r="CW220" i="5" s="1"/>
  <c r="CU92" i="5"/>
  <c r="CU107" i="5" s="1"/>
  <c r="CU139" i="5" s="1"/>
  <c r="CU143" i="5"/>
  <c r="CV134" i="5"/>
  <c r="CV136" i="5" l="1"/>
  <c r="CV138" i="5" s="1"/>
  <c r="CW134" i="5"/>
  <c r="CV455" i="5"/>
  <c r="CV457" i="5" s="1"/>
  <c r="DB219" i="5"/>
  <c r="CX219" i="5"/>
  <c r="CX213" i="5" s="1"/>
  <c r="CU144" i="5"/>
  <c r="CU154" i="5"/>
  <c r="CU155" i="5" s="1"/>
  <c r="CU145" i="5"/>
  <c r="CV84" i="5"/>
  <c r="CV221" i="5" s="1"/>
  <c r="CV458" i="5" l="1"/>
  <c r="CX214" i="5"/>
  <c r="CX218" i="5" s="1"/>
  <c r="CX220" i="5" s="1"/>
  <c r="CW136" i="5"/>
  <c r="CW138" i="5" s="1"/>
  <c r="CW455" i="5"/>
  <c r="CW457" i="5" s="1"/>
  <c r="CX134" i="5"/>
  <c r="CW84" i="5"/>
  <c r="CV92" i="5"/>
  <c r="CV107" i="5" s="1"/>
  <c r="CV139" i="5" s="1"/>
  <c r="CV143" i="5"/>
  <c r="CX455" i="5" l="1"/>
  <c r="CX136" i="5"/>
  <c r="CX138" i="5" s="1"/>
  <c r="CV145" i="5"/>
  <c r="CV154" i="5"/>
  <c r="CV155" i="5" s="1"/>
  <c r="CV144" i="5"/>
  <c r="CW92" i="5"/>
  <c r="CW107" i="5" s="1"/>
  <c r="CW139" i="5" s="1"/>
  <c r="CW143" i="5"/>
  <c r="CW221" i="5"/>
  <c r="CW458" i="5"/>
  <c r="CX450" i="5"/>
  <c r="CX84" i="5"/>
  <c r="CX221" i="5" s="1"/>
  <c r="CY219" i="5"/>
  <c r="CY213" i="5" s="1"/>
  <c r="CY214" i="5" l="1"/>
  <c r="CY218" i="5" s="1"/>
  <c r="CY220" i="5" s="1"/>
  <c r="CW145" i="5"/>
  <c r="CW144" i="5"/>
  <c r="CW154" i="5"/>
  <c r="CW155" i="5" s="1"/>
  <c r="CY134" i="5"/>
  <c r="CX92" i="5"/>
  <c r="CX107" i="5" s="1"/>
  <c r="CX139" i="5" s="1"/>
  <c r="CX143" i="5"/>
  <c r="CX457" i="5"/>
  <c r="DB450" i="5"/>
  <c r="CX144" i="5" l="1"/>
  <c r="CX145" i="5"/>
  <c r="CX154" i="5"/>
  <c r="CX155" i="5" s="1"/>
  <c r="CY136" i="5"/>
  <c r="CY138" i="5" s="1"/>
  <c r="CY455" i="5"/>
  <c r="CX458" i="5"/>
  <c r="CY450" i="5"/>
  <c r="CZ219" i="5"/>
  <c r="CZ213" i="5" s="1"/>
  <c r="CY84" i="5"/>
  <c r="CY457" i="5" l="1"/>
  <c r="CZ450" i="5" s="1"/>
  <c r="CY92" i="5"/>
  <c r="CY107" i="5" s="1"/>
  <c r="CY139" i="5" s="1"/>
  <c r="CY143" i="5"/>
  <c r="CZ214" i="5"/>
  <c r="CZ218" i="5" s="1"/>
  <c r="CZ220" i="5" s="1"/>
  <c r="CZ134" i="5"/>
  <c r="CY221" i="5"/>
  <c r="CY458" i="5" l="1"/>
  <c r="CZ136" i="5"/>
  <c r="CZ138" i="5" s="1"/>
  <c r="CZ455" i="5"/>
  <c r="CZ457" i="5" s="1"/>
  <c r="CY144" i="5"/>
  <c r="CY145" i="5"/>
  <c r="CY154" i="5"/>
  <c r="CY155" i="5" s="1"/>
  <c r="DA219" i="5"/>
  <c r="DA213" i="5" s="1"/>
  <c r="CZ84" i="5"/>
  <c r="DA450" i="5" l="1"/>
  <c r="CZ458" i="5"/>
  <c r="DA214" i="5"/>
  <c r="DA218" i="5" s="1"/>
  <c r="DA220" i="5" s="1"/>
  <c r="DB213" i="5"/>
  <c r="DB214" i="5" s="1"/>
  <c r="DB218" i="5" s="1"/>
  <c r="DB220" i="5" s="1"/>
  <c r="DA134" i="5"/>
  <c r="CZ92" i="5"/>
  <c r="CZ107" i="5" s="1"/>
  <c r="CZ139" i="5" s="1"/>
  <c r="CZ143" i="5"/>
  <c r="CZ221" i="5"/>
  <c r="CZ145" i="5" l="1"/>
  <c r="CZ154" i="5"/>
  <c r="CZ155" i="5" s="1"/>
  <c r="CZ144" i="5"/>
  <c r="DA136" i="5"/>
  <c r="DA138" i="5" s="1"/>
  <c r="DA455" i="5"/>
  <c r="DA457" i="5" s="1"/>
  <c r="DB134" i="5"/>
  <c r="DA84" i="5"/>
  <c r="DA92" i="5" l="1"/>
  <c r="DA107" i="5" s="1"/>
  <c r="DA139" i="5" s="1"/>
  <c r="DB84" i="5"/>
  <c r="DA143" i="5"/>
  <c r="DB136" i="5"/>
  <c r="DB138" i="5" s="1"/>
  <c r="DB455" i="5"/>
  <c r="DB457" i="5" s="1"/>
  <c r="DA458" i="5"/>
  <c r="DA221" i="5"/>
  <c r="DB458" i="5" l="1"/>
  <c r="DA144" i="5"/>
  <c r="DA154" i="5"/>
  <c r="DA155" i="5" s="1"/>
  <c r="DA145" i="5"/>
  <c r="DB92" i="5"/>
  <c r="DB107" i="5" s="1"/>
  <c r="DB139" i="5" s="1"/>
  <c r="DB143" i="5"/>
  <c r="DB221" i="5"/>
  <c r="DB144" i="5" l="1"/>
  <c r="DB154" i="5"/>
  <c r="DB155" i="5" s="1"/>
  <c r="DB145" i="5"/>
</calcChain>
</file>

<file path=xl/comments1.xml><?xml version="1.0" encoding="utf-8"?>
<comments xmlns="http://schemas.openxmlformats.org/spreadsheetml/2006/main">
  <authors>
    <author>kaorob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䪰_x001A_䭏幅彐剐䍉彅单ń㤠ㄯ⼶〲㤰_x0018_＀＀_x0018_＀＀_x0008_＀＀_x0001_＀＀_x0001_＀＀㵱휊肣䁁䪯_x001A_䭏幅彐剐䍉彅单ń㤠ㄯ⼵〲㤰_x0018_＀＀_x0018_＀＀_x0008_＀＀_x0001_＀＀_x0001_＀＀헐匯䁁䪰_x001A_䭏幓彐剐䍉彅单ń㤠ㄯ⼶〲㤰_x0018_＀＀_x0018_＀＀_x0008_＀＀_x0001_＀＀_x0001_＀＀ꧻ닱䁊䪯_x001A_䭏幓彐剐䍉彅单ń㤠ㄯ⼵〲㤰_x0018_＀＀_x0018_＀＀_x0008_＀＀_x0001_＀＀_x0001_＀＀尩슏裵䁊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145</t>
        </r>
      </text>
    </comment>
  </commentList>
</comments>
</file>

<file path=xl/comments2.xml><?xml version="1.0" encoding="utf-8"?>
<comments xmlns="http://schemas.openxmlformats.org/spreadsheetml/2006/main">
  <authors>
    <author>Giacobbe, Matthew (Research)</author>
    <author>shaans</author>
    <author>mcinsp</author>
    <author>K, Hemalatha (Research)</author>
    <author>swetag</author>
    <author>Shukla, Sindhuja (Research)</author>
    <author>Jacob, Abey (Research)</author>
    <author xml:space="preserve">  </author>
    <author>hernaand</author>
  </authors>
  <commentList>
    <comment ref="BS26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Guidance of $150-170mm</t>
        </r>
      </text>
    </comment>
    <comment ref="AO31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752</t>
        </r>
      </text>
    </comment>
    <comment ref="AO32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218</t>
        </r>
      </text>
    </comment>
    <comment ref="AO33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42</t>
        </r>
      </text>
    </comment>
    <comment ref="AL40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we had 6500</t>
        </r>
      </text>
    </comment>
    <comment ref="AL41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we had -2300</t>
        </r>
      </text>
    </comment>
    <comment ref="AL42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includes 212 loss on sale of assets</t>
        </r>
      </text>
    </comment>
    <comment ref="BX42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495-455m</t>
        </r>
      </text>
    </comment>
    <comment ref="AH45" authorId="2">
      <text>
        <r>
          <rPr>
            <sz val="8"/>
            <color indexed="81"/>
            <rFont val="Tahoma"/>
            <family val="2"/>
          </rPr>
          <t>Adjusted for gain on sale
at OKS</t>
        </r>
      </text>
    </comment>
    <comment ref="AM45" authorId="2">
      <text>
        <r>
          <rPr>
            <sz val="8"/>
            <color indexed="81"/>
            <rFont val="Tahoma"/>
            <family val="2"/>
          </rPr>
          <t>Adjusted for gain on sale
at OKS</t>
        </r>
      </text>
    </comment>
    <comment ref="BX49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310-360</t>
        </r>
      </text>
    </comment>
    <comment ref="AO52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8.2.2011 325-345 v prior 325-360</t>
        </r>
      </text>
    </comment>
    <comment ref="BH56" authorId="3">
      <text>
        <r>
          <rPr>
            <sz val="8"/>
            <color indexed="81"/>
            <rFont val="Tahoma"/>
            <family val="2"/>
          </rPr>
          <t>Includes:
$83.673mn : Impairment of long-lived assets
$6.239mn : Gain (loss) on sale of assets
$180.583mn : Impairment of equity investments</t>
        </r>
      </text>
    </comment>
    <comment ref="BJ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K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M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O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P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Q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R56" authorId="3">
      <text>
        <r>
          <rPr>
            <sz val="9"/>
            <color indexed="81"/>
            <rFont val="Tahoma"/>
            <family val="2"/>
          </rPr>
          <t>(Gain) loss on sale of assets</t>
        </r>
      </text>
    </comment>
    <comment ref="B87" authorId="4">
      <text>
        <r>
          <rPr>
            <sz val="8"/>
            <color indexed="81"/>
            <rFont val="Tahoma"/>
            <family val="2"/>
          </rPr>
          <t>Includes materials and supplies $20,684k.</t>
        </r>
      </text>
    </comment>
    <comment ref="C87" authorId="4">
      <text>
        <r>
          <rPr>
            <sz val="8"/>
            <color indexed="81"/>
            <rFont val="Tahoma"/>
            <family val="2"/>
          </rPr>
          <t>Includes materials and supplies $21,576k.</t>
        </r>
      </text>
    </comment>
    <comment ref="D87" authorId="4">
      <text>
        <r>
          <rPr>
            <sz val="8"/>
            <color indexed="81"/>
            <rFont val="Tahoma"/>
            <family val="2"/>
          </rPr>
          <t>Includes materials and supplies $20,585k.</t>
        </r>
      </text>
    </comment>
    <comment ref="G87" authorId="4">
      <text>
        <r>
          <rPr>
            <sz val="8"/>
            <color indexed="81"/>
            <rFont val="Tahoma"/>
            <family val="2"/>
          </rPr>
          <t>Includes materials and supplies $22,937k.</t>
        </r>
      </text>
    </comment>
    <comment ref="H87" authorId="4">
      <text>
        <r>
          <rPr>
            <sz val="8"/>
            <color indexed="81"/>
            <rFont val="Tahoma"/>
            <family val="2"/>
          </rPr>
          <t>Includes materials and supplies $22,665k.</t>
        </r>
      </text>
    </comment>
    <comment ref="I87" authorId="4">
      <text>
        <r>
          <rPr>
            <sz val="8"/>
            <color indexed="81"/>
            <rFont val="Tahoma"/>
            <family val="2"/>
          </rPr>
          <t>Includes materials and supplies $22,497k.</t>
        </r>
      </text>
    </comment>
    <comment ref="D91" authorId="4">
      <text>
        <r>
          <rPr>
            <sz val="8"/>
            <color indexed="81"/>
            <rFont val="Tahoma"/>
            <family val="2"/>
          </rPr>
          <t>Includes deferred income taxes $22,408k.</t>
        </r>
      </text>
    </comment>
    <comment ref="G91" authorId="4">
      <text>
        <r>
          <rPr>
            <sz val="8"/>
            <color indexed="81"/>
            <rFont val="Tahoma"/>
            <family val="2"/>
          </rPr>
          <t>Includes deferred income taxes $18,547k.</t>
        </r>
      </text>
    </comment>
    <comment ref="H91" authorId="4">
      <text>
        <r>
          <rPr>
            <sz val="8"/>
            <color indexed="81"/>
            <rFont val="Tahoma"/>
            <family val="2"/>
          </rPr>
          <t>Includes deferred income taxes $18,172k.</t>
        </r>
      </text>
    </comment>
    <comment ref="I91" authorId="4">
      <text>
        <r>
          <rPr>
            <sz val="8"/>
            <color indexed="81"/>
            <rFont val="Tahoma"/>
            <family val="2"/>
          </rPr>
          <t>Includes deferred income taxes $136,668k.</t>
        </r>
      </text>
    </comment>
    <comment ref="W91" authorId="4">
      <text>
        <r>
          <rPr>
            <sz val="8"/>
            <color indexed="81"/>
            <rFont val="Tahoma"/>
            <family val="2"/>
          </rPr>
          <t>Includes fair value of firm commitments $118,222k.</t>
        </r>
      </text>
    </comment>
    <comment ref="BJ91" authorId="3">
      <text>
        <r>
          <rPr>
            <sz val="8"/>
            <color indexed="81"/>
            <rFont val="Tahoma"/>
            <family val="2"/>
          </rPr>
          <t xml:space="preserve">Includes:
1) $83.144mn: Materials and supplies
2) $54.024mn: Other current assets
</t>
        </r>
      </text>
    </comment>
    <comment ref="BK91" authorId="5">
      <text>
        <r>
          <rPr>
            <sz val="9"/>
            <color indexed="81"/>
            <rFont val="Tahoma"/>
            <family val="2"/>
          </rPr>
          <t>Materials and supplies $85.127m
Other current assets $58.2m
Assets of discontinued operations $.702m</t>
        </r>
      </text>
    </comment>
    <comment ref="B104" authorId="4">
      <text>
        <r>
          <rPr>
            <sz val="8"/>
            <color indexed="81"/>
            <rFont val="Tahoma"/>
            <family val="2"/>
          </rPr>
          <t>Includes prepaid pension $121,437k, Investments and others $78,005k and regulatory assets $208,666k.</t>
        </r>
      </text>
    </comment>
    <comment ref="C104" authorId="4">
      <text>
        <r>
          <rPr>
            <sz val="8"/>
            <color indexed="81"/>
            <rFont val="Tahoma"/>
            <family val="2"/>
          </rPr>
          <t>Includes prepaid pension $123,965k, Investments and others $86,668k and regulatory assets $203,887k.</t>
        </r>
      </text>
    </comment>
    <comment ref="D104" authorId="4">
      <text>
        <r>
          <rPr>
            <sz val="8"/>
            <color indexed="81"/>
            <rFont val="Tahoma"/>
            <family val="2"/>
          </rPr>
          <t>Includes prepaid pension $126,974k, Investments and others $83,459k and regulatory assets $201,576k.</t>
        </r>
      </text>
    </comment>
    <comment ref="G104" authorId="4">
      <text>
        <r>
          <rPr>
            <sz val="8"/>
            <color indexed="81"/>
            <rFont val="Tahoma"/>
            <family val="2"/>
          </rPr>
          <t>Includes prepaid pension $125,079k, Investments and others $258,054k and regulatory assets $198,984k.</t>
        </r>
      </text>
    </comment>
    <comment ref="H104" authorId="4">
      <text>
        <r>
          <rPr>
            <sz val="8"/>
            <color indexed="81"/>
            <rFont val="Tahoma"/>
            <family val="2"/>
          </rPr>
          <t>Includes prepaid pension $122,500k, Investments and others $266,311k and regulatory assets $191,808k.</t>
        </r>
      </text>
    </comment>
    <comment ref="I104" authorId="4">
      <text>
        <r>
          <rPr>
            <sz val="8"/>
            <color indexed="81"/>
            <rFont val="Tahoma"/>
            <family val="2"/>
          </rPr>
          <t>Includes prepaid pension $119,929k, Investments and others $391,939k and regulatory assets $187,455k.</t>
        </r>
      </text>
    </comment>
    <comment ref="B116" authorId="4">
      <text>
        <r>
          <rPr>
            <sz val="8"/>
            <color indexed="81"/>
            <rFont val="Tahoma"/>
            <family val="2"/>
          </rPr>
          <t>Includes:
Accrued taxes $94,352k,
Accrued interest $28,586k,
Customers deposit $35,662k,
Unrecovered purchased gas cost $49,695k,
deferred income taxes $9,205k and Other $118,102k.</t>
        </r>
      </text>
    </comment>
    <comment ref="C116" authorId="4">
      <text>
        <r>
          <rPr>
            <sz val="8"/>
            <color indexed="81"/>
            <rFont val="Tahoma"/>
            <family val="2"/>
          </rPr>
          <t>Includes:
dividends payable $23,685k,
Accrued taxes $43,140k,
Accrued interest $33,643k,
Customers deposit $35,700k,
Unrecovered purchased gas cost $65,171k,
deferred income taxes $8,250k and Other $118,458k.</t>
        </r>
      </text>
    </comment>
    <comment ref="D116" authorId="4">
      <text>
        <r>
          <rPr>
            <sz val="8"/>
            <color indexed="81"/>
            <rFont val="Tahoma"/>
            <family val="2"/>
          </rPr>
          <t>Includes:
dividends payable $25,840k,
Accrued taxes $24,155k,
Accrued interest $28,671k,
Customers deposit $36,970k,
Unrecovered purchased gas cost $68,535k,
and Other $112,341k.</t>
        </r>
      </text>
    </comment>
    <comment ref="G116" authorId="4">
      <text>
        <r>
          <rPr>
            <sz val="8"/>
            <color indexed="81"/>
            <rFont val="Tahoma"/>
            <family val="2"/>
          </rPr>
          <t>Includes:
Accrued taxes $90,057k,
Accrued interest $25,639k,
Customers deposit $39,831k,
Unrecovered purchased gas cost $60,705k,
and Other $127,458k.</t>
        </r>
      </text>
    </comment>
    <comment ref="H116" authorId="4">
      <text>
        <r>
          <rPr>
            <sz val="8"/>
            <color indexed="81"/>
            <rFont val="Tahoma"/>
            <family val="2"/>
          </rPr>
          <t>Includes:
dividends payable $28,235k,
Accrued taxes $48,410k,
Accrued interest $26,776k,
Customers deposit $39,665k,
Unrecovered purchased gas cost $65,648k,
and Other $112,698k.</t>
        </r>
      </text>
    </comment>
    <comment ref="I116" authorId="4">
      <text>
        <r>
          <rPr>
            <sz val="8"/>
            <color indexed="81"/>
            <rFont val="Tahoma"/>
            <family val="2"/>
          </rPr>
          <t>Includes:
dividends payable $27,647k,
Accrued taxes $203,234k,
Accrued interest $39,464k,
Customers deposit $41,025k,
Unrecovered purchased gas cost $109,869k,
and Other $131,165k.</t>
        </r>
      </text>
    </comment>
    <comment ref="B133" authorId="4">
      <text>
        <r>
          <rPr>
            <sz val="8"/>
            <color indexed="81"/>
            <rFont val="Tahoma"/>
            <family val="2"/>
          </rPr>
          <t>Includes unearned compensation $(2,871)k.</t>
        </r>
      </text>
    </comment>
    <comment ref="C133" authorId="4">
      <text>
        <r>
          <rPr>
            <sz val="8"/>
            <color indexed="81"/>
            <rFont val="Tahoma"/>
            <family val="2"/>
          </rPr>
          <t>Includes unearned compensation $(2,489)k.</t>
        </r>
      </text>
    </comment>
    <comment ref="D133" authorId="4">
      <text>
        <r>
          <rPr>
            <sz val="8"/>
            <color indexed="81"/>
            <rFont val="Tahoma"/>
            <family val="2"/>
          </rPr>
          <t>Includes unearned compensation $(2,007)k.</t>
        </r>
      </text>
    </comment>
    <comment ref="F133" authorId="4">
      <text>
        <r>
          <rPr>
            <sz val="8"/>
            <color indexed="81"/>
            <rFont val="Tahoma"/>
            <family val="2"/>
          </rPr>
          <t>Includes unearned compensation $(1,413)k.</t>
        </r>
      </text>
    </comment>
    <comment ref="G133" authorId="4">
      <text>
        <r>
          <rPr>
            <sz val="8"/>
            <color indexed="81"/>
            <rFont val="Tahoma"/>
            <family val="2"/>
          </rPr>
          <t>Includes unearned compensation $(1,054)k.</t>
        </r>
      </text>
    </comment>
    <comment ref="H133" authorId="4">
      <text>
        <r>
          <rPr>
            <sz val="8"/>
            <color indexed="81"/>
            <rFont val="Tahoma"/>
            <family val="2"/>
          </rPr>
          <t>Includes unearned compensation $(833)k.</t>
        </r>
      </text>
    </comment>
    <comment ref="I133" authorId="4">
      <text>
        <r>
          <rPr>
            <sz val="8"/>
            <color indexed="81"/>
            <rFont val="Tahoma"/>
            <family val="2"/>
          </rPr>
          <t>Includes unearned compensation $(549)k.</t>
        </r>
      </text>
    </comment>
    <comment ref="K133" authorId="4">
      <text>
        <r>
          <rPr>
            <sz val="8"/>
            <color indexed="81"/>
            <rFont val="Tahoma"/>
            <family val="2"/>
          </rPr>
          <t>Includes unearned compensation $(105)k.</t>
        </r>
      </text>
    </comment>
    <comment ref="I165" authorId="4">
      <text>
        <r>
          <rPr>
            <sz val="8"/>
            <color indexed="81"/>
            <rFont val="Tahoma"/>
            <family val="2"/>
          </rPr>
          <t>Includes impairment expense for discontinued components $52,226k.</t>
        </r>
      </text>
    </comment>
    <comment ref="K165" authorId="4">
      <text>
        <r>
          <rPr>
            <sz val="8"/>
            <color indexed="81"/>
            <rFont val="Tahoma"/>
            <family val="2"/>
          </rPr>
          <t>Includes impairment expense for discontinued components $52,226k.</t>
        </r>
      </text>
    </comment>
    <comment ref="BX168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140-150</t>
        </r>
      </text>
    </comment>
    <comment ref="BS169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190-210mm</t>
        </r>
      </text>
    </comment>
    <comment ref="BX169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1850295</t>
        </r>
      </text>
    </comment>
    <comment ref="BI174" authorId="3">
      <text>
        <r>
          <rPr>
            <sz val="8"/>
            <color indexed="81"/>
            <rFont val="Tahoma"/>
            <family val="2"/>
          </rPr>
          <t>Includes:
$14.814mn : Pension and postretirement benefit expense, net of contributions
$264.256mn : Impairment charges</t>
        </r>
      </text>
    </comment>
    <comment ref="BJ174" authorId="3">
      <text>
        <r>
          <rPr>
            <sz val="8"/>
            <color indexed="81"/>
            <rFont val="Tahoma"/>
            <family val="2"/>
          </rPr>
          <t>Pension and postretirement benefit expense, net of contributions</t>
        </r>
      </text>
    </comment>
    <comment ref="BK174" authorId="3">
      <text>
        <r>
          <rPr>
            <sz val="8"/>
            <color indexed="81"/>
            <rFont val="Tahoma"/>
            <family val="2"/>
          </rPr>
          <t>Pension and postretirement benefit expense, net of contributions</t>
        </r>
      </text>
    </comment>
    <comment ref="BL174" authorId="3">
      <text>
        <r>
          <rPr>
            <sz val="8"/>
            <color indexed="81"/>
            <rFont val="Tahoma"/>
            <family val="2"/>
          </rPr>
          <t>Pension and postretirement benefit expense, net of contributions</t>
        </r>
      </text>
    </comment>
    <comment ref="BO174" authorId="3">
      <text>
        <r>
          <rPr>
            <sz val="8"/>
            <color indexed="81"/>
            <rFont val="Tahoma"/>
            <family val="2"/>
          </rPr>
          <t>Pension and postretirement benefit expense, net of contributions</t>
        </r>
      </text>
    </comment>
    <comment ref="BP174" authorId="6">
      <text>
        <r>
          <rPr>
            <sz val="8"/>
            <color indexed="81"/>
            <rFont val="Tahoma"/>
            <family val="2"/>
          </rPr>
          <t>$12,600: Non cash Contribution of preferred stock</t>
        </r>
      </text>
    </comment>
    <comment ref="BQ174" authorId="3">
      <text>
        <r>
          <rPr>
            <sz val="8"/>
            <color indexed="81"/>
            <rFont val="Tahoma"/>
            <family val="2"/>
          </rPr>
          <t>$818-Pension and postretirement benefit expense, net of contributions
$12600-Noncash contribution of preferred stock, net of tax
$20240-Impairment charges</t>
        </r>
      </text>
    </comment>
    <comment ref="B186" authorId="4">
      <text>
        <r>
          <rPr>
            <sz val="8"/>
            <color indexed="81"/>
            <rFont val="Tahoma"/>
            <family val="2"/>
          </rPr>
          <t>Includes regulatory assets $1,798k.</t>
        </r>
      </text>
    </comment>
    <comment ref="C186" authorId="4">
      <text>
        <r>
          <rPr>
            <sz val="8"/>
            <color indexed="81"/>
            <rFont val="Tahoma"/>
            <family val="2"/>
          </rPr>
          <t>Includes regulatory assets $3,308k.</t>
        </r>
      </text>
    </comment>
    <comment ref="D186" authorId="4">
      <text>
        <r>
          <rPr>
            <sz val="8"/>
            <color indexed="81"/>
            <rFont val="Tahoma"/>
            <family val="2"/>
          </rPr>
          <t>Includes regulatory assets $(6,921)k.</t>
        </r>
      </text>
    </comment>
    <comment ref="F186" authorId="4">
      <text>
        <r>
          <rPr>
            <sz val="8"/>
            <color indexed="81"/>
            <rFont val="Tahoma"/>
            <family val="2"/>
          </rPr>
          <t>Includes regulatory assets $(15,395)k.</t>
        </r>
      </text>
    </comment>
    <comment ref="G186" authorId="4">
      <text>
        <r>
          <rPr>
            <sz val="8"/>
            <color indexed="81"/>
            <rFont val="Tahoma"/>
            <family val="2"/>
          </rPr>
          <t>Includes regulatory assets $(4,898)k.</t>
        </r>
      </text>
    </comment>
    <comment ref="H186" authorId="4">
      <text>
        <r>
          <rPr>
            <sz val="8"/>
            <color indexed="81"/>
            <rFont val="Tahoma"/>
            <family val="2"/>
          </rPr>
          <t>Includes regulatory assets $(4,435)k.</t>
        </r>
      </text>
    </comment>
    <comment ref="L186" authorId="4">
      <text>
        <r>
          <rPr>
            <sz val="8"/>
            <color indexed="81"/>
            <rFont val="Tahoma"/>
            <family val="2"/>
          </rPr>
          <t>Includes regulatory assets $7,632k.</t>
        </r>
      </text>
    </comment>
    <comment ref="M186" authorId="4">
      <text>
        <r>
          <rPr>
            <sz val="8"/>
            <color indexed="81"/>
            <rFont val="Tahoma"/>
            <family val="2"/>
          </rPr>
          <t>Includes regulatory assets $12,427k.</t>
        </r>
      </text>
    </comment>
    <comment ref="N186" authorId="4">
      <text>
        <r>
          <rPr>
            <sz val="8"/>
            <color indexed="81"/>
            <rFont val="Tahoma"/>
            <family val="2"/>
          </rPr>
          <t>Includes regulatory assets $12,922k.</t>
        </r>
      </text>
    </comment>
    <comment ref="BF186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other, settle, gain/loss</t>
        </r>
      </text>
    </comment>
    <comment ref="BS192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$550</t>
        </r>
      </text>
    </comment>
    <comment ref="BS193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$150</t>
        </r>
      </text>
    </comment>
    <comment ref="BJ200" authorId="3">
      <text>
        <r>
          <rPr>
            <sz val="8"/>
            <color indexed="81"/>
            <rFont val="Tahoma"/>
            <family val="2"/>
          </rPr>
          <t>Includes:
1) $11.764mn: Distributions received from unconsolidated affiliates in excess of cumulative earnings
2) $0.158mn: Contributions to unconsolidated affiliates</t>
        </r>
      </text>
    </comment>
    <comment ref="BK200" authorId="5">
      <text>
        <r>
          <rPr>
            <sz val="9"/>
            <color indexed="81"/>
            <rFont val="Tahoma"/>
            <family val="2"/>
          </rPr>
          <t>Contributions to unconsolidated affiliates $19.830m
Distributions received from unconsolidated affiliates in excess of cumulative earnings $36.373 mn</t>
        </r>
      </text>
    </comment>
    <comment ref="BO200" authorId="3">
      <text>
        <r>
          <rPr>
            <sz val="8"/>
            <color indexed="81"/>
            <rFont val="Tahoma"/>
            <family val="2"/>
          </rPr>
          <t>Includes:
1) $7.4mn: Distributions received from unconsolidated affiliates in excess of cumulative earnings
2) $4.422mn: Contributions to unconsolidated affiliates</t>
        </r>
      </text>
    </comment>
    <comment ref="BP200" authorId="3">
      <text>
        <r>
          <rPr>
            <sz val="8"/>
            <color indexed="81"/>
            <rFont val="Tahoma"/>
            <family val="2"/>
          </rPr>
          <t>Includes:
1) $14.396Mn: Distributions received from unconsolidated affiliates in excess of cumulative earnings
2) $4.653mn: Contributions to unconsolidated affiliates</t>
        </r>
      </text>
    </comment>
    <comment ref="BQ200" authorId="7">
      <text>
        <r>
          <rPr>
            <sz val="9"/>
            <color indexed="81"/>
            <rFont val="Tahoma"/>
            <family val="2"/>
          </rPr>
          <t>Includes:
1) $21.577Mn: Distributions received from unconsolidated affiliates in excess of cumulative earnings
2) -$87653mn: Contributions to unconsolidated affiliates</t>
        </r>
      </text>
    </comment>
    <comment ref="I204" authorId="4">
      <text>
        <r>
          <rPr>
            <sz val="8"/>
            <color indexed="81"/>
            <rFont val="Tahoma"/>
            <family val="2"/>
          </rPr>
          <t>Includes short term borrowings $ 1,000,000k and payments $100,000k.</t>
        </r>
      </text>
    </comment>
    <comment ref="K204" authorId="4">
      <text>
        <r>
          <rPr>
            <sz val="8"/>
            <color indexed="81"/>
            <rFont val="Tahoma"/>
            <family val="2"/>
          </rPr>
          <t>Includes short term borrowings $ 1,000,000k and payments $100,000k.</t>
        </r>
      </text>
    </comment>
    <comment ref="L204" authorId="4">
      <text>
        <r>
          <rPr>
            <sz val="8"/>
            <color indexed="81"/>
            <rFont val="Tahoma"/>
            <family val="2"/>
          </rPr>
          <t>Includes short term borrowings $ 237,000k and payments $1,110,000k.</t>
        </r>
      </text>
    </comment>
    <comment ref="M204" authorId="4">
      <text>
        <r>
          <rPr>
            <sz val="8"/>
            <color indexed="81"/>
            <rFont val="Tahoma"/>
            <family val="2"/>
          </rPr>
          <t>Includes short term borrowings $ 1,432,500k and payments $1,175,000k.</t>
        </r>
      </text>
    </comment>
    <comment ref="B213" authorId="4">
      <text>
        <r>
          <rPr>
            <sz val="8"/>
            <color indexed="81"/>
            <rFont val="Tahoma"/>
            <family val="2"/>
          </rPr>
          <t>Includes termination of interest rate swaps $82,915k .</t>
        </r>
      </text>
    </comment>
    <comment ref="C213" authorId="4">
      <text>
        <r>
          <rPr>
            <sz val="8"/>
            <color indexed="81"/>
            <rFont val="Tahoma"/>
            <family val="2"/>
          </rPr>
          <t>Includes termination of interest rate swaps $82,915k .</t>
        </r>
      </text>
    </comment>
    <comment ref="D213" authorId="4">
      <text>
        <r>
          <rPr>
            <sz val="8"/>
            <color indexed="81"/>
            <rFont val="Tahoma"/>
            <family val="2"/>
          </rPr>
          <t>Includes termination of interest rate swaps $82,915k .</t>
        </r>
      </text>
    </comment>
    <comment ref="F213" authorId="4">
      <text>
        <r>
          <rPr>
            <sz val="8"/>
            <color indexed="81"/>
            <rFont val="Tahoma"/>
            <family val="2"/>
          </rPr>
          <t>Includes termination of interest rate swaps $82,915k .</t>
        </r>
      </text>
    </comment>
    <comment ref="G213" authorId="4">
      <text>
        <r>
          <rPr>
            <sz val="8"/>
            <color indexed="81"/>
            <rFont val="Tahoma"/>
            <family val="2"/>
          </rPr>
          <t>Includes termination of interest rate swaps $(20,212)k .</t>
        </r>
      </text>
    </comment>
    <comment ref="H213" authorId="4">
      <text>
        <r>
          <rPr>
            <sz val="8"/>
            <color indexed="81"/>
            <rFont val="Tahoma"/>
            <family val="2"/>
          </rPr>
          <t>Includes termination of interest rate swaps $(22,565)k .</t>
        </r>
      </text>
    </comment>
    <comment ref="I213" authorId="4">
      <text>
        <r>
          <rPr>
            <sz val="8"/>
            <color indexed="81"/>
            <rFont val="Tahoma"/>
            <family val="2"/>
          </rPr>
          <t>Includes termination of interest rate swaps $(22,565)k .</t>
        </r>
      </text>
    </comment>
    <comment ref="L216" authorId="4">
      <text>
        <r>
          <rPr>
            <sz val="8"/>
            <color indexed="81"/>
            <rFont val="Tahoma"/>
            <family val="2"/>
          </rPr>
          <t>Adjustment due to restatement of EOD cash balance due to consolidation of ONEOK Partners financials w.e.f. 1Q06.</t>
        </r>
      </text>
    </comment>
    <comment ref="M216" authorId="4">
      <text>
        <r>
          <rPr>
            <sz val="8"/>
            <color indexed="81"/>
            <rFont val="Tahoma"/>
            <family val="2"/>
          </rPr>
          <t>Adjustment due to restatement of EOD cash balance due to consolidation of ONEOK Partners financials w.e.f. 1Q06.</t>
        </r>
      </text>
    </comment>
    <comment ref="N216" authorId="4">
      <text>
        <r>
          <rPr>
            <sz val="8"/>
            <color indexed="81"/>
            <rFont val="Tahoma"/>
            <family val="2"/>
          </rPr>
          <t>Adjustment due to restatement of EOD cash balance due to consolidation of ONEOK Partners financials w.e.f. 1Q06.</t>
        </r>
      </text>
    </comment>
    <comment ref="BR224" authorId="6">
      <text>
        <r>
          <rPr>
            <sz val="9"/>
            <color indexed="81"/>
            <rFont val="Tahoma"/>
            <family val="2"/>
          </rPr>
          <t>Adjusted closing price as of 29th Dec 2017
Source Yahoo Finance</t>
        </r>
      </text>
    </comment>
    <comment ref="BS233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Likely lower than $150 guide</t>
        </r>
      </text>
    </comment>
    <comment ref="BN238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1,245-1,505</t>
        </r>
      </text>
    </comment>
    <comment ref="BS238" authorId="0">
      <text>
        <r>
          <rPr>
            <b/>
            <sz val="9"/>
            <color indexed="81"/>
            <rFont val="Tahoma"/>
            <family val="2"/>
          </rPr>
          <t>Giacobbe, Matthew (Research):</t>
        </r>
        <r>
          <rPr>
            <sz val="9"/>
            <color indexed="81"/>
            <rFont val="Tahoma"/>
            <family val="2"/>
          </rPr>
          <t xml:space="preserve">
1,245-1,505</t>
        </r>
      </text>
    </comment>
    <comment ref="E276" authorId="4">
      <text>
        <r>
          <rPr>
            <sz val="8"/>
            <color indexed="81"/>
            <rFont val="Tahoma"/>
            <family val="2"/>
          </rPr>
          <t>Due to change in operating segment after the acquisition of natural gas liquids on july 1st 2005. Source: 10-Q 3Q05 page 26.</t>
        </r>
      </text>
    </comment>
    <comment ref="E308" authorId="4">
      <text>
        <r>
          <rPr>
            <sz val="8"/>
            <color indexed="81"/>
            <rFont val="Tahoma"/>
            <family val="2"/>
          </rPr>
          <t>Due to change in operating segment after the acquisition of natural gas liquids on july 1st 2005. Source: 10-Q 3Q05 page 26.</t>
        </r>
      </text>
    </comment>
    <comment ref="G313" authorId="4">
      <text>
        <r>
          <rPr>
            <sz val="8"/>
            <color indexed="81"/>
            <rFont val="Tahoma"/>
            <family val="2"/>
          </rPr>
          <t>No data available as the acquisition was completed on July 2005.</t>
        </r>
      </text>
    </comment>
    <comment ref="AL324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we had 4.09</t>
        </r>
      </text>
    </comment>
    <comment ref="AO339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8.2.2011 218 prior 231</t>
        </r>
      </text>
    </comment>
    <comment ref="AT339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8.2.2011 218 prior 231</t>
        </r>
      </text>
    </comment>
    <comment ref="AY339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8.2.2011 218 prior 231</t>
        </r>
      </text>
    </comment>
    <comment ref="B347" authorId="4">
      <text>
        <r>
          <rPr>
            <sz val="8"/>
            <color indexed="81"/>
            <rFont val="Tahoma"/>
            <family val="2"/>
          </rPr>
          <t>1Q04 has been taken as cumulative six months figure minus three months for 2nd quarter in order to match the six months data reported by the company.</t>
        </r>
      </text>
    </comment>
    <comment ref="Y354" authorId="4">
      <text>
        <r>
          <rPr>
            <sz val="8"/>
            <color indexed="81"/>
            <rFont val="Tahoma"/>
            <family val="2"/>
          </rPr>
          <t>Reported by the company in 8-K FY08 dated 23rd Feb '09 as 56.0.</t>
        </r>
      </text>
    </comment>
    <comment ref="E372" authorId="4">
      <text>
        <r>
          <rPr>
            <sz val="8"/>
            <color indexed="81"/>
            <rFont val="Tahoma"/>
            <family val="2"/>
          </rPr>
          <t>Reported by the company in 8-K FY05 dated 8th Mar '06 as 129.5.</t>
        </r>
      </text>
    </comment>
    <comment ref="AL372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74" authorId="4">
      <text>
        <r>
          <rPr>
            <sz val="8"/>
            <color indexed="81"/>
            <rFont val="Tahoma"/>
            <family val="2"/>
          </rPr>
          <t>Reported by the company in 8-K FY05 dated 8th Mar '06 as 26.6</t>
        </r>
      </text>
    </comment>
    <comment ref="AL379" authorId="1">
      <text>
        <r>
          <rPr>
            <b/>
            <sz val="8"/>
            <color indexed="81"/>
            <rFont val="Tahoma"/>
            <family val="2"/>
          </rPr>
          <t>shaans: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489" authorId="8">
      <text>
        <r>
          <rPr>
            <b/>
            <sz val="8"/>
            <color indexed="81"/>
            <rFont val="Tahoma"/>
            <family val="2"/>
          </rPr>
          <t>hernaand:</t>
        </r>
        <r>
          <rPr>
            <sz val="8"/>
            <color indexed="81"/>
            <rFont val="Tahoma"/>
            <family val="2"/>
          </rPr>
          <t xml:space="preserve">
Already tagged in IS</t>
        </r>
      </text>
    </comment>
  </commentList>
</comments>
</file>

<file path=xl/sharedStrings.xml><?xml version="1.0" encoding="utf-8"?>
<sst xmlns="http://schemas.openxmlformats.org/spreadsheetml/2006/main" count="6507" uniqueCount="1989">
  <si>
    <t>170.1465</t>
  </si>
  <si>
    <t>196.78189</t>
  </si>
  <si>
    <t>74.2695</t>
  </si>
  <si>
    <t>649.509</t>
  </si>
  <si>
    <t>499.018</t>
  </si>
  <si>
    <t>53.66595</t>
  </si>
  <si>
    <t>OKS.N,mstag:shortTermBorrowings,2022Q4,,FYR,,,HOLD</t>
  </si>
  <si>
    <t>OKS.N,mstag:longTermDebt,2022FY,,FYR,,,HOLD</t>
  </si>
  <si>
    <t>OKS.N,mstag:shortTermBorrowings,2022FY,,FYR,,,HOLD</t>
  </si>
  <si>
    <t>OKS.N,mstag:longTermDebt,2013FY,,FYR</t>
  </si>
  <si>
    <t>OKS.N,mstag:longTermDebt,2022Q4,,FYR,,,HOLD</t>
  </si>
  <si>
    <t>OKS.N,mstag:shortTermBorrowings,2013FY,,FYR</t>
  </si>
  <si>
    <t>OKS.N,mstag:longTermDebt,2022Q3,,FYR,,,HOLD</t>
  </si>
  <si>
    <t>OKS.N,mstag:longTermDebt,2022Q1,,FYR,,,HOLD</t>
  </si>
  <si>
    <t>OKS.N,mstag:shortTermBorrowings,2022Q2,,FYR,,,HOLD</t>
  </si>
  <si>
    <t>6,039.997</t>
  </si>
  <si>
    <t>OKS.N,mstag:shortTermBorrowings,2022Q3,,FYR,,,HOLD</t>
  </si>
  <si>
    <t>OKS.N,mstag:shortTermBorrowings,2022Q1,,FYR,,,HOLD</t>
  </si>
  <si>
    <t>OKS.N,mstag:longTermDebt,2022Q2,,FYR,,,HOLD</t>
  </si>
  <si>
    <t>OKS.N,mstag:cashAndCashEquivalents,2022Q4,,FYR,,,HOLD</t>
  </si>
  <si>
    <t>OKS.N,mstag:cashAndCashEquivalents,2013FY,,FYR</t>
  </si>
  <si>
    <t>OKS.N,mstag:cashAndCashEquivalents,2022FY,,FYR,,,HOLD</t>
  </si>
  <si>
    <t>54.029</t>
  </si>
  <si>
    <t>OKS.N,mstag:cashAndCashEquivalents,2022Q1,,FYR,,,HOLD</t>
  </si>
  <si>
    <t>OKS.N,mstag:cashAndCashEquivalents,2022Q3,,FYR,,,HOLD</t>
  </si>
  <si>
    <t>OKS.N,mstag:cashAndCashEquivalents,2022Q2,,FYR,,,HOLD</t>
  </si>
  <si>
    <t>OKS.N,mstag:interestExpense,2022Q2,,FYR,,,HOLD</t>
  </si>
  <si>
    <t>OKS.N,mstag:interestExpense,2022Q4,,FYR,,,HOLD</t>
  </si>
  <si>
    <t>OKS.N,mstag:interestExpense,2022Q1,,FYR,,,HOLD</t>
  </si>
  <si>
    <t>OKS.N,mstag:interestExpense,2022Q3,,FYR,,,HOLD</t>
  </si>
  <si>
    <t>OKS.N,mstag:interestExpense,2022FY,,FYR,,,HOLD</t>
  </si>
  <si>
    <t>OKS.N,mstag:shortTermBorrowings,2013Q4,,FYR</t>
  </si>
  <si>
    <t>OKS.N,mstag:longTermDebt,2013Q4,,FYR</t>
  </si>
  <si>
    <t>OKS.N,mstag:cashAndCashEquivalents,2013Q4,,FYR</t>
  </si>
  <si>
    <t>OKS.N,mstag:interestExpense,2013Q4,,FYR</t>
  </si>
  <si>
    <t>OKS.N,mstag:interestExpense,2013Q3,,FYR</t>
  </si>
  <si>
    <t>OKS.N,mstag:interestExpense,2013FY,,FYR</t>
  </si>
  <si>
    <t>70.06</t>
  </si>
  <si>
    <t>OKS.N,mstag:cashAndCashEquivalents,2021Q1,,FYR,,,HOLD</t>
  </si>
  <si>
    <t>OKS.N,mstag:interestExpense,2021Q1,,FYR,,,HOLD</t>
  </si>
  <si>
    <t>2021Q2</t>
  </si>
  <si>
    <t>2021Q3</t>
  </si>
  <si>
    <t>2021Q4</t>
  </si>
  <si>
    <t>2021FY</t>
  </si>
  <si>
    <t>Cash and cash equivalents at end of period</t>
  </si>
  <si>
    <t>3Q08</t>
  </si>
  <si>
    <t>3Q07</t>
  </si>
  <si>
    <t>OKS.N,mstag:cashAndCashEquivalents,2020Q1,,FYR,,,HOLD</t>
  </si>
  <si>
    <t>Changes in assets and liabilities:</t>
  </si>
  <si>
    <t>Processed (BBtu/d)</t>
  </si>
  <si>
    <t>Residue gas sales (BBtu/d)</t>
  </si>
  <si>
    <t>Net cash provided by operating activities</t>
  </si>
  <si>
    <t>CASH FLOWS FROM INVESTING ACTIVITIES</t>
  </si>
  <si>
    <t>Cash Flow Statement</t>
  </si>
  <si>
    <t>OKS.N,mstag:proceedsFromIssuanceFundsUsedToRepurchaseCommonStock,2013Q2,,FYR,,,HOLD</t>
  </si>
  <si>
    <t>Net margin on gas sales</t>
  </si>
  <si>
    <t>OKS.N,mstag:longTermDebt,2020FY,,FYR,,,HOLD</t>
  </si>
  <si>
    <t>OKS.N,mstag:proceedsFromIssuanceAndCashUsedToRepayLongTermDebt,2014Q1,,FYR,,,HOLD</t>
  </si>
  <si>
    <t>292.28325</t>
  </si>
  <si>
    <t>OKS.N,mstag:proceedsFromIssuanceAndCashUsedToRepayLongTermDebt,2015Q1,,FYR,,,HOLD</t>
  </si>
  <si>
    <t>OKS.N,mstag:proceedsFromIssuanceAndCashUsedToRepayLongTermDebt,2015Q2,,FYR,,,HOLD</t>
  </si>
  <si>
    <t>OKS.N,mstag:proceedsFromIssuanceFundsUsedToRepurchaseCommonStock,2014Q1,,FYR,,,HOLD</t>
  </si>
  <si>
    <t>Number of customers</t>
  </si>
  <si>
    <t>Total customers</t>
  </si>
  <si>
    <t>Reconciliation to GAAP Income:</t>
  </si>
  <si>
    <t>436.65</t>
  </si>
  <si>
    <t>4,800.317</t>
  </si>
  <si>
    <t>6.23</t>
  </si>
  <si>
    <t>57.524</t>
  </si>
  <si>
    <t>OKS.N,mstag:costOfSalesWithoutDepreciation,2014Q4,,FYR,,,HOLD</t>
  </si>
  <si>
    <t>OKS.N,mstag:shortTermBorrowings,2014Q4,,FYR,,,HOLD</t>
  </si>
  <si>
    <t>OKS.N,mstag:longTermDebt,2020Q4,,FYR,,,HOLD</t>
  </si>
  <si>
    <t>OKS.N,mstag:depreciationInIncomeStatement,2014Q2,,FYR,,,HOLD</t>
  </si>
  <si>
    <t>Storage and transportation costs</t>
  </si>
  <si>
    <t>OKS.N,mstag:cashAndCashEquivalents,2009Q4,,FYR</t>
  </si>
  <si>
    <t>Net cash provided by (used in) financing activities</t>
  </si>
  <si>
    <t>OKS.N,mstag:shortTermBorrowings,2012Q3,,FYR,,,HOLD</t>
  </si>
  <si>
    <t>OKS.N,mstag:capitalExpendituresMaintenance,2013Q1,,FYR,,,HOLD</t>
  </si>
  <si>
    <t>30.22236</t>
  </si>
  <si>
    <t>OKS.N,mstag:revenueNet,2013Q1,,FYR,,,HOLD</t>
  </si>
  <si>
    <t>3,214.63944077343</t>
  </si>
  <si>
    <t>OKS.N,mstag:interestExpense,2012Q2,,FYR,,,HOLD</t>
  </si>
  <si>
    <t>OKS.N,mstag:longTermDebt,2012FY,,FYR,,,HOLD</t>
  </si>
  <si>
    <t>OKS.N,mstag:longTermDebt,2012Q4,,FYR,,,HOLD</t>
  </si>
  <si>
    <t>OKS.N,mstag:shortTermBorrowings,2012FY,,FYR,,,HOLD</t>
  </si>
  <si>
    <t>OKS.N,mstag:sellingGeneralAndAdministrativeExpenses,2013Q1,,FYR,,,HOLD</t>
  </si>
  <si>
    <t>12.4188123336568</t>
  </si>
  <si>
    <t>OKS.N,mstag:costOfSalesWithoutDepreciation,2013Q1,,FYR,,,HOLD</t>
  </si>
  <si>
    <t>2,915.37400944125</t>
  </si>
  <si>
    <t>OKS.N,mstag:cashAndCashEquivalents,2012FY,,FYR,,,HOLD</t>
  </si>
  <si>
    <t>OKS.N,mstag:depreciationInIncomeStatement,2013Q1,,FYR,,,HOLD</t>
  </si>
  <si>
    <t>OKS.N,mstag:longTermDebt,2010Q2,,FYR</t>
  </si>
  <si>
    <t>OKS.N,mstag:depreciationInIncomeStatement,2013Q4,,FYR,,,HOLD</t>
  </si>
  <si>
    <t>OKS.N,mstag:cashAndCashEquivalents,2017Q4,,FYR,,,HOLD</t>
  </si>
  <si>
    <t>OKS.N,mstag:cashAndCashEquivalents,2014Q2,,FYR,,,HOLD</t>
  </si>
  <si>
    <t>OKS.N,mstag:depreciationInIncomeStatement,2013Q3,,FYR,,,HOLD</t>
  </si>
  <si>
    <t xml:space="preserve">Average # of Shares Outstanding </t>
  </si>
  <si>
    <t>Basic # of Shares Outstanding</t>
  </si>
  <si>
    <t>Accounts and notes receivable</t>
  </si>
  <si>
    <t>Property, Plant and Equipment, at cost</t>
  </si>
  <si>
    <t>Natural gas margins ($ mn)</t>
  </si>
  <si>
    <t>650</t>
  </si>
  <si>
    <t>186.389825</t>
  </si>
  <si>
    <t>160.645</t>
  </si>
  <si>
    <t>240.935625</t>
  </si>
  <si>
    <t>3,065.735</t>
  </si>
  <si>
    <t>71.757</t>
  </si>
  <si>
    <t>3,955.02884498309</t>
  </si>
  <si>
    <t>2,571.402</t>
  </si>
  <si>
    <t>OKS.N,mstag:interestExpense,2020FY,,FYR,,,HOLD</t>
  </si>
  <si>
    <t>OKS.N,mstag:longTermDebt,2009FY,,FYR</t>
  </si>
  <si>
    <t>OKS.N,mstag:shortTermBorrowings,2009Q4,,FYR</t>
  </si>
  <si>
    <t>Financial trading</t>
  </si>
  <si>
    <t>Margins by activity</t>
  </si>
  <si>
    <t>Customer per employee</t>
  </si>
  <si>
    <t>Average Total Debt (OKS)</t>
  </si>
  <si>
    <t>Average Net Debt (OKS)</t>
  </si>
  <si>
    <t xml:space="preserve">Minority Interest </t>
  </si>
  <si>
    <t>Physically settled volumes (Bcf)</t>
  </si>
  <si>
    <t>Natural gas volumes (Bcf)</t>
  </si>
  <si>
    <t>OKS.N,mstag:shortTermBorrowings,2009FY,,FYR</t>
  </si>
  <si>
    <t xml:space="preserve">Total volumes sold </t>
  </si>
  <si>
    <t>1Q10</t>
  </si>
  <si>
    <t>1Q14</t>
  </si>
  <si>
    <t>Other assets</t>
  </si>
  <si>
    <t>2,822.086</t>
  </si>
  <si>
    <t>3.151</t>
  </si>
  <si>
    <t>784.931</t>
  </si>
  <si>
    <t>2013Q3</t>
  </si>
  <si>
    <t>2013Q4</t>
  </si>
  <si>
    <t>2013FY</t>
  </si>
  <si>
    <t>2014Q1</t>
  </si>
  <si>
    <t>2014Q2</t>
  </si>
  <si>
    <t>2014Q3</t>
  </si>
  <si>
    <t>2014Q4</t>
  </si>
  <si>
    <t>2014FY</t>
  </si>
  <si>
    <t>2015Q1</t>
  </si>
  <si>
    <t>Natural gas</t>
  </si>
  <si>
    <t>EBITDA Reconciliation</t>
  </si>
  <si>
    <t>92.155</t>
  </si>
  <si>
    <t>OKS.N,mstag:interestExpense,2012Q1,,FYR</t>
  </si>
  <si>
    <t>427.5</t>
  </si>
  <si>
    <t>OKS.N,mstag:capitalExpendituresMaintenance,2015Q2,,FYR,,,HOLD</t>
  </si>
  <si>
    <t>Other current assets</t>
  </si>
  <si>
    <t>OKS.N,mstag:costOfSalesWithoutDepreciation,2013Q3,,FYR,,,HOLD</t>
  </si>
  <si>
    <t>OKS.N,mstag:cashAndCashEquivalents,2018Q1,,FYR,,,HOLD</t>
  </si>
  <si>
    <t>Accounts receivable, net</t>
  </si>
  <si>
    <t>HOLD</t>
  </si>
  <si>
    <t>Income Taxes</t>
  </si>
  <si>
    <t xml:space="preserve">Net Income </t>
  </si>
  <si>
    <t>OKS.N,mstag:cashAndCashEquivalents,2021FY,,FYR,,,HOLD</t>
  </si>
  <si>
    <t>1Q13</t>
  </si>
  <si>
    <t>OKS.N,mstag:distributionsPaidToLPUnitholdersCashFlowStatement,2013Q4,,FYR,,,HOLD</t>
  </si>
  <si>
    <t>OKS.N,mstag:distributionsPaidToLPUnitholdersCashFlowStatement,2014Q3,,FYR,,,HOLD</t>
  </si>
  <si>
    <t>4Q10</t>
  </si>
  <si>
    <t>OKS.N,mstag:cashAndCashEquivalents,2013Q1,,FYR,,,HOLD</t>
  </si>
  <si>
    <t>196.566708</t>
  </si>
  <si>
    <t>2005Q4</t>
  </si>
  <si>
    <t>OKS.N,mstag:distributionsPaidToLPUnitholdersCashFlowStatement,2013Q2,,FYR,,,HOLD</t>
  </si>
  <si>
    <t>OKS.N,mstag:shortTermBorrowings,2014FY,,FYR,,,HOLD</t>
  </si>
  <si>
    <t>Capex / acquisitions funded with equity</t>
  </si>
  <si>
    <t>Capex / acquisitions funded with debt</t>
  </si>
  <si>
    <t>OKE unit price</t>
  </si>
  <si>
    <t>For "WORK"</t>
  </si>
  <si>
    <t>2004Q1</t>
  </si>
  <si>
    <t>2004Q2</t>
  </si>
  <si>
    <t>2004Q3</t>
  </si>
  <si>
    <t>2004Q4</t>
  </si>
  <si>
    <t>OKS.N,mstag:shortTermBorrowings,2010Q1,,FYR</t>
  </si>
  <si>
    <t>OKS.N,mstag:longTermDebt,2010Q1,,FYR</t>
  </si>
  <si>
    <t>4Q08</t>
  </si>
  <si>
    <t>OKS.N,mstag:shortTermBorrowings,2018Q1,,FYR,,,HOLD</t>
  </si>
  <si>
    <t>OKS.N,mstag:longTermDebt,2015FY,,FYR,,,HOLD</t>
  </si>
  <si>
    <t>OKS.N,mstag:shortTermBorrowings,2018Q2,,FYR,,,HOLD</t>
  </si>
  <si>
    <t>Dividend</t>
  </si>
  <si>
    <t>LIABILITIES AND STOCKHOLDERS' EQUITY</t>
  </si>
  <si>
    <t>CONSOLIDATED METRICS</t>
  </si>
  <si>
    <t>PRO RATA METRICS TO EXCLUDE OKS</t>
  </si>
  <si>
    <t>OKS.N,mstag:shortTermBorrowings,2015Q4,,FYR,,,HOLD</t>
  </si>
  <si>
    <t>OKS.N,mstag:longTermDebt,2016Q1,,FYR,,,HOLD</t>
  </si>
  <si>
    <t>OKS.N,mstag:longTermDebt,2016Q2,,FYR,,,HOLD</t>
  </si>
  <si>
    <t>30.71</t>
  </si>
  <si>
    <t>3,383.66405522893</t>
  </si>
  <si>
    <t>358.703</t>
  </si>
  <si>
    <t>71.447</t>
  </si>
  <si>
    <t>825.745</t>
  </si>
  <si>
    <t>38.3875</t>
  </si>
  <si>
    <t>167.568397434974</t>
  </si>
  <si>
    <t>(126.912)</t>
  </si>
  <si>
    <t>344.19375</t>
  </si>
  <si>
    <t>176.439147062519</t>
  </si>
  <si>
    <t>6,041.618</t>
  </si>
  <si>
    <t>278.029</t>
  </si>
  <si>
    <t>73.008</t>
  </si>
  <si>
    <t>Net margin</t>
  </si>
  <si>
    <t>1Q22E</t>
  </si>
  <si>
    <t>2Q22E</t>
  </si>
  <si>
    <t>3Q22E</t>
  </si>
  <si>
    <t>4Q22E</t>
  </si>
  <si>
    <t>2022E</t>
  </si>
  <si>
    <t>2022Q1</t>
  </si>
  <si>
    <t>2022Q2</t>
  </si>
  <si>
    <t>2022Q3</t>
  </si>
  <si>
    <t>2022Q4</t>
  </si>
  <si>
    <t>2022FY</t>
  </si>
  <si>
    <t>$IV$7</t>
  </si>
  <si>
    <t>OKS.N,mstag:shortTermBorrowings,2017Q3,,FYR,,,HOLD</t>
  </si>
  <si>
    <t>USD</t>
  </si>
  <si>
    <t>2016Q2</t>
  </si>
  <si>
    <t>2016Q3</t>
  </si>
  <si>
    <t>2016Q4</t>
  </si>
  <si>
    <t>2016FY</t>
  </si>
  <si>
    <t>2017Q1</t>
  </si>
  <si>
    <t>2017Q3</t>
  </si>
  <si>
    <t>Sales to unaffiliated customers</t>
  </si>
  <si>
    <t>OKS.N,mstag:interestExpense,2014Q3,,FYR,,,HOLD</t>
  </si>
  <si>
    <t>53.209</t>
  </si>
  <si>
    <t>1Q12</t>
  </si>
  <si>
    <t>361.062</t>
  </si>
  <si>
    <t>3,515.566</t>
  </si>
  <si>
    <t>OKS.N,mstag:depreciationInIncomeStatement,2014Q4,,FYR,,,HOLD</t>
  </si>
  <si>
    <t>OKS.N,mstag:sellingGeneralAndAdministrativeExpenses,2014Q2,,FYR,,,HOLD</t>
  </si>
  <si>
    <t>OKS.N,mstag:proceedsFromIssuanceFundsUsedToRepurchaseCommonStock,2014Q2,,FYR,,,HOLD</t>
  </si>
  <si>
    <t>2004FY</t>
  </si>
  <si>
    <t>2005Q1</t>
  </si>
  <si>
    <t>2005Q2</t>
  </si>
  <si>
    <t>2005Q3</t>
  </si>
  <si>
    <t>32.5</t>
  </si>
  <si>
    <t>OKS.N,mstag:capitalExpendituresGrowth,2014Q4,,FYR,,,HOLD</t>
  </si>
  <si>
    <t>Stock-based compensation expense</t>
  </si>
  <si>
    <t>Inventory adjustments, net</t>
  </si>
  <si>
    <t>OKS.N,mstag:cashAndCashEquivalents,2011Q1,,FYR</t>
  </si>
  <si>
    <t>49.131</t>
  </si>
  <si>
    <t>Repurchase of common stock, net</t>
  </si>
  <si>
    <t>Total volumes delivered</t>
  </si>
  <si>
    <t>Dividends per share</t>
  </si>
  <si>
    <t>Fractionated (MBbl/d)</t>
  </si>
  <si>
    <t>Check:</t>
  </si>
  <si>
    <t>2017Q4</t>
  </si>
  <si>
    <t>2017FY</t>
  </si>
  <si>
    <t>2018Q1</t>
  </si>
  <si>
    <t>2018Q2</t>
  </si>
  <si>
    <t>2018Q3</t>
  </si>
  <si>
    <t>Earnings From Cont. Oper. Bef. Inc. Taxes</t>
  </si>
  <si>
    <t>OKS.N,mstag:longTermDebt,2009Q4,,FYR</t>
  </si>
  <si>
    <t>Capex / acquisitions funded internally</t>
  </si>
  <si>
    <t>Changes in Shareholders' Equity</t>
  </si>
  <si>
    <t>Opening Balance</t>
  </si>
  <si>
    <t>3Q11</t>
  </si>
  <si>
    <t>Net Debt/ Total Book Capitalization (OKE Stand-Alone)</t>
  </si>
  <si>
    <t>Equity earnings from investments</t>
  </si>
  <si>
    <t>Allowance for equity funds used during construction</t>
  </si>
  <si>
    <t>Other expense</t>
  </si>
  <si>
    <t>3Q10</t>
  </si>
  <si>
    <t>1Q06</t>
  </si>
  <si>
    <t>OKS.N,mstag:distributionsPaidToLPUnitholdersCashFlowStatement,2013Q3,,FYR,,,HOLD</t>
  </si>
  <si>
    <t>OKS.N,mstag:shortTermBorrowings,2010Q3,,FYR</t>
  </si>
  <si>
    <t>OKS.N,mstag:longTermDebt,2010Q3,,FYR</t>
  </si>
  <si>
    <t>OKS.N,mstag:sellingGeneralAndAdministrativeExpenses,2014Q1,,FYR,,,HOLD</t>
  </si>
  <si>
    <t>OKS.N,mstag:shortTermBorrowings,2017FY,,FYR,,,HOLD</t>
  </si>
  <si>
    <t>Margin per Bcf</t>
  </si>
  <si>
    <t>Gas Sales</t>
  </si>
  <si>
    <t>Natural gas net margins ($/Mcf)</t>
  </si>
  <si>
    <t>OKS.N,mstag:cashAndCashEquivalents,2010Q3,,FYR</t>
  </si>
  <si>
    <t>54.4185</t>
  </si>
  <si>
    <t>OKS.N,mstag:longTermDebt,2012Q2,,FYR,,,HOLD</t>
  </si>
  <si>
    <t>OKS.N,mstag:shortTermBorrowings,2012Q2,,FYR,,,HOLD</t>
  </si>
  <si>
    <t>OKS.N,mstag:longTermDebt,2012Q3,,FYR,,,HOLD</t>
  </si>
  <si>
    <t>OKS.N,mstag:interestExpense,2012Q4,,FYR,,,HOLD</t>
  </si>
  <si>
    <t>OKS.N,mstag:shortTermBorrowings,2012Q4,,FYR,,,HOLD</t>
  </si>
  <si>
    <t>OKS.N,mstag:longTermDebt,2019Q4,,FYR,,,HOLD</t>
  </si>
  <si>
    <t>OKS.N,mstag:longTermDebt,2013Q1,,FYR,,,HOLD</t>
  </si>
  <si>
    <t>OKS.N,mstag:longTermDebt,2017FY,,FYR,,,HOLD</t>
  </si>
  <si>
    <t>OKS.N,mstag:cashAndCashEquivalents,2019FY,,FYR,,,HOLD</t>
  </si>
  <si>
    <t>OKS.N,mstag:cashAndCashEquivalents,2014Q4,,FYR,,,HOLD</t>
  </si>
  <si>
    <t>OKS.N,mstag:distributionsPaidToLPUnitholdersCashFlowStatement,2014Q1,,FYR,,,HOLD</t>
  </si>
  <si>
    <t>Adjustment for restatement</t>
  </si>
  <si>
    <t>--</t>
  </si>
  <si>
    <t>Lease obligations</t>
  </si>
  <si>
    <t>Assets of discontinued components</t>
  </si>
  <si>
    <t>Liabilities of discontinued components</t>
  </si>
  <si>
    <t>Energy trading revenues, net</t>
  </si>
  <si>
    <t>Residential</t>
  </si>
  <si>
    <t>Commercial</t>
  </si>
  <si>
    <t>Industrial</t>
  </si>
  <si>
    <t>Wholesale</t>
  </si>
  <si>
    <t>Other and eliminations</t>
  </si>
  <si>
    <t>Cost of sales and fuel</t>
  </si>
  <si>
    <t>Operations and maintenance</t>
  </si>
  <si>
    <t>OKS.N,mstag:interestExpense,2011Q1,,FYR</t>
  </si>
  <si>
    <t>OKS.N,mstag:interestExpense,2010FY,,FYR</t>
  </si>
  <si>
    <t>3Q13</t>
  </si>
  <si>
    <t>OKS.N,mstag:interestExpense,2016FY,,FYR,,,HOLD</t>
  </si>
  <si>
    <t>796.931</t>
  </si>
  <si>
    <t>2,593.157</t>
  </si>
  <si>
    <t>5.379</t>
  </si>
  <si>
    <t>54.153</t>
  </si>
  <si>
    <t>OKE.N,mscalc:closePriceCurrencyCalc</t>
  </si>
  <si>
    <t>3,517.543</t>
  </si>
  <si>
    <t>127.882</t>
  </si>
  <si>
    <t>55.735</t>
  </si>
  <si>
    <t>Total OKE free cash flow</t>
  </si>
  <si>
    <t>Effective Tax Rate</t>
  </si>
  <si>
    <t>OKS.N,mstag:shortTermBorrowings,2016Q3,,FYR,,,HOLD</t>
  </si>
  <si>
    <t>OKS.N,mstag:shortTermBorrowings,2018Q4,,FYR,,,HOLD</t>
  </si>
  <si>
    <t>OKS.N,mstag:shortTermBorrowings,2013FY,,FYR,,,HOLD</t>
  </si>
  <si>
    <t>OKS.N,mstag:shortTermBorrowings,2016Q1,,FYR,,,HOLD</t>
  </si>
  <si>
    <t>OKS.N,mstag:shortTermBorrowings,2017Q1,,FYR,,,HOLD</t>
  </si>
  <si>
    <t>OKS.N,mstag:shortTermBorrowings,2013Q1,,FYR,,,HOLD</t>
  </si>
  <si>
    <t>OKS.N,mstag:shortTermBorrowings,2019Q4,,FYR,,,HOLD</t>
  </si>
  <si>
    <t>OKS.N,mstag:cashAndCashEquivalents,2018Q2,,FYR,,,HOLD</t>
  </si>
  <si>
    <t>OKS.N,mstag:cashAndCashEquivalents,2013Q2,,FYR,,,HOLD</t>
  </si>
  <si>
    <t>OKS.N,mstag:cashAndCashEquivalents,2021Q4,,FYR,,,HOLD</t>
  </si>
  <si>
    <t>Average Total Debt (OKE Stand-Alone)</t>
  </si>
  <si>
    <t>Average Net Debt (OKE Stand-Alone)</t>
  </si>
  <si>
    <t>Accrued interest</t>
  </si>
  <si>
    <t>Other liabilities</t>
  </si>
  <si>
    <t>Total liabilities</t>
  </si>
  <si>
    <t>Treasury stock</t>
  </si>
  <si>
    <t>Check</t>
  </si>
  <si>
    <t>OKS.N,mstag:shortTermBorrowings,2013Q2,,FYR</t>
  </si>
  <si>
    <t>OKS.N,mstag:shortTermBorrowings,2013Q1,,FYR</t>
  </si>
  <si>
    <t>OKS.N,mstag:longTermDebt,2013Q1,,FYR</t>
  </si>
  <si>
    <t>OKS.N,mstag:longTermDebt,2013Q2,,FYR</t>
  </si>
  <si>
    <t>OKS.N,mstag:cashAndCashEquivalents,2013Q1,,FYR</t>
  </si>
  <si>
    <t>OKS.N,mstag:cashAndCashEquivalents,2013Q2,,FYR</t>
  </si>
  <si>
    <t>OKS.N,mstag:interestExpense,2013Q2,,FYR</t>
  </si>
  <si>
    <t>OKS.N,mstag:interestExpense,2013Q1,,FYR</t>
  </si>
  <si>
    <t>3.054</t>
  </si>
  <si>
    <t>OKS.N,mstag:interestExpense,2011FY,,FYR</t>
  </si>
  <si>
    <t>OKS.N,mstag:interestExpense,2011Q4,,FYR</t>
  </si>
  <si>
    <t>47.125</t>
  </si>
  <si>
    <t>2Q12</t>
  </si>
  <si>
    <t>Intersegment revenues</t>
  </si>
  <si>
    <t>OKS.N,mstag:capitalExpendituresMaintenance,2014Q4,,FYR,,,HOLD</t>
  </si>
  <si>
    <t>1Q18E</t>
  </si>
  <si>
    <t>2Q18E</t>
  </si>
  <si>
    <t>3Q18E</t>
  </si>
  <si>
    <t>4Q18E</t>
  </si>
  <si>
    <t>2018E</t>
  </si>
  <si>
    <t>1Q08</t>
  </si>
  <si>
    <t>2Q08</t>
  </si>
  <si>
    <t>4Q07</t>
  </si>
  <si>
    <t>1Q07</t>
  </si>
  <si>
    <t>2Q07</t>
  </si>
  <si>
    <t>OKS.N,mstag:longTermDebt,2015Q1,,FYR,,,HOLD</t>
  </si>
  <si>
    <t>OKS.N,mstag:longTermDebt,2015Q2,,FYR,,,HOLD</t>
  </si>
  <si>
    <t>OKS.N,mstag:longTermDebt,2014FY,,FYR,,,HOLD</t>
  </si>
  <si>
    <t>OKS.N,mstag:longTermDebt,2018FY,,FYR,,,HOLD</t>
  </si>
  <si>
    <t>2Q14</t>
  </si>
  <si>
    <t>Gain (loss) from operations of discontinued components (after-tax)</t>
  </si>
  <si>
    <t>Interest expense</t>
  </si>
  <si>
    <t>OKS.N,mstag:longTermDebt,2019Q2,,FYR,,,HOLD</t>
  </si>
  <si>
    <t>Count</t>
  </si>
  <si>
    <t>OKS.N,mstag:capitalExpendituresMaintenance,2014Q1,,FYR,,,HOLD</t>
  </si>
  <si>
    <t>563.316</t>
  </si>
  <si>
    <t>Minority Interests</t>
  </si>
  <si>
    <t>Stockholders' Equity</t>
  </si>
  <si>
    <t>Net Income per Share (GAAP)</t>
  </si>
  <si>
    <t>OKS.N,mstag:shortTermBorrowings,2020Q3,,FYR,,,HOLD</t>
  </si>
  <si>
    <t>OKS.N,mstag:shortTermBorrowings,2020FY,,FYR,,,HOLD</t>
  </si>
  <si>
    <t>OKS.N,mstag:shortTermBorrowings,2019Q3,,FYR,,,HOLD</t>
  </si>
  <si>
    <t>OKS.N,mstag:longTermDebt,2017Q3,,FYR,,,HOLD</t>
  </si>
  <si>
    <t>Public authority</t>
  </si>
  <si>
    <t>172.591915</t>
  </si>
  <si>
    <t>3,439.28199388412</t>
  </si>
  <si>
    <t>164.339515985424</t>
  </si>
  <si>
    <t>204.598275</t>
  </si>
  <si>
    <t>6,044.867</t>
  </si>
  <si>
    <t>134.53</t>
  </si>
  <si>
    <t>OKS.N,mstag:shortTermBorrowings,2013Q3,,FYR</t>
  </si>
  <si>
    <t>OKS.N,mstag:longTermDebt,2013Q3,,FYR</t>
  </si>
  <si>
    <t>OKS.N,mstag:cashAndCashEquivalents,2013Q3,,FYR</t>
  </si>
  <si>
    <t>3,448.914</t>
  </si>
  <si>
    <t>65.596</t>
  </si>
  <si>
    <t>236.714</t>
  </si>
  <si>
    <t>OKS.N,mstag:proceedsFromIssuanceFundsUsedToRepurchaseCommonStock,2015Q2,,FYR,,,HOLD</t>
  </si>
  <si>
    <t>OKS.N,mstag:longTermDebt,2011Q2,,FYR</t>
  </si>
  <si>
    <t>OKS.N,mstag:interestExpense,2011Q2,,FYR</t>
  </si>
  <si>
    <t>OKS.N,mstag:shortTermBorrowings,2011Q3,,FYR</t>
  </si>
  <si>
    <t>OKS.N,mstag:interestExpense,2011Q3,,FYR</t>
  </si>
  <si>
    <t>OKS.N,mstag:shortTermBorrowings,2011Q2,,FYR</t>
  </si>
  <si>
    <t>OKS.N,mstag:cashAndCashEquivalents,2011Q2,,FYR</t>
  </si>
  <si>
    <t>OKS.N,mstag:longTermDebt,2011Q3,,FYR</t>
  </si>
  <si>
    <t>OKS.N,mstag:cashAndCashEquivalents,2011Q3,,FYR</t>
  </si>
  <si>
    <t>OKS.N,mstag:shortTermBorrowings,2010Q2,,FYR</t>
  </si>
  <si>
    <t>OKS.N,mstag:cashAndCashEquivalents,2015Q4,,FYR,,,HOLD</t>
  </si>
  <si>
    <t>OKS.N,mstag:cashAndCashEquivalents,2014FY,,FYR,,,HOLD</t>
  </si>
  <si>
    <t>OKS.N,mstag:cashAndCashEquivalents,2014Q1,,FYR,,,HOLD</t>
  </si>
  <si>
    <t>OKS.N,mstag:cashAndCashEquivalents,2016FY,,FYR,,,HOLD</t>
  </si>
  <si>
    <t>OKS.N,mstag:cashAndCashEquivalents,2016Q1,,FYR,,,HOLD</t>
  </si>
  <si>
    <t>OKS.N,mstag:cashAndCashEquivalents,2020Q4,,FYR,,,HOLD</t>
  </si>
  <si>
    <t>2,585.399</t>
  </si>
  <si>
    <t>4.991</t>
  </si>
  <si>
    <t>OKS.N,mstag:cashAndCashEquivalents,2015Q3,,FYR,,,HOLD</t>
  </si>
  <si>
    <t>OKS.N,mstag:cashAndCashEquivalents,2017Q2,,FYR,,,HOLD</t>
  </si>
  <si>
    <t>OKS.N,mstag:cashAndCashEquivalents,2020FY,,FYR,,,HOLD</t>
  </si>
  <si>
    <t>Other AOCI</t>
  </si>
  <si>
    <t>Closing Balance</t>
  </si>
  <si>
    <t>New units issued</t>
  </si>
  <si>
    <t>Less: OKE capex, interst expense, and G&amp;A (all net of tax)</t>
  </si>
  <si>
    <t>361.931</t>
  </si>
  <si>
    <t>3,520.388</t>
  </si>
  <si>
    <t>432.236</t>
  </si>
  <si>
    <t>OKS.N,mstag:longTermDebt,2017Q1,,FYR,,,HOLD</t>
  </si>
  <si>
    <t>OKS.N,mstag:shortTermBorrowings,2013Q3,,FYR,,,HOLD</t>
  </si>
  <si>
    <t>OKS.N,mstag:longTermDebt,2013Q4,,FYR,,,HOLD</t>
  </si>
  <si>
    <t>OKS.N,mstag:longTermDebt,2017Q4,,FYR,,,HOLD</t>
  </si>
  <si>
    <t>OKS.N,mstag:longTermDebt,2010Q4,,FYR</t>
  </si>
  <si>
    <t>OKS.N,mstag:shortTermBorrowings,2016FY,,FYR,,,HOLD</t>
  </si>
  <si>
    <t>OKS.N,mstag:shortTermBorrowings,2019FY,,FYR,,,HOLD</t>
  </si>
  <si>
    <t>OKS.N,mstag:longTermDebt,2015Q4,,FYR,,,HOLD</t>
  </si>
  <si>
    <t>OKS.N,mstag:cashAndCashEquivalents,2013FY,,FYR,,,HOLD</t>
  </si>
  <si>
    <t>OKS.N,mstag:cashAndCashEquivalents,2019Q2,,FYR,,,HOLD</t>
  </si>
  <si>
    <t>Oneok Inc.</t>
  </si>
  <si>
    <t>OKS.N,mstag:cashAndCashEquivalents,2019Q3,,FYR,,,HOLD</t>
  </si>
  <si>
    <t>OKS.N,mstag:capitalExpendituresGrowth,2014Q2,,FYR,,,HOLD</t>
  </si>
  <si>
    <t>OKS.N,mstag:longTermDebt,2011Q1,,FYR</t>
  </si>
  <si>
    <t>OKS.N,mstag:longTermDebt,2010FY,,FYR</t>
  </si>
  <si>
    <t>132.65</t>
  </si>
  <si>
    <t>6,043.24</t>
  </si>
  <si>
    <t>3,162.303</t>
  </si>
  <si>
    <t>115.386</t>
  </si>
  <si>
    <t>OKS.N,mstag:longTermDebt,2018Q3,,FYR,,,HOLD</t>
  </si>
  <si>
    <t>OKS.N,mstag:cashAndCashEquivalents,2010Q2,,FYR</t>
  </si>
  <si>
    <t>OKE.N</t>
  </si>
  <si>
    <t>2,729.89717950673</t>
  </si>
  <si>
    <t>13.8686172981393</t>
  </si>
  <si>
    <t>3,006.35709987793</t>
  </si>
  <si>
    <t>2006FY</t>
  </si>
  <si>
    <t>OKS.N,mstag:revenueNet,2014Q4,,FYR,,,HOLD</t>
  </si>
  <si>
    <t>OKS.N,mstag:shortTermBorrowings,2011Q4,,FYR</t>
  </si>
  <si>
    <t>OKS.N,mstag:longTermDebt,2011Q4,,FYR</t>
  </si>
  <si>
    <t>OKS.N,mstag:shortTermBorrowings,2012Q1,,FYR</t>
  </si>
  <si>
    <t>OKS.N,mstag:longTermDebt,2011FY,,FYR</t>
  </si>
  <si>
    <t>OKS.N,mstag:shortTermBorrowings,2011FY,,FYR</t>
  </si>
  <si>
    <t>OKS.N,mstag:longTermDebt,2012Q1,,FYR</t>
  </si>
  <si>
    <t>32.922</t>
  </si>
  <si>
    <t>3,512.012</t>
  </si>
  <si>
    <t>22.0665</t>
  </si>
  <si>
    <t>69.4175</t>
  </si>
  <si>
    <t>4,805.301</t>
  </si>
  <si>
    <t>47.776</t>
  </si>
  <si>
    <t>OKS.N,mstag:interestExpense,2020Q2,,FYR,,,HOLD</t>
  </si>
  <si>
    <t>Inc. in cash attrib. to previously unconsol. subsidiaries</t>
  </si>
  <si>
    <t>OKS.N,mstag:cashAndCashEquivalents,2016Q3,,FYR,,,HOLD</t>
  </si>
  <si>
    <t>Minimum cash balance</t>
  </si>
  <si>
    <t>OKS.N,mstag:interestExpense,2017Q1,,FYR,,,HOLD</t>
  </si>
  <si>
    <t>Dividends paid</t>
  </si>
  <si>
    <t>OKS.N,mstag:capitalExpendituresGrowth,2013Q3,,FYR,,,HOLD</t>
  </si>
  <si>
    <t>916.931</t>
  </si>
  <si>
    <t>2,589.227</t>
  </si>
  <si>
    <t>OKS.N,mstag:cashAndCashEquivalents,2012FY,,FYR</t>
  </si>
  <si>
    <t>68.923</t>
  </si>
  <si>
    <t>OKS.N,mstag:interestExpense,2012FY,,FYR</t>
  </si>
  <si>
    <t>OKS.N,mstag:interestExpense,2012Q4,,FYR</t>
  </si>
  <si>
    <t>OKS.N,mstag:interestExpense,2012Q2,,FYR</t>
  </si>
  <si>
    <t>OKS.N,mstag:interestExpense,2012Q3,,FYR</t>
  </si>
  <si>
    <t>55.872</t>
  </si>
  <si>
    <t>OKS.N,mstag:shortTermBorrowings,2020Q2,,FYR,,,HOLD</t>
  </si>
  <si>
    <t>2021Q1</t>
  </si>
  <si>
    <t>4Q13</t>
  </si>
  <si>
    <t>OKS.N,mstag:distributionsPaidToLPUnitholdersCashFlowStatement,2015Q2,,FYR,,,HOLD</t>
  </si>
  <si>
    <t>OKS.N,mstag:costOfSalesWithoutDepreciation,2013Q4,,FYR,,,HOLD</t>
  </si>
  <si>
    <t>2019E</t>
  </si>
  <si>
    <t>2020E</t>
  </si>
  <si>
    <t>OKS.N,mstag:longTermDebt,2019FY,,FYR,,,HOLD</t>
  </si>
  <si>
    <t>OKS.N,mstag:longTermDebt,2014Q1,,FYR,,,HOLD</t>
  </si>
  <si>
    <t>OKS.N,mstag:longTermDebt,2014Q2,,FYR,,,HOLD</t>
  </si>
  <si>
    <t>OKS.N,mstag:longTermDebt,2018Q1,,FYR,,,HOLD</t>
  </si>
  <si>
    <t>OKS.N,mstag:longTermDebt,2018Q2,,FYR,,,HOLD</t>
  </si>
  <si>
    <t>OKS.N,mstag:longTermDebt,2013FY,,FYR,,,HOLD</t>
  </si>
  <si>
    <t>OKS.N,mstag:shortTermBorrowings,2015Q3,,FYR,,,HOLD</t>
  </si>
  <si>
    <t>OKS.N,mstag:shortTermBorrowings,2014Q1,,FYR,,,HOLD</t>
  </si>
  <si>
    <t>OKS.N,mstag:shortTermBorrowings,2013Q4,,FYR,,,HOLD</t>
  </si>
  <si>
    <t>OKS.N,mstag:longTermDebt,2015Q3,,FYR,,,HOLD</t>
  </si>
  <si>
    <t>OKS.N,mstag:shortTermBorrowings,2014Q2,,FYR,,,HOLD</t>
  </si>
  <si>
    <t>OKS.N,mstag:shortTermBorrowings,2018FY,,FYR,,,HOLD</t>
  </si>
  <si>
    <t>Commodity exchanges and imbalances, net</t>
  </si>
  <si>
    <t>Unrecovered purchased gas costs</t>
  </si>
  <si>
    <t>OKS.N,mstag:costOfSalesWithoutDepreciation,2014Q1,,FYR,,,HOLD</t>
  </si>
  <si>
    <t>OKS.N,mstag:capitalExpendituresMaintenance,2013Q4,,FYR,,,HOLD</t>
  </si>
  <si>
    <t>2Q20E</t>
  </si>
  <si>
    <t>3Q20E</t>
  </si>
  <si>
    <t>4Q20E</t>
  </si>
  <si>
    <t>2019Q1</t>
  </si>
  <si>
    <t>Proceeds from sale of discontinued components</t>
  </si>
  <si>
    <t>Proceeds from sale of assets</t>
  </si>
  <si>
    <t>Proceeds from insurance</t>
  </si>
  <si>
    <t>Changes in short-term investments</t>
  </si>
  <si>
    <t>Other investing activities</t>
  </si>
  <si>
    <t>Effect of accounting change</t>
  </si>
  <si>
    <t>Borrowing (repayment) of notes payable, net</t>
  </si>
  <si>
    <t>Long-term debt financing costs</t>
  </si>
  <si>
    <t>Equity unit conversion</t>
  </si>
  <si>
    <t>OKS.N,mstag:costOfSalesWithoutDepreciation,2013Q2,,FYR,,,HOLD</t>
  </si>
  <si>
    <t>OKS.N,mstag:cashAndCashEquivalents,2021Q3,,FYR,,,HOLD</t>
  </si>
  <si>
    <t>OKS.N,mstag:interestExpense,2021Q2,,FYR,,,HOLD</t>
  </si>
  <si>
    <t>OKS.N,mstag:interestExpense,2021Q3,,FYR,,,HOLD</t>
  </si>
  <si>
    <t>OKS.N,mstag:interestExpense,2021Q4,,FYR,,,HOLD</t>
  </si>
  <si>
    <t xml:space="preserve">  y/y percent change</t>
  </si>
  <si>
    <t>OKS.N,mstag:capitalExpendituresMaintenance,2014Q3,,FYR,,,HOLD</t>
  </si>
  <si>
    <t>OKS.N,mstag:interestExpense,2017FY,,FYR,,,HOLD</t>
  </si>
  <si>
    <t>OKS.N,mstag:interestExpense,2019Q4,,FYR,,,HOLD</t>
  </si>
  <si>
    <t>OKS.N,mstag:shortTermBorrowings,2016Q2,,FYR,,,HOLD</t>
  </si>
  <si>
    <t>Net cash used in investing activities</t>
  </si>
  <si>
    <t>CASH FLOWS FROM FINANCING ACTIVITIES</t>
  </si>
  <si>
    <t>OKS.N,mstag:interestExpense,2016Q1,,FYR,,,HOLD</t>
  </si>
  <si>
    <t>OKS.N,mstag:interestExpense,2013FY,,FYR,,,HOLD</t>
  </si>
  <si>
    <t>4Q21E</t>
  </si>
  <si>
    <t>3Q21E</t>
  </si>
  <si>
    <t>2Q21E</t>
  </si>
  <si>
    <t>1Q21E</t>
  </si>
  <si>
    <t>2007FY</t>
  </si>
  <si>
    <t>2008Q1</t>
  </si>
  <si>
    <t>2008Q2</t>
  </si>
  <si>
    <t>2008Q3</t>
  </si>
  <si>
    <t>2008Q4</t>
  </si>
  <si>
    <t>2008FY</t>
  </si>
  <si>
    <t>2009Q1</t>
  </si>
  <si>
    <t>2009Q2</t>
  </si>
  <si>
    <t>2009Q3</t>
  </si>
  <si>
    <t>2009Q4</t>
  </si>
  <si>
    <t>2009FY</t>
  </si>
  <si>
    <t>2010Q1</t>
  </si>
  <si>
    <t>2010Q2</t>
  </si>
  <si>
    <t>2010Q3</t>
  </si>
  <si>
    <t>2010Q4</t>
  </si>
  <si>
    <t>2010FY</t>
  </si>
  <si>
    <t>2011Q1</t>
  </si>
  <si>
    <t>2011Q2</t>
  </si>
  <si>
    <t>2011Q3</t>
  </si>
  <si>
    <t>2011Q4</t>
  </si>
  <si>
    <t>2011FY</t>
  </si>
  <si>
    <t>2012Q1</t>
  </si>
  <si>
    <t>2012Q2</t>
  </si>
  <si>
    <t>Energy marketing and risk management assets</t>
  </si>
  <si>
    <t>Goodwill and Intangible assets</t>
  </si>
  <si>
    <t>Current maturities of long-term debt</t>
  </si>
  <si>
    <t>Notes payable</t>
  </si>
  <si>
    <t>155.416076577879</t>
  </si>
  <si>
    <t>3,245.13312850551</t>
  </si>
  <si>
    <t>Natural gas gross margins ($/Mcf)</t>
  </si>
  <si>
    <t>OKS.N,mstag:interestExpense,2010Q4,,FYR</t>
  </si>
  <si>
    <t>OKS.N,mstag:interestExpense,2010Q3,,FYR</t>
  </si>
  <si>
    <t>47.694</t>
  </si>
  <si>
    <t>EBIT, Reported</t>
  </si>
  <si>
    <t>666.786</t>
  </si>
  <si>
    <t>2,581.572</t>
  </si>
  <si>
    <t>0.898</t>
  </si>
  <si>
    <t>1Q11</t>
  </si>
  <si>
    <t>11.931</t>
  </si>
  <si>
    <t>3,873.234</t>
  </si>
  <si>
    <t>617.403</t>
  </si>
  <si>
    <t>57.268</t>
  </si>
  <si>
    <t>OKS.N,mstag:cashAndCashEquivalents,2013Q3,,FYR,,,HOLD</t>
  </si>
  <si>
    <t>OKS.N,mstag:cashAndCashEquivalents,2014Q3,,FYR,,,HOLD</t>
  </si>
  <si>
    <t>OKS.N,mstag:cashAndCashEquivalents,2020Q3,,FYR,,,HOLD</t>
  </si>
  <si>
    <t>OKS.N,mstag:cashAndCashEquivalents,2015Q1,,FYR,,,HOLD</t>
  </si>
  <si>
    <t>OKS.N,mstag:interestExpense,2019Q3,,FYR,,,HOLD</t>
  </si>
  <si>
    <t>OKS.N,mstag:revenueNet,2014Q3,,FYR,,,HOLD</t>
  </si>
  <si>
    <t>Net increase in cash and cash equivalents</t>
  </si>
  <si>
    <t>4Q11</t>
  </si>
  <si>
    <t>OKS.N,mstag:capitalExpendituresMaintenance,2015Q1,,FYR,,,HOLD</t>
  </si>
  <si>
    <t>7.65</t>
  </si>
  <si>
    <t>4,803.629</t>
  </si>
  <si>
    <t>537.074</t>
  </si>
  <si>
    <t>57.908</t>
  </si>
  <si>
    <t>206.018</t>
  </si>
  <si>
    <t>OKS.N,mstag:revenueNet,2013Q4,,FYR,,,HOLD</t>
  </si>
  <si>
    <t>OKS.N,mstag:distributionsPaidToLPUnitholdersCashFlowStatement,2014Q2,,FYR,,,HOLD</t>
  </si>
  <si>
    <t>OKS.N,mstag:capitalExpendituresGrowth,2014Q3,,FYR,,,HOLD</t>
  </si>
  <si>
    <t>OKS.N,mstag:proceedsFromIssuanceFundsUsedToRepurchaseCommonStock,2015Q1,,FYR,,,HOLD</t>
  </si>
  <si>
    <t>Pipeline and storage</t>
  </si>
  <si>
    <t>Revenues</t>
  </si>
  <si>
    <t>OKS.N,mstag:capitalExpendituresGrowth,2015Q1,,FYR,,,HOLD</t>
  </si>
  <si>
    <t>2019Q2</t>
  </si>
  <si>
    <t>2019Q3</t>
  </si>
  <si>
    <t>2019Q4</t>
  </si>
  <si>
    <t>2019FY</t>
  </si>
  <si>
    <t>2020Q1</t>
  </si>
  <si>
    <t>2020Q2</t>
  </si>
  <si>
    <t>2020Q3</t>
  </si>
  <si>
    <t>2020Q4</t>
  </si>
  <si>
    <t>2020FY</t>
  </si>
  <si>
    <t>OKS.N,mstag:interestExpense,2019Q1,,FYR,,,HOLD</t>
  </si>
  <si>
    <t>3,512.721</t>
  </si>
  <si>
    <t>746.696</t>
  </si>
  <si>
    <t>Gas and natural gas liquids in storage</t>
  </si>
  <si>
    <t>Commodity exchanges and imbalances</t>
  </si>
  <si>
    <t>OKS.N,mstag:cashAndCashEquivalents,2012Q2,,FYR</t>
  </si>
  <si>
    <t>Distributions received from unconsolidated subsidiaries</t>
  </si>
  <si>
    <t>Cash flow less capex &amp; interest exp</t>
  </si>
  <si>
    <t>Changes in investments in unconsolidated affiliates</t>
  </si>
  <si>
    <t>General taxes</t>
  </si>
  <si>
    <t>204.308</t>
  </si>
  <si>
    <t>2Q09</t>
  </si>
  <si>
    <t>Operating EBIT by Segment</t>
  </si>
  <si>
    <t>1Q19E</t>
  </si>
  <si>
    <t>2Q19E</t>
  </si>
  <si>
    <t>3Q19E</t>
  </si>
  <si>
    <t>4Q19E</t>
  </si>
  <si>
    <t>1Q20E</t>
  </si>
  <si>
    <t>68.276</t>
  </si>
  <si>
    <t>OKS.N,mstag:interestExpense,2015Q2,,FYR,,,HOLD</t>
  </si>
  <si>
    <t>OKS.N,mstag:interestExpense,2020Q3,,FYR,,,HOLD</t>
  </si>
  <si>
    <t>OKS.N,mstag:interestExpense,2016Q3,,FYR,,,HOLD</t>
  </si>
  <si>
    <t>OKS.N,mstag:interestExpense,2013Q3,,FYR,,,HOLD</t>
  </si>
  <si>
    <t>Ethane-Conway to Mt. Belvieu OPIS avg. price differential ($/gal)</t>
  </si>
  <si>
    <t>OKE.N,mscalc:sedolCodeCalc</t>
  </si>
  <si>
    <t>Energy marketing and risk management assets and liabilities</t>
  </si>
  <si>
    <t>Fair value of firm commitments</t>
  </si>
  <si>
    <t>Pension and post retirement benefit plans</t>
  </si>
  <si>
    <t>OKS.N,mstag:longTermDebt,2019Q1,,FYR,,,HOLD</t>
  </si>
  <si>
    <t>Gain on sale of discontinued components</t>
  </si>
  <si>
    <t>2Q13</t>
  </si>
  <si>
    <t>OKS.N,mstag:cashAndCashEquivalents,2018Q3,,FYR,,,HOLD</t>
  </si>
  <si>
    <t>OKS.N,mstag:cashAndCashEquivalents,2018FY,,FYR,,,HOLD</t>
  </si>
  <si>
    <t>OKS.N,mstag:cashAndCashEquivalents,2020Q2,,FYR,,,HOLD</t>
  </si>
  <si>
    <t>OKS.N,mstag:cashAndCashEquivalents,2017Q1,,FYR,,,HOLD</t>
  </si>
  <si>
    <t>OKS.N,mstag:longTermDebt,2019Q3,,FYR,,,HOLD</t>
  </si>
  <si>
    <t>Statutory Tax Rate</t>
  </si>
  <si>
    <t>State Tax</t>
  </si>
  <si>
    <t>Federal Tax</t>
  </si>
  <si>
    <t>OKS.N,mstag:interestExpense,2021FY,,FYR,,,HOLD</t>
  </si>
  <si>
    <t>OKS.N,mstag:cashAndCashEquivalents,2016Q4,,FYR,,,HOLD</t>
  </si>
  <si>
    <t>2012Q3</t>
  </si>
  <si>
    <t>2012Q4</t>
  </si>
  <si>
    <t>2012FY</t>
  </si>
  <si>
    <t>2013Q1</t>
  </si>
  <si>
    <t>2013Q2</t>
  </si>
  <si>
    <t>Common stock</t>
  </si>
  <si>
    <t>OKS.N,mstag:capitalExpendituresMaintenance,2013Q3,,FYR,,,HOLD</t>
  </si>
  <si>
    <t>2021E</t>
  </si>
  <si>
    <t>OKS.N,mstag:cashAndCashEquivalents,2012Q1,,FYR</t>
  </si>
  <si>
    <t>OKS.N,mstag:cashAndCashEquivalents,2011FY,,FYR</t>
  </si>
  <si>
    <t>OKS.N,mstag:cashAndCashEquivalents,2011Q4,,FYR</t>
  </si>
  <si>
    <t>OKS.N,mstag:proceedsFromIssuanceAndCashUsedToRepayLongTermDebt,2014Q3,,FYR,,,HOLD</t>
  </si>
  <si>
    <t>OKS.N,mstag:proceedsFromIssuanceAndCashUsedToRepayLongTermDebt,2014Q2,,FYR,,,HOLD</t>
  </si>
  <si>
    <t>OKS.N,mstag:proceedsFromIssuanceAndCashUsedToRepayLongTermDebt,2014Q4,,FYR,,,HOLD</t>
  </si>
  <si>
    <t>Net Income (Operating)</t>
  </si>
  <si>
    <t>OKS.N,mstag:cashAndCashEquivalents,2021Q2,,FYR,,,HOLD</t>
  </si>
  <si>
    <t>OKS.N,mstag:longTermDebt,2014Q4,,FYR,,,HOLD</t>
  </si>
  <si>
    <t>OKS.N,mstag:proceedsFromIssuanceFundsUsedToRepurchaseCommonStock,2014Q3,,FYR,,,HOLD</t>
  </si>
  <si>
    <t>Issuance of common stock</t>
  </si>
  <si>
    <t>Issuance of common units, net of discounts</t>
  </si>
  <si>
    <t>Distributions to minority interests</t>
  </si>
  <si>
    <t>Other financing activities</t>
  </si>
  <si>
    <t>1Q09</t>
  </si>
  <si>
    <t>OKS.N,mstag:shortTermBorrowings,2017Q2,,FYR,,,HOLD</t>
  </si>
  <si>
    <t>OKS.N,mstag:capitalExpendituresGrowth,2013Q2,,FYR,,,HOLD</t>
  </si>
  <si>
    <t>y/y % change</t>
  </si>
  <si>
    <t xml:space="preserve">    y/y % change</t>
  </si>
  <si>
    <t xml:space="preserve"> </t>
  </si>
  <si>
    <t>Income Statement</t>
  </si>
  <si>
    <t>OKS.N,mstag:capitalExpendituresMaintenance,2013Q2,,FYR,,,HOLD</t>
  </si>
  <si>
    <t>OKS.N,mstag:interestExpense,2010Q1,,FYR</t>
  </si>
  <si>
    <t>OKS.N,mstag:longTermDebt,2016FY,,FYR,,,HOLD</t>
  </si>
  <si>
    <t>OKS.N,mstag:shortTermBorrowings,2015FY,,FYR,,,HOLD</t>
  </si>
  <si>
    <t>OKS.N,mstag:longTermDebt,2020Q2,,FYR,,,HOLD</t>
  </si>
  <si>
    <t>OKS.N,mstag:shortTermBorrowings,2013Q2,,FYR,,,HOLD</t>
  </si>
  <si>
    <t>2018Q4</t>
  </si>
  <si>
    <t>2018FY</t>
  </si>
  <si>
    <t>Marketing, storage and transportation, net</t>
  </si>
  <si>
    <t>Retail marketing</t>
  </si>
  <si>
    <t>EBIT Check</t>
  </si>
  <si>
    <t>Shareholders Equity Statement</t>
  </si>
  <si>
    <t>OKS.N,mstag:sellingGeneralAndAdministrativeExpenses,2013Q3,,FYR,,,HOLD</t>
  </si>
  <si>
    <t>Realized condensate sales prices ($/Bbl)</t>
  </si>
  <si>
    <t>Realized natural gas sales prices ($/MMBtu)</t>
  </si>
  <si>
    <t>Realized gross processing spread ($/MMBtu)</t>
  </si>
  <si>
    <t>Gathering and processing</t>
  </si>
  <si>
    <t>2Q06</t>
  </si>
  <si>
    <t>3Q06</t>
  </si>
  <si>
    <t>4Q06</t>
  </si>
  <si>
    <t>1Q05</t>
  </si>
  <si>
    <t>2Q05</t>
  </si>
  <si>
    <t>3Q05</t>
  </si>
  <si>
    <t>4Q05</t>
  </si>
  <si>
    <t>1Q04</t>
  </si>
  <si>
    <t>2Q04</t>
  </si>
  <si>
    <t>3Q04</t>
  </si>
  <si>
    <t>4Q04</t>
  </si>
  <si>
    <t>(amounts in thousands except per share data)</t>
  </si>
  <si>
    <t>Total revenues</t>
  </si>
  <si>
    <t>EBITDA</t>
  </si>
  <si>
    <t>OKS.N,mstag:interestExpense,2020Q1,,FYR,,,HOLD</t>
  </si>
  <si>
    <t>OKS.N,mstag:shortTermBorrowings,2021FY,,FYR,,,HOLD</t>
  </si>
  <si>
    <t>OKS.N,mstag:shortTermBorrowings,2021Q4,,FYR,,,HOLD</t>
  </si>
  <si>
    <t>OKS.N,mstag:interestExpense,2015FY,,FYR,,,HOLD</t>
  </si>
  <si>
    <t>OKS.N,mstag:interestExpense,2015Q4,,FYR,,,HOLD</t>
  </si>
  <si>
    <t>OKS.N,mstag:interestExpense,2017Q2,,FYR,,,HOLD</t>
  </si>
  <si>
    <t>2Q11</t>
  </si>
  <si>
    <t>OKS.N,mstag:costOfSalesWithoutDepreciation,2014Q3,,FYR,,,HOLD</t>
  </si>
  <si>
    <t>Total other income and expenses</t>
  </si>
  <si>
    <t>OKS.N,mstag:cashAndCashEquivalents,2009FY,,FYR</t>
  </si>
  <si>
    <t>4Q09</t>
  </si>
  <si>
    <t>55</t>
  </si>
  <si>
    <t>Depreciation and amortization</t>
  </si>
  <si>
    <t>OKS.N,mstag:cashAndCashEquivalents,2016Q2,,FYR,,,HOLD</t>
  </si>
  <si>
    <t>OKS.N,mstag:cashAndCashEquivalents,2019Q4,,FYR,,,HOLD</t>
  </si>
  <si>
    <t>OKS.N,mstag:capitalExpendituresGrowth,2013Q4,,FYR,,,HOLD</t>
  </si>
  <si>
    <t>AOCI</t>
  </si>
  <si>
    <t>723.03</t>
  </si>
  <si>
    <t>57.722</t>
  </si>
  <si>
    <t>Net proceeds from issuance of long-term debt</t>
  </si>
  <si>
    <t>Other income</t>
  </si>
  <si>
    <t>3Q12</t>
  </si>
  <si>
    <t>7.851</t>
  </si>
  <si>
    <t>963.648</t>
  </si>
  <si>
    <t>Other assets and liabilities</t>
  </si>
  <si>
    <t>Currency</t>
  </si>
  <si>
    <t>Gas sales</t>
  </si>
  <si>
    <t>Transportation</t>
  </si>
  <si>
    <t>Transported (MMcf/d)</t>
  </si>
  <si>
    <t>Gathered (BBtu/d)</t>
  </si>
  <si>
    <t>OKS.N,mstag:capitalExpendituresGrowth,2015Q2,,FYR,,,HOLD</t>
  </si>
  <si>
    <t>Net property, plant and equipment</t>
  </si>
  <si>
    <t>Total Assets</t>
  </si>
  <si>
    <t>OKS.N,mstag:interestExpense,2014FY,,FYR,,,HOLD</t>
  </si>
  <si>
    <t>562.5</t>
  </si>
  <si>
    <t>69.14</t>
  </si>
  <si>
    <t>OKS.N,mstag:shortTermBorrowings,2014Q3,,FYR,,,HOLD</t>
  </si>
  <si>
    <t>OKS.N,mstag:shortTermBorrowings,2019Q2,,FYR,,,HOLD</t>
  </si>
  <si>
    <t>OKS.N,mstag:interestExpense,2016Q4,,FYR,,,HOLD</t>
  </si>
  <si>
    <t>OKS.N,mstag:interestExpense,2017Q4,,FYR,,,HOLD</t>
  </si>
  <si>
    <t>OKS.N,mstag:interestExpense,2016Q2,,FYR,,,HOLD</t>
  </si>
  <si>
    <t>OKS.N,mstag:interestExpense,2015Q3,,FYR,,,HOLD</t>
  </si>
  <si>
    <t>OKS.N,mstag:cashAndCashEquivalents,2017Q3,,FYR,,,HOLD</t>
  </si>
  <si>
    <t>Net margin, excluding other revenues</t>
  </si>
  <si>
    <t>Marketing, storage and transportation, gross</t>
  </si>
  <si>
    <t>Total OKE shares outstanding</t>
  </si>
  <si>
    <t>Total OKE free cash flow per share</t>
  </si>
  <si>
    <t>OKS.N,mstag:shortTermBorrowings,2016Q4,,FYR,,,HOLD</t>
  </si>
  <si>
    <t>OKS.N,mstag:revenueNet,2013Q3,,FYR,,,HOLD</t>
  </si>
  <si>
    <t>OKS.N,mstag:depreciationInIncomeStatement,2013Q2,,FYR,,,HOLD</t>
  </si>
  <si>
    <t>2006Q2</t>
  </si>
  <si>
    <t>2006Q3</t>
  </si>
  <si>
    <t>2006Q4</t>
  </si>
  <si>
    <t>OKE Dividend</t>
  </si>
  <si>
    <t>Dividend Coverage Ratio</t>
  </si>
  <si>
    <t>Write-down / Gain on Sale</t>
  </si>
  <si>
    <t>OKS.N,mstag:interestExpense,2013Q2,,FYR,,,HOLD</t>
  </si>
  <si>
    <t>OKS.N,mstag:interestExpense,2020Q4,,FYR,,,HOLD</t>
  </si>
  <si>
    <t>OKS.N,mstag:interestExpense,2018FY,,FYR,,,HOLD</t>
  </si>
  <si>
    <t>OKS.N,mstag:distributionsPaidToLPUnitholdersCashFlowStatement,2015Q1,,FYR,,,HOLD</t>
  </si>
  <si>
    <t>OKS.N,mstag:longTermDebt,2016Q4,,FYR,,,HOLD</t>
  </si>
  <si>
    <t xml:space="preserve">Check </t>
  </si>
  <si>
    <t>Net Income per share (Adjusted)</t>
  </si>
  <si>
    <t>Number of shares used to arrive at Adjusted EPS</t>
  </si>
  <si>
    <t>Net Income per Share (Operating) (MW)</t>
  </si>
  <si>
    <t>ONEOK Inc.</t>
  </si>
  <si>
    <t>ONEOK Partners</t>
  </si>
  <si>
    <t>Distribution</t>
  </si>
  <si>
    <t>Energy Services</t>
  </si>
  <si>
    <t>Less accumulated depreciation and amortization</t>
  </si>
  <si>
    <t>OKS.N,mstag:interestExpense,2018Q4,,FYR,,,HOLD</t>
  </si>
  <si>
    <t>Average Interest Rate (OKE Stand-Alone)</t>
  </si>
  <si>
    <t>Average Debt/ EBITDA (OKE Stand-Alone)</t>
  </si>
  <si>
    <t>Total net margin</t>
  </si>
  <si>
    <t>Other margin</t>
  </si>
  <si>
    <t>Operating costs</t>
  </si>
  <si>
    <t>D&amp;A</t>
  </si>
  <si>
    <t>Net Margin</t>
  </si>
  <si>
    <t>Unrecorded Goodwill</t>
  </si>
  <si>
    <t>Short-term investments</t>
  </si>
  <si>
    <t>OKS.N,mstag:cashAndCashEquivalents,2012Q3,,FYR</t>
  </si>
  <si>
    <t>OKS.N,mstag:cashAndCashEquivalents,2012Q4,,FYR</t>
  </si>
  <si>
    <t>Pipelines and storage</t>
  </si>
  <si>
    <t>Deposits</t>
  </si>
  <si>
    <t>OKS.N,mstag:interestExpense,2019FY,,FYR,,,HOLD</t>
  </si>
  <si>
    <t>OKS.N,mstag:interestExpense,2014Q2,,FYR,,,HOLD</t>
  </si>
  <si>
    <t>OKS.N,mstag:costOfSalesWithoutDepreciation,2014Q2,,FYR,,,HOLD</t>
  </si>
  <si>
    <t>OKS.N,mstag:distributionsPaidToLPUnitholdersCashFlowStatement,2014Q4,,FYR,,,HOLD</t>
  </si>
  <si>
    <t>158.467732363636</t>
  </si>
  <si>
    <t>428.753</t>
  </si>
  <si>
    <t>56.705</t>
  </si>
  <si>
    <t>OKS.N,mstag:longTermDebt,2012Q3,,FYR</t>
  </si>
  <si>
    <t>OKS.N,mstag:shortTermBorrowings,2012Q4,,FYR</t>
  </si>
  <si>
    <t>OKS.N,mstag:shortTermBorrowings,2012FY,,FYR</t>
  </si>
  <si>
    <t>OKS.N,mstag:shortTermBorrowings,2012Q2,,FYR</t>
  </si>
  <si>
    <t>OKS.N,mstag:longTermDebt,2012Q4,,FYR</t>
  </si>
  <si>
    <t>OKS.N,mstag:longTermDebt,2012FY,,FYR</t>
  </si>
  <si>
    <t>OKS.N,mstag:shortTermBorrowings,2012Q3,,FYR</t>
  </si>
  <si>
    <t>4,801.966</t>
  </si>
  <si>
    <t>OKS.N,mstag:longTermDebt,2012Q2,,FYR</t>
  </si>
  <si>
    <t>OKS.N,mstag:longTermDebt,2018Q4,,FYR,,,HOLD</t>
  </si>
  <si>
    <t>OKS.N,mstag:shortTermBorrowings,2020Q1,,FYR,,,HOLD</t>
  </si>
  <si>
    <t>OKS.N,mstag:shortTermBorrowings,2019Q1,,FYR,,,HOLD</t>
  </si>
  <si>
    <t>OKS.N,mstag:capitalExpendituresMaintenance,2014Q2,,FYR,,,HOLD</t>
  </si>
  <si>
    <t>Interest Expense (OKS)</t>
  </si>
  <si>
    <t>OKS.N,mstag:sellingGeneralAndAdministrativeExpenses,2013Q4,,FYR,,,HOLD</t>
  </si>
  <si>
    <t>OKS.N,mstag:cashAndCashEquivalents,2010Q1,,FYR</t>
  </si>
  <si>
    <t>OKS.N,mstag:shortTermBorrowings,2018Q3,,FYR,,,HOLD</t>
  </si>
  <si>
    <t>57.623</t>
  </si>
  <si>
    <t>OKS.N,mstag:capitalExpendituresGrowth,2014Q1,,FYR,,,HOLD</t>
  </si>
  <si>
    <t>OKS.N,mstag:shortTermBorrowings,2010Q4,,FYR</t>
  </si>
  <si>
    <t>OKS.N,mstag:cashAndCashEquivalents,2019Q1,,FYR,,,HOLD</t>
  </si>
  <si>
    <t>OKS.N,mstag:cashAndCashEquivalents,2018Q4,,FYR,,,HOLD</t>
  </si>
  <si>
    <t>OKS.N,mstag:shortTermBorrowings,2010FY,,FYR</t>
  </si>
  <si>
    <t>OKS.N,mstag:longTermDebt,2020Q3,,FYR,,,HOLD</t>
  </si>
  <si>
    <t>OKS.N,mstag:sellingGeneralAndAdministrativeExpenses,2014Q4,,FYR,,,HOLD</t>
  </si>
  <si>
    <t>OKS.N,mstag:sellingGeneralAndAdministrativeExpenses,2015Q1,,FYR,,,HOLD</t>
  </si>
  <si>
    <t>Issue of Shares (including premium)</t>
  </si>
  <si>
    <t>Net Income</t>
  </si>
  <si>
    <t>4Q12</t>
  </si>
  <si>
    <t>OKS.N,mstag:depreciationInIncomeStatement,2014Q1,,FYR,,,HOLD</t>
  </si>
  <si>
    <t>OKS.N,mstag:proceedsFromIssuanceFundsUsedToRepurchaseCommonStock,2013Q4,,FYR,,,HOLD</t>
  </si>
  <si>
    <t>OKS.N,mstag:cashAndCashEquivalents,2015FY,,FYR,,,HOLD</t>
  </si>
  <si>
    <t>OKS.N,mstag:cashAndCashEquivalents,2015Q2,,FYR,,,HOLD</t>
  </si>
  <si>
    <t>OKS.N,mstag:cashAndCashEquivalents,2017FY,,FYR,,,HOLD</t>
  </si>
  <si>
    <t>Investment securities gains &amp; other</t>
  </si>
  <si>
    <t>Current Stock Price</t>
  </si>
  <si>
    <t>2130109</t>
  </si>
  <si>
    <t>Capex</t>
  </si>
  <si>
    <t>Period End # of Shares Outstanding</t>
  </si>
  <si>
    <t>OKS.N,mstag:costOfSalesWithoutDepreciation,2015Q1,,FYR,,,HOLD</t>
  </si>
  <si>
    <t>Distributable Cash Flow</t>
  </si>
  <si>
    <t>OKS Distribution per unit</t>
  </si>
  <si>
    <t>LP Distributions from OKS</t>
  </si>
  <si>
    <t>GP Distributions from OKS</t>
  </si>
  <si>
    <t>Less Taxes Paid at OKE</t>
  </si>
  <si>
    <t>Cash flow from OKS Interest</t>
  </si>
  <si>
    <t>OKS.N,mstag:shortTermBorrowings,2015Q2,,FYR,,,HOLD</t>
  </si>
  <si>
    <t>OKS.N,mstag:shortTermBorrowings,2020Q4,,FYR,,,HOLD</t>
  </si>
  <si>
    <t>OKS.N,mstag:shortTermBorrowings,2017Q4,,FYR,,,HOLD</t>
  </si>
  <si>
    <t>(Gain) loss on sale of assets</t>
  </si>
  <si>
    <t>Cost of services</t>
  </si>
  <si>
    <t>Other and Eliminations</t>
  </si>
  <si>
    <t>Natural gas marketed (Bcf)</t>
  </si>
  <si>
    <t>2015Q2</t>
  </si>
  <si>
    <t>2015Q3</t>
  </si>
  <si>
    <t>2015Q4</t>
  </si>
  <si>
    <t>2015FY</t>
  </si>
  <si>
    <t>2016Q1</t>
  </si>
  <si>
    <t>OKS.N,mstag:proceedsFromIssuanceFundsUsedToRepurchaseCommonStock,2014Q4,,FYR,,,HOLD</t>
  </si>
  <si>
    <t>OKS.N,mstag:longTermDebt,2017Q2,,FYR,,,HOLD</t>
  </si>
  <si>
    <t>OKS.N,mstag:longTermDebt,2016Q3,,FYR,,,HOLD</t>
  </si>
  <si>
    <t>OKS.N,mstag:longTermDebt,2013Q3,,FYR,,,HOLD</t>
  </si>
  <si>
    <t>OKS.N,mstag:depreciationInIncomeStatement,2015Q1,,FYR,,,HOLD</t>
  </si>
  <si>
    <t>Current Liabilities</t>
  </si>
  <si>
    <t>Accounts payable</t>
  </si>
  <si>
    <t>Total current liabilities</t>
  </si>
  <si>
    <t>Deferred income taxes</t>
  </si>
  <si>
    <t>OKS.N,mstag:longTermDebt,2020Q1,,FYR,,,HOLD</t>
  </si>
  <si>
    <t>Adjusted EBITDA attributable to non-controlling interest &amp; Other</t>
  </si>
  <si>
    <t>Adjusted EBITDA</t>
  </si>
  <si>
    <t>Mware Send Adjusted EBITDA (0/1)</t>
  </si>
  <si>
    <t>EBIT, Operating</t>
  </si>
  <si>
    <t>OKS.N,mstag:longTermDebt,2021Q3,,FYR,,,HOLD</t>
  </si>
  <si>
    <t>OKS.N,mstag:shortTermBorrowings,2021Q2,,FYR,,,HOLD</t>
  </si>
  <si>
    <t>OKS.N,mstag:shortTermBorrowings,2021Q3,,FYR,,,HOLD</t>
  </si>
  <si>
    <t>OKS.N,mstag:shortTermBorrowings,2015Q1,,FYR,,,HOLD</t>
  </si>
  <si>
    <t>2005FY</t>
  </si>
  <si>
    <t>2006Q1</t>
  </si>
  <si>
    <t>OKS.N,mstag:cashAndCashEquivalents,2013Q4,,FYR,,,HOLD</t>
  </si>
  <si>
    <t>Minority interest in income of unconsolidated subsidiaries</t>
  </si>
  <si>
    <t>Investments in unconsolidated affiliates</t>
  </si>
  <si>
    <t>OKS.N,mstag:sellingGeneralAndAdministrativeExpenses,2013Q2,,FYR,,,HOLD</t>
  </si>
  <si>
    <t>OKS.N,mstag:interestExpense,2018Q1,,FYR,,,HOLD</t>
  </si>
  <si>
    <t>Average Total Debt</t>
  </si>
  <si>
    <t>Average Net Debt</t>
  </si>
  <si>
    <t>Net Debt/ Total Book Capitalization</t>
  </si>
  <si>
    <t>OKS.N,mstag:longTermDebt,2013Q2,,FYR,,,HOLD</t>
  </si>
  <si>
    <t>2007Q1</t>
  </si>
  <si>
    <t>2007Q2</t>
  </si>
  <si>
    <t>2007Q3</t>
  </si>
  <si>
    <t>2007Q4</t>
  </si>
  <si>
    <t>NGL</t>
  </si>
  <si>
    <t>Gathered (MBbl/d)</t>
  </si>
  <si>
    <t>Sales (MBbl/d)</t>
  </si>
  <si>
    <t>Transported (MBbl/d)</t>
  </si>
  <si>
    <t>Natural gas gathering and processing</t>
  </si>
  <si>
    <t>Realized composite NGL sales prices ($/gallon)</t>
  </si>
  <si>
    <t>Average Interest Rate</t>
  </si>
  <si>
    <t>OKE.N,mscalc:targetPrice,,,,USD</t>
  </si>
  <si>
    <t>OKE.N,mscalc:targetPrice</t>
  </si>
  <si>
    <t>OKS.N,mstag:longTermDebt,2014Q3,,FYR,,,HOLD</t>
  </si>
  <si>
    <t>OKS.N,mstag:shortTermBorrowings,2011Q1,,FYR</t>
  </si>
  <si>
    <t>OKS.N,mstag:sellingGeneralAndAdministrativeExpenses,2014Q3,,FYR,,,HOLD</t>
  </si>
  <si>
    <t>OKS.N,mstag:interestExpense,2010Q2,,FYR</t>
  </si>
  <si>
    <t>OKS.N,mstag:proceedsFromIssuanceFundsUsedToRepurchaseCommonStock,2013Q3,,FYR,,,HOLD</t>
  </si>
  <si>
    <t>Balance Sheet</t>
  </si>
  <si>
    <t>ASSETS</t>
  </si>
  <si>
    <t>Current Assets</t>
  </si>
  <si>
    <t>Cash and cash equivalents</t>
  </si>
  <si>
    <t>Total current assets</t>
  </si>
  <si>
    <t>OKS.N,mstag:revenueNet,2015Q1,,FYR,,,HOLD</t>
  </si>
  <si>
    <t>2,711.159</t>
  </si>
  <si>
    <t>160.68468</t>
  </si>
  <si>
    <t>21.427</t>
  </si>
  <si>
    <t>61.182</t>
  </si>
  <si>
    <t>427.645</t>
  </si>
  <si>
    <t>122.362</t>
  </si>
  <si>
    <t>800</t>
  </si>
  <si>
    <t>553.156</t>
  </si>
  <si>
    <t>3,134.733</t>
  </si>
  <si>
    <t>155.251344235694</t>
  </si>
  <si>
    <t>54.65</t>
  </si>
  <si>
    <t>6,046.494</t>
  </si>
  <si>
    <t>Energy marketing and risk management liabilities</t>
  </si>
  <si>
    <t>Other current liabilities</t>
  </si>
  <si>
    <t>Long-term debt, excluding current maturities</t>
  </si>
  <si>
    <t>Other deferred credits</t>
  </si>
  <si>
    <t>Retained earnings</t>
  </si>
  <si>
    <t>Gain on sale of assets</t>
  </si>
  <si>
    <t>Additional paid-in capital</t>
  </si>
  <si>
    <t>OKS.N,mstag:longTermDebt,2021Q2,,FYR,,,HOLD</t>
  </si>
  <si>
    <t>OKS.N,mstag:longTermDebt,2021FY,,FYR,,,HOLD</t>
  </si>
  <si>
    <t>OKS.N,mstag:longTermDebt,2021Q4,,FYR,,,HOLD</t>
  </si>
  <si>
    <t>This sheet contains Factset binary data for use with this workbook's =FDS codes.  Modifying the worksheet's contents may damage the workbook's =FDS functionality.</t>
  </si>
  <si>
    <t>3Q09</t>
  </si>
  <si>
    <t>OKS.N,mstag:cashAndCashEquivalents,2010FY,,FYR</t>
  </si>
  <si>
    <t>OKS.N,mstag:cashAndCashEquivalents,2010Q4,,FYR</t>
  </si>
  <si>
    <t>OKS.N,mstag:revenueNet,2013Q2,,FYR,,,HOLD</t>
  </si>
  <si>
    <t>OKS.N,mstag:revenueNet,2014Q2,,FYR,,,HOLD</t>
  </si>
  <si>
    <t>OKS.N,mstag:interestExpense,2018Q3,,FYR,,,HOLD</t>
  </si>
  <si>
    <t>OKS.N,mstag:interestExpense,2017Q3,,FYR,,,HOLD</t>
  </si>
  <si>
    <t>OKS.N,mstag:interestExpense,2013Q1,,FYR,,,HOLD</t>
  </si>
  <si>
    <t>OKS.N,mstag:interestExpense,2019Q2,,FYR,,,HOLD</t>
  </si>
  <si>
    <t>OKS.N,mstag:interestExpense,2014Q4,,FYR,,,HOLD</t>
  </si>
  <si>
    <t>OKS.N,mstag:interestExpense,2018Q2,,FYR,,,HOLD</t>
  </si>
  <si>
    <t>OKS.N,mstag:interestExpense,2014Q1,,FYR,,,HOLD</t>
  </si>
  <si>
    <t>OKS.N,mstag:interestExpense,2015Q1,,FYR,,,HOLD</t>
  </si>
  <si>
    <t>OKS.N,mstag:interestExpense,2013Q4,,FYR,,,HOLD</t>
  </si>
  <si>
    <t>207.56385</t>
  </si>
  <si>
    <t>Other</t>
  </si>
  <si>
    <t>Operating Expenses</t>
  </si>
  <si>
    <t>Total operating expenses</t>
  </si>
  <si>
    <t>Operating Income</t>
  </si>
  <si>
    <t>Other Income and Expenses</t>
  </si>
  <si>
    <t>OKS.N,mstag:depreciationInIncomeStatement,2014Q3,,FYR,,,HOLD</t>
  </si>
  <si>
    <t>OKS.N,mstag:interestExpense,2012FY,,FYR,,,HOLD</t>
  </si>
  <si>
    <t>OKS.N,mstag:cashAndCashEquivalents,2012Q3,,FYR,,,HOLD</t>
  </si>
  <si>
    <t>OKS.N,mstag:cashAndCashEquivalents,2012Q4,,FYR,,,HOLD</t>
  </si>
  <si>
    <t>OKS.N,mstag:interestExpense,2012Q3,,FYR,,,HOLD</t>
  </si>
  <si>
    <t>OKS.N,mstag:cashAndCashEquivalents,2012Q2,,FYR,,,HOLD</t>
  </si>
  <si>
    <t>OKS.N,mstag:capitalExpendituresGrowth,2013Q1,,FYR,,,HOLD</t>
  </si>
  <si>
    <t>625</t>
  </si>
  <si>
    <t>OKS.N,mstag:distributionsPaidToLPUnitholdersCashFlowStatement,2013Q1,,FYR,,,HOLD</t>
  </si>
  <si>
    <t>157.16844</t>
  </si>
  <si>
    <t>OKS.N,mstag:proceedsFromIssuanceFundsUsedToRepurchaseCommonStock,2013Q1,,FYR,,,HOLD</t>
  </si>
  <si>
    <t>53.33</t>
  </si>
  <si>
    <t>2Q10</t>
  </si>
  <si>
    <t>Allowance for doubtful accounts and other</t>
  </si>
  <si>
    <t>Accumulated other comprehensive income</t>
  </si>
  <si>
    <t>Total stockholders' equity</t>
  </si>
  <si>
    <t>Total Liabilities and Stockholders' Equity</t>
  </si>
  <si>
    <t>CASH FLOWS FROM OPERATING ACTIVITIES</t>
  </si>
  <si>
    <t>Net income</t>
  </si>
  <si>
    <t>Cash and cash equivalents at beginning of period</t>
  </si>
  <si>
    <t>Acquisitions</t>
  </si>
  <si>
    <t>Adj. to reconcile NI to net cash provided by op. activities:</t>
  </si>
  <si>
    <t>Inc. in cash attrib. to previously consol. subsidiaries</t>
  </si>
  <si>
    <t>OKS.N,mstag:revenueNet,2014Q1,,FYR,,,HOLD</t>
  </si>
  <si>
    <t>35.091</t>
  </si>
  <si>
    <t>52.511</t>
  </si>
  <si>
    <t>223.137</t>
  </si>
  <si>
    <t>OKS.N,mstag:shortTermBorrowings,2021Q1,,FYR,,,HOLD</t>
  </si>
  <si>
    <t>OKS.N,mstag:longTermDebt,2021Q1,,FYR,,,HOLD</t>
  </si>
  <si>
    <t>2,317.08492256939</t>
  </si>
  <si>
    <t>2,779.1659967393</t>
  </si>
  <si>
    <t>4Q14</t>
  </si>
  <si>
    <t>3Q14</t>
  </si>
  <si>
    <t>137.5</t>
  </si>
  <si>
    <t>2,929.91013201168</t>
  </si>
  <si>
    <t>176.478</t>
  </si>
  <si>
    <t>275</t>
  </si>
  <si>
    <t>2,392.84510137347</t>
  </si>
  <si>
    <t>35.68528125</t>
  </si>
  <si>
    <t>199.2432175</t>
  </si>
  <si>
    <t>86.3175</t>
  </si>
  <si>
    <t>1,062.946</t>
  </si>
  <si>
    <t>6,038.379</t>
  </si>
  <si>
    <t>42.53</t>
  </si>
  <si>
    <t>281.908</t>
  </si>
  <si>
    <t>70.564</t>
  </si>
  <si>
    <t>1Q15</t>
  </si>
  <si>
    <t>1Q23E</t>
  </si>
  <si>
    <t>2Q23E</t>
  </si>
  <si>
    <t>3Q23E</t>
  </si>
  <si>
    <t>4Q23E</t>
  </si>
  <si>
    <t>2023E</t>
  </si>
  <si>
    <t>1Q24E</t>
  </si>
  <si>
    <t>2Q24E</t>
  </si>
  <si>
    <t>3Q24E</t>
  </si>
  <si>
    <t>4Q24E</t>
  </si>
  <si>
    <t>2024E</t>
  </si>
  <si>
    <t>2Q15</t>
  </si>
  <si>
    <t>297.729</t>
  </si>
  <si>
    <t>219.262</t>
  </si>
  <si>
    <t>31.978</t>
  </si>
  <si>
    <t>253.382</t>
  </si>
  <si>
    <t>45.009</t>
  </si>
  <si>
    <t>1,528.134</t>
  </si>
  <si>
    <t>6,145.972</t>
  </si>
  <si>
    <t>1,483.125</t>
  </si>
  <si>
    <t>6,185.66</t>
  </si>
  <si>
    <t>53.125</t>
  </si>
  <si>
    <t>90.531</t>
  </si>
  <si>
    <t>86.492</t>
  </si>
  <si>
    <t>80.709</t>
  </si>
  <si>
    <t>OKS.N,mstag:capitalExpendituresMaintenance,2017Q2,,FYR,,,HOLD</t>
  </si>
  <si>
    <t>OKS.N,mstag:sellingGeneralAndAdministrativeExpenses,2015Q4,,FYR,,,HOLD</t>
  </si>
  <si>
    <t>OKS.N,mstag:capitalExpendituresMaintenance,2020Q2,,FYR,,,HOLD</t>
  </si>
  <si>
    <t>OKS.N,mstag:distributionsPaidToLPUnitholdersCashFlowStatement,2020Q3,,FYR,,,HOLD</t>
  </si>
  <si>
    <t>OKS.N,mstag:sellingGeneralAndAdministrativeExpenses,2019Q4,,FYR,,,HOLD</t>
  </si>
  <si>
    <t>OKS.N,mstag:revenueNet,2017Q1,,FYR,,,HOLD</t>
  </si>
  <si>
    <t>OKS.N,mstag:costOfSalesWithoutDepreciation,2016Q1,,FYR,,,HOLD</t>
  </si>
  <si>
    <t>OKS.N,mstag:proceedsFromIssuanceFundsUsedToRepurchaseCommonStock,2017Q2,,FYR,,,HOLD</t>
  </si>
  <si>
    <t>OKS.N,mstag:sellingGeneralAndAdministrativeExpenses,2018Q1,,FYR,,,HOLD</t>
  </si>
  <si>
    <t>OKS.N,mstag:costOfSalesWithoutDepreciation,2021Q3,,FYR,,,HOLD</t>
  </si>
  <si>
    <t>OKS.N,mstag:proceedsFromIssuanceFundsUsedToRepurchaseCommonStock,2019Q3,,FYR,,,HOLD</t>
  </si>
  <si>
    <t>OKS.N,mstag:costOfSalesWithoutDepreciation,2018Q2,,FYR,,,HOLD</t>
  </si>
  <si>
    <t>OKS.N,mstag:revenueNet,2015Q3,,FYR,,,HOLD</t>
  </si>
  <si>
    <t>OKS.N,mstag:distributionsPaidToLPUnitholdersCashFlowStatement,2022Q3,,FYR,,,HOLD</t>
  </si>
  <si>
    <t>OKS.N,mstag:proceedsFromIssuanceFundsUsedToRepurchaseCommonStock,2015Q3,,FYR,,,HOLD</t>
  </si>
  <si>
    <t>OKS.N,mstag:proceedsFromIssuanceFundsUsedToRepurchaseCommonStock,2018Q4,,FYR,,,HOLD</t>
  </si>
  <si>
    <t>OKS.N,mstag:distributionsPaidToLPUnitholdersCashFlowStatement,2018Q1,,FYR,,,HOLD</t>
  </si>
  <si>
    <t>OKS.N,mstag:sellingGeneralAndAdministrativeExpenses,2021Q2,,FYR,,,HOLD</t>
  </si>
  <si>
    <t>OKS.N,mstag:distributionsPaidToLPUnitholdersCashFlowStatement,2018Q4,,FYR,,,HOLD</t>
  </si>
  <si>
    <t>OKS.N,mstag:capitalExpendituresGrowth,2017Q1,,FYR,,,HOLD</t>
  </si>
  <si>
    <t>OKS.N,mstag:capitalExpendituresMaintenance,2021Q3,,FYR,,,HOLD</t>
  </si>
  <si>
    <t>OKS.N,mstag:capitalExpendituresMaintenance,2018Q2,,FYR,,,HOLD</t>
  </si>
  <si>
    <t>OKS.N,mstag:proceedsFromIssuanceFundsUsedToRepurchaseCommonStock,2020Q2,,FYR,,,HOLD</t>
  </si>
  <si>
    <t>OKS.N,mstag:distributionsPaidToLPUnitholdersCashFlowStatement,2022Q1,,FYR,,,HOLD</t>
  </si>
  <si>
    <t>OKS.N,mstag:costOfSalesWithoutDepreciation,2019Q2,,FYR,,,HOLD</t>
  </si>
  <si>
    <t>OKS.N,mstag:capitalExpendituresMaintenance,2022Q1,,FYR,,,HOLD</t>
  </si>
  <si>
    <t>OKS.N,mstag:proceedsFromIssuanceAndCashUsedToRepayLongTermDebt,2020Q3,,FYR,,,HOLD</t>
  </si>
  <si>
    <t>OKS.N,mstag:capitalExpendituresGrowth,2020Q1,,FYR,,,HOLD</t>
  </si>
  <si>
    <t>OKS.N,mstag:proceedsFromIssuanceFundsUsedToRepurchaseCommonStock,2016Q2,,FYR,,,HOLD</t>
  </si>
  <si>
    <t>OKS.N,mstag:capitalExpendituresMaintenance,2018Q1,,FYR,,,HOLD</t>
  </si>
  <si>
    <t>OKS.N,mstag:distributionsPaidToLPUnitholdersCashFlowStatement,2019Q2,,FYR,,,HOLD</t>
  </si>
  <si>
    <t>OKS.N,mstag:proceedsFromIssuanceAndCashUsedToRepayLongTermDebt,2017Q4,,FYR,,,HOLD</t>
  </si>
  <si>
    <t>OKS.N,mstag:depreciationInIncomeStatement,2018Q3,,FYR,,,HOLD</t>
  </si>
  <si>
    <t>OKS.N,mstag:distributionsPaidToLPUnitholdersCashFlowStatement,2017Q2,,FYR,,,HOLD</t>
  </si>
  <si>
    <t>OKS.N,mstag:costOfSalesWithoutDepreciation,2017Q1,,FYR,,,HOLD</t>
  </si>
  <si>
    <t>OKS.N,mstag:revenueNet,2021Q3,,FYR,,,HOLD</t>
  </si>
  <si>
    <t>OKS.N,mstag:depreciationInIncomeStatement,2021Q2,,FYR,,,HOLD</t>
  </si>
  <si>
    <t>OKS.N,mstag:proceedsFromIssuanceFundsUsedToRepurchaseCommonStock,2016Q1,,FYR,,,HOLD</t>
  </si>
  <si>
    <t>OKS.N,mstag:costOfSalesWithoutDepreciation,2020Q4,,FYR,,,HOLD</t>
  </si>
  <si>
    <t>OKS.N,mstag:sellingGeneralAndAdministrativeExpenses,2020Q2,,FYR,,,HOLD</t>
  </si>
  <si>
    <t>OKS.N,mstag:capitalExpendituresGrowth,2019Q2,,FYR,,,HOLD</t>
  </si>
  <si>
    <t>OKS.N,mstag:capitalExpendituresMaintenance,2019Q2,,FYR,,,HOLD</t>
  </si>
  <si>
    <t>OKS.N,mstag:distributionsPaidToLPUnitholdersCashFlowStatement,2020Q1,,FYR,,,HOLD</t>
  </si>
  <si>
    <t>OKS.N,mstag:capitalExpendituresMaintenance,2021Q1,,FYR,,,HOLD</t>
  </si>
  <si>
    <t>OKS.N,mstag:capitalExpendituresGrowth,2019Q1,,FYR,,,HOLD</t>
  </si>
  <si>
    <t>OKS.N,mstag:costOfSalesWithoutDepreciation,2019Q4,,FYR,,,HOLD</t>
  </si>
  <si>
    <t>OKS.N,mstag:proceedsFromIssuanceFundsUsedToRepurchaseCommonStock,2022Q2,,FYR,,,HOLD</t>
  </si>
  <si>
    <t>OKS.N,mstag:costOfSalesWithoutDepreciation,2016Q4,,FYR,,,HOLD</t>
  </si>
  <si>
    <t>OKS.N,mstag:costOfSalesWithoutDepreciation,2018Q4,,FYR,,,HOLD</t>
  </si>
  <si>
    <t>OKS.N,mstag:depreciationInIncomeStatement,2019Q1,,FYR,,,HOLD</t>
  </si>
  <si>
    <t>OKS.N,mstag:sellingGeneralAndAdministrativeExpenses,2017Q2,,FYR,,,HOLD</t>
  </si>
  <si>
    <t>OKS.N,mstag:proceedsFromIssuanceFundsUsedToRepurchaseCommonStock,2017Q4,,FYR,,,HOLD</t>
  </si>
  <si>
    <t>OKS.N,mstag:sellingGeneralAndAdministrativeExpenses,2021Q4,,FYR,,,HOLD</t>
  </si>
  <si>
    <t>OKS.N,mstag:capitalExpendituresMaintenance,2019Q1,,FYR,,,HOLD</t>
  </si>
  <si>
    <t>OKS.N,mstag:depreciationInIncomeStatement,2020Q1,,FYR,,,HOLD</t>
  </si>
  <si>
    <t>OKS.N,mstag:proceedsFromIssuanceFundsUsedToRepurchaseCommonStock,2022Q4,,FYR,,,HOLD</t>
  </si>
  <si>
    <t>OKS.N,mstag:depreciationInIncomeStatement,2016Q3,,FYR,,,HOLD</t>
  </si>
  <si>
    <t>OKS.N,mstag:capitalExpendituresGrowth,2021Q2,,FYR,,,HOLD</t>
  </si>
  <si>
    <t>OKS.N,mstag:proceedsFromIssuanceAndCashUsedToRepayLongTermDebt,2015Q3,,FYR,,,HOLD</t>
  </si>
  <si>
    <t>OKS.N,mstag:proceedsFromIssuanceAndCashUsedToRepayLongTermDebt,2022Q3,,FYR,,,HOLD</t>
  </si>
  <si>
    <t>OKS.N,mstag:revenueNet,2019Q1,,FYR,,,HOLD</t>
  </si>
  <si>
    <t>OKS.N,mstag:capitalExpendituresGrowth,2017Q4,,FYR,,,HOLD</t>
  </si>
  <si>
    <t>OKS.N,mstag:capitalExpendituresMaintenance,2017Q1,,FYR,,,HOLD</t>
  </si>
  <si>
    <t>OKS.N,mstag:capitalExpendituresGrowth,2017Q2,,FYR,,,HOLD</t>
  </si>
  <si>
    <t>OKS.N,mstag:revenueNet,2021Q2,,FYR,,,HOLD</t>
  </si>
  <si>
    <t>OKS.N,mstag:depreciationInIncomeStatement,2019Q2,,FYR,,,HOLD</t>
  </si>
  <si>
    <t>OKS.N,mstag:capitalExpendituresGrowth,2016Q1,,FYR,,,HOLD</t>
  </si>
  <si>
    <t>OKS.N,mstag:proceedsFromIssuanceFundsUsedToRepurchaseCommonStock,2022Q3,,FYR,,,HOLD</t>
  </si>
  <si>
    <t>OKS.N,mstag:proceedsFromIssuanceAndCashUsedToRepayLongTermDebt,2021Q1,,FYR,,,HOLD</t>
  </si>
  <si>
    <t>OKS.N,mstag:revenueNet,2019Q4,,FYR,,,HOLD</t>
  </si>
  <si>
    <t>OKS.N,mstag:capitalExpendituresMaintenance,2021Q2,,FYR,,,HOLD</t>
  </si>
  <si>
    <t>OKS.N,mstag:sellingGeneralAndAdministrativeExpenses,2022Q3,,FYR,,,HOLD</t>
  </si>
  <si>
    <t>OKS.N,mstag:sellingGeneralAndAdministrativeExpenses,2022Q4,,FYR,,,HOLD</t>
  </si>
  <si>
    <t>OKS.N,mstag:capitalExpendituresMaintenance,2017Q4,,FYR,,,HOLD</t>
  </si>
  <si>
    <t>OKS.N,mstag:distributionsPaidToLPUnitholdersCashFlowStatement,2020Q4,,FYR,,,HOLD</t>
  </si>
  <si>
    <t>OKS.N,mstag:revenueNet,2017Q3,,FYR,,,HOLD</t>
  </si>
  <si>
    <t>OKS.N,mstag:costOfSalesWithoutDepreciation,2016Q2,,FYR,,,HOLD</t>
  </si>
  <si>
    <t>OKS.N,mstag:capitalExpendituresMaintenance,2016Q2,,FYR,,,HOLD</t>
  </si>
  <si>
    <t>OKS.N,mstag:depreciationInIncomeStatement,2018Q1,,FYR,,,HOLD</t>
  </si>
  <si>
    <t>OKS.N,mstag:sellingGeneralAndAdministrativeExpenses,2020Q4,,FYR,,,HOLD</t>
  </si>
  <si>
    <t>OKS.N,mstag:proceedsFromIssuanceAndCashUsedToRepayLongTermDebt,2018Q4,,FYR,,,HOLD</t>
  </si>
  <si>
    <t>OKS.N,mstag:capitalExpendituresGrowth,2022Q1,,FYR,,,HOLD</t>
  </si>
  <si>
    <t>OKS.N,mstag:proceedsFromIssuanceFundsUsedToRepurchaseCommonStock,2020Q4,,FYR,,,HOLD</t>
  </si>
  <si>
    <t>OKS.N,mstag:capitalExpendituresMaintenance,2016Q1,,FYR,,,HOLD</t>
  </si>
  <si>
    <t>OKS.N,mstag:distributionsPaidToLPUnitholdersCashFlowStatement,2021Q2,,FYR,,,HOLD</t>
  </si>
  <si>
    <t>OKS.N,mstag:costOfSalesWithoutDepreciation,2016Q3,,FYR,,,HOLD</t>
  </si>
  <si>
    <t>OKS.N,mstag:sellingGeneralAndAdministrativeExpenses,2017Q4,,FYR,,,HOLD</t>
  </si>
  <si>
    <t>OKS.N,mstag:sellingGeneralAndAdministrativeExpenses,2022Q1,,FYR,,,HOLD</t>
  </si>
  <si>
    <t>OKS.N,mstag:capitalExpendituresMaintenance,2015Q3,,FYR,,,HOLD</t>
  </si>
  <si>
    <t>OKS.N,mstag:revenueNet,2018Q2,,FYR,,,HOLD</t>
  </si>
  <si>
    <t>OKS.N,mstag:capitalExpendituresMaintenance,2022Q3,,FYR,,,HOLD</t>
  </si>
  <si>
    <t>OKS.N,mstag:proceedsFromIssuanceAndCashUsedToRepayLongTermDebt,2018Q3,,FYR,,,HOLD</t>
  </si>
  <si>
    <t>OKS.N,mstag:distributionsPaidToLPUnitholdersCashFlowStatement,2018Q2,,FYR,,,HOLD</t>
  </si>
  <si>
    <t>OKS.N,mstag:proceedsFromIssuanceFundsUsedToRepurchaseCommonStock,2022Q1,,FYR,,,HOLD</t>
  </si>
  <si>
    <t>OKS.N,mstag:costOfSalesWithoutDepreciation,2022Q4,,FYR,,,HOLD</t>
  </si>
  <si>
    <t>OKS.N,mstag:revenueNet,2016Q4,,FYR,,,HOLD</t>
  </si>
  <si>
    <t>OKS.N,mstag:sellingGeneralAndAdministrativeExpenses,2017Q1,,FYR,,,HOLD</t>
  </si>
  <si>
    <t>OKS.N,mstag:proceedsFromIssuanceAndCashUsedToRepayLongTermDebt,2016Q3,,FYR,,,HOLD</t>
  </si>
  <si>
    <t>OKS.N,mstag:capitalExpendituresMaintenance,2018Q4,,FYR,,,HOLD</t>
  </si>
  <si>
    <t>OKS.N,mstag:depreciationInIncomeStatement,2020Q2,,FYR,,,HOLD</t>
  </si>
  <si>
    <t>OKS.N,mstag:proceedsFromIssuanceFundsUsedToRepurchaseCommonStock,2016Q3,,FYR,,,HOLD</t>
  </si>
  <si>
    <t>OKS.N,mstag:proceedsFromIssuanceAndCashUsedToRepayLongTermDebt,2021Q2,,FYR,,,HOLD</t>
  </si>
  <si>
    <t>OKS.N,mstag:capitalExpendituresGrowth,2021Q4,,FYR,,,HOLD</t>
  </si>
  <si>
    <t>OKS.N,mstag:revenueNet,2022Q1,,FYR,,,HOLD</t>
  </si>
  <si>
    <t>OKS.N,mstag:capitalExpendituresGrowth,2015Q3,,FYR,,,HOLD</t>
  </si>
  <si>
    <t>OKS.N,mstag:costOfSalesWithoutDepreciation,2020Q1,,FYR,,,HOLD</t>
  </si>
  <si>
    <t>OKS.N,mstag:distributionsPaidToLPUnitholdersCashFlowStatement,2022Q4,,FYR,,,HOLD</t>
  </si>
  <si>
    <t>OKS.N,mstag:capitalExpendituresGrowth,2017Q3,,FYR,,,HOLD</t>
  </si>
  <si>
    <t>OKS.N,mstag:proceedsFromIssuanceAndCashUsedToRepayLongTermDebt,2019Q2,,FYR,,,HOLD</t>
  </si>
  <si>
    <t>OKS.N,mstag:distributionsPaidToLPUnitholdersCashFlowStatement,2016Q3,,FYR,,,HOLD</t>
  </si>
  <si>
    <t>OKS.N,mstag:proceedsFromIssuanceAndCashUsedToRepayLongTermDebt,2021Q3,,FYR,,,HOLD</t>
  </si>
  <si>
    <t>OKS.N,mstag:proceedsFromIssuanceFundsUsedToRepurchaseCommonStock,2021Q2,,FYR,,,HOLD</t>
  </si>
  <si>
    <t>OKS.N,mstag:proceedsFromIssuanceAndCashUsedToRepayLongTermDebt,2017Q3,,FYR,,,HOLD</t>
  </si>
  <si>
    <t>OKS.N,mstag:capitalExpendituresMaintenance,2019Q4,,FYR,,,HOLD</t>
  </si>
  <si>
    <t>OKS.N,mstag:distributionsPaidToLPUnitholdersCashFlowStatement,2016Q1,,FYR,,,HOLD</t>
  </si>
  <si>
    <t>OKS.N,mstag:proceedsFromIssuanceAndCashUsedToRepayLongTermDebt,2018Q2,,FYR,,,HOLD</t>
  </si>
  <si>
    <t>OKS.N,mstag:proceedsFromIssuanceAndCashUsedToRepayLongTermDebt,2020Q4,,FYR,,,HOLD</t>
  </si>
  <si>
    <t>OKS.N,mstag:depreciationInIncomeStatement,2019Q4,,FYR,,,HOLD</t>
  </si>
  <si>
    <t>OKS.N,mstag:distributionsPaidToLPUnitholdersCashFlowStatement,2021Q1,,FYR,,,HOLD</t>
  </si>
  <si>
    <t>OKS.N,mstag:depreciationInIncomeStatement,2017Q3,,FYR,,,HOLD</t>
  </si>
  <si>
    <t>OKS.N,mstag:costOfSalesWithoutDepreciation,2022Q1,,FYR,,,HOLD</t>
  </si>
  <si>
    <t>OKS.N,mstag:revenueNet,2021Q1,,FYR,,,HOLD</t>
  </si>
  <si>
    <t>OKS.N,mstag:distributionsPaidToLPUnitholdersCashFlowStatement,2015Q4,,FYR,,,HOLD</t>
  </si>
  <si>
    <t>OKS.N,mstag:depreciationInIncomeStatement,2018Q2,,FYR,,,HOLD</t>
  </si>
  <si>
    <t>OKS.N,mstag:costOfSalesWithoutDepreciation,2015Q2,,FYR,,,HOLD</t>
  </si>
  <si>
    <t>OKS.N,mstag:proceedsFromIssuanceFundsUsedToRepurchaseCommonStock,2019Q1,,FYR,,,HOLD</t>
  </si>
  <si>
    <t>OKS.N,mstag:depreciationInIncomeStatement,2022Q4,,FYR,,,HOLD</t>
  </si>
  <si>
    <t>OKS.N,mstag:distributionsPaidToLPUnitholdersCashFlowStatement,2022Q2,,FYR,,,HOLD</t>
  </si>
  <si>
    <t>OKS.N,mstag:sellingGeneralAndAdministrativeExpenses,2021Q1,,FYR,,,HOLD</t>
  </si>
  <si>
    <t>OKS.N,mstag:capitalExpendituresGrowth,2022Q4,,FYR,,,HOLD</t>
  </si>
  <si>
    <t>OKS.N,mstag:proceedsFromIssuanceAndCashUsedToRepayLongTermDebt,2019Q4,,FYR,,,HOLD</t>
  </si>
  <si>
    <t>OKS.N,mstag:proceedsFromIssuanceAndCashUsedToRepayLongTermDebt,2015Q4,,FYR,,,HOLD</t>
  </si>
  <si>
    <t>OKS.N,mstag:sellingGeneralAndAdministrativeExpenses,2022Q2,,FYR,,,HOLD</t>
  </si>
  <si>
    <t>OKS.N,mstag:depreciationInIncomeStatement,2022Q1,,FYR,,,HOLD</t>
  </si>
  <si>
    <t>OKS.N,mstag:capitalExpendituresMaintenance,2021Q4,,FYR,,,HOLD</t>
  </si>
  <si>
    <t>OKS.N,mstag:capitalExpendituresGrowth,2016Q2,,FYR,,,HOLD</t>
  </si>
  <si>
    <t>OKS.N,mstag:proceedsFromIssuanceAndCashUsedToRepayLongTermDebt,2022Q1,,FYR,,,HOLD</t>
  </si>
  <si>
    <t>OKS.N,mstag:proceedsFromIssuanceAndCashUsedToRepayLongTermDebt,2016Q1,,FYR,,,HOLD</t>
  </si>
  <si>
    <t>OKS.N,mstag:proceedsFromIssuanceFundsUsedToRepurchaseCommonStock,2021Q3,,FYR,,,HOLD</t>
  </si>
  <si>
    <t>OKS.N,mstag:costOfSalesWithoutDepreciation,2017Q3,,FYR,,,HOLD</t>
  </si>
  <si>
    <t>OKS.N,mstag:costOfSalesWithoutDepreciation,2019Q1,,FYR,,,HOLD</t>
  </si>
  <si>
    <t>OKS.N,mstag:sellingGeneralAndAdministrativeExpenses,2020Q3,,FYR,,,HOLD</t>
  </si>
  <si>
    <t>OKS.N,mstag:distributionsPaidToLPUnitholdersCashFlowStatement,2020Q2,,FYR,,,HOLD</t>
  </si>
  <si>
    <t>OKS.N,mstag:costOfSalesWithoutDepreciation,2017Q4,,FYR,,,HOLD</t>
  </si>
  <si>
    <t>OKS.N,mstag:depreciationInIncomeStatement,2016Q2,,FYR,,,HOLD</t>
  </si>
  <si>
    <t>OKS.N,mstag:distributionsPaidToLPUnitholdersCashFlowStatement,2021Q4,,FYR,,,HOLD</t>
  </si>
  <si>
    <t>OKS.N,mstag:sellingGeneralAndAdministrativeExpenses,2020Q1,,FYR,,,HOLD</t>
  </si>
  <si>
    <t>OKS.N,mstag:distributionsPaidToLPUnitholdersCashFlowStatement,2016Q4,,FYR,,,HOLD</t>
  </si>
  <si>
    <t>OKS.N,mstag:proceedsFromIssuanceAndCashUsedToRepayLongTermDebt,2022Q2,,FYR,,,HOLD</t>
  </si>
  <si>
    <t>OKS.N,mstag:capitalExpendituresMaintenance,2016Q4,,FYR,,,HOLD</t>
  </si>
  <si>
    <t>OKS.N,mstag:revenueNet,2015Q4,,FYR,,,HOLD</t>
  </si>
  <si>
    <t>OKS.N,mstag:sellingGeneralAndAdministrativeExpenses,2019Q3,,FYR,,,HOLD</t>
  </si>
  <si>
    <t>OKS.N,mstag:costOfSalesWithoutDepreciation,2021Q4,,FYR,,,HOLD</t>
  </si>
  <si>
    <t>OKS.N,mstag:capitalExpendituresMaintenance,2018Q3,,FYR,,,HOLD</t>
  </si>
  <si>
    <t>OKS.N,mstag:proceedsFromIssuanceFundsUsedToRepurchaseCommonStock,2017Q3,,FYR,,,HOLD</t>
  </si>
  <si>
    <t>OKS.N,mstag:revenueNet,2022Q4,,FYR,,,HOLD</t>
  </si>
  <si>
    <t>OKS.N,mstag:capitalExpendituresGrowth,2021Q1,,FYR,,,HOLD</t>
  </si>
  <si>
    <t>OKS.N,mstag:costOfSalesWithoutDepreciation,2019Q3,,FYR,,,HOLD</t>
  </si>
  <si>
    <t>OKS.N,mstag:revenueNet,2019Q2,,FYR,,,HOLD</t>
  </si>
  <si>
    <t>OKS.N,mstag:revenueNet,2017Q4,,FYR,,,HOLD</t>
  </si>
  <si>
    <t>OKS.N,mstag:depreciationInIncomeStatement,2016Q1,,FYR,,,HOLD</t>
  </si>
  <si>
    <t>OKS.N,mstag:revenueNet,2019Q3,,FYR,,,HOLD</t>
  </si>
  <si>
    <t>OKS.N,mstag:sellingGeneralAndAdministrativeExpenses,2018Q2,,FYR,,,HOLD</t>
  </si>
  <si>
    <t>OKS.N,mstag:capitalExpendituresGrowth,2022Q2,,FYR,,,HOLD</t>
  </si>
  <si>
    <t>OKS.N,mstag:revenueNet,2020Q4,,FYR,,,HOLD</t>
  </si>
  <si>
    <t>OKS.N,mstag:costOfSalesWithoutDepreciation,2022Q2,,FYR,,,HOLD</t>
  </si>
  <si>
    <t>OKS.N,mstag:proceedsFromIssuanceFundsUsedToRepurchaseCommonStock,2021Q1,,FYR,,,HOLD</t>
  </si>
  <si>
    <t>OKS.N,mstag:depreciationInIncomeStatement,2022Q3,,FYR,,,HOLD</t>
  </si>
  <si>
    <t>OKS.N,mstag:revenueNet,2020Q3,,FYR,,,HOLD</t>
  </si>
  <si>
    <t>OKS.N,mstag:proceedsFromIssuanceFundsUsedToRepurchaseCommonStock,2020Q1,,FYR,,,HOLD</t>
  </si>
  <si>
    <t>OKS.N,mstag:capitalExpendituresGrowth,2018Q1,,FYR,,,HOLD</t>
  </si>
  <si>
    <t>OKS.N,mstag:capitalExpendituresGrowth,2016Q4,,FYR,,,HOLD</t>
  </si>
  <si>
    <t>OKS.N,mstag:costOfSalesWithoutDepreciation,2021Q1,,FYR,,,HOLD</t>
  </si>
  <si>
    <t>OKS.N,mstag:depreciationInIncomeStatement,2017Q1,,FYR,,,HOLD</t>
  </si>
  <si>
    <t>OKS.N,mstag:capitalExpendituresMaintenance,2015Q4,,FYR,,,HOLD</t>
  </si>
  <si>
    <t>OKS.N,mstag:costOfSalesWithoutDepreciation,2018Q1,,FYR,,,HOLD</t>
  </si>
  <si>
    <t>OKS.N,mstag:capitalExpendituresMaintenance,2019Q3,,FYR,,,HOLD</t>
  </si>
  <si>
    <t>OKS.N,mstag:costOfSalesWithoutDepreciation,2017Q2,,FYR,,,HOLD</t>
  </si>
  <si>
    <t>OKS.N,mstag:proceedsFromIssuanceAndCashUsedToRepayLongTermDebt,2022Q4,,FYR,,,HOLD</t>
  </si>
  <si>
    <t>OKS.N,mstag:revenueNet,2018Q3,,FYR,,,HOLD</t>
  </si>
  <si>
    <t>OKS.N,mstag:depreciationInIncomeStatement,2015Q3,,FYR,,,HOLD</t>
  </si>
  <si>
    <t>OKS.N,mstag:revenueNet,2021Q4,,FYR,,,HOLD</t>
  </si>
  <si>
    <t>OKS.N,mstag:sellingGeneralAndAdministrativeExpenses,2018Q4,,FYR,,,HOLD</t>
  </si>
  <si>
    <t>OKS.N,mstag:capitalExpendituresMaintenance,2020Q4,,FYR,,,HOLD</t>
  </si>
  <si>
    <t>OKS.N,mstag:revenueNet,2016Q2,,FYR,,,HOLD</t>
  </si>
  <si>
    <t>OKS.N,mstag:capitalExpendituresGrowth,2020Q2,,FYR,,,HOLD</t>
  </si>
  <si>
    <t>OKS.N,mstag:sellingGeneralAndAdministrativeExpenses,2015Q2,,FYR,,,HOLD</t>
  </si>
  <si>
    <t>OKS.N,mstag:revenueNet,2016Q3,,FYR,,,HOLD</t>
  </si>
  <si>
    <t>OKS.N,mstag:capitalExpendituresMaintenance,2020Q3,,FYR,,,HOLD</t>
  </si>
  <si>
    <t>OKS.N,mstag:distributionsPaidToLPUnitholdersCashFlowStatement,2019Q3,,FYR,,,HOLD</t>
  </si>
  <si>
    <t>OKS.N,mstag:capitalExpendituresGrowth,2018Q3,,FYR,,,HOLD</t>
  </si>
  <si>
    <t>OKS.N,mstag:costOfSalesWithoutDepreciation,2020Q2,,FYR,,,HOLD</t>
  </si>
  <si>
    <t>OKS.N,mstag:proceedsFromIssuanceAndCashUsedToRepayLongTermDebt,2020Q2,,FYR,,,HOLD</t>
  </si>
  <si>
    <t>OKS.N,mstag:revenueNet,2020Q2,,FYR,,,HOLD</t>
  </si>
  <si>
    <t>OKS.N,mstag:distributionsPaidToLPUnitholdersCashFlowStatement,2017Q3,,FYR,,,HOLD</t>
  </si>
  <si>
    <t>OKS.N,mstag:sellingGeneralAndAdministrativeExpenses,2018Q3,,FYR,,,HOLD</t>
  </si>
  <si>
    <t>OKS.N,mstag:distributionsPaidToLPUnitholdersCashFlowStatement,2019Q1,,FYR,,,HOLD</t>
  </si>
  <si>
    <t>OKS.N,mstag:capitalExpendituresGrowth,2018Q2,,FYR,,,HOLD</t>
  </si>
  <si>
    <t>OKS.N,mstag:capitalExpendituresMaintenance,2017Q3,,FYR,,,HOLD</t>
  </si>
  <si>
    <t>OKS.N,mstag:capitalExpendituresGrowth,2019Q3,,FYR,,,HOLD</t>
  </si>
  <si>
    <t>OKS.N,mstag:costOfSalesWithoutDepreciation,2015Q3,,FYR,,,HOLD</t>
  </si>
  <si>
    <t>OKS.N,mstag:depreciationInIncomeStatement,2016Q4,,FYR,,,HOLD</t>
  </si>
  <si>
    <t>OKS.N,mstag:distributionsPaidToLPUnitholdersCashFlowStatement,2017Q1,,FYR,,,HOLD</t>
  </si>
  <si>
    <t>OKS.N,mstag:depreciationInIncomeStatement,2020Q4,,FYR,,,HOLD</t>
  </si>
  <si>
    <t>OKS.N,mstag:costOfSalesWithoutDepreciation,2015Q4,,FYR,,,HOLD</t>
  </si>
  <si>
    <t>OKS.N,mstag:distributionsPaidToLPUnitholdersCashFlowStatement,2018Q3,,FYR,,,HOLD</t>
  </si>
  <si>
    <t>OKS.N,mstag:sellingGeneralAndAdministrativeExpenses,2016Q1,,FYR,,,HOLD</t>
  </si>
  <si>
    <t>OKS.N,mstag:capitalExpendituresMaintenance,2016Q3,,FYR,,,HOLD</t>
  </si>
  <si>
    <t>OKS.N,mstag:depreciationInIncomeStatement,2022Q2,,FYR,,,HOLD</t>
  </si>
  <si>
    <t>OKS.N,mstag:proceedsFromIssuanceAndCashUsedToRepayLongTermDebt,2021Q4,,FYR,,,HOLD</t>
  </si>
  <si>
    <t>OKS.N,mstag:proceedsFromIssuanceFundsUsedToRepurchaseCommonStock,2020Q3,,FYR,,,HOLD</t>
  </si>
  <si>
    <t>OKS.N,mstag:costOfSalesWithoutDepreciation,2021Q2,,FYR,,,HOLD</t>
  </si>
  <si>
    <t>OKS.N,mstag:costOfSalesWithoutDepreciation,2020Q3,,FYR,,,HOLD</t>
  </si>
  <si>
    <t>OKS.N,mstag:proceedsFromIssuanceAndCashUsedToRepayLongTermDebt,2020Q1,,FYR,,,HOLD</t>
  </si>
  <si>
    <t>OKS.N,mstag:depreciationInIncomeStatement,2021Q3,,FYR,,,HOLD</t>
  </si>
  <si>
    <t>OKS.N,mstag:sellingGeneralAndAdministrativeExpenses,2016Q4,,FYR,,,HOLD</t>
  </si>
  <si>
    <t>OKS.N,mstag:sellingGeneralAndAdministrativeExpenses,2019Q2,,FYR,,,HOLD</t>
  </si>
  <si>
    <t>OKS.N,mstag:proceedsFromIssuanceFundsUsedToRepurchaseCommonStock,2019Q2,,FYR,,,HOLD</t>
  </si>
  <si>
    <t>OKS.N,mstag:depreciationInIncomeStatement,2017Q2,,FYR,,,HOLD</t>
  </si>
  <si>
    <t>OKS.N,mstag:sellingGeneralAndAdministrativeExpenses,2021Q3,,FYR,,,HOLD</t>
  </si>
  <si>
    <t>OKS.N,mstag:capitalExpendituresGrowth,2015Q4,,FYR,,,HOLD</t>
  </si>
  <si>
    <t>OKS.N,mstag:sellingGeneralAndAdministrativeExpenses,2019Q1,,FYR,,,HOLD</t>
  </si>
  <si>
    <t>OKS.N,mstag:capitalExpendituresMaintenance,2022Q4,,FYR,,,HOLD</t>
  </si>
  <si>
    <t>OKS.N,mstag:distributionsPaidToLPUnitholdersCashFlowStatement,2016Q2,,FYR,,,HOLD</t>
  </si>
  <si>
    <t>OKS.N,mstag:costOfSalesWithoutDepreciation,2018Q3,,FYR,,,HOLD</t>
  </si>
  <si>
    <t>OKS.N,mstag:capitalExpendituresGrowth,2016Q3,,FYR,,,HOLD</t>
  </si>
  <si>
    <t>OKS.N,mstag:depreciationInIncomeStatement,2015Q2,,FYR,,,HOLD</t>
  </si>
  <si>
    <t>OKS.N,mstag:proceedsFromIssuanceAndCashUsedToRepayLongTermDebt,2016Q4,,FYR,,,HOLD</t>
  </si>
  <si>
    <t>OKS.N,mstag:distributionsPaidToLPUnitholdersCashFlowStatement,2015Q3,,FYR,,,HOLD</t>
  </si>
  <si>
    <t>OKS.N,mstag:depreciationInIncomeStatement,2021Q4,,FYR,,,HOLD</t>
  </si>
  <si>
    <t>OKS.N,mstag:proceedsFromIssuanceAndCashUsedToRepayLongTermDebt,2019Q3,,FYR,,,HOLD</t>
  </si>
  <si>
    <t>OKS.N,mstag:capitalExpendituresGrowth,2020Q4,,FYR,,,HOLD</t>
  </si>
  <si>
    <t>OKS.N,mstag:distributionsPaidToLPUnitholdersCashFlowStatement,2019Q4,,FYR,,,HOLD</t>
  </si>
  <si>
    <t>OKS.N,mstag:proceedsFromIssuanceFundsUsedToRepurchaseCommonStock,2017Q1,,FYR,,,HOLD</t>
  </si>
  <si>
    <t>OKS.N,mstag:capitalExpendituresMaintenance,2020Q1,,FYR,,,HOLD</t>
  </si>
  <si>
    <t>OKS.N,mstag:capitalExpendituresGrowth,2018Q4,,FYR,,,HOLD</t>
  </si>
  <si>
    <t>OKS.N,mstag:proceedsFromIssuanceFundsUsedToRepurchaseCommonStock,2018Q3,,FYR,,,HOLD</t>
  </si>
  <si>
    <t>OKS.N,mstag:depreciationInIncomeStatement,2019Q3,,FYR,,,HOLD</t>
  </si>
  <si>
    <t>OKS.N,mstag:distributionsPaidToLPUnitholdersCashFlowStatement,2017Q4,,FYR,,,HOLD</t>
  </si>
  <si>
    <t>OKS.N,mstag:proceedsFromIssuanceFundsUsedToRepurchaseCommonStock,2015Q4,,FYR,,,HOLD</t>
  </si>
  <si>
    <t>OKS.N,mstag:revenueNet,2018Q1,,FYR,,,HOLD</t>
  </si>
  <si>
    <t>OKS.N,mstag:capitalExpendituresMaintenance,2022Q2,,FYR,,,HOLD</t>
  </si>
  <si>
    <t>OKS.N,mstag:revenueNet,2015Q2,,FYR,,,HOLD</t>
  </si>
  <si>
    <t>OKS.N,mstag:proceedsFromIssuanceFundsUsedToRepurchaseCommonStock,2021Q4,,FYR,,,HOLD</t>
  </si>
  <si>
    <t>OKS.N,mstag:distributionsPaidToLPUnitholdersCashFlowStatement,2021Q3,,FYR,,,HOLD</t>
  </si>
  <si>
    <t>OKS.N,mstag:revenueNet,2016Q1,,FYR,,,HOLD</t>
  </si>
  <si>
    <t>OKS.N,mstag:capitalExpendituresGrowth,2019Q4,,FYR,,,HOLD</t>
  </si>
  <si>
    <t>OKS.N,mstag:revenueNet,2017Q2,,FYR,,,HOLD</t>
  </si>
  <si>
    <t>OKS.N,mstag:capitalExpendituresGrowth,2022Q3,,FYR,,,HOLD</t>
  </si>
  <si>
    <t>OKS.N,mstag:sellingGeneralAndAdministrativeExpenses,2015Q3,,FYR,,,HOLD</t>
  </si>
  <si>
    <t>OKS.N,mstag:revenueNet,2022Q3,,FYR,,,HOLD</t>
  </si>
  <si>
    <t>OKS.N,mstag:proceedsFromIssuanceFundsUsedToRepurchaseCommonStock,2019Q4,,FYR,,,HOLD</t>
  </si>
  <si>
    <t>OKS.N,mstag:revenueNet,2020Q1,,FYR,,,HOLD</t>
  </si>
  <si>
    <t>OKS.N,mstag:sellingGeneralAndAdministrativeExpenses,2017Q3,,FYR,,,HOLD</t>
  </si>
  <si>
    <t>OKS.N,mstag:proceedsFromIssuanceAndCashUsedToRepayLongTermDebt,2016Q2,,FYR,,,HOLD</t>
  </si>
  <si>
    <t>OKS.N,mstag:proceedsFromIssuanceAndCashUsedToRepayLongTermDebt,2019Q1,,FYR,,,HOLD</t>
  </si>
  <si>
    <t>OKS.N,mstag:proceedsFromIssuanceFundsUsedToRepurchaseCommonStock,2016Q4,,FYR,,,HOLD</t>
  </si>
  <si>
    <t>OKS.N,mstag:depreciationInIncomeStatement,2018Q4,,FYR,,,HOLD</t>
  </si>
  <si>
    <t>OKS.N,mstag:capitalExpendituresGrowth,2021Q3,,FYR,,,HOLD</t>
  </si>
  <si>
    <t>OKS.N,mstag:depreciationInIncomeStatement,2021Q1,,FYR,,,HOLD</t>
  </si>
  <si>
    <t>OKS.N,mstag:proceedsFromIssuanceAndCashUsedToRepayLongTermDebt,2017Q1,,FYR,,,HOLD</t>
  </si>
  <si>
    <t>OKS.N,mstag:proceedsFromIssuanceFundsUsedToRepurchaseCommonStock,2018Q2,,FYR,,,HOLD</t>
  </si>
  <si>
    <t>OKS.N,mstag:sellingGeneralAndAdministrativeExpenses,2016Q3,,FYR,,,HOLD</t>
  </si>
  <si>
    <t>OKS.N,mstag:costOfSalesWithoutDepreciation,2022Q3,,FYR,,,HOLD</t>
  </si>
  <si>
    <t>OKS.N,mstag:sellingGeneralAndAdministrativeExpenses,2016Q2,,FYR,,,HOLD</t>
  </si>
  <si>
    <t>OKS.N,mstag:depreciationInIncomeStatement,2015Q4,,FYR,,,HOLD</t>
  </si>
  <si>
    <t>OKS.N,mstag:proceedsFromIssuanceAndCashUsedToRepayLongTermDebt,2018Q1,,FYR,,,HOLD</t>
  </si>
  <si>
    <t>OKS.N,mstag:depreciationInIncomeStatement,2017Q4,,FYR,,,HOLD</t>
  </si>
  <si>
    <t>OKS.N,mstag:revenueNet,2022Q2,,FYR,,,HOLD</t>
  </si>
  <si>
    <t>OKS.N,mstag:proceedsFromIssuanceFundsUsedToRepurchaseCommonStock,2018Q1,,FYR,,,HOLD</t>
  </si>
  <si>
    <t>OKS.N,mstag:depreciationInIncomeStatement,2020Q3,,FYR,,,HOLD</t>
  </si>
  <si>
    <t>OKS.N,mstag:revenueNet,2018Q4,,FYR,,,HOLD</t>
  </si>
  <si>
    <t>OKS.N,mstag:proceedsFromIssuanceAndCashUsedToRepayLongTermDebt,2017Q2,,FYR,,,HOLD</t>
  </si>
  <si>
    <t>OKS.N,mstag:capitalExpendituresGrowth,2020Q3,,FYR,,,HOLD</t>
  </si>
  <si>
    <t>0</t>
  </si>
  <si>
    <t>1,603.093</t>
  </si>
  <si>
    <t>166.612</t>
  </si>
  <si>
    <t>86.199</t>
  </si>
  <si>
    <t>2,127.507</t>
  </si>
  <si>
    <t>1,898.418</t>
  </si>
  <si>
    <t>21.102</t>
  </si>
  <si>
    <t>(583.212)</t>
  </si>
  <si>
    <t>747.064</t>
  </si>
  <si>
    <t>87.517</t>
  </si>
  <si>
    <t>35.8734</t>
  </si>
  <si>
    <t>1,360.809</t>
  </si>
  <si>
    <t>225</t>
  </si>
  <si>
    <t>304.039</t>
  </si>
  <si>
    <t>162.091</t>
  </si>
  <si>
    <t>279.372</t>
  </si>
  <si>
    <t>944.922</t>
  </si>
  <si>
    <t>6,145.603</t>
  </si>
  <si>
    <t>7.263</t>
  </si>
  <si>
    <t>86.666</t>
  </si>
  <si>
    <t>75</t>
  </si>
  <si>
    <t>162.5</t>
  </si>
  <si>
    <t>150</t>
  </si>
  <si>
    <t>115</t>
  </si>
  <si>
    <t>220.578006666667</t>
  </si>
  <si>
    <t>191.25</t>
  </si>
  <si>
    <t>4Q15</t>
  </si>
  <si>
    <t>185.314</t>
  </si>
  <si>
    <t>225.80254</t>
  </si>
  <si>
    <t>1,363.61859738722</t>
  </si>
  <si>
    <t>32.017</t>
  </si>
  <si>
    <t>103.5</t>
  </si>
  <si>
    <t>1,930.384</t>
  </si>
  <si>
    <t>93.2545</t>
  </si>
  <si>
    <t>1,333.286</t>
  </si>
  <si>
    <t>176.385794698041</t>
  </si>
  <si>
    <t>92.633</t>
  </si>
  <si>
    <t>1,953.37667554497</t>
  </si>
  <si>
    <t>653.99</t>
  </si>
  <si>
    <t>6,695.312</t>
  </si>
  <si>
    <t>5.079</t>
  </si>
  <si>
    <t>85.044</t>
  </si>
  <si>
    <t>338.911</t>
  </si>
  <si>
    <t>1Q16</t>
  </si>
  <si>
    <t>3Q15</t>
  </si>
  <si>
    <t>125</t>
  </si>
  <si>
    <t>62.5</t>
  </si>
  <si>
    <t>902.217</t>
  </si>
  <si>
    <t>6,692.238</t>
  </si>
  <si>
    <t>9.882</t>
  </si>
  <si>
    <t>92.555</t>
  </si>
  <si>
    <t>34.656264225</t>
  </si>
  <si>
    <t>41.1556237388084</t>
  </si>
  <si>
    <t>30</t>
  </si>
  <si>
    <t>41.7760499111239</t>
  </si>
  <si>
    <t>25</t>
  </si>
  <si>
    <t>203.107737147405</t>
  </si>
  <si>
    <t>36.4099666511328</t>
  </si>
  <si>
    <t>46.7524265668082</t>
  </si>
  <si>
    <t>(1.8)</t>
  </si>
  <si>
    <t>178.97383682673</t>
  </si>
  <si>
    <t>36.2288225384406</t>
  </si>
  <si>
    <t>106.25</t>
  </si>
  <si>
    <t>110.21760485</t>
  </si>
  <si>
    <t>125.11014594555</t>
  </si>
  <si>
    <t>198.748865303557</t>
  </si>
  <si>
    <t>38.8067940221266</t>
  </si>
  <si>
    <t>43.86485240668</t>
  </si>
  <si>
    <t>109.55887405</t>
  </si>
  <si>
    <t>187.096568354034</t>
  </si>
  <si>
    <t>191.074462371728</t>
  </si>
  <si>
    <t>46.9861886996422</t>
  </si>
  <si>
    <t>114.39642418025</t>
  </si>
  <si>
    <t>99.1385</t>
  </si>
  <si>
    <t>97.5</t>
  </si>
  <si>
    <t>125.06263350305</t>
  </si>
  <si>
    <t>114.3858219</t>
  </si>
  <si>
    <t>44.0841766687134</t>
  </si>
  <si>
    <t>199.355926027583</t>
  </si>
  <si>
    <t>41.3614018575024</t>
  </si>
  <si>
    <t>1,527.323</t>
  </si>
  <si>
    <t>23.217</t>
  </si>
  <si>
    <t>105.0218</t>
  </si>
  <si>
    <t>186.951437769636</t>
  </si>
  <si>
    <t>170.946438250785</t>
  </si>
  <si>
    <t>175.924655437139</t>
  </si>
  <si>
    <t>47.2211196431404</t>
  </si>
  <si>
    <t>59.5</t>
  </si>
  <si>
    <t>36.7749765668104</t>
  </si>
  <si>
    <t>119.573719831</t>
  </si>
  <si>
    <t>178.347481352783</t>
  </si>
  <si>
    <t>39.1958321321984</t>
  </si>
  <si>
    <t>116.570610431</t>
  </si>
  <si>
    <t>104.440585</t>
  </si>
  <si>
    <t>109.52263</t>
  </si>
  <si>
    <t>190.417095162947</t>
  </si>
  <si>
    <t>207.563478345974</t>
  </si>
  <si>
    <t>44.5261205398173</t>
  </si>
  <si>
    <t>113.163</t>
  </si>
  <si>
    <t>44.304597552057</t>
  </si>
  <si>
    <t>103.775</t>
  </si>
  <si>
    <t>35.0036932738556</t>
  </si>
  <si>
    <t>181.738</t>
  </si>
  <si>
    <t>98.507</t>
  </si>
  <si>
    <t>121.83505285116</t>
  </si>
  <si>
    <t>186.749935856128</t>
  </si>
  <si>
    <t>36.5920164843884</t>
  </si>
  <si>
    <t>186.306899754343</t>
  </si>
  <si>
    <t>190.318105854714</t>
  </si>
  <si>
    <t>133.449910388233</t>
  </si>
  <si>
    <t>175.22799942542</t>
  </si>
  <si>
    <t>85</t>
  </si>
  <si>
    <t>99.6685</t>
  </si>
  <si>
    <t>195.28955011605</t>
  </si>
  <si>
    <t>111.6353601</t>
  </si>
  <si>
    <t>38.6137253951509</t>
  </si>
  <si>
    <t>127.452835696932</t>
  </si>
  <si>
    <t>2,133.594</t>
  </si>
  <si>
    <t>41.5682088667899</t>
  </si>
  <si>
    <t>194.619038635228</t>
  </si>
  <si>
    <t>182.728415682399</t>
  </si>
  <si>
    <t>34.829545546125</t>
  </si>
  <si>
    <t>100.451</t>
  </si>
  <si>
    <t>34.483845</t>
  </si>
  <si>
    <t>32.7081</t>
  </si>
  <si>
    <t>131.02070114032</t>
  </si>
  <si>
    <t>125.885342109375</t>
  </si>
  <si>
    <t>178.498256928025</t>
  </si>
  <si>
    <t>194.485258076225</t>
  </si>
  <si>
    <t>195.061094527236</t>
  </si>
  <si>
    <t>182.285880188745</t>
  </si>
  <si>
    <t>47.4572252413561</t>
  </si>
  <si>
    <t>333</t>
  </si>
  <si>
    <t>131.826130098219</t>
  </si>
  <si>
    <t>39.0008279922373</t>
  </si>
  <si>
    <t>115.1059109285</t>
  </si>
  <si>
    <t>190.85984462817</t>
  </si>
  <si>
    <t>179.585628072522</t>
  </si>
  <si>
    <t>182.918460759224</t>
  </si>
  <si>
    <t>783.653</t>
  </si>
  <si>
    <t>47.3277</t>
  </si>
  <si>
    <t>119.556459874754</t>
  </si>
  <si>
    <t>105.80361</t>
  </si>
  <si>
    <t>120.320510762135</t>
  </si>
  <si>
    <t>7,485.95</t>
  </si>
  <si>
    <t>1,033.957</t>
  </si>
  <si>
    <t>7,235.95</t>
  </si>
  <si>
    <t>7,298.45</t>
  </si>
  <si>
    <t>7,360.95</t>
  </si>
  <si>
    <t>6,917.2</t>
  </si>
  <si>
    <t>7,423.45</t>
  </si>
  <si>
    <t>7,023.45</t>
  </si>
  <si>
    <t>7,129.7</t>
  </si>
  <si>
    <t>6,810.95</t>
  </si>
  <si>
    <t>6,691.95</t>
  </si>
  <si>
    <t>6,751.45</t>
  </si>
  <si>
    <t>3.745</t>
  </si>
  <si>
    <t>93.263</t>
  </si>
  <si>
    <t>122.024444375</t>
  </si>
  <si>
    <t>112.9807525</t>
  </si>
  <si>
    <t>119.329131875</t>
  </si>
  <si>
    <t>443.157385</t>
  </si>
  <si>
    <t>108.59794</t>
  </si>
  <si>
    <t>482.7071525</t>
  </si>
  <si>
    <t>121.126006875</t>
  </si>
  <si>
    <t>111.519815</t>
  </si>
  <si>
    <t>370.72141625</t>
  </si>
  <si>
    <t>92.804989375</t>
  </si>
  <si>
    <t>120.227569375</t>
  </si>
  <si>
    <t>92.098426875</t>
  </si>
  <si>
    <t>110.0588775</t>
  </si>
  <si>
    <t>2Q16</t>
  </si>
  <si>
    <t>254.724835804887</t>
  </si>
  <si>
    <t>2,309.29708248944</t>
  </si>
  <si>
    <t>6.25</t>
  </si>
  <si>
    <t>2,260.27457076092</t>
  </si>
  <si>
    <t>3,176.46416356084</t>
  </si>
  <si>
    <t>276.196387144002</t>
  </si>
  <si>
    <t>2,104.02634878011</t>
  </si>
  <si>
    <t>228.401606050797</t>
  </si>
  <si>
    <t>236.155985819481</t>
  </si>
  <si>
    <t>270.818734680261</t>
  </si>
  <si>
    <t>241.406305796468</t>
  </si>
  <si>
    <t>225.918683697624</t>
  </si>
  <si>
    <t>3,045.2111194978</t>
  </si>
  <si>
    <t>2,184.33099243316</t>
  </si>
  <si>
    <t>249.400696578059</t>
  </si>
  <si>
    <t>278.882637761793</t>
  </si>
  <si>
    <t>2,844.71986837563</t>
  </si>
  <si>
    <t>1,693.34533588686</t>
  </si>
  <si>
    <t>257.385088903217</t>
  </si>
  <si>
    <t>262.7400290439</t>
  </si>
  <si>
    <t>1,571.18725948061</t>
  </si>
  <si>
    <t>230.986928110174</t>
  </si>
  <si>
    <t>2,407.75635257942</t>
  </si>
  <si>
    <t>2,290.88453523373</t>
  </si>
  <si>
    <t>3,024.56093907776</t>
  </si>
  <si>
    <t>2,956.54377606644</t>
  </si>
  <si>
    <t>2,035.5099168571</t>
  </si>
  <si>
    <t>90</t>
  </si>
  <si>
    <t>2,962.93027703834</t>
  </si>
  <si>
    <t>1,673.44277504066</t>
  </si>
  <si>
    <t>2,245.74345999005</t>
  </si>
  <si>
    <t>2,903.14175451947</t>
  </si>
  <si>
    <t>273.508405768934</t>
  </si>
  <si>
    <t>1,747.27803566963</t>
  </si>
  <si>
    <t>1,969.09511728809</t>
  </si>
  <si>
    <t>252.063352621266</t>
  </si>
  <si>
    <t>1,807.09782759938</t>
  </si>
  <si>
    <t>268.127417255706</t>
  </si>
  <si>
    <t>2,304.35545569181</t>
  </si>
  <si>
    <t>3,228.36572664371</t>
  </si>
  <si>
    <t>2,044.08244245351</t>
  </si>
  <si>
    <t>2,680.65839915566</t>
  </si>
  <si>
    <t>2,451.78327006881</t>
  </si>
  <si>
    <t>2,141.85600276029</t>
  </si>
  <si>
    <t>2,769.5885542674</t>
  </si>
  <si>
    <t>2,300.28982927282</t>
  </si>
  <si>
    <t>2,903.18092472409</t>
  </si>
  <si>
    <t>2,148.99441536607</t>
  </si>
  <si>
    <t>2,378.78757383195</t>
  </si>
  <si>
    <t>1,824.87130693708</t>
  </si>
  <si>
    <t>2,561.41495593999</t>
  </si>
  <si>
    <t>3,099.86650335164</t>
  </si>
  <si>
    <t>2,194.41386275115</t>
  </si>
  <si>
    <t>244.072108809381</t>
  </si>
  <si>
    <t>2,669.36115916766</t>
  </si>
  <si>
    <t>2,080.93779298841</t>
  </si>
  <si>
    <t>2,823.46999458512</t>
  </si>
  <si>
    <t>226.032550067844</t>
  </si>
  <si>
    <t>238.739587533114</t>
  </si>
  <si>
    <t>1,975.80125543999</t>
  </si>
  <si>
    <t>2,474.7692640012</t>
  </si>
  <si>
    <t>260.044057385619</t>
  </si>
  <si>
    <t>1,886.04220889189</t>
  </si>
  <si>
    <t>1,643.96062024288</t>
  </si>
  <si>
    <t>2,196.74072863636</t>
  </si>
  <si>
    <t>246.736927682036</t>
  </si>
  <si>
    <t>1,819.37347595766</t>
  </si>
  <si>
    <t>226.144183764138</t>
  </si>
  <si>
    <t>2,478.12555626987</t>
  </si>
  <si>
    <t>265.434499283986</t>
  </si>
  <si>
    <t>1,944.63455462003</t>
  </si>
  <si>
    <t>233.571744168644</t>
  </si>
  <si>
    <t>2,286.66125647754</t>
  </si>
  <si>
    <t>2,765.98505826189</t>
  </si>
  <si>
    <t>2,364.8956256733</t>
  </si>
  <si>
    <t>3,093.66735639022</t>
  </si>
  <si>
    <t>2,634.95286246432</t>
  </si>
  <si>
    <t>8,340.95</t>
  </si>
  <si>
    <t>8,535.95</t>
  </si>
  <si>
    <t>8,070.95</t>
  </si>
  <si>
    <t>7,920.95</t>
  </si>
  <si>
    <t>8,633.45</t>
  </si>
  <si>
    <t>7,575.95</t>
  </si>
  <si>
    <t>8,730.95</t>
  </si>
  <si>
    <t>8,438.45</t>
  </si>
  <si>
    <t>7,665.95</t>
  </si>
  <si>
    <t>8,243.45</t>
  </si>
  <si>
    <t>7,755.95</t>
  </si>
  <si>
    <t>7,845.95</t>
  </si>
  <si>
    <t>8,145.95</t>
  </si>
  <si>
    <t>8,925.95</t>
  </si>
  <si>
    <t>7,995.95</t>
  </si>
  <si>
    <t>8,828.45</t>
  </si>
  <si>
    <t>16.7617112100786</t>
  </si>
  <si>
    <t>11.5951384508486</t>
  </si>
  <si>
    <t>61.8779996787292</t>
  </si>
  <si>
    <t>21.6167383213881</t>
  </si>
  <si>
    <t>71.2507979953743</t>
  </si>
  <si>
    <t>68.9288180721307</t>
  </si>
  <si>
    <t>5.26631637719792</t>
  </si>
  <si>
    <t>80.7508227967665</t>
  </si>
  <si>
    <t>78.9206913314836</t>
  </si>
  <si>
    <t>105.000183857585</t>
  </si>
  <si>
    <t>32.9595099929732</t>
  </si>
  <si>
    <t>27.6328403611998</t>
  </si>
  <si>
    <t>99.0381344730874</t>
  </si>
  <si>
    <t>31.5695388488298</t>
  </si>
  <si>
    <t>5.00000000000006</t>
  </si>
  <si>
    <t>85.5567055783182</t>
  </si>
  <si>
    <t>51.1276266773828</t>
  </si>
  <si>
    <t>18.6753798874473</t>
  </si>
  <si>
    <t>37.9238912933138</t>
  </si>
  <si>
    <t>64.9342609424146</t>
  </si>
  <si>
    <t>11.0199329831575</t>
  </si>
  <si>
    <t>94.5026171809818</t>
  </si>
  <si>
    <t>83.2232354472286</t>
  </si>
  <si>
    <t>78.0832581273547</t>
  </si>
  <si>
    <t>16.5880316033736</t>
  </si>
  <si>
    <t>125.708038125</t>
  </si>
  <si>
    <t>135.465069375</t>
  </si>
  <si>
    <t>123.120538125</t>
  </si>
  <si>
    <t>134.063506875</t>
  </si>
  <si>
    <t>142.472881875</t>
  </si>
  <si>
    <t>138.268194375</t>
  </si>
  <si>
    <t>131.422100625</t>
  </si>
  <si>
    <t>519.2196525</t>
  </si>
  <si>
    <t>141.071319375</t>
  </si>
  <si>
    <t>139.669756875</t>
  </si>
  <si>
    <t>561.4821525</t>
  </si>
  <si>
    <t>127.001788125</t>
  </si>
  <si>
    <t>130.343975625</t>
  </si>
  <si>
    <t>500.2446525</t>
  </si>
  <si>
    <t>132.661944375</t>
  </si>
  <si>
    <t>136.866631875</t>
  </si>
  <si>
    <t>128.187725625</t>
  </si>
  <si>
    <t>539.0571525</t>
  </si>
  <si>
    <t>124.414288125</t>
  </si>
  <si>
    <t>129.265850625</t>
  </si>
  <si>
    <t>% Change Yr-to-Yr</t>
  </si>
  <si>
    <t>Residue Gas Sales (Bbtu)</t>
  </si>
  <si>
    <t>Equity Volume as a % of Gas Sales</t>
  </si>
  <si>
    <t>Gas Sales as % of Processed Volumes</t>
  </si>
  <si>
    <t>GPM Ratio</t>
  </si>
  <si>
    <t>3Q16</t>
  </si>
  <si>
    <t>4Q16</t>
  </si>
  <si>
    <t>1Q17</t>
  </si>
  <si>
    <t>2Q17</t>
  </si>
  <si>
    <t>3Q17</t>
  </si>
  <si>
    <t>4Q17</t>
  </si>
  <si>
    <t>Total</t>
  </si>
  <si>
    <t>Adjusted EBITDA Reconciliation</t>
  </si>
  <si>
    <t>Income tax expense</t>
  </si>
  <si>
    <t>Stock-based comp</t>
  </si>
  <si>
    <t>Maintenance capital</t>
  </si>
  <si>
    <t>Equity in net earnings from investments</t>
  </si>
  <si>
    <t>Distributions received from unconsolidated affiliates</t>
  </si>
  <si>
    <t>Distributable cash flow</t>
  </si>
  <si>
    <t>Growth Capital expenditures</t>
  </si>
  <si>
    <t>Maintenance Capital expenditures</t>
  </si>
  <si>
    <t>Dividend per share</t>
  </si>
  <si>
    <t>Dividend coverage</t>
  </si>
  <si>
    <t>Units oustanding</t>
  </si>
  <si>
    <t>DCF/share</t>
  </si>
  <si>
    <t>Cash taxes</t>
  </si>
  <si>
    <t>ND</t>
  </si>
  <si>
    <t>Net income (ex. MI)</t>
  </si>
  <si>
    <t>AFDUC / Other</t>
  </si>
  <si>
    <t>Average Net Debt/ TTM EBITDA</t>
  </si>
  <si>
    <t>Preferred stock dividends</t>
  </si>
  <si>
    <t>Net Income (for Validation)</t>
  </si>
  <si>
    <t>2017Q2</t>
  </si>
  <si>
    <t>59</t>
  </si>
  <si>
    <t>Research</t>
  </si>
  <si>
    <t>MSA35LCV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</si>
  <si>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</si>
  <si>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</si>
  <si>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</si>
  <si>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</si>
  <si>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</si>
  <si>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</si>
  <si>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</si>
  <si>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Tom Abrams</t>
  </si>
  <si>
    <t>Date: 23 Mar 2018</t>
  </si>
  <si>
    <t>Ticker: OKE.N</t>
  </si>
  <si>
    <t>Stock Rating: Equal-Weight</t>
  </si>
  <si>
    <t>Industry: Diversified Natural Gas</t>
  </si>
  <si>
    <t>Industry View: In-Line</t>
  </si>
  <si>
    <t>Price as of 23 Mar 2018: 57.33</t>
  </si>
  <si>
    <t>Target Price: 62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</si>
  <si>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</si>
  <si>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</si>
  <si>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</si>
  <si>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</si>
  <si>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Oneok Inc..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</si>
  <si>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</si>
  <si>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</si>
  <si>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</si>
  <si>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</si>
  <si>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</si>
  <si>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</si>
  <si>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</si>
  <si>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</si>
  <si>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</si>
  <si>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</si>
  <si>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</si>
  <si>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</si>
  <si>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</si>
  <si>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</si>
  <si>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</si>
  <si>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</si>
  <si>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</si>
  <si>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</si>
  <si>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</si>
  <si>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</si>
  <si>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</si>
  <si>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</si>
  <si>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</si>
  <si>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</si>
  <si>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</si>
  <si>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</si>
  <si>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</si>
  <si>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</si>
  <si>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</si>
  <si>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</si>
  <si>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</si>
  <si>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</si>
  <si>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</si>
  <si>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</si>
  <si>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</si>
  <si>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</si>
  <si>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</si>
  <si>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</si>
  <si>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</si>
  <si>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</si>
  <si>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</si>
  <si>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</si>
  <si>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</si>
  <si>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</si>
  <si>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</si>
  <si>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</si>
  <si>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</si>
  <si>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</si>
  <si>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</si>
  <si>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</si>
  <si>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</si>
  <si>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</si>
  <si>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</si>
  <si>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</si>
  <si>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</si>
  <si>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</si>
  <si>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</si>
  <si>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</si>
  <si>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</si>
  <si>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</si>
  <si>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</si>
  <si>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</si>
  <si>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</si>
  <si>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</si>
  <si>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</si>
  <si>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</si>
  <si>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</si>
  <si>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</si>
  <si>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</si>
  <si>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</si>
  <si>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</si>
  <si>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</si>
  <si>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</si>
  <si>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</si>
  <si>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</si>
  <si>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</si>
  <si>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</si>
  <si>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</si>
  <si>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</si>
  <si>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</si>
  <si>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</si>
  <si>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</si>
  <si>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</si>
  <si>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</si>
  <si>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</si>
  <si>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</si>
  <si>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</si>
  <si>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</si>
  <si>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</si>
  <si>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</si>
  <si>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</si>
  <si>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</si>
  <si>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</si>
  <si>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</si>
  <si>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</si>
  <si>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</si>
  <si>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</si>
  <si>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</si>
  <si>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</si>
  <si>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</si>
  <si>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</si>
  <si>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</si>
  <si>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</si>
  <si>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</si>
  <si>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</si>
  <si>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</si>
  <si>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</si>
  <si>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</si>
  <si>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</si>
  <si>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</si>
  <si>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</si>
  <si>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</si>
  <si>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</si>
  <si>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</si>
  <si>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</si>
  <si>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</si>
  <si>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</si>
  <si>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</si>
  <si>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</si>
  <si>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</si>
  <si>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</si>
  <si>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</si>
  <si>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</si>
  <si>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</si>
  <si>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</si>
  <si>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</si>
  <si>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</si>
  <si>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</si>
  <si>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</si>
  <si>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</si>
  <si>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</si>
  <si>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</si>
  <si>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</si>
  <si>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</si>
  <si>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</si>
  <si>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</si>
  <si>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</si>
  <si>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</si>
  <si>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</si>
  <si>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</si>
  <si>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</si>
  <si>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</si>
  <si>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</si>
  <si>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</si>
  <si>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</si>
  <si>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</si>
  <si>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</si>
  <si>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</si>
  <si>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</si>
  <si>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</si>
  <si>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</si>
  <si>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</si>
  <si>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</si>
  <si>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</si>
  <si>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</si>
  <si>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</si>
  <si>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</si>
  <si>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</si>
  <si>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</si>
  <si>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</si>
  <si>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</si>
  <si>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</si>
  <si>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</si>
  <si>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</si>
  <si>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</si>
  <si>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</si>
  <si>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</si>
  <si>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</si>
  <si>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</si>
  <si>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</si>
  <si>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</si>
  <si>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</si>
  <si>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</si>
  <si>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</si>
  <si>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</si>
  <si>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</si>
  <si>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Oneok Inc..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</si>
  <si>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</si>
  <si>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</si>
  <si>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</si>
  <si>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</si>
  <si>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</si>
  <si>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</si>
  <si>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</si>
  <si>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</si>
  <si>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</si>
  <si>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</si>
  <si>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</si>
  <si>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</si>
  <si>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</si>
  <si>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</si>
  <si>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</si>
  <si>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</si>
  <si>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</si>
  <si>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</si>
  <si>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</si>
  <si>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</si>
  <si>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</si>
  <si>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</si>
  <si>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</si>
  <si>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</si>
  <si>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</si>
  <si>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</si>
  <si>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</si>
  <si>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</si>
  <si>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</si>
  <si>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</si>
  <si>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</si>
  <si>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</si>
  <si>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</si>
  <si>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</si>
  <si>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</si>
  <si>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</si>
  <si>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</si>
  <si>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</si>
  <si>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</si>
  <si>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</si>
  <si>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</si>
  <si>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</si>
  <si>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</si>
  <si>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</si>
  <si>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</si>
  <si>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</si>
  <si>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</si>
  <si>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</si>
  <si>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</si>
  <si>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</si>
  <si>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</si>
  <si>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</si>
  <si>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</si>
  <si>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</si>
  <si>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</si>
  <si>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</si>
  <si>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</si>
  <si>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</si>
  <si>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</si>
  <si>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</si>
  <si>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</si>
  <si>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</si>
  <si>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</si>
  <si>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</si>
  <si>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</si>
  <si>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</si>
  <si>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</si>
  <si>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</si>
  <si>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Oneok Inc..</t>
  </si>
  <si>
    <t>Within the last 12 months, Morgan Stanley has provided or is providing investment banking services to,</t>
  </si>
  <si>
    <t>or has an investment banking client relationship with, the following company: Oneok Inc..</t>
  </si>
  <si>
    <t>Within the last 12 months, Morgan Stanley has received compensation for products and services other than</t>
  </si>
  <si>
    <t>investment banking services from Oneok Inc..</t>
  </si>
  <si>
    <t>In the next 3 months, Morgan Stanley expects to receive or intends to seek compensation for investment</t>
  </si>
  <si>
    <t>banking services from Oneok Inc..</t>
  </si>
  <si>
    <t>Within the last 12 months, Morgan Stanley has received compensation for investment banking services from</t>
  </si>
  <si>
    <t>Oneok Inc..</t>
  </si>
  <si>
    <t>Within the last 12 months, Morgan Stanley managed or co-managed a public offering (or 144A offering) of</t>
  </si>
  <si>
    <t>securities of Oneok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</si>
  <si>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</si>
  <si>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</si>
  <si>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</si>
  <si>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</si>
  <si>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</si>
  <si>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Tom Abrams.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</si>
  <si>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</si>
  <si>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</si>
  <si>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</si>
  <si>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</si>
  <si>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</si>
  <si>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</si>
  <si>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</si>
  <si>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</si>
  <si>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</si>
  <si>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</si>
  <si>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</si>
  <si>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</si>
  <si>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</si>
  <si>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</si>
  <si>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</si>
  <si>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</si>
  <si>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</si>
  <si>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</si>
  <si>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</si>
  <si>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</si>
  <si>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</si>
  <si>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</si>
  <si>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</si>
  <si>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</si>
  <si>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</si>
  <si>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</si>
  <si>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</si>
  <si>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</si>
  <si>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</si>
  <si>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</si>
  <si>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</si>
  <si>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</si>
  <si>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</si>
  <si>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</si>
  <si>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</si>
  <si>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</si>
  <si>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</si>
  <si>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</si>
  <si>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</si>
  <si>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</si>
  <si>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</si>
  <si>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</si>
  <si>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</si>
  <si>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</si>
  <si>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</si>
  <si>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</si>
  <si>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</si>
  <si>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</si>
  <si>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</si>
  <si>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</si>
  <si>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</si>
  <si>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</si>
  <si>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</si>
  <si>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</si>
  <si>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</si>
  <si>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</si>
  <si>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</si>
  <si>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</si>
  <si>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</si>
  <si>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</si>
  <si>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</si>
  <si>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</si>
  <si>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</si>
  <si>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</si>
  <si>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</si>
  <si>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</si>
  <si>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</si>
  <si>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</si>
  <si>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</si>
  <si>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</si>
  <si>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giacomat</t>
  </si>
  <si>
    <t>L:\ENERGY\Maresca\Models\OKEmdl.xlsm</t>
  </si>
  <si>
    <t>[BRO MSA]</t>
  </si>
  <si>
    <t>[PRODUCT MODEL]</t>
  </si>
  <si>
    <t>[EMAIL_ALERT YES]</t>
  </si>
  <si>
    <t>[DISCIPLINE Company]</t>
  </si>
  <si>
    <t>[SUPPRESSED NO]</t>
  </si>
  <si>
    <t>[DOCDAT 2018-03-23]</t>
  </si>
  <si>
    <t>[DOCTIME 08:10]</t>
  </si>
  <si>
    <t>[PSYM OKE.N(S&amp;P) (None)]</t>
  </si>
  <si>
    <t>[COU 1]</t>
  </si>
  <si>
    <t>[ANA ]</t>
  </si>
  <si>
    <t>[HL OKE.N Model]</t>
  </si>
  <si>
    <t>[IND ]</t>
  </si>
  <si>
    <t>[PANA MSA35LCV]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</si>
</sst>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5" formatCode="_(* #,##0_);_(* \(#,##0\);_(* &quot;-&quot;??_);_(@_)"/>
    <numFmt numFmtId="166" formatCode="_(* #,##0.0_);_(* \(#,##0.0\);_(* &quot;-&quot;?_);_(@_)"/>
    <numFmt numFmtId="167" formatCode="&quot;$&quot;#,##0.00"/>
    <numFmt numFmtId="169" formatCode="#,##0.0_);\(#,##0.0\)"/>
    <numFmt numFmtId="170" formatCode="0.0%"/>
    <numFmt numFmtId="172" formatCode="0.0"/>
    <numFmt numFmtId="173" formatCode="_(* #,##0.0_);_(* \(#,##0.0\);_(* &quot;-&quot;_);_(@_)"/>
    <numFmt numFmtId="174" formatCode="_(* #,##0.00_);_(* \(#,##0.00\);_(* &quot;-&quot;_);_(@_)"/>
    <numFmt numFmtId="175" formatCode="_(* #,##0.0_);_(* \(#,##0.0\);_(* &quot;-&quot;??_);_(@_)"/>
    <numFmt numFmtId="182" formatCode="&quot;$&quot;#,##0.0"/>
    <numFmt numFmtId="184" formatCode="_(* #,##0_)&quot; e&quot;;_(* \(#,##0\)&quot; e&quot;;_(* &quot;-&quot;_);_(@_)"/>
    <numFmt numFmtId="185" formatCode="#,##0.0&quot;x&quot;"/>
    <numFmt numFmtId="186" formatCode="_(* #,##0_)&quot;&quot;;_(* \(#,##0\)&quot;&quot;;_(* &quot;-&quot;_);_(@_)"/>
    <numFmt numFmtId="187" formatCode="#,##0&quot; e&quot;;\(#,##0\)&quot; e&quot;"/>
    <numFmt numFmtId="188" formatCode="#,##0&quot;&quot;;\(#,##0\)&quot;&quot;"/>
    <numFmt numFmtId="189" formatCode="&quot;$&quot;#,##0.000_);\(&quot;$&quot;#,##0.000\)"/>
    <numFmt numFmtId="190" formatCode="&quot;$&quot;#,##0.0000"/>
    <numFmt numFmtId="191" formatCode="0.00\x"/>
    <numFmt numFmtId="192" formatCode="_(* #,##0.000_);_(* \(#,##0.000\);_(* &quot;-&quot;_);_(@_)"/>
    <numFmt numFmtId="212" formatCode="#,##0.00\x"/>
    <numFmt numFmtId="213" formatCode="&quot;$&quot;#,##0.0000_);\(&quot;$&quot;#,##0.0000\)"/>
    <numFmt numFmtId="214" formatCode="_(&quot;$&quot;* #,##0_);_(&quot;$&quot;* \(#,##0\);_(&quot;$&quot;* &quot;-&quot;??_);_(@_)"/>
    <numFmt numFmtId="216" formatCode="&quot;$&quot;#,##0.0;\(&quot;$&quot;#,##0.0\)"/>
    <numFmt numFmtId="217" formatCode="\£\ #,##0_);[Red]\(\£\ #,##0\)"/>
    <numFmt numFmtId="218" formatCode="\¥\ #,##0_);[Red]\(\¥\ #,##0\)"/>
    <numFmt numFmtId="219" formatCode="0.0%;[Red]\(0.0%\)"/>
    <numFmt numFmtId="220" formatCode="_(* #,##0.0_);_(* \(#,##0.0\);_(* &quot;--- &quot;_)"/>
    <numFmt numFmtId="221" formatCode="#,##0.0\ \ \ _);\(#,##0.0\)\ \ "/>
    <numFmt numFmtId="222" formatCode="_-* #,##0.00\ _F_-;\-* #,##0.00\ _F_-;_-* &quot;-&quot;??\ _F_-;_-@_-"/>
    <numFmt numFmtId="223" formatCode="&quot;£&quot;#,##0.00_);[Red]\(&quot;£&quot;#,##0.00\)"/>
    <numFmt numFmtId="224" formatCode="\•\ \ @"/>
    <numFmt numFmtId="225" formatCode="[Red][&gt;0.0000001]\+#,##0.?#;[Red][&lt;-0.0000001]\-#,##0.?#;[Green]&quot;=  &quot;"/>
    <numFmt numFmtId="226" formatCode="0.000_)"/>
    <numFmt numFmtId="227" formatCode="_(\§\ #,##0_)\ ;[Red]\(\§\ #,##0\)\ ;&quot; - &quot;;_(@\ _)"/>
    <numFmt numFmtId="228" formatCode="_(\§\ #,##0.00_);[Red]\(\§\ #,##0.00\);&quot; - &quot;_0_0;_(@_)"/>
    <numFmt numFmtId="229" formatCode="\ \ _•\–\ \ \ \ @"/>
    <numFmt numFmtId="230" formatCode="0.0%;[Red]\-0.0%;&quot;-- &quot;_%;_-@_%"/>
    <numFmt numFmtId="231" formatCode="m/d/yy\ h:mm"/>
    <numFmt numFmtId="232" formatCode="#,##0.0;\(###0.0\)"/>
    <numFmt numFmtId="233" formatCode="&quot;$&quot;\ \ #,##0.00_);[Red]\(&quot;$&quot;#,##0.00\)"/>
    <numFmt numFmtId="234" formatCode="mmm\-yyyy"/>
    <numFmt numFmtId="235" formatCode="0.00_)"/>
    <numFmt numFmtId="236" formatCode="&quot;$&quot;\ \ #,##0.0_);[Red]\(&quot;$&quot;#,##0.0\)"/>
    <numFmt numFmtId="237" formatCode="0.00;\-0.00;0.00"/>
    <numFmt numFmtId="238" formatCode="#,##0.00_);[Red]\(#,##0.00\)\ &quot;x&quot;"/>
    <numFmt numFmtId="239" formatCode="0.00000000000000000%"/>
    <numFmt numFmtId="240" formatCode="##0.00000"/>
    <numFmt numFmtId="241" formatCode="General;\-General;General;"/>
    <numFmt numFmtId="242" formatCode="mmm\ dd\,\ yyyy"/>
    <numFmt numFmtId="243" formatCode="yyyy"/>
    <numFmt numFmtId="244" formatCode="[White]General"/>
    <numFmt numFmtId="245" formatCode="_(General_)"/>
    <numFmt numFmtId="246" formatCode="#,##0.0;\(#,##0.0\)"/>
    <numFmt numFmtId="247" formatCode="0.00\ "/>
    <numFmt numFmtId="257" formatCode="mm/dd/yy\ hh:mm"/>
  </numFmts>
  <fonts count="139">
    <font>
      <sz val="10"/>
      <color indexed="8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GillSans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8"/>
      <color indexed="18"/>
      <name val="Arial"/>
      <family val="2"/>
    </font>
    <font>
      <b/>
      <sz val="8"/>
      <color indexed="18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8"/>
      <color indexed="12"/>
      <name val="Helvetica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name val="Arial"/>
      <family val="2"/>
    </font>
    <font>
      <i/>
      <sz val="8"/>
      <color indexed="10"/>
      <name val="Arial"/>
      <family val="2"/>
    </font>
    <font>
      <i/>
      <sz val="8"/>
      <color indexed="10"/>
      <name val="Arial"/>
      <family val="2"/>
    </font>
    <font>
      <sz val="10"/>
      <name val="MS Sans Serif"/>
      <family val="2"/>
    </font>
    <font>
      <sz val="9"/>
      <name val="Times New Roman"/>
      <family val="1"/>
    </font>
    <font>
      <b/>
      <sz val="9"/>
      <name val="Arial"/>
      <family val="2"/>
    </font>
    <font>
      <sz val="10"/>
      <color indexed="8"/>
      <name val="Times New Roman"/>
      <family val="1"/>
    </font>
    <font>
      <i/>
      <sz val="8"/>
      <name val="Arial"/>
      <family val="2"/>
    </font>
    <font>
      <b/>
      <sz val="10"/>
      <color indexed="8"/>
      <name val="Times New Roman"/>
      <family val="1"/>
    </font>
    <font>
      <sz val="8"/>
      <name val="Times New Roman"/>
      <family val="1"/>
    </font>
    <font>
      <b/>
      <sz val="12"/>
      <name val="Arial"/>
      <family val="2"/>
    </font>
    <font>
      <sz val="8"/>
      <color indexed="10"/>
      <name val="Arial"/>
      <family val="2"/>
    </font>
    <font>
      <i/>
      <sz val="8"/>
      <name val="Times New Roman"/>
      <family val="1"/>
    </font>
    <font>
      <b/>
      <sz val="8"/>
      <color indexed="8"/>
      <name val="Arial"/>
      <family val="2"/>
    </font>
    <font>
      <i/>
      <sz val="8"/>
      <color indexed="12"/>
      <name val="Arial"/>
      <family val="2"/>
    </font>
    <font>
      <sz val="8"/>
      <color indexed="22"/>
      <name val="Arial"/>
      <family val="2"/>
    </font>
    <font>
      <i/>
      <sz val="8"/>
      <color indexed="8"/>
      <name val="Arial"/>
      <family val="2"/>
    </font>
    <font>
      <sz val="10"/>
      <name val="Helv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i/>
      <sz val="8"/>
      <name val="Arial"/>
      <family val="2"/>
    </font>
    <font>
      <i/>
      <sz val="8"/>
      <color indexed="18"/>
      <name val="Arial"/>
      <family val="2"/>
    </font>
    <font>
      <i/>
      <sz val="8"/>
      <color indexed="8"/>
      <name val="Arial"/>
      <family val="2"/>
    </font>
    <font>
      <sz val="8"/>
      <color indexed="58"/>
      <name val="Arial"/>
      <family val="2"/>
    </font>
    <font>
      <b/>
      <sz val="8"/>
      <color indexed="5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0"/>
      <color indexed="8"/>
      <name val="Arial"/>
      <family val="2"/>
    </font>
    <font>
      <b/>
      <sz val="8"/>
      <color indexed="21"/>
      <name val="Arial"/>
      <family val="2"/>
    </font>
    <font>
      <i/>
      <sz val="8"/>
      <color indexed="21"/>
      <name val="Arial"/>
      <family val="2"/>
    </font>
    <font>
      <sz val="8"/>
      <color indexed="21"/>
      <name val="Arial"/>
      <family val="2"/>
    </font>
    <font>
      <b/>
      <sz val="11"/>
      <name val="GillSans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18"/>
      <name val="Arial"/>
      <family val="2"/>
    </font>
    <font>
      <sz val="8"/>
      <name val="Times"/>
      <family val="1"/>
    </font>
    <font>
      <sz val="12"/>
      <name val="바탕체"/>
      <family val="3"/>
      <charset val="129"/>
    </font>
    <font>
      <sz val="12"/>
      <name val="바탕체"/>
      <family val="3"/>
    </font>
    <font>
      <sz val="10"/>
      <color theme="1"/>
      <name val="Segoe UI"/>
      <family val="2"/>
    </font>
    <font>
      <sz val="8"/>
      <color rgb="FF0000FF"/>
      <name val="Arial"/>
      <family val="2"/>
    </font>
    <font>
      <b/>
      <sz val="8"/>
      <color rgb="FF0000FF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  <font>
      <i/>
      <sz val="8"/>
      <color theme="0"/>
      <name val="Arial"/>
      <family val="2"/>
    </font>
    <font>
      <i/>
      <sz val="10"/>
      <color theme="0"/>
      <name val="Arial"/>
      <family val="2"/>
    </font>
    <font>
      <i/>
      <sz val="8"/>
      <color rgb="FFFF0000"/>
      <name val="Arial"/>
      <family val="2"/>
    </font>
    <font>
      <sz val="10"/>
      <color indexed="8"/>
      <name val="Segoe UI"/>
      <family val="2"/>
    </font>
    <font>
      <i/>
      <sz val="8"/>
      <color rgb="FF0000FF"/>
      <name val="Arial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10"/>
      <name val="Arial Narrow"/>
      <family val="2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sz val="8"/>
      <color indexed="8"/>
      <name val="Calibri"/>
      <family val="2"/>
    </font>
    <font>
      <i/>
      <sz val="9"/>
      <name val="MS Sans Serif"/>
      <family val="2"/>
    </font>
    <font>
      <sz val="24"/>
      <name val="Arial"/>
      <family val="2"/>
    </font>
    <font>
      <b/>
      <sz val="11"/>
      <name val="Times New Roman"/>
      <family val="1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Tahoma"/>
      <family val="2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name val="Tahoma"/>
      <family val="2"/>
    </font>
    <font>
      <sz val="10"/>
      <color indexed="12"/>
      <name val="Times New Roman"/>
      <family val="1"/>
    </font>
    <font>
      <sz val="8"/>
      <name val="Arial Narrow"/>
      <family val="2"/>
    </font>
    <font>
      <sz val="10"/>
      <name val="GillSans Light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7"/>
      <name val="Small Fonts"/>
      <family val="2"/>
    </font>
    <font>
      <sz val="8"/>
      <color indexed="23"/>
      <name val="Arial Narrow"/>
      <family val="2"/>
    </font>
    <font>
      <b/>
      <i/>
      <sz val="16"/>
      <name val="Helv"/>
    </font>
    <font>
      <sz val="10"/>
      <color theme="1"/>
      <name val="Verdana"/>
      <family val="2"/>
    </font>
    <font>
      <b/>
      <sz val="12"/>
      <name val="Tms Rmn"/>
    </font>
    <font>
      <b/>
      <sz val="13.5"/>
      <name val="MS Sans Serif"/>
      <family val="2"/>
    </font>
    <font>
      <sz val="10"/>
      <name val="Frutiger 45 Light"/>
      <family val="2"/>
    </font>
    <font>
      <sz val="8"/>
      <color indexed="32"/>
      <name val="Arial"/>
      <family val="2"/>
    </font>
    <font>
      <sz val="10"/>
      <color indexed="23"/>
      <name val="MS Sans Serif"/>
      <family val="2"/>
    </font>
    <font>
      <b/>
      <sz val="10"/>
      <name val="Arial Narrow"/>
      <family val="2"/>
    </font>
    <font>
      <sz val="10"/>
      <color indexed="9"/>
      <name val="Arial Narrow"/>
      <family val="2"/>
    </font>
    <font>
      <b/>
      <sz val="11"/>
      <color indexed="9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6"/>
      <name val="WarburgLogo"/>
      <family val="1"/>
    </font>
    <font>
      <b/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32"/>
        <bgColor indexed="64"/>
      </patternFill>
    </fill>
    <fill>
      <patternFill patternType="lightGray">
        <fgColor indexed="12"/>
      </patternFill>
    </fill>
    <fill>
      <patternFill patternType="solid">
        <fgColor indexed="35"/>
        <bgColor indexed="64"/>
      </patternFill>
    </fill>
    <fill>
      <patternFill patternType="solid">
        <fgColor indexed="48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12"/>
      </patternFill>
    </fill>
    <fill>
      <patternFill patternType="solid">
        <fgColor indexed="38"/>
      </patternFill>
    </fill>
    <fill>
      <patternFill patternType="mediumGray"/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65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39"/>
      </top>
      <bottom/>
      <diagonal/>
    </border>
    <border>
      <left style="medium">
        <color indexed="39"/>
      </left>
      <right/>
      <top style="medium">
        <color indexed="39"/>
      </top>
      <bottom/>
      <diagonal/>
    </border>
    <border>
      <left/>
      <right/>
      <top/>
      <bottom style="medium">
        <color indexed="39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31">
    <xf numFmtId="0" fontId="0" fillId="0" borderId="0" applyNumberFormat="0" applyFont="0" applyFill="0" applyBorder="0" applyAlignment="0" applyProtection="0"/>
    <xf numFmtId="0" fontId="69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73" fillId="0" borderId="0" applyNumberFormat="0" applyFont="0" applyFill="0" applyBorder="0" applyAlignment="0" applyProtection="0"/>
    <xf numFmtId="0" fontId="73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0" fontId="38" fillId="0" borderId="0"/>
    <xf numFmtId="0" fontId="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6" fillId="2" borderId="0" applyNumberFormat="0" applyBorder="0" applyAlignment="0" applyProtection="0"/>
    <xf numFmtId="0" fontId="46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2" borderId="0" applyNumberFormat="0" applyBorder="0" applyAlignment="0" applyProtection="0"/>
    <xf numFmtId="0" fontId="46" fillId="5" borderId="0" applyNumberFormat="0" applyBorder="0" applyAlignment="0" applyProtection="0"/>
    <xf numFmtId="0" fontId="46" fillId="4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6" borderId="0" applyNumberFormat="0" applyBorder="0" applyAlignment="0" applyProtection="0"/>
    <xf numFmtId="0" fontId="46" fillId="7" borderId="0" applyNumberFormat="0" applyBorder="0" applyAlignment="0" applyProtection="0"/>
    <xf numFmtId="0" fontId="46" fillId="4" borderId="0" applyNumberFormat="0" applyBorder="0" applyAlignment="0" applyProtection="0"/>
    <xf numFmtId="0" fontId="47" fillId="8" borderId="0" applyNumberFormat="0" applyBorder="0" applyAlignment="0" applyProtection="0"/>
    <xf numFmtId="0" fontId="47" fillId="3" borderId="0" applyNumberFormat="0" applyBorder="0" applyAlignment="0" applyProtection="0"/>
    <xf numFmtId="0" fontId="47" fillId="9" borderId="0" applyNumberFormat="0" applyBorder="0" applyAlignment="0" applyProtection="0"/>
    <xf numFmtId="0" fontId="47" fillId="6" borderId="0" applyNumberFormat="0" applyBorder="0" applyAlignment="0" applyProtection="0"/>
    <xf numFmtId="0" fontId="47" fillId="8" borderId="0" applyNumberFormat="0" applyBorder="0" applyAlignment="0" applyProtection="0"/>
    <xf numFmtId="0" fontId="47" fillId="4" borderId="0" applyNumberFormat="0" applyBorder="0" applyAlignment="0" applyProtection="0"/>
    <xf numFmtId="0" fontId="47" fillId="8" borderId="0" applyNumberFormat="0" applyBorder="0" applyAlignment="0" applyProtection="0"/>
    <xf numFmtId="0" fontId="47" fillId="3" borderId="0" applyNumberFormat="0" applyBorder="0" applyAlignment="0" applyProtection="0"/>
    <xf numFmtId="0" fontId="47" fillId="9" borderId="0" applyNumberFormat="0" applyBorder="0" applyAlignment="0" applyProtection="0"/>
    <xf numFmtId="0" fontId="47" fillId="10" borderId="0" applyNumberFormat="0" applyBorder="0" applyAlignment="0" applyProtection="0"/>
    <xf numFmtId="0" fontId="47" fillId="8" borderId="0" applyNumberFormat="0" applyBorder="0" applyAlignment="0" applyProtection="0"/>
    <xf numFmtId="0" fontId="47" fillId="3" borderId="0" applyNumberFormat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48" fillId="11" borderId="0" applyNumberFormat="0" applyBorder="0" applyAlignment="0" applyProtection="0"/>
    <xf numFmtId="0" fontId="29" fillId="0" borderId="0"/>
    <xf numFmtId="0" fontId="2" fillId="0" borderId="0"/>
    <xf numFmtId="0" fontId="2" fillId="0" borderId="0"/>
    <xf numFmtId="0" fontId="49" fillId="12" borderId="1" applyNumberFormat="0" applyAlignment="0" applyProtection="0"/>
    <xf numFmtId="0" fontId="50" fillId="13" borderId="2" applyNumberFormat="0" applyAlignment="0" applyProtection="0"/>
    <xf numFmtId="43" fontId="2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6" fillId="0" borderId="0" applyFont="0" applyFill="0" applyBorder="0" applyAlignment="0" applyProtection="0"/>
    <xf numFmtId="40" fontId="24" fillId="0" borderId="0" applyFont="0" applyFill="0" applyBorder="0" applyAlignment="0" applyProtection="0"/>
    <xf numFmtId="44" fontId="76" fillId="0" borderId="0" applyFont="0" applyFill="0" applyBorder="0" applyAlignment="0" applyProtection="0"/>
    <xf numFmtId="44" fontId="76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14" borderId="0" applyNumberFormat="0" applyBorder="0" applyAlignment="0" applyProtection="0"/>
    <xf numFmtId="0" fontId="53" fillId="0" borderId="3" applyNumberFormat="0" applyFill="0" applyAlignment="0" applyProtection="0"/>
    <xf numFmtId="0" fontId="54" fillId="0" borderId="4" applyNumberFormat="0" applyFill="0" applyAlignment="0" applyProtection="0"/>
    <xf numFmtId="0" fontId="55" fillId="0" borderId="5" applyNumberFormat="0" applyFill="0" applyAlignment="0" applyProtection="0"/>
    <xf numFmtId="0" fontId="55" fillId="0" borderId="0" applyNumberFormat="0" applyFill="0" applyBorder="0" applyAlignment="0" applyProtection="0"/>
    <xf numFmtId="0" fontId="56" fillId="4" borderId="1" applyNumberFormat="0" applyAlignment="0" applyProtection="0"/>
    <xf numFmtId="0" fontId="57" fillId="0" borderId="6" applyNumberFormat="0" applyFill="0" applyAlignment="0" applyProtection="0"/>
    <xf numFmtId="0" fontId="58" fillId="4" borderId="0" applyNumberFormat="0" applyBorder="0" applyAlignment="0" applyProtection="0"/>
    <xf numFmtId="0" fontId="2" fillId="0" borderId="0"/>
    <xf numFmtId="0" fontId="76" fillId="0" borderId="0"/>
    <xf numFmtId="0" fontId="76" fillId="0" borderId="0"/>
    <xf numFmtId="0" fontId="76" fillId="0" borderId="0"/>
    <xf numFmtId="0" fontId="3" fillId="0" borderId="0"/>
    <xf numFmtId="0" fontId="2" fillId="4" borderId="7" applyNumberFormat="0" applyFont="0" applyAlignment="0" applyProtection="0"/>
    <xf numFmtId="0" fontId="59" fillId="12" borderId="8" applyNumberFormat="0" applyAlignment="0" applyProtection="0"/>
    <xf numFmtId="0" fontId="25" fillId="0" borderId="0">
      <alignment vertical="center"/>
    </xf>
    <xf numFmtId="9" fontId="2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" fillId="15" borderId="0" applyNumberFormat="0" applyFont="0" applyBorder="0" applyAlignment="0" applyProtection="0"/>
    <xf numFmtId="0" fontId="2" fillId="15" borderId="0" applyNumberFormat="0" applyFont="0" applyBorder="0" applyAlignment="0" applyProtection="0"/>
    <xf numFmtId="0" fontId="27" fillId="0" borderId="0"/>
    <xf numFmtId="0" fontId="27" fillId="0" borderId="9">
      <alignment horizontal="centerContinuous"/>
    </xf>
    <xf numFmtId="0" fontId="33" fillId="0" borderId="9"/>
    <xf numFmtId="0" fontId="4" fillId="0" borderId="0" applyNumberFormat="0" applyFill="0" applyBorder="0" applyProtection="0">
      <alignment horizontal="left" vertical="center"/>
    </xf>
    <xf numFmtId="0" fontId="4" fillId="0" borderId="10" applyNumberFormat="0" applyFill="0" applyProtection="0">
      <alignment horizontal="left" vertical="center"/>
    </xf>
    <xf numFmtId="0" fontId="60" fillId="0" borderId="0" applyNumberFormat="0" applyFill="0" applyBorder="0" applyAlignment="0" applyProtection="0"/>
    <xf numFmtId="0" fontId="67" fillId="1" borderId="0" applyNumberFormat="0" applyBorder="0" applyProtection="0">
      <alignment horizontal="left" vertical="center"/>
    </xf>
    <xf numFmtId="0" fontId="61" fillId="0" borderId="11" applyNumberFormat="0" applyFill="0" applyAlignment="0" applyProtection="0"/>
    <xf numFmtId="0" fontId="62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/>
    <xf numFmtId="0" fontId="76" fillId="0" borderId="0"/>
    <xf numFmtId="44" fontId="84" fillId="0" borderId="0" applyFont="0" applyFill="0" applyBorder="0" applyAlignment="0" applyProtection="0"/>
    <xf numFmtId="43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 applyNumberFormat="0" applyFont="0" applyFill="0" applyBorder="0" applyAlignment="0" applyProtection="0"/>
    <xf numFmtId="9" fontId="19" fillId="0" borderId="0">
      <alignment horizontal="right"/>
    </xf>
    <xf numFmtId="0" fontId="3" fillId="0" borderId="0" applyNumberFormat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36" fillId="0" borderId="0"/>
    <xf numFmtId="216" fontId="86" fillId="0" borderId="0">
      <alignment horizontal="right"/>
    </xf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44" fontId="87" fillId="0" borderId="0" applyFont="0" applyFill="0" applyBorder="0" applyAlignment="0" applyProtection="0"/>
    <xf numFmtId="42" fontId="87" fillId="0" borderId="0" applyFont="0" applyFill="0" applyBorder="0" applyAlignment="0" applyProtection="0"/>
    <xf numFmtId="217" fontId="88" fillId="0" borderId="0" applyFont="0" applyFill="0" applyBorder="0" applyAlignment="0" applyProtection="0"/>
    <xf numFmtId="218" fontId="88" fillId="0" borderId="0" applyFont="0" applyFill="0" applyBorder="0" applyAlignment="0" applyProtection="0"/>
    <xf numFmtId="0" fontId="2" fillId="0" borderId="0"/>
    <xf numFmtId="0" fontId="89" fillId="0" borderId="0"/>
    <xf numFmtId="0" fontId="87" fillId="0" borderId="0"/>
    <xf numFmtId="0" fontId="24" fillId="0" borderId="0"/>
    <xf numFmtId="9" fontId="2" fillId="0" borderId="0"/>
    <xf numFmtId="0" fontId="24" fillId="0" borderId="0"/>
    <xf numFmtId="0" fontId="24" fillId="0" borderId="0"/>
    <xf numFmtId="0" fontId="24" fillId="0" borderId="0"/>
    <xf numFmtId="2" fontId="24" fillId="0" borderId="0"/>
    <xf numFmtId="1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9" fontId="2" fillId="0" borderId="0"/>
    <xf numFmtId="37" fontId="90" fillId="0" borderId="0">
      <alignment horizontal="center"/>
    </xf>
    <xf numFmtId="219" fontId="2" fillId="0" borderId="19">
      <alignment horizontal="right"/>
    </xf>
    <xf numFmtId="220" fontId="91" fillId="0" borderId="0" applyFont="0" applyFill="0" applyBorder="0" applyAlignment="0" applyProtection="0"/>
    <xf numFmtId="221" fontId="92" fillId="0" borderId="19">
      <alignment horizontal="right"/>
    </xf>
    <xf numFmtId="221" fontId="92" fillId="0" borderId="19" applyFill="0">
      <alignment horizontal="right"/>
    </xf>
    <xf numFmtId="3" fontId="2" fillId="0" borderId="19" applyFill="0">
      <alignment horizontal="right"/>
    </xf>
    <xf numFmtId="222" fontId="92" fillId="0" borderId="19" applyFill="0">
      <alignment horizontal="right"/>
    </xf>
    <xf numFmtId="3" fontId="30" fillId="0" borderId="19" applyFill="0">
      <alignment horizontal="right"/>
    </xf>
    <xf numFmtId="0" fontId="2" fillId="0" borderId="0"/>
    <xf numFmtId="164" fontId="93" fillId="0" borderId="0">
      <alignment horizontal="left"/>
    </xf>
    <xf numFmtId="223" fontId="2" fillId="0" borderId="19">
      <alignment horizontal="right"/>
      <protection locked="0"/>
    </xf>
    <xf numFmtId="6" fontId="92" fillId="0" borderId="19" applyNumberFormat="0" applyFont="0" applyBorder="0" applyProtection="0">
      <alignment horizontal="right"/>
    </xf>
    <xf numFmtId="1" fontId="94" fillId="28" borderId="12" applyNumberFormat="0" applyBorder="0" applyAlignment="0">
      <alignment horizontal="center" vertical="top" wrapText="1"/>
      <protection hidden="1"/>
    </xf>
    <xf numFmtId="0" fontId="95" fillId="0" borderId="0" applyNumberFormat="0" applyFill="0" applyBorder="0" applyAlignment="0" applyProtection="0"/>
    <xf numFmtId="0" fontId="96" fillId="0" borderId="13" applyNumberFormat="0" applyFill="0" applyAlignment="0" applyProtection="0"/>
    <xf numFmtId="224" fontId="88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86" fillId="0" borderId="0">
      <alignment horizontal="right"/>
    </xf>
    <xf numFmtId="1" fontId="97" fillId="0" borderId="0"/>
    <xf numFmtId="225" fontId="2" fillId="0" borderId="0" applyFont="0" applyFill="0" applyBorder="0" applyProtection="0">
      <alignment horizontal="center" vertical="center"/>
    </xf>
    <xf numFmtId="0" fontId="98" fillId="0" borderId="13" applyNumberFormat="0" applyFill="0" applyProtection="0">
      <alignment horizontal="left" vertical="center"/>
    </xf>
    <xf numFmtId="0" fontId="2" fillId="0" borderId="0">
      <alignment horizontal="center" wrapText="1"/>
      <protection hidden="1"/>
    </xf>
    <xf numFmtId="172" fontId="5" fillId="0" borderId="0" applyBorder="0">
      <alignment horizontal="right"/>
    </xf>
    <xf numFmtId="172" fontId="5" fillId="0" borderId="22" applyAlignment="0">
      <alignment horizontal="right"/>
    </xf>
    <xf numFmtId="226" fontId="99" fillId="0" borderId="0"/>
    <xf numFmtId="226" fontId="99" fillId="0" borderId="0"/>
    <xf numFmtId="226" fontId="99" fillId="0" borderId="0"/>
    <xf numFmtId="226" fontId="99" fillId="0" borderId="0"/>
    <xf numFmtId="226" fontId="99" fillId="0" borderId="0"/>
    <xf numFmtId="226" fontId="99" fillId="0" borderId="0"/>
    <xf numFmtId="226" fontId="99" fillId="0" borderId="0"/>
    <xf numFmtId="226" fontId="99" fillId="0" borderId="0"/>
    <xf numFmtId="43" fontId="10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1" fillId="0" borderId="0"/>
    <xf numFmtId="0" fontId="102" fillId="29" borderId="0">
      <alignment horizontal="center" vertical="center" wrapText="1"/>
    </xf>
    <xf numFmtId="0" fontId="103" fillId="0" borderId="0" applyFill="0" applyBorder="0">
      <alignment horizontal="left"/>
    </xf>
    <xf numFmtId="175" fontId="87" fillId="0" borderId="0" applyFill="0" applyBorder="0">
      <alignment horizontal="right"/>
      <protection locked="0"/>
    </xf>
    <xf numFmtId="44" fontId="2" fillId="0" borderId="0" applyFont="0" applyFill="0" applyBorder="0" applyAlignment="0" applyProtection="0"/>
    <xf numFmtId="44" fontId="3" fillId="0" borderId="0" applyFont="0" applyFill="0" applyBorder="0" applyAlignment="0" applyProtection="0"/>
    <xf numFmtId="227" fontId="92" fillId="0" borderId="0" applyFont="0" applyFill="0" applyBorder="0" applyAlignment="0" applyProtection="0">
      <alignment vertical="center"/>
    </xf>
    <xf numFmtId="228" fontId="92" fillId="0" borderId="0" applyFont="0" applyFill="0" applyBorder="0" applyAlignment="0" applyProtection="0">
      <alignment vertical="center"/>
    </xf>
    <xf numFmtId="0" fontId="24" fillId="0" borderId="0" applyFont="0" applyFill="0" applyBorder="0" applyAlignment="0">
      <protection locked="0"/>
    </xf>
    <xf numFmtId="229" fontId="88" fillId="0" borderId="0" applyFont="0" applyFill="0" applyBorder="0" applyAlignment="0" applyProtection="0"/>
    <xf numFmtId="230" fontId="92" fillId="17" borderId="0" applyFont="0" applyFill="0" applyBorder="0" applyAlignment="0" applyProtection="0">
      <alignment vertical="center"/>
    </xf>
    <xf numFmtId="14" fontId="10" fillId="0" borderId="10" applyFont="0">
      <alignment horizontal="right"/>
    </xf>
    <xf numFmtId="0" fontId="87" fillId="0" borderId="0"/>
    <xf numFmtId="231" fontId="2" fillId="0" borderId="0" applyFont="0" applyFill="0" applyBorder="0" applyAlignment="0" applyProtection="0">
      <alignment wrapText="1"/>
    </xf>
    <xf numFmtId="0" fontId="30" fillId="0" borderId="0"/>
    <xf numFmtId="232" fontId="86" fillId="0" borderId="0">
      <alignment horizontal="right"/>
    </xf>
    <xf numFmtId="0" fontId="86" fillId="0" borderId="0"/>
    <xf numFmtId="5" fontId="40" fillId="0" borderId="0" applyFont="0" applyFill="0" applyBorder="0" applyAlignment="0" applyProtection="0">
      <protection locked="0"/>
    </xf>
    <xf numFmtId="0" fontId="104" fillId="0" borderId="0"/>
    <xf numFmtId="1" fontId="105" fillId="30" borderId="24" applyNumberFormat="0" applyBorder="0" applyAlignment="0">
      <alignment horizontal="centerContinuous" vertical="center"/>
      <protection locked="0"/>
    </xf>
    <xf numFmtId="0" fontId="106" fillId="31" borderId="0"/>
    <xf numFmtId="0" fontId="86" fillId="0" borderId="0"/>
    <xf numFmtId="0" fontId="107" fillId="0" borderId="0" applyNumberFormat="0" applyFill="0" applyBorder="0" applyProtection="0">
      <alignment horizontal="left" vertical="center"/>
    </xf>
    <xf numFmtId="49" fontId="3" fillId="0" borderId="0" applyFill="0" applyBorder="0"/>
    <xf numFmtId="49" fontId="2" fillId="0" borderId="0"/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0" fontId="108" fillId="0" borderId="0"/>
    <xf numFmtId="38" fontId="3" fillId="16" borderId="0" applyNumberFormat="0" applyBorder="0" applyAlignment="0" applyProtection="0"/>
    <xf numFmtId="170" fontId="2" fillId="20" borderId="21" applyNumberFormat="0" applyFont="0" applyBorder="0" applyAlignment="0" applyProtection="0"/>
    <xf numFmtId="169" fontId="109" fillId="20" borderId="0" applyNumberFormat="0" applyFont="0" applyAlignment="0"/>
    <xf numFmtId="0" fontId="31" fillId="0" borderId="23" applyNumberFormat="0" applyAlignment="0" applyProtection="0">
      <alignment horizontal="left" vertical="center"/>
    </xf>
    <xf numFmtId="0" fontId="31" fillId="0" borderId="10">
      <alignment horizontal="left" vertical="center"/>
    </xf>
    <xf numFmtId="0" fontId="110" fillId="0" borderId="0">
      <alignment wrapText="1"/>
    </xf>
    <xf numFmtId="0" fontId="2" fillId="0" borderId="0" applyNumberFormat="0" applyFill="0" applyBorder="0" applyAlignment="0" applyProtection="0">
      <alignment vertical="top"/>
      <protection locked="0"/>
    </xf>
    <xf numFmtId="10" fontId="3" fillId="32" borderId="21" applyNumberFormat="0" applyBorder="0" applyAlignment="0" applyProtection="0"/>
    <xf numFmtId="0" fontId="111" fillId="0" borderId="0" applyNumberFormat="0" applyFill="0" applyBorder="0" applyAlignment="0">
      <protection locked="0"/>
    </xf>
    <xf numFmtId="0" fontId="112" fillId="4" borderId="0" applyNumberFormat="0" applyFont="0" applyBorder="0" applyAlignment="0">
      <alignment horizontal="right" vertical="top"/>
      <protection locked="0"/>
    </xf>
    <xf numFmtId="0" fontId="112" fillId="4" borderId="0" applyNumberFormat="0" applyFont="0" applyBorder="0" applyAlignment="0">
      <alignment horizontal="right" vertical="top"/>
      <protection locked="0"/>
    </xf>
    <xf numFmtId="0" fontId="86" fillId="0" borderId="0"/>
    <xf numFmtId="233" fontId="87" fillId="0" borderId="0" applyFill="0" applyBorder="0">
      <alignment horizontal="right"/>
      <protection locked="0"/>
    </xf>
    <xf numFmtId="0" fontId="10" fillId="19" borderId="27">
      <alignment horizontal="left" vertical="center" wrapText="1"/>
    </xf>
    <xf numFmtId="0" fontId="113" fillId="0" borderId="0" applyNumberFormat="0" applyFill="0" applyBorder="0" applyProtection="0">
      <alignment horizontal="left" vertical="center"/>
    </xf>
    <xf numFmtId="0" fontId="106" fillId="0" borderId="0"/>
    <xf numFmtId="0" fontId="114" fillId="0" borderId="0"/>
    <xf numFmtId="0" fontId="115" fillId="0" borderId="0"/>
    <xf numFmtId="234" fontId="3" fillId="32" borderId="0">
      <alignment horizontal="center"/>
    </xf>
    <xf numFmtId="164" fontId="92" fillId="0" borderId="0" applyNumberFormat="0" applyFont="0" applyFill="0" applyBorder="0" applyAlignment="0" applyProtection="0">
      <alignment vertical="center"/>
    </xf>
    <xf numFmtId="37" fontId="116" fillId="0" borderId="0"/>
    <xf numFmtId="164" fontId="117" fillId="0" borderId="0" applyNumberFormat="0" applyFill="0" applyBorder="0" applyAlignment="0" applyProtection="0">
      <alignment vertical="center"/>
    </xf>
    <xf numFmtId="235" fontId="118" fillId="0" borderId="0"/>
    <xf numFmtId="0" fontId="119" fillId="0" borderId="0"/>
    <xf numFmtId="0" fontId="24" fillId="0" borderId="0" applyNumberFormat="0" applyFont="0" applyFill="0" applyBorder="0" applyAlignment="0" applyProtection="0"/>
    <xf numFmtId="0" fontId="120" fillId="0" borderId="0"/>
    <xf numFmtId="166" fontId="19" fillId="0" borderId="0" applyFont="0" applyFill="0" applyBorder="0" applyProtection="0">
      <alignment horizontal="right"/>
    </xf>
    <xf numFmtId="43" fontId="87" fillId="0" borderId="0" applyFont="0" applyFill="0" applyBorder="0" applyAlignment="0" applyProtection="0"/>
    <xf numFmtId="41" fontId="87" fillId="0" borderId="0" applyFont="0" applyFill="0" applyBorder="0" applyAlignment="0" applyProtection="0"/>
    <xf numFmtId="0" fontId="121" fillId="0" borderId="0">
      <alignment horizontal="left"/>
    </xf>
    <xf numFmtId="0" fontId="115" fillId="0" borderId="0"/>
    <xf numFmtId="169" fontId="122" fillId="0" borderId="13" applyNumberFormat="0">
      <alignment vertical="center"/>
    </xf>
    <xf numFmtId="10" fontId="2" fillId="0" borderId="0" applyFont="0" applyFill="0" applyBorder="0" applyAlignment="0" applyProtection="0"/>
    <xf numFmtId="236" fontId="87" fillId="0" borderId="0" applyFill="0" applyBorder="0">
      <alignment horizontal="right"/>
      <protection locked="0"/>
    </xf>
    <xf numFmtId="1" fontId="123" fillId="16" borderId="0">
      <alignment horizontal="center"/>
    </xf>
    <xf numFmtId="237" fontId="24" fillId="0" borderId="0" applyFill="0" applyBorder="0">
      <alignment horizontal="right"/>
      <protection locked="0"/>
    </xf>
    <xf numFmtId="238" fontId="87" fillId="0" borderId="0">
      <alignment horizontal="right"/>
      <protection locked="0"/>
    </xf>
    <xf numFmtId="239" fontId="3" fillId="0" borderId="0"/>
    <xf numFmtId="0" fontId="18" fillId="0" borderId="0"/>
    <xf numFmtId="0" fontId="113" fillId="0" borderId="0" applyNumberFormat="0" applyFill="0" applyBorder="0" applyProtection="0">
      <alignment horizontal="right"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9">
      <alignment horizontal="centerContinuous"/>
    </xf>
    <xf numFmtId="0" fontId="27" fillId="0" borderId="9">
      <alignment horizontal="centerContinuous"/>
    </xf>
    <xf numFmtId="0" fontId="27" fillId="0" borderId="9">
      <alignment horizontal="centerContinuous"/>
    </xf>
    <xf numFmtId="0" fontId="27" fillId="0" borderId="9">
      <alignment horizontal="centerContinuous"/>
    </xf>
    <xf numFmtId="0" fontId="27" fillId="0" borderId="9">
      <alignment horizontal="centerContinuous"/>
    </xf>
    <xf numFmtId="0" fontId="27" fillId="0" borderId="9">
      <alignment horizontal="centerContinuous"/>
    </xf>
    <xf numFmtId="0" fontId="27" fillId="0" borderId="9">
      <alignment horizontal="centerContinuous"/>
    </xf>
    <xf numFmtId="0" fontId="27" fillId="0" borderId="9">
      <alignment horizontal="centerContinuous"/>
    </xf>
    <xf numFmtId="240" fontId="124" fillId="0" borderId="0" applyFill="0" applyBorder="0">
      <alignment horizontal="right"/>
      <protection hidden="1"/>
    </xf>
    <xf numFmtId="0" fontId="31" fillId="29" borderId="21">
      <alignment horizontal="center" vertical="center" wrapText="1"/>
      <protection hidden="1"/>
    </xf>
    <xf numFmtId="241" fontId="24" fillId="0" borderId="0">
      <protection locked="0"/>
    </xf>
    <xf numFmtId="0" fontId="2" fillId="0" borderId="0"/>
    <xf numFmtId="0" fontId="2" fillId="0" borderId="0">
      <alignment vertical="top"/>
    </xf>
    <xf numFmtId="0" fontId="10" fillId="33" borderId="28" applyNumberFormat="0" applyProtection="0">
      <alignment horizontal="center" wrapText="1"/>
    </xf>
    <xf numFmtId="0" fontId="10" fillId="33" borderId="29" applyNumberFormat="0" applyAlignment="0" applyProtection="0">
      <alignment wrapText="1"/>
    </xf>
    <xf numFmtId="0" fontId="2" fillId="34" borderId="0" applyNumberFormat="0" applyBorder="0">
      <alignment horizontal="center" wrapText="1"/>
    </xf>
    <xf numFmtId="0" fontId="2" fillId="35" borderId="30" applyNumberFormat="0">
      <alignment wrapText="1"/>
    </xf>
    <xf numFmtId="0" fontId="2" fillId="35" borderId="0" applyNumberFormat="0" applyBorder="0">
      <alignment wrapText="1"/>
    </xf>
    <xf numFmtId="0" fontId="2" fillId="0" borderId="0" applyNumberFormat="0" applyFill="0" applyBorder="0" applyProtection="0">
      <alignment horizontal="right" wrapText="1"/>
    </xf>
    <xf numFmtId="242" fontId="2" fillId="0" borderId="0" applyFill="0" applyBorder="0" applyAlignment="0" applyProtection="0">
      <alignment wrapText="1"/>
    </xf>
    <xf numFmtId="234" fontId="2" fillId="0" borderId="0" applyFill="0" applyBorder="0" applyAlignment="0" applyProtection="0">
      <alignment wrapText="1"/>
    </xf>
    <xf numFmtId="243" fontId="2" fillId="0" borderId="0" applyFill="0" applyBorder="0" applyAlignment="0" applyProtection="0">
      <alignment wrapText="1"/>
    </xf>
    <xf numFmtId="0" fontId="2" fillId="0" borderId="0" applyNumberFormat="0" applyFill="0" applyBorder="0" applyProtection="0">
      <alignment horizontal="right" wrapText="1"/>
    </xf>
    <xf numFmtId="0" fontId="2" fillId="0" borderId="0" applyNumberFormat="0" applyFill="0" applyBorder="0">
      <alignment horizontal="right" wrapText="1"/>
    </xf>
    <xf numFmtId="17" fontId="2" fillId="0" borderId="0" applyFill="0" applyBorder="0">
      <alignment horizontal="right" wrapText="1"/>
    </xf>
    <xf numFmtId="8" fontId="2" fillId="0" borderId="0" applyFill="0" applyBorder="0" applyAlignment="0" applyProtection="0">
      <alignment wrapText="1"/>
    </xf>
    <xf numFmtId="0" fontId="31" fillId="0" borderId="0" applyNumberFormat="0" applyFill="0" applyBorder="0">
      <alignment horizontal="left" wrapText="1"/>
    </xf>
    <xf numFmtId="0" fontId="10" fillId="0" borderId="0" applyNumberFormat="0" applyFill="0" applyBorder="0">
      <alignment horizontal="center" wrapText="1"/>
    </xf>
    <xf numFmtId="0" fontId="10" fillId="0" borderId="0" applyNumberFormat="0" applyFill="0" applyBorder="0">
      <alignment horizontal="center" wrapText="1"/>
    </xf>
    <xf numFmtId="244" fontId="92" fillId="36" borderId="0" applyNumberFormat="0" applyFont="0" applyBorder="0">
      <alignment horizontal="center" vertical="center"/>
      <protection locked="0"/>
    </xf>
    <xf numFmtId="164" fontId="2" fillId="17" borderId="31" applyNumberFormat="0" applyAlignment="0">
      <alignment vertical="center"/>
    </xf>
    <xf numFmtId="164" fontId="125" fillId="12" borderId="32" applyNumberFormat="0" applyBorder="0" applyAlignment="0" applyProtection="0">
      <alignment vertical="center"/>
    </xf>
    <xf numFmtId="164" fontId="2" fillId="17" borderId="31" applyNumberFormat="0" applyProtection="0">
      <alignment horizontal="centerContinuous" vertical="center"/>
    </xf>
    <xf numFmtId="164" fontId="126" fillId="37" borderId="0" applyNumberFormat="0" applyBorder="0" applyAlignment="0" applyProtection="0">
      <alignment vertical="center"/>
    </xf>
    <xf numFmtId="164" fontId="2" fillId="12" borderId="0" applyBorder="0" applyAlignment="0" applyProtection="0">
      <alignment vertical="center"/>
    </xf>
    <xf numFmtId="0" fontId="29" fillId="0" borderId="0">
      <alignment vertical="center"/>
    </xf>
    <xf numFmtId="0" fontId="127" fillId="38" borderId="0" applyNumberFormat="0" applyBorder="0" applyProtection="0">
      <alignment horizontal="left" vertical="center"/>
    </xf>
    <xf numFmtId="172" fontId="26" fillId="0" borderId="0"/>
    <xf numFmtId="245" fontId="2" fillId="0" borderId="0" applyNumberFormat="0" applyFill="0" applyBorder="0" applyProtection="0">
      <alignment vertical="top"/>
    </xf>
    <xf numFmtId="214" fontId="128" fillId="0" borderId="20" applyNumberFormat="0" applyFont="0" applyFill="0" applyAlignment="0" applyProtection="0"/>
    <xf numFmtId="172" fontId="5" fillId="0" borderId="33"/>
    <xf numFmtId="246" fontId="129" fillId="0" borderId="0">
      <alignment horizontal="right"/>
    </xf>
    <xf numFmtId="247" fontId="123" fillId="16" borderId="12" applyBorder="0">
      <alignment horizontal="right" vertical="center"/>
      <protection locked="0"/>
    </xf>
    <xf numFmtId="0" fontId="130" fillId="0" borderId="0" applyNumberFormat="0"/>
    <xf numFmtId="245" fontId="131" fillId="12" borderId="0" applyNumberFormat="0" applyBorder="0" applyProtection="0">
      <alignment horizontal="centerContinuous" vertical="center"/>
    </xf>
    <xf numFmtId="1" fontId="2" fillId="0" borderId="0">
      <alignment horizontal="center"/>
    </xf>
    <xf numFmtId="0" fontId="24" fillId="0" borderId="0" applyNumberFormat="0" applyFont="0" applyFill="0" applyBorder="0" applyAlignment="0" applyProtection="0"/>
    <xf numFmtId="0" fontId="2" fillId="0" borderId="0"/>
    <xf numFmtId="0" fontId="46" fillId="7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2" borderId="0" applyNumberFormat="0" applyBorder="0" applyAlignment="0" applyProtection="0"/>
    <xf numFmtId="0" fontId="46" fillId="7" borderId="0" applyNumberFormat="0" applyBorder="0" applyAlignment="0" applyProtection="0"/>
    <xf numFmtId="0" fontId="46" fillId="4" borderId="0" applyNumberFormat="0" applyBorder="0" applyAlignment="0" applyProtection="0"/>
    <xf numFmtId="0" fontId="46" fillId="7" borderId="0" applyNumberFormat="0" applyBorder="0" applyAlignment="0" applyProtection="0"/>
    <xf numFmtId="0" fontId="46" fillId="39" borderId="0" applyNumberFormat="0" applyBorder="0" applyAlignment="0" applyProtection="0"/>
    <xf numFmtId="0" fontId="46" fillId="4" borderId="0" applyNumberFormat="0" applyBorder="0" applyAlignment="0" applyProtection="0"/>
    <xf numFmtId="0" fontId="46" fillId="11" borderId="0" applyNumberFormat="0" applyBorder="0" applyAlignment="0" applyProtection="0"/>
    <xf numFmtId="0" fontId="46" fillId="7" borderId="0" applyNumberFormat="0" applyBorder="0" applyAlignment="0" applyProtection="0"/>
    <xf numFmtId="0" fontId="46" fillId="4" borderId="0" applyNumberFormat="0" applyBorder="0" applyAlignment="0" applyProtection="0"/>
    <xf numFmtId="0" fontId="47" fillId="7" borderId="0" applyNumberFormat="0" applyBorder="0" applyAlignment="0" applyProtection="0"/>
    <xf numFmtId="0" fontId="47" fillId="39" borderId="0" applyNumberFormat="0" applyBorder="0" applyAlignment="0" applyProtection="0"/>
    <xf numFmtId="0" fontId="47" fillId="40" borderId="0" applyNumberFormat="0" applyBorder="0" applyAlignment="0" applyProtection="0"/>
    <xf numFmtId="0" fontId="47" fillId="11" borderId="0" applyNumberFormat="0" applyBorder="0" applyAlignment="0" applyProtection="0"/>
    <xf numFmtId="0" fontId="47" fillId="7" borderId="0" applyNumberFormat="0" applyBorder="0" applyAlignment="0" applyProtection="0"/>
    <xf numFmtId="0" fontId="47" fillId="4" borderId="0" applyNumberFormat="0" applyBorder="0" applyAlignment="0" applyProtection="0"/>
    <xf numFmtId="0" fontId="47" fillId="41" borderId="0" applyNumberFormat="0" applyBorder="0" applyAlignment="0" applyProtection="0"/>
    <xf numFmtId="0" fontId="47" fillId="39" borderId="0" applyNumberFormat="0" applyBorder="0" applyAlignment="0" applyProtection="0"/>
    <xf numFmtId="0" fontId="47" fillId="40" borderId="0" applyNumberFormat="0" applyBorder="0" applyAlignment="0" applyProtection="0"/>
    <xf numFmtId="0" fontId="47" fillId="10" borderId="0" applyNumberFormat="0" applyBorder="0" applyAlignment="0" applyProtection="0"/>
    <xf numFmtId="0" fontId="47" fillId="8" borderId="0" applyNumberFormat="0" applyBorder="0" applyAlignment="0" applyProtection="0"/>
    <xf numFmtId="0" fontId="47" fillId="42" borderId="0" applyNumberFormat="0" applyBorder="0" applyAlignment="0" applyProtection="0"/>
    <xf numFmtId="0" fontId="48" fillId="43" borderId="0" applyNumberFormat="0" applyBorder="0" applyAlignment="0" applyProtection="0"/>
    <xf numFmtId="0" fontId="132" fillId="12" borderId="1" applyNumberFormat="0" applyAlignment="0" applyProtection="0"/>
    <xf numFmtId="0" fontId="50" fillId="13" borderId="2" applyNumberFormat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14" borderId="0" applyNumberFormat="0" applyBorder="0" applyAlignment="0" applyProtection="0"/>
    <xf numFmtId="0" fontId="53" fillId="0" borderId="34" applyNumberFormat="0" applyFill="0" applyAlignment="0" applyProtection="0"/>
    <xf numFmtId="0" fontId="54" fillId="0" borderId="35" applyNumberFormat="0" applyFill="0" applyAlignment="0" applyProtection="0"/>
    <xf numFmtId="0" fontId="55" fillId="0" borderId="36" applyNumberFormat="0" applyFill="0" applyAlignment="0" applyProtection="0"/>
    <xf numFmtId="0" fontId="55" fillId="0" borderId="0" applyNumberFormat="0" applyFill="0" applyBorder="0" applyAlignment="0" applyProtection="0"/>
    <xf numFmtId="0" fontId="56" fillId="4" borderId="1" applyNumberFormat="0" applyAlignment="0" applyProtection="0"/>
    <xf numFmtId="0" fontId="56" fillId="4" borderId="1" applyNumberFormat="0" applyAlignment="0" applyProtection="0"/>
    <xf numFmtId="0" fontId="56" fillId="4" borderId="1" applyNumberFormat="0" applyAlignment="0" applyProtection="0"/>
    <xf numFmtId="0" fontId="56" fillId="4" borderId="1" applyNumberFormat="0" applyAlignment="0" applyProtection="0"/>
    <xf numFmtId="0" fontId="62" fillId="0" borderId="37" applyNumberFormat="0" applyFill="0" applyAlignment="0" applyProtection="0"/>
    <xf numFmtId="0" fontId="133" fillId="4" borderId="0" applyNumberFormat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4" borderId="7" applyNumberFormat="0" applyFont="0" applyAlignment="0" applyProtection="0"/>
    <xf numFmtId="0" fontId="59" fillId="12" borderId="8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top"/>
    </xf>
    <xf numFmtId="0" fontId="60" fillId="0" borderId="0" applyNumberFormat="0" applyFill="0" applyBorder="0" applyAlignment="0" applyProtection="0"/>
    <xf numFmtId="0" fontId="61" fillId="0" borderId="38" applyNumberFormat="0" applyFill="0" applyAlignment="0" applyProtection="0"/>
    <xf numFmtId="0" fontId="62" fillId="0" borderId="0" applyNumberFormat="0" applyFill="0" applyBorder="0" applyAlignment="0" applyProtection="0"/>
    <xf numFmtId="0" fontId="134" fillId="0" borderId="0"/>
  </cellStyleXfs>
  <cellXfs count="753">
    <xf numFmtId="0" fontId="0" fillId="0" borderId="0" xfId="0"/>
    <xf numFmtId="49" fontId="0" fillId="0" borderId="0" xfId="1" applyNumberFormat="1" applyFont="1"/>
    <xf numFmtId="2" fontId="37" fillId="0" borderId="0" xfId="1" applyNumberFormat="1" applyFont="1" applyBorder="1" applyAlignment="1">
      <alignment horizontal="left" indent="1"/>
    </xf>
    <xf numFmtId="41" fontId="3" fillId="0" borderId="0" xfId="48" applyNumberFormat="1" applyFont="1" applyBorder="1" applyProtection="1">
      <protection hidden="1"/>
    </xf>
    <xf numFmtId="41" fontId="21" fillId="0" borderId="0" xfId="48" applyNumberFormat="1" applyFont="1" applyBorder="1" applyProtection="1">
      <protection hidden="1"/>
    </xf>
    <xf numFmtId="164" fontId="5" fillId="0" borderId="0" xfId="87" applyNumberFormat="1" applyFont="1" applyFill="1" applyBorder="1" applyProtection="1">
      <alignment horizontal="left" vertical="center"/>
    </xf>
    <xf numFmtId="164" fontId="5" fillId="16" borderId="0" xfId="87" applyNumberFormat="1" applyFont="1" applyFill="1" applyBorder="1" applyProtection="1">
      <alignment horizontal="left" vertical="center"/>
      <protection hidden="1"/>
    </xf>
    <xf numFmtId="167" fontId="6" fillId="0" borderId="0" xfId="88" applyNumberFormat="1" applyFont="1" applyFill="1" applyBorder="1">
      <alignment horizontal="left" vertical="center"/>
    </xf>
    <xf numFmtId="167" fontId="6" fillId="0" borderId="0" xfId="1" applyNumberFormat="1" applyFont="1" applyFill="1" applyBorder="1"/>
    <xf numFmtId="0" fontId="6" fillId="0" borderId="0" xfId="1" applyFont="1" applyFill="1" applyBorder="1"/>
    <xf numFmtId="2" fontId="8" fillId="0" borderId="0" xfId="1" applyNumberFormat="1" applyFont="1" applyBorder="1" applyAlignment="1">
      <alignment horizontal="left"/>
    </xf>
    <xf numFmtId="1" fontId="5" fillId="0" borderId="0" xfId="1" applyNumberFormat="1" applyFont="1" applyBorder="1" applyAlignment="1">
      <alignment horizontal="center"/>
    </xf>
    <xf numFmtId="0" fontId="8" fillId="0" borderId="0" xfId="1" applyFont="1" applyBorder="1"/>
    <xf numFmtId="0" fontId="9" fillId="0" borderId="0" xfId="1" applyFont="1" applyBorder="1"/>
    <xf numFmtId="164" fontId="6" fillId="0" borderId="0" xfId="87" applyNumberFormat="1" applyFont="1" applyFill="1" applyBorder="1" applyProtection="1">
      <alignment horizontal="left" vertical="center"/>
    </xf>
    <xf numFmtId="2" fontId="8" fillId="0" borderId="0" xfId="1" applyNumberFormat="1" applyFont="1" applyBorder="1" applyAlignment="1">
      <alignment horizontal="left" indent="1"/>
    </xf>
    <xf numFmtId="2" fontId="7" fillId="0" borderId="0" xfId="1" applyNumberFormat="1" applyFont="1" applyBorder="1" applyAlignment="1">
      <alignment horizontal="left"/>
    </xf>
    <xf numFmtId="2" fontId="8" fillId="0" borderId="0" xfId="1" applyNumberFormat="1" applyFont="1" applyBorder="1" applyAlignment="1">
      <alignment horizontal="left" indent="2"/>
    </xf>
    <xf numFmtId="0" fontId="11" fillId="0" borderId="0" xfId="1" applyFont="1" applyBorder="1"/>
    <xf numFmtId="0" fontId="11" fillId="0" borderId="12" xfId="1" applyFont="1" applyBorder="1"/>
    <xf numFmtId="0" fontId="12" fillId="0" borderId="0" xfId="1" applyFont="1" applyBorder="1"/>
    <xf numFmtId="0" fontId="11" fillId="0" borderId="13" xfId="1" applyFont="1" applyBorder="1"/>
    <xf numFmtId="0" fontId="11" fillId="0" borderId="14" xfId="1" applyFont="1" applyBorder="1"/>
    <xf numFmtId="0" fontId="11" fillId="16" borderId="0" xfId="1" applyFont="1" applyFill="1" applyBorder="1"/>
    <xf numFmtId="0" fontId="11" fillId="16" borderId="12" xfId="1" applyFont="1" applyFill="1" applyBorder="1"/>
    <xf numFmtId="0" fontId="5" fillId="0" borderId="0" xfId="1" applyFont="1" applyBorder="1"/>
    <xf numFmtId="0" fontId="11" fillId="16" borderId="13" xfId="1" applyFont="1" applyFill="1" applyBorder="1"/>
    <xf numFmtId="0" fontId="11" fillId="16" borderId="14" xfId="1" applyFont="1" applyFill="1" applyBorder="1"/>
    <xf numFmtId="2" fontId="5" fillId="0" borderId="0" xfId="1" applyNumberFormat="1" applyFont="1" applyBorder="1" applyAlignment="1">
      <alignment horizontal="left"/>
    </xf>
    <xf numFmtId="0" fontId="6" fillId="0" borderId="0" xfId="1" applyFont="1" applyBorder="1"/>
    <xf numFmtId="0" fontId="14" fillId="0" borderId="0" xfId="1" applyFont="1" applyBorder="1"/>
    <xf numFmtId="0" fontId="6" fillId="0" borderId="0" xfId="1" applyFont="1" applyAlignment="1">
      <alignment horizontal="left"/>
    </xf>
    <xf numFmtId="167" fontId="5" fillId="0" borderId="0" xfId="88" applyNumberFormat="1" applyFont="1" applyFill="1" applyBorder="1">
      <alignment horizontal="left" vertical="center"/>
    </xf>
    <xf numFmtId="0" fontId="8" fillId="0" borderId="0" xfId="1" applyFont="1" applyAlignment="1">
      <alignment horizontal="left" indent="2"/>
    </xf>
    <xf numFmtId="2" fontId="6" fillId="0" borderId="0" xfId="1" applyNumberFormat="1" applyFont="1" applyBorder="1" applyAlignment="1">
      <alignment horizontal="left" indent="1"/>
    </xf>
    <xf numFmtId="0" fontId="8" fillId="0" borderId="0" xfId="1" applyFont="1" applyAlignment="1">
      <alignment horizontal="left"/>
    </xf>
    <xf numFmtId="2" fontId="6" fillId="0" borderId="0" xfId="1" applyNumberFormat="1" applyFont="1" applyBorder="1" applyAlignment="1">
      <alignment horizontal="left"/>
    </xf>
    <xf numFmtId="41" fontId="11" fillId="0" borderId="12" xfId="1" applyNumberFormat="1" applyFont="1" applyBorder="1"/>
    <xf numFmtId="41" fontId="11" fillId="0" borderId="0" xfId="1" applyNumberFormat="1" applyFont="1" applyBorder="1"/>
    <xf numFmtId="41" fontId="12" fillId="0" borderId="0" xfId="1" applyNumberFormat="1" applyFont="1" applyBorder="1" applyAlignment="1">
      <alignment horizontal="right"/>
    </xf>
    <xf numFmtId="41" fontId="11" fillId="0" borderId="0" xfId="1" applyNumberFormat="1" applyFont="1" applyBorder="1" applyAlignment="1">
      <alignment horizontal="right"/>
    </xf>
    <xf numFmtId="41" fontId="11" fillId="0" borderId="12" xfId="1" applyNumberFormat="1" applyFont="1" applyBorder="1" applyAlignment="1">
      <alignment horizontal="right"/>
    </xf>
    <xf numFmtId="41" fontId="7" fillId="0" borderId="0" xfId="1" applyNumberFormat="1" applyFont="1" applyBorder="1" applyAlignment="1">
      <alignment horizontal="left"/>
    </xf>
    <xf numFmtId="41" fontId="8" fillId="0" borderId="0" xfId="1" applyNumberFormat="1" applyFont="1" applyBorder="1" applyAlignment="1">
      <alignment horizontal="left"/>
    </xf>
    <xf numFmtId="41" fontId="8" fillId="0" borderId="0" xfId="1" applyNumberFormat="1" applyFont="1" applyBorder="1" applyAlignment="1">
      <alignment horizontal="left" indent="1"/>
    </xf>
    <xf numFmtId="41" fontId="5" fillId="0" borderId="0" xfId="1" applyNumberFormat="1" applyFont="1" applyBorder="1" applyAlignment="1">
      <alignment horizontal="left"/>
    </xf>
    <xf numFmtId="41" fontId="6" fillId="0" borderId="0" xfId="1" applyNumberFormat="1" applyFont="1" applyFill="1" applyBorder="1" applyAlignment="1">
      <alignment horizontal="left" indent="1"/>
    </xf>
    <xf numFmtId="41" fontId="5" fillId="0" borderId="0" xfId="48" applyNumberFormat="1" applyFont="1" applyFill="1" applyBorder="1" applyAlignment="1">
      <alignment horizontal="left"/>
    </xf>
    <xf numFmtId="41" fontId="3" fillId="0" borderId="0" xfId="1" applyNumberFormat="1" applyFont="1" applyBorder="1"/>
    <xf numFmtId="37" fontId="5" fillId="0" borderId="0" xfId="1" applyNumberFormat="1" applyFont="1" applyFill="1" applyBorder="1" applyAlignment="1" applyProtection="1">
      <alignment horizontal="left"/>
    </xf>
    <xf numFmtId="41" fontId="6" fillId="17" borderId="0" xfId="1" applyNumberFormat="1" applyFont="1" applyFill="1" applyBorder="1" applyAlignment="1" applyProtection="1">
      <alignment horizontal="left"/>
    </xf>
    <xf numFmtId="170" fontId="8" fillId="0" borderId="0" xfId="73" applyNumberFormat="1" applyFont="1" applyBorder="1" applyAlignment="1">
      <alignment horizontal="left" indent="1"/>
    </xf>
    <xf numFmtId="41" fontId="5" fillId="0" borderId="13" xfId="1" applyNumberFormat="1" applyFont="1" applyFill="1" applyBorder="1" applyAlignment="1">
      <alignment horizontal="left" vertical="center"/>
    </xf>
    <xf numFmtId="41" fontId="20" fillId="0" borderId="12" xfId="1" applyNumberFormat="1" applyFont="1" applyBorder="1"/>
    <xf numFmtId="41" fontId="20" fillId="0" borderId="0" xfId="1" applyNumberFormat="1" applyFont="1" applyBorder="1"/>
    <xf numFmtId="0" fontId="20" fillId="0" borderId="12" xfId="1" applyFont="1" applyBorder="1"/>
    <xf numFmtId="0" fontId="20" fillId="0" borderId="0" xfId="1" applyFont="1" applyBorder="1"/>
    <xf numFmtId="41" fontId="8" fillId="0" borderId="0" xfId="1" applyNumberFormat="1" applyFont="1" applyBorder="1"/>
    <xf numFmtId="166" fontId="6" fillId="0" borderId="13" xfId="1" applyNumberFormat="1" applyFont="1" applyFill="1" applyBorder="1" applyAlignment="1">
      <alignment horizontal="left" indent="1"/>
    </xf>
    <xf numFmtId="41" fontId="6" fillId="17" borderId="0" xfId="48" applyNumberFormat="1" applyFont="1" applyFill="1" applyBorder="1" applyAlignment="1" applyProtection="1">
      <alignment horizontal="left" indent="1"/>
    </xf>
    <xf numFmtId="0" fontId="11" fillId="0" borderId="12" xfId="1" applyFont="1" applyFill="1" applyBorder="1"/>
    <xf numFmtId="0" fontId="11" fillId="0" borderId="0" xfId="1" applyFont="1" applyFill="1" applyBorder="1"/>
    <xf numFmtId="0" fontId="5" fillId="0" borderId="0" xfId="1" applyFont="1" applyFill="1" applyBorder="1"/>
    <xf numFmtId="0" fontId="13" fillId="0" borderId="0" xfId="1" applyFont="1" applyFill="1" applyBorder="1"/>
    <xf numFmtId="0" fontId="14" fillId="0" borderId="0" xfId="1" applyFont="1" applyFill="1" applyBorder="1"/>
    <xf numFmtId="41" fontId="11" fillId="0" borderId="0" xfId="1" applyNumberFormat="1" applyFont="1" applyFill="1" applyBorder="1"/>
    <xf numFmtId="170" fontId="11" fillId="0" borderId="0" xfId="73" applyNumberFormat="1" applyFont="1" applyFill="1" applyBorder="1"/>
    <xf numFmtId="167" fontId="5" fillId="0" borderId="0" xfId="1" applyNumberFormat="1" applyFont="1" applyFill="1" applyBorder="1"/>
    <xf numFmtId="0" fontId="12" fillId="0" borderId="0" xfId="1" applyFont="1" applyFill="1" applyBorder="1"/>
    <xf numFmtId="41" fontId="22" fillId="17" borderId="0" xfId="1" applyNumberFormat="1" applyFont="1" applyFill="1" applyBorder="1" applyAlignment="1" applyProtection="1">
      <alignment horizontal="left"/>
    </xf>
    <xf numFmtId="41" fontId="23" fillId="0" borderId="12" xfId="1" applyNumberFormat="1" applyFont="1" applyBorder="1"/>
    <xf numFmtId="41" fontId="23" fillId="0" borderId="0" xfId="1" applyNumberFormat="1" applyFont="1" applyBorder="1"/>
    <xf numFmtId="41" fontId="23" fillId="0" borderId="0" xfId="1" applyNumberFormat="1" applyFont="1" applyFill="1" applyBorder="1"/>
    <xf numFmtId="2" fontId="22" fillId="0" borderId="0" xfId="1" applyNumberFormat="1" applyFont="1" applyBorder="1" applyAlignment="1">
      <alignment horizontal="left"/>
    </xf>
    <xf numFmtId="0" fontId="22" fillId="0" borderId="0" xfId="1" applyFont="1" applyFill="1" applyBorder="1"/>
    <xf numFmtId="0" fontId="23" fillId="0" borderId="0" xfId="1" applyFont="1" applyBorder="1"/>
    <xf numFmtId="41" fontId="34" fillId="0" borderId="0" xfId="1" applyNumberFormat="1" applyFont="1" applyBorder="1"/>
    <xf numFmtId="41" fontId="9" fillId="0" borderId="0" xfId="1" applyNumberFormat="1" applyFont="1" applyBorder="1"/>
    <xf numFmtId="41" fontId="34" fillId="0" borderId="12" xfId="1" applyNumberFormat="1" applyFont="1" applyBorder="1"/>
    <xf numFmtId="41" fontId="9" fillId="0" borderId="12" xfId="1" applyNumberFormat="1" applyFont="1" applyBorder="1"/>
    <xf numFmtId="41" fontId="9" fillId="0" borderId="0" xfId="48" applyNumberFormat="1" applyFont="1" applyBorder="1" applyProtection="1">
      <protection hidden="1"/>
    </xf>
    <xf numFmtId="41" fontId="11" fillId="0" borderId="13" xfId="1" applyNumberFormat="1" applyFont="1" applyBorder="1"/>
    <xf numFmtId="0" fontId="7" fillId="0" borderId="0" xfId="1" applyFont="1" applyFill="1" applyBorder="1"/>
    <xf numFmtId="41" fontId="35" fillId="0" borderId="0" xfId="1" applyNumberFormat="1" applyFont="1" applyBorder="1"/>
    <xf numFmtId="41" fontId="20" fillId="0" borderId="15" xfId="1" applyNumberFormat="1" applyFont="1" applyBorder="1"/>
    <xf numFmtId="41" fontId="20" fillId="0" borderId="12" xfId="48" applyNumberFormat="1" applyFont="1" applyBorder="1" applyProtection="1">
      <protection hidden="1"/>
    </xf>
    <xf numFmtId="41" fontId="35" fillId="0" borderId="12" xfId="48" applyNumberFormat="1" applyFont="1" applyBorder="1" applyProtection="1">
      <protection hidden="1"/>
    </xf>
    <xf numFmtId="41" fontId="20" fillId="16" borderId="12" xfId="48" applyNumberFormat="1" applyFont="1" applyFill="1" applyBorder="1" applyProtection="1">
      <protection hidden="1"/>
    </xf>
    <xf numFmtId="41" fontId="20" fillId="16" borderId="0" xfId="1" applyNumberFormat="1" applyFont="1" applyFill="1" applyBorder="1"/>
    <xf numFmtId="41" fontId="20" fillId="16" borderId="0" xfId="48" applyNumberFormat="1" applyFont="1" applyFill="1" applyBorder="1" applyProtection="1">
      <protection hidden="1"/>
    </xf>
    <xf numFmtId="0" fontId="20" fillId="16" borderId="12" xfId="1" applyFont="1" applyFill="1" applyBorder="1"/>
    <xf numFmtId="41" fontId="9" fillId="0" borderId="15" xfId="48" applyNumberFormat="1" applyFont="1" applyBorder="1" applyProtection="1">
      <protection hidden="1"/>
    </xf>
    <xf numFmtId="41" fontId="9" fillId="0" borderId="12" xfId="48" applyNumberFormat="1" applyFont="1" applyBorder="1" applyProtection="1">
      <protection hidden="1"/>
    </xf>
    <xf numFmtId="41" fontId="3" fillId="0" borderId="15" xfId="48" applyNumberFormat="1" applyFont="1" applyBorder="1" applyProtection="1">
      <protection hidden="1"/>
    </xf>
    <xf numFmtId="41" fontId="3" fillId="0" borderId="12" xfId="1" applyNumberFormat="1" applyFont="1" applyBorder="1"/>
    <xf numFmtId="41" fontId="32" fillId="0" borderId="12" xfId="48" applyNumberFormat="1" applyFont="1" applyBorder="1" applyProtection="1">
      <protection hidden="1"/>
    </xf>
    <xf numFmtId="41" fontId="32" fillId="0" borderId="0" xfId="48" applyNumberFormat="1" applyFont="1" applyBorder="1" applyProtection="1">
      <protection hidden="1"/>
    </xf>
    <xf numFmtId="7" fontId="9" fillId="0" borderId="0" xfId="1" applyNumberFormat="1" applyFont="1" applyBorder="1"/>
    <xf numFmtId="41" fontId="3" fillId="0" borderId="0" xfId="48" applyNumberFormat="1" applyFont="1" applyFill="1" applyBorder="1" applyProtection="1">
      <protection hidden="1"/>
    </xf>
    <xf numFmtId="41" fontId="3" fillId="0" borderId="0" xfId="1" applyNumberFormat="1" applyFont="1" applyFill="1" applyBorder="1"/>
    <xf numFmtId="2" fontId="7" fillId="16" borderId="13" xfId="1" applyNumberFormat="1" applyFont="1" applyFill="1" applyBorder="1" applyAlignment="1">
      <alignment horizontal="left"/>
    </xf>
    <xf numFmtId="0" fontId="7" fillId="16" borderId="13" xfId="1" applyFont="1" applyFill="1" applyBorder="1"/>
    <xf numFmtId="165" fontId="3" fillId="0" borderId="0" xfId="1" applyNumberFormat="1" applyFont="1" applyBorder="1"/>
    <xf numFmtId="165" fontId="3" fillId="0" borderId="12" xfId="1" applyNumberFormat="1" applyFont="1" applyBorder="1"/>
    <xf numFmtId="41" fontId="3" fillId="0" borderId="15" xfId="1" applyNumberFormat="1" applyFont="1" applyBorder="1"/>
    <xf numFmtId="37" fontId="3" fillId="0" borderId="0" xfId="1" applyNumberFormat="1" applyFont="1" applyBorder="1"/>
    <xf numFmtId="8" fontId="3" fillId="0" borderId="15" xfId="1" applyNumberFormat="1" applyFont="1" applyBorder="1"/>
    <xf numFmtId="2" fontId="28" fillId="0" borderId="0" xfId="1" applyNumberFormat="1" applyFont="1" applyBorder="1" applyAlignment="1">
      <alignment horizontal="left"/>
    </xf>
    <xf numFmtId="0" fontId="28" fillId="0" borderId="0" xfId="1" applyFont="1" applyFill="1" applyBorder="1"/>
    <xf numFmtId="2" fontId="7" fillId="15" borderId="0" xfId="1" applyNumberFormat="1" applyFont="1" applyFill="1" applyBorder="1" applyAlignment="1">
      <alignment horizontal="left"/>
    </xf>
    <xf numFmtId="0" fontId="11" fillId="15" borderId="0" xfId="1" applyFont="1" applyFill="1" applyBorder="1"/>
    <xf numFmtId="0" fontId="11" fillId="15" borderId="12" xfId="1" applyFont="1" applyFill="1" applyBorder="1"/>
    <xf numFmtId="0" fontId="7" fillId="15" borderId="0" xfId="1" applyFont="1" applyFill="1"/>
    <xf numFmtId="2" fontId="28" fillId="0" borderId="0" xfId="1" applyNumberFormat="1" applyFont="1" applyBorder="1" applyAlignment="1">
      <alignment horizontal="left" indent="1"/>
    </xf>
    <xf numFmtId="41" fontId="3" fillId="0" borderId="12" xfId="1" applyNumberFormat="1" applyFont="1" applyFill="1" applyBorder="1"/>
    <xf numFmtId="2" fontId="20" fillId="16" borderId="16" xfId="1" applyNumberFormat="1" applyFont="1" applyFill="1" applyBorder="1" applyAlignment="1">
      <alignment horizontal="right"/>
    </xf>
    <xf numFmtId="2" fontId="20" fillId="16" borderId="10" xfId="1" applyNumberFormat="1" applyFont="1" applyFill="1" applyBorder="1" applyAlignment="1">
      <alignment horizontal="right"/>
    </xf>
    <xf numFmtId="2" fontId="20" fillId="16" borderId="17" xfId="1" applyNumberFormat="1" applyFont="1" applyFill="1" applyBorder="1" applyAlignment="1">
      <alignment horizontal="right"/>
    </xf>
    <xf numFmtId="41" fontId="11" fillId="0" borderId="15" xfId="1" applyNumberFormat="1" applyFont="1" applyBorder="1" applyAlignment="1">
      <alignment horizontal="right"/>
    </xf>
    <xf numFmtId="41" fontId="34" fillId="0" borderId="15" xfId="1" applyNumberFormat="1" applyFont="1" applyBorder="1"/>
    <xf numFmtId="41" fontId="23" fillId="0" borderId="15" xfId="1" applyNumberFormat="1" applyFont="1" applyBorder="1"/>
    <xf numFmtId="41" fontId="3" fillId="0" borderId="15" xfId="1" applyNumberFormat="1" applyFont="1" applyFill="1" applyBorder="1"/>
    <xf numFmtId="41" fontId="32" fillId="0" borderId="15" xfId="48" applyNumberFormat="1" applyFont="1" applyBorder="1" applyProtection="1">
      <protection hidden="1"/>
    </xf>
    <xf numFmtId="41" fontId="35" fillId="0" borderId="15" xfId="1" applyNumberFormat="1" applyFont="1" applyBorder="1"/>
    <xf numFmtId="41" fontId="20" fillId="16" borderId="15" xfId="1" applyNumberFormat="1" applyFont="1" applyFill="1" applyBorder="1"/>
    <xf numFmtId="0" fontId="20" fillId="0" borderId="15" xfId="1" applyFont="1" applyBorder="1"/>
    <xf numFmtId="41" fontId="20" fillId="16" borderId="15" xfId="48" applyNumberFormat="1" applyFont="1" applyFill="1" applyBorder="1" applyProtection="1">
      <protection hidden="1"/>
    </xf>
    <xf numFmtId="0" fontId="11" fillId="0" borderId="15" xfId="1" applyFont="1" applyBorder="1"/>
    <xf numFmtId="0" fontId="3" fillId="15" borderId="14" xfId="1" applyFont="1" applyFill="1" applyBorder="1" applyAlignment="1">
      <alignment horizontal="center"/>
    </xf>
    <xf numFmtId="0" fontId="3" fillId="15" borderId="13" xfId="1" applyFont="1" applyFill="1" applyBorder="1" applyAlignment="1">
      <alignment horizontal="center"/>
    </xf>
    <xf numFmtId="0" fontId="3" fillId="15" borderId="18" xfId="1" applyFont="1" applyFill="1" applyBorder="1" applyAlignment="1">
      <alignment horizontal="center"/>
    </xf>
    <xf numFmtId="0" fontId="11" fillId="16" borderId="10" xfId="1" applyFont="1" applyFill="1" applyBorder="1"/>
    <xf numFmtId="0" fontId="11" fillId="16" borderId="17" xfId="1" applyFont="1" applyFill="1" applyBorder="1"/>
    <xf numFmtId="41" fontId="11" fillId="0" borderId="15" xfId="1" applyNumberFormat="1" applyFont="1" applyBorder="1"/>
    <xf numFmtId="0" fontId="11" fillId="16" borderId="18" xfId="1" applyFont="1" applyFill="1" applyBorder="1"/>
    <xf numFmtId="41" fontId="21" fillId="0" borderId="15" xfId="48" applyNumberFormat="1" applyFont="1" applyFill="1" applyBorder="1" applyProtection="1">
      <protection hidden="1"/>
    </xf>
    <xf numFmtId="0" fontId="11" fillId="16" borderId="15" xfId="1" applyFont="1" applyFill="1" applyBorder="1"/>
    <xf numFmtId="0" fontId="11" fillId="15" borderId="15" xfId="1" applyFont="1" applyFill="1" applyBorder="1"/>
    <xf numFmtId="0" fontId="11" fillId="16" borderId="16" xfId="1" applyFont="1" applyFill="1" applyBorder="1"/>
    <xf numFmtId="41" fontId="3" fillId="0" borderId="12" xfId="48" applyNumberFormat="1" applyFont="1" applyBorder="1" applyProtection="1">
      <protection hidden="1"/>
    </xf>
    <xf numFmtId="41" fontId="37" fillId="0" borderId="0" xfId="1" applyNumberFormat="1" applyFont="1" applyBorder="1" applyAlignment="1">
      <alignment horizontal="left" indent="1"/>
    </xf>
    <xf numFmtId="41" fontId="37" fillId="0" borderId="18" xfId="1" applyNumberFormat="1" applyFont="1" applyBorder="1" applyAlignment="1">
      <alignment horizontal="left" indent="1"/>
    </xf>
    <xf numFmtId="182" fontId="21" fillId="0" borderId="12" xfId="1" applyNumberFormat="1" applyFont="1" applyFill="1" applyBorder="1"/>
    <xf numFmtId="182" fontId="21" fillId="0" borderId="0" xfId="1" applyNumberFormat="1" applyFont="1" applyBorder="1"/>
    <xf numFmtId="182" fontId="21" fillId="0" borderId="15" xfId="48" applyNumberFormat="1" applyFont="1" applyBorder="1"/>
    <xf numFmtId="182" fontId="21" fillId="0" borderId="12" xfId="1" applyNumberFormat="1" applyFont="1" applyBorder="1"/>
    <xf numFmtId="167" fontId="3" fillId="0" borderId="12" xfId="1" applyNumberFormat="1" applyFont="1" applyFill="1" applyBorder="1"/>
    <xf numFmtId="167" fontId="3" fillId="0" borderId="0" xfId="1" applyNumberFormat="1" applyFont="1" applyFill="1" applyBorder="1"/>
    <xf numFmtId="167" fontId="3" fillId="0" borderId="15" xfId="1" applyNumberFormat="1" applyFont="1" applyFill="1" applyBorder="1"/>
    <xf numFmtId="170" fontId="41" fillId="0" borderId="0" xfId="73" applyNumberFormat="1" applyFont="1" applyBorder="1"/>
    <xf numFmtId="170" fontId="41" fillId="0" borderId="15" xfId="73" applyNumberFormat="1" applyFont="1" applyBorder="1"/>
    <xf numFmtId="167" fontId="3" fillId="0" borderId="12" xfId="48" applyNumberFormat="1" applyFont="1" applyBorder="1"/>
    <xf numFmtId="167" fontId="3" fillId="0" borderId="0" xfId="48" applyNumberFormat="1" applyFont="1" applyBorder="1"/>
    <xf numFmtId="167" fontId="3" fillId="0" borderId="19" xfId="1" applyNumberFormat="1" applyFont="1" applyFill="1" applyBorder="1"/>
    <xf numFmtId="41" fontId="3" fillId="0" borderId="12" xfId="1" applyNumberFormat="1" applyFont="1" applyBorder="1" applyAlignment="1">
      <alignment horizontal="right"/>
    </xf>
    <xf numFmtId="41" fontId="21" fillId="0" borderId="12" xfId="1" applyNumberFormat="1" applyFont="1" applyBorder="1" applyAlignment="1">
      <alignment horizontal="right"/>
    </xf>
    <xf numFmtId="165" fontId="21" fillId="0" borderId="12" xfId="48" applyNumberFormat="1" applyFont="1" applyBorder="1" applyAlignment="1">
      <alignment horizontal="right"/>
    </xf>
    <xf numFmtId="7" fontId="21" fillId="0" borderId="12" xfId="1" applyNumberFormat="1" applyFont="1" applyBorder="1" applyAlignment="1">
      <alignment horizontal="right"/>
    </xf>
    <xf numFmtId="7" fontId="21" fillId="0" borderId="12" xfId="1" applyNumberFormat="1" applyFont="1" applyFill="1" applyBorder="1" applyAlignment="1">
      <alignment horizontal="right"/>
    </xf>
    <xf numFmtId="2" fontId="6" fillId="0" borderId="0" xfId="1" applyNumberFormat="1" applyFont="1" applyFill="1" applyBorder="1" applyAlignment="1">
      <alignment horizontal="left" indent="1"/>
    </xf>
    <xf numFmtId="41" fontId="21" fillId="0" borderId="12" xfId="1" applyNumberFormat="1" applyFont="1" applyBorder="1"/>
    <xf numFmtId="41" fontId="21" fillId="0" borderId="12" xfId="48" applyNumberFormat="1" applyFont="1" applyBorder="1" applyProtection="1">
      <protection hidden="1"/>
    </xf>
    <xf numFmtId="41" fontId="3" fillId="0" borderId="0" xfId="1" applyNumberFormat="1" applyFont="1" applyBorder="1" applyAlignment="1">
      <alignment horizontal="right"/>
    </xf>
    <xf numFmtId="41" fontId="21" fillId="0" borderId="0" xfId="1" applyNumberFormat="1" applyFont="1" applyBorder="1" applyAlignment="1">
      <alignment horizontal="right"/>
    </xf>
    <xf numFmtId="165" fontId="21" fillId="0" borderId="0" xfId="48" applyNumberFormat="1" applyFont="1" applyBorder="1" applyAlignment="1">
      <alignment horizontal="right"/>
    </xf>
    <xf numFmtId="7" fontId="21" fillId="0" borderId="0" xfId="1" applyNumberFormat="1" applyFont="1" applyBorder="1" applyAlignment="1">
      <alignment horizontal="right"/>
    </xf>
    <xf numFmtId="7" fontId="21" fillId="0" borderId="0" xfId="1" applyNumberFormat="1" applyFont="1" applyFill="1" applyBorder="1" applyAlignment="1">
      <alignment horizontal="right"/>
    </xf>
    <xf numFmtId="7" fontId="3" fillId="0" borderId="0" xfId="1" applyNumberFormat="1" applyFont="1" applyBorder="1" applyAlignment="1">
      <alignment horizontal="right"/>
    </xf>
    <xf numFmtId="41" fontId="21" fillId="0" borderId="0" xfId="1" applyNumberFormat="1" applyFont="1" applyBorder="1"/>
    <xf numFmtId="41" fontId="21" fillId="0" borderId="12" xfId="1" applyNumberFormat="1" applyFont="1" applyFill="1" applyBorder="1" applyAlignment="1">
      <alignment horizontal="right"/>
    </xf>
    <xf numFmtId="41" fontId="21" fillId="0" borderId="0" xfId="1" applyNumberFormat="1" applyFont="1" applyFill="1" applyBorder="1" applyAlignment="1">
      <alignment horizontal="right"/>
    </xf>
    <xf numFmtId="7" fontId="11" fillId="0" borderId="0" xfId="1" applyNumberFormat="1" applyFont="1" applyBorder="1"/>
    <xf numFmtId="41" fontId="11" fillId="0" borderId="15" xfId="1" applyNumberFormat="1" applyFont="1" applyFill="1" applyBorder="1"/>
    <xf numFmtId="41" fontId="12" fillId="0" borderId="12" xfId="1" applyNumberFormat="1" applyFont="1" applyBorder="1" applyAlignment="1">
      <alignment horizontal="right"/>
    </xf>
    <xf numFmtId="41" fontId="12" fillId="0" borderId="0" xfId="48" applyNumberFormat="1" applyFont="1" applyBorder="1" applyProtection="1">
      <protection hidden="1"/>
    </xf>
    <xf numFmtId="41" fontId="12" fillId="0" borderId="15" xfId="1" applyNumberFormat="1" applyFont="1" applyFill="1" applyBorder="1" applyAlignment="1">
      <alignment horizontal="right"/>
    </xf>
    <xf numFmtId="41" fontId="12" fillId="0" borderId="0" xfId="1" applyNumberFormat="1" applyFont="1" applyBorder="1"/>
    <xf numFmtId="0" fontId="12" fillId="0" borderId="12" xfId="1" applyFont="1" applyBorder="1"/>
    <xf numFmtId="41" fontId="11" fillId="0" borderId="0" xfId="48" applyNumberFormat="1" applyFont="1" applyBorder="1" applyProtection="1">
      <protection hidden="1"/>
    </xf>
    <xf numFmtId="41" fontId="11" fillId="0" borderId="15" xfId="1" applyNumberFormat="1" applyFont="1" applyFill="1" applyBorder="1" applyAlignment="1">
      <alignment horizontal="right"/>
    </xf>
    <xf numFmtId="41" fontId="11" fillId="0" borderId="12" xfId="1" applyNumberFormat="1" applyFont="1" applyFill="1" applyBorder="1"/>
    <xf numFmtId="41" fontId="12" fillId="0" borderId="12" xfId="1" applyNumberFormat="1" applyFont="1" applyFill="1" applyBorder="1" applyAlignment="1">
      <alignment horizontal="right"/>
    </xf>
    <xf numFmtId="41" fontId="12" fillId="0" borderId="0" xfId="1" applyNumberFormat="1" applyFont="1" applyFill="1" applyBorder="1" applyAlignment="1">
      <alignment horizontal="right"/>
    </xf>
    <xf numFmtId="41" fontId="12" fillId="0" borderId="0" xfId="48" applyNumberFormat="1" applyFont="1" applyFill="1" applyBorder="1" applyProtection="1">
      <protection hidden="1"/>
    </xf>
    <xf numFmtId="41" fontId="11" fillId="0" borderId="12" xfId="1" applyNumberFormat="1" applyFont="1" applyFill="1" applyBorder="1" applyAlignment="1">
      <alignment horizontal="right"/>
    </xf>
    <xf numFmtId="41" fontId="11" fillId="0" borderId="0" xfId="1" applyNumberFormat="1" applyFont="1" applyFill="1" applyBorder="1" applyAlignment="1">
      <alignment horizontal="right"/>
    </xf>
    <xf numFmtId="41" fontId="11" fillId="0" borderId="0" xfId="48" applyNumberFormat="1" applyFont="1" applyFill="1" applyBorder="1" applyProtection="1">
      <protection hidden="1"/>
    </xf>
    <xf numFmtId="41" fontId="12" fillId="0" borderId="15" xfId="1" applyNumberFormat="1" applyFont="1" applyBorder="1" applyAlignment="1">
      <alignment horizontal="right"/>
    </xf>
    <xf numFmtId="170" fontId="42" fillId="0" borderId="0" xfId="73" applyNumberFormat="1" applyFont="1" applyBorder="1"/>
    <xf numFmtId="170" fontId="42" fillId="0" borderId="15" xfId="73" applyNumberFormat="1" applyFont="1" applyBorder="1"/>
    <xf numFmtId="41" fontId="11" fillId="0" borderId="14" xfId="1" applyNumberFormat="1" applyFont="1" applyBorder="1" applyAlignment="1">
      <alignment horizontal="right"/>
    </xf>
    <xf numFmtId="41" fontId="11" fillId="0" borderId="13" xfId="1" applyNumberFormat="1" applyFont="1" applyBorder="1" applyAlignment="1">
      <alignment horizontal="right"/>
    </xf>
    <xf numFmtId="41" fontId="11" fillId="0" borderId="13" xfId="48" applyNumberFormat="1" applyFont="1" applyBorder="1" applyProtection="1">
      <protection hidden="1"/>
    </xf>
    <xf numFmtId="41" fontId="11" fillId="0" borderId="18" xfId="1" applyNumberFormat="1" applyFont="1" applyBorder="1" applyAlignment="1">
      <alignment horizontal="right"/>
    </xf>
    <xf numFmtId="41" fontId="11" fillId="0" borderId="15" xfId="48" applyNumberFormat="1" applyFont="1" applyBorder="1" applyProtection="1">
      <protection hidden="1"/>
    </xf>
    <xf numFmtId="165" fontId="11" fillId="0" borderId="0" xfId="1" applyNumberFormat="1" applyFont="1" applyBorder="1"/>
    <xf numFmtId="165" fontId="11" fillId="0" borderId="12" xfId="1" applyNumberFormat="1" applyFont="1" applyBorder="1"/>
    <xf numFmtId="2" fontId="11" fillId="0" borderId="12" xfId="1" applyNumberFormat="1" applyFont="1" applyBorder="1" applyAlignment="1">
      <alignment horizontal="right"/>
    </xf>
    <xf numFmtId="2" fontId="11" fillId="0" borderId="0" xfId="1" applyNumberFormat="1" applyFont="1" applyBorder="1" applyAlignment="1">
      <alignment horizontal="right"/>
    </xf>
    <xf numFmtId="165" fontId="11" fillId="0" borderId="0" xfId="48" applyNumberFormat="1" applyFont="1" applyBorder="1" applyProtection="1">
      <protection hidden="1"/>
    </xf>
    <xf numFmtId="2" fontId="11" fillId="0" borderId="15" xfId="1" applyNumberFormat="1" applyFont="1" applyBorder="1" applyAlignment="1">
      <alignment horizontal="right"/>
    </xf>
    <xf numFmtId="7" fontId="12" fillId="0" borderId="12" xfId="1" applyNumberFormat="1" applyFont="1" applyBorder="1" applyAlignment="1">
      <alignment horizontal="right"/>
    </xf>
    <xf numFmtId="7" fontId="12" fillId="0" borderId="0" xfId="1" applyNumberFormat="1" applyFont="1" applyBorder="1" applyAlignment="1">
      <alignment horizontal="right"/>
    </xf>
    <xf numFmtId="7" fontId="12" fillId="0" borderId="0" xfId="48" applyNumberFormat="1" applyFont="1" applyBorder="1" applyProtection="1">
      <protection hidden="1"/>
    </xf>
    <xf numFmtId="7" fontId="12" fillId="0" borderId="15" xfId="1" applyNumberFormat="1" applyFont="1" applyBorder="1" applyAlignment="1">
      <alignment horizontal="right"/>
    </xf>
    <xf numFmtId="165" fontId="11" fillId="0" borderId="15" xfId="48" applyNumberFormat="1" applyFont="1" applyBorder="1" applyProtection="1">
      <protection hidden="1"/>
    </xf>
    <xf numFmtId="7" fontId="11" fillId="0" borderId="12" xfId="1" applyNumberFormat="1" applyFont="1" applyBorder="1" applyAlignment="1">
      <alignment horizontal="right"/>
    </xf>
    <xf numFmtId="7" fontId="11" fillId="0" borderId="0" xfId="1" applyNumberFormat="1" applyFont="1" applyBorder="1" applyAlignment="1">
      <alignment horizontal="right"/>
    </xf>
    <xf numFmtId="7" fontId="11" fillId="0" borderId="0" xfId="48" applyNumberFormat="1" applyFont="1" applyBorder="1" applyProtection="1">
      <protection hidden="1"/>
    </xf>
    <xf numFmtId="2" fontId="11" fillId="16" borderId="14" xfId="1" applyNumberFormat="1" applyFont="1" applyFill="1" applyBorder="1" applyAlignment="1">
      <alignment horizontal="right"/>
    </xf>
    <xf numFmtId="2" fontId="11" fillId="16" borderId="13" xfId="1" applyNumberFormat="1" applyFont="1" applyFill="1" applyBorder="1" applyAlignment="1">
      <alignment horizontal="right"/>
    </xf>
    <xf numFmtId="2" fontId="11" fillId="16" borderId="18" xfId="1" applyNumberFormat="1" applyFont="1" applyFill="1" applyBorder="1" applyAlignment="1">
      <alignment horizontal="right"/>
    </xf>
    <xf numFmtId="41" fontId="12" fillId="0" borderId="12" xfId="1" applyNumberFormat="1" applyFont="1" applyBorder="1"/>
    <xf numFmtId="41" fontId="12" fillId="0" borderId="15" xfId="1" applyNumberFormat="1" applyFont="1" applyBorder="1"/>
    <xf numFmtId="41" fontId="3" fillId="17" borderId="12" xfId="1" applyNumberFormat="1" applyFont="1" applyFill="1" applyBorder="1"/>
    <xf numFmtId="41" fontId="21" fillId="0" borderId="15" xfId="1" applyNumberFormat="1" applyFont="1" applyFill="1" applyBorder="1" applyAlignment="1">
      <alignment horizontal="right"/>
    </xf>
    <xf numFmtId="165" fontId="21" fillId="0" borderId="0" xfId="48" applyNumberFormat="1" applyFont="1" applyBorder="1" applyProtection="1">
      <protection hidden="1"/>
    </xf>
    <xf numFmtId="165" fontId="21" fillId="0" borderId="15" xfId="48" applyNumberFormat="1" applyFont="1" applyFill="1" applyBorder="1" applyAlignment="1">
      <alignment horizontal="right"/>
    </xf>
    <xf numFmtId="41" fontId="21" fillId="0" borderId="0" xfId="48" applyNumberFormat="1" applyFont="1" applyFill="1" applyBorder="1" applyProtection="1">
      <protection hidden="1"/>
    </xf>
    <xf numFmtId="41" fontId="21" fillId="0" borderId="15" xfId="1" applyNumberFormat="1" applyFont="1" applyBorder="1" applyAlignment="1">
      <alignment horizontal="right"/>
    </xf>
    <xf numFmtId="41" fontId="3" fillId="0" borderId="15" xfId="1" applyNumberFormat="1" applyFont="1" applyFill="1" applyBorder="1" applyAlignment="1">
      <alignment horizontal="right"/>
    </xf>
    <xf numFmtId="170" fontId="41" fillId="0" borderId="14" xfId="73" applyNumberFormat="1" applyFont="1" applyBorder="1"/>
    <xf numFmtId="170" fontId="41" fillId="0" borderId="13" xfId="73" applyNumberFormat="1" applyFont="1" applyBorder="1"/>
    <xf numFmtId="170" fontId="41" fillId="0" borderId="18" xfId="73" applyNumberFormat="1" applyFont="1" applyBorder="1"/>
    <xf numFmtId="41" fontId="3" fillId="0" borderId="15" xfId="1" applyNumberFormat="1" applyFont="1" applyBorder="1" applyAlignment="1">
      <alignment horizontal="right"/>
    </xf>
    <xf numFmtId="41" fontId="3" fillId="0" borderId="13" xfId="1" applyNumberFormat="1" applyFont="1" applyBorder="1" applyAlignment="1">
      <alignment horizontal="right"/>
    </xf>
    <xf numFmtId="41" fontId="3" fillId="0" borderId="18" xfId="1" applyNumberFormat="1" applyFont="1" applyBorder="1" applyAlignment="1">
      <alignment horizontal="right"/>
    </xf>
    <xf numFmtId="41" fontId="3" fillId="0" borderId="14" xfId="1" applyNumberFormat="1" applyFont="1" applyBorder="1" applyAlignment="1">
      <alignment horizontal="right"/>
    </xf>
    <xf numFmtId="7" fontId="21" fillId="0" borderId="0" xfId="48" applyNumberFormat="1" applyFont="1" applyBorder="1" applyProtection="1">
      <protection hidden="1"/>
    </xf>
    <xf numFmtId="7" fontId="21" fillId="0" borderId="15" xfId="1" applyNumberFormat="1" applyFont="1" applyBorder="1" applyAlignment="1">
      <alignment horizontal="right"/>
    </xf>
    <xf numFmtId="7" fontId="21" fillId="0" borderId="0" xfId="48" applyNumberFormat="1" applyFont="1" applyFill="1" applyBorder="1" applyProtection="1">
      <protection hidden="1"/>
    </xf>
    <xf numFmtId="7" fontId="21" fillId="0" borderId="15" xfId="1" applyNumberFormat="1" applyFont="1" applyFill="1" applyBorder="1" applyAlignment="1">
      <alignment horizontal="right"/>
    </xf>
    <xf numFmtId="165" fontId="3" fillId="0" borderId="15" xfId="48" applyNumberFormat="1" applyFont="1" applyBorder="1" applyProtection="1">
      <protection hidden="1"/>
    </xf>
    <xf numFmtId="7" fontId="3" fillId="0" borderId="15" xfId="1" applyNumberFormat="1" applyFont="1" applyBorder="1" applyAlignment="1">
      <alignment horizontal="right"/>
    </xf>
    <xf numFmtId="7" fontId="3" fillId="0" borderId="0" xfId="48" applyNumberFormat="1" applyFont="1" applyBorder="1" applyProtection="1">
      <protection hidden="1"/>
    </xf>
    <xf numFmtId="41" fontId="21" fillId="0" borderId="15" xfId="1" applyNumberFormat="1" applyFont="1" applyBorder="1"/>
    <xf numFmtId="41" fontId="11" fillId="0" borderId="12" xfId="1" quotePrefix="1" applyNumberFormat="1" applyFont="1" applyBorder="1" applyAlignment="1">
      <alignment horizontal="right"/>
    </xf>
    <xf numFmtId="170" fontId="11" fillId="0" borderId="12" xfId="73" applyNumberFormat="1" applyFont="1" applyBorder="1"/>
    <xf numFmtId="170" fontId="11" fillId="0" borderId="0" xfId="73" applyNumberFormat="1" applyFont="1" applyBorder="1"/>
    <xf numFmtId="170" fontId="11" fillId="0" borderId="15" xfId="73" applyNumberFormat="1" applyFont="1" applyBorder="1"/>
    <xf numFmtId="41" fontId="11" fillId="16" borderId="14" xfId="1" applyNumberFormat="1" applyFont="1" applyFill="1" applyBorder="1"/>
    <xf numFmtId="41" fontId="11" fillId="16" borderId="13" xfId="1" applyNumberFormat="1" applyFont="1" applyFill="1" applyBorder="1"/>
    <xf numFmtId="41" fontId="11" fillId="16" borderId="18" xfId="1" applyNumberFormat="1" applyFont="1" applyFill="1" applyBorder="1"/>
    <xf numFmtId="41" fontId="11" fillId="0" borderId="15" xfId="48" applyNumberFormat="1" applyFont="1" applyFill="1" applyBorder="1" applyProtection="1">
      <protection hidden="1"/>
    </xf>
    <xf numFmtId="41" fontId="11" fillId="0" borderId="12" xfId="48" applyNumberFormat="1" applyFont="1" applyBorder="1" applyProtection="1">
      <protection hidden="1"/>
    </xf>
    <xf numFmtId="41" fontId="11" fillId="0" borderId="12" xfId="48" applyNumberFormat="1" applyFont="1" applyFill="1" applyBorder="1" applyProtection="1">
      <protection hidden="1"/>
    </xf>
    <xf numFmtId="41" fontId="12" fillId="0" borderId="12" xfId="48" applyNumberFormat="1" applyFont="1" applyBorder="1" applyProtection="1">
      <protection hidden="1"/>
    </xf>
    <xf numFmtId="170" fontId="3" fillId="0" borderId="12" xfId="73" applyNumberFormat="1" applyFont="1" applyBorder="1"/>
    <xf numFmtId="170" fontId="3" fillId="0" borderId="0" xfId="73" applyNumberFormat="1" applyFont="1" applyBorder="1"/>
    <xf numFmtId="170" fontId="3" fillId="0" borderId="15" xfId="73" applyNumberFormat="1" applyFont="1" applyBorder="1"/>
    <xf numFmtId="185" fontId="3" fillId="0" borderId="0" xfId="73" applyNumberFormat="1" applyFont="1" applyBorder="1"/>
    <xf numFmtId="185" fontId="3" fillId="0" borderId="15" xfId="73" applyNumberFormat="1" applyFont="1" applyBorder="1"/>
    <xf numFmtId="184" fontId="3" fillId="0" borderId="0" xfId="1" applyNumberFormat="1" applyFont="1" applyBorder="1"/>
    <xf numFmtId="184" fontId="3" fillId="0" borderId="15" xfId="1" applyNumberFormat="1" applyFont="1" applyBorder="1"/>
    <xf numFmtId="184" fontId="3" fillId="0" borderId="12" xfId="1" applyNumberFormat="1" applyFont="1" applyBorder="1"/>
    <xf numFmtId="41" fontId="3" fillId="0" borderId="15" xfId="48" applyNumberFormat="1" applyFont="1" applyFill="1" applyBorder="1" applyProtection="1">
      <protection hidden="1"/>
    </xf>
    <xf numFmtId="41" fontId="21" fillId="0" borderId="15" xfId="48" applyNumberFormat="1" applyFont="1" applyBorder="1" applyProtection="1">
      <protection hidden="1"/>
    </xf>
    <xf numFmtId="5" fontId="11" fillId="0" borderId="0" xfId="48" applyNumberFormat="1" applyFont="1" applyBorder="1" applyProtection="1">
      <protection hidden="1"/>
    </xf>
    <xf numFmtId="5" fontId="11" fillId="0" borderId="15" xfId="48" applyNumberFormat="1" applyFont="1" applyBorder="1" applyProtection="1">
      <protection hidden="1"/>
    </xf>
    <xf numFmtId="7" fontId="11" fillId="0" borderId="15" xfId="48" applyNumberFormat="1" applyFont="1" applyBorder="1" applyProtection="1">
      <protection hidden="1"/>
    </xf>
    <xf numFmtId="41" fontId="42" fillId="0" borderId="0" xfId="1" applyNumberFormat="1" applyFont="1" applyBorder="1"/>
    <xf numFmtId="41" fontId="42" fillId="0" borderId="15" xfId="1" applyNumberFormat="1" applyFont="1" applyBorder="1"/>
    <xf numFmtId="41" fontId="42" fillId="0" borderId="12" xfId="48" applyNumberFormat="1" applyFont="1" applyBorder="1" applyProtection="1">
      <protection hidden="1"/>
    </xf>
    <xf numFmtId="0" fontId="42" fillId="0" borderId="0" xfId="1" applyFont="1" applyBorder="1"/>
    <xf numFmtId="0" fontId="42" fillId="0" borderId="15" xfId="1" applyFont="1" applyBorder="1"/>
    <xf numFmtId="41" fontId="11" fillId="16" borderId="0" xfId="1" applyNumberFormat="1" applyFont="1" applyFill="1" applyBorder="1"/>
    <xf numFmtId="41" fontId="11" fillId="16" borderId="15" xfId="1" applyNumberFormat="1" applyFont="1" applyFill="1" applyBorder="1"/>
    <xf numFmtId="41" fontId="11" fillId="16" borderId="12" xfId="48" applyNumberFormat="1" applyFont="1" applyFill="1" applyBorder="1" applyProtection="1">
      <protection hidden="1"/>
    </xf>
    <xf numFmtId="41" fontId="11" fillId="15" borderId="15" xfId="1" applyNumberFormat="1" applyFont="1" applyFill="1" applyBorder="1"/>
    <xf numFmtId="170" fontId="42" fillId="0" borderId="12" xfId="73" applyNumberFormat="1" applyFont="1" applyBorder="1"/>
    <xf numFmtId="165" fontId="11" fillId="0" borderId="0" xfId="48" applyNumberFormat="1" applyFont="1" applyBorder="1"/>
    <xf numFmtId="165" fontId="11" fillId="0" borderId="12" xfId="48" applyNumberFormat="1" applyFont="1" applyBorder="1"/>
    <xf numFmtId="174" fontId="11" fillId="0" borderId="0" xfId="1" applyNumberFormat="1" applyFont="1" applyBorder="1"/>
    <xf numFmtId="174" fontId="11" fillId="0" borderId="15" xfId="1" applyNumberFormat="1" applyFont="1" applyBorder="1"/>
    <xf numFmtId="174" fontId="11" fillId="0" borderId="12" xfId="1" applyNumberFormat="1" applyFont="1" applyBorder="1"/>
    <xf numFmtId="41" fontId="11" fillId="15" borderId="0" xfId="1" applyNumberFormat="1" applyFont="1" applyFill="1" applyBorder="1"/>
    <xf numFmtId="41" fontId="11" fillId="15" borderId="12" xfId="1" applyNumberFormat="1" applyFont="1" applyFill="1" applyBorder="1"/>
    <xf numFmtId="173" fontId="11" fillId="0" borderId="0" xfId="1" applyNumberFormat="1" applyFont="1" applyBorder="1"/>
    <xf numFmtId="175" fontId="11" fillId="0" borderId="15" xfId="48" applyNumberFormat="1" applyFont="1" applyBorder="1"/>
    <xf numFmtId="173" fontId="11" fillId="0" borderId="12" xfId="1" applyNumberFormat="1" applyFont="1" applyBorder="1"/>
    <xf numFmtId="173" fontId="11" fillId="0" borderId="15" xfId="1" applyNumberFormat="1" applyFont="1" applyBorder="1"/>
    <xf numFmtId="173" fontId="11" fillId="0" borderId="19" xfId="1" applyNumberFormat="1" applyFont="1" applyBorder="1"/>
    <xf numFmtId="170" fontId="42" fillId="0" borderId="19" xfId="73" applyNumberFormat="1" applyFont="1" applyBorder="1"/>
    <xf numFmtId="41" fontId="12" fillId="0" borderId="19" xfId="1" applyNumberFormat="1" applyFont="1" applyBorder="1"/>
    <xf numFmtId="43" fontId="42" fillId="0" borderId="0" xfId="48" applyFont="1" applyBorder="1"/>
    <xf numFmtId="43" fontId="42" fillId="0" borderId="19" xfId="48" applyFont="1" applyBorder="1"/>
    <xf numFmtId="43" fontId="42" fillId="0" borderId="12" xfId="48" applyFont="1" applyBorder="1"/>
    <xf numFmtId="182" fontId="11" fillId="0" borderId="0" xfId="1" applyNumberFormat="1" applyFont="1" applyBorder="1"/>
    <xf numFmtId="182" fontId="11" fillId="0" borderId="19" xfId="48" applyNumberFormat="1" applyFont="1" applyBorder="1"/>
    <xf numFmtId="182" fontId="11" fillId="0" borderId="12" xfId="1" applyNumberFormat="1" applyFont="1" applyBorder="1"/>
    <xf numFmtId="182" fontId="11" fillId="0" borderId="15" xfId="48" applyNumberFormat="1" applyFont="1" applyBorder="1"/>
    <xf numFmtId="182" fontId="11" fillId="0" borderId="15" xfId="1" applyNumberFormat="1" applyFont="1" applyBorder="1"/>
    <xf numFmtId="182" fontId="12" fillId="0" borderId="0" xfId="1" applyNumberFormat="1" applyFont="1" applyBorder="1"/>
    <xf numFmtId="182" fontId="12" fillId="0" borderId="15" xfId="48" applyNumberFormat="1" applyFont="1" applyBorder="1"/>
    <xf numFmtId="0" fontId="12" fillId="0" borderId="15" xfId="1" applyFont="1" applyBorder="1"/>
    <xf numFmtId="167" fontId="11" fillId="0" borderId="0" xfId="48" applyNumberFormat="1" applyFont="1" applyBorder="1"/>
    <xf numFmtId="167" fontId="11" fillId="0" borderId="15" xfId="48" applyNumberFormat="1" applyFont="1" applyBorder="1"/>
    <xf numFmtId="167" fontId="11" fillId="0" borderId="12" xfId="48" applyNumberFormat="1" applyFont="1" applyBorder="1"/>
    <xf numFmtId="5" fontId="3" fillId="0" borderId="12" xfId="48" applyNumberFormat="1" applyFont="1" applyBorder="1" applyProtection="1">
      <protection hidden="1"/>
    </xf>
    <xf numFmtId="5" fontId="3" fillId="0" borderId="0" xfId="1" applyNumberFormat="1" applyFont="1" applyBorder="1"/>
    <xf numFmtId="5" fontId="3" fillId="0" borderId="0" xfId="48" applyNumberFormat="1" applyFont="1" applyBorder="1" applyProtection="1">
      <protection hidden="1"/>
    </xf>
    <xf numFmtId="7" fontId="3" fillId="0" borderId="12" xfId="48" applyNumberFormat="1" applyFont="1" applyBorder="1" applyProtection="1">
      <protection hidden="1"/>
    </xf>
    <xf numFmtId="170" fontId="41" fillId="0" borderId="12" xfId="73" applyNumberFormat="1" applyFont="1" applyBorder="1"/>
    <xf numFmtId="41" fontId="21" fillId="0" borderId="12" xfId="48" applyNumberFormat="1" applyFont="1" applyBorder="1"/>
    <xf numFmtId="41" fontId="21" fillId="0" borderId="0" xfId="48" applyNumberFormat="1" applyFont="1" applyBorder="1"/>
    <xf numFmtId="41" fontId="21" fillId="0" borderId="15" xfId="48" applyNumberFormat="1" applyFont="1" applyBorder="1"/>
    <xf numFmtId="173" fontId="3" fillId="0" borderId="15" xfId="1" applyNumberFormat="1" applyFont="1" applyBorder="1"/>
    <xf numFmtId="173" fontId="3" fillId="0" borderId="12" xfId="1" applyNumberFormat="1" applyFont="1" applyBorder="1"/>
    <xf numFmtId="173" fontId="3" fillId="0" borderId="0" xfId="1" applyNumberFormat="1" applyFont="1" applyBorder="1"/>
    <xf numFmtId="170" fontId="41" fillId="0" borderId="19" xfId="73" applyNumberFormat="1" applyFont="1" applyBorder="1"/>
    <xf numFmtId="173" fontId="3" fillId="0" borderId="19" xfId="1" applyNumberFormat="1" applyFont="1" applyBorder="1"/>
    <xf numFmtId="182" fontId="3" fillId="0" borderId="15" xfId="1" applyNumberFormat="1" applyFont="1" applyBorder="1"/>
    <xf numFmtId="182" fontId="3" fillId="0" borderId="12" xfId="1" applyNumberFormat="1" applyFont="1" applyBorder="1"/>
    <xf numFmtId="182" fontId="3" fillId="0" borderId="0" xfId="1" applyNumberFormat="1" applyFont="1" applyBorder="1"/>
    <xf numFmtId="182" fontId="21" fillId="0" borderId="15" xfId="1" applyNumberFormat="1" applyFont="1" applyBorder="1"/>
    <xf numFmtId="167" fontId="3" fillId="0" borderId="12" xfId="1" applyNumberFormat="1" applyFont="1" applyBorder="1"/>
    <xf numFmtId="167" fontId="3" fillId="0" borderId="0" xfId="1" applyNumberFormat="1" applyFont="1" applyBorder="1"/>
    <xf numFmtId="167" fontId="3" fillId="0" borderId="15" xfId="1" applyNumberFormat="1" applyFont="1" applyBorder="1"/>
    <xf numFmtId="165" fontId="21" fillId="0" borderId="15" xfId="48" applyNumberFormat="1" applyFont="1" applyBorder="1"/>
    <xf numFmtId="165" fontId="21" fillId="0" borderId="12" xfId="48" applyNumberFormat="1" applyFont="1" applyBorder="1"/>
    <xf numFmtId="165" fontId="21" fillId="0" borderId="0" xfId="48" applyNumberFormat="1" applyFont="1" applyBorder="1"/>
    <xf numFmtId="173" fontId="42" fillId="0" borderId="12" xfId="1" applyNumberFormat="1" applyFont="1" applyFill="1" applyBorder="1"/>
    <xf numFmtId="173" fontId="42" fillId="0" borderId="0" xfId="1" applyNumberFormat="1" applyFont="1" applyBorder="1"/>
    <xf numFmtId="173" fontId="42" fillId="0" borderId="15" xfId="1" applyNumberFormat="1" applyFont="1" applyBorder="1"/>
    <xf numFmtId="41" fontId="11" fillId="0" borderId="0" xfId="1" quotePrefix="1" applyNumberFormat="1" applyFont="1" applyBorder="1" applyAlignment="1">
      <alignment horizontal="right"/>
    </xf>
    <xf numFmtId="41" fontId="11" fillId="0" borderId="15" xfId="1" quotePrefix="1" applyNumberFormat="1" applyFont="1" applyBorder="1" applyAlignment="1">
      <alignment horizontal="right"/>
    </xf>
    <xf numFmtId="173" fontId="11" fillId="0" borderId="12" xfId="1" applyNumberFormat="1" applyFont="1" applyFill="1" applyBorder="1"/>
    <xf numFmtId="173" fontId="42" fillId="0" borderId="19" xfId="1" applyNumberFormat="1" applyFont="1" applyBorder="1"/>
    <xf numFmtId="182" fontId="12" fillId="0" borderId="12" xfId="1" applyNumberFormat="1" applyFont="1" applyFill="1" applyBorder="1"/>
    <xf numFmtId="165" fontId="3" fillId="0" borderId="12" xfId="48" applyNumberFormat="1" applyFont="1" applyBorder="1"/>
    <xf numFmtId="173" fontId="3" fillId="0" borderId="12" xfId="1" applyNumberFormat="1" applyFont="1" applyFill="1" applyBorder="1"/>
    <xf numFmtId="182" fontId="3" fillId="0" borderId="12" xfId="1" applyNumberFormat="1" applyFont="1" applyFill="1" applyBorder="1"/>
    <xf numFmtId="182" fontId="3" fillId="0" borderId="19" xfId="1" applyNumberFormat="1" applyFont="1" applyBorder="1"/>
    <xf numFmtId="165" fontId="21" fillId="0" borderId="0" xfId="48" applyNumberFormat="1" applyFont="1" applyFill="1" applyBorder="1" applyAlignment="1">
      <alignment horizontal="right"/>
    </xf>
    <xf numFmtId="41" fontId="11" fillId="17" borderId="0" xfId="1" applyNumberFormat="1" applyFont="1" applyFill="1" applyBorder="1"/>
    <xf numFmtId="7" fontId="11" fillId="0" borderId="12" xfId="48" applyNumberFormat="1" applyFont="1" applyBorder="1" applyProtection="1">
      <protection hidden="1"/>
    </xf>
    <xf numFmtId="5" fontId="11" fillId="0" borderId="12" xfId="48" applyNumberFormat="1" applyFont="1" applyBorder="1" applyProtection="1">
      <protection hidden="1"/>
    </xf>
    <xf numFmtId="37" fontId="11" fillId="17" borderId="0" xfId="1" applyNumberFormat="1" applyFont="1" applyFill="1" applyBorder="1"/>
    <xf numFmtId="172" fontId="11" fillId="0" borderId="0" xfId="1" applyNumberFormat="1" applyFont="1" applyBorder="1"/>
    <xf numFmtId="173" fontId="11" fillId="17" borderId="15" xfId="1" applyNumberFormat="1" applyFont="1" applyFill="1" applyBorder="1"/>
    <xf numFmtId="173" fontId="3" fillId="17" borderId="15" xfId="1" applyNumberFormat="1" applyFont="1" applyFill="1" applyBorder="1"/>
    <xf numFmtId="9" fontId="11" fillId="0" borderId="15" xfId="73" applyFont="1" applyBorder="1" applyProtection="1">
      <protection hidden="1"/>
    </xf>
    <xf numFmtId="7" fontId="37" fillId="0" borderId="0" xfId="73" applyNumberFormat="1" applyFont="1" applyBorder="1"/>
    <xf numFmtId="37" fontId="11" fillId="0" borderId="0" xfId="1" applyNumberFormat="1" applyFont="1" applyBorder="1"/>
    <xf numFmtId="8" fontId="11" fillId="0" borderId="0" xfId="1" applyNumberFormat="1" applyFont="1" applyBorder="1"/>
    <xf numFmtId="182" fontId="11" fillId="0" borderId="0" xfId="1" applyNumberFormat="1" applyFont="1" applyFill="1" applyBorder="1"/>
    <xf numFmtId="41" fontId="34" fillId="0" borderId="12" xfId="1" applyNumberFormat="1" applyFont="1" applyBorder="1" applyAlignment="1">
      <alignment horizontal="right"/>
    </xf>
    <xf numFmtId="165" fontId="11" fillId="0" borderId="12" xfId="1" applyNumberFormat="1" applyFont="1" applyFill="1" applyBorder="1"/>
    <xf numFmtId="41" fontId="34" fillId="0" borderId="12" xfId="1" applyNumberFormat="1" applyFont="1" applyFill="1" applyBorder="1"/>
    <xf numFmtId="170" fontId="43" fillId="0" borderId="12" xfId="73" applyNumberFormat="1" applyFont="1" applyFill="1" applyBorder="1"/>
    <xf numFmtId="41" fontId="9" fillId="0" borderId="12" xfId="1" applyNumberFormat="1" applyFont="1" applyFill="1" applyBorder="1"/>
    <xf numFmtId="172" fontId="11" fillId="0" borderId="12" xfId="1" applyNumberFormat="1" applyFont="1" applyFill="1" applyBorder="1"/>
    <xf numFmtId="173" fontId="9" fillId="0" borderId="12" xfId="1" applyNumberFormat="1" applyFont="1" applyFill="1" applyBorder="1"/>
    <xf numFmtId="182" fontId="11" fillId="0" borderId="12" xfId="1" applyNumberFormat="1" applyFont="1" applyFill="1" applyBorder="1"/>
    <xf numFmtId="182" fontId="9" fillId="0" borderId="0" xfId="1" applyNumberFormat="1" applyFont="1" applyFill="1" applyBorder="1"/>
    <xf numFmtId="170" fontId="43" fillId="0" borderId="12" xfId="73" applyNumberFormat="1" applyFont="1" applyBorder="1"/>
    <xf numFmtId="182" fontId="34" fillId="0" borderId="12" xfId="1" applyNumberFormat="1" applyFont="1" applyBorder="1"/>
    <xf numFmtId="173" fontId="9" fillId="0" borderId="12" xfId="1" applyNumberFormat="1" applyFont="1" applyBorder="1"/>
    <xf numFmtId="41" fontId="12" fillId="0" borderId="12" xfId="1" applyNumberFormat="1" applyFont="1" applyFill="1" applyBorder="1"/>
    <xf numFmtId="165" fontId="34" fillId="0" borderId="12" xfId="48" applyNumberFormat="1" applyFont="1" applyFill="1" applyBorder="1"/>
    <xf numFmtId="41" fontId="34" fillId="0" borderId="12" xfId="48" applyNumberFormat="1" applyFont="1" applyBorder="1"/>
    <xf numFmtId="170" fontId="43" fillId="0" borderId="0" xfId="73" applyNumberFormat="1" applyFont="1" applyBorder="1"/>
    <xf numFmtId="170" fontId="28" fillId="0" borderId="0" xfId="73" applyNumberFormat="1" applyFont="1" applyBorder="1" applyAlignment="1">
      <alignment horizontal="right"/>
    </xf>
    <xf numFmtId="0" fontId="8" fillId="16" borderId="0" xfId="1" applyFont="1" applyFill="1" applyBorder="1" applyAlignment="1">
      <alignment horizontal="right"/>
    </xf>
    <xf numFmtId="0" fontId="3" fillId="16" borderId="12" xfId="1" applyFont="1" applyFill="1" applyBorder="1" applyAlignment="1">
      <alignment horizontal="right"/>
    </xf>
    <xf numFmtId="0" fontId="3" fillId="16" borderId="0" xfId="1" applyFont="1" applyFill="1" applyBorder="1" applyAlignment="1">
      <alignment horizontal="right"/>
    </xf>
    <xf numFmtId="0" fontId="3" fillId="16" borderId="15" xfId="1" applyFont="1" applyFill="1" applyBorder="1" applyAlignment="1">
      <alignment horizontal="right"/>
    </xf>
    <xf numFmtId="0" fontId="11" fillId="0" borderId="0" xfId="1" applyFont="1" applyFill="1" applyBorder="1" applyAlignment="1">
      <alignment horizontal="right"/>
    </xf>
    <xf numFmtId="41" fontId="34" fillId="0" borderId="0" xfId="1" applyNumberFormat="1" applyFont="1" applyBorder="1" applyAlignment="1">
      <alignment horizontal="right"/>
    </xf>
    <xf numFmtId="186" fontId="14" fillId="0" borderId="0" xfId="1" applyNumberFormat="1" applyFont="1" applyBorder="1"/>
    <xf numFmtId="186" fontId="13" fillId="0" borderId="0" xfId="1" applyNumberFormat="1" applyFont="1" applyBorder="1"/>
    <xf numFmtId="41" fontId="34" fillId="0" borderId="0" xfId="1" applyNumberFormat="1" applyFont="1" applyFill="1" applyBorder="1"/>
    <xf numFmtId="165" fontId="11" fillId="0" borderId="0" xfId="1" applyNumberFormat="1" applyFont="1" applyFill="1" applyBorder="1"/>
    <xf numFmtId="170" fontId="43" fillId="0" borderId="0" xfId="73" applyNumberFormat="1" applyFont="1" applyFill="1" applyBorder="1"/>
    <xf numFmtId="173" fontId="9" fillId="0" borderId="0" xfId="1" applyNumberFormat="1" applyFont="1" applyFill="1" applyBorder="1"/>
    <xf numFmtId="172" fontId="11" fillId="0" borderId="0" xfId="1" applyNumberFormat="1" applyFont="1" applyFill="1" applyBorder="1"/>
    <xf numFmtId="41" fontId="9" fillId="0" borderId="0" xfId="1" applyNumberFormat="1" applyFont="1" applyFill="1" applyBorder="1"/>
    <xf numFmtId="170" fontId="11" fillId="0" borderId="15" xfId="73" applyNumberFormat="1" applyFont="1" applyBorder="1" applyAlignment="1">
      <alignment horizontal="right"/>
    </xf>
    <xf numFmtId="170" fontId="11" fillId="0" borderId="18" xfId="1" applyNumberFormat="1" applyFont="1" applyBorder="1" applyAlignment="1">
      <alignment horizontal="right"/>
    </xf>
    <xf numFmtId="7" fontId="8" fillId="0" borderId="0" xfId="73" applyNumberFormat="1" applyFont="1" applyBorder="1"/>
    <xf numFmtId="0" fontId="9" fillId="0" borderId="0" xfId="1" applyFont="1"/>
    <xf numFmtId="41" fontId="5" fillId="0" borderId="0" xfId="1" applyNumberFormat="1" applyFont="1" applyBorder="1" applyAlignment="1">
      <alignment horizontal="right"/>
    </xf>
    <xf numFmtId="165" fontId="5" fillId="0" borderId="12" xfId="48" applyNumberFormat="1" applyFont="1" applyBorder="1" applyAlignment="1">
      <alignment horizontal="right"/>
    </xf>
    <xf numFmtId="165" fontId="5" fillId="0" borderId="0" xfId="48" applyNumberFormat="1" applyFont="1" applyBorder="1" applyAlignment="1">
      <alignment horizontal="right"/>
    </xf>
    <xf numFmtId="41" fontId="5" fillId="0" borderId="0" xfId="1" applyNumberFormat="1" applyFont="1" applyFill="1" applyBorder="1" applyAlignment="1">
      <alignment horizontal="right"/>
    </xf>
    <xf numFmtId="7" fontId="5" fillId="0" borderId="0" xfId="1" applyNumberFormat="1" applyFont="1" applyBorder="1" applyAlignment="1">
      <alignment horizontal="right"/>
    </xf>
    <xf numFmtId="7" fontId="5" fillId="0" borderId="0" xfId="1" applyNumberFormat="1" applyFont="1" applyFill="1" applyBorder="1" applyAlignment="1">
      <alignment horizontal="right"/>
    </xf>
    <xf numFmtId="41" fontId="5" fillId="0" borderId="12" xfId="1" applyNumberFormat="1" applyFont="1" applyBorder="1"/>
    <xf numFmtId="41" fontId="5" fillId="0" borderId="0" xfId="1" applyNumberFormat="1" applyFont="1" applyBorder="1"/>
    <xf numFmtId="41" fontId="7" fillId="0" borderId="0" xfId="1" applyNumberFormat="1" applyFont="1" applyBorder="1"/>
    <xf numFmtId="41" fontId="22" fillId="0" borderId="0" xfId="1" applyNumberFormat="1" applyFont="1" applyBorder="1"/>
    <xf numFmtId="41" fontId="5" fillId="0" borderId="0" xfId="48" applyNumberFormat="1" applyFont="1" applyBorder="1" applyProtection="1">
      <protection hidden="1"/>
    </xf>
    <xf numFmtId="0" fontId="3" fillId="0" borderId="0" xfId="1" applyFont="1" applyBorder="1"/>
    <xf numFmtId="186" fontId="3" fillId="0" borderId="0" xfId="1" applyNumberFormat="1" applyFont="1" applyBorder="1"/>
    <xf numFmtId="7" fontId="8" fillId="0" borderId="0" xfId="73" applyNumberFormat="1" applyFont="1" applyFill="1" applyBorder="1"/>
    <xf numFmtId="7" fontId="11" fillId="0" borderId="0" xfId="1" applyNumberFormat="1" applyFont="1" applyFill="1" applyBorder="1"/>
    <xf numFmtId="170" fontId="3" fillId="0" borderId="0" xfId="73" applyNumberFormat="1" applyFont="1" applyFill="1" applyBorder="1"/>
    <xf numFmtId="0" fontId="3" fillId="0" borderId="0" xfId="1" applyFont="1" applyFill="1" applyBorder="1"/>
    <xf numFmtId="1" fontId="5" fillId="0" borderId="0" xfId="1" applyNumberFormat="1" applyFont="1" applyFill="1" applyBorder="1" applyAlignment="1">
      <alignment horizontal="center"/>
    </xf>
    <xf numFmtId="41" fontId="3" fillId="0" borderId="0" xfId="1" applyNumberFormat="1" applyFont="1" applyFill="1" applyBorder="1" applyAlignment="1">
      <alignment horizontal="right"/>
    </xf>
    <xf numFmtId="170" fontId="41" fillId="0" borderId="0" xfId="73" applyNumberFormat="1" applyFont="1" applyFill="1" applyBorder="1"/>
    <xf numFmtId="2" fontId="11" fillId="0" borderId="0" xfId="1" applyNumberFormat="1" applyFont="1" applyFill="1" applyBorder="1" applyAlignment="1">
      <alignment horizontal="right"/>
    </xf>
    <xf numFmtId="7" fontId="12" fillId="0" borderId="0" xfId="1" applyNumberFormat="1" applyFont="1" applyFill="1" applyBorder="1" applyAlignment="1">
      <alignment horizontal="right"/>
    </xf>
    <xf numFmtId="165" fontId="3" fillId="0" borderId="0" xfId="48" applyNumberFormat="1" applyFont="1" applyFill="1" applyBorder="1" applyProtection="1">
      <protection hidden="1"/>
    </xf>
    <xf numFmtId="165" fontId="11" fillId="0" borderId="0" xfId="48" applyNumberFormat="1" applyFont="1" applyFill="1" applyBorder="1" applyProtection="1">
      <protection hidden="1"/>
    </xf>
    <xf numFmtId="7" fontId="3" fillId="0" borderId="0" xfId="1" applyNumberFormat="1" applyFont="1" applyFill="1" applyBorder="1" applyAlignment="1">
      <alignment horizontal="right"/>
    </xf>
    <xf numFmtId="41" fontId="21" fillId="0" borderId="0" xfId="1" applyNumberFormat="1" applyFont="1" applyFill="1" applyBorder="1"/>
    <xf numFmtId="185" fontId="3" fillId="0" borderId="0" xfId="73" applyNumberFormat="1" applyFont="1" applyFill="1" applyBorder="1"/>
    <xf numFmtId="184" fontId="13" fillId="0" borderId="0" xfId="1" applyNumberFormat="1" applyFont="1" applyFill="1" applyBorder="1"/>
    <xf numFmtId="41" fontId="32" fillId="0" borderId="0" xfId="48" applyNumberFormat="1" applyFont="1" applyFill="1" applyBorder="1" applyProtection="1">
      <protection hidden="1"/>
    </xf>
    <xf numFmtId="5" fontId="11" fillId="0" borderId="0" xfId="48" applyNumberFormat="1" applyFont="1" applyFill="1" applyBorder="1" applyProtection="1">
      <protection hidden="1"/>
    </xf>
    <xf numFmtId="7" fontId="11" fillId="0" borderId="0" xfId="48" applyNumberFormat="1" applyFont="1" applyFill="1" applyBorder="1" applyProtection="1">
      <protection hidden="1"/>
    </xf>
    <xf numFmtId="0" fontId="42" fillId="0" borderId="0" xfId="1" applyFont="1" applyFill="1" applyBorder="1"/>
    <xf numFmtId="41" fontId="21" fillId="0" borderId="0" xfId="48" applyNumberFormat="1" applyFont="1" applyFill="1" applyBorder="1"/>
    <xf numFmtId="8" fontId="3" fillId="0" borderId="0" xfId="1" applyNumberFormat="1" applyFont="1" applyFill="1" applyBorder="1"/>
    <xf numFmtId="173" fontId="11" fillId="0" borderId="0" xfId="1" applyNumberFormat="1" applyFont="1" applyFill="1" applyBorder="1"/>
    <xf numFmtId="173" fontId="3" fillId="0" borderId="0" xfId="1" applyNumberFormat="1" applyFont="1" applyFill="1" applyBorder="1"/>
    <xf numFmtId="170" fontId="42" fillId="0" borderId="0" xfId="73" applyNumberFormat="1" applyFont="1" applyFill="1" applyBorder="1"/>
    <xf numFmtId="182" fontId="3" fillId="0" borderId="0" xfId="1" applyNumberFormat="1" applyFont="1" applyFill="1" applyBorder="1"/>
    <xf numFmtId="182" fontId="21" fillId="0" borderId="0" xfId="1" applyNumberFormat="1" applyFont="1" applyFill="1" applyBorder="1"/>
    <xf numFmtId="41" fontId="12" fillId="0" borderId="0" xfId="1" applyNumberFormat="1" applyFont="1" applyFill="1" applyBorder="1"/>
    <xf numFmtId="165" fontId="21" fillId="0" borderId="0" xfId="48" applyNumberFormat="1" applyFont="1" applyFill="1" applyBorder="1"/>
    <xf numFmtId="0" fontId="3" fillId="0" borderId="0" xfId="1" applyFont="1" applyFill="1" applyBorder="1" applyAlignment="1">
      <alignment horizontal="right"/>
    </xf>
    <xf numFmtId="0" fontId="3" fillId="0" borderId="0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15" borderId="0" xfId="1" applyFont="1" applyFill="1" applyBorder="1" applyAlignment="1">
      <alignment horizontal="left"/>
    </xf>
    <xf numFmtId="0" fontId="3" fillId="15" borderId="13" xfId="1" applyFont="1" applyFill="1" applyBorder="1" applyAlignment="1">
      <alignment horizontal="right"/>
    </xf>
    <xf numFmtId="167" fontId="11" fillId="0" borderId="0" xfId="1" applyNumberFormat="1" applyFont="1" applyBorder="1"/>
    <xf numFmtId="43" fontId="42" fillId="0" borderId="15" xfId="48" applyFont="1" applyBorder="1"/>
    <xf numFmtId="41" fontId="11" fillId="17" borderId="12" xfId="1" applyNumberFormat="1" applyFont="1" applyFill="1" applyBorder="1"/>
    <xf numFmtId="7" fontId="0" fillId="0" borderId="0" xfId="1" applyNumberFormat="1" applyFont="1"/>
    <xf numFmtId="41" fontId="44" fillId="17" borderId="0" xfId="1" applyNumberFormat="1" applyFont="1" applyFill="1" applyBorder="1"/>
    <xf numFmtId="41" fontId="44" fillId="0" borderId="15" xfId="1" applyNumberFormat="1" applyFont="1" applyBorder="1"/>
    <xf numFmtId="37" fontId="44" fillId="0" borderId="0" xfId="1" applyNumberFormat="1" applyFont="1" applyBorder="1"/>
    <xf numFmtId="41" fontId="45" fillId="0" borderId="15" xfId="1" applyNumberFormat="1" applyFont="1" applyBorder="1"/>
    <xf numFmtId="8" fontId="44" fillId="0" borderId="0" xfId="1" applyNumberFormat="1" applyFont="1" applyBorder="1"/>
    <xf numFmtId="8" fontId="44" fillId="0" borderId="15" xfId="1" applyNumberFormat="1" applyFont="1" applyBorder="1"/>
    <xf numFmtId="170" fontId="43" fillId="0" borderId="13" xfId="73" applyNumberFormat="1" applyFont="1" applyBorder="1"/>
    <xf numFmtId="7" fontId="34" fillId="0" borderId="0" xfId="1" applyNumberFormat="1" applyFont="1" applyBorder="1" applyAlignment="1">
      <alignment horizontal="right"/>
    </xf>
    <xf numFmtId="7" fontId="34" fillId="0" borderId="0" xfId="1" applyNumberFormat="1" applyFont="1" applyFill="1" applyBorder="1" applyAlignment="1">
      <alignment horizontal="right"/>
    </xf>
    <xf numFmtId="165" fontId="9" fillId="0" borderId="0" xfId="1" applyNumberFormat="1" applyFont="1" applyBorder="1"/>
    <xf numFmtId="41" fontId="34" fillId="0" borderId="0" xfId="1" applyNumberFormat="1" applyFont="1" applyFill="1" applyBorder="1" applyAlignment="1">
      <alignment horizontal="right"/>
    </xf>
    <xf numFmtId="41" fontId="34" fillId="0" borderId="0" xfId="48" applyNumberFormat="1" applyFont="1" applyBorder="1"/>
    <xf numFmtId="173" fontId="9" fillId="0" borderId="0" xfId="1" applyNumberFormat="1" applyFont="1" applyBorder="1"/>
    <xf numFmtId="182" fontId="34" fillId="0" borderId="0" xfId="1" applyNumberFormat="1" applyFont="1" applyBorder="1"/>
    <xf numFmtId="7" fontId="9" fillId="0" borderId="0" xfId="1" applyNumberFormat="1" applyFont="1"/>
    <xf numFmtId="7" fontId="11" fillId="0" borderId="0" xfId="1" applyNumberFormat="1" applyFont="1"/>
    <xf numFmtId="41" fontId="21" fillId="17" borderId="0" xfId="1" applyNumberFormat="1" applyFont="1" applyFill="1" applyBorder="1" applyAlignment="1">
      <alignment horizontal="right"/>
    </xf>
    <xf numFmtId="167" fontId="11" fillId="0" borderId="0" xfId="1" applyNumberFormat="1" applyFont="1" applyBorder="1" applyAlignment="1">
      <alignment horizontal="right"/>
    </xf>
    <xf numFmtId="37" fontId="14" fillId="0" borderId="0" xfId="1" applyNumberFormat="1" applyFont="1" applyBorder="1"/>
    <xf numFmtId="165" fontId="11" fillId="0" borderId="0" xfId="48" applyNumberFormat="1" applyFont="1" applyFill="1" applyBorder="1"/>
    <xf numFmtId="165" fontId="34" fillId="0" borderId="0" xfId="48" applyNumberFormat="1" applyFont="1" applyFill="1" applyBorder="1"/>
    <xf numFmtId="170" fontId="11" fillId="0" borderId="15" xfId="73" applyNumberFormat="1" applyFont="1" applyFill="1" applyBorder="1" applyAlignment="1">
      <alignment horizontal="right"/>
    </xf>
    <xf numFmtId="165" fontId="9" fillId="0" borderId="0" xfId="48" applyNumberFormat="1" applyFont="1"/>
    <xf numFmtId="165" fontId="11" fillId="0" borderId="0" xfId="48" applyNumberFormat="1" applyFont="1"/>
    <xf numFmtId="170" fontId="11" fillId="0" borderId="15" xfId="73" applyNumberFormat="1" applyFont="1" applyBorder="1" applyProtection="1">
      <protection hidden="1"/>
    </xf>
    <xf numFmtId="7" fontId="11" fillId="0" borderId="0" xfId="1" applyNumberFormat="1" applyFont="1" applyFill="1" applyBorder="1" applyAlignment="1">
      <alignment horizontal="right"/>
    </xf>
    <xf numFmtId="41" fontId="11" fillId="0" borderId="14" xfId="1" applyNumberFormat="1" applyFont="1" applyBorder="1"/>
    <xf numFmtId="43" fontId="9" fillId="0" borderId="0" xfId="48" applyNumberFormat="1" applyFont="1"/>
    <xf numFmtId="170" fontId="3" fillId="0" borderId="12" xfId="73" applyNumberFormat="1" applyFont="1" applyBorder="1" applyAlignment="1">
      <alignment horizontal="right"/>
    </xf>
    <xf numFmtId="170" fontId="3" fillId="0" borderId="0" xfId="73" applyNumberFormat="1" applyFont="1" applyBorder="1" applyAlignment="1">
      <alignment horizontal="right"/>
    </xf>
    <xf numFmtId="170" fontId="3" fillId="0" borderId="15" xfId="73" applyNumberFormat="1" applyFont="1" applyBorder="1" applyAlignment="1">
      <alignment horizontal="right"/>
    </xf>
    <xf numFmtId="2" fontId="37" fillId="0" borderId="0" xfId="1" applyNumberFormat="1" applyFont="1" applyBorder="1" applyAlignment="1">
      <alignment horizontal="left"/>
    </xf>
    <xf numFmtId="41" fontId="42" fillId="0" borderId="12" xfId="1" applyNumberFormat="1" applyFont="1" applyBorder="1" applyAlignment="1">
      <alignment horizontal="right"/>
    </xf>
    <xf numFmtId="41" fontId="42" fillId="0" borderId="0" xfId="1" applyNumberFormat="1" applyFont="1" applyBorder="1" applyAlignment="1">
      <alignment horizontal="right"/>
    </xf>
    <xf numFmtId="41" fontId="42" fillId="0" borderId="0" xfId="48" applyNumberFormat="1" applyFont="1" applyBorder="1" applyProtection="1">
      <protection hidden="1"/>
    </xf>
    <xf numFmtId="41" fontId="42" fillId="0" borderId="15" xfId="48" applyNumberFormat="1" applyFont="1" applyBorder="1" applyProtection="1">
      <protection hidden="1"/>
    </xf>
    <xf numFmtId="170" fontId="41" fillId="0" borderId="12" xfId="73" applyNumberFormat="1" applyFont="1" applyBorder="1" applyAlignment="1">
      <alignment horizontal="right"/>
    </xf>
    <xf numFmtId="170" fontId="41" fillId="0" borderId="0" xfId="73" applyNumberFormat="1" applyFont="1" applyBorder="1" applyAlignment="1">
      <alignment horizontal="right"/>
    </xf>
    <xf numFmtId="170" fontId="41" fillId="0" borderId="15" xfId="73" applyNumberFormat="1" applyFont="1" applyBorder="1" applyAlignment="1">
      <alignment horizontal="right"/>
    </xf>
    <xf numFmtId="165" fontId="42" fillId="0" borderId="0" xfId="48" applyNumberFormat="1" applyFont="1" applyFill="1" applyBorder="1" applyProtection="1">
      <protection hidden="1"/>
    </xf>
    <xf numFmtId="0" fontId="63" fillId="0" borderId="0" xfId="1" applyFont="1"/>
    <xf numFmtId="187" fontId="13" fillId="0" borderId="0" xfId="1" applyNumberFormat="1" applyFont="1" applyBorder="1"/>
    <xf numFmtId="187" fontId="13" fillId="0" borderId="12" xfId="1" applyNumberFormat="1" applyFont="1" applyBorder="1"/>
    <xf numFmtId="188" fontId="3" fillId="0" borderId="12" xfId="1" applyNumberFormat="1" applyFont="1" applyBorder="1"/>
    <xf numFmtId="188" fontId="3" fillId="0" borderId="0" xfId="1" applyNumberFormat="1" applyFont="1" applyBorder="1"/>
    <xf numFmtId="188" fontId="3" fillId="0" borderId="15" xfId="1" applyNumberFormat="1" applyFont="1" applyBorder="1"/>
    <xf numFmtId="188" fontId="8" fillId="0" borderId="0" xfId="1" applyNumberFormat="1" applyFont="1" applyBorder="1"/>
    <xf numFmtId="187" fontId="13" fillId="0" borderId="15" xfId="1" applyNumberFormat="1" applyFont="1" applyBorder="1"/>
    <xf numFmtId="188" fontId="8" fillId="0" borderId="12" xfId="1" applyNumberFormat="1" applyFont="1" applyBorder="1"/>
    <xf numFmtId="188" fontId="8" fillId="0" borderId="15" xfId="1" applyNumberFormat="1" applyFont="1" applyBorder="1"/>
    <xf numFmtId="187" fontId="8" fillId="0" borderId="0" xfId="1" applyNumberFormat="1" applyFont="1" applyBorder="1"/>
    <xf numFmtId="189" fontId="11" fillId="0" borderId="0" xfId="1" applyNumberFormat="1" applyFont="1" applyBorder="1"/>
    <xf numFmtId="37" fontId="11" fillId="0" borderId="12" xfId="1" applyNumberFormat="1" applyFont="1" applyFill="1" applyBorder="1"/>
    <xf numFmtId="41" fontId="3" fillId="0" borderId="20" xfId="1" applyNumberFormat="1" applyFont="1" applyBorder="1" applyAlignment="1">
      <alignment horizontal="right"/>
    </xf>
    <xf numFmtId="165" fontId="3" fillId="0" borderId="0" xfId="48" applyNumberFormat="1" applyFont="1" applyBorder="1"/>
    <xf numFmtId="187" fontId="8" fillId="0" borderId="15" xfId="1" applyNumberFormat="1" applyFont="1" applyBorder="1"/>
    <xf numFmtId="187" fontId="8" fillId="0" borderId="12" xfId="1" applyNumberFormat="1" applyFont="1" applyBorder="1"/>
    <xf numFmtId="190" fontId="3" fillId="0" borderId="12" xfId="1" applyNumberFormat="1" applyFont="1" applyBorder="1"/>
    <xf numFmtId="190" fontId="3" fillId="0" borderId="0" xfId="1" applyNumberFormat="1" applyFont="1" applyBorder="1"/>
    <xf numFmtId="0" fontId="5" fillId="18" borderId="0" xfId="1" applyFont="1" applyFill="1" applyBorder="1"/>
    <xf numFmtId="38" fontId="5" fillId="0" borderId="0" xfId="48" applyNumberFormat="1" applyFont="1" applyFill="1" applyBorder="1"/>
    <xf numFmtId="0" fontId="0" fillId="18" borderId="0" xfId="1" applyFont="1" applyFill="1"/>
    <xf numFmtId="0" fontId="8" fillId="0" borderId="0" xfId="1" applyFont="1"/>
    <xf numFmtId="41" fontId="8" fillId="0" borderId="0" xfId="1" applyNumberFormat="1" applyFont="1"/>
    <xf numFmtId="41" fontId="7" fillId="0" borderId="0" xfId="1" applyNumberFormat="1" applyFont="1"/>
    <xf numFmtId="41" fontId="8" fillId="0" borderId="19" xfId="1" applyNumberFormat="1" applyFont="1" applyBorder="1"/>
    <xf numFmtId="0" fontId="8" fillId="0" borderId="19" xfId="1" applyFont="1" applyBorder="1"/>
    <xf numFmtId="41" fontId="7" fillId="0" borderId="19" xfId="1" applyNumberFormat="1" applyFont="1" applyBorder="1"/>
    <xf numFmtId="43" fontId="6" fillId="0" borderId="0" xfId="48" applyFont="1" applyFill="1" applyAlignment="1">
      <alignment horizontal="left" indent="2"/>
    </xf>
    <xf numFmtId="43" fontId="8" fillId="0" borderId="0" xfId="48" applyFont="1"/>
    <xf numFmtId="43" fontId="8" fillId="0" borderId="19" xfId="48" applyFont="1" applyBorder="1"/>
    <xf numFmtId="41" fontId="64" fillId="0" borderId="0" xfId="1" applyNumberFormat="1" applyFont="1" applyBorder="1"/>
    <xf numFmtId="41" fontId="64" fillId="0" borderId="15" xfId="1" applyNumberFormat="1" applyFont="1" applyBorder="1"/>
    <xf numFmtId="41" fontId="64" fillId="0" borderId="12" xfId="1" applyNumberFormat="1" applyFont="1" applyBorder="1"/>
    <xf numFmtId="170" fontId="65" fillId="0" borderId="0" xfId="73" applyNumberFormat="1" applyFont="1" applyBorder="1"/>
    <xf numFmtId="170" fontId="65" fillId="0" borderId="15" xfId="73" applyNumberFormat="1" applyFont="1" applyBorder="1"/>
    <xf numFmtId="170" fontId="65" fillId="0" borderId="12" xfId="73" applyNumberFormat="1" applyFont="1" applyBorder="1"/>
    <xf numFmtId="41" fontId="66" fillId="0" borderId="0" xfId="1" applyNumberFormat="1" applyFont="1" applyBorder="1"/>
    <xf numFmtId="41" fontId="66" fillId="0" borderId="15" xfId="1" applyNumberFormat="1" applyFont="1" applyBorder="1"/>
    <xf numFmtId="41" fontId="66" fillId="0" borderId="12" xfId="1" applyNumberFormat="1" applyFont="1" applyBorder="1"/>
    <xf numFmtId="191" fontId="3" fillId="0" borderId="0" xfId="69" applyNumberFormat="1" applyFill="1" applyBorder="1" applyAlignment="1">
      <alignment horizontal="right"/>
    </xf>
    <xf numFmtId="185" fontId="3" fillId="0" borderId="12" xfId="73" applyNumberFormat="1" applyFont="1" applyBorder="1"/>
    <xf numFmtId="192" fontId="6" fillId="17" borderId="0" xfId="1" applyNumberFormat="1" applyFont="1" applyFill="1" applyBorder="1" applyAlignment="1" applyProtection="1">
      <alignment horizontal="left"/>
    </xf>
    <xf numFmtId="192" fontId="3" fillId="0" borderId="12" xfId="1" applyNumberFormat="1" applyFont="1" applyBorder="1"/>
    <xf numFmtId="192" fontId="3" fillId="0" borderId="0" xfId="1" applyNumberFormat="1" applyFont="1" applyBorder="1"/>
    <xf numFmtId="192" fontId="3" fillId="0" borderId="15" xfId="1" applyNumberFormat="1" applyFont="1" applyBorder="1"/>
    <xf numFmtId="192" fontId="3" fillId="0" borderId="0" xfId="1" applyNumberFormat="1" applyFont="1" applyFill="1" applyBorder="1"/>
    <xf numFmtId="192" fontId="11" fillId="0" borderId="0" xfId="1" applyNumberFormat="1" applyFont="1" applyFill="1" applyBorder="1"/>
    <xf numFmtId="192" fontId="0" fillId="0" borderId="0" xfId="1" applyNumberFormat="1" applyFont="1"/>
    <xf numFmtId="41" fontId="5" fillId="17" borderId="0" xfId="1" applyNumberFormat="1" applyFont="1" applyFill="1" applyBorder="1" applyAlignment="1" applyProtection="1">
      <alignment horizontal="left"/>
    </xf>
    <xf numFmtId="41" fontId="5" fillId="0" borderId="15" xfId="1" applyNumberFormat="1" applyFont="1" applyBorder="1"/>
    <xf numFmtId="41" fontId="3" fillId="0" borderId="14" xfId="1" applyNumberFormat="1" applyFont="1" applyBorder="1"/>
    <xf numFmtId="41" fontId="3" fillId="0" borderId="13" xfId="1" applyNumberFormat="1" applyFont="1" applyBorder="1"/>
    <xf numFmtId="41" fontId="3" fillId="0" borderId="18" xfId="1" applyNumberFormat="1" applyFont="1" applyBorder="1"/>
    <xf numFmtId="41" fontId="6" fillId="17" borderId="13" xfId="1" applyNumberFormat="1" applyFont="1" applyFill="1" applyBorder="1" applyAlignment="1" applyProtection="1">
      <alignment horizontal="left"/>
    </xf>
    <xf numFmtId="174" fontId="3" fillId="0" borderId="0" xfId="1" applyNumberFormat="1" applyFont="1" applyBorder="1"/>
    <xf numFmtId="174" fontId="3" fillId="0" borderId="15" xfId="1" applyNumberFormat="1" applyFont="1" applyBorder="1"/>
    <xf numFmtId="0" fontId="68" fillId="0" borderId="0" xfId="1" applyFont="1"/>
    <xf numFmtId="174" fontId="21" fillId="0" borderId="0" xfId="1" applyNumberFormat="1" applyFont="1" applyBorder="1"/>
    <xf numFmtId="174" fontId="21" fillId="0" borderId="15" xfId="1" applyNumberFormat="1" applyFont="1" applyBorder="1"/>
    <xf numFmtId="191" fontId="3" fillId="0" borderId="15" xfId="69" applyNumberFormat="1" applyFill="1" applyBorder="1" applyAlignment="1">
      <alignment horizontal="right"/>
    </xf>
    <xf numFmtId="7" fontId="3" fillId="0" borderId="15" xfId="1" applyNumberFormat="1" applyFont="1" applyBorder="1"/>
    <xf numFmtId="188" fontId="72" fillId="0" borderId="0" xfId="1" applyNumberFormat="1" applyFont="1" applyFill="1" applyBorder="1"/>
    <xf numFmtId="170" fontId="28" fillId="0" borderId="15" xfId="73" applyNumberFormat="1" applyFont="1" applyBorder="1"/>
    <xf numFmtId="170" fontId="37" fillId="0" borderId="0" xfId="73" applyNumberFormat="1" applyFont="1" applyFill="1" applyBorder="1"/>
    <xf numFmtId="170" fontId="37" fillId="0" borderId="12" xfId="73" applyNumberFormat="1" applyFont="1" applyFill="1" applyBorder="1"/>
    <xf numFmtId="165" fontId="5" fillId="0" borderId="0" xfId="48" applyNumberFormat="1" applyFont="1" applyBorder="1"/>
    <xf numFmtId="165" fontId="5" fillId="0" borderId="15" xfId="48" applyNumberFormat="1" applyFont="1" applyBorder="1"/>
    <xf numFmtId="165" fontId="5" fillId="0" borderId="12" xfId="48" applyNumberFormat="1" applyFont="1" applyBorder="1"/>
    <xf numFmtId="170" fontId="28" fillId="0" borderId="0" xfId="73" applyNumberFormat="1" applyFont="1" applyBorder="1"/>
    <xf numFmtId="170" fontId="28" fillId="0" borderId="12" xfId="73" applyNumberFormat="1" applyFont="1" applyBorder="1"/>
    <xf numFmtId="41" fontId="22" fillId="0" borderId="15" xfId="1" applyNumberFormat="1" applyFont="1" applyBorder="1"/>
    <xf numFmtId="49" fontId="0" fillId="0" borderId="0" xfId="0" applyNumberFormat="1"/>
    <xf numFmtId="0" fontId="2" fillId="0" borderId="0" xfId="65"/>
    <xf numFmtId="43" fontId="11" fillId="0" borderId="0" xfId="1" applyNumberFormat="1" applyFont="1" applyBorder="1"/>
    <xf numFmtId="41" fontId="11" fillId="0" borderId="24" xfId="1" applyNumberFormat="1" applyFont="1" applyFill="1" applyBorder="1" applyAlignment="1">
      <alignment horizontal="right"/>
    </xf>
    <xf numFmtId="41" fontId="11" fillId="0" borderId="20" xfId="1" applyNumberFormat="1" applyFont="1" applyFill="1" applyBorder="1"/>
    <xf numFmtId="41" fontId="11" fillId="0" borderId="14" xfId="1" applyNumberFormat="1" applyFont="1" applyFill="1" applyBorder="1" applyAlignment="1">
      <alignment horizontal="right"/>
    </xf>
    <xf numFmtId="41" fontId="11" fillId="0" borderId="13" xfId="1" applyNumberFormat="1" applyFont="1" applyFill="1" applyBorder="1"/>
    <xf numFmtId="41" fontId="11" fillId="21" borderId="12" xfId="1" applyNumberFormat="1" applyFont="1" applyFill="1" applyBorder="1"/>
    <xf numFmtId="41" fontId="21" fillId="21" borderId="12" xfId="48" applyNumberFormat="1" applyFont="1" applyFill="1" applyBorder="1" applyProtection="1">
      <protection hidden="1"/>
    </xf>
    <xf numFmtId="41" fontId="3" fillId="21" borderId="0" xfId="1" applyNumberFormat="1" applyFont="1" applyFill="1" applyBorder="1"/>
    <xf numFmtId="41" fontId="21" fillId="21" borderId="0" xfId="1" applyNumberFormat="1" applyFont="1" applyFill="1" applyBorder="1"/>
    <xf numFmtId="41" fontId="23" fillId="21" borderId="12" xfId="1" applyNumberFormat="1" applyFont="1" applyFill="1" applyBorder="1"/>
    <xf numFmtId="41" fontId="44" fillId="0" borderId="0" xfId="1" applyNumberFormat="1" applyFont="1" applyBorder="1"/>
    <xf numFmtId="165" fontId="3" fillId="0" borderId="0" xfId="48" applyNumberFormat="1" applyFont="1" applyBorder="1" applyProtection="1">
      <protection hidden="1"/>
    </xf>
    <xf numFmtId="9" fontId="11" fillId="0" borderId="0" xfId="73" applyFont="1" applyBorder="1" applyProtection="1">
      <protection hidden="1"/>
    </xf>
    <xf numFmtId="41" fontId="45" fillId="0" borderId="0" xfId="1" applyNumberFormat="1" applyFont="1" applyBorder="1"/>
    <xf numFmtId="0" fontId="3" fillId="15" borderId="0" xfId="1" applyFont="1" applyFill="1" applyBorder="1" applyAlignment="1">
      <alignment horizontal="right"/>
    </xf>
    <xf numFmtId="43" fontId="8" fillId="0" borderId="0" xfId="48" applyFont="1" applyBorder="1"/>
    <xf numFmtId="41" fontId="5" fillId="21" borderId="12" xfId="1" applyNumberFormat="1" applyFont="1" applyFill="1" applyBorder="1"/>
    <xf numFmtId="170" fontId="37" fillId="21" borderId="12" xfId="73" applyNumberFormat="1" applyFont="1" applyFill="1" applyBorder="1"/>
    <xf numFmtId="165" fontId="5" fillId="21" borderId="12" xfId="48" applyNumberFormat="1" applyFont="1" applyFill="1" applyBorder="1"/>
    <xf numFmtId="170" fontId="28" fillId="21" borderId="12" xfId="73" applyNumberFormat="1" applyFont="1" applyFill="1" applyBorder="1"/>
    <xf numFmtId="0" fontId="11" fillId="21" borderId="12" xfId="1" applyFont="1" applyFill="1" applyBorder="1"/>
    <xf numFmtId="41" fontId="22" fillId="21" borderId="0" xfId="1" applyNumberFormat="1" applyFont="1" applyFill="1" applyBorder="1"/>
    <xf numFmtId="41" fontId="77" fillId="0" borderId="0" xfId="1" applyNumberFormat="1" applyFont="1" applyBorder="1"/>
    <xf numFmtId="41" fontId="78" fillId="0" borderId="0" xfId="1" applyNumberFormat="1" applyFont="1" applyBorder="1"/>
    <xf numFmtId="41" fontId="77" fillId="0" borderId="15" xfId="1" applyNumberFormat="1" applyFont="1" applyBorder="1"/>
    <xf numFmtId="41" fontId="78" fillId="0" borderId="15" xfId="1" applyNumberFormat="1" applyFont="1" applyBorder="1"/>
    <xf numFmtId="41" fontId="77" fillId="21" borderId="0" xfId="1" applyNumberFormat="1" applyFont="1" applyFill="1" applyBorder="1"/>
    <xf numFmtId="41" fontId="78" fillId="21" borderId="0" xfId="1" applyNumberFormat="1" applyFont="1" applyFill="1" applyBorder="1"/>
    <xf numFmtId="165" fontId="77" fillId="21" borderId="12" xfId="1" applyNumberFormat="1" applyFont="1" applyFill="1" applyBorder="1"/>
    <xf numFmtId="41" fontId="3" fillId="21" borderId="12" xfId="1" applyNumberFormat="1" applyFont="1" applyFill="1" applyBorder="1"/>
    <xf numFmtId="0" fontId="11" fillId="21" borderId="0" xfId="1" applyFont="1" applyFill="1" applyBorder="1"/>
    <xf numFmtId="41" fontId="11" fillId="21" borderId="0" xfId="48" applyNumberFormat="1" applyFont="1" applyFill="1" applyBorder="1" applyProtection="1">
      <protection hidden="1"/>
    </xf>
    <xf numFmtId="41" fontId="3" fillId="21" borderId="12" xfId="48" applyNumberFormat="1" applyFont="1" applyFill="1" applyBorder="1" applyProtection="1">
      <protection hidden="1"/>
    </xf>
    <xf numFmtId="41" fontId="3" fillId="21" borderId="0" xfId="48" applyNumberFormat="1" applyFont="1" applyFill="1" applyBorder="1" applyProtection="1">
      <protection hidden="1"/>
    </xf>
    <xf numFmtId="41" fontId="11" fillId="21" borderId="12" xfId="48" applyNumberFormat="1" applyFont="1" applyFill="1" applyBorder="1" applyProtection="1">
      <protection hidden="1"/>
    </xf>
    <xf numFmtId="43" fontId="8" fillId="0" borderId="0" xfId="48" applyNumberFormat="1" applyFont="1"/>
    <xf numFmtId="165" fontId="5" fillId="0" borderId="0" xfId="48" applyNumberFormat="1" applyFont="1" applyBorder="1" applyProtection="1">
      <protection hidden="1"/>
    </xf>
    <xf numFmtId="170" fontId="28" fillId="0" borderId="13" xfId="73" applyNumberFormat="1" applyFont="1" applyBorder="1"/>
    <xf numFmtId="187" fontId="12" fillId="0" borderId="0" xfId="1" applyNumberFormat="1" applyFont="1" applyBorder="1"/>
    <xf numFmtId="41" fontId="5" fillId="0" borderId="0" xfId="48" applyNumberFormat="1" applyFont="1" applyBorder="1"/>
    <xf numFmtId="182" fontId="5" fillId="0" borderId="0" xfId="1" applyNumberFormat="1" applyFont="1" applyBorder="1"/>
    <xf numFmtId="174" fontId="5" fillId="0" borderId="0" xfId="1" applyNumberFormat="1" applyFont="1" applyBorder="1"/>
    <xf numFmtId="41" fontId="77" fillId="0" borderId="0" xfId="1" applyNumberFormat="1" applyFont="1" applyFill="1" applyBorder="1"/>
    <xf numFmtId="41" fontId="77" fillId="0" borderId="0" xfId="1" applyNumberFormat="1" applyFont="1" applyFill="1" applyBorder="1" applyAlignment="1">
      <alignment horizontal="right"/>
    </xf>
    <xf numFmtId="187" fontId="78" fillId="0" borderId="0" xfId="1" applyNumberFormat="1" applyFont="1" applyBorder="1"/>
    <xf numFmtId="188" fontId="78" fillId="0" borderId="0" xfId="1" applyNumberFormat="1" applyFont="1" applyBorder="1"/>
    <xf numFmtId="9" fontId="11" fillId="0" borderId="0" xfId="1" applyNumberFormat="1" applyFont="1"/>
    <xf numFmtId="41" fontId="5" fillId="0" borderId="15" xfId="1" applyNumberFormat="1" applyFont="1" applyFill="1" applyBorder="1" applyAlignment="1">
      <alignment horizontal="right"/>
    </xf>
    <xf numFmtId="165" fontId="5" fillId="0" borderId="15" xfId="48" applyNumberFormat="1" applyFont="1" applyFill="1" applyBorder="1" applyAlignment="1">
      <alignment horizontal="right"/>
    </xf>
    <xf numFmtId="41" fontId="5" fillId="0" borderId="15" xfId="1" applyNumberFormat="1" applyFont="1" applyBorder="1" applyAlignment="1">
      <alignment horizontal="right"/>
    </xf>
    <xf numFmtId="170" fontId="28" fillId="0" borderId="18" xfId="73" applyNumberFormat="1" applyFont="1" applyBorder="1"/>
    <xf numFmtId="7" fontId="5" fillId="0" borderId="15" xfId="1" applyNumberFormat="1" applyFont="1" applyBorder="1" applyAlignment="1">
      <alignment horizontal="right"/>
    </xf>
    <xf numFmtId="7" fontId="5" fillId="0" borderId="15" xfId="1" applyNumberFormat="1" applyFont="1" applyFill="1" applyBorder="1" applyAlignment="1">
      <alignment horizontal="right"/>
    </xf>
    <xf numFmtId="170" fontId="28" fillId="0" borderId="15" xfId="73" applyNumberFormat="1" applyFont="1" applyBorder="1" applyAlignment="1">
      <alignment horizontal="right"/>
    </xf>
    <xf numFmtId="41" fontId="7" fillId="0" borderId="15" xfId="1" applyNumberFormat="1" applyFont="1" applyBorder="1"/>
    <xf numFmtId="187" fontId="12" fillId="0" borderId="15" xfId="1" applyNumberFormat="1" applyFont="1" applyBorder="1"/>
    <xf numFmtId="41" fontId="5" fillId="0" borderId="15" xfId="48" applyNumberFormat="1" applyFont="1" applyFill="1" applyBorder="1" applyProtection="1">
      <protection hidden="1"/>
    </xf>
    <xf numFmtId="41" fontId="5" fillId="0" borderId="15" xfId="48" applyNumberFormat="1" applyFont="1" applyBorder="1" applyProtection="1">
      <protection hidden="1"/>
    </xf>
    <xf numFmtId="41" fontId="5" fillId="0" borderId="15" xfId="48" applyNumberFormat="1" applyFont="1" applyBorder="1"/>
    <xf numFmtId="182" fontId="5" fillId="0" borderId="15" xfId="1" applyNumberFormat="1" applyFont="1" applyBorder="1"/>
    <xf numFmtId="41" fontId="7" fillId="0" borderId="0" xfId="1" applyNumberFormat="1" applyFont="1" applyFill="1" applyBorder="1"/>
    <xf numFmtId="174" fontId="5" fillId="0" borderId="15" xfId="1" applyNumberFormat="1" applyFont="1" applyBorder="1"/>
    <xf numFmtId="43" fontId="11" fillId="15" borderId="0" xfId="1" applyNumberFormat="1" applyFont="1" applyFill="1" applyBorder="1"/>
    <xf numFmtId="41" fontId="11" fillId="21" borderId="0" xfId="1" applyNumberFormat="1" applyFont="1" applyFill="1" applyBorder="1"/>
    <xf numFmtId="41" fontId="79" fillId="0" borderId="12" xfId="1" applyNumberFormat="1" applyFont="1" applyBorder="1"/>
    <xf numFmtId="0" fontId="6" fillId="23" borderId="0" xfId="1" applyFont="1" applyFill="1" applyBorder="1"/>
    <xf numFmtId="0" fontId="0" fillId="23" borderId="0" xfId="0" applyFill="1"/>
    <xf numFmtId="0" fontId="5" fillId="23" borderId="0" xfId="1" applyFont="1" applyFill="1" applyBorder="1"/>
    <xf numFmtId="2" fontId="7" fillId="23" borderId="0" xfId="1" applyNumberFormat="1" applyFont="1" applyFill="1" applyBorder="1" applyAlignment="1">
      <alignment horizontal="left"/>
    </xf>
    <xf numFmtId="41" fontId="12" fillId="23" borderId="12" xfId="1" applyNumberFormat="1" applyFont="1" applyFill="1" applyBorder="1" applyAlignment="1">
      <alignment horizontal="right"/>
    </xf>
    <xf numFmtId="41" fontId="12" fillId="23" borderId="0" xfId="1" applyNumberFormat="1" applyFont="1" applyFill="1" applyBorder="1" applyAlignment="1">
      <alignment horizontal="right"/>
    </xf>
    <xf numFmtId="41" fontId="12" fillId="23" borderId="0" xfId="48" applyNumberFormat="1" applyFont="1" applyFill="1" applyBorder="1" applyProtection="1">
      <protection hidden="1"/>
    </xf>
    <xf numFmtId="41" fontId="12" fillId="23" borderId="15" xfId="1" applyNumberFormat="1" applyFont="1" applyFill="1" applyBorder="1" applyAlignment="1">
      <alignment horizontal="right"/>
    </xf>
    <xf numFmtId="41" fontId="6" fillId="23" borderId="0" xfId="1" applyNumberFormat="1" applyFont="1" applyFill="1" applyBorder="1" applyAlignment="1">
      <alignment horizontal="left"/>
    </xf>
    <xf numFmtId="41" fontId="3" fillId="23" borderId="12" xfId="1" applyNumberFormat="1" applyFont="1" applyFill="1" applyBorder="1" applyAlignment="1">
      <alignment horizontal="right"/>
    </xf>
    <xf numFmtId="41" fontId="3" fillId="23" borderId="0" xfId="1" applyNumberFormat="1" applyFont="1" applyFill="1" applyBorder="1" applyAlignment="1">
      <alignment horizontal="right"/>
    </xf>
    <xf numFmtId="41" fontId="3" fillId="23" borderId="15" xfId="1" applyNumberFormat="1" applyFont="1" applyFill="1" applyBorder="1" applyAlignment="1">
      <alignment horizontal="right"/>
    </xf>
    <xf numFmtId="165" fontId="3" fillId="0" borderId="15" xfId="1" applyNumberFormat="1" applyFont="1" applyBorder="1"/>
    <xf numFmtId="0" fontId="42" fillId="0" borderId="12" xfId="1" applyFont="1" applyBorder="1"/>
    <xf numFmtId="0" fontId="63" fillId="0" borderId="0" xfId="0" applyFont="1"/>
    <xf numFmtId="165" fontId="5" fillId="0" borderId="20" xfId="48" applyNumberFormat="1" applyFont="1" applyBorder="1"/>
    <xf numFmtId="41" fontId="35" fillId="0" borderId="24" xfId="48" applyNumberFormat="1" applyFont="1" applyBorder="1" applyProtection="1">
      <protection hidden="1"/>
    </xf>
    <xf numFmtId="41" fontId="35" fillId="0" borderId="20" xfId="1" applyNumberFormat="1" applyFont="1" applyBorder="1"/>
    <xf numFmtId="41" fontId="35" fillId="0" borderId="25" xfId="1" applyNumberFormat="1" applyFont="1" applyBorder="1"/>
    <xf numFmtId="41" fontId="42" fillId="0" borderId="20" xfId="1" applyNumberFormat="1" applyFont="1" applyBorder="1"/>
    <xf numFmtId="41" fontId="42" fillId="0" borderId="25" xfId="1" applyNumberFormat="1" applyFont="1" applyBorder="1"/>
    <xf numFmtId="41" fontId="42" fillId="0" borderId="24" xfId="48" applyNumberFormat="1" applyFont="1" applyBorder="1" applyProtection="1">
      <protection hidden="1"/>
    </xf>
    <xf numFmtId="0" fontId="42" fillId="0" borderId="20" xfId="1" applyFont="1" applyBorder="1"/>
    <xf numFmtId="0" fontId="42" fillId="0" borderId="25" xfId="1" applyFont="1" applyBorder="1"/>
    <xf numFmtId="0" fontId="42" fillId="0" borderId="24" xfId="1" applyFont="1" applyBorder="1"/>
    <xf numFmtId="0" fontId="42" fillId="0" borderId="20" xfId="1" applyFont="1" applyFill="1" applyBorder="1"/>
    <xf numFmtId="0" fontId="63" fillId="0" borderId="20" xfId="0" applyFont="1" applyBorder="1"/>
    <xf numFmtId="2" fontId="81" fillId="24" borderId="0" xfId="1" applyNumberFormat="1" applyFont="1" applyFill="1" applyBorder="1" applyAlignment="1">
      <alignment horizontal="left"/>
    </xf>
    <xf numFmtId="41" fontId="81" fillId="24" borderId="12" xfId="1" applyNumberFormat="1" applyFont="1" applyFill="1" applyBorder="1" applyAlignment="1">
      <alignment horizontal="right"/>
    </xf>
    <xf numFmtId="41" fontId="81" fillId="24" borderId="0" xfId="1" applyNumberFormat="1" applyFont="1" applyFill="1" applyBorder="1" applyAlignment="1">
      <alignment horizontal="right"/>
    </xf>
    <xf numFmtId="41" fontId="81" fillId="24" borderId="0" xfId="48" applyNumberFormat="1" applyFont="1" applyFill="1" applyBorder="1" applyProtection="1">
      <protection hidden="1"/>
    </xf>
    <xf numFmtId="41" fontId="81" fillId="24" borderId="15" xfId="48" applyNumberFormat="1" applyFont="1" applyFill="1" applyBorder="1" applyProtection="1">
      <protection hidden="1"/>
    </xf>
    <xf numFmtId="170" fontId="81" fillId="24" borderId="12" xfId="73" applyNumberFormat="1" applyFont="1" applyFill="1" applyBorder="1" applyAlignment="1">
      <alignment horizontal="right"/>
    </xf>
    <xf numFmtId="170" fontId="81" fillId="24" borderId="0" xfId="73" applyNumberFormat="1" applyFont="1" applyFill="1" applyBorder="1" applyAlignment="1">
      <alignment horizontal="right"/>
    </xf>
    <xf numFmtId="170" fontId="81" fillId="24" borderId="15" xfId="73" applyNumberFormat="1" applyFont="1" applyFill="1" applyBorder="1" applyAlignment="1">
      <alignment horizontal="right"/>
    </xf>
    <xf numFmtId="165" fontId="81" fillId="24" borderId="0" xfId="48" applyNumberFormat="1" applyFont="1" applyFill="1" applyBorder="1" applyProtection="1">
      <protection hidden="1"/>
    </xf>
    <xf numFmtId="0" fontId="81" fillId="24" borderId="0" xfId="1" applyFont="1" applyFill="1" applyBorder="1"/>
    <xf numFmtId="0" fontId="82" fillId="24" borderId="0" xfId="1" applyFont="1" applyFill="1"/>
    <xf numFmtId="0" fontId="40" fillId="0" borderId="0" xfId="1" applyFont="1"/>
    <xf numFmtId="165" fontId="3" fillId="0" borderId="12" xfId="48" applyNumberFormat="1" applyFont="1" applyBorder="1" applyAlignment="1">
      <alignment horizontal="right"/>
    </xf>
    <xf numFmtId="165" fontId="3" fillId="0" borderId="0" xfId="48" applyNumberFormat="1" applyFont="1" applyBorder="1" applyAlignment="1">
      <alignment horizontal="right"/>
    </xf>
    <xf numFmtId="165" fontId="77" fillId="0" borderId="12" xfId="48" applyNumberFormat="1" applyFont="1" applyBorder="1" applyAlignment="1">
      <alignment horizontal="right"/>
    </xf>
    <xf numFmtId="165" fontId="77" fillId="0" borderId="0" xfId="48" applyNumberFormat="1" applyFont="1" applyBorder="1" applyAlignment="1">
      <alignment horizontal="right"/>
    </xf>
    <xf numFmtId="165" fontId="3" fillId="0" borderId="15" xfId="48" applyNumberFormat="1" applyFont="1" applyBorder="1" applyAlignment="1">
      <alignment horizontal="right"/>
    </xf>
    <xf numFmtId="165" fontId="5" fillId="0" borderId="15" xfId="48" applyNumberFormat="1" applyFont="1" applyBorder="1" applyAlignment="1">
      <alignment horizontal="right"/>
    </xf>
    <xf numFmtId="41" fontId="12" fillId="0" borderId="15" xfId="48" applyNumberFormat="1" applyFont="1" applyBorder="1" applyProtection="1">
      <protection hidden="1"/>
    </xf>
    <xf numFmtId="170" fontId="5" fillId="0" borderId="12" xfId="73" applyNumberFormat="1" applyFont="1" applyBorder="1" applyAlignment="1">
      <alignment horizontal="right"/>
    </xf>
    <xf numFmtId="170" fontId="5" fillId="0" borderId="0" xfId="73" applyNumberFormat="1" applyFont="1" applyBorder="1" applyAlignment="1">
      <alignment horizontal="right"/>
    </xf>
    <xf numFmtId="170" fontId="5" fillId="0" borderId="15" xfId="73" applyNumberFormat="1" applyFont="1" applyBorder="1" applyAlignment="1">
      <alignment horizontal="right"/>
    </xf>
    <xf numFmtId="165" fontId="12" fillId="0" borderId="0" xfId="48" applyNumberFormat="1" applyFont="1" applyFill="1" applyBorder="1" applyProtection="1">
      <protection hidden="1"/>
    </xf>
    <xf numFmtId="0" fontId="17" fillId="0" borderId="0" xfId="1" applyFont="1"/>
    <xf numFmtId="165" fontId="77" fillId="0" borderId="12" xfId="48" applyNumberFormat="1" applyFont="1" applyBorder="1"/>
    <xf numFmtId="9" fontId="42" fillId="0" borderId="15" xfId="1" applyNumberFormat="1" applyFont="1" applyBorder="1"/>
    <xf numFmtId="8" fontId="5" fillId="0" borderId="12" xfId="1" applyNumberFormat="1" applyFont="1" applyBorder="1"/>
    <xf numFmtId="8" fontId="5" fillId="0" borderId="0" xfId="48" applyNumberFormat="1" applyFont="1" applyBorder="1"/>
    <xf numFmtId="8" fontId="5" fillId="0" borderId="15" xfId="1" applyNumberFormat="1" applyFont="1" applyBorder="1"/>
    <xf numFmtId="3" fontId="3" fillId="0" borderId="0" xfId="1" applyNumberFormat="1" applyFont="1" applyBorder="1"/>
    <xf numFmtId="8" fontId="42" fillId="25" borderId="0" xfId="1" applyNumberFormat="1" applyFont="1" applyFill="1" applyBorder="1"/>
    <xf numFmtId="212" fontId="28" fillId="0" borderId="0" xfId="1" applyNumberFormat="1" applyFont="1" applyBorder="1"/>
    <xf numFmtId="0" fontId="5" fillId="0" borderId="20" xfId="1" applyFont="1" applyFill="1" applyBorder="1"/>
    <xf numFmtId="165" fontId="5" fillId="0" borderId="24" xfId="1" applyNumberFormat="1" applyFont="1" applyBorder="1"/>
    <xf numFmtId="165" fontId="5" fillId="0" borderId="25" xfId="1" applyNumberFormat="1" applyFont="1" applyBorder="1"/>
    <xf numFmtId="165" fontId="3" fillId="0" borderId="12" xfId="1" applyNumberFormat="1" applyFont="1" applyFill="1" applyBorder="1"/>
    <xf numFmtId="43" fontId="11" fillId="0" borderId="0" xfId="1" applyNumberFormat="1" applyFont="1" applyFill="1" applyBorder="1" applyAlignment="1">
      <alignment horizontal="right"/>
    </xf>
    <xf numFmtId="3" fontId="11" fillId="0" borderId="15" xfId="73" applyNumberFormat="1" applyFont="1" applyBorder="1" applyProtection="1">
      <protection hidden="1"/>
    </xf>
    <xf numFmtId="3" fontId="3" fillId="0" borderId="15" xfId="1" applyNumberFormat="1" applyFont="1" applyBorder="1"/>
    <xf numFmtId="5" fontId="3" fillId="22" borderId="0" xfId="48" applyNumberFormat="1" applyFont="1" applyFill="1" applyBorder="1" applyProtection="1">
      <protection hidden="1"/>
    </xf>
    <xf numFmtId="9" fontId="11" fillId="0" borderId="0" xfId="1" applyNumberFormat="1" applyFont="1" applyBorder="1"/>
    <xf numFmtId="213" fontId="11" fillId="0" borderId="0" xfId="1" applyNumberFormat="1" applyFont="1" applyBorder="1"/>
    <xf numFmtId="41" fontId="80" fillId="0" borderId="12" xfId="1" applyNumberFormat="1" applyFont="1" applyBorder="1"/>
    <xf numFmtId="5" fontId="80" fillId="0" borderId="12" xfId="48" applyNumberFormat="1" applyFont="1" applyBorder="1" applyProtection="1">
      <protection hidden="1"/>
    </xf>
    <xf numFmtId="41" fontId="80" fillId="0" borderId="12" xfId="48" applyNumberFormat="1" applyFont="1" applyBorder="1" applyProtection="1">
      <protection hidden="1"/>
    </xf>
    <xf numFmtId="170" fontId="80" fillId="0" borderId="12" xfId="73" applyNumberFormat="1" applyFont="1" applyBorder="1"/>
    <xf numFmtId="0" fontId="80" fillId="16" borderId="14" xfId="1" applyFont="1" applyFill="1" applyBorder="1"/>
    <xf numFmtId="0" fontId="83" fillId="0" borderId="12" xfId="1" applyFont="1" applyBorder="1"/>
    <xf numFmtId="37" fontId="11" fillId="0" borderId="0" xfId="1" applyNumberFormat="1" applyFont="1" applyBorder="1" applyAlignment="1">
      <alignment horizontal="right"/>
    </xf>
    <xf numFmtId="187" fontId="13" fillId="22" borderId="0" xfId="1" applyNumberFormat="1" applyFont="1" applyFill="1" applyBorder="1"/>
    <xf numFmtId="187" fontId="8" fillId="22" borderId="0" xfId="1" applyNumberFormat="1" applyFont="1" applyFill="1" applyBorder="1"/>
    <xf numFmtId="187" fontId="13" fillId="22" borderId="12" xfId="1" applyNumberFormat="1" applyFont="1" applyFill="1" applyBorder="1"/>
    <xf numFmtId="187" fontId="13" fillId="22" borderId="15" xfId="1" applyNumberFormat="1" applyFont="1" applyFill="1" applyBorder="1"/>
    <xf numFmtId="187" fontId="8" fillId="22" borderId="12" xfId="1" applyNumberFormat="1" applyFont="1" applyFill="1" applyBorder="1"/>
    <xf numFmtId="187" fontId="8" fillId="22" borderId="15" xfId="1" applyNumberFormat="1" applyFont="1" applyFill="1" applyBorder="1"/>
    <xf numFmtId="2" fontId="3" fillId="0" borderId="0" xfId="1" applyNumberFormat="1" applyFont="1" applyBorder="1" applyAlignment="1">
      <alignment horizontal="left"/>
    </xf>
    <xf numFmtId="185" fontId="3" fillId="26" borderId="0" xfId="73" applyNumberFormat="1" applyFont="1" applyFill="1" applyBorder="1"/>
    <xf numFmtId="212" fontId="3" fillId="0" borderId="15" xfId="1" applyNumberFormat="1" applyFont="1" applyBorder="1"/>
    <xf numFmtId="212" fontId="3" fillId="0" borderId="12" xfId="1" applyNumberFormat="1" applyFont="1" applyBorder="1"/>
    <xf numFmtId="212" fontId="3" fillId="0" borderId="0" xfId="1" applyNumberFormat="1" applyFont="1" applyBorder="1"/>
    <xf numFmtId="9" fontId="3" fillId="0" borderId="15" xfId="1" applyNumberFormat="1" applyFont="1" applyBorder="1"/>
    <xf numFmtId="0" fontId="3" fillId="0" borderId="12" xfId="1" applyFont="1" applyBorder="1"/>
    <xf numFmtId="4" fontId="11" fillId="0" borderId="15" xfId="73" applyNumberFormat="1" applyFont="1" applyBorder="1" applyProtection="1">
      <protection hidden="1"/>
    </xf>
    <xf numFmtId="8" fontId="3" fillId="21" borderId="15" xfId="1" applyNumberFormat="1" applyFont="1" applyFill="1" applyBorder="1"/>
    <xf numFmtId="8" fontId="3" fillId="21" borderId="12" xfId="1" applyNumberFormat="1" applyFont="1" applyFill="1" applyBorder="1"/>
    <xf numFmtId="8" fontId="3" fillId="21" borderId="0" xfId="1" applyNumberFormat="1" applyFont="1" applyFill="1" applyBorder="1"/>
    <xf numFmtId="165" fontId="3" fillId="27" borderId="0" xfId="48" applyNumberFormat="1" applyFont="1" applyFill="1" applyBorder="1"/>
    <xf numFmtId="165" fontId="3" fillId="27" borderId="15" xfId="1" applyNumberFormat="1" applyFont="1" applyFill="1" applyBorder="1"/>
    <xf numFmtId="41" fontId="11" fillId="27" borderId="12" xfId="48" applyNumberFormat="1" applyFont="1" applyFill="1" applyBorder="1" applyProtection="1">
      <protection hidden="1"/>
    </xf>
    <xf numFmtId="165" fontId="3" fillId="27" borderId="0" xfId="48" applyNumberFormat="1" applyFont="1" applyFill="1" applyBorder="1" applyAlignment="1">
      <alignment horizontal="right"/>
    </xf>
    <xf numFmtId="165" fontId="3" fillId="27" borderId="15" xfId="48" applyNumberFormat="1" applyFont="1" applyFill="1" applyBorder="1" applyAlignment="1">
      <alignment horizontal="right"/>
    </xf>
    <xf numFmtId="165" fontId="77" fillId="27" borderId="0" xfId="48" applyNumberFormat="1" applyFont="1" applyFill="1" applyBorder="1" applyAlignment="1">
      <alignment horizontal="right"/>
    </xf>
    <xf numFmtId="165" fontId="5" fillId="27" borderId="0" xfId="48" applyNumberFormat="1" applyFont="1" applyFill="1" applyBorder="1" applyAlignment="1">
      <alignment horizontal="right"/>
    </xf>
    <xf numFmtId="165" fontId="5" fillId="27" borderId="15" xfId="48" applyNumberFormat="1" applyFont="1" applyFill="1" applyBorder="1" applyAlignment="1">
      <alignment horizontal="right"/>
    </xf>
    <xf numFmtId="170" fontId="85" fillId="0" borderId="13" xfId="73" applyNumberFormat="1" applyFont="1" applyBorder="1"/>
    <xf numFmtId="165" fontId="77" fillId="0" borderId="0" xfId="48" applyNumberFormat="1" applyFont="1" applyBorder="1"/>
    <xf numFmtId="3" fontId="11" fillId="16" borderId="18" xfId="1" applyNumberFormat="1" applyFont="1" applyFill="1" applyBorder="1"/>
    <xf numFmtId="9" fontId="11" fillId="16" borderId="18" xfId="1" applyNumberFormat="1" applyFont="1" applyFill="1" applyBorder="1"/>
    <xf numFmtId="5" fontId="80" fillId="0" borderId="0" xfId="48" applyNumberFormat="1" applyFont="1" applyBorder="1" applyProtection="1">
      <protection hidden="1"/>
    </xf>
    <xf numFmtId="41" fontId="80" fillId="0" borderId="0" xfId="48" applyNumberFormat="1" applyFont="1" applyBorder="1" applyProtection="1">
      <protection hidden="1"/>
    </xf>
    <xf numFmtId="41" fontId="80" fillId="0" borderId="0" xfId="1" applyNumberFormat="1" applyFont="1" applyBorder="1"/>
    <xf numFmtId="170" fontId="80" fillId="0" borderId="0" xfId="73" applyNumberFormat="1" applyFont="1" applyBorder="1"/>
    <xf numFmtId="9" fontId="42" fillId="0" borderId="15" xfId="73" applyFont="1" applyBorder="1"/>
    <xf numFmtId="41" fontId="3" fillId="22" borderId="12" xfId="1" applyNumberFormat="1" applyFont="1" applyFill="1" applyBorder="1"/>
    <xf numFmtId="9" fontId="11" fillId="0" borderId="15" xfId="73" applyNumberFormat="1" applyFont="1" applyBorder="1" applyProtection="1">
      <protection hidden="1"/>
    </xf>
    <xf numFmtId="165" fontId="5" fillId="0" borderId="0" xfId="48" applyNumberFormat="1" applyFont="1" applyFill="1" applyBorder="1" applyAlignment="1">
      <alignment horizontal="right"/>
    </xf>
    <xf numFmtId="37" fontId="11" fillId="0" borderId="15" xfId="1" applyNumberFormat="1" applyFont="1" applyBorder="1" applyAlignment="1">
      <alignment horizontal="right"/>
    </xf>
    <xf numFmtId="8" fontId="11" fillId="0" borderId="15" xfId="1" applyNumberFormat="1" applyFont="1" applyBorder="1"/>
    <xf numFmtId="41" fontId="77" fillId="0" borderId="12" xfId="1" applyNumberFormat="1" applyFont="1" applyFill="1" applyBorder="1"/>
    <xf numFmtId="10" fontId="3" fillId="0" borderId="0" xfId="73" applyNumberFormat="1" applyFont="1" applyBorder="1"/>
    <xf numFmtId="0" fontId="2" fillId="44" borderId="0" xfId="430" applyFont="1" applyFill="1" applyAlignment="1">
      <alignment vertical="top"/>
    </xf>
    <xf numFmtId="0" fontId="2" fillId="44" borderId="0" xfId="65" applyFill="1" applyAlignment="1">
      <alignment vertical="top"/>
    </xf>
    <xf numFmtId="0" fontId="2" fillId="44" borderId="0" xfId="65" applyFill="1"/>
    <xf numFmtId="0" fontId="135" fillId="44" borderId="0" xfId="430" applyFont="1" applyFill="1" applyAlignment="1">
      <alignment horizontal="left" vertical="top"/>
    </xf>
    <xf numFmtId="0" fontId="2" fillId="44" borderId="0" xfId="65" applyFont="1" applyFill="1" applyAlignment="1">
      <alignment vertical="top"/>
    </xf>
    <xf numFmtId="0" fontId="136" fillId="44" borderId="0" xfId="430" applyFont="1" applyFill="1" applyAlignment="1">
      <alignment vertical="top"/>
    </xf>
    <xf numFmtId="0" fontId="0" fillId="44" borderId="0" xfId="0" applyFill="1" applyAlignment="1">
      <alignment vertical="top"/>
    </xf>
    <xf numFmtId="0" fontId="137" fillId="44" borderId="0" xfId="0" applyFont="1" applyFill="1" applyAlignment="1">
      <alignment vertical="top"/>
    </xf>
    <xf numFmtId="0" fontId="138" fillId="44" borderId="0" xfId="0" applyFont="1" applyFill="1" applyAlignment="1">
      <alignment vertical="top"/>
    </xf>
    <xf numFmtId="0" fontId="138" fillId="44" borderId="0" xfId="0" applyFont="1" applyFill="1" applyAlignment="1">
      <alignment vertical="top"/>
    </xf>
    <xf numFmtId="0" fontId="137" fillId="44" borderId="0" xfId="0" applyFont="1" applyFill="1" applyAlignment="1">
      <alignment vertical="top"/>
    </xf>
    <xf numFmtId="0" fontId="0" fillId="44" borderId="0" xfId="0" applyFill="1" applyAlignment="1">
      <alignment vertical="top"/>
    </xf>
    <xf numFmtId="0" fontId="0" fillId="44" borderId="42" xfId="0" applyFill="1" applyBorder="1" applyAlignment="1">
      <alignment vertical="top"/>
    </xf>
    <xf numFmtId="0" fontId="137" fillId="44" borderId="26" xfId="0" applyFont="1" applyFill="1" applyBorder="1" applyAlignment="1">
      <alignment vertical="top"/>
    </xf>
    <xf numFmtId="0" fontId="137" fillId="44" borderId="39" xfId="0" applyFont="1" applyFill="1" applyBorder="1" applyAlignment="1">
      <alignment vertical="top"/>
    </xf>
    <xf numFmtId="0" fontId="137" fillId="44" borderId="40" xfId="0" applyFont="1" applyFill="1" applyBorder="1" applyAlignment="1">
      <alignment vertical="top"/>
    </xf>
    <xf numFmtId="0" fontId="137" fillId="44" borderId="41" xfId="0" applyFont="1" applyFill="1" applyBorder="1" applyAlignment="1">
      <alignment vertical="top"/>
    </xf>
    <xf numFmtId="9" fontId="137" fillId="44" borderId="26" xfId="0" applyNumberFormat="1" applyFont="1" applyFill="1" applyBorder="1" applyAlignment="1">
      <alignment vertical="top"/>
    </xf>
    <xf numFmtId="3" fontId="137" fillId="44" borderId="26" xfId="0" applyNumberFormat="1" applyFont="1" applyFill="1" applyBorder="1" applyAlignment="1">
      <alignment vertical="top"/>
    </xf>
    <xf numFmtId="0" fontId="0" fillId="44" borderId="43" xfId="0" applyFill="1" applyBorder="1" applyAlignment="1">
      <alignment vertical="top"/>
    </xf>
    <xf numFmtId="2" fontId="2" fillId="0" borderId="0" xfId="65" applyNumberFormat="1" applyAlignment="1">
      <alignment horizontal="left"/>
    </xf>
    <xf numFmtId="0" fontId="2" fillId="0" borderId="0" xfId="65" applyNumberFormat="1" applyAlignment="1">
      <alignment horizontal="left"/>
    </xf>
    <xf numFmtId="1" fontId="2" fillId="0" borderId="0" xfId="65" applyNumberFormat="1" applyAlignment="1">
      <alignment horizontal="left"/>
    </xf>
    <xf numFmtId="0" fontId="2" fillId="0" borderId="0" xfId="65" applyFont="1"/>
    <xf numFmtId="257" fontId="2" fillId="0" borderId="0" xfId="65" applyNumberFormat="1" applyAlignment="1">
      <alignment horizontal="left"/>
    </xf>
    <xf numFmtId="49" fontId="2" fillId="0" borderId="0" xfId="65" applyNumberFormat="1"/>
  </cellXfs>
  <cellStyles count="431">
    <cellStyle name="-" xfId="111"/>
    <cellStyle name="_x000a_386grabber=M" xfId="1"/>
    <cellStyle name="_x000a_386grabber=M 2" xfId="2"/>
    <cellStyle name="_x000a_386grabber=M 2 2" xfId="3"/>
    <cellStyle name="_x000a_386grabber=M 2 2 2" xfId="4"/>
    <cellStyle name="_x000a_386grabber=M 3" xfId="5"/>
    <cellStyle name="_x000a_386grabber=M 3 2" xfId="105"/>
    <cellStyle name="_x000a_386grabber=M 4" xfId="112"/>
    <cellStyle name="_x000a_386grabber=M 5" xfId="113"/>
    <cellStyle name="_x000a_shell=progma" xfId="114"/>
    <cellStyle name="$ 1 decimal" xfId="115"/>
    <cellStyle name="%" xfId="116"/>
    <cellStyle name="%_OKSmdl" xfId="117"/>
    <cellStyle name="******************************************" xfId="118"/>
    <cellStyle name="_BS " xfId="6"/>
    <cellStyle name="_DCF " xfId="7"/>
    <cellStyle name="_EPmdl" xfId="119"/>
    <cellStyle name="_NKAmdl" xfId="120"/>
    <cellStyle name="_RRC Model PUB" xfId="121"/>
    <cellStyle name="_RRS1" xfId="122"/>
    <cellStyle name="_RRS10" xfId="123"/>
    <cellStyle name="_RRS13" xfId="124"/>
    <cellStyle name="_RRS16" xfId="125"/>
    <cellStyle name="_RRS2" xfId="126"/>
    <cellStyle name="_RRS24" xfId="127"/>
    <cellStyle name="_RRS28" xfId="128"/>
    <cellStyle name="_RRS30" xfId="129"/>
    <cellStyle name="_RRS33" xfId="130"/>
    <cellStyle name="_RRS36" xfId="131"/>
    <cellStyle name="_RRS37" xfId="132"/>
    <cellStyle name="_RRS4" xfId="133"/>
    <cellStyle name="_RRS45" xfId="134"/>
    <cellStyle name="_RRS49" xfId="135"/>
    <cellStyle name="_RRS5" xfId="136"/>
    <cellStyle name="_RRS50" xfId="137"/>
    <cellStyle name="_RRS52" xfId="138"/>
    <cellStyle name="_RRS55" xfId="139"/>
    <cellStyle name="_RRS58" xfId="140"/>
    <cellStyle name="_RRS6" xfId="141"/>
    <cellStyle name="_RRS7" xfId="142"/>
    <cellStyle name="_RRS70" xfId="143"/>
    <cellStyle name="_RRS76" xfId="144"/>
    <cellStyle name="_RRS88" xfId="145"/>
    <cellStyle name="_RRS91" xfId="146"/>
    <cellStyle name="_SUMMARY " xfId="8"/>
    <cellStyle name="_SUMMARY  2" xfId="346"/>
    <cellStyle name="_SUMMARY _OKSmdl" xfId="147"/>
    <cellStyle name="_SUMMARY _RRST1" xfId="148"/>
    <cellStyle name="_SUMMARY _RRST4" xfId="149"/>
    <cellStyle name="_SUMMARY _RRST7" xfId="150"/>
    <cellStyle name="_UPL Model Pub" xfId="151"/>
    <cellStyle name="’Ê‰Ý [0.00]_GE 3 MINIMUM" xfId="152"/>
    <cellStyle name="’Ê‰Ý_GE 3 MINIMUM" xfId="153"/>
    <cellStyle name="£ BP" xfId="154"/>
    <cellStyle name="¥ JY" xfId="155"/>
    <cellStyle name="=C:\WINNT35\SYSTEM32\COMMAND.COM" xfId="156"/>
    <cellStyle name="•W€_Comparables" xfId="157"/>
    <cellStyle name="•W_GE 3 MINIMUM" xfId="158"/>
    <cellStyle name="0" xfId="159"/>
    <cellStyle name="0%" xfId="160"/>
    <cellStyle name="0.0" xfId="161"/>
    <cellStyle name="0.0%" xfId="162"/>
    <cellStyle name="0.0_Diageo FRS 17 and Capacity" xfId="163"/>
    <cellStyle name="0.00" xfId="164"/>
    <cellStyle name="0.00%" xfId="165"/>
    <cellStyle name="0_Capex &amp; Depreciation " xfId="9"/>
    <cellStyle name="0_Capex &amp; Depreciation _ATLSmdl" xfId="166"/>
    <cellStyle name="0_Capex &amp; Depreciation _OKSmdl" xfId="167"/>
    <cellStyle name="0_Capex &amp; Depreciation _RRST1" xfId="168"/>
    <cellStyle name="0_Capex &amp; Depreciation _RRST22" xfId="169"/>
    <cellStyle name="0_Capex &amp; Depreciation _RRST4" xfId="170"/>
    <cellStyle name="0_Capex &amp; Depreciation _RRST7" xfId="171"/>
    <cellStyle name="0_Capex &amp; Depreciation _RRST9" xfId="172"/>
    <cellStyle name="0_OMV EP 2000-2015 Consolidated " xfId="10"/>
    <cellStyle name="0_OMV EP 2000-2015 Consolidated _ATLSmdl" xfId="173"/>
    <cellStyle name="0_P&amp;L-adj " xfId="11"/>
    <cellStyle name="0_Quarterly " xfId="12"/>
    <cellStyle name="0_Valuing BP " xfId="13"/>
    <cellStyle name="0_Valuing BP _ATLSmdl" xfId="174"/>
    <cellStyle name="0_Valuing BP _OKSmdl" xfId="175"/>
    <cellStyle name="0_Valuing BP _RRST1" xfId="176"/>
    <cellStyle name="0_Valuing BP _RRST22" xfId="177"/>
    <cellStyle name="0_Valuing BP _RRST4" xfId="178"/>
    <cellStyle name="0_Valuing BP _RRST7" xfId="179"/>
    <cellStyle name="0_Valuing BP _RRST9" xfId="180"/>
    <cellStyle name="1,comma" xfId="181"/>
    <cellStyle name="20% - Accent1" xfId="14" builtinId="30" customBuiltin="1"/>
    <cellStyle name="20% - Accent1 2" xfId="347"/>
    <cellStyle name="20% - Accent2" xfId="15" builtinId="34" customBuiltin="1"/>
    <cellStyle name="20% - Accent2 2" xfId="348"/>
    <cellStyle name="20% - Accent3" xfId="16" builtinId="38" customBuiltin="1"/>
    <cellStyle name="20% - Accent3 2" xfId="349"/>
    <cellStyle name="20% - Accent4" xfId="17" builtinId="42" customBuiltin="1"/>
    <cellStyle name="20% - Accent4 2" xfId="350"/>
    <cellStyle name="20% - Accent5" xfId="18" builtinId="46" customBuiltin="1"/>
    <cellStyle name="20% - Accent5 2" xfId="351"/>
    <cellStyle name="20% - Accent6" xfId="19" builtinId="50" customBuiltin="1"/>
    <cellStyle name="20% - Accent6 2" xfId="352"/>
    <cellStyle name="40% - Accent1" xfId="20" builtinId="31" customBuiltin="1"/>
    <cellStyle name="40% - Accent1 2" xfId="353"/>
    <cellStyle name="40% - Accent2" xfId="21" builtinId="35" customBuiltin="1"/>
    <cellStyle name="40% - Accent2 2" xfId="354"/>
    <cellStyle name="40% - Accent3" xfId="22" builtinId="39" customBuiltin="1"/>
    <cellStyle name="40% - Accent3 2" xfId="355"/>
    <cellStyle name="40% - Accent4" xfId="23" builtinId="43" customBuiltin="1"/>
    <cellStyle name="40% - Accent4 2" xfId="356"/>
    <cellStyle name="40% - Accent5" xfId="24" builtinId="47" customBuiltin="1"/>
    <cellStyle name="40% - Accent5 2" xfId="357"/>
    <cellStyle name="40% - Accent6" xfId="25" builtinId="51" customBuiltin="1"/>
    <cellStyle name="40% - Accent6 2" xfId="358"/>
    <cellStyle name="60% - Accent1" xfId="26" builtinId="32" customBuiltin="1"/>
    <cellStyle name="60% - Accent1 2" xfId="359"/>
    <cellStyle name="60% - Accent2" xfId="27" builtinId="36" customBuiltin="1"/>
    <cellStyle name="60% - Accent2 2" xfId="360"/>
    <cellStyle name="60% - Accent3" xfId="28" builtinId="40" customBuiltin="1"/>
    <cellStyle name="60% - Accent3 2" xfId="361"/>
    <cellStyle name="60% - Accent4" xfId="29" builtinId="44" customBuiltin="1"/>
    <cellStyle name="60% - Accent4 2" xfId="362"/>
    <cellStyle name="60% - Accent5" xfId="30" builtinId="48" customBuiltin="1"/>
    <cellStyle name="60% - Accent5 2" xfId="363"/>
    <cellStyle name="60% - Accent6" xfId="31" builtinId="52" customBuiltin="1"/>
    <cellStyle name="60% - Accent6 2" xfId="364"/>
    <cellStyle name="752131" xfId="182"/>
    <cellStyle name="A%" xfId="183"/>
    <cellStyle name="Accent1" xfId="32" builtinId="29" customBuiltin="1"/>
    <cellStyle name="Accent1 2" xfId="365"/>
    <cellStyle name="Accent2" xfId="33" builtinId="33" customBuiltin="1"/>
    <cellStyle name="Accent2 2" xfId="366"/>
    <cellStyle name="Accent3" xfId="34" builtinId="37" customBuiltin="1"/>
    <cellStyle name="Accent3 2" xfId="367"/>
    <cellStyle name="Accent4" xfId="35" builtinId="41" customBuiltin="1"/>
    <cellStyle name="Accent4 2" xfId="368"/>
    <cellStyle name="Accent5" xfId="36" builtinId="45" customBuiltin="1"/>
    <cellStyle name="Accent5 2" xfId="369"/>
    <cellStyle name="Accent6" xfId="37" builtinId="49" customBuiltin="1"/>
    <cellStyle name="Accent6 2" xfId="370"/>
    <cellStyle name="Acctg" xfId="184"/>
    <cellStyle name="Acinput" xfId="185"/>
    <cellStyle name="Acinput,," xfId="186"/>
    <cellStyle name="Acoutput" xfId="187"/>
    <cellStyle name="Acoutput,," xfId="188"/>
    <cellStyle name="Acoutput_CAScomps02" xfId="189"/>
    <cellStyle name="ÅëÈ­ [0]_cover " xfId="38"/>
    <cellStyle name="ÅëÈ­_cover " xfId="39"/>
    <cellStyle name="AFE" xfId="190"/>
    <cellStyle name="ales" xfId="191"/>
    <cellStyle name="Apershare" xfId="192"/>
    <cellStyle name="Aprice" xfId="193"/>
    <cellStyle name="ÄÞ¸¶ [0]_cover " xfId="40"/>
    <cellStyle name="ÄÞ¸¶_cover " xfId="41"/>
    <cellStyle name="Bad" xfId="42" builtinId="27" customBuiltin="1"/>
    <cellStyle name="Bad 2" xfId="371"/>
    <cellStyle name="Band 2" xfId="194"/>
    <cellStyle name="Blue" xfId="195"/>
    <cellStyle name="Bold/Border" xfId="196"/>
    <cellStyle name="Bullet" xfId="197"/>
    <cellStyle name="c_HardInc" xfId="198"/>
    <cellStyle name="c_HardInc " xfId="43"/>
    <cellStyle name="c_HardInc _ATLSmdl" xfId="199"/>
    <cellStyle name="c_HardInc _OKSmdl" xfId="200"/>
    <cellStyle name="c_HardInc _RRST1" xfId="201"/>
    <cellStyle name="c_HardInc _RRST22" xfId="202"/>
    <cellStyle name="c_HardInc _RRST4" xfId="203"/>
    <cellStyle name="c_HardInc _RRST7" xfId="204"/>
    <cellStyle name="c_HardInc _RRST9" xfId="205"/>
    <cellStyle name="C￥AØ_¿μ¾÷CoE² " xfId="44"/>
    <cellStyle name="Ç¥ÁØ_cover " xfId="45"/>
    <cellStyle name="C05_Style E Text" xfId="206"/>
    <cellStyle name="Calculation" xfId="46" builtinId="22" customBuiltin="1"/>
    <cellStyle name="Calculation 2" xfId="372"/>
    <cellStyle name="Cents" xfId="207"/>
    <cellStyle name="Changeable" xfId="208"/>
    <cellStyle name="Check" xfId="209"/>
    <cellStyle name="Check Cell" xfId="47" builtinId="23" customBuiltin="1"/>
    <cellStyle name="Check Cell 2" xfId="373"/>
    <cellStyle name="Colhead_left" xfId="210"/>
    <cellStyle name="ColHeading" xfId="211"/>
    <cellStyle name="ColumnHeadings" xfId="212"/>
    <cellStyle name="ColumnHeadings2" xfId="213"/>
    <cellStyle name="Comma" xfId="48" builtinId="3"/>
    <cellStyle name="Comma  - Style1" xfId="214"/>
    <cellStyle name="Comma  - Style2" xfId="215"/>
    <cellStyle name="Comma  - Style3" xfId="216"/>
    <cellStyle name="Comma  - Style4" xfId="217"/>
    <cellStyle name="Comma  - Style5" xfId="218"/>
    <cellStyle name="Comma  - Style6" xfId="219"/>
    <cellStyle name="Comma  - Style7" xfId="220"/>
    <cellStyle name="Comma  - Style8" xfId="221"/>
    <cellStyle name="Comma 10" xfId="374"/>
    <cellStyle name="Comma 11" xfId="375"/>
    <cellStyle name="Comma 12" xfId="376"/>
    <cellStyle name="Comma 13" xfId="377"/>
    <cellStyle name="Comma 14" xfId="378"/>
    <cellStyle name="Comma 15" xfId="379"/>
    <cellStyle name="Comma 16" xfId="380"/>
    <cellStyle name="Comma 17" xfId="381"/>
    <cellStyle name="Comma 2" xfId="49"/>
    <cellStyle name="Comma 2 2" xfId="100"/>
    <cellStyle name="Comma 2 3" xfId="222"/>
    <cellStyle name="Comma 3" xfId="50"/>
    <cellStyle name="Comma 3 2" xfId="223"/>
    <cellStyle name="Comma 4" xfId="51"/>
    <cellStyle name="Comma 4 2" xfId="98"/>
    <cellStyle name="Comma 4 3" xfId="382"/>
    <cellStyle name="Comma 5" xfId="52"/>
    <cellStyle name="Comma 5 2" xfId="106"/>
    <cellStyle name="Comma 6" xfId="108"/>
    <cellStyle name="Comma 7" xfId="383"/>
    <cellStyle name="Comma 8" xfId="384"/>
    <cellStyle name="Comma 9" xfId="385"/>
    <cellStyle name="Comment" xfId="224"/>
    <cellStyle name="Company" xfId="225"/>
    <cellStyle name="CompanyName" xfId="226"/>
    <cellStyle name="CurRatio" xfId="227"/>
    <cellStyle name="Currency 2" xfId="53"/>
    <cellStyle name="Currency 2 2" xfId="54"/>
    <cellStyle name="Currency 2 2 2" xfId="97"/>
    <cellStyle name="Currency 2 3" xfId="101"/>
    <cellStyle name="Currency 3" xfId="55"/>
    <cellStyle name="Currency 4" xfId="228"/>
    <cellStyle name="Currency 5" xfId="229"/>
    <cellStyle name="Currency0" xfId="230"/>
    <cellStyle name="Currency2" xfId="231"/>
    <cellStyle name="CUS.Work.Area" xfId="232"/>
    <cellStyle name="Dash" xfId="233"/>
    <cellStyle name="Data" xfId="234"/>
    <cellStyle name="Date" xfId="235"/>
    <cellStyle name="Date2" xfId="236"/>
    <cellStyle name="DateTime" xfId="237"/>
    <cellStyle name="Decimal" xfId="238"/>
    <cellStyle name="decimal 1" xfId="239"/>
    <cellStyle name="Dollar" xfId="240"/>
    <cellStyle name="Dollars" xfId="241"/>
    <cellStyle name="Explanatory Text" xfId="56" builtinId="53" customBuiltin="1"/>
    <cellStyle name="Explanatory Text 2" xfId="386"/>
    <cellStyle name="Fail" xfId="242"/>
    <cellStyle name="FieldName" xfId="243"/>
    <cellStyle name="FiscalPeriod" xfId="244"/>
    <cellStyle name="Fixed" xfId="245"/>
    <cellStyle name="Footnote" xfId="246"/>
    <cellStyle name="G02 Table Text" xfId="247"/>
    <cellStyle name="G04_Main head" xfId="248"/>
    <cellStyle name="G05 Tab Head Bold" xfId="249"/>
    <cellStyle name="G05 Tab Head Light" xfId="250"/>
    <cellStyle name="Good" xfId="57" builtinId="26" customBuiltin="1"/>
    <cellStyle name="Good 2" xfId="387"/>
    <cellStyle name="Green" xfId="251"/>
    <cellStyle name="Grey" xfId="252"/>
    <cellStyle name="hard no" xfId="253"/>
    <cellStyle name="hardno" xfId="254"/>
    <cellStyle name="Header1" xfId="255"/>
    <cellStyle name="Header2" xfId="256"/>
    <cellStyle name="Heading 1" xfId="58" builtinId="16" customBuiltin="1"/>
    <cellStyle name="Heading 1 2" xfId="388"/>
    <cellStyle name="Heading 2" xfId="59" builtinId="17" customBuiltin="1"/>
    <cellStyle name="Heading 2 2" xfId="389"/>
    <cellStyle name="Heading 3" xfId="60" builtinId="18" customBuiltin="1"/>
    <cellStyle name="Heading 3 2" xfId="390"/>
    <cellStyle name="Heading 4" xfId="61" builtinId="19" customBuiltin="1"/>
    <cellStyle name="Heading 4 2" xfId="391"/>
    <cellStyle name="Hidden" xfId="257"/>
    <cellStyle name="Hyperlink 2" xfId="258"/>
    <cellStyle name="Input" xfId="62" builtinId="20" customBuiltin="1"/>
    <cellStyle name="Input [yellow]" xfId="259"/>
    <cellStyle name="Input 2" xfId="392"/>
    <cellStyle name="Input 3" xfId="393"/>
    <cellStyle name="Input 4" xfId="394"/>
    <cellStyle name="Input 5" xfId="395"/>
    <cellStyle name="InputBlueFont" xfId="260"/>
    <cellStyle name="InputKeepColour" xfId="261"/>
    <cellStyle name="InputVariColour" xfId="262"/>
    <cellStyle name="Integer" xfId="263"/>
    <cellStyle name="Item" xfId="264"/>
    <cellStyle name="ItemTypeClass" xfId="265"/>
    <cellStyle name="KP_Normal" xfId="266"/>
    <cellStyle name="Linked Cell" xfId="63" builtinId="24" customBuiltin="1"/>
    <cellStyle name="Linked Cell 2" xfId="396"/>
    <cellStyle name="MetricLabel" xfId="267"/>
    <cellStyle name="MetricLabelBlue" xfId="268"/>
    <cellStyle name="MetricValue" xfId="269"/>
    <cellStyle name="MonthYears" xfId="270"/>
    <cellStyle name="Neutral" xfId="64" builtinId="28" customBuiltin="1"/>
    <cellStyle name="Neutral 2" xfId="397"/>
    <cellStyle name="Nil" xfId="271"/>
    <cellStyle name="no dec" xfId="272"/>
    <cellStyle name="NonPrintingArea" xfId="273"/>
    <cellStyle name="Normal" xfId="0" builtinId="0"/>
    <cellStyle name="Normal - Style1" xfId="274"/>
    <cellStyle name="Normal 10" xfId="398"/>
    <cellStyle name="Normal 11" xfId="399"/>
    <cellStyle name="Normal 112 3" xfId="275"/>
    <cellStyle name="Normal 12" xfId="400"/>
    <cellStyle name="Normal 13" xfId="401"/>
    <cellStyle name="Normal 14" xfId="402"/>
    <cellStyle name="Normal 15" xfId="403"/>
    <cellStyle name="Normal 16" xfId="404"/>
    <cellStyle name="Normal 17" xfId="405"/>
    <cellStyle name="Normal 18" xfId="406"/>
    <cellStyle name="Normal 19" xfId="407"/>
    <cellStyle name="Normal 2" xfId="65"/>
    <cellStyle name="Normal 2 2" xfId="408"/>
    <cellStyle name="Normal 20" xfId="409"/>
    <cellStyle name="Normal 21" xfId="410"/>
    <cellStyle name="Normal 22" xfId="411"/>
    <cellStyle name="Normal 3" xfId="66"/>
    <cellStyle name="Normal 3 2" xfId="345"/>
    <cellStyle name="Normal 4" xfId="109"/>
    <cellStyle name="Normal 4 2" xfId="412"/>
    <cellStyle name="Normal 5" xfId="110"/>
    <cellStyle name="Normal 6" xfId="67"/>
    <cellStyle name="Normal 6 2" xfId="96"/>
    <cellStyle name="Normal 7" xfId="68"/>
    <cellStyle name="Normal 7 2" xfId="102"/>
    <cellStyle name="Normal 8" xfId="103"/>
    <cellStyle name="Normal 9" xfId="276"/>
    <cellStyle name="Normal Bold" xfId="277"/>
    <cellStyle name="Normal_C-corp GPs freecashflow updated" xfId="69"/>
    <cellStyle name="Normal_DisclaimerSheet Samples" xfId="430"/>
    <cellStyle name="Note" xfId="70" builtinId="10" customBuiltin="1"/>
    <cellStyle name="Note 2" xfId="413"/>
    <cellStyle name="number" xfId="278"/>
    <cellStyle name="Œ…‹æØ‚è [0.00]_GE 3 MINIMUM" xfId="279"/>
    <cellStyle name="Œ…‹æØ‚è_GE 3 MINIMUM" xfId="280"/>
    <cellStyle name="outh America" xfId="281"/>
    <cellStyle name="Output" xfId="71" builtinId="21" customBuiltin="1"/>
    <cellStyle name="Output 2" xfId="414"/>
    <cellStyle name="p " xfId="72"/>
    <cellStyle name="Pass" xfId="282"/>
    <cellStyle name="pb_table_format_bottomonly" xfId="283"/>
    <cellStyle name="Percent" xfId="73" builtinId="5"/>
    <cellStyle name="Percent [2]" xfId="284"/>
    <cellStyle name="Percent 10" xfId="415"/>
    <cellStyle name="Percent 11" xfId="416"/>
    <cellStyle name="Percent 12" xfId="417"/>
    <cellStyle name="Percent 13" xfId="418"/>
    <cellStyle name="Percent 14" xfId="419"/>
    <cellStyle name="Percent 15" xfId="420"/>
    <cellStyle name="Percent 16" xfId="421"/>
    <cellStyle name="Percent 17" xfId="422"/>
    <cellStyle name="Percent 2" xfId="74"/>
    <cellStyle name="Percent 2 2" xfId="75"/>
    <cellStyle name="Percent 2 3" xfId="76"/>
    <cellStyle name="Percent 3" xfId="77"/>
    <cellStyle name="Percent 3 2" xfId="78"/>
    <cellStyle name="Percent 3 3" xfId="99"/>
    <cellStyle name="Percent 4" xfId="79"/>
    <cellStyle name="Percent 4 2" xfId="423"/>
    <cellStyle name="Percent 5" xfId="80"/>
    <cellStyle name="Percent 5 2" xfId="107"/>
    <cellStyle name="Percent 6" xfId="81"/>
    <cellStyle name="Percent 7" xfId="424"/>
    <cellStyle name="Percent 8" xfId="425"/>
    <cellStyle name="Percent 9" xfId="104"/>
    <cellStyle name="PercentChange" xfId="285"/>
    <cellStyle name="ProtectedDates" xfId="286"/>
    <cellStyle name="Ratio" xfId="287"/>
    <cellStyle name="RatioX" xfId="288"/>
    <cellStyle name="RED" xfId="289"/>
    <cellStyle name="Restruct" xfId="290"/>
    <cellStyle name="Right" xfId="291"/>
    <cellStyle name="RRSInstruction" xfId="82"/>
    <cellStyle name="RRSInstruction 2" xfId="83"/>
    <cellStyle name="s_HardInc " xfId="84"/>
    <cellStyle name="s_HardInc _ATLSmdl" xfId="292"/>
    <cellStyle name="s_HardInc _OKSmdl" xfId="293"/>
    <cellStyle name="s_HardInc _RRST1" xfId="294"/>
    <cellStyle name="s_HardInc _RRST22" xfId="295"/>
    <cellStyle name="s_HardInc _RRST4" xfId="296"/>
    <cellStyle name="s_HardInc _RRST7" xfId="297"/>
    <cellStyle name="s_HardInc _RRST9" xfId="298"/>
    <cellStyle name="s_Valuation " xfId="85"/>
    <cellStyle name="s_Valuation _APLmdl" xfId="299"/>
    <cellStyle name="s_Valuation _ATLSmdl" xfId="300"/>
    <cellStyle name="s_Valuation _OKSmdl" xfId="301"/>
    <cellStyle name="s_Valuation _RRST1" xfId="302"/>
    <cellStyle name="s_Valuation _RRST22" xfId="303"/>
    <cellStyle name="s_Valuation _RRST4" xfId="304"/>
    <cellStyle name="s_Valuation _RRST7" xfId="305"/>
    <cellStyle name="s_Valuation _RRST9" xfId="306"/>
    <cellStyle name="ScripFactor" xfId="307"/>
    <cellStyle name="SectionHeading" xfId="308"/>
    <cellStyle name="ssp " xfId="86"/>
    <cellStyle name="Standard" xfId="309"/>
    <cellStyle name="Style 1" xfId="310"/>
    <cellStyle name="Style 1 2" xfId="426"/>
    <cellStyle name="Style 2" xfId="311"/>
    <cellStyle name="Style 21" xfId="312"/>
    <cellStyle name="Style 22" xfId="313"/>
    <cellStyle name="Style 23" xfId="314"/>
    <cellStyle name="Style 24" xfId="315"/>
    <cellStyle name="Style 25" xfId="316"/>
    <cellStyle name="Style 26" xfId="317"/>
    <cellStyle name="Style 27" xfId="318"/>
    <cellStyle name="Style 28" xfId="319"/>
    <cellStyle name="Style 29" xfId="320"/>
    <cellStyle name="Style 30" xfId="321"/>
    <cellStyle name="Style 31" xfId="322"/>
    <cellStyle name="Style 32" xfId="323"/>
    <cellStyle name="Style 33" xfId="324"/>
    <cellStyle name="Style 34" xfId="325"/>
    <cellStyle name="Style 35" xfId="326"/>
    <cellStyle name="Style 36" xfId="327"/>
    <cellStyle name="Subhead" xfId="87"/>
    <cellStyle name="Subtotal_left" xfId="88"/>
    <cellStyle name="SwitchCell" xfId="328"/>
    <cellStyle name="TableBorder" xfId="329"/>
    <cellStyle name="TableColumnHeader" xfId="330"/>
    <cellStyle name="TableHeading" xfId="331"/>
    <cellStyle name="TableHighlight" xfId="332"/>
    <cellStyle name="TableNote" xfId="333"/>
    <cellStyle name="textbold" xfId="334"/>
    <cellStyle name="Title" xfId="89" builtinId="15" customBuiltin="1"/>
    <cellStyle name="Title 2" xfId="427"/>
    <cellStyle name="title1" xfId="335"/>
    <cellStyle name="title2" xfId="90"/>
    <cellStyle name="Titles" xfId="336"/>
    <cellStyle name="TOC" xfId="337"/>
    <cellStyle name="Top Line" xfId="338"/>
    <cellStyle name="Total" xfId="91" builtinId="25" customBuiltin="1"/>
    <cellStyle name="Total 2" xfId="428"/>
    <cellStyle name="Totals" xfId="339"/>
    <cellStyle name="underline 1 decimal" xfId="340"/>
    <cellStyle name="UnProtectedCalc" xfId="341"/>
    <cellStyle name="Upload Only" xfId="342"/>
    <cellStyle name="Warburg" xfId="343"/>
    <cellStyle name="Warning Text" xfId="92" builtinId="11" customBuiltin="1"/>
    <cellStyle name="Warning Text 2" xfId="429"/>
    <cellStyle name="Year" xfId="344"/>
    <cellStyle name="콤마 [0]_ 2팀층별 " xfId="93"/>
    <cellStyle name="콤마_ 2팀층별 " xfId="94"/>
    <cellStyle name="표준_0N-HANDLING " xfId="95"/>
  </cellStyles>
  <dxfs count="2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0000FF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0000FF"/>
      <color rgb="FF003366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calcChain.xml" Type="http://schemas.openxmlformats.org/officeDocument/2006/relationships/calcChain"/>
<Relationship Id="rId11" Target="../customXml/item1.xml" Type="http://schemas.openxmlformats.org/officeDocument/2006/relationships/customXml"/>
<Relationship Id="rId12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theme/theme1.xml" Type="http://schemas.openxmlformats.org/officeDocument/2006/relationships/theme"/>
<Relationship Id="rId8" Target="styles.xml" Type="http://schemas.openxmlformats.org/officeDocument/2006/relationships/styles"/>
<Relationship Id="rId9" Target="sharedStrings.xml" Type="http://schemas.openxmlformats.org/officeDocument/2006/relationships/sharedStrings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2210817" name="Picture 1" descr="C:\Users\giacomat\AppData\Local\Temp\MercuryPriceRatingHistoryChart\OKE.N_2018_03_23_00_20_3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"/>
  <sheetViews>
    <sheetView workbookViewId="0"/>
  </sheetViews>
  <sheetFormatPr defaultRowHeight="12.75"/>
  <sheetData>
    <row r="1" spans="1:2">
      <c r="B1" t="s">
        <v>910</v>
      </c>
    </row>
  </sheetData>
  <phoneticPr fontId="3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7"/>
  <sheetViews>
    <sheetView showGridLines="0" tabSelected="1" workbookViewId="0">
      <selection activeCell="Z1" sqref="Z1"/>
    </sheetView>
  </sheetViews>
  <sheetFormatPr defaultRowHeight="12.75"/>
  <cols>
    <col min="1" max="1" width="25.7109375" style="729" customWidth="1"/>
    <col min="2" max="5" width="9.140625" style="729"/>
    <col min="6" max="6" width="18.7109375" style="729" customWidth="1"/>
    <col min="7" max="256" width="9.140625" style="729"/>
    <col min="257" max="257" width="100.7109375" style="729" customWidth="1"/>
    <col min="258" max="512" width="9.140625" style="729"/>
    <col min="513" max="513" width="100.7109375" style="729" customWidth="1"/>
    <col min="514" max="768" width="9.140625" style="729"/>
    <col min="769" max="769" width="100.7109375" style="729" customWidth="1"/>
    <col min="770" max="1024" width="9.140625" style="729"/>
    <col min="1025" max="1025" width="100.7109375" style="729" customWidth="1"/>
    <col min="1026" max="1280" width="9.140625" style="729"/>
    <col min="1281" max="1281" width="100.7109375" style="729" customWidth="1"/>
    <col min="1282" max="1536" width="9.140625" style="729"/>
    <col min="1537" max="1537" width="100.7109375" style="729" customWidth="1"/>
    <col min="1538" max="1792" width="9.140625" style="729"/>
    <col min="1793" max="1793" width="100.7109375" style="729" customWidth="1"/>
    <col min="1794" max="2048" width="9.140625" style="729"/>
    <col min="2049" max="2049" width="100.7109375" style="729" customWidth="1"/>
    <col min="2050" max="2304" width="9.140625" style="729"/>
    <col min="2305" max="2305" width="100.7109375" style="729" customWidth="1"/>
    <col min="2306" max="2560" width="9.140625" style="729"/>
    <col min="2561" max="2561" width="100.7109375" style="729" customWidth="1"/>
    <col min="2562" max="2816" width="9.140625" style="729"/>
    <col min="2817" max="2817" width="100.7109375" style="729" customWidth="1"/>
    <col min="2818" max="3072" width="9.140625" style="729"/>
    <col min="3073" max="3073" width="100.7109375" style="729" customWidth="1"/>
    <col min="3074" max="3328" width="9.140625" style="729"/>
    <col min="3329" max="3329" width="100.7109375" style="729" customWidth="1"/>
    <col min="3330" max="3584" width="9.140625" style="729"/>
    <col min="3585" max="3585" width="100.7109375" style="729" customWidth="1"/>
    <col min="3586" max="3840" width="9.140625" style="729"/>
    <col min="3841" max="3841" width="100.7109375" style="729" customWidth="1"/>
    <col min="3842" max="4096" width="9.140625" style="729"/>
    <col min="4097" max="4097" width="100.7109375" style="729" customWidth="1"/>
    <col min="4098" max="4352" width="9.140625" style="729"/>
    <col min="4353" max="4353" width="100.7109375" style="729" customWidth="1"/>
    <col min="4354" max="4608" width="9.140625" style="729"/>
    <col min="4609" max="4609" width="100.7109375" style="729" customWidth="1"/>
    <col min="4610" max="4864" width="9.140625" style="729"/>
    <col min="4865" max="4865" width="100.7109375" style="729" customWidth="1"/>
    <col min="4866" max="5120" width="9.140625" style="729"/>
    <col min="5121" max="5121" width="100.7109375" style="729" customWidth="1"/>
    <col min="5122" max="5376" width="9.140625" style="729"/>
    <col min="5377" max="5377" width="100.7109375" style="729" customWidth="1"/>
    <col min="5378" max="5632" width="9.140625" style="729"/>
    <col min="5633" max="5633" width="100.7109375" style="729" customWidth="1"/>
    <col min="5634" max="5888" width="9.140625" style="729"/>
    <col min="5889" max="5889" width="100.7109375" style="729" customWidth="1"/>
    <col min="5890" max="6144" width="9.140625" style="729"/>
    <col min="6145" max="6145" width="100.7109375" style="729" customWidth="1"/>
    <col min="6146" max="6400" width="9.140625" style="729"/>
    <col min="6401" max="6401" width="100.7109375" style="729" customWidth="1"/>
    <col min="6402" max="6656" width="9.140625" style="729"/>
    <col min="6657" max="6657" width="100.7109375" style="729" customWidth="1"/>
    <col min="6658" max="6912" width="9.140625" style="729"/>
    <col min="6913" max="6913" width="100.7109375" style="729" customWidth="1"/>
    <col min="6914" max="7168" width="9.140625" style="729"/>
    <col min="7169" max="7169" width="100.7109375" style="729" customWidth="1"/>
    <col min="7170" max="7424" width="9.140625" style="729"/>
    <col min="7425" max="7425" width="100.7109375" style="729" customWidth="1"/>
    <col min="7426" max="7680" width="9.140625" style="729"/>
    <col min="7681" max="7681" width="100.7109375" style="729" customWidth="1"/>
    <col min="7682" max="7936" width="9.140625" style="729"/>
    <col min="7937" max="7937" width="100.7109375" style="729" customWidth="1"/>
    <col min="7938" max="8192" width="9.140625" style="729"/>
    <col min="8193" max="8193" width="100.7109375" style="729" customWidth="1"/>
    <col min="8194" max="8448" width="9.140625" style="729"/>
    <col min="8449" max="8449" width="100.7109375" style="729" customWidth="1"/>
    <col min="8450" max="8704" width="9.140625" style="729"/>
    <col min="8705" max="8705" width="100.7109375" style="729" customWidth="1"/>
    <col min="8706" max="8960" width="9.140625" style="729"/>
    <col min="8961" max="8961" width="100.7109375" style="729" customWidth="1"/>
    <col min="8962" max="9216" width="9.140625" style="729"/>
    <col min="9217" max="9217" width="100.7109375" style="729" customWidth="1"/>
    <col min="9218" max="9472" width="9.140625" style="729"/>
    <col min="9473" max="9473" width="100.7109375" style="729" customWidth="1"/>
    <col min="9474" max="9728" width="9.140625" style="729"/>
    <col min="9729" max="9729" width="100.7109375" style="729" customWidth="1"/>
    <col min="9730" max="9984" width="9.140625" style="729"/>
    <col min="9985" max="9985" width="100.7109375" style="729" customWidth="1"/>
    <col min="9986" max="10240" width="9.140625" style="729"/>
    <col min="10241" max="10241" width="100.7109375" style="729" customWidth="1"/>
    <col min="10242" max="10496" width="9.140625" style="729"/>
    <col min="10497" max="10497" width="100.7109375" style="729" customWidth="1"/>
    <col min="10498" max="10752" width="9.140625" style="729"/>
    <col min="10753" max="10753" width="100.7109375" style="729" customWidth="1"/>
    <col min="10754" max="11008" width="9.140625" style="729"/>
    <col min="11009" max="11009" width="100.7109375" style="729" customWidth="1"/>
    <col min="11010" max="11264" width="9.140625" style="729"/>
    <col min="11265" max="11265" width="100.7109375" style="729" customWidth="1"/>
    <col min="11266" max="11520" width="9.140625" style="729"/>
    <col min="11521" max="11521" width="100.7109375" style="729" customWidth="1"/>
    <col min="11522" max="11776" width="9.140625" style="729"/>
    <col min="11777" max="11777" width="100.7109375" style="729" customWidth="1"/>
    <col min="11778" max="12032" width="9.140625" style="729"/>
    <col min="12033" max="12033" width="100.7109375" style="729" customWidth="1"/>
    <col min="12034" max="12288" width="9.140625" style="729"/>
    <col min="12289" max="12289" width="100.7109375" style="729" customWidth="1"/>
    <col min="12290" max="12544" width="9.140625" style="729"/>
    <col min="12545" max="12545" width="100.7109375" style="729" customWidth="1"/>
    <col min="12546" max="12800" width="9.140625" style="729"/>
    <col min="12801" max="12801" width="100.7109375" style="729" customWidth="1"/>
    <col min="12802" max="13056" width="9.140625" style="729"/>
    <col min="13057" max="13057" width="100.7109375" style="729" customWidth="1"/>
    <col min="13058" max="13312" width="9.140625" style="729"/>
    <col min="13313" max="13313" width="100.7109375" style="729" customWidth="1"/>
    <col min="13314" max="13568" width="9.140625" style="729"/>
    <col min="13569" max="13569" width="100.7109375" style="729" customWidth="1"/>
    <col min="13570" max="13824" width="9.140625" style="729"/>
    <col min="13825" max="13825" width="100.7109375" style="729" customWidth="1"/>
    <col min="13826" max="14080" width="9.140625" style="729"/>
    <col min="14081" max="14081" width="100.7109375" style="729" customWidth="1"/>
    <col min="14082" max="14336" width="9.140625" style="729"/>
    <col min="14337" max="14337" width="100.7109375" style="729" customWidth="1"/>
    <col min="14338" max="14592" width="9.140625" style="729"/>
    <col min="14593" max="14593" width="100.7109375" style="729" customWidth="1"/>
    <col min="14594" max="14848" width="9.140625" style="729"/>
    <col min="14849" max="14849" width="100.7109375" style="729" customWidth="1"/>
    <col min="14850" max="15104" width="9.140625" style="729"/>
    <col min="15105" max="15105" width="100.7109375" style="729" customWidth="1"/>
    <col min="15106" max="15360" width="9.140625" style="729"/>
    <col min="15361" max="15361" width="100.7109375" style="729" customWidth="1"/>
    <col min="15362" max="15616" width="9.140625" style="729"/>
    <col min="15617" max="15617" width="100.7109375" style="729" customWidth="1"/>
    <col min="15618" max="15872" width="9.140625" style="729"/>
    <col min="15873" max="15873" width="100.7109375" style="729" customWidth="1"/>
    <col min="15874" max="16128" width="9.140625" style="729"/>
    <col min="16129" max="16129" width="100.7109375" style="729" customWidth="1"/>
    <col min="16130" max="16384" width="9.140625" style="729"/>
  </cols>
  <sheetData>
    <row r="1" spans="1:8" ht="30" customHeight="1">
      <c r="A1" s="727"/>
      <c r="B1" s="728"/>
      <c r="C1" s="728"/>
      <c r="D1" s="728"/>
      <c r="E1" s="728"/>
      <c r="F1" s="728"/>
      <c r="G1" s="728"/>
      <c r="H1" s="728"/>
    </row>
    <row r="2" spans="1:8" ht="14.25">
      <c r="A2" s="730" t="s">
        <v>1625</v>
      </c>
      <c r="B2" s="728"/>
      <c r="C2" s="728"/>
      <c r="D2" s="728"/>
      <c r="E2" s="728"/>
      <c r="F2" s="728"/>
      <c r="G2" s="728"/>
      <c r="H2" s="728"/>
    </row>
    <row r="3" spans="1:8" ht="14.25">
      <c r="A3" s="730" t="s">
        <v>1626</v>
      </c>
      <c r="B3" s="728"/>
      <c r="C3" s="728"/>
      <c r="D3" s="728"/>
      <c r="E3" s="728"/>
      <c r="F3" s="728"/>
      <c r="G3" s="728"/>
      <c r="H3" s="728"/>
    </row>
    <row r="4" spans="1:8" ht="14.25">
      <c r="A4" s="730" t="s">
        <v>1627</v>
      </c>
      <c r="B4" s="728"/>
      <c r="C4" s="728"/>
      <c r="D4" s="728"/>
      <c r="E4" s="728"/>
      <c r="F4" s="728"/>
      <c r="G4" s="728"/>
      <c r="H4" s="728"/>
    </row>
    <row r="5" spans="1:8" ht="14.25">
      <c r="A5" s="730" t="s">
        <v>1628</v>
      </c>
      <c r="B5" s="728"/>
      <c r="C5" s="728"/>
      <c r="D5" s="728"/>
      <c r="E5" s="728"/>
      <c r="F5" s="728"/>
      <c r="G5" s="728"/>
      <c r="H5" s="728"/>
    </row>
    <row r="6" spans="1:8" ht="14.25">
      <c r="A6" s="730"/>
      <c r="B6" s="728"/>
      <c r="C6" s="728"/>
      <c r="D6" s="728"/>
      <c r="E6" s="728"/>
      <c r="F6" s="728"/>
      <c r="G6" s="728"/>
      <c r="H6" s="728"/>
    </row>
    <row r="7" spans="1:8">
      <c r="A7" s="727" t="s">
        <v>1629</v>
      </c>
      <c r="B7" s="728"/>
      <c r="C7" s="728"/>
      <c r="D7" s="728"/>
      <c r="E7" s="728"/>
      <c r="F7" s="728"/>
      <c r="G7" s="728"/>
      <c r="H7" s="728"/>
    </row>
    <row r="8" spans="1:8">
      <c r="A8" s="727" t="s">
        <v>1630</v>
      </c>
      <c r="B8" s="728"/>
      <c r="C8" s="728"/>
      <c r="D8" s="728"/>
      <c r="E8" s="728"/>
      <c r="F8" s="728"/>
      <c r="G8" s="728"/>
      <c r="H8" s="728"/>
    </row>
    <row r="9" spans="1:8">
      <c r="A9" s="727"/>
      <c r="B9" s="728"/>
      <c r="C9" s="728"/>
      <c r="D9" s="728"/>
      <c r="E9" s="728"/>
      <c r="F9" s="728"/>
      <c r="G9" s="728"/>
      <c r="H9" s="728"/>
    </row>
    <row r="10" spans="1:8">
      <c r="A10" s="731" t="s">
        <v>1631</v>
      </c>
      <c r="B10" s="728"/>
      <c r="C10" s="728"/>
      <c r="D10" s="728"/>
      <c r="E10" s="728"/>
      <c r="F10" s="728"/>
      <c r="G10" s="728"/>
      <c r="H10" s="728"/>
    </row>
    <row r="11" spans="1:8">
      <c r="A11" s="731" t="s">
        <v>1632</v>
      </c>
      <c r="B11" s="728"/>
      <c r="C11" s="728"/>
      <c r="D11" s="728"/>
      <c r="E11" s="728"/>
      <c r="F11" s="728"/>
      <c r="G11" s="728"/>
      <c r="H11" s="728"/>
    </row>
    <row r="12" spans="1:8">
      <c r="A12" s="731" t="s">
        <v>1633</v>
      </c>
      <c r="B12" s="728"/>
      <c r="C12" s="728"/>
      <c r="D12" s="728"/>
      <c r="E12" s="728"/>
      <c r="F12" s="728"/>
      <c r="G12" s="728"/>
      <c r="H12" s="728"/>
    </row>
    <row r="13" spans="1:8">
      <c r="A13" s="731" t="s">
        <v>1634</v>
      </c>
      <c r="B13" s="728"/>
      <c r="C13" s="728"/>
      <c r="D13" s="728"/>
      <c r="E13" s="728"/>
      <c r="F13" s="728"/>
      <c r="G13" s="728"/>
      <c r="H13" s="728"/>
    </row>
    <row r="14" spans="1:8">
      <c r="A14" s="731" t="s">
        <v>1635</v>
      </c>
      <c r="B14" s="728"/>
      <c r="C14" s="728"/>
      <c r="D14" s="728"/>
      <c r="E14" s="728"/>
      <c r="F14" s="728"/>
      <c r="G14" s="728"/>
      <c r="H14" s="728"/>
    </row>
    <row r="15" spans="1:8">
      <c r="A15" s="731" t="s">
        <v>1636</v>
      </c>
      <c r="B15" s="728"/>
      <c r="C15" s="728"/>
      <c r="D15" s="728"/>
      <c r="E15" s="728"/>
      <c r="F15" s="728"/>
      <c r="G15" s="728"/>
      <c r="H15" s="728"/>
    </row>
    <row r="16" spans="1:8">
      <c r="A16" s="731"/>
      <c r="B16" s="728"/>
      <c r="C16" s="728"/>
      <c r="D16" s="728"/>
      <c r="E16" s="728"/>
      <c r="F16" s="728"/>
      <c r="G16" s="728"/>
      <c r="H16" s="728"/>
    </row>
    <row r="17" spans="1:8">
      <c r="A17" s="731" t="s">
        <v>1622</v>
      </c>
      <c r="B17" s="728"/>
      <c r="C17" s="728"/>
      <c r="D17" s="728"/>
      <c r="E17" s="728"/>
      <c r="F17" s="728"/>
      <c r="G17" s="728"/>
      <c r="H17" s="728"/>
    </row>
    <row r="18" spans="1:8">
      <c r="A18" s="731"/>
      <c r="B18" s="728"/>
      <c r="C18" s="728"/>
      <c r="D18" s="728"/>
      <c r="E18" s="728"/>
      <c r="F18" s="728"/>
      <c r="G18" s="728"/>
      <c r="H18" s="728"/>
    </row>
    <row r="19" spans="1:8">
      <c r="A19" s="731" t="s">
        <v>1623</v>
      </c>
      <c r="B19" s="728"/>
      <c r="C19" s="728"/>
      <c r="D19" s="728"/>
      <c r="E19" s="728"/>
      <c r="F19" s="728"/>
      <c r="G19" s="728"/>
      <c r="H19" s="728"/>
    </row>
    <row r="20" spans="1:8">
      <c r="A20" s="727"/>
      <c r="B20" s="728"/>
      <c r="C20" s="728"/>
      <c r="D20" s="728"/>
      <c r="E20" s="728"/>
      <c r="F20" s="728"/>
      <c r="G20" s="728"/>
      <c r="H20" s="728"/>
    </row>
    <row r="21" spans="1:8">
      <c r="A21" s="732" t="s">
        <v>1624</v>
      </c>
      <c r="B21" s="728"/>
      <c r="C21" s="728"/>
      <c r="D21" s="728"/>
      <c r="E21" s="728"/>
      <c r="F21" s="728"/>
      <c r="G21" s="728"/>
      <c r="H21" s="728"/>
    </row>
    <row r="22" spans="1:8">
      <c r="A22" s="733"/>
      <c r="B22" s="733"/>
      <c r="C22" s="733"/>
      <c r="D22" s="733"/>
      <c r="E22" s="733"/>
      <c r="F22" s="733"/>
      <c r="G22" s="733"/>
      <c r="H22" s="733"/>
    </row>
    <row r="23" spans="1:8">
      <c r="A23" s="734" t="s">
        <v>1919</v>
      </c>
      <c r="B23" s="733"/>
      <c r="C23" s="733"/>
      <c r="D23" s="733"/>
      <c r="E23" s="733"/>
      <c r="F23" s="733"/>
      <c r="G23" s="733"/>
      <c r="H23" s="733"/>
    </row>
    <row r="24" spans="1:8">
      <c r="A24" s="734" t="s">
        <v>1920</v>
      </c>
      <c r="B24" s="733"/>
      <c r="C24" s="733"/>
      <c r="D24" s="733"/>
      <c r="E24" s="733"/>
      <c r="F24" s="733"/>
      <c r="G24" s="733"/>
      <c r="H24" s="733"/>
    </row>
    <row r="25" spans="1:8">
      <c r="A25" s="734" t="s">
        <v>1921</v>
      </c>
      <c r="B25" s="733"/>
      <c r="C25" s="733"/>
      <c r="D25" s="733"/>
      <c r="E25" s="733"/>
      <c r="F25" s="733"/>
      <c r="G25" s="733"/>
      <c r="H25" s="733"/>
    </row>
    <row r="26" spans="1:8">
      <c r="A26" s="734" t="s">
        <v>1922</v>
      </c>
      <c r="B26" s="733"/>
      <c r="C26" s="733"/>
      <c r="D26" s="733"/>
      <c r="E26" s="733"/>
      <c r="F26" s="733"/>
      <c r="G26" s="733"/>
      <c r="H26" s="733"/>
    </row>
    <row r="27" spans="1:8">
      <c r="A27" s="733"/>
      <c r="B27" s="733"/>
      <c r="C27" s="733"/>
      <c r="D27" s="733"/>
      <c r="E27" s="733"/>
      <c r="F27" s="733"/>
      <c r="G27" s="733"/>
      <c r="H27" s="733"/>
    </row>
    <row r="28" spans="1:8">
      <c r="A28" s="733"/>
      <c r="B28" s="733"/>
      <c r="C28" s="733"/>
      <c r="D28" s="733"/>
      <c r="E28" s="733"/>
      <c r="F28" s="733"/>
      <c r="G28" s="733"/>
      <c r="H28" s="733"/>
    </row>
    <row r="29" spans="1:8">
      <c r="A29" s="734" t="s">
        <v>1914</v>
      </c>
      <c r="B29" s="733"/>
      <c r="C29" s="733"/>
      <c r="D29" s="733"/>
      <c r="E29" s="733"/>
      <c r="F29" s="733"/>
      <c r="G29" s="733"/>
      <c r="H29" s="733"/>
    </row>
    <row r="30" spans="1:8">
      <c r="A30" s="734" t="s">
        <v>1915</v>
      </c>
      <c r="B30" s="733"/>
      <c r="C30" s="733"/>
      <c r="D30" s="733"/>
      <c r="E30" s="733"/>
      <c r="F30" s="733"/>
      <c r="G30" s="733"/>
      <c r="H30" s="733"/>
    </row>
    <row r="31" spans="1:8">
      <c r="A31" s="734" t="s">
        <v>1916</v>
      </c>
      <c r="B31" s="733"/>
      <c r="C31" s="733"/>
      <c r="D31" s="733"/>
      <c r="E31" s="733"/>
      <c r="F31" s="733"/>
      <c r="G31" s="733"/>
      <c r="H31" s="733"/>
    </row>
    <row r="32" spans="1:8">
      <c r="A32" s="734" t="s">
        <v>1917</v>
      </c>
      <c r="B32" s="733"/>
      <c r="C32" s="733"/>
      <c r="D32" s="733"/>
      <c r="E32" s="733"/>
      <c r="F32" s="733"/>
      <c r="G32" s="733"/>
      <c r="H32" s="733"/>
    </row>
    <row r="33" spans="1:8">
      <c r="A33" s="734" t="s">
        <v>1918</v>
      </c>
      <c r="B33" s="733"/>
      <c r="C33" s="733"/>
      <c r="D33" s="733"/>
      <c r="E33" s="733"/>
      <c r="F33" s="733"/>
      <c r="G33" s="733"/>
      <c r="H33" s="733"/>
    </row>
    <row r="34" spans="1:8">
      <c r="A34" s="733"/>
      <c r="B34" s="733"/>
      <c r="C34" s="733"/>
      <c r="D34" s="733"/>
      <c r="E34" s="733"/>
      <c r="F34" s="733"/>
      <c r="G34" s="733"/>
      <c r="H34" s="733"/>
    </row>
    <row r="35" spans="1:8">
      <c r="A35" s="734" t="s">
        <v>1910</v>
      </c>
      <c r="B35" s="733"/>
      <c r="C35" s="733"/>
      <c r="D35" s="733"/>
      <c r="E35" s="733"/>
      <c r="F35" s="733"/>
      <c r="G35" s="733"/>
      <c r="H35" s="733"/>
    </row>
    <row r="36" spans="1:8">
      <c r="A36" s="734" t="s">
        <v>1911</v>
      </c>
      <c r="B36" s="733"/>
      <c r="C36" s="733"/>
      <c r="D36" s="733"/>
      <c r="E36" s="733"/>
      <c r="F36" s="733"/>
      <c r="G36" s="733"/>
      <c r="H36" s="733"/>
    </row>
    <row r="37" spans="1:8">
      <c r="A37" s="734" t="s">
        <v>1912</v>
      </c>
      <c r="B37" s="733"/>
      <c r="C37" s="733"/>
      <c r="D37" s="733"/>
      <c r="E37" s="733"/>
      <c r="F37" s="733"/>
      <c r="G37" s="733"/>
      <c r="H37" s="733"/>
    </row>
    <row r="38" spans="1:8">
      <c r="A38" s="734" t="s">
        <v>1913</v>
      </c>
      <c r="B38" s="733"/>
      <c r="C38" s="733"/>
      <c r="D38" s="733"/>
      <c r="E38" s="733"/>
      <c r="F38" s="733"/>
      <c r="G38" s="733"/>
      <c r="H38" s="733"/>
    </row>
    <row r="39" spans="1:8">
      <c r="A39" s="733"/>
      <c r="B39" s="733"/>
      <c r="C39" s="733"/>
      <c r="D39" s="733"/>
      <c r="E39" s="733"/>
      <c r="F39" s="733"/>
      <c r="G39" s="733"/>
      <c r="H39" s="733"/>
    </row>
    <row r="40" spans="1:8">
      <c r="A40" s="734" t="s">
        <v>1904</v>
      </c>
      <c r="B40" s="733"/>
      <c r="C40" s="733"/>
      <c r="D40" s="733"/>
      <c r="E40" s="733"/>
      <c r="F40" s="733"/>
      <c r="G40" s="733"/>
      <c r="H40" s="733"/>
    </row>
    <row r="41" spans="1:8">
      <c r="A41" s="734" t="s">
        <v>1905</v>
      </c>
      <c r="B41" s="733"/>
      <c r="C41" s="733"/>
      <c r="D41" s="733"/>
      <c r="E41" s="733"/>
      <c r="F41" s="733"/>
      <c r="G41" s="733"/>
      <c r="H41" s="733"/>
    </row>
    <row r="42" spans="1:8">
      <c r="A42" s="734" t="s">
        <v>1906</v>
      </c>
      <c r="B42" s="733"/>
      <c r="C42" s="733"/>
      <c r="D42" s="733"/>
      <c r="E42" s="733"/>
      <c r="F42" s="733"/>
      <c r="G42" s="733"/>
      <c r="H42" s="733"/>
    </row>
    <row r="43" spans="1:8">
      <c r="A43" s="734" t="s">
        <v>1907</v>
      </c>
      <c r="B43" s="733"/>
      <c r="C43" s="733"/>
      <c r="D43" s="733"/>
      <c r="E43" s="733"/>
      <c r="F43" s="733"/>
      <c r="G43" s="733"/>
      <c r="H43" s="733"/>
    </row>
    <row r="44" spans="1:8">
      <c r="A44" s="734" t="s">
        <v>1908</v>
      </c>
      <c r="B44" s="733"/>
      <c r="C44" s="733"/>
      <c r="D44" s="733"/>
      <c r="E44" s="733"/>
      <c r="F44" s="733"/>
      <c r="G44" s="733"/>
      <c r="H44" s="733"/>
    </row>
    <row r="45" spans="1:8">
      <c r="A45" s="734" t="s">
        <v>1909</v>
      </c>
      <c r="B45" s="733"/>
      <c r="C45" s="733"/>
      <c r="D45" s="733"/>
      <c r="E45" s="733"/>
      <c r="F45" s="733"/>
      <c r="G45" s="733"/>
      <c r="H45" s="733"/>
    </row>
    <row r="46" spans="1:8">
      <c r="A46" s="733"/>
      <c r="B46" s="733"/>
      <c r="C46" s="733"/>
      <c r="D46" s="733"/>
      <c r="E46" s="733"/>
      <c r="F46" s="733"/>
      <c r="G46" s="733"/>
      <c r="H46" s="733"/>
    </row>
    <row r="47" spans="1:8" ht="15.75">
      <c r="A47" s="735" t="s">
        <v>1637</v>
      </c>
      <c r="B47" s="733"/>
      <c r="C47" s="733"/>
      <c r="D47" s="733"/>
      <c r="E47" s="733"/>
      <c r="F47" s="733"/>
      <c r="G47" s="733"/>
      <c r="H47" s="733"/>
    </row>
    <row r="48" spans="1:8">
      <c r="A48" s="733"/>
      <c r="B48" s="733"/>
      <c r="C48" s="733"/>
      <c r="D48" s="733"/>
      <c r="E48" s="733"/>
      <c r="F48" s="733"/>
      <c r="G48" s="733"/>
      <c r="H48" s="733"/>
    </row>
    <row r="49" spans="1:8">
      <c r="A49" s="734" t="s">
        <v>1900</v>
      </c>
      <c r="B49" s="733"/>
      <c r="C49" s="733"/>
      <c r="D49" s="733"/>
      <c r="E49" s="733"/>
      <c r="F49" s="733"/>
      <c r="G49" s="733"/>
      <c r="H49" s="733"/>
    </row>
    <row r="50" spans="1:8">
      <c r="A50" s="734" t="s">
        <v>1901</v>
      </c>
      <c r="B50" s="733"/>
      <c r="C50" s="733"/>
      <c r="D50" s="733"/>
      <c r="E50" s="733"/>
      <c r="F50" s="733"/>
      <c r="G50" s="733"/>
      <c r="H50" s="733"/>
    </row>
    <row r="51" spans="1:8">
      <c r="A51" s="734" t="s">
        <v>1902</v>
      </c>
      <c r="B51" s="733"/>
      <c r="C51" s="733"/>
      <c r="D51" s="733"/>
      <c r="E51" s="733"/>
      <c r="F51" s="733"/>
      <c r="G51" s="733"/>
      <c r="H51" s="733"/>
    </row>
    <row r="52" spans="1:8">
      <c r="A52" s="734" t="s">
        <v>1903</v>
      </c>
      <c r="B52" s="733"/>
      <c r="C52" s="733"/>
      <c r="D52" s="733"/>
      <c r="E52" s="733"/>
      <c r="F52" s="733"/>
      <c r="G52" s="733"/>
      <c r="H52" s="733"/>
    </row>
    <row r="53" spans="1:8">
      <c r="A53" s="733"/>
      <c r="B53" s="733"/>
      <c r="C53" s="733"/>
      <c r="D53" s="733"/>
      <c r="E53" s="733"/>
      <c r="F53" s="733"/>
      <c r="G53" s="733"/>
      <c r="H53" s="733"/>
    </row>
    <row r="54" spans="1:8">
      <c r="A54" s="734" t="s">
        <v>1638</v>
      </c>
      <c r="B54" s="733"/>
      <c r="C54" s="733"/>
      <c r="D54" s="733"/>
      <c r="E54" s="733"/>
      <c r="F54" s="733"/>
      <c r="G54" s="733"/>
      <c r="H54" s="733"/>
    </row>
    <row r="55" spans="1:8">
      <c r="A55" s="733"/>
      <c r="B55" s="733"/>
      <c r="C55" s="733"/>
      <c r="D55" s="733"/>
      <c r="E55" s="733"/>
      <c r="F55" s="733"/>
      <c r="G55" s="733"/>
      <c r="H55" s="733"/>
    </row>
    <row r="56" spans="1:8" ht="15.75">
      <c r="A56" s="735" t="s">
        <v>1639</v>
      </c>
      <c r="B56" s="733"/>
      <c r="C56" s="733"/>
      <c r="D56" s="733"/>
      <c r="E56" s="733"/>
      <c r="F56" s="733"/>
      <c r="G56" s="733"/>
      <c r="H56" s="733"/>
    </row>
    <row r="57" spans="1:8">
      <c r="A57" s="733"/>
      <c r="B57" s="733"/>
      <c r="C57" s="733"/>
      <c r="D57" s="733"/>
      <c r="E57" s="733"/>
      <c r="F57" s="733"/>
      <c r="G57" s="733"/>
      <c r="H57" s="733"/>
    </row>
    <row r="58" spans="1:8">
      <c r="A58" s="734" t="s">
        <v>1898</v>
      </c>
      <c r="B58" s="733"/>
      <c r="C58" s="733"/>
      <c r="D58" s="733"/>
      <c r="E58" s="733"/>
      <c r="F58" s="733"/>
      <c r="G58" s="733"/>
      <c r="H58" s="733"/>
    </row>
    <row r="59" spans="1:8">
      <c r="A59" s="734" t="s">
        <v>1899</v>
      </c>
      <c r="B59" s="733"/>
      <c r="C59" s="733"/>
      <c r="D59" s="733"/>
      <c r="E59" s="733"/>
      <c r="F59" s="733"/>
      <c r="G59" s="733"/>
      <c r="H59" s="733"/>
    </row>
    <row r="60" spans="1:8">
      <c r="A60" s="733"/>
      <c r="B60" s="733"/>
      <c r="C60" s="733"/>
      <c r="D60" s="733"/>
      <c r="E60" s="733"/>
      <c r="F60" s="733"/>
      <c r="G60" s="733"/>
      <c r="H60" s="733"/>
    </row>
    <row r="61" spans="1:8" ht="15.75">
      <c r="A61" s="735" t="s">
        <v>1640</v>
      </c>
      <c r="B61" s="733"/>
      <c r="C61" s="733"/>
      <c r="D61" s="733"/>
      <c r="E61" s="733"/>
      <c r="F61" s="733"/>
      <c r="G61" s="733"/>
      <c r="H61" s="733"/>
    </row>
    <row r="62" spans="1:8">
      <c r="A62" s="733"/>
      <c r="B62" s="733"/>
      <c r="C62" s="733"/>
      <c r="D62" s="733"/>
      <c r="E62" s="733"/>
      <c r="F62" s="733"/>
      <c r="G62" s="733"/>
      <c r="H62" s="733"/>
    </row>
    <row r="63" spans="1:8">
      <c r="A63" s="734" t="s">
        <v>1896</v>
      </c>
      <c r="B63" s="733"/>
      <c r="C63" s="733"/>
      <c r="D63" s="733"/>
      <c r="E63" s="733"/>
      <c r="F63" s="733"/>
      <c r="G63" s="733"/>
      <c r="H63" s="733"/>
    </row>
    <row r="64" spans="1:8">
      <c r="A64" s="734" t="s">
        <v>1897</v>
      </c>
      <c r="B64" s="733"/>
      <c r="C64" s="733"/>
      <c r="D64" s="733"/>
      <c r="E64" s="733"/>
      <c r="F64" s="733"/>
      <c r="G64" s="733"/>
      <c r="H64" s="733"/>
    </row>
    <row r="65" spans="1:8">
      <c r="A65" s="733"/>
      <c r="B65" s="733"/>
      <c r="C65" s="733"/>
      <c r="D65" s="733"/>
      <c r="E65" s="733"/>
      <c r="F65" s="733"/>
      <c r="G65" s="733"/>
      <c r="H65" s="733"/>
    </row>
    <row r="66" spans="1:8">
      <c r="A66" s="734" t="s">
        <v>1894</v>
      </c>
      <c r="B66" s="733"/>
      <c r="C66" s="733"/>
      <c r="D66" s="733"/>
      <c r="E66" s="733"/>
      <c r="F66" s="733"/>
      <c r="G66" s="733"/>
      <c r="H66" s="733"/>
    </row>
    <row r="67" spans="1:8">
      <c r="A67" s="734" t="s">
        <v>1895</v>
      </c>
      <c r="B67" s="733"/>
      <c r="C67" s="733"/>
      <c r="D67" s="733"/>
      <c r="E67" s="733"/>
      <c r="F67" s="733"/>
      <c r="G67" s="733"/>
      <c r="H67" s="733"/>
    </row>
    <row r="68" spans="1:8">
      <c r="A68" s="733"/>
      <c r="B68" s="733"/>
      <c r="C68" s="733"/>
      <c r="D68" s="733"/>
      <c r="E68" s="733"/>
      <c r="F68" s="733"/>
      <c r="G68" s="733"/>
      <c r="H68" s="733"/>
    </row>
    <row r="69" spans="1:8">
      <c r="A69" s="734" t="s">
        <v>1892</v>
      </c>
      <c r="B69" s="733"/>
      <c r="C69" s="733"/>
      <c r="D69" s="733"/>
      <c r="E69" s="733"/>
      <c r="F69" s="733"/>
      <c r="G69" s="733"/>
      <c r="H69" s="733"/>
    </row>
    <row r="70" spans="1:8">
      <c r="A70" s="734" t="s">
        <v>1893</v>
      </c>
      <c r="B70" s="733"/>
      <c r="C70" s="733"/>
      <c r="D70" s="733"/>
      <c r="E70" s="733"/>
      <c r="F70" s="733"/>
      <c r="G70" s="733"/>
      <c r="H70" s="733"/>
    </row>
    <row r="71" spans="1:8">
      <c r="A71" s="733"/>
      <c r="B71" s="733"/>
      <c r="C71" s="733"/>
      <c r="D71" s="733"/>
      <c r="E71" s="733"/>
      <c r="F71" s="733"/>
      <c r="G71" s="733"/>
      <c r="H71" s="733"/>
    </row>
    <row r="72" spans="1:8">
      <c r="A72" s="734" t="s">
        <v>1890</v>
      </c>
      <c r="B72" s="733"/>
      <c r="C72" s="733"/>
      <c r="D72" s="733"/>
      <c r="E72" s="733"/>
      <c r="F72" s="733"/>
      <c r="G72" s="733"/>
      <c r="H72" s="733"/>
    </row>
    <row r="73" spans="1:8">
      <c r="A73" s="734" t="s">
        <v>1891</v>
      </c>
      <c r="B73" s="733"/>
      <c r="C73" s="733"/>
      <c r="D73" s="733"/>
      <c r="E73" s="733"/>
      <c r="F73" s="733"/>
      <c r="G73" s="733"/>
      <c r="H73" s="733"/>
    </row>
    <row r="74" spans="1:8">
      <c r="A74" s="733"/>
      <c r="B74" s="733"/>
      <c r="C74" s="733"/>
      <c r="D74" s="733"/>
      <c r="E74" s="733"/>
      <c r="F74" s="733"/>
      <c r="G74" s="733"/>
      <c r="H74" s="733"/>
    </row>
    <row r="75" spans="1:8">
      <c r="A75" s="734" t="s">
        <v>1888</v>
      </c>
      <c r="B75" s="733"/>
      <c r="C75" s="733"/>
      <c r="D75" s="733"/>
      <c r="E75" s="733"/>
      <c r="F75" s="733"/>
      <c r="G75" s="733"/>
      <c r="H75" s="733"/>
    </row>
    <row r="76" spans="1:8">
      <c r="A76" s="734" t="s">
        <v>1889</v>
      </c>
      <c r="B76" s="733"/>
      <c r="C76" s="733"/>
      <c r="D76" s="733"/>
      <c r="E76" s="733"/>
      <c r="F76" s="733"/>
      <c r="G76" s="733"/>
      <c r="H76" s="733"/>
    </row>
    <row r="77" spans="1:8">
      <c r="A77" s="733"/>
      <c r="B77" s="733"/>
      <c r="C77" s="733"/>
      <c r="D77" s="733"/>
      <c r="E77" s="733"/>
      <c r="F77" s="733"/>
      <c r="G77" s="733"/>
      <c r="H77" s="733"/>
    </row>
    <row r="78" spans="1:8">
      <c r="A78" s="734" t="s">
        <v>1885</v>
      </c>
      <c r="B78" s="733"/>
      <c r="C78" s="733"/>
      <c r="D78" s="733"/>
      <c r="E78" s="733"/>
      <c r="F78" s="733"/>
      <c r="G78" s="733"/>
      <c r="H78" s="733"/>
    </row>
    <row r="79" spans="1:8">
      <c r="A79" s="734" t="s">
        <v>1886</v>
      </c>
      <c r="B79" s="733"/>
      <c r="C79" s="733"/>
      <c r="D79" s="733"/>
      <c r="E79" s="733"/>
      <c r="F79" s="733"/>
      <c r="G79" s="733"/>
      <c r="H79" s="733"/>
    </row>
    <row r="80" spans="1:8">
      <c r="A80" s="734" t="s">
        <v>1887</v>
      </c>
      <c r="B80" s="733"/>
      <c r="C80" s="733"/>
      <c r="D80" s="733"/>
      <c r="E80" s="733"/>
      <c r="F80" s="733"/>
      <c r="G80" s="733"/>
      <c r="H80" s="733"/>
    </row>
    <row r="81" spans="1:8">
      <c r="A81" s="733"/>
      <c r="B81" s="733"/>
      <c r="C81" s="733"/>
      <c r="D81" s="733"/>
      <c r="E81" s="733"/>
      <c r="F81" s="733"/>
      <c r="G81" s="733"/>
      <c r="H81" s="733"/>
    </row>
    <row r="82" spans="1:8">
      <c r="A82" s="734" t="s">
        <v>1641</v>
      </c>
      <c r="B82" s="733"/>
      <c r="C82" s="733"/>
      <c r="D82" s="733"/>
      <c r="E82" s="733"/>
      <c r="F82" s="733"/>
      <c r="G82" s="733"/>
      <c r="H82" s="733"/>
    </row>
    <row r="83" spans="1:8">
      <c r="A83" s="733"/>
      <c r="B83" s="733"/>
      <c r="C83" s="733"/>
      <c r="D83" s="733"/>
      <c r="E83" s="733"/>
      <c r="F83" s="733"/>
      <c r="G83" s="733"/>
      <c r="H83" s="733"/>
    </row>
    <row r="84" spans="1:8">
      <c r="A84" s="734" t="s">
        <v>1880</v>
      </c>
      <c r="B84" s="733"/>
      <c r="C84" s="733"/>
      <c r="D84" s="733"/>
      <c r="E84" s="733"/>
      <c r="F84" s="733"/>
      <c r="G84" s="733"/>
      <c r="H84" s="733"/>
    </row>
    <row r="85" spans="1:8">
      <c r="A85" s="734" t="s">
        <v>1881</v>
      </c>
      <c r="B85" s="733"/>
      <c r="C85" s="733"/>
      <c r="D85" s="733"/>
      <c r="E85" s="733"/>
      <c r="F85" s="733"/>
      <c r="G85" s="733"/>
      <c r="H85" s="733"/>
    </row>
    <row r="86" spans="1:8">
      <c r="A86" s="734" t="s">
        <v>1882</v>
      </c>
      <c r="B86" s="733"/>
      <c r="C86" s="733"/>
      <c r="D86" s="733"/>
      <c r="E86" s="733"/>
      <c r="F86" s="733"/>
      <c r="G86" s="733"/>
      <c r="H86" s="733"/>
    </row>
    <row r="87" spans="1:8">
      <c r="A87" s="734" t="s">
        <v>1883</v>
      </c>
      <c r="B87" s="733"/>
      <c r="C87" s="733"/>
      <c r="D87" s="733"/>
      <c r="E87" s="733"/>
      <c r="F87" s="733"/>
      <c r="G87" s="733"/>
      <c r="H87" s="733"/>
    </row>
    <row r="88" spans="1:8">
      <c r="A88" s="734" t="s">
        <v>1884</v>
      </c>
      <c r="B88" s="733"/>
      <c r="C88" s="733"/>
      <c r="D88" s="733"/>
      <c r="E88" s="733"/>
      <c r="F88" s="733"/>
      <c r="G88" s="733"/>
      <c r="H88" s="733"/>
    </row>
    <row r="89" spans="1:8">
      <c r="A89" s="734" t="s">
        <v>1767</v>
      </c>
      <c r="B89" s="733"/>
      <c r="C89" s="733"/>
      <c r="D89" s="733"/>
      <c r="E89" s="733"/>
      <c r="F89" s="733"/>
      <c r="G89" s="733"/>
      <c r="H89" s="733"/>
    </row>
    <row r="90" spans="1:8">
      <c r="A90" s="733"/>
      <c r="B90" s="733"/>
      <c r="C90" s="733"/>
      <c r="D90" s="733"/>
      <c r="E90" s="733"/>
      <c r="F90" s="733"/>
      <c r="G90" s="733"/>
      <c r="H90" s="733"/>
    </row>
    <row r="91" spans="1:8">
      <c r="A91" s="734" t="s">
        <v>1873</v>
      </c>
      <c r="B91" s="733"/>
      <c r="C91" s="733"/>
      <c r="D91" s="733"/>
      <c r="E91" s="733"/>
      <c r="F91" s="733"/>
      <c r="G91" s="733"/>
      <c r="H91" s="733"/>
    </row>
    <row r="92" spans="1:8">
      <c r="A92" s="734" t="s">
        <v>1874</v>
      </c>
      <c r="B92" s="733"/>
      <c r="C92" s="733"/>
      <c r="D92" s="733"/>
      <c r="E92" s="733"/>
      <c r="F92" s="733"/>
      <c r="G92" s="733"/>
      <c r="H92" s="733"/>
    </row>
    <row r="93" spans="1:8">
      <c r="A93" s="734" t="s">
        <v>1875</v>
      </c>
      <c r="B93" s="733"/>
      <c r="C93" s="733"/>
      <c r="D93" s="733"/>
      <c r="E93" s="733"/>
      <c r="F93" s="733"/>
      <c r="G93" s="733"/>
      <c r="H93" s="733"/>
    </row>
    <row r="94" spans="1:8">
      <c r="A94" s="734" t="s">
        <v>1876</v>
      </c>
      <c r="B94" s="733"/>
      <c r="C94" s="733"/>
      <c r="D94" s="733"/>
      <c r="E94" s="733"/>
      <c r="F94" s="733"/>
      <c r="G94" s="733"/>
      <c r="H94" s="733"/>
    </row>
    <row r="95" spans="1:8">
      <c r="A95" s="734" t="s">
        <v>1877</v>
      </c>
      <c r="B95" s="733"/>
      <c r="C95" s="733"/>
      <c r="D95" s="733"/>
      <c r="E95" s="733"/>
      <c r="F95" s="733"/>
      <c r="G95" s="733"/>
      <c r="H95" s="733"/>
    </row>
    <row r="96" spans="1:8">
      <c r="A96" s="734" t="s">
        <v>1878</v>
      </c>
      <c r="B96" s="733"/>
      <c r="C96" s="733"/>
      <c r="D96" s="733"/>
      <c r="E96" s="733"/>
      <c r="F96" s="733"/>
      <c r="G96" s="733"/>
      <c r="H96" s="733"/>
    </row>
    <row r="97" spans="1:8">
      <c r="A97" s="734" t="s">
        <v>1879</v>
      </c>
      <c r="B97" s="733"/>
      <c r="C97" s="733"/>
      <c r="D97" s="733"/>
      <c r="E97" s="733"/>
      <c r="F97" s="733"/>
      <c r="G97" s="733"/>
      <c r="H97" s="733"/>
    </row>
    <row r="98" spans="1:8">
      <c r="A98" s="733"/>
      <c r="B98" s="733"/>
      <c r="C98" s="733"/>
      <c r="D98" s="733"/>
      <c r="E98" s="733"/>
      <c r="F98" s="733"/>
      <c r="G98" s="733"/>
      <c r="H98" s="733"/>
    </row>
    <row r="99" spans="1:8">
      <c r="A99" s="734" t="s">
        <v>1871</v>
      </c>
      <c r="B99" s="733"/>
      <c r="C99" s="733"/>
      <c r="D99" s="733"/>
      <c r="E99" s="733"/>
      <c r="F99" s="733"/>
      <c r="G99" s="733"/>
      <c r="H99" s="733"/>
    </row>
    <row r="100" spans="1:8">
      <c r="A100" s="734" t="s">
        <v>1872</v>
      </c>
      <c r="B100" s="733"/>
      <c r="C100" s="733"/>
      <c r="D100" s="733"/>
      <c r="E100" s="733"/>
      <c r="F100" s="733"/>
      <c r="G100" s="733"/>
      <c r="H100" s="733"/>
    </row>
    <row r="101" spans="1:8">
      <c r="A101" s="733"/>
      <c r="B101" s="733"/>
      <c r="C101" s="733"/>
      <c r="D101" s="733"/>
      <c r="E101" s="733"/>
      <c r="F101" s="733"/>
      <c r="G101" s="733"/>
      <c r="H101" s="733"/>
    </row>
    <row r="102" spans="1:8" ht="15.75">
      <c r="A102" s="735" t="s">
        <v>1642</v>
      </c>
      <c r="B102" s="733"/>
      <c r="C102" s="733"/>
      <c r="D102" s="733"/>
      <c r="E102" s="733"/>
      <c r="F102" s="733"/>
      <c r="G102" s="733"/>
      <c r="H102" s="733"/>
    </row>
    <row r="103" spans="1:8">
      <c r="A103" s="733"/>
      <c r="B103" s="733"/>
      <c r="C103" s="733"/>
      <c r="D103" s="733"/>
      <c r="E103" s="733"/>
      <c r="F103" s="733"/>
      <c r="G103" s="733"/>
      <c r="H103" s="733"/>
    </row>
    <row r="104" spans="1:8">
      <c r="A104" s="734" t="s">
        <v>1862</v>
      </c>
      <c r="B104" s="733"/>
      <c r="C104" s="733"/>
      <c r="D104" s="733"/>
      <c r="E104" s="733"/>
      <c r="F104" s="733"/>
      <c r="G104" s="733"/>
      <c r="H104" s="733"/>
    </row>
    <row r="105" spans="1:8">
      <c r="A105" s="734" t="s">
        <v>1863</v>
      </c>
      <c r="B105" s="733"/>
      <c r="C105" s="733"/>
      <c r="D105" s="733"/>
      <c r="E105" s="733"/>
      <c r="F105" s="733"/>
      <c r="G105" s="733"/>
      <c r="H105" s="733"/>
    </row>
    <row r="106" spans="1:8">
      <c r="A106" s="734" t="s">
        <v>1864</v>
      </c>
      <c r="B106" s="733"/>
      <c r="C106" s="733"/>
      <c r="D106" s="733"/>
      <c r="E106" s="733"/>
      <c r="F106" s="733"/>
      <c r="G106" s="733"/>
      <c r="H106" s="733"/>
    </row>
    <row r="107" spans="1:8">
      <c r="A107" s="734" t="s">
        <v>1865</v>
      </c>
      <c r="B107" s="733"/>
      <c r="C107" s="733"/>
      <c r="D107" s="733"/>
      <c r="E107" s="733"/>
      <c r="F107" s="733"/>
      <c r="G107" s="733"/>
      <c r="H107" s="733"/>
    </row>
    <row r="108" spans="1:8">
      <c r="A108" s="734" t="s">
        <v>1866</v>
      </c>
      <c r="B108" s="733"/>
      <c r="C108" s="733"/>
      <c r="D108" s="733"/>
      <c r="E108" s="733"/>
      <c r="F108" s="733"/>
      <c r="G108" s="733"/>
      <c r="H108" s="733"/>
    </row>
    <row r="109" spans="1:8">
      <c r="A109" s="734" t="s">
        <v>1867</v>
      </c>
      <c r="B109" s="733"/>
      <c r="C109" s="733"/>
      <c r="D109" s="733"/>
      <c r="E109" s="733"/>
      <c r="F109" s="733"/>
      <c r="G109" s="733"/>
      <c r="H109" s="733"/>
    </row>
    <row r="110" spans="1:8">
      <c r="A110" s="734" t="s">
        <v>1868</v>
      </c>
      <c r="B110" s="733"/>
      <c r="C110" s="733"/>
      <c r="D110" s="733"/>
      <c r="E110" s="733"/>
      <c r="F110" s="733"/>
      <c r="G110" s="733"/>
      <c r="H110" s="733"/>
    </row>
    <row r="111" spans="1:8">
      <c r="A111" s="734" t="s">
        <v>1869</v>
      </c>
      <c r="B111" s="733"/>
      <c r="C111" s="733"/>
      <c r="D111" s="733"/>
      <c r="E111" s="733"/>
      <c r="F111" s="733"/>
      <c r="G111" s="733"/>
      <c r="H111" s="733"/>
    </row>
    <row r="112" spans="1:8">
      <c r="A112" s="734" t="s">
        <v>1870</v>
      </c>
      <c r="B112" s="733"/>
      <c r="C112" s="733"/>
      <c r="D112" s="733"/>
      <c r="E112" s="733"/>
      <c r="F112" s="733"/>
      <c r="G112" s="733"/>
      <c r="H112" s="733"/>
    </row>
    <row r="113" spans="1:8">
      <c r="A113" s="733"/>
      <c r="B113" s="733"/>
      <c r="C113" s="733"/>
      <c r="D113" s="733"/>
      <c r="E113" s="733"/>
      <c r="F113" s="733"/>
      <c r="G113" s="733"/>
      <c r="H113" s="733"/>
    </row>
    <row r="114" spans="1:8" ht="15.75">
      <c r="A114" s="736" t="s">
        <v>1643</v>
      </c>
      <c r="B114" s="736"/>
      <c r="C114" s="736"/>
      <c r="D114" s="736"/>
      <c r="E114" s="736"/>
      <c r="F114" s="736"/>
      <c r="G114" s="736"/>
      <c r="H114" s="736"/>
    </row>
    <row r="115" spans="1:8">
      <c r="A115" s="737" t="s">
        <v>1644</v>
      </c>
      <c r="B115" s="737"/>
      <c r="C115" s="737"/>
      <c r="D115" s="737"/>
      <c r="E115" s="737"/>
      <c r="F115" s="737"/>
      <c r="G115" s="737"/>
      <c r="H115" s="737"/>
    </row>
    <row r="116" spans="1:8">
      <c r="A116" s="738"/>
      <c r="B116" s="738"/>
      <c r="C116" s="738"/>
      <c r="D116" s="738"/>
      <c r="E116" s="738"/>
      <c r="F116" s="738"/>
      <c r="G116" s="738"/>
      <c r="H116" s="738"/>
    </row>
    <row r="117" spans="1:8">
      <c r="A117" s="737" t="s">
        <v>1860</v>
      </c>
      <c r="B117" s="737"/>
      <c r="C117" s="737"/>
      <c r="D117" s="737"/>
      <c r="E117" s="737"/>
      <c r="F117" s="737"/>
      <c r="G117" s="737"/>
      <c r="H117" s="737"/>
    </row>
    <row r="118" spans="1:8">
      <c r="A118" s="734" t="s">
        <v>1861</v>
      </c>
      <c r="B118" s="734"/>
      <c r="C118" s="734"/>
      <c r="D118" s="734"/>
      <c r="E118" s="734"/>
      <c r="F118" s="734"/>
      <c r="G118" s="734"/>
      <c r="H118" s="734"/>
    </row>
    <row r="119" spans="1:8">
      <c r="A119" s="738"/>
      <c r="B119" s="738"/>
      <c r="C119" s="738"/>
      <c r="D119" s="738"/>
      <c r="E119" s="738"/>
      <c r="F119" s="738"/>
      <c r="G119" s="738"/>
      <c r="H119" s="738"/>
    </row>
    <row r="120" spans="1:8">
      <c r="A120" s="737" t="s">
        <v>1853</v>
      </c>
      <c r="B120" s="737"/>
      <c r="C120" s="737"/>
      <c r="D120" s="737"/>
      <c r="E120" s="737"/>
      <c r="F120" s="737"/>
      <c r="G120" s="737"/>
      <c r="H120" s="737"/>
    </row>
    <row r="121" spans="1:8">
      <c r="A121" s="734" t="s">
        <v>1854</v>
      </c>
      <c r="B121" s="734"/>
      <c r="C121" s="734"/>
      <c r="D121" s="734"/>
      <c r="E121" s="734"/>
      <c r="F121" s="734"/>
      <c r="G121" s="734"/>
      <c r="H121" s="734"/>
    </row>
    <row r="122" spans="1:8">
      <c r="A122" s="734" t="s">
        <v>1855</v>
      </c>
      <c r="B122" s="734"/>
      <c r="C122" s="734"/>
      <c r="D122" s="734"/>
      <c r="E122" s="734"/>
      <c r="F122" s="734"/>
      <c r="G122" s="734"/>
      <c r="H122" s="734"/>
    </row>
    <row r="123" spans="1:8">
      <c r="A123" s="734" t="s">
        <v>1856</v>
      </c>
      <c r="B123" s="734"/>
      <c r="C123" s="734"/>
      <c r="D123" s="734"/>
      <c r="E123" s="734"/>
      <c r="F123" s="734"/>
      <c r="G123" s="734"/>
      <c r="H123" s="734"/>
    </row>
    <row r="124" spans="1:8">
      <c r="A124" s="734" t="s">
        <v>1857</v>
      </c>
      <c r="B124" s="734"/>
      <c r="C124" s="734"/>
      <c r="D124" s="734"/>
      <c r="E124" s="734"/>
      <c r="F124" s="734"/>
      <c r="G124" s="734"/>
      <c r="H124" s="734"/>
    </row>
    <row r="125" spans="1:8">
      <c r="A125" s="734" t="s">
        <v>1858</v>
      </c>
      <c r="B125" s="734"/>
      <c r="C125" s="734"/>
      <c r="D125" s="734"/>
      <c r="E125" s="734"/>
      <c r="F125" s="734"/>
      <c r="G125" s="734"/>
      <c r="H125" s="734"/>
    </row>
    <row r="126" spans="1:8">
      <c r="A126" s="734" t="s">
        <v>1859</v>
      </c>
      <c r="B126" s="734"/>
      <c r="C126" s="734"/>
      <c r="D126" s="734"/>
      <c r="E126" s="734"/>
      <c r="F126" s="734"/>
      <c r="G126" s="734"/>
      <c r="H126" s="734"/>
    </row>
    <row r="127" spans="1:8">
      <c r="A127" s="739"/>
      <c r="B127" s="739"/>
      <c r="C127" s="739"/>
      <c r="D127" s="739"/>
      <c r="E127" s="739"/>
      <c r="F127" s="739"/>
      <c r="G127" s="739"/>
      <c r="H127" s="739"/>
    </row>
    <row r="128" spans="1:8">
      <c r="A128" s="740"/>
      <c r="B128" s="741" t="s">
        <v>1645</v>
      </c>
      <c r="C128" s="742"/>
      <c r="D128" s="741" t="s">
        <v>1646</v>
      </c>
      <c r="E128" s="743"/>
      <c r="F128" s="742"/>
      <c r="G128" s="741" t="s">
        <v>1647</v>
      </c>
      <c r="H128" s="742"/>
    </row>
    <row r="129" spans="1:8">
      <c r="A129" s="740" t="s">
        <v>1648</v>
      </c>
      <c r="B129" s="740" t="s">
        <v>353</v>
      </c>
      <c r="C129" s="740" t="s">
        <v>1649</v>
      </c>
      <c r="D129" s="740" t="s">
        <v>353</v>
      </c>
      <c r="E129" s="740" t="s">
        <v>1650</v>
      </c>
      <c r="F129" s="740" t="s">
        <v>1651</v>
      </c>
      <c r="G129" s="740" t="s">
        <v>353</v>
      </c>
      <c r="H129" s="740" t="s">
        <v>1652</v>
      </c>
    </row>
    <row r="130" spans="1:8">
      <c r="A130" s="740" t="s">
        <v>1653</v>
      </c>
      <c r="B130" s="740">
        <v>1175</v>
      </c>
      <c r="C130" s="744">
        <v>0.37</v>
      </c>
      <c r="D130" s="740">
        <v>315</v>
      </c>
      <c r="E130" s="744">
        <v>0.41</v>
      </c>
      <c r="F130" s="744">
        <v>0.27</v>
      </c>
      <c r="G130" s="740">
        <v>555</v>
      </c>
      <c r="H130" s="744">
        <v>0.39</v>
      </c>
    </row>
    <row r="131" spans="1:8">
      <c r="A131" s="740" t="s">
        <v>1654</v>
      </c>
      <c r="B131" s="740">
        <v>1369</v>
      </c>
      <c r="C131" s="744">
        <v>0.43</v>
      </c>
      <c r="D131" s="740">
        <v>357</v>
      </c>
      <c r="E131" s="744">
        <v>0.47</v>
      </c>
      <c r="F131" s="744">
        <v>0.26</v>
      </c>
      <c r="G131" s="740">
        <v>643</v>
      </c>
      <c r="H131" s="744">
        <v>0.45</v>
      </c>
    </row>
    <row r="132" spans="1:8">
      <c r="A132" s="740" t="s">
        <v>1655</v>
      </c>
      <c r="B132" s="740">
        <v>53</v>
      </c>
      <c r="C132" s="744">
        <v>0.02</v>
      </c>
      <c r="D132" s="740">
        <v>5</v>
      </c>
      <c r="E132" s="744">
        <v>0.01</v>
      </c>
      <c r="F132" s="744">
        <v>0.09</v>
      </c>
      <c r="G132" s="740">
        <v>7</v>
      </c>
      <c r="H132" s="744">
        <v>0</v>
      </c>
    </row>
    <row r="133" spans="1:8">
      <c r="A133" s="740" t="s">
        <v>1656</v>
      </c>
      <c r="B133" s="740">
        <v>552</v>
      </c>
      <c r="C133" s="744">
        <v>0.18</v>
      </c>
      <c r="D133" s="740">
        <v>87</v>
      </c>
      <c r="E133" s="744">
        <v>0.11</v>
      </c>
      <c r="F133" s="744">
        <v>0.16</v>
      </c>
      <c r="G133" s="740">
        <v>222</v>
      </c>
      <c r="H133" s="744">
        <v>0.16</v>
      </c>
    </row>
    <row r="134" spans="1:8">
      <c r="A134" s="740" t="s">
        <v>1597</v>
      </c>
      <c r="B134" s="745">
        <v>3149</v>
      </c>
      <c r="C134" s="740"/>
      <c r="D134" s="740">
        <v>764</v>
      </c>
      <c r="E134" s="740"/>
      <c r="F134" s="740"/>
      <c r="G134" s="740">
        <v>1427</v>
      </c>
      <c r="H134" s="740"/>
    </row>
    <row r="135" spans="1:8">
      <c r="A135" s="746"/>
      <c r="B135" s="746"/>
      <c r="C135" s="746"/>
      <c r="D135" s="746"/>
      <c r="E135" s="746"/>
      <c r="F135" s="746"/>
      <c r="G135" s="746"/>
      <c r="H135" s="746"/>
    </row>
    <row r="136" spans="1:8">
      <c r="A136" s="737" t="s">
        <v>1849</v>
      </c>
      <c r="B136" s="737"/>
      <c r="C136" s="737"/>
      <c r="D136" s="737"/>
      <c r="E136" s="737"/>
      <c r="F136" s="737"/>
      <c r="G136" s="737"/>
      <c r="H136" s="737"/>
    </row>
    <row r="137" spans="1:8">
      <c r="A137" s="734" t="s">
        <v>1850</v>
      </c>
      <c r="B137" s="734"/>
      <c r="C137" s="734"/>
      <c r="D137" s="734"/>
      <c r="E137" s="734"/>
      <c r="F137" s="734"/>
      <c r="G137" s="734"/>
      <c r="H137" s="734"/>
    </row>
    <row r="138" spans="1:8">
      <c r="A138" s="734" t="s">
        <v>1851</v>
      </c>
      <c r="B138" s="734"/>
      <c r="C138" s="734"/>
      <c r="D138" s="734"/>
      <c r="E138" s="734"/>
      <c r="F138" s="734"/>
      <c r="G138" s="734"/>
      <c r="H138" s="734"/>
    </row>
    <row r="139" spans="1:8">
      <c r="A139" s="734" t="s">
        <v>1852</v>
      </c>
      <c r="B139" s="734"/>
      <c r="C139" s="734"/>
      <c r="D139" s="734"/>
      <c r="E139" s="734"/>
      <c r="F139" s="734"/>
      <c r="G139" s="734"/>
      <c r="H139" s="734"/>
    </row>
    <row r="140" spans="1:8">
      <c r="A140" s="733"/>
      <c r="B140" s="733"/>
      <c r="C140" s="733"/>
      <c r="D140" s="733"/>
      <c r="E140" s="733"/>
      <c r="F140" s="733"/>
      <c r="G140" s="733"/>
      <c r="H140" s="733"/>
    </row>
    <row r="141" spans="1:8" ht="15.75">
      <c r="A141" s="735" t="s">
        <v>1657</v>
      </c>
      <c r="B141" s="733"/>
      <c r="C141" s="733"/>
      <c r="D141" s="733"/>
      <c r="E141" s="733"/>
      <c r="F141" s="733"/>
      <c r="G141" s="733"/>
      <c r="H141" s="733"/>
    </row>
    <row r="142" spans="1:8">
      <c r="A142" s="733"/>
      <c r="B142" s="733"/>
      <c r="C142" s="733"/>
      <c r="D142" s="733"/>
      <c r="E142" s="733"/>
      <c r="F142" s="733"/>
      <c r="G142" s="733"/>
      <c r="H142" s="733"/>
    </row>
    <row r="143" spans="1:8">
      <c r="A143" s="734" t="s">
        <v>1847</v>
      </c>
      <c r="B143" s="733"/>
      <c r="C143" s="733"/>
      <c r="D143" s="733"/>
      <c r="E143" s="733"/>
      <c r="F143" s="733"/>
      <c r="G143" s="733"/>
      <c r="H143" s="733"/>
    </row>
    <row r="144" spans="1:8">
      <c r="A144" s="734" t="s">
        <v>1848</v>
      </c>
      <c r="B144" s="733"/>
      <c r="C144" s="733"/>
      <c r="D144" s="733"/>
      <c r="E144" s="733"/>
      <c r="F144" s="733"/>
      <c r="G144" s="733"/>
      <c r="H144" s="733"/>
    </row>
    <row r="145" spans="1:8">
      <c r="A145" s="733"/>
      <c r="B145" s="733"/>
      <c r="C145" s="733"/>
      <c r="D145" s="733"/>
      <c r="E145" s="733"/>
      <c r="F145" s="733"/>
      <c r="G145" s="733"/>
      <c r="H145" s="733"/>
    </row>
    <row r="146" spans="1:8">
      <c r="A146" s="734" t="s">
        <v>1844</v>
      </c>
      <c r="B146" s="733"/>
      <c r="C146" s="733"/>
      <c r="D146" s="733"/>
      <c r="E146" s="733"/>
      <c r="F146" s="733"/>
      <c r="G146" s="733"/>
      <c r="H146" s="733"/>
    </row>
    <row r="147" spans="1:8">
      <c r="A147" s="734" t="s">
        <v>1845</v>
      </c>
      <c r="B147" s="733"/>
      <c r="C147" s="733"/>
      <c r="D147" s="733"/>
      <c r="E147" s="733"/>
      <c r="F147" s="733"/>
      <c r="G147" s="733"/>
      <c r="H147" s="733"/>
    </row>
    <row r="148" spans="1:8">
      <c r="A148" s="734" t="s">
        <v>1846</v>
      </c>
      <c r="B148" s="733"/>
      <c r="C148" s="733"/>
      <c r="D148" s="733"/>
      <c r="E148" s="733"/>
      <c r="F148" s="733"/>
      <c r="G148" s="733"/>
      <c r="H148" s="733"/>
    </row>
    <row r="149" spans="1:8">
      <c r="A149" s="733"/>
      <c r="B149" s="733"/>
      <c r="C149" s="733"/>
      <c r="D149" s="733"/>
      <c r="E149" s="733"/>
      <c r="F149" s="733"/>
      <c r="G149" s="733"/>
      <c r="H149" s="733"/>
    </row>
    <row r="150" spans="1:8">
      <c r="A150" s="734" t="s">
        <v>1841</v>
      </c>
      <c r="B150" s="733"/>
      <c r="C150" s="733"/>
      <c r="D150" s="733"/>
      <c r="E150" s="733"/>
      <c r="F150" s="733"/>
      <c r="G150" s="733"/>
      <c r="H150" s="733"/>
    </row>
    <row r="151" spans="1:8">
      <c r="A151" s="734" t="s">
        <v>1842</v>
      </c>
      <c r="B151" s="733"/>
      <c r="C151" s="733"/>
      <c r="D151" s="733"/>
      <c r="E151" s="733"/>
      <c r="F151" s="733"/>
      <c r="G151" s="733"/>
      <c r="H151" s="733"/>
    </row>
    <row r="152" spans="1:8">
      <c r="A152" s="734" t="s">
        <v>1843</v>
      </c>
      <c r="B152" s="733"/>
      <c r="C152" s="733"/>
      <c r="D152" s="733"/>
      <c r="E152" s="733"/>
      <c r="F152" s="733"/>
      <c r="G152" s="733"/>
      <c r="H152" s="733"/>
    </row>
    <row r="153" spans="1:8">
      <c r="A153" s="733"/>
      <c r="B153" s="733"/>
      <c r="C153" s="733"/>
      <c r="D153" s="733"/>
      <c r="E153" s="733"/>
      <c r="F153" s="733"/>
      <c r="G153" s="733"/>
      <c r="H153" s="733"/>
    </row>
    <row r="154" spans="1:8">
      <c r="A154" s="734" t="s">
        <v>1838</v>
      </c>
      <c r="B154" s="733"/>
      <c r="C154" s="733"/>
      <c r="D154" s="733"/>
      <c r="E154" s="733"/>
      <c r="F154" s="733"/>
      <c r="G154" s="733"/>
      <c r="H154" s="733"/>
    </row>
    <row r="155" spans="1:8">
      <c r="A155" s="734" t="s">
        <v>1839</v>
      </c>
      <c r="B155" s="733"/>
      <c r="C155" s="733"/>
      <c r="D155" s="733"/>
      <c r="E155" s="733"/>
      <c r="F155" s="733"/>
      <c r="G155" s="733"/>
      <c r="H155" s="733"/>
    </row>
    <row r="156" spans="1:8">
      <c r="A156" s="734" t="s">
        <v>1840</v>
      </c>
      <c r="B156" s="733"/>
      <c r="C156" s="733"/>
      <c r="D156" s="733"/>
      <c r="E156" s="733"/>
      <c r="F156" s="733"/>
      <c r="G156" s="733"/>
      <c r="H156" s="733"/>
    </row>
    <row r="157" spans="1:8">
      <c r="A157" s="733"/>
      <c r="B157" s="733"/>
      <c r="C157" s="733"/>
      <c r="D157" s="733"/>
      <c r="E157" s="733"/>
      <c r="F157" s="733"/>
      <c r="G157" s="733"/>
      <c r="H157" s="733"/>
    </row>
    <row r="158" spans="1:8">
      <c r="A158" s="734" t="s">
        <v>1836</v>
      </c>
      <c r="B158" s="733"/>
      <c r="C158" s="733"/>
      <c r="D158" s="733"/>
      <c r="E158" s="733"/>
      <c r="F158" s="733"/>
      <c r="G158" s="733"/>
      <c r="H158" s="733"/>
    </row>
    <row r="159" spans="1:8">
      <c r="A159" s="734" t="s">
        <v>1837</v>
      </c>
      <c r="B159" s="733"/>
      <c r="C159" s="733"/>
      <c r="D159" s="733"/>
      <c r="E159" s="733"/>
      <c r="F159" s="733"/>
      <c r="G159" s="733"/>
      <c r="H159" s="733"/>
    </row>
    <row r="160" spans="1:8">
      <c r="A160" s="733"/>
      <c r="B160" s="733"/>
      <c r="C160" s="733"/>
      <c r="D160" s="733"/>
      <c r="E160" s="733"/>
      <c r="F160" s="733"/>
      <c r="G160" s="733"/>
      <c r="H160" s="733"/>
    </row>
    <row r="161" spans="1:8" ht="15.75">
      <c r="A161" s="735" t="s">
        <v>1658</v>
      </c>
      <c r="B161" s="733"/>
      <c r="C161" s="733"/>
      <c r="D161" s="733"/>
      <c r="E161" s="733"/>
      <c r="F161" s="733"/>
      <c r="G161" s="733"/>
      <c r="H161" s="733"/>
    </row>
    <row r="162" spans="1:8">
      <c r="A162" s="733"/>
      <c r="B162" s="733"/>
      <c r="C162" s="733"/>
      <c r="D162" s="733"/>
      <c r="E162" s="733"/>
      <c r="F162" s="733"/>
      <c r="G162" s="733"/>
      <c r="H162" s="733"/>
    </row>
    <row r="163" spans="1:8">
      <c r="A163" s="734" t="s">
        <v>1834</v>
      </c>
      <c r="B163" s="733"/>
      <c r="C163" s="733"/>
      <c r="D163" s="733"/>
      <c r="E163" s="733"/>
      <c r="F163" s="733"/>
      <c r="G163" s="733"/>
      <c r="H163" s="733"/>
    </row>
    <row r="164" spans="1:8">
      <c r="A164" s="734" t="s">
        <v>1835</v>
      </c>
      <c r="B164" s="733"/>
      <c r="C164" s="733"/>
      <c r="D164" s="733"/>
      <c r="E164" s="733"/>
      <c r="F164" s="733"/>
      <c r="G164" s="733"/>
      <c r="H164" s="733"/>
    </row>
    <row r="165" spans="1:8">
      <c r="A165" s="733"/>
      <c r="B165" s="733"/>
      <c r="C165" s="733"/>
      <c r="D165" s="733"/>
      <c r="E165" s="733"/>
      <c r="F165" s="733"/>
      <c r="G165" s="733"/>
      <c r="H165" s="733"/>
    </row>
    <row r="166" spans="1:8">
      <c r="A166" s="734" t="s">
        <v>1832</v>
      </c>
      <c r="B166" s="733"/>
      <c r="C166" s="733"/>
      <c r="D166" s="733"/>
      <c r="E166" s="733"/>
      <c r="F166" s="733"/>
      <c r="G166" s="733"/>
      <c r="H166" s="733"/>
    </row>
    <row r="167" spans="1:8">
      <c r="A167" s="734" t="s">
        <v>1833</v>
      </c>
      <c r="B167" s="733"/>
      <c r="C167" s="733"/>
      <c r="D167" s="733"/>
      <c r="E167" s="733"/>
      <c r="F167" s="733"/>
      <c r="G167" s="733"/>
      <c r="H167" s="733"/>
    </row>
    <row r="168" spans="1:8">
      <c r="A168" s="733"/>
      <c r="B168" s="733"/>
      <c r="C168" s="733"/>
      <c r="D168" s="733"/>
      <c r="E168" s="733"/>
      <c r="F168" s="733"/>
      <c r="G168" s="733"/>
      <c r="H168" s="733"/>
    </row>
    <row r="169" spans="1:8">
      <c r="A169" s="734" t="s">
        <v>1830</v>
      </c>
      <c r="B169" s="733"/>
      <c r="C169" s="733"/>
      <c r="D169" s="733"/>
      <c r="E169" s="733"/>
      <c r="F169" s="733"/>
      <c r="G169" s="733"/>
      <c r="H169" s="733"/>
    </row>
    <row r="170" spans="1:8">
      <c r="A170" s="734" t="s">
        <v>1831</v>
      </c>
      <c r="B170" s="733"/>
      <c r="C170" s="733"/>
      <c r="D170" s="733"/>
      <c r="E170" s="733"/>
      <c r="F170" s="733"/>
      <c r="G170" s="733"/>
      <c r="H170" s="733"/>
    </row>
    <row r="171" spans="1:8">
      <c r="A171" s="733"/>
      <c r="B171" s="733"/>
      <c r="C171" s="733"/>
      <c r="D171" s="733"/>
      <c r="E171" s="733"/>
      <c r="F171" s="733"/>
      <c r="G171" s="733"/>
      <c r="H171" s="733"/>
    </row>
    <row r="172" spans="1:8">
      <c r="A172" s="734" t="s">
        <v>1827</v>
      </c>
      <c r="B172" s="733"/>
      <c r="C172" s="733"/>
      <c r="D172" s="733"/>
      <c r="E172" s="733"/>
      <c r="F172" s="733"/>
      <c r="G172" s="733"/>
      <c r="H172" s="733"/>
    </row>
    <row r="173" spans="1:8">
      <c r="A173" s="734" t="s">
        <v>1828</v>
      </c>
      <c r="B173" s="733"/>
      <c r="C173" s="733"/>
      <c r="D173" s="733"/>
      <c r="E173" s="733"/>
      <c r="F173" s="733"/>
      <c r="G173" s="733"/>
      <c r="H173" s="733"/>
    </row>
    <row r="174" spans="1:8">
      <c r="A174" s="734" t="s">
        <v>1829</v>
      </c>
      <c r="B174" s="733"/>
      <c r="C174" s="733"/>
      <c r="D174" s="733"/>
      <c r="E174" s="733"/>
      <c r="F174" s="733"/>
      <c r="G174" s="733"/>
      <c r="H174" s="733"/>
    </row>
    <row r="175" spans="1:8">
      <c r="A175" s="733"/>
      <c r="B175" s="733"/>
      <c r="C175" s="733"/>
      <c r="D175" s="733"/>
      <c r="E175" s="733"/>
      <c r="F175" s="733"/>
      <c r="G175" s="733"/>
      <c r="H175" s="733"/>
    </row>
    <row r="176" spans="1:8">
      <c r="A176" s="733"/>
      <c r="B176" s="733"/>
      <c r="C176" s="733"/>
      <c r="D176" s="733"/>
      <c r="E176" s="733"/>
      <c r="F176" s="733"/>
      <c r="G176" s="733"/>
      <c r="H176" s="733"/>
    </row>
    <row r="177" spans="1:8">
      <c r="A177" s="734" t="s">
        <v>1659</v>
      </c>
      <c r="B177" s="733"/>
      <c r="C177" s="733"/>
      <c r="D177" s="733"/>
      <c r="E177" s="733"/>
      <c r="F177" s="733"/>
      <c r="G177" s="733"/>
      <c r="H177" s="733"/>
    </row>
    <row r="178" spans="1:8">
      <c r="A178" s="733"/>
      <c r="B178" s="733"/>
      <c r="C178" s="733"/>
      <c r="D178" s="733"/>
      <c r="E178" s="733"/>
      <c r="F178" s="733"/>
      <c r="G178" s="733"/>
      <c r="H178" s="733"/>
    </row>
    <row r="179" spans="1:8" ht="15.75">
      <c r="A179" s="735" t="s">
        <v>1660</v>
      </c>
      <c r="B179" s="733"/>
      <c r="C179" s="733"/>
      <c r="D179" s="733"/>
      <c r="E179" s="733"/>
      <c r="F179" s="733"/>
      <c r="G179" s="733"/>
      <c r="H179" s="733"/>
    </row>
    <row r="180" spans="1:8">
      <c r="A180" s="733"/>
      <c r="B180" s="733"/>
      <c r="C180" s="733"/>
      <c r="D180" s="733"/>
      <c r="E180" s="733"/>
      <c r="F180" s="733"/>
      <c r="G180" s="733"/>
      <c r="H180" s="733"/>
    </row>
    <row r="181" spans="1:8">
      <c r="A181" s="733"/>
      <c r="B181" s="733"/>
      <c r="C181" s="733"/>
      <c r="D181" s="733"/>
      <c r="E181" s="733"/>
      <c r="F181" s="733"/>
      <c r="G181" s="733"/>
      <c r="H181" s="733"/>
    </row>
    <row r="182" spans="1:8">
      <c r="A182" s="733"/>
      <c r="B182" s="733"/>
      <c r="C182" s="733"/>
      <c r="D182" s="733"/>
      <c r="E182" s="733"/>
      <c r="F182" s="733"/>
      <c r="G182" s="733"/>
      <c r="H182" s="733"/>
    </row>
    <row r="183" spans="1:8">
      <c r="A183" s="733"/>
      <c r="B183" s="733"/>
      <c r="C183" s="733"/>
      <c r="D183" s="733"/>
      <c r="E183" s="733"/>
      <c r="F183" s="733"/>
      <c r="G183" s="733"/>
      <c r="H183" s="733"/>
    </row>
    <row r="184" spans="1:8">
      <c r="A184" s="733"/>
      <c r="B184" s="733"/>
      <c r="C184" s="733"/>
      <c r="D184" s="733"/>
      <c r="E184" s="733"/>
      <c r="F184" s="733"/>
      <c r="G184" s="733"/>
      <c r="H184" s="733"/>
    </row>
    <row r="185" spans="1:8">
      <c r="A185" s="733"/>
      <c r="B185" s="733"/>
      <c r="C185" s="733"/>
      <c r="D185" s="733"/>
      <c r="E185" s="733"/>
      <c r="F185" s="733"/>
      <c r="G185" s="733"/>
      <c r="H185" s="733"/>
    </row>
    <row r="186" spans="1:8">
      <c r="A186" s="733"/>
      <c r="B186" s="733"/>
      <c r="C186" s="733"/>
      <c r="D186" s="733"/>
      <c r="E186" s="733"/>
      <c r="F186" s="733"/>
      <c r="G186" s="733"/>
      <c r="H186" s="733"/>
    </row>
    <row r="187" spans="1:8">
      <c r="A187" s="733"/>
      <c r="B187" s="733"/>
      <c r="C187" s="733"/>
      <c r="D187" s="733"/>
      <c r="E187" s="733"/>
      <c r="F187" s="733"/>
      <c r="G187" s="733"/>
      <c r="H187" s="733"/>
    </row>
    <row r="188" spans="1:8">
      <c r="A188" s="733"/>
      <c r="B188" s="733"/>
      <c r="C188" s="733"/>
      <c r="D188" s="733"/>
      <c r="E188" s="733"/>
      <c r="F188" s="733"/>
      <c r="G188" s="733"/>
      <c r="H188" s="733"/>
    </row>
    <row r="189" spans="1:8">
      <c r="A189" s="733"/>
      <c r="B189" s="733"/>
      <c r="C189" s="733"/>
      <c r="D189" s="733"/>
      <c r="E189" s="733"/>
      <c r="F189" s="733"/>
      <c r="G189" s="733"/>
      <c r="H189" s="733"/>
    </row>
    <row r="190" spans="1:8">
      <c r="A190" s="733"/>
      <c r="B190" s="733"/>
      <c r="C190" s="733"/>
      <c r="D190" s="733"/>
      <c r="E190" s="733"/>
      <c r="F190" s="733"/>
      <c r="G190" s="733"/>
      <c r="H190" s="733"/>
    </row>
    <row r="191" spans="1:8">
      <c r="A191" s="733"/>
      <c r="B191" s="733"/>
      <c r="C191" s="733"/>
      <c r="D191" s="733"/>
      <c r="E191" s="733"/>
      <c r="F191" s="733"/>
      <c r="G191" s="733"/>
      <c r="H191" s="733"/>
    </row>
    <row r="192" spans="1:8">
      <c r="A192" s="733"/>
      <c r="B192" s="733"/>
      <c r="C192" s="733"/>
      <c r="D192" s="733"/>
      <c r="E192" s="733"/>
      <c r="F192" s="733"/>
      <c r="G192" s="733"/>
      <c r="H192" s="733"/>
    </row>
    <row r="193" spans="1:8">
      <c r="A193" s="733"/>
      <c r="B193" s="733"/>
      <c r="C193" s="733"/>
      <c r="D193" s="733"/>
      <c r="E193" s="733"/>
      <c r="F193" s="733"/>
      <c r="G193" s="733"/>
      <c r="H193" s="733"/>
    </row>
    <row r="194" spans="1:8">
      <c r="A194" s="733"/>
      <c r="B194" s="733"/>
      <c r="C194" s="733"/>
      <c r="D194" s="733"/>
      <c r="E194" s="733"/>
      <c r="F194" s="733"/>
      <c r="G194" s="733"/>
      <c r="H194" s="733"/>
    </row>
    <row r="195" spans="1:8">
      <c r="A195" s="733"/>
      <c r="B195" s="733"/>
      <c r="C195" s="733"/>
      <c r="D195" s="733"/>
      <c r="E195" s="733"/>
      <c r="F195" s="733"/>
      <c r="G195" s="733"/>
      <c r="H195" s="733"/>
    </row>
    <row r="196" spans="1:8">
      <c r="A196" s="733"/>
      <c r="B196" s="733"/>
      <c r="C196" s="733"/>
      <c r="D196" s="733"/>
      <c r="E196" s="733"/>
      <c r="F196" s="733"/>
      <c r="G196" s="733"/>
      <c r="H196" s="733"/>
    </row>
    <row r="197" spans="1:8">
      <c r="A197" s="733"/>
      <c r="B197" s="733"/>
      <c r="C197" s="733"/>
      <c r="D197" s="733"/>
      <c r="E197" s="733"/>
      <c r="F197" s="733"/>
      <c r="G197" s="733"/>
      <c r="H197" s="733"/>
    </row>
    <row r="198" spans="1:8">
      <c r="A198" s="733"/>
      <c r="B198" s="733"/>
      <c r="C198" s="733"/>
      <c r="D198" s="733"/>
      <c r="E198" s="733"/>
      <c r="F198" s="733"/>
      <c r="G198" s="733"/>
      <c r="H198" s="733"/>
    </row>
    <row r="199" spans="1:8">
      <c r="A199" s="733"/>
      <c r="B199" s="733"/>
      <c r="C199" s="733"/>
      <c r="D199" s="733"/>
      <c r="E199" s="733"/>
      <c r="F199" s="733"/>
      <c r="G199" s="733"/>
      <c r="H199" s="733"/>
    </row>
    <row r="200" spans="1:8">
      <c r="A200" s="733"/>
      <c r="B200" s="733"/>
      <c r="C200" s="733"/>
      <c r="D200" s="733"/>
      <c r="E200" s="733"/>
      <c r="F200" s="733"/>
      <c r="G200" s="733"/>
      <c r="H200" s="733"/>
    </row>
    <row r="201" spans="1:8">
      <c r="A201" s="733"/>
      <c r="B201" s="733"/>
      <c r="C201" s="733"/>
      <c r="D201" s="733"/>
      <c r="E201" s="733"/>
      <c r="F201" s="733"/>
      <c r="G201" s="733"/>
      <c r="H201" s="733"/>
    </row>
    <row r="202" spans="1:8">
      <c r="A202" s="733"/>
      <c r="B202" s="733"/>
      <c r="C202" s="733"/>
      <c r="D202" s="733"/>
      <c r="E202" s="733"/>
      <c r="F202" s="733"/>
      <c r="G202" s="733"/>
      <c r="H202" s="733"/>
    </row>
    <row r="203" spans="1:8">
      <c r="A203" s="733"/>
      <c r="B203" s="733"/>
      <c r="C203" s="733"/>
      <c r="D203" s="733"/>
      <c r="E203" s="733"/>
      <c r="F203" s="733"/>
      <c r="G203" s="733"/>
      <c r="H203" s="733"/>
    </row>
    <row r="204" spans="1:8">
      <c r="A204" s="733"/>
      <c r="B204" s="733"/>
      <c r="C204" s="733"/>
      <c r="D204" s="733"/>
      <c r="E204" s="733"/>
      <c r="F204" s="733"/>
      <c r="G204" s="733"/>
      <c r="H204" s="733"/>
    </row>
    <row r="205" spans="1:8">
      <c r="A205" s="733"/>
      <c r="B205" s="733"/>
      <c r="C205" s="733"/>
      <c r="D205" s="733"/>
      <c r="E205" s="733"/>
      <c r="F205" s="733"/>
      <c r="G205" s="733"/>
      <c r="H205" s="733"/>
    </row>
    <row r="206" spans="1:8" ht="15.75">
      <c r="A206" s="735" t="s">
        <v>1661</v>
      </c>
      <c r="B206" s="733"/>
      <c r="C206" s="733"/>
      <c r="D206" s="733"/>
      <c r="E206" s="733"/>
      <c r="F206" s="733"/>
      <c r="G206" s="733"/>
      <c r="H206" s="733"/>
    </row>
    <row r="207" spans="1:8">
      <c r="A207" s="733"/>
      <c r="B207" s="733"/>
      <c r="C207" s="733"/>
      <c r="D207" s="733"/>
      <c r="E207" s="733"/>
      <c r="F207" s="733"/>
      <c r="G207" s="733"/>
      <c r="H207" s="733"/>
    </row>
    <row r="208" spans="1:8">
      <c r="A208" s="734" t="s">
        <v>1822</v>
      </c>
      <c r="B208" s="733"/>
      <c r="C208" s="733"/>
      <c r="D208" s="733"/>
      <c r="E208" s="733"/>
      <c r="F208" s="733"/>
      <c r="G208" s="733"/>
      <c r="H208" s="733"/>
    </row>
    <row r="209" spans="1:8">
      <c r="A209" s="734" t="s">
        <v>1823</v>
      </c>
      <c r="B209" s="733"/>
      <c r="C209" s="733"/>
      <c r="D209" s="733"/>
      <c r="E209" s="733"/>
      <c r="F209" s="733"/>
      <c r="G209" s="733"/>
      <c r="H209" s="733"/>
    </row>
    <row r="210" spans="1:8">
      <c r="A210" s="734" t="s">
        <v>1824</v>
      </c>
      <c r="B210" s="733"/>
      <c r="C210" s="733"/>
      <c r="D210" s="733"/>
      <c r="E210" s="733"/>
      <c r="F210" s="733"/>
      <c r="G210" s="733"/>
      <c r="H210" s="733"/>
    </row>
    <row r="211" spans="1:8">
      <c r="A211" s="734" t="s">
        <v>1825</v>
      </c>
      <c r="B211" s="733"/>
      <c r="C211" s="733"/>
      <c r="D211" s="733"/>
      <c r="E211" s="733"/>
      <c r="F211" s="733"/>
      <c r="G211" s="733"/>
      <c r="H211" s="733"/>
    </row>
    <row r="212" spans="1:8">
      <c r="A212" s="734" t="s">
        <v>1826</v>
      </c>
      <c r="B212" s="733"/>
      <c r="C212" s="733"/>
      <c r="D212" s="733"/>
      <c r="E212" s="733"/>
      <c r="F212" s="733"/>
      <c r="G212" s="733"/>
      <c r="H212" s="733"/>
    </row>
    <row r="213" spans="1:8">
      <c r="A213" s="733"/>
      <c r="B213" s="733"/>
      <c r="C213" s="733"/>
      <c r="D213" s="733"/>
      <c r="E213" s="733"/>
      <c r="F213" s="733"/>
      <c r="G213" s="733"/>
      <c r="H213" s="733"/>
    </row>
    <row r="214" spans="1:8">
      <c r="A214" s="734" t="s">
        <v>1819</v>
      </c>
      <c r="B214" s="733"/>
      <c r="C214" s="733"/>
      <c r="D214" s="733"/>
      <c r="E214" s="733"/>
      <c r="F214" s="733"/>
      <c r="G214" s="733"/>
      <c r="H214" s="733"/>
    </row>
    <row r="215" spans="1:8">
      <c r="A215" s="734" t="s">
        <v>1820</v>
      </c>
      <c r="B215" s="733"/>
      <c r="C215" s="733"/>
      <c r="D215" s="733"/>
      <c r="E215" s="733"/>
      <c r="F215" s="733"/>
      <c r="G215" s="733"/>
      <c r="H215" s="733"/>
    </row>
    <row r="216" spans="1:8">
      <c r="A216" s="734" t="s">
        <v>1821</v>
      </c>
      <c r="B216" s="733"/>
      <c r="C216" s="733"/>
      <c r="D216" s="733"/>
      <c r="E216" s="733"/>
      <c r="F216" s="733"/>
      <c r="G216" s="733"/>
      <c r="H216" s="733"/>
    </row>
    <row r="217" spans="1:8" ht="15.75">
      <c r="A217" s="735" t="s">
        <v>1662</v>
      </c>
      <c r="B217" s="733"/>
      <c r="C217" s="733"/>
      <c r="D217" s="733"/>
      <c r="E217" s="733"/>
      <c r="F217" s="733"/>
      <c r="G217" s="733"/>
      <c r="H217" s="733"/>
    </row>
    <row r="218" spans="1:8">
      <c r="A218" s="733"/>
      <c r="B218" s="733"/>
      <c r="C218" s="733"/>
      <c r="D218" s="733"/>
      <c r="E218" s="733"/>
      <c r="F218" s="733"/>
      <c r="G218" s="733"/>
      <c r="H218" s="733"/>
    </row>
    <row r="219" spans="1:8">
      <c r="A219" s="734" t="s">
        <v>1817</v>
      </c>
      <c r="B219" s="733"/>
      <c r="C219" s="733"/>
      <c r="D219" s="733"/>
      <c r="E219" s="733"/>
      <c r="F219" s="733"/>
      <c r="G219" s="733"/>
      <c r="H219" s="733"/>
    </row>
    <row r="220" spans="1:8">
      <c r="A220" s="734" t="s">
        <v>1818</v>
      </c>
      <c r="B220" s="733"/>
      <c r="C220" s="733"/>
      <c r="D220" s="733"/>
      <c r="E220" s="733"/>
      <c r="F220" s="733"/>
      <c r="G220" s="733"/>
      <c r="H220" s="733"/>
    </row>
    <row r="221" spans="1:8">
      <c r="A221" s="733"/>
      <c r="B221" s="733"/>
      <c r="C221" s="733"/>
      <c r="D221" s="733"/>
      <c r="E221" s="733"/>
      <c r="F221" s="733"/>
      <c r="G221" s="733"/>
      <c r="H221" s="733"/>
    </row>
    <row r="222" spans="1:8">
      <c r="A222" s="734" t="s">
        <v>1810</v>
      </c>
      <c r="B222" s="733"/>
      <c r="C222" s="733"/>
      <c r="D222" s="733"/>
      <c r="E222" s="733"/>
      <c r="F222" s="733"/>
      <c r="G222" s="733"/>
      <c r="H222" s="733"/>
    </row>
    <row r="223" spans="1:8">
      <c r="A223" s="734" t="s">
        <v>1811</v>
      </c>
      <c r="B223" s="733"/>
      <c r="C223" s="733"/>
      <c r="D223" s="733"/>
      <c r="E223" s="733"/>
      <c r="F223" s="733"/>
      <c r="G223" s="733"/>
      <c r="H223" s="733"/>
    </row>
    <row r="224" spans="1:8">
      <c r="A224" s="734" t="s">
        <v>1812</v>
      </c>
      <c r="B224" s="733"/>
      <c r="C224" s="733"/>
      <c r="D224" s="733"/>
      <c r="E224" s="733"/>
      <c r="F224" s="733"/>
      <c r="G224" s="733"/>
      <c r="H224" s="733"/>
    </row>
    <row r="225" spans="1:8">
      <c r="A225" s="734" t="s">
        <v>1813</v>
      </c>
      <c r="B225" s="733"/>
      <c r="C225" s="733"/>
      <c r="D225" s="733"/>
      <c r="E225" s="733"/>
      <c r="F225" s="733"/>
      <c r="G225" s="733"/>
      <c r="H225" s="733"/>
    </row>
    <row r="226" spans="1:8">
      <c r="A226" s="734" t="s">
        <v>1814</v>
      </c>
      <c r="B226" s="733"/>
      <c r="C226" s="733"/>
      <c r="D226" s="733"/>
      <c r="E226" s="733"/>
      <c r="F226" s="733"/>
      <c r="G226" s="733"/>
      <c r="H226" s="733"/>
    </row>
    <row r="227" spans="1:8">
      <c r="A227" s="734" t="s">
        <v>1815</v>
      </c>
      <c r="B227" s="733"/>
      <c r="C227" s="733"/>
      <c r="D227" s="733"/>
      <c r="E227" s="733"/>
      <c r="F227" s="733"/>
      <c r="G227" s="733"/>
      <c r="H227" s="733"/>
    </row>
    <row r="228" spans="1:8">
      <c r="A228" s="734" t="s">
        <v>1816</v>
      </c>
      <c r="B228" s="733"/>
      <c r="C228" s="733"/>
      <c r="D228" s="733"/>
      <c r="E228" s="733"/>
      <c r="F228" s="733"/>
      <c r="G228" s="733"/>
      <c r="H228" s="733"/>
    </row>
    <row r="229" spans="1:8">
      <c r="A229" s="733"/>
      <c r="B229" s="733"/>
      <c r="C229" s="733"/>
      <c r="D229" s="733"/>
      <c r="E229" s="733"/>
      <c r="F229" s="733"/>
      <c r="G229" s="733"/>
      <c r="H229" s="733"/>
    </row>
    <row r="230" spans="1:8">
      <c r="A230" s="734" t="s">
        <v>1807</v>
      </c>
      <c r="B230" s="733"/>
      <c r="C230" s="733"/>
      <c r="D230" s="733"/>
      <c r="E230" s="733"/>
      <c r="F230" s="733"/>
      <c r="G230" s="733"/>
      <c r="H230" s="733"/>
    </row>
    <row r="231" spans="1:8">
      <c r="A231" s="734" t="s">
        <v>1808</v>
      </c>
      <c r="B231" s="733"/>
      <c r="C231" s="733"/>
      <c r="D231" s="733"/>
      <c r="E231" s="733"/>
      <c r="F231" s="733"/>
      <c r="G231" s="733"/>
      <c r="H231" s="733"/>
    </row>
    <row r="232" spans="1:8">
      <c r="A232" s="734" t="s">
        <v>1809</v>
      </c>
      <c r="B232" s="733"/>
      <c r="C232" s="733"/>
      <c r="D232" s="733"/>
      <c r="E232" s="733"/>
      <c r="F232" s="733"/>
      <c r="G232" s="733"/>
      <c r="H232" s="733"/>
    </row>
    <row r="233" spans="1:8">
      <c r="A233" s="733"/>
      <c r="B233" s="733"/>
      <c r="C233" s="733"/>
      <c r="D233" s="733"/>
      <c r="E233" s="733"/>
      <c r="F233" s="733"/>
      <c r="G233" s="733"/>
      <c r="H233" s="733"/>
    </row>
    <row r="234" spans="1:8">
      <c r="A234" s="734" t="s">
        <v>1802</v>
      </c>
      <c r="B234" s="733"/>
      <c r="C234" s="733"/>
      <c r="D234" s="733"/>
      <c r="E234" s="733"/>
      <c r="F234" s="733"/>
      <c r="G234" s="733"/>
      <c r="H234" s="733"/>
    </row>
    <row r="235" spans="1:8">
      <c r="A235" s="734" t="s">
        <v>1803</v>
      </c>
      <c r="B235" s="733"/>
      <c r="C235" s="733"/>
      <c r="D235" s="733"/>
      <c r="E235" s="733"/>
      <c r="F235" s="733"/>
      <c r="G235" s="733"/>
      <c r="H235" s="733"/>
    </row>
    <row r="236" spans="1:8">
      <c r="A236" s="734" t="s">
        <v>1804</v>
      </c>
      <c r="B236" s="733"/>
      <c r="C236" s="733"/>
      <c r="D236" s="733"/>
      <c r="E236" s="733"/>
      <c r="F236" s="733"/>
      <c r="G236" s="733"/>
      <c r="H236" s="733"/>
    </row>
    <row r="237" spans="1:8">
      <c r="A237" s="734" t="s">
        <v>1805</v>
      </c>
      <c r="B237" s="733"/>
      <c r="C237" s="733"/>
      <c r="D237" s="733"/>
      <c r="E237" s="733"/>
      <c r="F237" s="733"/>
      <c r="G237" s="733"/>
      <c r="H237" s="733"/>
    </row>
    <row r="238" spans="1:8">
      <c r="A238" s="734" t="s">
        <v>1806</v>
      </c>
      <c r="B238" s="733"/>
      <c r="C238" s="733"/>
      <c r="D238" s="733"/>
      <c r="E238" s="733"/>
      <c r="F238" s="733"/>
      <c r="G238" s="733"/>
      <c r="H238" s="733"/>
    </row>
    <row r="239" spans="1:8">
      <c r="A239" s="733"/>
      <c r="B239" s="733"/>
      <c r="C239" s="733"/>
      <c r="D239" s="733"/>
      <c r="E239" s="733"/>
      <c r="F239" s="733"/>
      <c r="G239" s="733"/>
      <c r="H239" s="733"/>
    </row>
    <row r="240" spans="1:8">
      <c r="A240" s="734" t="s">
        <v>1796</v>
      </c>
      <c r="B240" s="733"/>
      <c r="C240" s="733"/>
      <c r="D240" s="733"/>
      <c r="E240" s="733"/>
      <c r="F240" s="733"/>
      <c r="G240" s="733"/>
      <c r="H240" s="733"/>
    </row>
    <row r="241" spans="1:8">
      <c r="A241" s="734" t="s">
        <v>1797</v>
      </c>
      <c r="B241" s="733"/>
      <c r="C241" s="733"/>
      <c r="D241" s="733"/>
      <c r="E241" s="733"/>
      <c r="F241" s="733"/>
      <c r="G241" s="733"/>
      <c r="H241" s="733"/>
    </row>
    <row r="242" spans="1:8">
      <c r="A242" s="734" t="s">
        <v>1798</v>
      </c>
      <c r="B242" s="733"/>
      <c r="C242" s="733"/>
      <c r="D242" s="733"/>
      <c r="E242" s="733"/>
      <c r="F242" s="733"/>
      <c r="G242" s="733"/>
      <c r="H242" s="733"/>
    </row>
    <row r="243" spans="1:8">
      <c r="A243" s="734" t="s">
        <v>1799</v>
      </c>
      <c r="B243" s="733"/>
      <c r="C243" s="733"/>
      <c r="D243" s="733"/>
      <c r="E243" s="733"/>
      <c r="F243" s="733"/>
      <c r="G243" s="733"/>
      <c r="H243" s="733"/>
    </row>
    <row r="244" spans="1:8">
      <c r="A244" s="734" t="s">
        <v>1800</v>
      </c>
      <c r="B244" s="733"/>
      <c r="C244" s="733"/>
      <c r="D244" s="733"/>
      <c r="E244" s="733"/>
      <c r="F244" s="733"/>
      <c r="G244" s="733"/>
      <c r="H244" s="733"/>
    </row>
    <row r="245" spans="1:8">
      <c r="A245" s="734" t="s">
        <v>1801</v>
      </c>
      <c r="B245" s="733"/>
      <c r="C245" s="733"/>
      <c r="D245" s="733"/>
      <c r="E245" s="733"/>
      <c r="F245" s="733"/>
      <c r="G245" s="733"/>
      <c r="H245" s="733"/>
    </row>
    <row r="246" spans="1:8">
      <c r="A246" s="733"/>
      <c r="B246" s="733"/>
      <c r="C246" s="733"/>
      <c r="D246" s="733"/>
      <c r="E246" s="733"/>
      <c r="F246" s="733"/>
      <c r="G246" s="733"/>
      <c r="H246" s="733"/>
    </row>
    <row r="247" spans="1:8">
      <c r="A247" s="734" t="s">
        <v>1786</v>
      </c>
      <c r="B247" s="733"/>
      <c r="C247" s="733"/>
      <c r="D247" s="733"/>
      <c r="E247" s="733"/>
      <c r="F247" s="733"/>
      <c r="G247" s="733"/>
      <c r="H247" s="733"/>
    </row>
    <row r="248" spans="1:8">
      <c r="A248" s="734" t="s">
        <v>1787</v>
      </c>
      <c r="B248" s="733"/>
      <c r="C248" s="733"/>
      <c r="D248" s="733"/>
      <c r="E248" s="733"/>
      <c r="F248" s="733"/>
      <c r="G248" s="733"/>
      <c r="H248" s="733"/>
    </row>
    <row r="249" spans="1:8">
      <c r="A249" s="734" t="s">
        <v>1788</v>
      </c>
      <c r="B249" s="733"/>
      <c r="C249" s="733"/>
      <c r="D249" s="733"/>
      <c r="E249" s="733"/>
      <c r="F249" s="733"/>
      <c r="G249" s="733"/>
      <c r="H249" s="733"/>
    </row>
    <row r="250" spans="1:8">
      <c r="A250" s="734" t="s">
        <v>1789</v>
      </c>
      <c r="B250" s="733"/>
      <c r="C250" s="733"/>
      <c r="D250" s="733"/>
      <c r="E250" s="733"/>
      <c r="F250" s="733"/>
      <c r="G250" s="733"/>
      <c r="H250" s="733"/>
    </row>
    <row r="251" spans="1:8">
      <c r="A251" s="734" t="s">
        <v>1790</v>
      </c>
      <c r="B251" s="733"/>
      <c r="C251" s="733"/>
      <c r="D251" s="733"/>
      <c r="E251" s="733"/>
      <c r="F251" s="733"/>
      <c r="G251" s="733"/>
      <c r="H251" s="733"/>
    </row>
    <row r="252" spans="1:8">
      <c r="A252" s="734" t="s">
        <v>1791</v>
      </c>
      <c r="B252" s="733"/>
      <c r="C252" s="733"/>
      <c r="D252" s="733"/>
      <c r="E252" s="733"/>
      <c r="F252" s="733"/>
      <c r="G252" s="733"/>
      <c r="H252" s="733"/>
    </row>
    <row r="253" spans="1:8">
      <c r="A253" s="734" t="s">
        <v>1792</v>
      </c>
      <c r="B253" s="733"/>
      <c r="C253" s="733"/>
      <c r="D253" s="733"/>
      <c r="E253" s="733"/>
      <c r="F253" s="733"/>
      <c r="G253" s="733"/>
      <c r="H253" s="733"/>
    </row>
    <row r="254" spans="1:8">
      <c r="A254" s="734" t="s">
        <v>1793</v>
      </c>
      <c r="B254" s="733"/>
      <c r="C254" s="733"/>
      <c r="D254" s="733"/>
      <c r="E254" s="733"/>
      <c r="F254" s="733"/>
      <c r="G254" s="733"/>
      <c r="H254" s="733"/>
    </row>
    <row r="255" spans="1:8">
      <c r="A255" s="734" t="s">
        <v>1794</v>
      </c>
      <c r="B255" s="733"/>
      <c r="C255" s="733"/>
      <c r="D255" s="733"/>
      <c r="E255" s="733"/>
      <c r="F255" s="733"/>
      <c r="G255" s="733"/>
      <c r="H255" s="733"/>
    </row>
    <row r="256" spans="1:8">
      <c r="A256" s="734" t="s">
        <v>1795</v>
      </c>
      <c r="B256" s="733"/>
      <c r="C256" s="733"/>
      <c r="D256" s="733"/>
      <c r="E256" s="733"/>
      <c r="F256" s="733"/>
      <c r="G256" s="733"/>
      <c r="H256" s="733"/>
    </row>
    <row r="257" spans="1:8">
      <c r="A257" s="733"/>
      <c r="B257" s="733"/>
      <c r="C257" s="733"/>
      <c r="D257" s="733"/>
      <c r="E257" s="733"/>
      <c r="F257" s="733"/>
      <c r="G257" s="733"/>
      <c r="H257" s="733"/>
    </row>
    <row r="258" spans="1:8">
      <c r="A258" s="734" t="s">
        <v>1784</v>
      </c>
      <c r="B258" s="733"/>
      <c r="C258" s="733"/>
      <c r="D258" s="733"/>
      <c r="E258" s="733"/>
      <c r="F258" s="733"/>
      <c r="G258" s="733"/>
      <c r="H258" s="733"/>
    </row>
    <row r="259" spans="1:8">
      <c r="A259" s="734" t="s">
        <v>1785</v>
      </c>
      <c r="B259" s="733"/>
      <c r="C259" s="733"/>
      <c r="D259" s="733"/>
      <c r="E259" s="733"/>
      <c r="F259" s="733"/>
      <c r="G259" s="733"/>
      <c r="H259" s="733"/>
    </row>
    <row r="260" spans="1:8">
      <c r="A260" s="733"/>
      <c r="B260" s="733"/>
      <c r="C260" s="733"/>
      <c r="D260" s="733"/>
      <c r="E260" s="733"/>
      <c r="F260" s="733"/>
      <c r="G260" s="733"/>
      <c r="H260" s="733"/>
    </row>
    <row r="261" spans="1:8">
      <c r="A261" s="734" t="s">
        <v>1768</v>
      </c>
      <c r="B261" s="733"/>
      <c r="C261" s="733"/>
      <c r="D261" s="733"/>
      <c r="E261" s="733"/>
      <c r="F261" s="733"/>
      <c r="G261" s="733"/>
      <c r="H261" s="733"/>
    </row>
    <row r="262" spans="1:8">
      <c r="A262" s="734" t="s">
        <v>1769</v>
      </c>
      <c r="B262" s="733"/>
      <c r="C262" s="733"/>
      <c r="D262" s="733"/>
      <c r="E262" s="733"/>
      <c r="F262" s="733"/>
      <c r="G262" s="733"/>
      <c r="H262" s="733"/>
    </row>
    <row r="263" spans="1:8">
      <c r="A263" s="734" t="s">
        <v>1770</v>
      </c>
      <c r="B263" s="733"/>
      <c r="C263" s="733"/>
      <c r="D263" s="733"/>
      <c r="E263" s="733"/>
      <c r="F263" s="733"/>
      <c r="G263" s="733"/>
      <c r="H263" s="733"/>
    </row>
    <row r="264" spans="1:8">
      <c r="A264" s="734" t="s">
        <v>1771</v>
      </c>
      <c r="B264" s="733"/>
      <c r="C264" s="733"/>
      <c r="D264" s="733"/>
      <c r="E264" s="733"/>
      <c r="F264" s="733"/>
      <c r="G264" s="733"/>
      <c r="H264" s="733"/>
    </row>
    <row r="265" spans="1:8">
      <c r="A265" s="734" t="s">
        <v>1772</v>
      </c>
      <c r="B265" s="733"/>
      <c r="C265" s="733"/>
      <c r="D265" s="733"/>
      <c r="E265" s="733"/>
      <c r="F265" s="733"/>
      <c r="G265" s="733"/>
      <c r="H265" s="733"/>
    </row>
    <row r="266" spans="1:8">
      <c r="A266" s="734" t="s">
        <v>1773</v>
      </c>
      <c r="B266" s="733"/>
      <c r="C266" s="733"/>
      <c r="D266" s="733"/>
      <c r="E266" s="733"/>
      <c r="F266" s="733"/>
      <c r="G266" s="733"/>
      <c r="H266" s="733"/>
    </row>
    <row r="267" spans="1:8">
      <c r="A267" s="734" t="s">
        <v>1774</v>
      </c>
      <c r="B267" s="733"/>
      <c r="C267" s="733"/>
      <c r="D267" s="733"/>
      <c r="E267" s="733"/>
      <c r="F267" s="733"/>
      <c r="G267" s="733"/>
      <c r="H267" s="733"/>
    </row>
    <row r="268" spans="1:8">
      <c r="A268" s="734" t="s">
        <v>1775</v>
      </c>
      <c r="B268" s="733"/>
      <c r="C268" s="733"/>
      <c r="D268" s="733"/>
      <c r="E268" s="733"/>
      <c r="F268" s="733"/>
      <c r="G268" s="733"/>
      <c r="H268" s="733"/>
    </row>
    <row r="269" spans="1:8">
      <c r="A269" s="734" t="s">
        <v>1776</v>
      </c>
      <c r="B269" s="733"/>
      <c r="C269" s="733"/>
      <c r="D269" s="733"/>
      <c r="E269" s="733"/>
      <c r="F269" s="733"/>
      <c r="G269" s="733"/>
      <c r="H269" s="733"/>
    </row>
    <row r="270" spans="1:8">
      <c r="A270" s="734" t="s">
        <v>1777</v>
      </c>
      <c r="B270" s="733"/>
      <c r="C270" s="733"/>
      <c r="D270" s="733"/>
      <c r="E270" s="733"/>
      <c r="F270" s="733"/>
      <c r="G270" s="733"/>
      <c r="H270" s="733"/>
    </row>
    <row r="271" spans="1:8">
      <c r="A271" s="734" t="s">
        <v>1778</v>
      </c>
      <c r="B271" s="733"/>
      <c r="C271" s="733"/>
      <c r="D271" s="733"/>
      <c r="E271" s="733"/>
      <c r="F271" s="733"/>
      <c r="G271" s="733"/>
      <c r="H271" s="733"/>
    </row>
    <row r="272" spans="1:8">
      <c r="A272" s="734" t="s">
        <v>1779</v>
      </c>
      <c r="B272" s="733"/>
      <c r="C272" s="733"/>
      <c r="D272" s="733"/>
      <c r="E272" s="733"/>
      <c r="F272" s="733"/>
      <c r="G272" s="733"/>
      <c r="H272" s="733"/>
    </row>
    <row r="273" spans="1:8">
      <c r="A273" s="734" t="s">
        <v>1780</v>
      </c>
      <c r="B273" s="733"/>
      <c r="C273" s="733"/>
      <c r="D273" s="733"/>
      <c r="E273" s="733"/>
      <c r="F273" s="733"/>
      <c r="G273" s="733"/>
      <c r="H273" s="733"/>
    </row>
    <row r="274" spans="1:8">
      <c r="A274" s="734" t="s">
        <v>1781</v>
      </c>
      <c r="B274" s="733"/>
      <c r="C274" s="733"/>
      <c r="D274" s="733"/>
      <c r="E274" s="733"/>
      <c r="F274" s="733"/>
      <c r="G274" s="733"/>
      <c r="H274" s="733"/>
    </row>
    <row r="275" spans="1:8">
      <c r="A275" s="734" t="s">
        <v>1782</v>
      </c>
      <c r="B275" s="733"/>
      <c r="C275" s="733"/>
      <c r="D275" s="733"/>
      <c r="E275" s="733"/>
      <c r="F275" s="733"/>
      <c r="G275" s="733"/>
      <c r="H275" s="733"/>
    </row>
    <row r="276" spans="1:8">
      <c r="A276" s="734" t="s">
        <v>1783</v>
      </c>
      <c r="B276" s="733"/>
      <c r="C276" s="733"/>
      <c r="D276" s="733"/>
      <c r="E276" s="733"/>
      <c r="F276" s="733"/>
      <c r="G276" s="733"/>
      <c r="H276" s="733"/>
    </row>
    <row r="277" spans="1:8">
      <c r="A277" s="733"/>
      <c r="B277" s="733"/>
      <c r="C277" s="733"/>
      <c r="D277" s="733"/>
      <c r="E277" s="733"/>
      <c r="F277" s="733"/>
      <c r="G277" s="733"/>
      <c r="H277" s="733"/>
    </row>
    <row r="278" spans="1:8">
      <c r="A278" s="734" t="s">
        <v>1761</v>
      </c>
      <c r="B278" s="733"/>
      <c r="C278" s="733"/>
      <c r="D278" s="733"/>
      <c r="E278" s="733"/>
      <c r="F278" s="733"/>
      <c r="G278" s="733"/>
      <c r="H278" s="733"/>
    </row>
    <row r="279" spans="1:8">
      <c r="A279" s="734" t="s">
        <v>1762</v>
      </c>
      <c r="B279" s="733"/>
      <c r="C279" s="733"/>
      <c r="D279" s="733"/>
      <c r="E279" s="733"/>
      <c r="F279" s="733"/>
      <c r="G279" s="733"/>
      <c r="H279" s="733"/>
    </row>
    <row r="280" spans="1:8">
      <c r="A280" s="734" t="s">
        <v>1763</v>
      </c>
      <c r="B280" s="733"/>
      <c r="C280" s="733"/>
      <c r="D280" s="733"/>
      <c r="E280" s="733"/>
      <c r="F280" s="733"/>
      <c r="G280" s="733"/>
      <c r="H280" s="733"/>
    </row>
    <row r="281" spans="1:8">
      <c r="A281" s="734" t="s">
        <v>1764</v>
      </c>
      <c r="B281" s="733"/>
      <c r="C281" s="733"/>
      <c r="D281" s="733"/>
      <c r="E281" s="733"/>
      <c r="F281" s="733"/>
      <c r="G281" s="733"/>
      <c r="H281" s="733"/>
    </row>
    <row r="282" spans="1:8">
      <c r="A282" s="734" t="s">
        <v>1765</v>
      </c>
      <c r="B282" s="733"/>
      <c r="C282" s="733"/>
      <c r="D282" s="733"/>
      <c r="E282" s="733"/>
      <c r="F282" s="733"/>
      <c r="G282" s="733"/>
      <c r="H282" s="733"/>
    </row>
    <row r="283" spans="1:8">
      <c r="A283" s="734" t="s">
        <v>1766</v>
      </c>
      <c r="B283" s="733"/>
      <c r="C283" s="733"/>
      <c r="D283" s="733"/>
      <c r="E283" s="733"/>
      <c r="F283" s="733"/>
      <c r="G283" s="733"/>
      <c r="H283" s="733"/>
    </row>
    <row r="284" spans="1:8">
      <c r="A284" s="734" t="s">
        <v>1767</v>
      </c>
      <c r="B284" s="733"/>
      <c r="C284" s="733"/>
      <c r="D284" s="733"/>
      <c r="E284" s="733"/>
      <c r="F284" s="733"/>
      <c r="G284" s="733"/>
      <c r="H284" s="733"/>
    </row>
    <row r="285" spans="1:8">
      <c r="A285" s="733"/>
      <c r="B285" s="733"/>
      <c r="C285" s="733"/>
      <c r="D285" s="733"/>
      <c r="E285" s="733"/>
      <c r="F285" s="733"/>
      <c r="G285" s="733"/>
      <c r="H285" s="733"/>
    </row>
    <row r="286" spans="1:8">
      <c r="A286" s="734" t="s">
        <v>1752</v>
      </c>
      <c r="B286" s="733"/>
      <c r="C286" s="733"/>
      <c r="D286" s="733"/>
      <c r="E286" s="733"/>
      <c r="F286" s="733"/>
      <c r="G286" s="733"/>
      <c r="H286" s="733"/>
    </row>
    <row r="287" spans="1:8">
      <c r="A287" s="734" t="s">
        <v>1753</v>
      </c>
      <c r="B287" s="733"/>
      <c r="C287" s="733"/>
      <c r="D287" s="733"/>
      <c r="E287" s="733"/>
      <c r="F287" s="733"/>
      <c r="G287" s="733"/>
      <c r="H287" s="733"/>
    </row>
    <row r="288" spans="1:8">
      <c r="A288" s="734" t="s">
        <v>1754</v>
      </c>
      <c r="B288" s="733"/>
      <c r="C288" s="733"/>
      <c r="D288" s="733"/>
      <c r="E288" s="733"/>
      <c r="F288" s="733"/>
      <c r="G288" s="733"/>
      <c r="H288" s="733"/>
    </row>
    <row r="289" spans="1:8">
      <c r="A289" s="734" t="s">
        <v>1755</v>
      </c>
      <c r="B289" s="733"/>
      <c r="C289" s="733"/>
      <c r="D289" s="733"/>
      <c r="E289" s="733"/>
      <c r="F289" s="733"/>
      <c r="G289" s="733"/>
      <c r="H289" s="733"/>
    </row>
    <row r="290" spans="1:8">
      <c r="A290" s="734" t="s">
        <v>1756</v>
      </c>
      <c r="B290" s="733"/>
      <c r="C290" s="733"/>
      <c r="D290" s="733"/>
      <c r="E290" s="733"/>
      <c r="F290" s="733"/>
      <c r="G290" s="733"/>
      <c r="H290" s="733"/>
    </row>
    <row r="291" spans="1:8">
      <c r="A291" s="734" t="s">
        <v>1757</v>
      </c>
      <c r="B291" s="733"/>
      <c r="C291" s="733"/>
      <c r="D291" s="733"/>
      <c r="E291" s="733"/>
      <c r="F291" s="733"/>
      <c r="G291" s="733"/>
      <c r="H291" s="733"/>
    </row>
    <row r="292" spans="1:8">
      <c r="A292" s="734" t="s">
        <v>1758</v>
      </c>
      <c r="B292" s="733"/>
      <c r="C292" s="733"/>
      <c r="D292" s="733"/>
      <c r="E292" s="733"/>
      <c r="F292" s="733"/>
      <c r="G292" s="733"/>
      <c r="H292" s="733"/>
    </row>
    <row r="293" spans="1:8">
      <c r="A293" s="734" t="s">
        <v>1759</v>
      </c>
      <c r="B293" s="733"/>
      <c r="C293" s="733"/>
      <c r="D293" s="733"/>
      <c r="E293" s="733"/>
      <c r="F293" s="733"/>
      <c r="G293" s="733"/>
      <c r="H293" s="733"/>
    </row>
    <row r="294" spans="1:8">
      <c r="A294" s="734" t="s">
        <v>1760</v>
      </c>
      <c r="B294" s="733"/>
      <c r="C294" s="733"/>
      <c r="D294" s="733"/>
      <c r="E294" s="733"/>
      <c r="F294" s="733"/>
      <c r="G294" s="733"/>
      <c r="H294" s="733"/>
    </row>
    <row r="295" spans="1:8">
      <c r="A295" s="733"/>
      <c r="B295" s="733"/>
      <c r="C295" s="733"/>
      <c r="D295" s="733"/>
      <c r="E295" s="733"/>
      <c r="F295" s="733"/>
      <c r="G295" s="733"/>
      <c r="H295" s="733"/>
    </row>
    <row r="296" spans="1:8">
      <c r="A296" s="734" t="s">
        <v>1745</v>
      </c>
      <c r="B296" s="733"/>
      <c r="C296" s="733"/>
      <c r="D296" s="733"/>
      <c r="E296" s="733"/>
      <c r="F296" s="733"/>
      <c r="G296" s="733"/>
      <c r="H296" s="733"/>
    </row>
    <row r="297" spans="1:8">
      <c r="A297" s="734" t="s">
        <v>1746</v>
      </c>
      <c r="B297" s="733"/>
      <c r="C297" s="733"/>
      <c r="D297" s="733"/>
      <c r="E297" s="733"/>
      <c r="F297" s="733"/>
      <c r="G297" s="733"/>
      <c r="H297" s="733"/>
    </row>
    <row r="298" spans="1:8">
      <c r="A298" s="734" t="s">
        <v>1747</v>
      </c>
      <c r="B298" s="733"/>
      <c r="C298" s="733"/>
      <c r="D298" s="733"/>
      <c r="E298" s="733"/>
      <c r="F298" s="733"/>
      <c r="G298" s="733"/>
      <c r="H298" s="733"/>
    </row>
    <row r="299" spans="1:8">
      <c r="A299" s="734" t="s">
        <v>1748</v>
      </c>
      <c r="B299" s="733"/>
      <c r="C299" s="733"/>
      <c r="D299" s="733"/>
      <c r="E299" s="733"/>
      <c r="F299" s="733"/>
      <c r="G299" s="733"/>
      <c r="H299" s="733"/>
    </row>
    <row r="300" spans="1:8">
      <c r="A300" s="734" t="s">
        <v>1749</v>
      </c>
      <c r="B300" s="733"/>
      <c r="C300" s="733"/>
      <c r="D300" s="733"/>
      <c r="E300" s="733"/>
      <c r="F300" s="733"/>
      <c r="G300" s="733"/>
      <c r="H300" s="733"/>
    </row>
    <row r="301" spans="1:8">
      <c r="A301" s="734" t="s">
        <v>1750</v>
      </c>
      <c r="B301" s="733"/>
      <c r="C301" s="733"/>
      <c r="D301" s="733"/>
      <c r="E301" s="733"/>
      <c r="F301" s="733"/>
      <c r="G301" s="733"/>
      <c r="H301" s="733"/>
    </row>
    <row r="302" spans="1:8">
      <c r="A302" s="734" t="s">
        <v>1751</v>
      </c>
      <c r="B302" s="733"/>
      <c r="C302" s="733"/>
      <c r="D302" s="733"/>
      <c r="E302" s="733"/>
      <c r="F302" s="733"/>
      <c r="G302" s="733"/>
      <c r="H302" s="733"/>
    </row>
    <row r="303" spans="1:8">
      <c r="A303" s="733"/>
      <c r="B303" s="733"/>
      <c r="C303" s="733"/>
      <c r="D303" s="733"/>
      <c r="E303" s="733"/>
      <c r="F303" s="733"/>
      <c r="G303" s="733"/>
      <c r="H303" s="733"/>
    </row>
    <row r="304" spans="1:8">
      <c r="A304" s="734" t="s">
        <v>1742</v>
      </c>
      <c r="B304" s="733"/>
      <c r="C304" s="733"/>
      <c r="D304" s="733"/>
      <c r="E304" s="733"/>
      <c r="F304" s="733"/>
      <c r="G304" s="733"/>
      <c r="H304" s="733"/>
    </row>
    <row r="305" spans="1:8">
      <c r="A305" s="734" t="s">
        <v>1743</v>
      </c>
      <c r="B305" s="733"/>
      <c r="C305" s="733"/>
      <c r="D305" s="733"/>
      <c r="E305" s="733"/>
      <c r="F305" s="733"/>
      <c r="G305" s="733"/>
      <c r="H305" s="733"/>
    </row>
    <row r="306" spans="1:8">
      <c r="A306" s="734" t="s">
        <v>1744</v>
      </c>
      <c r="B306" s="733"/>
      <c r="C306" s="733"/>
      <c r="D306" s="733"/>
      <c r="E306" s="733"/>
      <c r="F306" s="733"/>
      <c r="G306" s="733"/>
      <c r="H306" s="733"/>
    </row>
    <row r="307" spans="1:8">
      <c r="A307" s="733"/>
      <c r="B307" s="733"/>
      <c r="C307" s="733"/>
      <c r="D307" s="733"/>
      <c r="E307" s="733"/>
      <c r="F307" s="733"/>
      <c r="G307" s="733"/>
      <c r="H307" s="733"/>
    </row>
    <row r="308" spans="1:8">
      <c r="A308" s="734" t="s">
        <v>1740</v>
      </c>
      <c r="B308" s="733"/>
      <c r="C308" s="733"/>
      <c r="D308" s="733"/>
      <c r="E308" s="733"/>
      <c r="F308" s="733"/>
      <c r="G308" s="733"/>
      <c r="H308" s="733"/>
    </row>
    <row r="309" spans="1:8">
      <c r="A309" s="734" t="s">
        <v>1741</v>
      </c>
      <c r="B309" s="733"/>
      <c r="C309" s="733"/>
      <c r="D309" s="733"/>
      <c r="E309" s="733"/>
      <c r="F309" s="733"/>
      <c r="G309" s="733"/>
      <c r="H309" s="733"/>
    </row>
    <row r="310" spans="1:8">
      <c r="A310" s="733"/>
      <c r="B310" s="733"/>
      <c r="C310" s="733"/>
      <c r="D310" s="733"/>
      <c r="E310" s="733"/>
      <c r="F310" s="733"/>
      <c r="G310" s="733"/>
      <c r="H310" s="733"/>
    </row>
    <row r="311" spans="1:8">
      <c r="A311" s="734" t="s">
        <v>1727</v>
      </c>
      <c r="B311" s="733"/>
      <c r="C311" s="733"/>
      <c r="D311" s="733"/>
      <c r="E311" s="733"/>
      <c r="F311" s="733"/>
      <c r="G311" s="733"/>
      <c r="H311" s="733"/>
    </row>
    <row r="312" spans="1:8">
      <c r="A312" s="734" t="s">
        <v>1728</v>
      </c>
      <c r="B312" s="733"/>
      <c r="C312" s="733"/>
      <c r="D312" s="733"/>
      <c r="E312" s="733"/>
      <c r="F312" s="733"/>
      <c r="G312" s="733"/>
      <c r="H312" s="733"/>
    </row>
    <row r="313" spans="1:8">
      <c r="A313" s="734" t="s">
        <v>1729</v>
      </c>
      <c r="B313" s="733"/>
      <c r="C313" s="733"/>
      <c r="D313" s="733"/>
      <c r="E313" s="733"/>
      <c r="F313" s="733"/>
      <c r="G313" s="733"/>
      <c r="H313" s="733"/>
    </row>
    <row r="314" spans="1:8">
      <c r="A314" s="734" t="s">
        <v>1730</v>
      </c>
      <c r="B314" s="733"/>
      <c r="C314" s="733"/>
      <c r="D314" s="733"/>
      <c r="E314" s="733"/>
      <c r="F314" s="733"/>
      <c r="G314" s="733"/>
      <c r="H314" s="733"/>
    </row>
    <row r="315" spans="1:8">
      <c r="A315" s="734" t="s">
        <v>1731</v>
      </c>
      <c r="B315" s="733"/>
      <c r="C315" s="733"/>
      <c r="D315" s="733"/>
      <c r="E315" s="733"/>
      <c r="F315" s="733"/>
      <c r="G315" s="733"/>
      <c r="H315" s="733"/>
    </row>
    <row r="316" spans="1:8">
      <c r="A316" s="734" t="s">
        <v>1732</v>
      </c>
      <c r="B316" s="733"/>
      <c r="C316" s="733"/>
      <c r="D316" s="733"/>
      <c r="E316" s="733"/>
      <c r="F316" s="733"/>
      <c r="G316" s="733"/>
      <c r="H316" s="733"/>
    </row>
    <row r="317" spans="1:8">
      <c r="A317" s="734" t="s">
        <v>1733</v>
      </c>
      <c r="B317" s="733"/>
      <c r="C317" s="733"/>
      <c r="D317" s="733"/>
      <c r="E317" s="733"/>
      <c r="F317" s="733"/>
      <c r="G317" s="733"/>
      <c r="H317" s="733"/>
    </row>
    <row r="318" spans="1:8">
      <c r="A318" s="734" t="s">
        <v>1734</v>
      </c>
      <c r="B318" s="733"/>
      <c r="C318" s="733"/>
      <c r="D318" s="733"/>
      <c r="E318" s="733"/>
      <c r="F318" s="733"/>
      <c r="G318" s="733"/>
      <c r="H318" s="733"/>
    </row>
    <row r="319" spans="1:8">
      <c r="A319" s="734" t="s">
        <v>1735</v>
      </c>
      <c r="B319" s="733"/>
      <c r="C319" s="733"/>
      <c r="D319" s="733"/>
      <c r="E319" s="733"/>
      <c r="F319" s="733"/>
      <c r="G319" s="733"/>
      <c r="H319" s="733"/>
    </row>
    <row r="320" spans="1:8">
      <c r="A320" s="734" t="s">
        <v>1736</v>
      </c>
      <c r="B320" s="733"/>
      <c r="C320" s="733"/>
      <c r="D320" s="733"/>
      <c r="E320" s="733"/>
      <c r="F320" s="733"/>
      <c r="G320" s="733"/>
      <c r="H320" s="733"/>
    </row>
    <row r="321" spans="1:8">
      <c r="A321" s="734" t="s">
        <v>1737</v>
      </c>
      <c r="B321" s="733"/>
      <c r="C321" s="733"/>
      <c r="D321" s="733"/>
      <c r="E321" s="733"/>
      <c r="F321" s="733"/>
      <c r="G321" s="733"/>
      <c r="H321" s="733"/>
    </row>
    <row r="322" spans="1:8">
      <c r="A322" s="734" t="s">
        <v>1738</v>
      </c>
      <c r="B322" s="733"/>
      <c r="C322" s="733"/>
      <c r="D322" s="733"/>
      <c r="E322" s="733"/>
      <c r="F322" s="733"/>
      <c r="G322" s="733"/>
      <c r="H322" s="733"/>
    </row>
    <row r="323" spans="1:8">
      <c r="A323" s="734" t="s">
        <v>1739</v>
      </c>
      <c r="B323" s="733"/>
      <c r="C323" s="733"/>
      <c r="D323" s="733"/>
      <c r="E323" s="733"/>
      <c r="F323" s="733"/>
      <c r="G323" s="733"/>
      <c r="H323" s="733"/>
    </row>
    <row r="324" spans="1:8">
      <c r="A324" s="733"/>
      <c r="B324" s="733"/>
      <c r="C324" s="733"/>
      <c r="D324" s="733"/>
      <c r="E324" s="733"/>
      <c r="F324" s="733"/>
      <c r="G324" s="733"/>
      <c r="H324" s="733"/>
    </row>
    <row r="325" spans="1:8">
      <c r="A325" s="734" t="s">
        <v>1719</v>
      </c>
      <c r="B325" s="733"/>
      <c r="C325" s="733"/>
      <c r="D325" s="733"/>
      <c r="E325" s="733"/>
      <c r="F325" s="733"/>
      <c r="G325" s="733"/>
      <c r="H325" s="733"/>
    </row>
    <row r="326" spans="1:8">
      <c r="A326" s="734" t="s">
        <v>1720</v>
      </c>
      <c r="B326" s="733"/>
      <c r="C326" s="733"/>
      <c r="D326" s="733"/>
      <c r="E326" s="733"/>
      <c r="F326" s="733"/>
      <c r="G326" s="733"/>
      <c r="H326" s="733"/>
    </row>
    <row r="327" spans="1:8">
      <c r="A327" s="734" t="s">
        <v>1721</v>
      </c>
      <c r="B327" s="733"/>
      <c r="C327" s="733"/>
      <c r="D327" s="733"/>
      <c r="E327" s="733"/>
      <c r="F327" s="733"/>
      <c r="G327" s="733"/>
      <c r="H327" s="733"/>
    </row>
    <row r="328" spans="1:8">
      <c r="A328" s="734" t="s">
        <v>1722</v>
      </c>
      <c r="B328" s="733"/>
      <c r="C328" s="733"/>
      <c r="D328" s="733"/>
      <c r="E328" s="733"/>
      <c r="F328" s="733"/>
      <c r="G328" s="733"/>
      <c r="H328" s="733"/>
    </row>
    <row r="329" spans="1:8">
      <c r="A329" s="734" t="s">
        <v>1723</v>
      </c>
      <c r="B329" s="733"/>
      <c r="C329" s="733"/>
      <c r="D329" s="733"/>
      <c r="E329" s="733"/>
      <c r="F329" s="733"/>
      <c r="G329" s="733"/>
      <c r="H329" s="733"/>
    </row>
    <row r="330" spans="1:8">
      <c r="A330" s="734" t="s">
        <v>1724</v>
      </c>
      <c r="B330" s="733"/>
      <c r="C330" s="733"/>
      <c r="D330" s="733"/>
      <c r="E330" s="733"/>
      <c r="F330" s="733"/>
      <c r="G330" s="733"/>
      <c r="H330" s="733"/>
    </row>
    <row r="331" spans="1:8">
      <c r="A331" s="734" t="s">
        <v>1725</v>
      </c>
      <c r="B331" s="733"/>
      <c r="C331" s="733"/>
      <c r="D331" s="733"/>
      <c r="E331" s="733"/>
      <c r="F331" s="733"/>
      <c r="G331" s="733"/>
      <c r="H331" s="733"/>
    </row>
    <row r="332" spans="1:8">
      <c r="A332" s="734" t="s">
        <v>1726</v>
      </c>
      <c r="B332" s="733"/>
      <c r="C332" s="733"/>
      <c r="D332" s="733"/>
      <c r="E332" s="733"/>
      <c r="F332" s="733"/>
      <c r="G332" s="733"/>
      <c r="H332" s="733"/>
    </row>
    <row r="333" spans="1:8">
      <c r="A333" s="733"/>
      <c r="B333" s="733"/>
      <c r="C333" s="733"/>
      <c r="D333" s="733"/>
      <c r="E333" s="733"/>
      <c r="F333" s="733"/>
      <c r="G333" s="733"/>
      <c r="H333" s="733"/>
    </row>
    <row r="334" spans="1:8">
      <c r="A334" s="734" t="s">
        <v>1684</v>
      </c>
      <c r="B334" s="733"/>
      <c r="C334" s="733"/>
      <c r="D334" s="733"/>
      <c r="E334" s="733"/>
      <c r="F334" s="733"/>
      <c r="G334" s="733"/>
      <c r="H334" s="733"/>
    </row>
    <row r="335" spans="1:8">
      <c r="A335" s="734" t="s">
        <v>1685</v>
      </c>
      <c r="B335" s="733"/>
      <c r="C335" s="733"/>
      <c r="D335" s="733"/>
      <c r="E335" s="733"/>
      <c r="F335" s="733"/>
      <c r="G335" s="733"/>
      <c r="H335" s="733"/>
    </row>
    <row r="336" spans="1:8">
      <c r="A336" s="734" t="s">
        <v>1686</v>
      </c>
      <c r="B336" s="733"/>
      <c r="C336" s="733"/>
      <c r="D336" s="733"/>
      <c r="E336" s="733"/>
      <c r="F336" s="733"/>
      <c r="G336" s="733"/>
      <c r="H336" s="733"/>
    </row>
    <row r="337" spans="1:8">
      <c r="A337" s="734" t="s">
        <v>1687</v>
      </c>
      <c r="B337" s="733"/>
      <c r="C337" s="733"/>
      <c r="D337" s="733"/>
      <c r="E337" s="733"/>
      <c r="F337" s="733"/>
      <c r="G337" s="733"/>
      <c r="H337" s="733"/>
    </row>
    <row r="338" spans="1:8">
      <c r="A338" s="734" t="s">
        <v>1688</v>
      </c>
      <c r="B338" s="733"/>
      <c r="C338" s="733"/>
      <c r="D338" s="733"/>
      <c r="E338" s="733"/>
      <c r="F338" s="733"/>
      <c r="G338" s="733"/>
      <c r="H338" s="733"/>
    </row>
    <row r="339" spans="1:8">
      <c r="A339" s="734" t="s">
        <v>1689</v>
      </c>
      <c r="B339" s="733"/>
      <c r="C339" s="733"/>
      <c r="D339" s="733"/>
      <c r="E339" s="733"/>
      <c r="F339" s="733"/>
      <c r="G339" s="733"/>
      <c r="H339" s="733"/>
    </row>
    <row r="340" spans="1:8">
      <c r="A340" s="734" t="s">
        <v>1690</v>
      </c>
      <c r="B340" s="733"/>
      <c r="C340" s="733"/>
      <c r="D340" s="733"/>
      <c r="E340" s="733"/>
      <c r="F340" s="733"/>
      <c r="G340" s="733"/>
      <c r="H340" s="733"/>
    </row>
    <row r="341" spans="1:8">
      <c r="A341" s="734" t="s">
        <v>1691</v>
      </c>
      <c r="B341" s="733"/>
      <c r="C341" s="733"/>
      <c r="D341" s="733"/>
      <c r="E341" s="733"/>
      <c r="F341" s="733"/>
      <c r="G341" s="733"/>
      <c r="H341" s="733"/>
    </row>
    <row r="342" spans="1:8">
      <c r="A342" s="734" t="s">
        <v>1692</v>
      </c>
      <c r="B342" s="733"/>
      <c r="C342" s="733"/>
      <c r="D342" s="733"/>
      <c r="E342" s="733"/>
      <c r="F342" s="733"/>
      <c r="G342" s="733"/>
      <c r="H342" s="733"/>
    </row>
    <row r="343" spans="1:8">
      <c r="A343" s="734" t="s">
        <v>1693</v>
      </c>
      <c r="B343" s="733"/>
      <c r="C343" s="733"/>
      <c r="D343" s="733"/>
      <c r="E343" s="733"/>
      <c r="F343" s="733"/>
      <c r="G343" s="733"/>
      <c r="H343" s="733"/>
    </row>
    <row r="344" spans="1:8">
      <c r="A344" s="734" t="s">
        <v>1694</v>
      </c>
      <c r="B344" s="733"/>
      <c r="C344" s="733"/>
      <c r="D344" s="733"/>
      <c r="E344" s="733"/>
      <c r="F344" s="733"/>
      <c r="G344" s="733"/>
      <c r="H344" s="733"/>
    </row>
    <row r="345" spans="1:8">
      <c r="A345" s="734" t="s">
        <v>1695</v>
      </c>
      <c r="B345" s="733"/>
      <c r="C345" s="733"/>
      <c r="D345" s="733"/>
      <c r="E345" s="733"/>
      <c r="F345" s="733"/>
      <c r="G345" s="733"/>
      <c r="H345" s="733"/>
    </row>
    <row r="346" spans="1:8">
      <c r="A346" s="734" t="s">
        <v>1696</v>
      </c>
      <c r="B346" s="733"/>
      <c r="C346" s="733"/>
      <c r="D346" s="733"/>
      <c r="E346" s="733"/>
      <c r="F346" s="733"/>
      <c r="G346" s="733"/>
      <c r="H346" s="733"/>
    </row>
    <row r="347" spans="1:8">
      <c r="A347" s="734" t="s">
        <v>1697</v>
      </c>
      <c r="B347" s="733"/>
      <c r="C347" s="733"/>
      <c r="D347" s="733"/>
      <c r="E347" s="733"/>
      <c r="F347" s="733"/>
      <c r="G347" s="733"/>
      <c r="H347" s="733"/>
    </row>
    <row r="348" spans="1:8">
      <c r="A348" s="734" t="s">
        <v>1698</v>
      </c>
      <c r="B348" s="733"/>
      <c r="C348" s="733"/>
      <c r="D348" s="733"/>
      <c r="E348" s="733"/>
      <c r="F348" s="733"/>
      <c r="G348" s="733"/>
      <c r="H348" s="733"/>
    </row>
    <row r="349" spans="1:8">
      <c r="A349" s="734" t="s">
        <v>1699</v>
      </c>
      <c r="B349" s="733"/>
      <c r="C349" s="733"/>
      <c r="D349" s="733"/>
      <c r="E349" s="733"/>
      <c r="F349" s="733"/>
      <c r="G349" s="733"/>
      <c r="H349" s="733"/>
    </row>
    <row r="350" spans="1:8">
      <c r="A350" s="734" t="s">
        <v>1700</v>
      </c>
      <c r="B350" s="733"/>
      <c r="C350" s="733"/>
      <c r="D350" s="733"/>
      <c r="E350" s="733"/>
      <c r="F350" s="733"/>
      <c r="G350" s="733"/>
      <c r="H350" s="733"/>
    </row>
    <row r="351" spans="1:8">
      <c r="A351" s="734" t="s">
        <v>1701</v>
      </c>
      <c r="B351" s="733"/>
      <c r="C351" s="733"/>
      <c r="D351" s="733"/>
      <c r="E351" s="733"/>
      <c r="F351" s="733"/>
      <c r="G351" s="733"/>
      <c r="H351" s="733"/>
    </row>
    <row r="352" spans="1:8">
      <c r="A352" s="734" t="s">
        <v>1702</v>
      </c>
      <c r="B352" s="733"/>
      <c r="C352" s="733"/>
      <c r="D352" s="733"/>
      <c r="E352" s="733"/>
      <c r="F352" s="733"/>
      <c r="G352" s="733"/>
      <c r="H352" s="733"/>
    </row>
    <row r="353" spans="1:8">
      <c r="A353" s="734" t="s">
        <v>1703</v>
      </c>
      <c r="B353" s="733"/>
      <c r="C353" s="733"/>
      <c r="D353" s="733"/>
      <c r="E353" s="733"/>
      <c r="F353" s="733"/>
      <c r="G353" s="733"/>
      <c r="H353" s="733"/>
    </row>
    <row r="354" spans="1:8">
      <c r="A354" s="734" t="s">
        <v>1704</v>
      </c>
      <c r="B354" s="733"/>
      <c r="C354" s="733"/>
      <c r="D354" s="733"/>
      <c r="E354" s="733"/>
      <c r="F354" s="733"/>
      <c r="G354" s="733"/>
      <c r="H354" s="733"/>
    </row>
    <row r="355" spans="1:8">
      <c r="A355" s="734" t="s">
        <v>1705</v>
      </c>
      <c r="B355" s="733"/>
      <c r="C355" s="733"/>
      <c r="D355" s="733"/>
      <c r="E355" s="733"/>
      <c r="F355" s="733"/>
      <c r="G355" s="733"/>
      <c r="H355" s="733"/>
    </row>
    <row r="356" spans="1:8">
      <c r="A356" s="734" t="s">
        <v>1706</v>
      </c>
      <c r="B356" s="733"/>
      <c r="C356" s="733"/>
      <c r="D356" s="733"/>
      <c r="E356" s="733"/>
      <c r="F356" s="733"/>
      <c r="G356" s="733"/>
      <c r="H356" s="733"/>
    </row>
    <row r="357" spans="1:8">
      <c r="A357" s="734" t="s">
        <v>1707</v>
      </c>
      <c r="B357" s="733"/>
      <c r="C357" s="733"/>
      <c r="D357" s="733"/>
      <c r="E357" s="733"/>
      <c r="F357" s="733"/>
      <c r="G357" s="733"/>
      <c r="H357" s="733"/>
    </row>
    <row r="358" spans="1:8">
      <c r="A358" s="734" t="s">
        <v>1708</v>
      </c>
      <c r="B358" s="733"/>
      <c r="C358" s="733"/>
      <c r="D358" s="733"/>
      <c r="E358" s="733"/>
      <c r="F358" s="733"/>
      <c r="G358" s="733"/>
      <c r="H358" s="733"/>
    </row>
    <row r="359" spans="1:8">
      <c r="A359" s="734" t="s">
        <v>1709</v>
      </c>
      <c r="B359" s="733"/>
      <c r="C359" s="733"/>
      <c r="D359" s="733"/>
      <c r="E359" s="733"/>
      <c r="F359" s="733"/>
      <c r="G359" s="733"/>
      <c r="H359" s="733"/>
    </row>
    <row r="360" spans="1:8">
      <c r="A360" s="734" t="s">
        <v>1710</v>
      </c>
      <c r="B360" s="733"/>
      <c r="C360" s="733"/>
      <c r="D360" s="733"/>
      <c r="E360" s="733"/>
      <c r="F360" s="733"/>
      <c r="G360" s="733"/>
      <c r="H360" s="733"/>
    </row>
    <row r="361" spans="1:8">
      <c r="A361" s="734" t="s">
        <v>1711</v>
      </c>
      <c r="B361" s="733"/>
      <c r="C361" s="733"/>
      <c r="D361" s="733"/>
      <c r="E361" s="733"/>
      <c r="F361" s="733"/>
      <c r="G361" s="733"/>
      <c r="H361" s="733"/>
    </row>
    <row r="362" spans="1:8">
      <c r="A362" s="734" t="s">
        <v>1712</v>
      </c>
      <c r="B362" s="733"/>
      <c r="C362" s="733"/>
      <c r="D362" s="733"/>
      <c r="E362" s="733"/>
      <c r="F362" s="733"/>
      <c r="G362" s="733"/>
      <c r="H362" s="733"/>
    </row>
    <row r="363" spans="1:8">
      <c r="A363" s="734" t="s">
        <v>1713</v>
      </c>
      <c r="B363" s="733"/>
      <c r="C363" s="733"/>
      <c r="D363" s="733"/>
      <c r="E363" s="733"/>
      <c r="F363" s="733"/>
      <c r="G363" s="733"/>
      <c r="H363" s="733"/>
    </row>
    <row r="364" spans="1:8">
      <c r="A364" s="734" t="s">
        <v>1714</v>
      </c>
      <c r="B364" s="733"/>
      <c r="C364" s="733"/>
      <c r="D364" s="733"/>
      <c r="E364" s="733"/>
      <c r="F364" s="733"/>
      <c r="G364" s="733"/>
      <c r="H364" s="733"/>
    </row>
    <row r="365" spans="1:8">
      <c r="A365" s="734" t="s">
        <v>1715</v>
      </c>
      <c r="B365" s="733"/>
      <c r="C365" s="733"/>
      <c r="D365" s="733"/>
      <c r="E365" s="733"/>
      <c r="F365" s="733"/>
      <c r="G365" s="733"/>
      <c r="H365" s="733"/>
    </row>
    <row r="366" spans="1:8">
      <c r="A366" s="734" t="s">
        <v>1716</v>
      </c>
      <c r="B366" s="733"/>
      <c r="C366" s="733"/>
      <c r="D366" s="733"/>
      <c r="E366" s="733"/>
      <c r="F366" s="733"/>
      <c r="G366" s="733"/>
      <c r="H366" s="733"/>
    </row>
    <row r="367" spans="1:8">
      <c r="A367" s="734" t="s">
        <v>1717</v>
      </c>
      <c r="B367" s="733"/>
      <c r="C367" s="733"/>
      <c r="D367" s="733"/>
      <c r="E367" s="733"/>
      <c r="F367" s="733"/>
      <c r="G367" s="733"/>
      <c r="H367" s="733"/>
    </row>
    <row r="368" spans="1:8">
      <c r="A368" s="734" t="s">
        <v>1718</v>
      </c>
      <c r="B368" s="733"/>
      <c r="C368" s="733"/>
      <c r="D368" s="733"/>
      <c r="E368" s="733"/>
      <c r="F368" s="733"/>
      <c r="G368" s="733"/>
      <c r="H368" s="733"/>
    </row>
    <row r="369" spans="1:8">
      <c r="A369" s="733"/>
      <c r="B369" s="733"/>
      <c r="C369" s="733"/>
      <c r="D369" s="733"/>
      <c r="E369" s="733"/>
      <c r="F369" s="733"/>
      <c r="G369" s="733"/>
      <c r="H369" s="733"/>
    </row>
    <row r="370" spans="1:8">
      <c r="A370" s="734" t="s">
        <v>1676</v>
      </c>
      <c r="B370" s="733"/>
      <c r="C370" s="733"/>
      <c r="D370" s="733"/>
      <c r="E370" s="733"/>
      <c r="F370" s="733"/>
      <c r="G370" s="733"/>
      <c r="H370" s="733"/>
    </row>
    <row r="371" spans="1:8">
      <c r="A371" s="734" t="s">
        <v>1680</v>
      </c>
      <c r="B371" s="733"/>
      <c r="C371" s="733"/>
      <c r="D371" s="733"/>
      <c r="E371" s="733"/>
      <c r="F371" s="733"/>
      <c r="G371" s="733"/>
      <c r="H371" s="733"/>
    </row>
    <row r="372" spans="1:8">
      <c r="A372" s="734" t="s">
        <v>1681</v>
      </c>
      <c r="B372" s="733"/>
      <c r="C372" s="733"/>
      <c r="D372" s="733"/>
      <c r="E372" s="733"/>
      <c r="F372" s="733"/>
      <c r="G372" s="733"/>
      <c r="H372" s="733"/>
    </row>
    <row r="373" spans="1:8">
      <c r="A373" s="734" t="s">
        <v>1682</v>
      </c>
      <c r="B373" s="733"/>
      <c r="C373" s="733"/>
      <c r="D373" s="733"/>
      <c r="E373" s="733"/>
      <c r="F373" s="733"/>
      <c r="G373" s="733"/>
      <c r="H373" s="733"/>
    </row>
    <row r="374" spans="1:8">
      <c r="A374" s="734" t="s">
        <v>1683</v>
      </c>
      <c r="B374" s="733"/>
      <c r="C374" s="733"/>
      <c r="D374" s="733"/>
      <c r="E374" s="733"/>
      <c r="F374" s="733"/>
      <c r="G374" s="733"/>
      <c r="H374" s="733"/>
    </row>
    <row r="375" spans="1:8">
      <c r="A375" s="733"/>
      <c r="B375" s="733"/>
      <c r="C375" s="733"/>
      <c r="D375" s="733"/>
      <c r="E375" s="733"/>
      <c r="F375" s="733"/>
      <c r="G375" s="733"/>
      <c r="H375" s="733"/>
    </row>
    <row r="376" spans="1:8">
      <c r="A376" s="734" t="s">
        <v>1676</v>
      </c>
      <c r="B376" s="733"/>
      <c r="C376" s="733"/>
      <c r="D376" s="733"/>
      <c r="E376" s="733"/>
      <c r="F376" s="733"/>
      <c r="G376" s="733"/>
      <c r="H376" s="733"/>
    </row>
    <row r="377" spans="1:8">
      <c r="A377" s="734" t="s">
        <v>1677</v>
      </c>
      <c r="B377" s="733"/>
      <c r="C377" s="733"/>
      <c r="D377" s="733"/>
      <c r="E377" s="733"/>
      <c r="F377" s="733"/>
      <c r="G377" s="733"/>
      <c r="H377" s="733"/>
    </row>
    <row r="378" spans="1:8">
      <c r="A378" s="734" t="s">
        <v>1678</v>
      </c>
      <c r="B378" s="733"/>
      <c r="C378" s="733"/>
      <c r="D378" s="733"/>
      <c r="E378" s="733"/>
      <c r="F378" s="733"/>
      <c r="G378" s="733"/>
      <c r="H378" s="733"/>
    </row>
    <row r="379" spans="1:8">
      <c r="A379" s="734" t="s">
        <v>1679</v>
      </c>
      <c r="B379" s="733"/>
      <c r="C379" s="733"/>
      <c r="D379" s="733"/>
      <c r="E379" s="733"/>
      <c r="F379" s="733"/>
      <c r="G379" s="733"/>
      <c r="H379" s="733"/>
    </row>
    <row r="380" spans="1:8">
      <c r="A380" s="733"/>
      <c r="B380" s="733"/>
      <c r="C380" s="733"/>
      <c r="D380" s="733"/>
      <c r="E380" s="733"/>
      <c r="F380" s="733"/>
      <c r="G380" s="733"/>
      <c r="H380" s="733"/>
    </row>
    <row r="381" spans="1:8">
      <c r="A381" s="734" t="s">
        <v>1670</v>
      </c>
      <c r="B381" s="733"/>
      <c r="C381" s="733"/>
      <c r="D381" s="733"/>
      <c r="E381" s="733"/>
      <c r="F381" s="733"/>
      <c r="G381" s="733"/>
      <c r="H381" s="733"/>
    </row>
    <row r="382" spans="1:8">
      <c r="A382" s="734" t="s">
        <v>1671</v>
      </c>
      <c r="B382" s="733"/>
      <c r="C382" s="733"/>
      <c r="D382" s="733"/>
      <c r="E382" s="733"/>
      <c r="F382" s="733"/>
      <c r="G382" s="733"/>
      <c r="H382" s="733"/>
    </row>
    <row r="383" spans="1:8">
      <c r="A383" s="734" t="s">
        <v>1672</v>
      </c>
      <c r="B383" s="733"/>
      <c r="C383" s="733"/>
      <c r="D383" s="733"/>
      <c r="E383" s="733"/>
      <c r="F383" s="733"/>
      <c r="G383" s="733"/>
      <c r="H383" s="733"/>
    </row>
    <row r="384" spans="1:8">
      <c r="A384" s="734" t="s">
        <v>1673</v>
      </c>
      <c r="B384" s="733"/>
      <c r="C384" s="733"/>
      <c r="D384" s="733"/>
      <c r="E384" s="733"/>
      <c r="F384" s="733"/>
      <c r="G384" s="733"/>
      <c r="H384" s="733"/>
    </row>
    <row r="385" spans="1:8">
      <c r="A385" s="734" t="s">
        <v>1674</v>
      </c>
      <c r="B385" s="733"/>
      <c r="C385" s="733"/>
      <c r="D385" s="733"/>
      <c r="E385" s="733"/>
      <c r="F385" s="733"/>
      <c r="G385" s="733"/>
      <c r="H385" s="733"/>
    </row>
    <row r="386" spans="1:8">
      <c r="A386" s="734" t="s">
        <v>1675</v>
      </c>
      <c r="B386" s="733"/>
      <c r="C386" s="733"/>
      <c r="D386" s="733"/>
      <c r="E386" s="733"/>
      <c r="F386" s="733"/>
      <c r="G386" s="733"/>
      <c r="H386" s="733"/>
    </row>
    <row r="387" spans="1:8">
      <c r="A387" s="733"/>
      <c r="B387" s="733"/>
      <c r="C387" s="733"/>
      <c r="D387" s="733"/>
      <c r="E387" s="733"/>
      <c r="F387" s="733"/>
      <c r="G387" s="733"/>
      <c r="H387" s="733"/>
    </row>
    <row r="388" spans="1:8">
      <c r="A388" s="734" t="s">
        <v>1665</v>
      </c>
      <c r="B388" s="733"/>
      <c r="C388" s="733"/>
      <c r="D388" s="733"/>
      <c r="E388" s="733"/>
      <c r="F388" s="733"/>
      <c r="G388" s="733"/>
      <c r="H388" s="733"/>
    </row>
    <row r="389" spans="1:8">
      <c r="A389" s="734" t="s">
        <v>1666</v>
      </c>
      <c r="B389" s="733"/>
      <c r="C389" s="733"/>
      <c r="D389" s="733"/>
      <c r="E389" s="733"/>
      <c r="F389" s="733"/>
      <c r="G389" s="733"/>
      <c r="H389" s="733"/>
    </row>
    <row r="390" spans="1:8">
      <c r="A390" s="734" t="s">
        <v>1667</v>
      </c>
      <c r="B390" s="733"/>
      <c r="C390" s="733"/>
      <c r="D390" s="733"/>
      <c r="E390" s="733"/>
      <c r="F390" s="733"/>
      <c r="G390" s="733"/>
      <c r="H390" s="733"/>
    </row>
    <row r="391" spans="1:8">
      <c r="A391" s="734" t="s">
        <v>1668</v>
      </c>
      <c r="B391" s="733"/>
      <c r="C391" s="733"/>
      <c r="D391" s="733"/>
      <c r="E391" s="733"/>
      <c r="F391" s="733"/>
      <c r="G391" s="733"/>
      <c r="H391" s="733"/>
    </row>
    <row r="392" spans="1:8">
      <c r="A392" s="734" t="s">
        <v>1669</v>
      </c>
      <c r="B392" s="733"/>
      <c r="C392" s="733"/>
      <c r="D392" s="733"/>
      <c r="E392" s="733"/>
      <c r="F392" s="733"/>
      <c r="G392" s="733"/>
      <c r="H392" s="733"/>
    </row>
    <row r="393" spans="1:8">
      <c r="A393" s="733"/>
      <c r="B393" s="733"/>
      <c r="C393" s="733"/>
      <c r="D393" s="733"/>
      <c r="E393" s="733"/>
      <c r="F393" s="733"/>
      <c r="G393" s="733"/>
      <c r="H393" s="733"/>
    </row>
    <row r="394" spans="1:8">
      <c r="A394" s="734" t="s">
        <v>1663</v>
      </c>
      <c r="B394" s="733"/>
      <c r="C394" s="733"/>
      <c r="D394" s="733"/>
      <c r="E394" s="733"/>
      <c r="F394" s="733"/>
      <c r="G394" s="733"/>
      <c r="H394" s="733"/>
    </row>
    <row r="395" spans="1:8">
      <c r="A395" s="734" t="s">
        <v>1664</v>
      </c>
      <c r="B395" s="733"/>
      <c r="C395" s="733"/>
      <c r="D395" s="733"/>
      <c r="E395" s="733"/>
      <c r="F395" s="733"/>
      <c r="G395" s="733"/>
      <c r="H395" s="733"/>
    </row>
    <row r="397" spans="1:8">
      <c r="A397" s="729" t="s">
        <v>1923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T493"/>
  <sheetViews>
    <sheetView showGridLines="0" defaultGridColor="0" colorId="55" zoomScale="85" zoomScaleNormal="85" workbookViewId="0">
      <pane xSplit="1" ySplit="5" topLeftCell="BR231" activePane="bottomRight" state="frozen"/>
      <selection pane="topRight" activeCell="B1" sqref="B1"/>
      <selection pane="bottomLeft" activeCell="A4" sqref="A4"/>
      <selection pane="bottomRight" activeCell="BX239" sqref="BX239"/>
    </sheetView>
  </sheetViews>
  <sheetFormatPr defaultRowHeight="12.75" outlineLevelRow="2" outlineLevelCol="1"/>
  <cols>
    <col min="1" max="1" width="42.7109375" bestFit="1" customWidth="1"/>
    <col min="2" max="5" width="10.7109375" hidden="1" customWidth="1" outlineLevel="1"/>
    <col min="6" max="6" width="10.7109375" customWidth="1" collapsed="1"/>
    <col min="7" max="10" width="10.7109375" hidden="1" customWidth="1" outlineLevel="1"/>
    <col min="11" max="11" width="10.7109375" customWidth="1" collapsed="1"/>
    <col min="12" max="15" width="10.7109375" hidden="1" customWidth="1" outlineLevel="1"/>
    <col min="16" max="16" width="10.7109375" customWidth="1" collapsed="1"/>
    <col min="17" max="20" width="10.7109375" hidden="1" customWidth="1" outlineLevel="1"/>
    <col min="21" max="21" width="10.7109375" customWidth="1" collapsed="1"/>
    <col min="22" max="25" width="10.7109375" hidden="1" customWidth="1" outlineLevel="1"/>
    <col min="26" max="26" width="10.7109375" customWidth="1" collapsed="1"/>
    <col min="27" max="30" width="10.7109375" hidden="1" customWidth="1" outlineLevel="1"/>
    <col min="31" max="31" width="10.7109375" customWidth="1" collapsed="1"/>
    <col min="32" max="35" width="10.7109375" hidden="1" customWidth="1" outlineLevel="1"/>
    <col min="36" max="36" width="10.7109375" customWidth="1" collapsed="1"/>
    <col min="37" max="40" width="10.7109375" hidden="1" customWidth="1" outlineLevel="1"/>
    <col min="41" max="41" width="10.7109375" customWidth="1" collapsed="1"/>
    <col min="42" max="45" width="10.7109375" hidden="1" customWidth="1" outlineLevel="1"/>
    <col min="46" max="46" width="10.7109375" customWidth="1" collapsed="1"/>
    <col min="47" max="50" width="10.7109375" hidden="1" customWidth="1" outlineLevel="1"/>
    <col min="51" max="51" width="10.7109375" customWidth="1" collapsed="1"/>
    <col min="52" max="55" width="10.7109375" hidden="1" customWidth="1" outlineLevel="1"/>
    <col min="56" max="56" width="10.7109375" customWidth="1" collapsed="1"/>
    <col min="57" max="60" width="10.7109375" hidden="1" customWidth="1" outlineLevel="1"/>
    <col min="61" max="61" width="10.7109375" customWidth="1" collapsed="1"/>
    <col min="62" max="65" width="10.7109375" hidden="1" customWidth="1" outlineLevel="1"/>
    <col min="66" max="66" width="10.7109375" customWidth="1" collapsed="1"/>
    <col min="67" max="69" width="10.7109375" customWidth="1" outlineLevel="1"/>
    <col min="70" max="70" width="11.5703125" bestFit="1" customWidth="1" outlineLevel="1"/>
    <col min="71" max="71" width="11.28515625" bestFit="1" customWidth="1"/>
    <col min="72" max="75" width="10.7109375" customWidth="1" outlineLevel="1"/>
    <col min="76" max="76" width="11.5703125" bestFit="1" customWidth="1"/>
    <col min="77" max="80" width="10.7109375" customWidth="1" outlineLevel="1"/>
    <col min="81" max="81" width="11.5703125" bestFit="1" customWidth="1"/>
    <col min="82" max="85" width="10.7109375" hidden="1" customWidth="1" outlineLevel="1"/>
    <col min="86" max="86" width="11.5703125" bestFit="1" customWidth="1" collapsed="1"/>
    <col min="87" max="90" width="10.7109375" customWidth="1" outlineLevel="1"/>
    <col min="91" max="91" width="11.5703125" bestFit="1" customWidth="1"/>
    <col min="92" max="95" width="10.7109375" customWidth="1" outlineLevel="1"/>
    <col min="96" max="96" width="11.5703125" bestFit="1" customWidth="1"/>
    <col min="97" max="100" width="10.140625" customWidth="1" outlineLevel="1"/>
    <col min="101" max="101" width="11.5703125" bestFit="1" customWidth="1"/>
    <col min="102" max="105" width="10.140625" customWidth="1" outlineLevel="1"/>
    <col min="106" max="106" width="11.5703125" bestFit="1" customWidth="1"/>
    <col min="107" max="114" width="10.140625" customWidth="1"/>
    <col min="115" max="116" width="10.7109375" customWidth="1"/>
    <col min="117" max="117" width="7.7109375" customWidth="1"/>
    <col min="118" max="118" width="47.85546875" customWidth="1"/>
    <col min="119" max="119" width="5.42578125" customWidth="1"/>
    <col min="120" max="120" width="9" customWidth="1"/>
  </cols>
  <sheetData>
    <row r="1" spans="1:117">
      <c r="A1" s="5" t="s">
        <v>751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342"/>
      <c r="AF1" s="379"/>
      <c r="AG1" s="379"/>
      <c r="AH1" s="379"/>
      <c r="AI1" s="379"/>
      <c r="AJ1" s="379"/>
      <c r="AL1" s="430"/>
      <c r="AM1" s="445"/>
      <c r="AN1" s="445"/>
      <c r="AO1" s="453"/>
      <c r="AP1" s="453"/>
      <c r="AQ1" s="453"/>
      <c r="AR1" s="453"/>
      <c r="AS1" s="453"/>
      <c r="AT1" s="458"/>
      <c r="AU1" s="458"/>
      <c r="AV1" s="458"/>
      <c r="AW1" s="458"/>
      <c r="AX1" s="458"/>
      <c r="AY1" s="458"/>
      <c r="AZ1" s="458"/>
      <c r="BA1" s="458"/>
      <c r="BB1" s="458"/>
      <c r="BC1" s="458"/>
      <c r="BD1" s="458"/>
      <c r="BE1" s="458"/>
      <c r="BF1" s="580"/>
      <c r="BG1" s="458"/>
      <c r="BH1" s="458"/>
      <c r="BI1" s="458"/>
      <c r="BJ1" s="458"/>
      <c r="BK1" s="580"/>
      <c r="BL1" s="458"/>
      <c r="BM1" s="458"/>
      <c r="BN1" s="458"/>
      <c r="BO1" s="458"/>
      <c r="BP1" s="458"/>
      <c r="BQ1" s="458"/>
      <c r="BR1" s="458"/>
      <c r="BS1" s="458"/>
      <c r="BT1" s="445"/>
      <c r="BU1" s="445"/>
      <c r="BV1" s="445"/>
      <c r="BW1" s="445"/>
      <c r="BX1" s="445"/>
      <c r="BY1" s="445"/>
      <c r="BZ1" s="445"/>
      <c r="CA1" s="445"/>
      <c r="CB1" s="445"/>
      <c r="CC1" s="445"/>
      <c r="CD1" s="445"/>
      <c r="CE1" s="445"/>
      <c r="CF1" s="445"/>
      <c r="CG1" s="445"/>
      <c r="CH1" s="445"/>
      <c r="CI1" s="445"/>
      <c r="CJ1" s="445"/>
      <c r="CK1" s="445"/>
      <c r="CL1" s="445"/>
      <c r="CM1" s="445"/>
      <c r="CN1" s="445"/>
      <c r="CO1" s="445"/>
      <c r="CP1" s="445"/>
      <c r="CQ1" s="445"/>
      <c r="CR1" s="445"/>
      <c r="CS1" s="445"/>
      <c r="CT1" s="445"/>
      <c r="CU1" s="445"/>
      <c r="CV1" s="445"/>
      <c r="CW1" s="445"/>
      <c r="CX1" s="445"/>
      <c r="CY1" s="445"/>
      <c r="CZ1" s="445"/>
      <c r="DA1" s="445"/>
      <c r="DB1" s="445"/>
      <c r="DC1" s="445"/>
      <c r="DD1" s="445"/>
      <c r="DE1" s="445"/>
      <c r="DF1" s="445"/>
      <c r="DG1" s="445"/>
      <c r="DH1" s="445"/>
      <c r="DI1" s="445"/>
      <c r="DJ1" s="445"/>
      <c r="DK1" s="394"/>
      <c r="DL1" s="394"/>
      <c r="DM1" s="12"/>
    </row>
    <row r="2" spans="1:117">
      <c r="A2" s="14" t="s">
        <v>683</v>
      </c>
      <c r="B2" s="13"/>
      <c r="C2" s="13"/>
      <c r="D2" s="13"/>
      <c r="E2" s="13"/>
      <c r="F2" s="97"/>
      <c r="G2" s="13"/>
      <c r="H2" s="13"/>
      <c r="I2" s="13"/>
      <c r="J2" s="13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171"/>
      <c r="AG2" s="171"/>
      <c r="AH2" s="171"/>
      <c r="AI2" s="171"/>
      <c r="AJ2" s="171"/>
      <c r="AL2" s="430"/>
      <c r="AM2" s="446"/>
      <c r="AN2" s="446"/>
      <c r="AO2" s="454"/>
      <c r="AP2" s="454"/>
      <c r="AQ2" s="454"/>
      <c r="AR2" s="454"/>
      <c r="AS2" s="454"/>
      <c r="AT2" s="458"/>
      <c r="AU2" s="458"/>
      <c r="AV2" s="458"/>
      <c r="AW2" s="458"/>
      <c r="AX2" s="458"/>
      <c r="AY2" s="458"/>
      <c r="AZ2" s="458"/>
      <c r="BA2" s="458"/>
      <c r="BB2" s="458"/>
      <c r="BC2" s="458"/>
      <c r="BD2" s="458"/>
      <c r="BE2" s="458"/>
      <c r="BF2" s="580"/>
      <c r="BG2" s="458"/>
      <c r="BH2" s="458"/>
      <c r="BI2" s="458"/>
      <c r="BJ2" s="458"/>
      <c r="BK2" s="580"/>
      <c r="BL2" s="458"/>
      <c r="BM2" s="458"/>
      <c r="BN2" s="458"/>
      <c r="BO2" s="458"/>
      <c r="BP2" s="458"/>
      <c r="BQ2" s="458"/>
      <c r="BR2" s="458"/>
      <c r="BS2" s="458"/>
      <c r="BT2" s="446"/>
      <c r="BU2" s="446"/>
      <c r="BV2" s="446"/>
      <c r="BW2" s="446"/>
      <c r="BX2" s="446"/>
      <c r="BY2" s="446"/>
      <c r="BZ2" s="446"/>
      <c r="CA2" s="446"/>
      <c r="CB2" s="446"/>
      <c r="CC2" s="591"/>
      <c r="CD2" s="446"/>
      <c r="CE2" s="446"/>
      <c r="CF2" s="446"/>
      <c r="CG2" s="446"/>
      <c r="CH2" s="446"/>
      <c r="CI2" s="446"/>
      <c r="CJ2" s="446"/>
      <c r="CK2" s="446"/>
      <c r="CL2" s="446"/>
      <c r="CM2" s="446"/>
      <c r="CN2" s="446"/>
      <c r="CO2" s="446"/>
      <c r="CP2" s="446"/>
      <c r="CQ2" s="446"/>
      <c r="CR2" s="591"/>
      <c r="CS2" s="446"/>
      <c r="CT2" s="446"/>
      <c r="CU2" s="446"/>
      <c r="CV2" s="446"/>
      <c r="CW2" s="446"/>
      <c r="CX2" s="446"/>
      <c r="CY2" s="446"/>
      <c r="CZ2" s="446"/>
      <c r="DA2" s="446"/>
      <c r="DB2" s="446"/>
      <c r="DC2" s="446"/>
      <c r="DD2" s="446"/>
      <c r="DE2" s="446"/>
      <c r="DF2" s="446"/>
      <c r="DG2" s="446"/>
      <c r="DH2" s="446"/>
      <c r="DI2" s="446"/>
      <c r="DJ2" s="446"/>
      <c r="DK2" s="395"/>
      <c r="DL2" s="395"/>
      <c r="DM2" s="12"/>
    </row>
    <row r="3" spans="1:117">
      <c r="A3" s="14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71"/>
      <c r="AD3" s="171"/>
      <c r="AE3" s="171"/>
      <c r="AF3" s="248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458"/>
      <c r="AU3" s="458"/>
      <c r="AV3" s="458"/>
      <c r="AW3" s="458"/>
      <c r="AX3" s="458"/>
      <c r="AY3" s="458"/>
      <c r="AZ3" s="458"/>
      <c r="BA3" s="458"/>
      <c r="BB3" s="458"/>
      <c r="BC3" s="458"/>
      <c r="BD3" s="458"/>
      <c r="BE3" s="458"/>
      <c r="BF3" s="580"/>
      <c r="BG3" s="458"/>
      <c r="BH3" s="458"/>
      <c r="BI3" s="458"/>
      <c r="BJ3" s="458"/>
      <c r="BK3" s="580"/>
      <c r="BL3" s="458"/>
      <c r="BM3" s="458"/>
      <c r="BN3" s="458"/>
      <c r="BO3" s="458"/>
      <c r="BP3" s="458"/>
      <c r="BQ3" s="458"/>
      <c r="BR3" s="458"/>
      <c r="BS3" s="458"/>
      <c r="BT3" s="248"/>
      <c r="BU3" s="248"/>
      <c r="BV3" s="248"/>
      <c r="BW3" s="248"/>
      <c r="BX3" s="248"/>
      <c r="BY3" s="248"/>
      <c r="BZ3" s="248"/>
      <c r="CA3" s="248"/>
      <c r="CB3" s="248"/>
      <c r="CC3" s="248"/>
      <c r="CD3" s="248"/>
      <c r="CE3" s="248"/>
      <c r="CF3" s="248"/>
      <c r="CG3" s="248"/>
      <c r="CH3" s="248"/>
      <c r="CI3" s="248"/>
      <c r="CJ3" s="248"/>
      <c r="CK3" s="248"/>
      <c r="CL3" s="248"/>
      <c r="CM3" s="248"/>
      <c r="CN3" s="248"/>
      <c r="CO3" s="248"/>
      <c r="CP3" s="248"/>
      <c r="CQ3" s="248"/>
      <c r="CR3" s="248"/>
      <c r="CS3" s="248"/>
      <c r="CT3" s="248"/>
      <c r="CU3" s="248"/>
      <c r="CV3" s="248"/>
      <c r="CW3" s="248"/>
      <c r="CX3" s="248"/>
      <c r="CY3" s="248"/>
      <c r="CZ3" s="248"/>
      <c r="DA3" s="248"/>
      <c r="DB3" s="248"/>
      <c r="DC3" s="248"/>
      <c r="DD3" s="248"/>
      <c r="DE3" s="248"/>
      <c r="DF3" s="248"/>
      <c r="DG3" s="248"/>
      <c r="DH3" s="248"/>
      <c r="DI3" s="248"/>
      <c r="DJ3" s="248"/>
      <c r="DK3" s="396"/>
      <c r="DL3" s="396"/>
      <c r="DM3" s="12"/>
    </row>
    <row r="5" spans="1:117">
      <c r="A5" s="10"/>
      <c r="B5" s="11" t="s">
        <v>679</v>
      </c>
      <c r="C5" s="11" t="s">
        <v>680</v>
      </c>
      <c r="D5" s="11" t="s">
        <v>681</v>
      </c>
      <c r="E5" s="11" t="s">
        <v>682</v>
      </c>
      <c r="F5" s="11">
        <v>2004</v>
      </c>
      <c r="G5" s="11" t="s">
        <v>675</v>
      </c>
      <c r="H5" s="11" t="s">
        <v>676</v>
      </c>
      <c r="I5" s="11" t="s">
        <v>677</v>
      </c>
      <c r="J5" s="11" t="s">
        <v>678</v>
      </c>
      <c r="K5" s="11">
        <v>2005</v>
      </c>
      <c r="L5" s="11" t="s">
        <v>254</v>
      </c>
      <c r="M5" s="11" t="s">
        <v>672</v>
      </c>
      <c r="N5" s="11" t="s">
        <v>673</v>
      </c>
      <c r="O5" s="11" t="s">
        <v>674</v>
      </c>
      <c r="P5" s="11">
        <v>2006</v>
      </c>
      <c r="Q5" s="11" t="s">
        <v>343</v>
      </c>
      <c r="R5" s="11" t="s">
        <v>344</v>
      </c>
      <c r="S5" s="11" t="s">
        <v>46</v>
      </c>
      <c r="T5" s="11" t="s">
        <v>342</v>
      </c>
      <c r="U5" s="11">
        <v>2007</v>
      </c>
      <c r="V5" s="11" t="s">
        <v>340</v>
      </c>
      <c r="W5" s="11" t="s">
        <v>341</v>
      </c>
      <c r="X5" s="11" t="s">
        <v>45</v>
      </c>
      <c r="Y5" s="11" t="s">
        <v>170</v>
      </c>
      <c r="Z5" s="11">
        <v>2008</v>
      </c>
      <c r="AA5" s="11" t="s">
        <v>648</v>
      </c>
      <c r="AB5" s="11" t="s">
        <v>596</v>
      </c>
      <c r="AC5" s="11" t="s">
        <v>911</v>
      </c>
      <c r="AD5" s="11" t="s">
        <v>696</v>
      </c>
      <c r="AE5" s="11">
        <v>2009</v>
      </c>
      <c r="AF5" s="11" t="s">
        <v>122</v>
      </c>
      <c r="AG5" s="11" t="s">
        <v>943</v>
      </c>
      <c r="AH5" s="11" t="s">
        <v>253</v>
      </c>
      <c r="AI5" s="11" t="s">
        <v>154</v>
      </c>
      <c r="AJ5" s="11">
        <v>2010</v>
      </c>
      <c r="AK5" s="11" t="s">
        <v>550</v>
      </c>
      <c r="AL5" s="11" t="s">
        <v>692</v>
      </c>
      <c r="AM5" s="11" t="s">
        <v>248</v>
      </c>
      <c r="AN5" s="11" t="s">
        <v>562</v>
      </c>
      <c r="AO5" s="11">
        <v>2011</v>
      </c>
      <c r="AP5" s="11" t="s">
        <v>217</v>
      </c>
      <c r="AQ5" s="11" t="s">
        <v>332</v>
      </c>
      <c r="AR5" s="11" t="s">
        <v>707</v>
      </c>
      <c r="AS5" s="11" t="s">
        <v>805</v>
      </c>
      <c r="AT5" s="11">
        <v>2012</v>
      </c>
      <c r="AU5" s="11" t="s">
        <v>151</v>
      </c>
      <c r="AV5" s="11" t="s">
        <v>615</v>
      </c>
      <c r="AW5" s="11" t="s">
        <v>291</v>
      </c>
      <c r="AX5" s="11" t="s">
        <v>461</v>
      </c>
      <c r="AY5" s="11">
        <v>2013</v>
      </c>
      <c r="AZ5" s="11" t="s">
        <v>123</v>
      </c>
      <c r="BA5" s="11" t="s">
        <v>349</v>
      </c>
      <c r="BB5" s="11" t="s">
        <v>963</v>
      </c>
      <c r="BC5" s="11" t="s">
        <v>962</v>
      </c>
      <c r="BD5" s="11">
        <v>2014</v>
      </c>
      <c r="BE5" s="11" t="s">
        <v>977</v>
      </c>
      <c r="BF5" s="11" t="s">
        <v>988</v>
      </c>
      <c r="BG5" s="11" t="s">
        <v>1320</v>
      </c>
      <c r="BH5" s="11" t="s">
        <v>1302</v>
      </c>
      <c r="BI5" s="11">
        <v>2015</v>
      </c>
      <c r="BJ5" s="11" t="s">
        <v>1319</v>
      </c>
      <c r="BK5" s="11" t="s">
        <v>1447</v>
      </c>
      <c r="BL5" s="11" t="s">
        <v>1591</v>
      </c>
      <c r="BM5" s="11" t="s">
        <v>1592</v>
      </c>
      <c r="BN5" s="11">
        <v>2016</v>
      </c>
      <c r="BO5" s="11" t="s">
        <v>1593</v>
      </c>
      <c r="BP5" s="11" t="s">
        <v>1594</v>
      </c>
      <c r="BQ5" s="11" t="s">
        <v>1595</v>
      </c>
      <c r="BR5" s="11" t="s">
        <v>1596</v>
      </c>
      <c r="BS5" s="11">
        <v>2017</v>
      </c>
      <c r="BT5" s="11" t="s">
        <v>335</v>
      </c>
      <c r="BU5" s="11" t="s">
        <v>336</v>
      </c>
      <c r="BV5" s="11" t="s">
        <v>337</v>
      </c>
      <c r="BW5" s="11" t="s">
        <v>338</v>
      </c>
      <c r="BX5" s="11" t="s">
        <v>339</v>
      </c>
      <c r="BY5" s="11" t="s">
        <v>598</v>
      </c>
      <c r="BZ5" s="11" t="s">
        <v>599</v>
      </c>
      <c r="CA5" s="11" t="s">
        <v>600</v>
      </c>
      <c r="CB5" s="11" t="s">
        <v>601</v>
      </c>
      <c r="CC5" s="11" t="s">
        <v>464</v>
      </c>
      <c r="CD5" s="11" t="s">
        <v>602</v>
      </c>
      <c r="CE5" s="11" t="s">
        <v>482</v>
      </c>
      <c r="CF5" s="11" t="s">
        <v>483</v>
      </c>
      <c r="CG5" s="11" t="s">
        <v>484</v>
      </c>
      <c r="CH5" s="11" t="s">
        <v>465</v>
      </c>
      <c r="CI5" s="11" t="s">
        <v>512</v>
      </c>
      <c r="CJ5" s="11" t="s">
        <v>511</v>
      </c>
      <c r="CK5" s="11" t="s">
        <v>510</v>
      </c>
      <c r="CL5" s="11" t="s">
        <v>509</v>
      </c>
      <c r="CM5" s="11" t="s">
        <v>633</v>
      </c>
      <c r="CN5" s="11" t="s">
        <v>195</v>
      </c>
      <c r="CO5" s="11" t="s">
        <v>196</v>
      </c>
      <c r="CP5" s="11" t="s">
        <v>197</v>
      </c>
      <c r="CQ5" s="11" t="s">
        <v>198</v>
      </c>
      <c r="CR5" s="11" t="s">
        <v>199</v>
      </c>
      <c r="CS5" s="11" t="s">
        <v>978</v>
      </c>
      <c r="CT5" s="11" t="s">
        <v>979</v>
      </c>
      <c r="CU5" s="11" t="s">
        <v>980</v>
      </c>
      <c r="CV5" s="11" t="s">
        <v>981</v>
      </c>
      <c r="CW5" s="11" t="s">
        <v>982</v>
      </c>
      <c r="CX5" s="11" t="s">
        <v>983</v>
      </c>
      <c r="CY5" s="11" t="s">
        <v>984</v>
      </c>
      <c r="CZ5" s="11" t="s">
        <v>985</v>
      </c>
      <c r="DA5" s="11" t="s">
        <v>986</v>
      </c>
      <c r="DB5" s="11" t="s">
        <v>987</v>
      </c>
      <c r="DC5" s="11"/>
      <c r="DD5" s="11"/>
      <c r="DE5" s="11"/>
      <c r="DF5" s="11"/>
      <c r="DG5" s="11"/>
      <c r="DH5" s="11"/>
      <c r="DI5" s="11"/>
      <c r="DJ5" s="11"/>
      <c r="DK5" s="398"/>
      <c r="DL5" s="398"/>
      <c r="DM5" s="12"/>
    </row>
    <row r="6" spans="1:117">
      <c r="A6" s="100" t="s">
        <v>654</v>
      </c>
      <c r="B6" s="115"/>
      <c r="C6" s="116"/>
      <c r="D6" s="116"/>
      <c r="E6" s="116"/>
      <c r="F6" s="117"/>
      <c r="G6" s="115"/>
      <c r="H6" s="116"/>
      <c r="I6" s="116"/>
      <c r="J6" s="116"/>
      <c r="K6" s="117"/>
      <c r="L6" s="115"/>
      <c r="M6" s="116"/>
      <c r="N6" s="116"/>
      <c r="O6" s="116"/>
      <c r="P6" s="117"/>
      <c r="Q6" s="115"/>
      <c r="R6" s="116"/>
      <c r="S6" s="116"/>
      <c r="T6" s="116"/>
      <c r="U6" s="117"/>
      <c r="V6" s="115"/>
      <c r="W6" s="116"/>
      <c r="X6" s="116"/>
      <c r="Y6" s="116"/>
      <c r="Z6" s="117"/>
      <c r="AA6" s="115"/>
      <c r="AB6" s="131"/>
      <c r="AC6" s="131"/>
      <c r="AD6" s="131"/>
      <c r="AE6" s="132"/>
      <c r="AF6" s="138"/>
      <c r="AG6" s="131"/>
      <c r="AH6" s="131"/>
      <c r="AI6" s="131"/>
      <c r="AJ6" s="132"/>
      <c r="AK6" s="138"/>
      <c r="AL6" s="131"/>
      <c r="AM6" s="131"/>
      <c r="AN6" s="131"/>
      <c r="AO6" s="132"/>
      <c r="AP6" s="138"/>
      <c r="AQ6" s="131"/>
      <c r="AR6" s="131"/>
      <c r="AS6" s="131"/>
      <c r="AT6" s="132"/>
      <c r="AU6" s="138"/>
      <c r="AV6" s="131"/>
      <c r="AW6" s="131"/>
      <c r="AX6" s="131"/>
      <c r="AY6" s="132"/>
      <c r="AZ6" s="138"/>
      <c r="BA6" s="131"/>
      <c r="BB6" s="131"/>
      <c r="BC6" s="131"/>
      <c r="BD6" s="132"/>
      <c r="BE6" s="138">
        <v>90</v>
      </c>
      <c r="BF6" s="131">
        <v>91</v>
      </c>
      <c r="BG6" s="131">
        <v>92</v>
      </c>
      <c r="BH6" s="131">
        <v>92</v>
      </c>
      <c r="BI6" s="132">
        <v>365</v>
      </c>
      <c r="BJ6" s="138">
        <v>91</v>
      </c>
      <c r="BK6" s="131">
        <v>91</v>
      </c>
      <c r="BL6" s="131">
        <v>92</v>
      </c>
      <c r="BM6" s="131">
        <v>92</v>
      </c>
      <c r="BN6" s="132">
        <v>366</v>
      </c>
      <c r="BO6" s="138">
        <v>90</v>
      </c>
      <c r="BP6" s="131">
        <v>91</v>
      </c>
      <c r="BQ6" s="131">
        <v>92</v>
      </c>
      <c r="BR6" s="131">
        <v>92</v>
      </c>
      <c r="BS6" s="132">
        <f>SUM(BO6:BR6)</f>
        <v>365</v>
      </c>
      <c r="BT6" s="138"/>
      <c r="BU6" s="131"/>
      <c r="BV6" s="131"/>
      <c r="BW6" s="131"/>
      <c r="BX6" s="132"/>
      <c r="BY6" s="138"/>
      <c r="BZ6" s="131"/>
      <c r="CA6" s="131"/>
      <c r="CB6" s="131"/>
      <c r="CC6" s="132"/>
      <c r="CD6" s="138"/>
      <c r="CE6" s="131"/>
      <c r="CF6" s="131"/>
      <c r="CG6" s="131"/>
      <c r="CH6" s="132"/>
      <c r="CI6" s="138"/>
      <c r="CJ6" s="131"/>
      <c r="CK6" s="131"/>
      <c r="CL6" s="131"/>
      <c r="CM6" s="132"/>
      <c r="CN6" s="138"/>
      <c r="CO6" s="131"/>
      <c r="CP6" s="131"/>
      <c r="CQ6" s="131"/>
      <c r="CR6" s="132"/>
      <c r="CS6" s="138"/>
      <c r="CT6" s="131"/>
      <c r="CU6" s="131"/>
      <c r="CV6" s="131"/>
      <c r="CW6" s="132"/>
      <c r="CX6" s="138"/>
      <c r="CY6" s="131"/>
      <c r="CZ6" s="131"/>
      <c r="DA6" s="131"/>
      <c r="DB6" s="132"/>
      <c r="DC6" s="23"/>
      <c r="DD6" s="23"/>
      <c r="DE6" s="23"/>
      <c r="DF6" s="23"/>
      <c r="DG6" s="23"/>
      <c r="DH6" s="23"/>
      <c r="DI6" s="23"/>
      <c r="DJ6" s="23"/>
      <c r="DK6" s="61"/>
      <c r="DL6" s="61"/>
      <c r="DM6" s="61"/>
    </row>
    <row r="7" spans="1:117">
      <c r="A7" s="16" t="s">
        <v>574</v>
      </c>
      <c r="B7" s="41"/>
      <c r="C7" s="40"/>
      <c r="D7" s="39"/>
      <c r="E7" s="40"/>
      <c r="F7" s="118"/>
      <c r="G7" s="41"/>
      <c r="H7" s="40"/>
      <c r="I7" s="39"/>
      <c r="J7" s="40"/>
      <c r="K7" s="118"/>
      <c r="L7" s="41"/>
      <c r="M7" s="40"/>
      <c r="N7" s="39"/>
      <c r="O7" s="40"/>
      <c r="P7" s="118"/>
      <c r="Q7" s="41"/>
      <c r="R7" s="40"/>
      <c r="S7" s="39"/>
      <c r="T7" s="40"/>
      <c r="U7" s="118"/>
      <c r="V7" s="41"/>
      <c r="W7" s="40"/>
      <c r="X7" s="39"/>
      <c r="Y7" s="40"/>
      <c r="Z7" s="118"/>
      <c r="AA7" s="41"/>
      <c r="AB7" s="18"/>
      <c r="AC7" s="18"/>
      <c r="AD7" s="18"/>
      <c r="AE7" s="127"/>
      <c r="AF7" s="19"/>
      <c r="AG7" s="18"/>
      <c r="AH7" s="18"/>
      <c r="AI7" s="18"/>
      <c r="AJ7" s="127"/>
      <c r="AK7" s="19"/>
      <c r="AL7" s="18"/>
      <c r="AM7" s="18"/>
      <c r="AN7" s="18"/>
      <c r="AO7" s="127"/>
      <c r="AP7" s="19"/>
      <c r="AQ7" s="18"/>
      <c r="AR7" s="18"/>
      <c r="AS7" s="18"/>
      <c r="AT7" s="127"/>
      <c r="AU7" s="19"/>
      <c r="AV7" s="18"/>
      <c r="AW7" s="18"/>
      <c r="AX7" s="18"/>
      <c r="AY7" s="127"/>
      <c r="AZ7" s="19"/>
      <c r="BA7" s="18"/>
      <c r="BB7" s="18"/>
      <c r="BC7" s="18"/>
      <c r="BD7" s="127"/>
      <c r="BE7" s="19"/>
      <c r="BF7" s="18"/>
      <c r="BG7" s="18"/>
      <c r="BH7" s="18"/>
      <c r="BI7" s="127"/>
      <c r="BJ7" s="19"/>
      <c r="BK7" s="18"/>
      <c r="BL7" s="18"/>
      <c r="BM7" s="18"/>
      <c r="BN7" s="127"/>
      <c r="BO7" s="19"/>
      <c r="BP7" s="18"/>
      <c r="BQ7" s="18"/>
      <c r="BR7" s="18"/>
      <c r="BS7" s="127"/>
      <c r="BT7" s="19"/>
      <c r="BU7" s="18"/>
      <c r="BV7" s="18"/>
      <c r="BW7" s="18"/>
      <c r="BX7" s="127"/>
      <c r="BY7" s="19"/>
      <c r="BZ7" s="18"/>
      <c r="CA7" s="18"/>
      <c r="CB7" s="18"/>
      <c r="CC7" s="127"/>
      <c r="CD7" s="19"/>
      <c r="CE7" s="18"/>
      <c r="CF7" s="18"/>
      <c r="CG7" s="18"/>
      <c r="CH7" s="127"/>
      <c r="CI7" s="19"/>
      <c r="CJ7" s="18"/>
      <c r="CK7" s="18"/>
      <c r="CL7" s="18"/>
      <c r="CM7" s="127"/>
      <c r="CN7" s="19"/>
      <c r="CO7" s="18"/>
      <c r="CP7" s="18"/>
      <c r="CQ7" s="18"/>
      <c r="CR7" s="127"/>
      <c r="CS7" s="19"/>
      <c r="CT7" s="18"/>
      <c r="CU7" s="18"/>
      <c r="CV7" s="18"/>
      <c r="CW7" s="127"/>
      <c r="CX7" s="19"/>
      <c r="CY7" s="18"/>
      <c r="CZ7" s="18"/>
      <c r="DA7" s="18"/>
      <c r="DB7" s="127"/>
      <c r="DC7" s="18"/>
      <c r="DD7" s="18"/>
      <c r="DE7" s="18"/>
      <c r="DF7" s="18"/>
      <c r="DG7" s="18"/>
      <c r="DH7" s="18"/>
      <c r="DI7" s="18"/>
      <c r="DJ7" s="18"/>
      <c r="DK7" s="61"/>
      <c r="DL7" s="61"/>
      <c r="DM7" s="18"/>
    </row>
    <row r="8" spans="1:117" outlineLevel="1">
      <c r="A8" s="15" t="s">
        <v>671</v>
      </c>
      <c r="B8" s="41">
        <v>451409</v>
      </c>
      <c r="C8" s="40">
        <v>451934</v>
      </c>
      <c r="D8" s="40">
        <v>346791</v>
      </c>
      <c r="E8" s="48">
        <f t="shared" ref="E8:E14" si="0">F8-SUM(B8:D8)</f>
        <v>88850</v>
      </c>
      <c r="F8" s="118">
        <v>1338984</v>
      </c>
      <c r="G8" s="236" t="s">
        <v>277</v>
      </c>
      <c r="H8" s="40" t="s">
        <v>277</v>
      </c>
      <c r="I8" s="39" t="s">
        <v>277</v>
      </c>
      <c r="J8" s="40" t="s">
        <v>277</v>
      </c>
      <c r="K8" s="118" t="s">
        <v>277</v>
      </c>
      <c r="L8" s="236" t="s">
        <v>277</v>
      </c>
      <c r="M8" s="40" t="s">
        <v>277</v>
      </c>
      <c r="N8" s="39" t="s">
        <v>277</v>
      </c>
      <c r="O8" s="40" t="s">
        <v>277</v>
      </c>
      <c r="P8" s="118" t="s">
        <v>277</v>
      </c>
      <c r="Q8" s="236" t="s">
        <v>277</v>
      </c>
      <c r="R8" s="40" t="s">
        <v>277</v>
      </c>
      <c r="S8" s="39" t="s">
        <v>277</v>
      </c>
      <c r="T8" s="40" t="s">
        <v>277</v>
      </c>
      <c r="U8" s="118" t="s">
        <v>277</v>
      </c>
      <c r="V8" s="236" t="s">
        <v>277</v>
      </c>
      <c r="W8" s="40" t="s">
        <v>277</v>
      </c>
      <c r="X8" s="39" t="s">
        <v>277</v>
      </c>
      <c r="Y8" s="40" t="s">
        <v>277</v>
      </c>
      <c r="Z8" s="118" t="s">
        <v>277</v>
      </c>
      <c r="AA8" s="236" t="s">
        <v>277</v>
      </c>
      <c r="AB8" s="40" t="s">
        <v>277</v>
      </c>
      <c r="AC8" s="39" t="s">
        <v>277</v>
      </c>
      <c r="AD8" s="40" t="s">
        <v>277</v>
      </c>
      <c r="AE8" s="118" t="s">
        <v>277</v>
      </c>
      <c r="AF8" s="236" t="s">
        <v>277</v>
      </c>
      <c r="AG8" s="40" t="s">
        <v>277</v>
      </c>
      <c r="AH8" s="39" t="s">
        <v>277</v>
      </c>
      <c r="AI8" s="40" t="s">
        <v>277</v>
      </c>
      <c r="AJ8" s="118" t="s">
        <v>277</v>
      </c>
      <c r="AK8" s="236" t="s">
        <v>277</v>
      </c>
      <c r="AL8" s="40" t="s">
        <v>277</v>
      </c>
      <c r="AM8" s="39" t="s">
        <v>277</v>
      </c>
      <c r="AN8" s="40" t="s">
        <v>277</v>
      </c>
      <c r="AO8" s="118" t="s">
        <v>277</v>
      </c>
      <c r="AP8" s="236" t="s">
        <v>277</v>
      </c>
      <c r="AQ8" s="40" t="s">
        <v>277</v>
      </c>
      <c r="AR8" s="39" t="s">
        <v>277</v>
      </c>
      <c r="AS8" s="40" t="s">
        <v>277</v>
      </c>
      <c r="AT8" s="118" t="s">
        <v>277</v>
      </c>
      <c r="AU8" s="236" t="s">
        <v>277</v>
      </c>
      <c r="AV8" s="40" t="s">
        <v>277</v>
      </c>
      <c r="AW8" s="39" t="s">
        <v>277</v>
      </c>
      <c r="AX8" s="40" t="s">
        <v>277</v>
      </c>
      <c r="AY8" s="118" t="s">
        <v>277</v>
      </c>
      <c r="AZ8" s="236" t="s">
        <v>277</v>
      </c>
      <c r="BA8" s="40" t="s">
        <v>277</v>
      </c>
      <c r="BB8" s="39" t="s">
        <v>277</v>
      </c>
      <c r="BC8" s="40" t="s">
        <v>277</v>
      </c>
      <c r="BD8" s="118" t="s">
        <v>277</v>
      </c>
      <c r="BE8" s="236" t="s">
        <v>277</v>
      </c>
      <c r="BF8" s="40" t="s">
        <v>277</v>
      </c>
      <c r="BG8" s="39" t="s">
        <v>277</v>
      </c>
      <c r="BH8" s="40" t="s">
        <v>277</v>
      </c>
      <c r="BI8" s="118" t="s">
        <v>277</v>
      </c>
      <c r="BJ8" s="236" t="s">
        <v>277</v>
      </c>
      <c r="BK8" s="40" t="s">
        <v>277</v>
      </c>
      <c r="BL8" s="39" t="s">
        <v>277</v>
      </c>
      <c r="BM8" s="40" t="s">
        <v>277</v>
      </c>
      <c r="BN8" s="118" t="s">
        <v>277</v>
      </c>
      <c r="BO8" s="236" t="s">
        <v>277</v>
      </c>
      <c r="BP8" s="324" t="s">
        <v>277</v>
      </c>
      <c r="BQ8" s="39" t="s">
        <v>277</v>
      </c>
      <c r="BR8" s="40" t="s">
        <v>277</v>
      </c>
      <c r="BS8" s="118" t="s">
        <v>277</v>
      </c>
      <c r="BT8" s="236" t="s">
        <v>277</v>
      </c>
      <c r="BU8" s="40" t="s">
        <v>277</v>
      </c>
      <c r="BV8" s="39" t="s">
        <v>277</v>
      </c>
      <c r="BW8" s="40" t="s">
        <v>277</v>
      </c>
      <c r="BX8" s="118" t="s">
        <v>277</v>
      </c>
      <c r="BY8" s="236" t="s">
        <v>277</v>
      </c>
      <c r="BZ8" s="40" t="s">
        <v>277</v>
      </c>
      <c r="CA8" s="39" t="s">
        <v>277</v>
      </c>
      <c r="CB8" s="40" t="s">
        <v>277</v>
      </c>
      <c r="CC8" s="118" t="s">
        <v>277</v>
      </c>
      <c r="CD8" s="236" t="s">
        <v>277</v>
      </c>
      <c r="CE8" s="40" t="s">
        <v>277</v>
      </c>
      <c r="CF8" s="39" t="s">
        <v>277</v>
      </c>
      <c r="CG8" s="40" t="s">
        <v>277</v>
      </c>
      <c r="CH8" s="118" t="s">
        <v>277</v>
      </c>
      <c r="CI8" s="236" t="s">
        <v>277</v>
      </c>
      <c r="CJ8" s="40" t="s">
        <v>277</v>
      </c>
      <c r="CK8" s="39" t="s">
        <v>277</v>
      </c>
      <c r="CL8" s="40" t="s">
        <v>277</v>
      </c>
      <c r="CM8" s="118" t="s">
        <v>277</v>
      </c>
      <c r="CN8" s="236" t="s">
        <v>277</v>
      </c>
      <c r="CO8" s="40" t="s">
        <v>277</v>
      </c>
      <c r="CP8" s="39" t="s">
        <v>277</v>
      </c>
      <c r="CQ8" s="40" t="s">
        <v>277</v>
      </c>
      <c r="CR8" s="118" t="s">
        <v>277</v>
      </c>
      <c r="CS8" s="236" t="s">
        <v>277</v>
      </c>
      <c r="CT8" s="40" t="s">
        <v>277</v>
      </c>
      <c r="CU8" s="39" t="s">
        <v>277</v>
      </c>
      <c r="CV8" s="40" t="s">
        <v>277</v>
      </c>
      <c r="CW8" s="118" t="s">
        <v>277</v>
      </c>
      <c r="CX8" s="236" t="s">
        <v>277</v>
      </c>
      <c r="CY8" s="40" t="s">
        <v>277</v>
      </c>
      <c r="CZ8" s="39" t="s">
        <v>277</v>
      </c>
      <c r="DA8" s="40" t="s">
        <v>277</v>
      </c>
      <c r="DB8" s="118" t="s">
        <v>277</v>
      </c>
      <c r="DC8" s="40"/>
      <c r="DD8" s="40"/>
      <c r="DE8" s="40"/>
      <c r="DF8" s="40"/>
      <c r="DG8" s="40"/>
      <c r="DH8" s="40"/>
      <c r="DI8" s="40"/>
      <c r="DJ8" s="40"/>
      <c r="DK8" s="185"/>
      <c r="DL8" s="185"/>
      <c r="DM8" s="18"/>
    </row>
    <row r="9" spans="1:117" outlineLevel="1">
      <c r="A9" s="15" t="s">
        <v>868</v>
      </c>
      <c r="B9" s="41">
        <v>26387</v>
      </c>
      <c r="C9" s="40">
        <v>24144</v>
      </c>
      <c r="D9" s="40">
        <v>329682</v>
      </c>
      <c r="E9" s="48">
        <f t="shared" si="0"/>
        <v>876285</v>
      </c>
      <c r="F9" s="118">
        <v>1256498</v>
      </c>
      <c r="G9" s="236" t="s">
        <v>277</v>
      </c>
      <c r="H9" s="40" t="s">
        <v>277</v>
      </c>
      <c r="I9" s="39" t="s">
        <v>277</v>
      </c>
      <c r="J9" s="40" t="s">
        <v>277</v>
      </c>
      <c r="K9" s="118" t="s">
        <v>277</v>
      </c>
      <c r="L9" s="236" t="s">
        <v>277</v>
      </c>
      <c r="M9" s="40" t="s">
        <v>277</v>
      </c>
      <c r="N9" s="39" t="s">
        <v>277</v>
      </c>
      <c r="O9" s="40" t="s">
        <v>277</v>
      </c>
      <c r="P9" s="118" t="s">
        <v>277</v>
      </c>
      <c r="Q9" s="236" t="s">
        <v>277</v>
      </c>
      <c r="R9" s="40" t="s">
        <v>277</v>
      </c>
      <c r="S9" s="39" t="s">
        <v>277</v>
      </c>
      <c r="T9" s="40" t="s">
        <v>277</v>
      </c>
      <c r="U9" s="118" t="s">
        <v>277</v>
      </c>
      <c r="V9" s="236" t="s">
        <v>277</v>
      </c>
      <c r="W9" s="40" t="s">
        <v>277</v>
      </c>
      <c r="X9" s="39" t="s">
        <v>277</v>
      </c>
      <c r="Y9" s="40" t="s">
        <v>277</v>
      </c>
      <c r="Z9" s="118" t="s">
        <v>277</v>
      </c>
      <c r="AA9" s="236" t="s">
        <v>277</v>
      </c>
      <c r="AB9" s="40" t="s">
        <v>277</v>
      </c>
      <c r="AC9" s="39" t="s">
        <v>277</v>
      </c>
      <c r="AD9" s="40" t="s">
        <v>277</v>
      </c>
      <c r="AE9" s="118" t="s">
        <v>277</v>
      </c>
      <c r="AF9" s="236" t="s">
        <v>277</v>
      </c>
      <c r="AG9" s="40" t="s">
        <v>277</v>
      </c>
      <c r="AH9" s="39" t="s">
        <v>277</v>
      </c>
      <c r="AI9" s="40" t="s">
        <v>277</v>
      </c>
      <c r="AJ9" s="118" t="s">
        <v>277</v>
      </c>
      <c r="AK9" s="236" t="s">
        <v>277</v>
      </c>
      <c r="AL9" s="40" t="s">
        <v>277</v>
      </c>
      <c r="AM9" s="39" t="s">
        <v>277</v>
      </c>
      <c r="AN9" s="40" t="s">
        <v>277</v>
      </c>
      <c r="AO9" s="118" t="s">
        <v>277</v>
      </c>
      <c r="AP9" s="236" t="s">
        <v>277</v>
      </c>
      <c r="AQ9" s="40" t="s">
        <v>277</v>
      </c>
      <c r="AR9" s="39" t="s">
        <v>277</v>
      </c>
      <c r="AS9" s="40" t="s">
        <v>277</v>
      </c>
      <c r="AT9" s="118" t="s">
        <v>277</v>
      </c>
      <c r="AU9" s="236" t="s">
        <v>277</v>
      </c>
      <c r="AV9" s="40" t="s">
        <v>277</v>
      </c>
      <c r="AW9" s="39" t="s">
        <v>277</v>
      </c>
      <c r="AX9" s="40" t="s">
        <v>277</v>
      </c>
      <c r="AY9" s="118" t="s">
        <v>277</v>
      </c>
      <c r="AZ9" s="236" t="s">
        <v>277</v>
      </c>
      <c r="BA9" s="40" t="s">
        <v>277</v>
      </c>
      <c r="BB9" s="39" t="s">
        <v>277</v>
      </c>
      <c r="BC9" s="40" t="s">
        <v>277</v>
      </c>
      <c r="BD9" s="118" t="s">
        <v>277</v>
      </c>
      <c r="BE9" s="236" t="s">
        <v>277</v>
      </c>
      <c r="BF9" s="40" t="s">
        <v>277</v>
      </c>
      <c r="BG9" s="39" t="s">
        <v>277</v>
      </c>
      <c r="BH9" s="40" t="s">
        <v>277</v>
      </c>
      <c r="BI9" s="118" t="s">
        <v>277</v>
      </c>
      <c r="BJ9" s="236" t="s">
        <v>277</v>
      </c>
      <c r="BK9" s="40" t="s">
        <v>277</v>
      </c>
      <c r="BL9" s="39" t="s">
        <v>277</v>
      </c>
      <c r="BM9" s="40" t="s">
        <v>277</v>
      </c>
      <c r="BN9" s="118" t="s">
        <v>277</v>
      </c>
      <c r="BO9" s="236" t="s">
        <v>277</v>
      </c>
      <c r="BP9" s="324" t="s">
        <v>277</v>
      </c>
      <c r="BQ9" s="39" t="s">
        <v>277</v>
      </c>
      <c r="BR9" s="40" t="s">
        <v>277</v>
      </c>
      <c r="BS9" s="118" t="s">
        <v>277</v>
      </c>
      <c r="BT9" s="236" t="s">
        <v>277</v>
      </c>
      <c r="BU9" s="40" t="s">
        <v>277</v>
      </c>
      <c r="BV9" s="39" t="s">
        <v>277</v>
      </c>
      <c r="BW9" s="40" t="s">
        <v>277</v>
      </c>
      <c r="BX9" s="118" t="s">
        <v>277</v>
      </c>
      <c r="BY9" s="236" t="s">
        <v>277</v>
      </c>
      <c r="BZ9" s="40" t="s">
        <v>277</v>
      </c>
      <c r="CA9" s="39" t="s">
        <v>277</v>
      </c>
      <c r="CB9" s="40" t="s">
        <v>277</v>
      </c>
      <c r="CC9" s="118" t="s">
        <v>277</v>
      </c>
      <c r="CD9" s="236" t="s">
        <v>277</v>
      </c>
      <c r="CE9" s="40" t="s">
        <v>277</v>
      </c>
      <c r="CF9" s="39" t="s">
        <v>277</v>
      </c>
      <c r="CG9" s="40" t="s">
        <v>277</v>
      </c>
      <c r="CH9" s="118" t="s">
        <v>277</v>
      </c>
      <c r="CI9" s="236" t="s">
        <v>277</v>
      </c>
      <c r="CJ9" s="40" t="s">
        <v>277</v>
      </c>
      <c r="CK9" s="39" t="s">
        <v>277</v>
      </c>
      <c r="CL9" s="40" t="s">
        <v>277</v>
      </c>
      <c r="CM9" s="118" t="s">
        <v>277</v>
      </c>
      <c r="CN9" s="236" t="s">
        <v>277</v>
      </c>
      <c r="CO9" s="40" t="s">
        <v>277</v>
      </c>
      <c r="CP9" s="39" t="s">
        <v>277</v>
      </c>
      <c r="CQ9" s="40" t="s">
        <v>277</v>
      </c>
      <c r="CR9" s="118" t="s">
        <v>277</v>
      </c>
      <c r="CS9" s="236" t="s">
        <v>277</v>
      </c>
      <c r="CT9" s="40" t="s">
        <v>277</v>
      </c>
      <c r="CU9" s="39" t="s">
        <v>277</v>
      </c>
      <c r="CV9" s="40" t="s">
        <v>277</v>
      </c>
      <c r="CW9" s="118" t="s">
        <v>277</v>
      </c>
      <c r="CX9" s="236" t="s">
        <v>277</v>
      </c>
      <c r="CY9" s="40" t="s">
        <v>277</v>
      </c>
      <c r="CZ9" s="39" t="s">
        <v>277</v>
      </c>
      <c r="DA9" s="40" t="s">
        <v>277</v>
      </c>
      <c r="DB9" s="118" t="s">
        <v>277</v>
      </c>
      <c r="DC9" s="40"/>
      <c r="DD9" s="40"/>
      <c r="DE9" s="40"/>
      <c r="DF9" s="40"/>
      <c r="DG9" s="40"/>
      <c r="DH9" s="40"/>
      <c r="DI9" s="40"/>
      <c r="DJ9" s="40"/>
      <c r="DK9" s="185"/>
      <c r="DL9" s="185"/>
      <c r="DM9" s="18"/>
    </row>
    <row r="10" spans="1:117" outlineLevel="1">
      <c r="A10" s="15" t="s">
        <v>573</v>
      </c>
      <c r="B10" s="41">
        <v>38427</v>
      </c>
      <c r="C10" s="40">
        <v>37055</v>
      </c>
      <c r="D10" s="40">
        <v>36378</v>
      </c>
      <c r="E10" s="48">
        <f t="shared" si="0"/>
        <v>55575</v>
      </c>
      <c r="F10" s="118">
        <v>167435</v>
      </c>
      <c r="G10" s="236" t="s">
        <v>277</v>
      </c>
      <c r="H10" s="40" t="s">
        <v>277</v>
      </c>
      <c r="I10" s="39" t="s">
        <v>277</v>
      </c>
      <c r="J10" s="40" t="s">
        <v>277</v>
      </c>
      <c r="K10" s="118" t="s">
        <v>277</v>
      </c>
      <c r="L10" s="236" t="s">
        <v>277</v>
      </c>
      <c r="M10" s="40" t="s">
        <v>277</v>
      </c>
      <c r="N10" s="39" t="s">
        <v>277</v>
      </c>
      <c r="O10" s="40" t="s">
        <v>277</v>
      </c>
      <c r="P10" s="118" t="s">
        <v>277</v>
      </c>
      <c r="Q10" s="236" t="s">
        <v>277</v>
      </c>
      <c r="R10" s="40" t="s">
        <v>277</v>
      </c>
      <c r="S10" s="39" t="s">
        <v>277</v>
      </c>
      <c r="T10" s="40" t="s">
        <v>277</v>
      </c>
      <c r="U10" s="118" t="s">
        <v>277</v>
      </c>
      <c r="V10" s="236" t="s">
        <v>277</v>
      </c>
      <c r="W10" s="40" t="s">
        <v>277</v>
      </c>
      <c r="X10" s="39" t="s">
        <v>277</v>
      </c>
      <c r="Y10" s="40" t="s">
        <v>277</v>
      </c>
      <c r="Z10" s="118" t="s">
        <v>277</v>
      </c>
      <c r="AA10" s="236" t="s">
        <v>277</v>
      </c>
      <c r="AB10" s="40" t="s">
        <v>277</v>
      </c>
      <c r="AC10" s="39" t="s">
        <v>277</v>
      </c>
      <c r="AD10" s="40" t="s">
        <v>277</v>
      </c>
      <c r="AE10" s="118" t="s">
        <v>277</v>
      </c>
      <c r="AF10" s="236" t="s">
        <v>277</v>
      </c>
      <c r="AG10" s="40" t="s">
        <v>277</v>
      </c>
      <c r="AH10" s="39" t="s">
        <v>277</v>
      </c>
      <c r="AI10" s="40" t="s">
        <v>277</v>
      </c>
      <c r="AJ10" s="118" t="s">
        <v>277</v>
      </c>
      <c r="AK10" s="236" t="s">
        <v>277</v>
      </c>
      <c r="AL10" s="40" t="s">
        <v>277</v>
      </c>
      <c r="AM10" s="39" t="s">
        <v>277</v>
      </c>
      <c r="AN10" s="40" t="s">
        <v>277</v>
      </c>
      <c r="AO10" s="118" t="s">
        <v>277</v>
      </c>
      <c r="AP10" s="236" t="s">
        <v>277</v>
      </c>
      <c r="AQ10" s="40" t="s">
        <v>277</v>
      </c>
      <c r="AR10" s="39" t="s">
        <v>277</v>
      </c>
      <c r="AS10" s="40" t="s">
        <v>277</v>
      </c>
      <c r="AT10" s="118" t="s">
        <v>277</v>
      </c>
      <c r="AU10" s="236" t="s">
        <v>277</v>
      </c>
      <c r="AV10" s="40" t="s">
        <v>277</v>
      </c>
      <c r="AW10" s="39" t="s">
        <v>277</v>
      </c>
      <c r="AX10" s="40" t="s">
        <v>277</v>
      </c>
      <c r="AY10" s="118" t="s">
        <v>277</v>
      </c>
      <c r="AZ10" s="236" t="s">
        <v>277</v>
      </c>
      <c r="BA10" s="40" t="s">
        <v>277</v>
      </c>
      <c r="BB10" s="39" t="s">
        <v>277</v>
      </c>
      <c r="BC10" s="40" t="s">
        <v>277</v>
      </c>
      <c r="BD10" s="118" t="s">
        <v>277</v>
      </c>
      <c r="BE10" s="236" t="s">
        <v>277</v>
      </c>
      <c r="BF10" s="40" t="s">
        <v>277</v>
      </c>
      <c r="BG10" s="39" t="s">
        <v>277</v>
      </c>
      <c r="BH10" s="40" t="s">
        <v>277</v>
      </c>
      <c r="BI10" s="118" t="s">
        <v>277</v>
      </c>
      <c r="BJ10" s="236" t="s">
        <v>277</v>
      </c>
      <c r="BK10" s="40" t="s">
        <v>277</v>
      </c>
      <c r="BL10" s="39" t="s">
        <v>277</v>
      </c>
      <c r="BM10" s="40" t="s">
        <v>277</v>
      </c>
      <c r="BN10" s="118" t="s">
        <v>277</v>
      </c>
      <c r="BO10" s="236" t="s">
        <v>277</v>
      </c>
      <c r="BP10" s="324" t="s">
        <v>277</v>
      </c>
      <c r="BQ10" s="39" t="s">
        <v>277</v>
      </c>
      <c r="BR10" s="40" t="s">
        <v>277</v>
      </c>
      <c r="BS10" s="118" t="s">
        <v>277</v>
      </c>
      <c r="BT10" s="236" t="s">
        <v>277</v>
      </c>
      <c r="BU10" s="40" t="s">
        <v>277</v>
      </c>
      <c r="BV10" s="39" t="s">
        <v>277</v>
      </c>
      <c r="BW10" s="40" t="s">
        <v>277</v>
      </c>
      <c r="BX10" s="118" t="s">
        <v>277</v>
      </c>
      <c r="BY10" s="236" t="s">
        <v>277</v>
      </c>
      <c r="BZ10" s="40" t="s">
        <v>277</v>
      </c>
      <c r="CA10" s="39" t="s">
        <v>277</v>
      </c>
      <c r="CB10" s="40" t="s">
        <v>277</v>
      </c>
      <c r="CC10" s="118" t="s">
        <v>277</v>
      </c>
      <c r="CD10" s="236" t="s">
        <v>277</v>
      </c>
      <c r="CE10" s="40" t="s">
        <v>277</v>
      </c>
      <c r="CF10" s="39" t="s">
        <v>277</v>
      </c>
      <c r="CG10" s="40" t="s">
        <v>277</v>
      </c>
      <c r="CH10" s="118" t="s">
        <v>277</v>
      </c>
      <c r="CI10" s="236" t="s">
        <v>277</v>
      </c>
      <c r="CJ10" s="40" t="s">
        <v>277</v>
      </c>
      <c r="CK10" s="39" t="s">
        <v>277</v>
      </c>
      <c r="CL10" s="40" t="s">
        <v>277</v>
      </c>
      <c r="CM10" s="118" t="s">
        <v>277</v>
      </c>
      <c r="CN10" s="236" t="s">
        <v>277</v>
      </c>
      <c r="CO10" s="40" t="s">
        <v>277</v>
      </c>
      <c r="CP10" s="39" t="s">
        <v>277</v>
      </c>
      <c r="CQ10" s="40" t="s">
        <v>277</v>
      </c>
      <c r="CR10" s="118" t="s">
        <v>277</v>
      </c>
      <c r="CS10" s="236" t="s">
        <v>277</v>
      </c>
      <c r="CT10" s="40" t="s">
        <v>277</v>
      </c>
      <c r="CU10" s="39" t="s">
        <v>277</v>
      </c>
      <c r="CV10" s="40" t="s">
        <v>277</v>
      </c>
      <c r="CW10" s="118" t="s">
        <v>277</v>
      </c>
      <c r="CX10" s="236" t="s">
        <v>277</v>
      </c>
      <c r="CY10" s="40" t="s">
        <v>277</v>
      </c>
      <c r="CZ10" s="39" t="s">
        <v>277</v>
      </c>
      <c r="DA10" s="40" t="s">
        <v>277</v>
      </c>
      <c r="DB10" s="118" t="s">
        <v>277</v>
      </c>
      <c r="DC10" s="40"/>
      <c r="DD10" s="40"/>
      <c r="DE10" s="40"/>
      <c r="DF10" s="40"/>
      <c r="DG10" s="40"/>
      <c r="DH10" s="40"/>
      <c r="DI10" s="40"/>
      <c r="DJ10" s="40"/>
      <c r="DK10" s="185"/>
      <c r="DL10" s="185"/>
      <c r="DM10" s="18"/>
    </row>
    <row r="11" spans="1:117">
      <c r="A11" s="15" t="s">
        <v>752</v>
      </c>
      <c r="B11" s="94">
        <f>SUM(B8:B10)</f>
        <v>516223</v>
      </c>
      <c r="C11" s="48">
        <f>SUM(C8:C10)</f>
        <v>513133</v>
      </c>
      <c r="D11" s="48">
        <f>SUM(D8:D10)</f>
        <v>712851</v>
      </c>
      <c r="E11" s="48">
        <f t="shared" si="0"/>
        <v>1020710</v>
      </c>
      <c r="F11" s="104">
        <f>SUM(F8:F10)</f>
        <v>2762917</v>
      </c>
      <c r="G11" s="214">
        <f>896741-H11</f>
        <v>452192</v>
      </c>
      <c r="H11" s="38">
        <v>444549</v>
      </c>
      <c r="I11" s="38">
        <v>1408956</v>
      </c>
      <c r="J11" s="48">
        <f>K11-SUM(G11:I11)</f>
        <v>2028902</v>
      </c>
      <c r="K11" s="133">
        <v>4334599</v>
      </c>
      <c r="L11" s="37">
        <v>1169830</v>
      </c>
      <c r="M11" s="38">
        <v>1159350</v>
      </c>
      <c r="N11" s="38">
        <v>1218541</v>
      </c>
      <c r="O11" s="48">
        <f>P11-SUM(L11:N11)</f>
        <v>1190527</v>
      </c>
      <c r="P11" s="133">
        <v>4738248</v>
      </c>
      <c r="Q11" s="37">
        <v>1168674</v>
      </c>
      <c r="R11" s="38">
        <v>1375314</v>
      </c>
      <c r="S11" s="38">
        <v>1410257</v>
      </c>
      <c r="T11" s="48">
        <f>U11-SUM(Q11:S11)</f>
        <v>1877313</v>
      </c>
      <c r="U11" s="133">
        <v>5831558</v>
      </c>
      <c r="V11" s="37">
        <v>2059035</v>
      </c>
      <c r="W11" s="38">
        <v>2143892</v>
      </c>
      <c r="X11" s="38">
        <v>2241107</v>
      </c>
      <c r="Y11" s="48">
        <f>Z11-SUM(V11:X11)</f>
        <v>1276172</v>
      </c>
      <c r="Z11" s="133">
        <v>7720206</v>
      </c>
      <c r="AA11" s="37">
        <v>1250865</v>
      </c>
      <c r="AB11" s="38">
        <v>1397057</v>
      </c>
      <c r="AC11" s="38">
        <v>1560003</v>
      </c>
      <c r="AD11" s="48">
        <f>AE11-SUM(AA11:AC11)</f>
        <v>2266566</v>
      </c>
      <c r="AE11" s="133">
        <v>6474491</v>
      </c>
      <c r="AF11" s="37">
        <v>2204006</v>
      </c>
      <c r="AG11" s="38">
        <v>2055121</v>
      </c>
      <c r="AH11" s="65">
        <v>1952159</v>
      </c>
      <c r="AI11" s="48">
        <f>AJ11-SUM(AF11:AH11)</f>
        <v>2464614</v>
      </c>
      <c r="AJ11" s="133">
        <v>8675900</v>
      </c>
      <c r="AK11" s="429">
        <v>2499610</v>
      </c>
      <c r="AL11" s="334">
        <v>2784219</v>
      </c>
      <c r="AM11" s="65">
        <v>2792399</v>
      </c>
      <c r="AN11" s="48">
        <f>AO11-SUM(AK11:AM11)</f>
        <v>3246379</v>
      </c>
      <c r="AO11" s="133">
        <v>11322607</v>
      </c>
      <c r="AP11" s="429">
        <v>2594088</v>
      </c>
      <c r="AQ11" s="334">
        <v>2124806</v>
      </c>
      <c r="AR11" s="65">
        <v>2456364</v>
      </c>
      <c r="AS11" s="48">
        <f>AT11-SUM(AP11:AR11)</f>
        <v>3006942</v>
      </c>
      <c r="AT11" s="133">
        <v>10182200</v>
      </c>
      <c r="AU11" s="429">
        <v>2517447</v>
      </c>
      <c r="AV11" s="334">
        <v>2768179</v>
      </c>
      <c r="AW11" s="65">
        <v>3053409</v>
      </c>
      <c r="AX11" s="48">
        <f>AY11-SUM(AU11:AW11)</f>
        <v>3530238</v>
      </c>
      <c r="AY11" s="133">
        <v>11869273</v>
      </c>
      <c r="AZ11" s="114">
        <f>AZ295</f>
        <v>3162303</v>
      </c>
      <c r="BA11" s="48">
        <f>BA295</f>
        <v>3065735</v>
      </c>
      <c r="BB11" s="48">
        <f>BB295</f>
        <v>3119369</v>
      </c>
      <c r="BC11" s="48">
        <f>BC295</f>
        <v>2844258</v>
      </c>
      <c r="BD11" s="104">
        <f>SUM(AZ11:BC11)</f>
        <v>12191665</v>
      </c>
      <c r="BE11" s="114">
        <f>BE295</f>
        <v>1804759</v>
      </c>
      <c r="BF11" s="48">
        <f>BF295</f>
        <v>2127507</v>
      </c>
      <c r="BG11" s="48">
        <f>BG295</f>
        <v>1898418</v>
      </c>
      <c r="BH11" s="48">
        <f>BH295</f>
        <v>1930384</v>
      </c>
      <c r="BI11" s="104">
        <f>SUM(BE11:BH11)</f>
        <v>7761068</v>
      </c>
      <c r="BJ11" s="94">
        <f>BJ295</f>
        <v>1773945</v>
      </c>
      <c r="BK11" s="48">
        <f>BK295</f>
        <v>2133594</v>
      </c>
      <c r="BL11" s="48">
        <f>BL295</f>
        <v>2194413.86275115</v>
      </c>
      <c r="BM11" s="48">
        <f>BM295</f>
        <v>2290884.53523373</v>
      </c>
      <c r="BN11" s="104">
        <f>SUM(BJ11:BM11)</f>
        <v>8392837.397984881</v>
      </c>
      <c r="BO11" s="94">
        <f>BO295</f>
        <v>2309297.0824894402</v>
      </c>
      <c r="BP11" s="48">
        <f>BP295</f>
        <v>2286661.2564775399</v>
      </c>
      <c r="BQ11" s="48">
        <v>2906366</v>
      </c>
      <c r="BR11" s="48">
        <v>3791744</v>
      </c>
      <c r="BS11" s="104">
        <f>SUM(BO11:BR11)</f>
        <v>11294068.338966981</v>
      </c>
      <c r="BT11" s="94">
        <v>3288182.219913749</v>
      </c>
      <c r="BU11" s="48">
        <v>3082339.9721862767</v>
      </c>
      <c r="BV11" s="48">
        <v>3200355.0581094492</v>
      </c>
      <c r="BW11" s="48">
        <v>3135050.6062406744</v>
      </c>
      <c r="BX11" s="104">
        <f>SUM(BT11:BW11)</f>
        <v>12705927.85645015</v>
      </c>
      <c r="BY11" s="94">
        <v>3493907.8730937168</v>
      </c>
      <c r="BZ11" s="48">
        <v>3449972.8086494002</v>
      </c>
      <c r="CA11" s="48">
        <v>3536898.5405265279</v>
      </c>
      <c r="CB11" s="48">
        <v>3413850.2666419614</v>
      </c>
      <c r="CC11" s="104">
        <f>SUM(BY11:CB11)</f>
        <v>13894629.488911606</v>
      </c>
      <c r="CD11" s="94">
        <v>3571081.7922555394</v>
      </c>
      <c r="CE11" s="48">
        <v>3579394.13007044</v>
      </c>
      <c r="CF11" s="48">
        <v>3726047.9970154562</v>
      </c>
      <c r="CG11" s="48">
        <v>3669295.7369037173</v>
      </c>
      <c r="CH11" s="104">
        <f>SUM(CD11:CG11)</f>
        <v>14545819.656245153</v>
      </c>
      <c r="CI11" s="94">
        <v>3831630.1052711904</v>
      </c>
      <c r="CJ11" s="48">
        <v>3915001.7888247515</v>
      </c>
      <c r="CK11" s="48">
        <v>4017534.5640593097</v>
      </c>
      <c r="CL11" s="48">
        <v>3923079.1006850009</v>
      </c>
      <c r="CM11" s="104">
        <f>SUM(CI11:CL11)</f>
        <v>15687245.558840252</v>
      </c>
      <c r="CN11" s="94">
        <v>3988236.7073763735</v>
      </c>
      <c r="CO11" s="48">
        <v>4105685.6882915851</v>
      </c>
      <c r="CP11" s="48">
        <v>4202471.333838989</v>
      </c>
      <c r="CQ11" s="48">
        <v>4105213.0640964648</v>
      </c>
      <c r="CR11" s="104">
        <f>SUM(CN11:CQ11)</f>
        <v>16401606.793603413</v>
      </c>
      <c r="CS11" s="94">
        <v>4148514.4860120835</v>
      </c>
      <c r="CT11" s="48">
        <v>4270758.0281429011</v>
      </c>
      <c r="CU11" s="48">
        <v>4371475.5431291377</v>
      </c>
      <c r="CV11" s="48">
        <v>4285383.3138565756</v>
      </c>
      <c r="CW11" s="104">
        <f>SUM(CS11:CV11)</f>
        <v>17076131.3711407</v>
      </c>
      <c r="CX11" s="94">
        <v>4315203.2087341174</v>
      </c>
      <c r="CY11" s="48">
        <v>4442440.8798100986</v>
      </c>
      <c r="CZ11" s="48">
        <v>4547246.3052494042</v>
      </c>
      <c r="DA11" s="48">
        <v>4461616.8518250324</v>
      </c>
      <c r="DB11" s="104">
        <f>SUM(CX11:DA11)</f>
        <v>17766507.245618653</v>
      </c>
      <c r="DC11" s="48"/>
      <c r="DD11" s="48"/>
      <c r="DE11" s="48"/>
      <c r="DF11" s="48"/>
      <c r="DG11" s="48"/>
      <c r="DH11" s="48"/>
      <c r="DI11" s="48"/>
      <c r="DJ11" s="48"/>
      <c r="DK11" s="99"/>
      <c r="DL11" s="99"/>
      <c r="DM11" s="18"/>
    </row>
    <row r="12" spans="1:117">
      <c r="A12" s="15" t="s">
        <v>753</v>
      </c>
      <c r="B12" s="37">
        <v>781996</v>
      </c>
      <c r="C12" s="38">
        <v>307820</v>
      </c>
      <c r="D12" s="38">
        <v>247659</v>
      </c>
      <c r="E12" s="48">
        <f t="shared" si="0"/>
        <v>587027</v>
      </c>
      <c r="F12" s="133">
        <v>1924502</v>
      </c>
      <c r="G12" s="94">
        <f>1117924-H12</f>
        <v>778130</v>
      </c>
      <c r="H12" s="38">
        <v>339794</v>
      </c>
      <c r="I12" s="38">
        <v>316021</v>
      </c>
      <c r="J12" s="48">
        <f>K12-SUM(G12:I12)</f>
        <v>782262</v>
      </c>
      <c r="K12" s="133">
        <v>2216207</v>
      </c>
      <c r="L12" s="37">
        <v>787243</v>
      </c>
      <c r="M12" s="38">
        <v>317109</v>
      </c>
      <c r="N12" s="38">
        <v>252261</v>
      </c>
      <c r="O12" s="48">
        <f>P12-SUM(L12:N12)</f>
        <v>601586</v>
      </c>
      <c r="P12" s="133">
        <v>1958199</v>
      </c>
      <c r="Q12" s="37">
        <v>881022</v>
      </c>
      <c r="R12" s="38">
        <v>357271</v>
      </c>
      <c r="S12" s="38">
        <v>234066</v>
      </c>
      <c r="T12" s="48">
        <f>U12-SUM(Q12:S12)</f>
        <v>626704</v>
      </c>
      <c r="U12" s="133">
        <v>2099063</v>
      </c>
      <c r="V12" s="37">
        <v>913663</v>
      </c>
      <c r="W12" s="38">
        <v>374117</v>
      </c>
      <c r="X12" s="38">
        <v>270721</v>
      </c>
      <c r="Y12" s="48">
        <f>Z12-SUM(V12:X12)</f>
        <v>619121</v>
      </c>
      <c r="Z12" s="133">
        <v>2177622</v>
      </c>
      <c r="AA12" s="37">
        <v>754357</v>
      </c>
      <c r="AB12" s="38">
        <v>276601</v>
      </c>
      <c r="AC12" s="38">
        <v>214256</v>
      </c>
      <c r="AD12" s="48">
        <f>AE12-SUM(AA12:AC12)</f>
        <v>598222</v>
      </c>
      <c r="AE12" s="133">
        <v>1843436</v>
      </c>
      <c r="AF12" s="37">
        <v>1001399</v>
      </c>
      <c r="AG12" s="38">
        <v>342233</v>
      </c>
      <c r="AH12" s="65">
        <v>301730</v>
      </c>
      <c r="AI12" s="48">
        <f>AJ12-SUM(AF12:AH12)</f>
        <v>484438</v>
      </c>
      <c r="AJ12" s="133">
        <f>2038300+91500</f>
        <v>2129800</v>
      </c>
      <c r="AK12" s="429">
        <v>790470</v>
      </c>
      <c r="AL12" s="334">
        <v>326661</v>
      </c>
      <c r="AM12" s="65">
        <v>277539</v>
      </c>
      <c r="AN12" s="48">
        <f>AO12-SUM(AK12:AM12)</f>
        <v>226664</v>
      </c>
      <c r="AO12" s="133">
        <v>1621334</v>
      </c>
      <c r="AP12" s="429">
        <v>517764</v>
      </c>
      <c r="AQ12" s="334">
        <v>221183</v>
      </c>
      <c r="AR12" s="65">
        <v>204930</v>
      </c>
      <c r="AS12" s="48">
        <f>AT12-SUM(AP12:AR12)</f>
        <v>432723</v>
      </c>
      <c r="AT12" s="133">
        <f>1252000+88800+35800</f>
        <v>1376600</v>
      </c>
      <c r="AU12" s="429">
        <v>635933</v>
      </c>
      <c r="AV12" s="334">
        <v>311608</v>
      </c>
      <c r="AW12" s="65">
        <v>219724</v>
      </c>
      <c r="AX12" s="48">
        <f>AY12-SUM(AU12:AW12)</f>
        <v>522687</v>
      </c>
      <c r="AY12" s="133">
        <v>1689952</v>
      </c>
      <c r="AZ12" s="114">
        <f>AZ330</f>
        <v>0</v>
      </c>
      <c r="BA12" s="48">
        <f>BA330</f>
        <v>0</v>
      </c>
      <c r="BB12" s="48">
        <f>BB330</f>
        <v>0</v>
      </c>
      <c r="BC12" s="48">
        <f>BC330</f>
        <v>0</v>
      </c>
      <c r="BD12" s="104">
        <f>SUM(AZ12:BC12)</f>
        <v>0</v>
      </c>
      <c r="BE12" s="114">
        <f>BE330</f>
        <v>0</v>
      </c>
      <c r="BF12" s="48">
        <f>BF330</f>
        <v>0</v>
      </c>
      <c r="BG12" s="48">
        <f>BG330</f>
        <v>0</v>
      </c>
      <c r="BH12" s="48">
        <f>BH330</f>
        <v>0</v>
      </c>
      <c r="BI12" s="104">
        <f>SUM(BE12:BH12)</f>
        <v>0</v>
      </c>
      <c r="BJ12" s="94">
        <f>BJ330</f>
        <v>0</v>
      </c>
      <c r="BK12" s="48">
        <f>BK330</f>
        <v>0</v>
      </c>
      <c r="BL12" s="48">
        <f>BL301</f>
        <v>5.4632510446508409E-2</v>
      </c>
      <c r="BM12" s="48">
        <f>BM330</f>
        <v>0</v>
      </c>
      <c r="BN12" s="104">
        <f>SUM(BJ12:BM12)</f>
        <v>5.4632510446508409E-2</v>
      </c>
      <c r="BO12" s="94">
        <f>BO330</f>
        <v>0</v>
      </c>
      <c r="BP12" s="48">
        <f>BP330</f>
        <v>0</v>
      </c>
      <c r="BQ12" s="48">
        <v>0</v>
      </c>
      <c r="BR12" s="48">
        <v>0</v>
      </c>
      <c r="BS12" s="104">
        <f>SUM(BO12:BR12)</f>
        <v>0</v>
      </c>
      <c r="BT12" s="94">
        <v>0</v>
      </c>
      <c r="BU12" s="48">
        <v>0</v>
      </c>
      <c r="BV12" s="48">
        <v>0</v>
      </c>
      <c r="BW12" s="48">
        <v>0</v>
      </c>
      <c r="BX12" s="104">
        <f>SUM(BT12:BW12)</f>
        <v>0</v>
      </c>
      <c r="BY12" s="94">
        <v>0</v>
      </c>
      <c r="BZ12" s="48">
        <v>0</v>
      </c>
      <c r="CA12" s="48">
        <v>0</v>
      </c>
      <c r="CB12" s="48">
        <v>0</v>
      </c>
      <c r="CC12" s="104">
        <f>SUM(BY12:CB12)</f>
        <v>0</v>
      </c>
      <c r="CD12" s="94">
        <v>0</v>
      </c>
      <c r="CE12" s="48">
        <v>0</v>
      </c>
      <c r="CF12" s="48">
        <v>0</v>
      </c>
      <c r="CG12" s="48">
        <v>0</v>
      </c>
      <c r="CH12" s="104">
        <f>SUM(CD12:CG12)</f>
        <v>0</v>
      </c>
      <c r="CI12" s="94">
        <v>0</v>
      </c>
      <c r="CJ12" s="48">
        <v>0</v>
      </c>
      <c r="CK12" s="48">
        <v>0</v>
      </c>
      <c r="CL12" s="48">
        <v>0</v>
      </c>
      <c r="CM12" s="104">
        <f>SUM(CI12:CL12)</f>
        <v>0</v>
      </c>
      <c r="CN12" s="94">
        <v>0</v>
      </c>
      <c r="CO12" s="48">
        <v>0</v>
      </c>
      <c r="CP12" s="48">
        <v>0</v>
      </c>
      <c r="CQ12" s="48">
        <v>0</v>
      </c>
      <c r="CR12" s="104">
        <f>SUM(CN12:CQ12)</f>
        <v>0</v>
      </c>
      <c r="CS12" s="94">
        <v>0</v>
      </c>
      <c r="CT12" s="48">
        <v>0</v>
      </c>
      <c r="CU12" s="48">
        <v>0</v>
      </c>
      <c r="CV12" s="48">
        <v>0</v>
      </c>
      <c r="CW12" s="104">
        <f>SUM(CS12:CV12)</f>
        <v>0</v>
      </c>
      <c r="CX12" s="94">
        <v>0</v>
      </c>
      <c r="CY12" s="48">
        <v>0</v>
      </c>
      <c r="CZ12" s="48">
        <v>0</v>
      </c>
      <c r="DA12" s="48">
        <v>0</v>
      </c>
      <c r="DB12" s="104">
        <f>SUM(CX12:DA12)</f>
        <v>0</v>
      </c>
      <c r="DC12" s="48"/>
      <c r="DD12" s="48"/>
      <c r="DE12" s="48"/>
      <c r="DF12" s="48"/>
      <c r="DG12" s="48"/>
      <c r="DH12" s="48"/>
      <c r="DI12" s="48"/>
      <c r="DJ12" s="48"/>
      <c r="DK12" s="99"/>
      <c r="DL12" s="99"/>
      <c r="DM12" s="18"/>
    </row>
    <row r="13" spans="1:117">
      <c r="A13" s="15" t="s">
        <v>754</v>
      </c>
      <c r="B13" s="37">
        <v>110548</v>
      </c>
      <c r="C13" s="38">
        <v>61173</v>
      </c>
      <c r="D13" s="38">
        <v>1108058</v>
      </c>
      <c r="E13" s="48">
        <f t="shared" si="0"/>
        <v>1555513</v>
      </c>
      <c r="F13" s="133">
        <v>2835292</v>
      </c>
      <c r="G13" s="94">
        <f>3297402-H13</f>
        <v>1751456</v>
      </c>
      <c r="H13" s="38">
        <v>1545946</v>
      </c>
      <c r="I13" s="38">
        <v>2017736</v>
      </c>
      <c r="J13" s="48">
        <f>K13-SUM(G13:I13)</f>
        <v>3043613</v>
      </c>
      <c r="K13" s="133">
        <v>8358751</v>
      </c>
      <c r="L13" s="37">
        <v>2315215</v>
      </c>
      <c r="M13" s="38">
        <v>1194779</v>
      </c>
      <c r="N13" s="38">
        <v>1394259</v>
      </c>
      <c r="O13" s="48">
        <f>P13-SUM(L13:N13)</f>
        <v>1431554</v>
      </c>
      <c r="P13" s="133">
        <v>6335807</v>
      </c>
      <c r="Q13" s="37">
        <v>2111706</v>
      </c>
      <c r="R13" s="38">
        <v>1417470</v>
      </c>
      <c r="S13" s="38">
        <v>1399154</v>
      </c>
      <c r="T13" s="48">
        <f>U13-SUM(Q13:S13)</f>
        <v>1701073</v>
      </c>
      <c r="U13" s="133">
        <v>6629403</v>
      </c>
      <c r="V13" s="37">
        <v>2343803</v>
      </c>
      <c r="W13" s="38">
        <v>2025664</v>
      </c>
      <c r="X13" s="38">
        <v>2038447</v>
      </c>
      <c r="Y13" s="48">
        <f>Z13-SUM(V13:X13)</f>
        <v>1177889</v>
      </c>
      <c r="Z13" s="133">
        <v>7585803</v>
      </c>
      <c r="AA13" s="37">
        <v>1113394</v>
      </c>
      <c r="AB13" s="38">
        <v>727111</v>
      </c>
      <c r="AC13" s="38">
        <v>727662</v>
      </c>
      <c r="AD13" s="48">
        <f>AE13-SUM(AA13:AC13)</f>
        <v>1027351</v>
      </c>
      <c r="AE13" s="133">
        <v>3595518</v>
      </c>
      <c r="AF13" s="37">
        <v>1193834</v>
      </c>
      <c r="AG13" s="38">
        <v>655741</v>
      </c>
      <c r="AH13" s="65">
        <v>688293</v>
      </c>
      <c r="AI13" s="48">
        <f>AJ13-SUM(AF13:AH13)</f>
        <v>763332</v>
      </c>
      <c r="AJ13" s="133">
        <v>3301200</v>
      </c>
      <c r="AK13" s="429">
        <v>891739</v>
      </c>
      <c r="AL13" s="334">
        <v>616029</v>
      </c>
      <c r="AM13" s="65">
        <v>524667</v>
      </c>
      <c r="AN13" s="48">
        <f>AO13-SUM(AK13:AM13)</f>
        <v>744782</v>
      </c>
      <c r="AO13" s="133">
        <v>2777217</v>
      </c>
      <c r="AP13" s="429">
        <v>460808</v>
      </c>
      <c r="AQ13" s="334">
        <v>268925</v>
      </c>
      <c r="AR13" s="65">
        <v>366955</v>
      </c>
      <c r="AS13" s="48">
        <f>AT13-SUM(AP13:AR13)</f>
        <v>429912</v>
      </c>
      <c r="AT13" s="133">
        <v>1526600</v>
      </c>
      <c r="AU13" s="429">
        <v>547580</v>
      </c>
      <c r="AV13" s="334">
        <v>410925</v>
      </c>
      <c r="AW13" s="65">
        <v>298146</v>
      </c>
      <c r="AX13" s="48">
        <f>AY13-SUM(AU13:AW13)</f>
        <v>320911</v>
      </c>
      <c r="AY13" s="133">
        <v>1577562</v>
      </c>
      <c r="AZ13" s="114">
        <f>AZ396</f>
        <v>0</v>
      </c>
      <c r="BA13" s="48">
        <f>BA396</f>
        <v>0</v>
      </c>
      <c r="BB13" s="48">
        <f>BB396</f>
        <v>0</v>
      </c>
      <c r="BC13" s="48">
        <f>BC396</f>
        <v>0</v>
      </c>
      <c r="BD13" s="104">
        <f>SUM(AZ13:BC13)</f>
        <v>0</v>
      </c>
      <c r="BE13" s="114">
        <f>BE396</f>
        <v>0</v>
      </c>
      <c r="BF13" s="48">
        <f>BF396</f>
        <v>0</v>
      </c>
      <c r="BG13" s="48">
        <f>BG396</f>
        <v>0</v>
      </c>
      <c r="BH13" s="48">
        <f>BH396</f>
        <v>0</v>
      </c>
      <c r="BI13" s="104">
        <f>SUM(BE13:BH13)</f>
        <v>0</v>
      </c>
      <c r="BJ13" s="94">
        <f>BJ396</f>
        <v>0</v>
      </c>
      <c r="BK13" s="48">
        <f>BK396</f>
        <v>0</v>
      </c>
      <c r="BL13" s="48">
        <f>BL367</f>
        <v>0</v>
      </c>
      <c r="BM13" s="48">
        <f>BM396</f>
        <v>0</v>
      </c>
      <c r="BN13" s="104">
        <f>SUM(BJ13:BM13)</f>
        <v>0</v>
      </c>
      <c r="BO13" s="94">
        <f>BO396</f>
        <v>0</v>
      </c>
      <c r="BP13" s="48">
        <f>BP396</f>
        <v>0</v>
      </c>
      <c r="BQ13" s="48">
        <v>0</v>
      </c>
      <c r="BR13" s="48">
        <v>0</v>
      </c>
      <c r="BS13" s="104">
        <f>SUM(BO13:BR13)</f>
        <v>0</v>
      </c>
      <c r="BT13" s="94">
        <v>0</v>
      </c>
      <c r="BU13" s="48">
        <v>0</v>
      </c>
      <c r="BV13" s="48">
        <v>0</v>
      </c>
      <c r="BW13" s="48">
        <v>0</v>
      </c>
      <c r="BX13" s="104">
        <f>SUM(BT13:BW13)</f>
        <v>0</v>
      </c>
      <c r="BY13" s="94">
        <v>0</v>
      </c>
      <c r="BZ13" s="48">
        <v>0</v>
      </c>
      <c r="CA13" s="48">
        <v>0</v>
      </c>
      <c r="CB13" s="48">
        <v>0</v>
      </c>
      <c r="CC13" s="104">
        <f>SUM(BY13:CB13)</f>
        <v>0</v>
      </c>
      <c r="CD13" s="94">
        <v>0</v>
      </c>
      <c r="CE13" s="48">
        <v>0</v>
      </c>
      <c r="CF13" s="48">
        <v>0</v>
      </c>
      <c r="CG13" s="48">
        <v>0</v>
      </c>
      <c r="CH13" s="104">
        <f>SUM(CD13:CG13)</f>
        <v>0</v>
      </c>
      <c r="CI13" s="94">
        <v>0</v>
      </c>
      <c r="CJ13" s="48">
        <v>0</v>
      </c>
      <c r="CK13" s="48">
        <v>0</v>
      </c>
      <c r="CL13" s="48">
        <v>0</v>
      </c>
      <c r="CM13" s="104">
        <f>SUM(CI13:CL13)</f>
        <v>0</v>
      </c>
      <c r="CN13" s="94">
        <v>0</v>
      </c>
      <c r="CO13" s="48">
        <v>0</v>
      </c>
      <c r="CP13" s="48">
        <v>0</v>
      </c>
      <c r="CQ13" s="48">
        <v>0</v>
      </c>
      <c r="CR13" s="104">
        <f>SUM(CN13:CQ13)</f>
        <v>0</v>
      </c>
      <c r="CS13" s="94">
        <v>0</v>
      </c>
      <c r="CT13" s="48">
        <v>0</v>
      </c>
      <c r="CU13" s="48">
        <v>0</v>
      </c>
      <c r="CV13" s="48">
        <v>0</v>
      </c>
      <c r="CW13" s="104">
        <f>SUM(CS13:CV13)</f>
        <v>0</v>
      </c>
      <c r="CX13" s="94">
        <v>0</v>
      </c>
      <c r="CY13" s="48">
        <v>0</v>
      </c>
      <c r="CZ13" s="48">
        <v>0</v>
      </c>
      <c r="DA13" s="48">
        <v>0</v>
      </c>
      <c r="DB13" s="104">
        <f>SUM(CX13:DA13)</f>
        <v>0</v>
      </c>
      <c r="DC13" s="48"/>
      <c r="DD13" s="48"/>
      <c r="DE13" s="48"/>
      <c r="DF13" s="48"/>
      <c r="DG13" s="48"/>
      <c r="DH13" s="48"/>
      <c r="DI13" s="48"/>
      <c r="DJ13" s="48"/>
      <c r="DK13" s="99"/>
      <c r="DL13" s="99"/>
      <c r="DM13" s="18"/>
    </row>
    <row r="14" spans="1:117">
      <c r="A14" s="15" t="s">
        <v>286</v>
      </c>
      <c r="B14" s="37">
        <v>-378192</v>
      </c>
      <c r="C14" s="38">
        <v>-249987</v>
      </c>
      <c r="D14" s="38">
        <v>-404157</v>
      </c>
      <c r="E14" s="48">
        <f t="shared" si="0"/>
        <v>-704847</v>
      </c>
      <c r="F14" s="172">
        <v>-1737183</v>
      </c>
      <c r="G14" s="94">
        <f>-524237-H14</f>
        <v>-274738</v>
      </c>
      <c r="H14" s="38">
        <v>-249499</v>
      </c>
      <c r="I14" s="38">
        <v>-550506</v>
      </c>
      <c r="J14" s="48">
        <f>K14-SUM(G14:I14)</f>
        <v>-1158584</v>
      </c>
      <c r="K14" s="172">
        <v>-2233327</v>
      </c>
      <c r="L14" s="37">
        <v>-424584</v>
      </c>
      <c r="M14" s="38">
        <v>-239332</v>
      </c>
      <c r="N14" s="38">
        <v>-220226</v>
      </c>
      <c r="O14" s="48">
        <f>P14-SUM(L14:N14)</f>
        <v>-227786</v>
      </c>
      <c r="P14" s="172">
        <v>-1111928</v>
      </c>
      <c r="Q14" s="37">
        <v>-355194</v>
      </c>
      <c r="R14" s="38">
        <v>-273814</v>
      </c>
      <c r="S14" s="38">
        <v>-233480</v>
      </c>
      <c r="T14" s="48">
        <f>U14-SUM(Q14:S14)</f>
        <v>-220122</v>
      </c>
      <c r="U14" s="172">
        <v>-1082610</v>
      </c>
      <c r="V14" s="37">
        <v>-414425</v>
      </c>
      <c r="W14" s="38">
        <v>-370807</v>
      </c>
      <c r="X14" s="38">
        <v>-311029</v>
      </c>
      <c r="Y14" s="48">
        <f>Z14-SUM(V14:X14)</f>
        <v>-229937</v>
      </c>
      <c r="Z14" s="172">
        <v>-1326198</v>
      </c>
      <c r="AA14" s="37">
        <v>-328789</v>
      </c>
      <c r="AB14" s="38">
        <v>-173142</v>
      </c>
      <c r="AC14" s="38">
        <v>-137185</v>
      </c>
      <c r="AD14" s="48">
        <f>AE14-SUM(AA14:AC14)</f>
        <v>-162678</v>
      </c>
      <c r="AE14" s="172">
        <v>-801794</v>
      </c>
      <c r="AF14" s="37">
        <v>-475272</v>
      </c>
      <c r="AG14" s="38">
        <v>-245964</v>
      </c>
      <c r="AH14" s="65">
        <v>521</v>
      </c>
      <c r="AI14" s="48">
        <f>AJ14-SUM(AF14:AH14)</f>
        <v>-356185</v>
      </c>
      <c r="AJ14" s="172">
        <f>13030000-AJ11-AJ12-AJ13</f>
        <v>-1076900</v>
      </c>
      <c r="AK14" s="429">
        <v>-314931</v>
      </c>
      <c r="AL14" s="334">
        <v>-212433</v>
      </c>
      <c r="AM14" s="65">
        <v>586</v>
      </c>
      <c r="AN14" s="48">
        <f>AO14-SUM(AK14:AM14)</f>
        <v>-146788</v>
      </c>
      <c r="AO14" s="172">
        <f>15047592-AO13-AO12-AO11</f>
        <v>-673566</v>
      </c>
      <c r="AP14" s="429">
        <v>-158060</v>
      </c>
      <c r="AQ14" s="334">
        <v>-85654</v>
      </c>
      <c r="AR14" s="65">
        <v>526</v>
      </c>
      <c r="AS14" s="48">
        <f>AT14-SUM(AP14:AR14)</f>
        <v>-209653</v>
      </c>
      <c r="AT14" s="104">
        <f>AT15-AT11-AT12-AT13</f>
        <v>-452841</v>
      </c>
      <c r="AU14" s="429">
        <v>-159515</v>
      </c>
      <c r="AV14" s="334">
        <f>-141476+113800</f>
        <v>-27676</v>
      </c>
      <c r="AW14" s="65">
        <f>646+16400</f>
        <v>17046</v>
      </c>
      <c r="AX14" s="48">
        <f>AY14-SUM(AU14:AW14)</f>
        <v>-233725</v>
      </c>
      <c r="AY14" s="104">
        <f>AY15-AY11-AY12-AY13</f>
        <v>-403870</v>
      </c>
      <c r="AZ14" s="114">
        <f>AZ15-AZ11</f>
        <v>993</v>
      </c>
      <c r="BA14" s="99">
        <f>BA15-BA11</f>
        <v>1147</v>
      </c>
      <c r="BB14" s="99">
        <f>BB15-BB11</f>
        <v>776</v>
      </c>
      <c r="BC14" s="99">
        <f>BC15-BC11</f>
        <v>510</v>
      </c>
      <c r="BD14" s="104">
        <f>SUM(AZ14:BC14)</f>
        <v>3426</v>
      </c>
      <c r="BE14" s="114">
        <f>BE15-BE11</f>
        <v>547</v>
      </c>
      <c r="BF14" s="99">
        <f>BF15-BF11</f>
        <v>545</v>
      </c>
      <c r="BG14" s="99">
        <f>BG15-BG11</f>
        <v>528</v>
      </c>
      <c r="BH14" s="48">
        <f>BH429</f>
        <v>518</v>
      </c>
      <c r="BI14" s="104">
        <f>SUM(BE14:BH14)</f>
        <v>2138</v>
      </c>
      <c r="BJ14" s="48">
        <f>BJ429</f>
        <v>514</v>
      </c>
      <c r="BK14" s="48">
        <f>BK429</f>
        <v>513</v>
      </c>
      <c r="BL14" s="48">
        <f>BL429</f>
        <v>516</v>
      </c>
      <c r="BM14" s="48">
        <f>BM429</f>
        <v>932</v>
      </c>
      <c r="BN14" s="104">
        <f>SUM(BJ14:BM14)</f>
        <v>2475</v>
      </c>
      <c r="BO14" s="48">
        <f>BO429</f>
        <v>538</v>
      </c>
      <c r="BP14" s="48">
        <f>BP429</f>
        <v>530</v>
      </c>
      <c r="BQ14" s="48">
        <f>BQ429</f>
        <v>542</v>
      </c>
      <c r="BR14" s="48">
        <f>BR429</f>
        <v>576</v>
      </c>
      <c r="BS14" s="104">
        <f>SUM(BO14:BR14)</f>
        <v>2186</v>
      </c>
      <c r="BT14" s="48">
        <v>0</v>
      </c>
      <c r="BU14" s="48">
        <v>0</v>
      </c>
      <c r="BV14" s="48">
        <v>0</v>
      </c>
      <c r="BW14" s="48">
        <v>0</v>
      </c>
      <c r="BX14" s="104">
        <f>SUM(BT14:BW14)</f>
        <v>0</v>
      </c>
      <c r="BY14" s="48">
        <v>0</v>
      </c>
      <c r="BZ14" s="48">
        <v>0</v>
      </c>
      <c r="CA14" s="48">
        <v>0</v>
      </c>
      <c r="CB14" s="48">
        <v>0</v>
      </c>
      <c r="CC14" s="104">
        <f>SUM(BY14:CB14)</f>
        <v>0</v>
      </c>
      <c r="CD14" s="48">
        <v>0</v>
      </c>
      <c r="CE14" s="48">
        <v>0</v>
      </c>
      <c r="CF14" s="48">
        <v>0</v>
      </c>
      <c r="CG14" s="48">
        <v>0</v>
      </c>
      <c r="CH14" s="104">
        <f>SUM(CD14:CG14)</f>
        <v>0</v>
      </c>
      <c r="CI14" s="48">
        <v>0</v>
      </c>
      <c r="CJ14" s="48">
        <v>0</v>
      </c>
      <c r="CK14" s="48">
        <v>0</v>
      </c>
      <c r="CL14" s="48">
        <v>0</v>
      </c>
      <c r="CM14" s="104">
        <f>SUM(CI14:CL14)</f>
        <v>0</v>
      </c>
      <c r="CN14" s="48">
        <v>0</v>
      </c>
      <c r="CO14" s="48">
        <v>0</v>
      </c>
      <c r="CP14" s="48">
        <v>0</v>
      </c>
      <c r="CQ14" s="48">
        <v>0</v>
      </c>
      <c r="CR14" s="104">
        <f>SUM(CN14:CQ14)</f>
        <v>0</v>
      </c>
      <c r="CS14" s="48">
        <v>0</v>
      </c>
      <c r="CT14" s="48">
        <v>0</v>
      </c>
      <c r="CU14" s="48">
        <v>0</v>
      </c>
      <c r="CV14" s="48">
        <v>0</v>
      </c>
      <c r="CW14" s="104">
        <f>SUM(CS14:CV14)</f>
        <v>0</v>
      </c>
      <c r="CX14" s="48">
        <v>0</v>
      </c>
      <c r="CY14" s="48">
        <v>0</v>
      </c>
      <c r="CZ14" s="48">
        <v>0</v>
      </c>
      <c r="DA14" s="48">
        <v>0</v>
      </c>
      <c r="DB14" s="104">
        <f>SUM(CX14:DA14)</f>
        <v>0</v>
      </c>
      <c r="DC14" s="48"/>
      <c r="DD14" s="48"/>
      <c r="DE14" s="48"/>
      <c r="DF14" s="48"/>
      <c r="DG14" s="48"/>
      <c r="DH14" s="48"/>
      <c r="DI14" s="48"/>
      <c r="DJ14" s="48"/>
      <c r="DK14" s="99"/>
      <c r="DL14" s="99"/>
      <c r="DM14" s="18"/>
    </row>
    <row r="15" spans="1:117">
      <c r="A15" s="45" t="s">
        <v>684</v>
      </c>
      <c r="B15" s="155">
        <f t="shared" ref="B15:Z15" si="1">SUM(B11:B14)</f>
        <v>1030575</v>
      </c>
      <c r="C15" s="163">
        <f t="shared" si="1"/>
        <v>632139</v>
      </c>
      <c r="D15" s="4">
        <f t="shared" si="1"/>
        <v>1664411</v>
      </c>
      <c r="E15" s="163">
        <f t="shared" si="1"/>
        <v>2458403</v>
      </c>
      <c r="F15" s="215">
        <f t="shared" si="1"/>
        <v>5785528</v>
      </c>
      <c r="G15" s="155">
        <f t="shared" si="1"/>
        <v>2707040</v>
      </c>
      <c r="H15" s="163">
        <f t="shared" si="1"/>
        <v>2080790</v>
      </c>
      <c r="I15" s="4">
        <f t="shared" si="1"/>
        <v>3192207</v>
      </c>
      <c r="J15" s="163">
        <f t="shared" si="1"/>
        <v>4696193</v>
      </c>
      <c r="K15" s="215">
        <f t="shared" si="1"/>
        <v>12676230</v>
      </c>
      <c r="L15" s="155">
        <f t="shared" si="1"/>
        <v>3847704</v>
      </c>
      <c r="M15" s="163">
        <f t="shared" si="1"/>
        <v>2431906</v>
      </c>
      <c r="N15" s="4">
        <f t="shared" si="1"/>
        <v>2644835</v>
      </c>
      <c r="O15" s="163">
        <f t="shared" si="1"/>
        <v>2995881</v>
      </c>
      <c r="P15" s="215">
        <f t="shared" si="1"/>
        <v>11920326</v>
      </c>
      <c r="Q15" s="155">
        <f t="shared" si="1"/>
        <v>3806208</v>
      </c>
      <c r="R15" s="163">
        <f t="shared" si="1"/>
        <v>2876241</v>
      </c>
      <c r="S15" s="4">
        <f t="shared" si="1"/>
        <v>2809997</v>
      </c>
      <c r="T15" s="163">
        <f t="shared" si="1"/>
        <v>3984968</v>
      </c>
      <c r="U15" s="215">
        <f t="shared" si="1"/>
        <v>13477414</v>
      </c>
      <c r="V15" s="155">
        <f t="shared" si="1"/>
        <v>4902076</v>
      </c>
      <c r="W15" s="163">
        <f t="shared" si="1"/>
        <v>4172866</v>
      </c>
      <c r="X15" s="4">
        <f t="shared" si="1"/>
        <v>4239246</v>
      </c>
      <c r="Y15" s="163">
        <f t="shared" si="1"/>
        <v>2843245</v>
      </c>
      <c r="Z15" s="215">
        <f t="shared" si="1"/>
        <v>16157433</v>
      </c>
      <c r="AA15" s="155">
        <f t="shared" ref="AA15:AI15" si="2">SUM(AA11:AA14)</f>
        <v>2789827</v>
      </c>
      <c r="AB15" s="163">
        <f t="shared" si="2"/>
        <v>2227627</v>
      </c>
      <c r="AC15" s="163">
        <f t="shared" si="2"/>
        <v>2364736</v>
      </c>
      <c r="AD15" s="163">
        <f t="shared" si="2"/>
        <v>3729461</v>
      </c>
      <c r="AE15" s="215">
        <f t="shared" si="2"/>
        <v>11111651</v>
      </c>
      <c r="AF15" s="346">
        <f t="shared" si="2"/>
        <v>3923967</v>
      </c>
      <c r="AG15" s="368">
        <f t="shared" si="2"/>
        <v>2807131</v>
      </c>
      <c r="AH15" s="368">
        <f t="shared" si="2"/>
        <v>2942703</v>
      </c>
      <c r="AI15" s="368">
        <f t="shared" si="2"/>
        <v>3356199</v>
      </c>
      <c r="AJ15" s="215">
        <f>SUM(AF15:AI15)</f>
        <v>13030000</v>
      </c>
      <c r="AK15" s="163">
        <f>SUM(AK11:AK14)</f>
        <v>3866888</v>
      </c>
      <c r="AL15" s="447">
        <f>SUM(AL11:AL14)</f>
        <v>3514476</v>
      </c>
      <c r="AM15" s="447">
        <f>SUM(AM11:AM14)</f>
        <v>3595191</v>
      </c>
      <c r="AN15" s="447">
        <f>SUM(AN11:AN14)</f>
        <v>4071037</v>
      </c>
      <c r="AO15" s="215">
        <f>SUM(AK15:AN15)</f>
        <v>15047592</v>
      </c>
      <c r="AP15" s="163">
        <f>SUM(AP11:AP14)</f>
        <v>3414600</v>
      </c>
      <c r="AQ15" s="447">
        <f>SUM(AQ11:AQ14)</f>
        <v>2529260</v>
      </c>
      <c r="AR15" s="447">
        <f>SUM(AR11:AR14)</f>
        <v>3028775</v>
      </c>
      <c r="AS15" s="447">
        <f>SUM(AS11:AS14)</f>
        <v>3659924</v>
      </c>
      <c r="AT15" s="175">
        <v>12632559</v>
      </c>
      <c r="AU15" s="163">
        <f>SUM(AU11:AU14)</f>
        <v>3541445</v>
      </c>
      <c r="AV15" s="447">
        <f>SUM(AV11:AV14)</f>
        <v>3463036</v>
      </c>
      <c r="AW15" s="447">
        <f>SUM(AW11:AW14)</f>
        <v>3588325</v>
      </c>
      <c r="AX15" s="447">
        <f>SUM(AX11:AX14)</f>
        <v>4140111</v>
      </c>
      <c r="AY15" s="175">
        <v>14732917</v>
      </c>
      <c r="AZ15" s="182">
        <v>3163296</v>
      </c>
      <c r="BA15" s="39">
        <v>3066882</v>
      </c>
      <c r="BB15" s="39">
        <v>3120145</v>
      </c>
      <c r="BC15" s="39">
        <v>2844768</v>
      </c>
      <c r="BD15" s="215">
        <f>SUM(AZ15:BC15)</f>
        <v>12195091</v>
      </c>
      <c r="BE15" s="182">
        <v>1805306</v>
      </c>
      <c r="BF15" s="182">
        <v>2128052</v>
      </c>
      <c r="BG15" s="182">
        <v>1898946</v>
      </c>
      <c r="BH15" s="39">
        <v>1930902</v>
      </c>
      <c r="BI15" s="592">
        <f>SUM(BE15:BH15)</f>
        <v>7763206</v>
      </c>
      <c r="BJ15" s="182">
        <v>1774459</v>
      </c>
      <c r="BK15" s="182">
        <v>2134107</v>
      </c>
      <c r="BL15" s="182">
        <v>2357907</v>
      </c>
      <c r="BM15" s="182">
        <v>2654461</v>
      </c>
      <c r="BN15" s="215">
        <f>SUM(BJ15:BM15)</f>
        <v>8920934</v>
      </c>
      <c r="BO15" s="182">
        <v>2749611</v>
      </c>
      <c r="BP15" s="182">
        <v>2725772</v>
      </c>
      <c r="BQ15" s="182">
        <v>2906366</v>
      </c>
      <c r="BR15" s="182">
        <v>3792158</v>
      </c>
      <c r="BS15" s="215">
        <f>SUM(BO15:BR15)</f>
        <v>12173907</v>
      </c>
      <c r="BT15" s="163">
        <f>SUM(BT11:BT14)</f>
        <v>3288182.219913749</v>
      </c>
      <c r="BU15" s="163">
        <f>SUM(BU11:BU14)</f>
        <v>3082339.9721862767</v>
      </c>
      <c r="BV15" s="163">
        <f>SUM(BV11:BV14)</f>
        <v>3200355.0581094492</v>
      </c>
      <c r="BW15" s="163">
        <f>SUM(BW11:BW14)</f>
        <v>3135050.6062406744</v>
      </c>
      <c r="BX15" s="215">
        <f>SUM(BT15:BW15)</f>
        <v>12705927.85645015</v>
      </c>
      <c r="BY15" s="163">
        <f>SUM(BY11:BY14)</f>
        <v>3493907.8730937168</v>
      </c>
      <c r="BZ15" s="163">
        <f>SUM(BZ11:BZ14)</f>
        <v>3449972.8086494002</v>
      </c>
      <c r="CA15" s="163">
        <f>SUM(CA11:CA14)</f>
        <v>3536898.5405265279</v>
      </c>
      <c r="CB15" s="163">
        <f>SUM(CB11:CB14)</f>
        <v>3413850.2666419614</v>
      </c>
      <c r="CC15" s="215">
        <f>SUM(BY15:CB15)</f>
        <v>13894629.488911606</v>
      </c>
      <c r="CD15" s="163">
        <f>SUM(CD11:CD14)</f>
        <v>3571081.7922555394</v>
      </c>
      <c r="CE15" s="163">
        <f>SUM(CE11:CE14)</f>
        <v>3579394.13007044</v>
      </c>
      <c r="CF15" s="163">
        <f>SUM(CF11:CF14)</f>
        <v>3726047.9970154562</v>
      </c>
      <c r="CG15" s="163">
        <f>SUM(CG11:CG14)</f>
        <v>3669295.7369037173</v>
      </c>
      <c r="CH15" s="215">
        <f>SUM(CD15:CG15)</f>
        <v>14545819.656245153</v>
      </c>
      <c r="CI15" s="163">
        <f>SUM(CI11:CI14)</f>
        <v>3831630.1052711904</v>
      </c>
      <c r="CJ15" s="163">
        <f>SUM(CJ11:CJ14)</f>
        <v>3915001.7888247515</v>
      </c>
      <c r="CK15" s="163">
        <f>SUM(CK11:CK14)</f>
        <v>4017534.5640593097</v>
      </c>
      <c r="CL15" s="163">
        <f>SUM(CL11:CL14)</f>
        <v>3923079.1006850009</v>
      </c>
      <c r="CM15" s="215">
        <f>SUM(CI15:CL15)</f>
        <v>15687245.558840252</v>
      </c>
      <c r="CN15" s="163">
        <f>SUM(CN11:CN14)</f>
        <v>3988236.7073763735</v>
      </c>
      <c r="CO15" s="163">
        <f>SUM(CO11:CO14)</f>
        <v>4105685.6882915851</v>
      </c>
      <c r="CP15" s="163">
        <f>SUM(CP11:CP14)</f>
        <v>4202471.333838989</v>
      </c>
      <c r="CQ15" s="163">
        <f>SUM(CQ11:CQ14)</f>
        <v>4105213.0640964648</v>
      </c>
      <c r="CR15" s="215">
        <f>SUM(CN15:CQ15)</f>
        <v>16401606.793603413</v>
      </c>
      <c r="CS15" s="163">
        <f>SUM(CS11:CS14)</f>
        <v>4148514.4860120835</v>
      </c>
      <c r="CT15" s="163">
        <f>SUM(CT11:CT14)</f>
        <v>4270758.0281429011</v>
      </c>
      <c r="CU15" s="163">
        <f>SUM(CU11:CU14)</f>
        <v>4371475.5431291377</v>
      </c>
      <c r="CV15" s="163">
        <f>SUM(CV11:CV14)</f>
        <v>4285383.3138565756</v>
      </c>
      <c r="CW15" s="215">
        <f>SUM(CS15:CV15)</f>
        <v>17076131.3711407</v>
      </c>
      <c r="CX15" s="163">
        <f>SUM(CX11:CX14)</f>
        <v>4315203.2087341174</v>
      </c>
      <c r="CY15" s="163">
        <f>SUM(CY11:CY14)</f>
        <v>4442440.8798100986</v>
      </c>
      <c r="CZ15" s="163">
        <f>SUM(CZ11:CZ14)</f>
        <v>4547246.3052494042</v>
      </c>
      <c r="DA15" s="163">
        <f>SUM(DA11:DA14)</f>
        <v>4461616.8518250324</v>
      </c>
      <c r="DB15" s="215">
        <f>SUM(CX15:DA15)</f>
        <v>17766507.245618653</v>
      </c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25"/>
    </row>
    <row r="16" spans="1:117">
      <c r="A16" s="45"/>
      <c r="B16" s="173"/>
      <c r="C16" s="39"/>
      <c r="D16" s="174"/>
      <c r="E16" s="39"/>
      <c r="F16" s="175"/>
      <c r="G16" s="173"/>
      <c r="H16" s="39"/>
      <c r="I16" s="174"/>
      <c r="J16" s="39"/>
      <c r="K16" s="175"/>
      <c r="L16" s="173"/>
      <c r="M16" s="39"/>
      <c r="N16" s="174"/>
      <c r="O16" s="39"/>
      <c r="P16" s="175"/>
      <c r="Q16" s="173"/>
      <c r="R16" s="39"/>
      <c r="S16" s="174"/>
      <c r="T16" s="39"/>
      <c r="U16" s="175"/>
      <c r="V16" s="173"/>
      <c r="W16" s="39"/>
      <c r="X16" s="174"/>
      <c r="Y16" s="39"/>
      <c r="Z16" s="175"/>
      <c r="AA16" s="173"/>
      <c r="AB16" s="39"/>
      <c r="AC16" s="176"/>
      <c r="AD16" s="176"/>
      <c r="AE16" s="175"/>
      <c r="AF16" s="177"/>
      <c r="AG16" s="20"/>
      <c r="AH16" s="20"/>
      <c r="AI16" s="20"/>
      <c r="AJ16" s="175"/>
      <c r="AK16" s="177"/>
      <c r="AL16" s="20"/>
      <c r="AM16" s="20"/>
      <c r="AN16" s="20"/>
      <c r="AO16" s="175"/>
      <c r="AP16" s="177"/>
      <c r="AQ16" s="20"/>
      <c r="AR16" s="20"/>
      <c r="AS16" s="20"/>
      <c r="AT16" s="175"/>
      <c r="AU16" s="177"/>
      <c r="AV16" s="20"/>
      <c r="AW16" s="20"/>
      <c r="AX16" s="20"/>
      <c r="AY16" s="175"/>
      <c r="AZ16" s="177"/>
      <c r="BA16" s="20"/>
      <c r="BB16" s="20"/>
      <c r="BC16" s="20"/>
      <c r="BD16" s="175"/>
      <c r="BE16" s="177"/>
      <c r="BF16" s="20"/>
      <c r="BG16" s="20"/>
      <c r="BH16" s="20"/>
      <c r="BI16" s="175"/>
      <c r="BJ16" s="177"/>
      <c r="BK16" s="20"/>
      <c r="BL16" s="20"/>
      <c r="BM16" s="20"/>
      <c r="BN16" s="175"/>
      <c r="BO16" s="177"/>
      <c r="BP16" s="20"/>
      <c r="BQ16" s="20"/>
      <c r="BR16" s="20"/>
      <c r="BS16" s="175"/>
      <c r="BT16" s="177"/>
      <c r="BU16" s="20"/>
      <c r="BV16" s="20"/>
      <c r="BW16" s="20"/>
      <c r="BX16" s="175"/>
      <c r="BY16" s="177"/>
      <c r="BZ16" s="20"/>
      <c r="CA16" s="20"/>
      <c r="CB16" s="20"/>
      <c r="CC16" s="175"/>
      <c r="CD16" s="177"/>
      <c r="CE16" s="20"/>
      <c r="CF16" s="20"/>
      <c r="CG16" s="20"/>
      <c r="CH16" s="175"/>
      <c r="CI16" s="177"/>
      <c r="CJ16" s="20"/>
      <c r="CK16" s="20"/>
      <c r="CL16" s="20"/>
      <c r="CM16" s="175"/>
      <c r="CN16" s="177"/>
      <c r="CO16" s="20"/>
      <c r="CP16" s="20"/>
      <c r="CQ16" s="20"/>
      <c r="CR16" s="175"/>
      <c r="CS16" s="177"/>
      <c r="CT16" s="20"/>
      <c r="CU16" s="20"/>
      <c r="CV16" s="20"/>
      <c r="CW16" s="175"/>
      <c r="CX16" s="177"/>
      <c r="CY16" s="20"/>
      <c r="CZ16" s="20"/>
      <c r="DA16" s="20"/>
      <c r="DB16" s="175"/>
      <c r="DC16" s="182"/>
      <c r="DD16" s="182"/>
      <c r="DE16" s="182"/>
      <c r="DF16" s="182"/>
      <c r="DG16" s="182"/>
      <c r="DH16" s="182"/>
      <c r="DI16" s="182"/>
      <c r="DJ16" s="182"/>
      <c r="DK16" s="182"/>
      <c r="DL16" s="182"/>
      <c r="DM16" s="25"/>
    </row>
    <row r="17" spans="1:123">
      <c r="A17" s="43" t="s">
        <v>287</v>
      </c>
      <c r="B17" s="41">
        <v>637817</v>
      </c>
      <c r="C17" s="40">
        <v>402087</v>
      </c>
      <c r="D17" s="178">
        <v>1444565</v>
      </c>
      <c r="E17" s="162">
        <f>F17-SUM(B17:D17)</f>
        <v>2163842</v>
      </c>
      <c r="F17" s="179">
        <v>4648311</v>
      </c>
      <c r="G17" s="41">
        <v>2336643</v>
      </c>
      <c r="H17" s="40">
        <v>1850812</v>
      </c>
      <c r="I17" s="178">
        <v>2862888</v>
      </c>
      <c r="J17" s="162">
        <f>K17-SUM(G17:I17)</f>
        <v>4287733</v>
      </c>
      <c r="K17" s="179">
        <v>11338076</v>
      </c>
      <c r="L17" s="41">
        <v>3346419</v>
      </c>
      <c r="M17" s="40">
        <v>2033692</v>
      </c>
      <c r="N17" s="178">
        <v>2295065</v>
      </c>
      <c r="O17" s="162">
        <f>P17-SUM(L17:N17)</f>
        <v>2523166</v>
      </c>
      <c r="P17" s="179">
        <v>10198342</v>
      </c>
      <c r="Q17" s="41">
        <v>3241358</v>
      </c>
      <c r="R17" s="40">
        <v>2508542</v>
      </c>
      <c r="S17" s="178">
        <v>2469837</v>
      </c>
      <c r="T17" s="162">
        <f>U17-SUM(Q17:S17)</f>
        <v>3447569</v>
      </c>
      <c r="U17" s="179">
        <v>11667306</v>
      </c>
      <c r="V17" s="41">
        <v>4316164</v>
      </c>
      <c r="W17" s="40">
        <v>3752038</v>
      </c>
      <c r="X17" s="178">
        <v>3784220</v>
      </c>
      <c r="Y17" s="162">
        <f>Z17-SUM(V17:X17)</f>
        <v>2369484</v>
      </c>
      <c r="Z17" s="179">
        <v>14221906</v>
      </c>
      <c r="AA17" s="41">
        <v>2238416</v>
      </c>
      <c r="AB17" s="40">
        <v>1795201</v>
      </c>
      <c r="AC17" s="40">
        <v>1912882</v>
      </c>
      <c r="AD17" s="40">
        <v>3149206</v>
      </c>
      <c r="AE17" s="104">
        <f>SUM(AA17:AD17)</f>
        <v>9095705</v>
      </c>
      <c r="AF17" s="38">
        <v>3304648</v>
      </c>
      <c r="AG17" s="38">
        <v>2349054</v>
      </c>
      <c r="AH17" s="38">
        <v>2491333</v>
      </c>
      <c r="AI17" s="38">
        <v>2812474</v>
      </c>
      <c r="AJ17" s="104">
        <f>SUM(AF17:AI17)</f>
        <v>10957509</v>
      </c>
      <c r="AK17" s="38">
        <v>3233339</v>
      </c>
      <c r="AL17" s="334">
        <v>2992828</v>
      </c>
      <c r="AM17" s="38">
        <v>3061198</v>
      </c>
      <c r="AN17" s="38">
        <v>3372012</v>
      </c>
      <c r="AO17" s="104">
        <f>SUM(AK17:AN17)</f>
        <v>12659377</v>
      </c>
      <c r="AP17" s="38">
        <v>2771013</v>
      </c>
      <c r="AQ17" s="38">
        <v>1980298</v>
      </c>
      <c r="AR17" s="38">
        <v>2474803</v>
      </c>
      <c r="AS17" s="38">
        <v>3055604</v>
      </c>
      <c r="AT17" s="104">
        <f>SUM(AP17:AS17)</f>
        <v>10281718</v>
      </c>
      <c r="AU17" s="38">
        <v>2917993</v>
      </c>
      <c r="AV17" s="38">
        <v>2895847</v>
      </c>
      <c r="AW17" s="38">
        <v>3010737</v>
      </c>
      <c r="AX17" s="38">
        <v>3488457</v>
      </c>
      <c r="AY17" s="104">
        <f>SUM(AU17:AX17)</f>
        <v>12313034</v>
      </c>
      <c r="AZ17" s="38">
        <v>2652669</v>
      </c>
      <c r="BA17" s="38">
        <v>2571402</v>
      </c>
      <c r="BB17" s="38">
        <v>2583204</v>
      </c>
      <c r="BC17" s="38">
        <v>2281273</v>
      </c>
      <c r="BD17" s="104">
        <f>SUM(AZ17:BC17)</f>
        <v>10088548</v>
      </c>
      <c r="BE17" s="38">
        <v>1343864</v>
      </c>
      <c r="BF17" s="38">
        <v>1603093</v>
      </c>
      <c r="BG17" s="567">
        <v>1360809</v>
      </c>
      <c r="BH17" s="38">
        <v>1333286</v>
      </c>
      <c r="BI17" s="104">
        <f>SUM(BE17:BH17)</f>
        <v>5641052</v>
      </c>
      <c r="BJ17" s="38">
        <v>1195738</v>
      </c>
      <c r="BK17" s="38">
        <v>1527323</v>
      </c>
      <c r="BL17" s="38">
        <v>1751593</v>
      </c>
      <c r="BM17" s="38">
        <v>2021470</v>
      </c>
      <c r="BN17" s="104">
        <f>SUM(BJ17:BM17)</f>
        <v>6496124</v>
      </c>
      <c r="BO17" s="38">
        <v>2143843</v>
      </c>
      <c r="BP17" s="567">
        <v>2091022</v>
      </c>
      <c r="BQ17" s="567">
        <v>2229416</v>
      </c>
      <c r="BR17" s="38">
        <v>3073764</v>
      </c>
      <c r="BS17" s="104">
        <f>SUM(BO17:BR17)</f>
        <v>9538045</v>
      </c>
      <c r="BT17" s="48">
        <v>2533433.5100559159</v>
      </c>
      <c r="BU17" s="48">
        <v>2363039.2161616911</v>
      </c>
      <c r="BV17" s="48">
        <v>2458283.4117971249</v>
      </c>
      <c r="BW17" s="48">
        <v>2373729.1141048661</v>
      </c>
      <c r="BX17" s="104">
        <f>SUM(BT17:BW17)</f>
        <v>9728485.252119597</v>
      </c>
      <c r="BY17" s="48">
        <v>2709509.8008062267</v>
      </c>
      <c r="BZ17" s="48">
        <v>2671996.9514276907</v>
      </c>
      <c r="CA17" s="48">
        <v>2739942.8458723603</v>
      </c>
      <c r="CB17" s="48">
        <v>2597123.786345643</v>
      </c>
      <c r="CC17" s="104">
        <f>SUM(BY17:CB17)</f>
        <v>10718573.38445192</v>
      </c>
      <c r="CD17" s="48">
        <v>2758008.0786754782</v>
      </c>
      <c r="CE17" s="48">
        <v>2762365.5999409938</v>
      </c>
      <c r="CF17" s="48">
        <v>2879852.623086784</v>
      </c>
      <c r="CG17" s="48">
        <v>2765306.4521193411</v>
      </c>
      <c r="CH17" s="104">
        <f>SUM(CD17:CG17)</f>
        <v>11165532.753822597</v>
      </c>
      <c r="CI17" s="48">
        <v>2977823.3513719793</v>
      </c>
      <c r="CJ17" s="48">
        <v>3046188.3021800905</v>
      </c>
      <c r="CK17" s="48">
        <v>3126532.7153754188</v>
      </c>
      <c r="CL17" s="48">
        <v>2956338.5198333059</v>
      </c>
      <c r="CM17" s="104">
        <f>SUM(CI17:CL17)</f>
        <v>12106882.888760796</v>
      </c>
      <c r="CN17" s="48">
        <v>3107297.3457492674</v>
      </c>
      <c r="CO17" s="48">
        <v>3205590.9219085909</v>
      </c>
      <c r="CP17" s="48">
        <v>3280861.3849591156</v>
      </c>
      <c r="CQ17" s="48">
        <v>3089294.83133404</v>
      </c>
      <c r="CR17" s="104">
        <f>SUM(CN17:CQ17)</f>
        <v>12683044.483951014</v>
      </c>
      <c r="CS17" s="48">
        <v>3241418.1914635468</v>
      </c>
      <c r="CT17" s="48">
        <v>3343954.1551071876</v>
      </c>
      <c r="CU17" s="48">
        <v>3422460.9157152576</v>
      </c>
      <c r="CV17" s="48">
        <v>3222164.442665956</v>
      </c>
      <c r="CW17" s="104">
        <f>SUM(CS17:CV17)</f>
        <v>13229997.704951949</v>
      </c>
      <c r="CX17" s="48">
        <v>3372595.4323422154</v>
      </c>
      <c r="CY17" s="48">
        <v>3479308.9968900895</v>
      </c>
      <c r="CZ17" s="48">
        <v>3561020.7371084644</v>
      </c>
      <c r="DA17" s="48">
        <v>3352319.133604968</v>
      </c>
      <c r="DB17" s="104">
        <f>SUM(CX17:DA17)</f>
        <v>13765244.299945736</v>
      </c>
      <c r="DC17" s="48"/>
      <c r="DD17" s="48"/>
      <c r="DE17" s="48"/>
      <c r="DF17" s="48"/>
      <c r="DG17" s="48"/>
      <c r="DH17" s="48"/>
      <c r="DI17" s="48"/>
      <c r="DJ17" s="48"/>
      <c r="DK17" s="99"/>
      <c r="DL17" s="99"/>
      <c r="DM17" s="18"/>
    </row>
    <row r="18" spans="1:123">
      <c r="A18" s="42" t="s">
        <v>194</v>
      </c>
      <c r="B18" s="156">
        <f>B15-B17</f>
        <v>392758</v>
      </c>
      <c r="C18" s="164">
        <f t="shared" ref="C18:Z18" si="3">C15-C17</f>
        <v>230052</v>
      </c>
      <c r="D18" s="216">
        <f t="shared" si="3"/>
        <v>219846</v>
      </c>
      <c r="E18" s="164">
        <f t="shared" si="3"/>
        <v>294561</v>
      </c>
      <c r="F18" s="217">
        <f t="shared" si="3"/>
        <v>1137217</v>
      </c>
      <c r="G18" s="156">
        <f t="shared" si="3"/>
        <v>370397</v>
      </c>
      <c r="H18" s="164">
        <f t="shared" si="3"/>
        <v>229978</v>
      </c>
      <c r="I18" s="216">
        <f t="shared" si="3"/>
        <v>329319</v>
      </c>
      <c r="J18" s="164">
        <f t="shared" si="3"/>
        <v>408460</v>
      </c>
      <c r="K18" s="217">
        <f t="shared" si="3"/>
        <v>1338154</v>
      </c>
      <c r="L18" s="156">
        <f t="shared" si="3"/>
        <v>501285</v>
      </c>
      <c r="M18" s="164">
        <f t="shared" si="3"/>
        <v>398214</v>
      </c>
      <c r="N18" s="216">
        <f t="shared" si="3"/>
        <v>349770</v>
      </c>
      <c r="O18" s="164">
        <f t="shared" si="3"/>
        <v>472715</v>
      </c>
      <c r="P18" s="217">
        <f t="shared" si="3"/>
        <v>1721984</v>
      </c>
      <c r="Q18" s="156">
        <f t="shared" si="3"/>
        <v>564850</v>
      </c>
      <c r="R18" s="164">
        <f t="shared" si="3"/>
        <v>367699</v>
      </c>
      <c r="S18" s="216">
        <f t="shared" si="3"/>
        <v>340160</v>
      </c>
      <c r="T18" s="164">
        <f t="shared" si="3"/>
        <v>537399</v>
      </c>
      <c r="U18" s="217">
        <f t="shared" si="3"/>
        <v>1810108</v>
      </c>
      <c r="V18" s="156">
        <f t="shared" si="3"/>
        <v>585912</v>
      </c>
      <c r="W18" s="164">
        <f t="shared" si="3"/>
        <v>420828</v>
      </c>
      <c r="X18" s="216">
        <f t="shared" si="3"/>
        <v>455026</v>
      </c>
      <c r="Y18" s="164">
        <f t="shared" si="3"/>
        <v>473761</v>
      </c>
      <c r="Z18" s="217">
        <f t="shared" si="3"/>
        <v>1935527</v>
      </c>
      <c r="AA18" s="156">
        <f t="shared" ref="AA18:AI18" si="4">AA15-AA17</f>
        <v>551411</v>
      </c>
      <c r="AB18" s="164">
        <f t="shared" si="4"/>
        <v>432426</v>
      </c>
      <c r="AC18" s="216">
        <f t="shared" si="4"/>
        <v>451854</v>
      </c>
      <c r="AD18" s="216">
        <f t="shared" si="4"/>
        <v>580255</v>
      </c>
      <c r="AE18" s="217">
        <f t="shared" si="4"/>
        <v>2015946</v>
      </c>
      <c r="AF18" s="156">
        <f t="shared" si="4"/>
        <v>619319</v>
      </c>
      <c r="AG18" s="216">
        <f t="shared" si="4"/>
        <v>458077</v>
      </c>
      <c r="AH18" s="216">
        <f t="shared" si="4"/>
        <v>451370</v>
      </c>
      <c r="AI18" s="216">
        <f t="shared" si="4"/>
        <v>543725</v>
      </c>
      <c r="AJ18" s="217">
        <f t="shared" ref="AJ18:AR18" si="5">AJ15-AJ17</f>
        <v>2072491</v>
      </c>
      <c r="AK18" s="156">
        <f t="shared" si="5"/>
        <v>633549</v>
      </c>
      <c r="AL18" s="447">
        <f t="shared" si="5"/>
        <v>521648</v>
      </c>
      <c r="AM18" s="216">
        <f t="shared" si="5"/>
        <v>533993</v>
      </c>
      <c r="AN18" s="216">
        <f t="shared" si="5"/>
        <v>699025</v>
      </c>
      <c r="AO18" s="217">
        <f t="shared" si="5"/>
        <v>2388215</v>
      </c>
      <c r="AP18" s="156">
        <f t="shared" si="5"/>
        <v>643587</v>
      </c>
      <c r="AQ18" s="216">
        <f t="shared" si="5"/>
        <v>548962</v>
      </c>
      <c r="AR18" s="216">
        <f t="shared" si="5"/>
        <v>553972</v>
      </c>
      <c r="AS18" s="216">
        <f t="shared" ref="AS18:AZ18" si="6">AS15-AS17</f>
        <v>604320</v>
      </c>
      <c r="AT18" s="217">
        <f t="shared" si="6"/>
        <v>2350841</v>
      </c>
      <c r="AU18" s="156">
        <f t="shared" si="6"/>
        <v>623452</v>
      </c>
      <c r="AV18" s="216">
        <f t="shared" si="6"/>
        <v>567189</v>
      </c>
      <c r="AW18" s="216">
        <f t="shared" si="6"/>
        <v>577588</v>
      </c>
      <c r="AX18" s="216">
        <f t="shared" si="6"/>
        <v>651654</v>
      </c>
      <c r="AY18" s="217">
        <f t="shared" si="6"/>
        <v>2419883</v>
      </c>
      <c r="AZ18" s="156">
        <f t="shared" si="6"/>
        <v>510627</v>
      </c>
      <c r="BA18" s="216">
        <f t="shared" ref="BA18:BH18" si="7">BA15-BA17</f>
        <v>495480</v>
      </c>
      <c r="BB18" s="216">
        <f t="shared" si="7"/>
        <v>536941</v>
      </c>
      <c r="BC18" s="216">
        <f t="shared" si="7"/>
        <v>563495</v>
      </c>
      <c r="BD18" s="217">
        <f t="shared" si="7"/>
        <v>2106543</v>
      </c>
      <c r="BE18" s="156">
        <f t="shared" si="7"/>
        <v>461442</v>
      </c>
      <c r="BF18" s="581">
        <f t="shared" si="7"/>
        <v>524959</v>
      </c>
      <c r="BG18" s="581">
        <f t="shared" si="7"/>
        <v>538137</v>
      </c>
      <c r="BH18" s="581">
        <f t="shared" si="7"/>
        <v>597616</v>
      </c>
      <c r="BI18" s="593">
        <f t="shared" ref="BI18:BO18" si="8">BI15-BI17</f>
        <v>2122154</v>
      </c>
      <c r="BJ18" s="156">
        <f t="shared" si="8"/>
        <v>578721</v>
      </c>
      <c r="BK18" s="581">
        <f t="shared" si="8"/>
        <v>606784</v>
      </c>
      <c r="BL18" s="333">
        <f t="shared" si="8"/>
        <v>606314</v>
      </c>
      <c r="BM18" s="333">
        <f t="shared" si="8"/>
        <v>632991</v>
      </c>
      <c r="BN18" s="217">
        <f t="shared" si="8"/>
        <v>2424810</v>
      </c>
      <c r="BO18" s="156">
        <f t="shared" si="8"/>
        <v>605768</v>
      </c>
      <c r="BP18" s="333">
        <f t="shared" ref="BP18:DB18" si="9">+BP15-BP17</f>
        <v>634750</v>
      </c>
      <c r="BQ18" s="333">
        <f t="shared" si="9"/>
        <v>676950</v>
      </c>
      <c r="BR18" s="722">
        <f t="shared" ref="BR18" si="10">BR15-BR17</f>
        <v>718394</v>
      </c>
      <c r="BS18" s="217">
        <f t="shared" si="9"/>
        <v>2635862</v>
      </c>
      <c r="BT18" s="333">
        <f t="shared" si="9"/>
        <v>754748.70985783311</v>
      </c>
      <c r="BU18" s="333">
        <f t="shared" si="9"/>
        <v>719300.75602458557</v>
      </c>
      <c r="BV18" s="333">
        <f t="shared" si="9"/>
        <v>742071.64631232433</v>
      </c>
      <c r="BW18" s="333">
        <f t="shared" si="9"/>
        <v>761321.49213580834</v>
      </c>
      <c r="BX18" s="217">
        <f t="shared" si="9"/>
        <v>2977442.6043305527</v>
      </c>
      <c r="BY18" s="333">
        <f t="shared" si="9"/>
        <v>784398.07228749013</v>
      </c>
      <c r="BZ18" s="333">
        <f t="shared" si="9"/>
        <v>777975.85722170956</v>
      </c>
      <c r="CA18" s="333">
        <f t="shared" si="9"/>
        <v>796955.69465416763</v>
      </c>
      <c r="CB18" s="333">
        <f t="shared" si="9"/>
        <v>816726.48029631842</v>
      </c>
      <c r="CC18" s="217">
        <f t="shared" si="9"/>
        <v>3176056.1044596862</v>
      </c>
      <c r="CD18" s="333">
        <f t="shared" si="9"/>
        <v>813073.71358006122</v>
      </c>
      <c r="CE18" s="333">
        <f t="shared" si="9"/>
        <v>817028.53012944618</v>
      </c>
      <c r="CF18" s="333">
        <f t="shared" si="9"/>
        <v>846195.37392867217</v>
      </c>
      <c r="CG18" s="333">
        <f t="shared" si="9"/>
        <v>903989.28478437616</v>
      </c>
      <c r="CH18" s="217">
        <f t="shared" si="9"/>
        <v>3380286.9024225567</v>
      </c>
      <c r="CI18" s="333">
        <f t="shared" si="9"/>
        <v>853806.75389921106</v>
      </c>
      <c r="CJ18" s="333">
        <f t="shared" si="9"/>
        <v>868813.48664466105</v>
      </c>
      <c r="CK18" s="333">
        <f t="shared" si="9"/>
        <v>891001.84868389089</v>
      </c>
      <c r="CL18" s="333">
        <f t="shared" si="9"/>
        <v>966740.58085169503</v>
      </c>
      <c r="CM18" s="217">
        <f t="shared" si="9"/>
        <v>3580362.6700794566</v>
      </c>
      <c r="CN18" s="333">
        <f t="shared" si="9"/>
        <v>880939.36162710609</v>
      </c>
      <c r="CO18" s="333">
        <f t="shared" si="9"/>
        <v>900094.76638299413</v>
      </c>
      <c r="CP18" s="333">
        <f t="shared" si="9"/>
        <v>921609.94887987338</v>
      </c>
      <c r="CQ18" s="333">
        <f t="shared" si="9"/>
        <v>1015918.2327624247</v>
      </c>
      <c r="CR18" s="217">
        <f t="shared" si="9"/>
        <v>3718562.3096523993</v>
      </c>
      <c r="CS18" s="333">
        <f t="shared" si="9"/>
        <v>907096.29454853665</v>
      </c>
      <c r="CT18" s="333">
        <f t="shared" si="9"/>
        <v>926803.87303571356</v>
      </c>
      <c r="CU18" s="333">
        <f t="shared" si="9"/>
        <v>949014.62741388008</v>
      </c>
      <c r="CV18" s="333">
        <f t="shared" si="9"/>
        <v>1063218.8711906197</v>
      </c>
      <c r="CW18" s="217">
        <f t="shared" si="9"/>
        <v>3846133.6661887504</v>
      </c>
      <c r="CX18" s="333">
        <f t="shared" si="9"/>
        <v>942607.77639190201</v>
      </c>
      <c r="CY18" s="333">
        <f t="shared" si="9"/>
        <v>963131.88292000908</v>
      </c>
      <c r="CZ18" s="333">
        <f t="shared" si="9"/>
        <v>986225.56814093981</v>
      </c>
      <c r="DA18" s="333">
        <f t="shared" si="9"/>
        <v>1109297.7182200644</v>
      </c>
      <c r="DB18" s="217">
        <f t="shared" si="9"/>
        <v>4001262.9456729162</v>
      </c>
      <c r="DC18" s="333"/>
      <c r="DD18" s="333"/>
      <c r="DE18" s="333"/>
      <c r="DF18" s="333"/>
      <c r="DG18" s="333"/>
      <c r="DH18" s="333"/>
      <c r="DI18" s="333"/>
      <c r="DJ18" s="333"/>
      <c r="DK18" s="333"/>
      <c r="DL18" s="333"/>
      <c r="DM18" s="20"/>
    </row>
    <row r="19" spans="1:123">
      <c r="A19" s="43"/>
      <c r="B19" s="41"/>
      <c r="C19" s="40"/>
      <c r="D19" s="178"/>
      <c r="E19" s="40"/>
      <c r="F19" s="179"/>
      <c r="G19" s="41"/>
      <c r="H19" s="40"/>
      <c r="I19" s="178"/>
      <c r="J19" s="40"/>
      <c r="K19" s="179"/>
      <c r="L19" s="41"/>
      <c r="M19" s="40"/>
      <c r="N19" s="178"/>
      <c r="O19" s="40"/>
      <c r="P19" s="179"/>
      <c r="Q19" s="41"/>
      <c r="R19" s="40"/>
      <c r="S19" s="178"/>
      <c r="T19" s="40"/>
      <c r="U19" s="179"/>
      <c r="V19" s="41"/>
      <c r="W19" s="40"/>
      <c r="X19" s="178"/>
      <c r="Y19" s="40"/>
      <c r="Z19" s="179"/>
      <c r="AA19" s="41"/>
      <c r="AB19" s="40"/>
      <c r="AC19" s="38"/>
      <c r="AD19" s="38"/>
      <c r="AE19" s="133"/>
      <c r="AF19" s="19"/>
      <c r="AG19" s="18"/>
      <c r="AH19" s="18"/>
      <c r="AI19" s="18"/>
      <c r="AJ19" s="133"/>
      <c r="AK19" s="19"/>
      <c r="AL19" s="18"/>
      <c r="AM19" s="18"/>
      <c r="AN19" s="18"/>
      <c r="AO19" s="133"/>
      <c r="AP19" s="19"/>
      <c r="AQ19" s="18"/>
      <c r="AR19" s="18"/>
      <c r="AS19" s="18"/>
      <c r="AT19" s="133"/>
      <c r="AU19" s="19"/>
      <c r="AV19" s="18"/>
      <c r="AW19" s="18"/>
      <c r="AX19" s="18"/>
      <c r="AY19" s="133"/>
      <c r="AZ19" s="19"/>
      <c r="BA19" s="18"/>
      <c r="BB19" s="18"/>
      <c r="BC19" s="18"/>
      <c r="BD19" s="133"/>
      <c r="BE19" s="19"/>
      <c r="BF19" s="18"/>
      <c r="BG19" s="18"/>
      <c r="BH19" s="18"/>
      <c r="BI19" s="133"/>
      <c r="BJ19" s="19"/>
      <c r="BK19" s="18"/>
      <c r="BL19" s="18"/>
      <c r="BM19" s="18"/>
      <c r="BN19" s="133"/>
      <c r="BO19" s="19"/>
      <c r="BP19" s="18"/>
      <c r="BQ19" s="18"/>
      <c r="BR19" s="18"/>
      <c r="BS19" s="133"/>
      <c r="BT19" s="19"/>
      <c r="BU19" s="18"/>
      <c r="BV19" s="18"/>
      <c r="BW19" s="18"/>
      <c r="BX19" s="133"/>
      <c r="BY19" s="19"/>
      <c r="BZ19" s="18"/>
      <c r="CA19" s="18"/>
      <c r="CB19" s="18"/>
      <c r="CC19" s="133"/>
      <c r="CD19" s="19"/>
      <c r="CE19" s="18"/>
      <c r="CF19" s="18"/>
      <c r="CG19" s="18"/>
      <c r="CH19" s="133"/>
      <c r="CI19" s="19"/>
      <c r="CJ19" s="18"/>
      <c r="CK19" s="18"/>
      <c r="CL19" s="18"/>
      <c r="CM19" s="133"/>
      <c r="CN19" s="19"/>
      <c r="CO19" s="18"/>
      <c r="CP19" s="18"/>
      <c r="CQ19" s="18"/>
      <c r="CR19" s="133"/>
      <c r="CS19" s="19"/>
      <c r="CT19" s="18"/>
      <c r="CU19" s="18"/>
      <c r="CV19" s="18"/>
      <c r="CW19" s="133"/>
      <c r="CX19" s="19"/>
      <c r="CY19" s="18"/>
      <c r="CZ19" s="18"/>
      <c r="DA19" s="18"/>
      <c r="DB19" s="133"/>
      <c r="DC19" s="38"/>
      <c r="DD19" s="38"/>
      <c r="DE19" s="38"/>
      <c r="DF19" s="38"/>
      <c r="DG19" s="38"/>
      <c r="DH19" s="38"/>
      <c r="DI19" s="38"/>
      <c r="DJ19" s="38"/>
      <c r="DK19" s="65"/>
      <c r="DL19" s="65"/>
      <c r="DM19" s="18"/>
    </row>
    <row r="20" spans="1:123">
      <c r="A20" s="16" t="s">
        <v>927</v>
      </c>
      <c r="B20" s="41"/>
      <c r="C20" s="40"/>
      <c r="D20" s="178"/>
      <c r="E20" s="40" t="s">
        <v>653</v>
      </c>
      <c r="F20" s="179" t="s">
        <v>653</v>
      </c>
      <c r="G20" s="41"/>
      <c r="H20" s="40"/>
      <c r="I20" s="178"/>
      <c r="J20" s="40" t="s">
        <v>653</v>
      </c>
      <c r="K20" s="179" t="s">
        <v>653</v>
      </c>
      <c r="L20" s="41"/>
      <c r="M20" s="40"/>
      <c r="N20" s="178"/>
      <c r="O20" s="40" t="s">
        <v>653</v>
      </c>
      <c r="P20" s="179" t="s">
        <v>653</v>
      </c>
      <c r="Q20" s="41"/>
      <c r="R20" s="40"/>
      <c r="S20" s="178"/>
      <c r="T20" s="40" t="s">
        <v>653</v>
      </c>
      <c r="U20" s="179" t="s">
        <v>653</v>
      </c>
      <c r="V20" s="41"/>
      <c r="W20" s="40"/>
      <c r="X20" s="178"/>
      <c r="Y20" s="40" t="s">
        <v>653</v>
      </c>
      <c r="Z20" s="179" t="s">
        <v>653</v>
      </c>
      <c r="AA20" s="41"/>
      <c r="AB20" s="38"/>
      <c r="AC20" s="38"/>
      <c r="AD20" s="38"/>
      <c r="AE20" s="133"/>
      <c r="AF20" s="19"/>
      <c r="AG20" s="18"/>
      <c r="AH20" s="18"/>
      <c r="AI20" s="18"/>
      <c r="AJ20" s="133"/>
      <c r="AK20" s="19"/>
      <c r="AL20" s="18"/>
      <c r="AM20" s="18"/>
      <c r="AN20" s="18"/>
      <c r="AO20" s="133"/>
      <c r="AP20" s="19"/>
      <c r="AQ20" s="18"/>
      <c r="AR20" s="18"/>
      <c r="AS20" s="18"/>
      <c r="AT20" s="133"/>
      <c r="AU20" s="19"/>
      <c r="AV20" s="18"/>
      <c r="AW20" s="18"/>
      <c r="AX20" s="18"/>
      <c r="AY20" s="133"/>
      <c r="AZ20" s="19"/>
      <c r="BA20" s="18"/>
      <c r="BB20" s="18"/>
      <c r="BC20" s="18"/>
      <c r="BD20" s="133"/>
      <c r="BE20" s="19"/>
      <c r="BF20" s="18"/>
      <c r="BG20" s="18"/>
      <c r="BH20" s="18"/>
      <c r="BI20" s="133"/>
      <c r="BJ20" s="19"/>
      <c r="BK20" s="18"/>
      <c r="BL20" s="18"/>
      <c r="BM20" s="38"/>
      <c r="BN20" s="133"/>
      <c r="BO20" s="19"/>
      <c r="BP20" s="18"/>
      <c r="BQ20" s="18"/>
      <c r="BR20" s="38"/>
      <c r="BS20" s="133"/>
      <c r="BT20" s="19"/>
      <c r="BU20" s="18"/>
      <c r="BV20" s="18"/>
      <c r="BW20" s="18"/>
      <c r="BX20" s="133"/>
      <c r="BY20" s="19"/>
      <c r="BZ20" s="18"/>
      <c r="CA20" s="18"/>
      <c r="CB20" s="18"/>
      <c r="CC20" s="133"/>
      <c r="CD20" s="19"/>
      <c r="CE20" s="18"/>
      <c r="CF20" s="18"/>
      <c r="CG20" s="18"/>
      <c r="CH20" s="133"/>
      <c r="CI20" s="19"/>
      <c r="CJ20" s="18"/>
      <c r="CK20" s="18"/>
      <c r="CL20" s="18"/>
      <c r="CM20" s="133"/>
      <c r="CN20" s="19"/>
      <c r="CO20" s="18"/>
      <c r="CP20" s="18"/>
      <c r="CQ20" s="18"/>
      <c r="CR20" s="133"/>
      <c r="CS20" s="19"/>
      <c r="CT20" s="18"/>
      <c r="CU20" s="18"/>
      <c r="CV20" s="18"/>
      <c r="CW20" s="133"/>
      <c r="CX20" s="19"/>
      <c r="CY20" s="18"/>
      <c r="CZ20" s="18"/>
      <c r="DA20" s="18"/>
      <c r="DB20" s="133"/>
      <c r="DC20" s="38"/>
      <c r="DD20" s="38"/>
      <c r="DE20" s="38"/>
      <c r="DF20" s="38"/>
      <c r="DG20" s="38"/>
      <c r="DH20" s="38"/>
      <c r="DI20" s="38"/>
      <c r="DJ20" s="38"/>
      <c r="DK20" s="65"/>
      <c r="DL20" s="65"/>
      <c r="DM20" s="18"/>
    </row>
    <row r="21" spans="1:123">
      <c r="A21" s="44" t="s">
        <v>288</v>
      </c>
      <c r="B21" s="41">
        <v>130375</v>
      </c>
      <c r="C21" s="40">
        <v>113646</v>
      </c>
      <c r="D21" s="178">
        <v>118508</v>
      </c>
      <c r="E21" s="162">
        <f>F21-SUM(B21:D21)</f>
        <v>112577</v>
      </c>
      <c r="F21" s="179">
        <v>475106</v>
      </c>
      <c r="G21" s="41">
        <v>123502</v>
      </c>
      <c r="H21" s="40">
        <v>118475</v>
      </c>
      <c r="I21" s="178">
        <v>153008</v>
      </c>
      <c r="J21" s="162">
        <f>K21-SUM(G21:I21)</f>
        <v>157546</v>
      </c>
      <c r="K21" s="179">
        <v>552531</v>
      </c>
      <c r="L21" s="41">
        <v>157506</v>
      </c>
      <c r="M21" s="40">
        <v>156737</v>
      </c>
      <c r="N21" s="178">
        <v>155284</v>
      </c>
      <c r="O21" s="162">
        <f>P21-SUM(L21:N21)</f>
        <v>193154</v>
      </c>
      <c r="P21" s="179">
        <v>662681</v>
      </c>
      <c r="Q21" s="41">
        <v>158643</v>
      </c>
      <c r="R21" s="40">
        <v>158016</v>
      </c>
      <c r="S21" s="178">
        <v>160352</v>
      </c>
      <c r="T21" s="162">
        <f>U21-SUM(Q21:S21)</f>
        <v>198564</v>
      </c>
      <c r="U21" s="179">
        <v>675575</v>
      </c>
      <c r="V21" s="41">
        <v>167992</v>
      </c>
      <c r="W21" s="40">
        <v>171431</v>
      </c>
      <c r="X21" s="178">
        <v>179840</v>
      </c>
      <c r="Y21" s="162">
        <f>Z21-SUM(V21:X21)</f>
        <v>175334</v>
      </c>
      <c r="Z21" s="179">
        <v>694597</v>
      </c>
      <c r="AA21" s="41">
        <v>161719</v>
      </c>
      <c r="AB21" s="40">
        <v>184874</v>
      </c>
      <c r="AC21" s="40">
        <v>179678</v>
      </c>
      <c r="AD21" s="40">
        <v>209854</v>
      </c>
      <c r="AE21" s="104">
        <f>SUM(AA21:AD21)</f>
        <v>736125</v>
      </c>
      <c r="AF21" s="41">
        <v>180272</v>
      </c>
      <c r="AG21" s="40">
        <v>178478</v>
      </c>
      <c r="AH21" s="40">
        <v>183893</v>
      </c>
      <c r="AI21" s="40">
        <v>205969</v>
      </c>
      <c r="AJ21" s="104">
        <f>SUM(AF21:AI21)</f>
        <v>748612</v>
      </c>
      <c r="AK21" s="41">
        <v>194606</v>
      </c>
      <c r="AL21" s="65">
        <v>199797</v>
      </c>
      <c r="AM21" s="40">
        <v>186935</v>
      </c>
      <c r="AN21" s="40">
        <v>238008</v>
      </c>
      <c r="AO21" s="104">
        <f>SUM(AK21:AN21)</f>
        <v>819346</v>
      </c>
      <c r="AP21" s="41">
        <v>192881</v>
      </c>
      <c r="AQ21" s="40">
        <v>204126</v>
      </c>
      <c r="AR21" s="40">
        <v>206048</v>
      </c>
      <c r="AS21" s="40">
        <v>203032</v>
      </c>
      <c r="AT21" s="104">
        <f>SUM(AP21:AS21)</f>
        <v>806087</v>
      </c>
      <c r="AU21" s="41">
        <v>223603</v>
      </c>
      <c r="AV21" s="40">
        <v>203293</v>
      </c>
      <c r="AW21" s="40">
        <v>209019</v>
      </c>
      <c r="AX21" s="40">
        <f>236210-((5300+16900)/0.65)</f>
        <v>202056.15384615384</v>
      </c>
      <c r="AY21" s="104">
        <f>SUM(AU21:AX21)</f>
        <v>837971.15384615387</v>
      </c>
      <c r="AZ21" s="41">
        <v>126726</v>
      </c>
      <c r="BA21" s="40">
        <v>153323</v>
      </c>
      <c r="BB21" s="40">
        <v>153408</v>
      </c>
      <c r="BC21" s="40">
        <v>165686</v>
      </c>
      <c r="BD21" s="104">
        <f>SUM(AZ21:BC21)</f>
        <v>599143</v>
      </c>
      <c r="BE21" s="41">
        <v>154331</v>
      </c>
      <c r="BF21" s="40">
        <v>140869</v>
      </c>
      <c r="BG21" s="40">
        <v>146979</v>
      </c>
      <c r="BH21" s="40">
        <v>163569</v>
      </c>
      <c r="BI21" s="104">
        <f>SUM(BE21:BH21)</f>
        <v>605748</v>
      </c>
      <c r="BJ21" s="41">
        <v>155145</v>
      </c>
      <c r="BK21" s="40">
        <v>167667</v>
      </c>
      <c r="BL21" s="40">
        <v>165664</v>
      </c>
      <c r="BM21" s="40">
        <v>179859</v>
      </c>
      <c r="BN21" s="104">
        <f>SUM(BJ21:BM21)</f>
        <v>668335</v>
      </c>
      <c r="BO21" s="41">
        <v>164769</v>
      </c>
      <c r="BP21" s="587">
        <v>193501</v>
      </c>
      <c r="BQ21" s="587">
        <v>182409</v>
      </c>
      <c r="BR21" s="40">
        <v>194511</v>
      </c>
      <c r="BS21" s="104">
        <f>SUM(BO21:BR21)</f>
        <v>735190</v>
      </c>
      <c r="BT21" s="672">
        <v>170562.14339055918</v>
      </c>
      <c r="BU21" s="99">
        <v>181066.19926127041</v>
      </c>
      <c r="BV21" s="99">
        <v>190306.0122649867</v>
      </c>
      <c r="BW21" s="99">
        <v>212130.14813709143</v>
      </c>
      <c r="BX21" s="104">
        <f>SUM(BT21:BW21)</f>
        <v>754064.50305390777</v>
      </c>
      <c r="BY21" s="672">
        <v>175932.3840257742</v>
      </c>
      <c r="BZ21" s="99">
        <v>186751.68847711949</v>
      </c>
      <c r="CA21" s="99">
        <v>196328.82840555231</v>
      </c>
      <c r="CB21" s="99">
        <v>218784.42917701724</v>
      </c>
      <c r="CC21" s="104">
        <f>SUM(BY21:CB21)</f>
        <v>777797.33008546312</v>
      </c>
      <c r="CD21" s="672">
        <v>180647.04452481316</v>
      </c>
      <c r="CE21" s="99">
        <v>191704.23700466019</v>
      </c>
      <c r="CF21" s="99">
        <v>201592.03079593999</v>
      </c>
      <c r="CG21" s="99">
        <v>224565.4903018926</v>
      </c>
      <c r="CH21" s="104">
        <f>SUM(CD21:CG21)</f>
        <v>798508.80262730597</v>
      </c>
      <c r="CI21" s="672">
        <v>185497.73395480317</v>
      </c>
      <c r="CJ21" s="99">
        <v>196798.47541173492</v>
      </c>
      <c r="CK21" s="99">
        <v>207006.64634986519</v>
      </c>
      <c r="CL21" s="99">
        <v>230511.94485790498</v>
      </c>
      <c r="CM21" s="104">
        <f>SUM(CI21:CL21)</f>
        <v>819814.80057430826</v>
      </c>
      <c r="CN21" s="672">
        <v>190488.72313117736</v>
      </c>
      <c r="CO21" s="99">
        <v>202038.68854620337</v>
      </c>
      <c r="CP21" s="99">
        <v>212577.9286844109</v>
      </c>
      <c r="CQ21" s="99">
        <v>236628.39080867748</v>
      </c>
      <c r="CR21" s="104">
        <f>SUM(CN21:CQ21)</f>
        <v>841733.7311704692</v>
      </c>
      <c r="CS21" s="672">
        <v>195624.38403287029</v>
      </c>
      <c r="CT21" s="99">
        <v>207429.38258287657</v>
      </c>
      <c r="CU21" s="99">
        <v>218310.76630243121</v>
      </c>
      <c r="CV21" s="99">
        <v>242919.93801374838</v>
      </c>
      <c r="CW21" s="104">
        <f>SUM(CS21:CV21)</f>
        <v>864284.47093192651</v>
      </c>
      <c r="CX21" s="672">
        <v>200909.19929799804</v>
      </c>
      <c r="CY21" s="99">
        <v>212975.17772585998</v>
      </c>
      <c r="CZ21" s="99">
        <v>224210.14847635786</v>
      </c>
      <c r="DA21" s="99">
        <v>249391.92439281882</v>
      </c>
      <c r="DB21" s="104">
        <f>SUM(CX21:DA21)</f>
        <v>887486.44989303465</v>
      </c>
      <c r="DC21" s="48"/>
      <c r="DD21" s="48"/>
      <c r="DE21" s="48"/>
      <c r="DF21" s="48"/>
      <c r="DG21" s="48"/>
      <c r="DH21" s="48"/>
      <c r="DI21" s="48"/>
      <c r="DJ21" s="48"/>
      <c r="DK21" s="99"/>
      <c r="DL21" s="99"/>
      <c r="DM21" s="18"/>
    </row>
    <row r="22" spans="1:123">
      <c r="A22" s="44" t="s">
        <v>698</v>
      </c>
      <c r="B22" s="41">
        <v>46740</v>
      </c>
      <c r="C22" s="40">
        <v>46226</v>
      </c>
      <c r="D22" s="178">
        <v>39718</v>
      </c>
      <c r="E22" s="162">
        <f>F22-SUM(B22:D22)</f>
        <v>25369</v>
      </c>
      <c r="F22" s="179">
        <v>158053</v>
      </c>
      <c r="G22" s="41">
        <v>43217</v>
      </c>
      <c r="H22" s="40">
        <v>43673</v>
      </c>
      <c r="I22" s="178">
        <v>48131</v>
      </c>
      <c r="J22" s="162">
        <f>K22-SUM(G22:I22)</f>
        <v>48373</v>
      </c>
      <c r="K22" s="179">
        <v>183394</v>
      </c>
      <c r="L22" s="41">
        <v>56325</v>
      </c>
      <c r="M22" s="40">
        <v>67095</v>
      </c>
      <c r="N22" s="178">
        <v>55469</v>
      </c>
      <c r="O22" s="162">
        <f>P22-SUM(L22:N22)</f>
        <v>56654</v>
      </c>
      <c r="P22" s="179">
        <v>235543</v>
      </c>
      <c r="Q22" s="41">
        <v>56450</v>
      </c>
      <c r="R22" s="40">
        <v>55644</v>
      </c>
      <c r="S22" s="178">
        <v>56364</v>
      </c>
      <c r="T22" s="162">
        <f>U22-SUM(Q22:S22)</f>
        <v>59506</v>
      </c>
      <c r="U22" s="179">
        <v>227964</v>
      </c>
      <c r="V22" s="41">
        <v>59479</v>
      </c>
      <c r="W22" s="40">
        <v>59701</v>
      </c>
      <c r="X22" s="178">
        <v>60249</v>
      </c>
      <c r="Y22" s="162">
        <f>Z22-SUM(V22:X22)</f>
        <v>64498</v>
      </c>
      <c r="Z22" s="179">
        <v>243927</v>
      </c>
      <c r="AA22" s="41">
        <v>72126</v>
      </c>
      <c r="AB22" s="40">
        <v>71249</v>
      </c>
      <c r="AC22" s="40">
        <v>72318</v>
      </c>
      <c r="AD22" s="40">
        <v>73298</v>
      </c>
      <c r="AE22" s="104">
        <f>SUM(AA22:AD22)</f>
        <v>288991</v>
      </c>
      <c r="AF22" s="41">
        <v>77856</v>
      </c>
      <c r="AG22" s="40">
        <v>75510</v>
      </c>
      <c r="AH22" s="40">
        <v>77234</v>
      </c>
      <c r="AI22" s="40">
        <v>76717</v>
      </c>
      <c r="AJ22" s="104">
        <f>SUM(AF22:AI22)</f>
        <v>307317</v>
      </c>
      <c r="AK22" s="41">
        <v>79391</v>
      </c>
      <c r="AL22" s="65">
        <v>78824</v>
      </c>
      <c r="AM22" s="40">
        <v>75986</v>
      </c>
      <c r="AN22" s="40">
        <v>78057</v>
      </c>
      <c r="AO22" s="104">
        <f>SUM(AK22:AN22)</f>
        <v>312258</v>
      </c>
      <c r="AP22" s="41">
        <v>83409</v>
      </c>
      <c r="AQ22" s="40">
        <v>84586</v>
      </c>
      <c r="AR22" s="40">
        <v>81434</v>
      </c>
      <c r="AS22" s="40">
        <v>86415</v>
      </c>
      <c r="AT22" s="104">
        <f>SUM(AP22:AS22)</f>
        <v>335844</v>
      </c>
      <c r="AU22" s="41">
        <v>90221</v>
      </c>
      <c r="AV22" s="40">
        <v>91855</v>
      </c>
      <c r="AW22" s="40">
        <v>94267</v>
      </c>
      <c r="AX22" s="40">
        <v>108034</v>
      </c>
      <c r="AY22" s="104">
        <f>SUM(AU22:AX22)</f>
        <v>384377</v>
      </c>
      <c r="AZ22" s="41">
        <v>67414</v>
      </c>
      <c r="BA22" s="40">
        <v>72127</v>
      </c>
      <c r="BB22" s="40">
        <v>74588</v>
      </c>
      <c r="BC22" s="40">
        <v>80555</v>
      </c>
      <c r="BD22" s="104">
        <f>SUM(AZ22:BC22)</f>
        <v>294684</v>
      </c>
      <c r="BE22" s="41">
        <v>85955</v>
      </c>
      <c r="BF22" s="40">
        <v>86987</v>
      </c>
      <c r="BG22" s="587">
        <v>88299</v>
      </c>
      <c r="BH22" s="40">
        <v>93379</v>
      </c>
      <c r="BI22" s="104">
        <f>SUM(BE22:BH22)</f>
        <v>354620</v>
      </c>
      <c r="BJ22" s="41">
        <v>94478</v>
      </c>
      <c r="BK22" s="40">
        <v>99247</v>
      </c>
      <c r="BL22" s="40">
        <v>98550</v>
      </c>
      <c r="BM22" s="40">
        <v>99310</v>
      </c>
      <c r="BN22" s="104">
        <f>SUM(BJ22:BM22)</f>
        <v>391585</v>
      </c>
      <c r="BO22" s="41">
        <v>99419</v>
      </c>
      <c r="BP22" s="587">
        <v>100849</v>
      </c>
      <c r="BQ22" s="587">
        <v>102298</v>
      </c>
      <c r="BR22" s="40">
        <v>103769</v>
      </c>
      <c r="BS22" s="104">
        <f>SUM(BO22:BR22)</f>
        <v>406335</v>
      </c>
      <c r="BT22" s="114">
        <v>103784.81000000001</v>
      </c>
      <c r="BU22" s="99">
        <v>105266</v>
      </c>
      <c r="BV22" s="99">
        <v>106855</v>
      </c>
      <c r="BW22" s="99">
        <v>109057.11630000002</v>
      </c>
      <c r="BX22" s="104">
        <f>SUM(BT22:BW22)</f>
        <v>424962.92630000005</v>
      </c>
      <c r="BY22" s="114">
        <v>108165.80870000001</v>
      </c>
      <c r="BZ22" s="99">
        <v>109736.18000000002</v>
      </c>
      <c r="CA22" s="99">
        <v>111400.31</v>
      </c>
      <c r="CB22" s="99">
        <v>113655.03196300002</v>
      </c>
      <c r="CC22" s="104">
        <f>SUM(BY22:CB22)</f>
        <v>442957.33066300006</v>
      </c>
      <c r="CD22" s="114">
        <v>112834.31705899999</v>
      </c>
      <c r="CE22" s="99">
        <v>114500.3072</v>
      </c>
      <c r="CF22" s="99">
        <v>116244.6493</v>
      </c>
      <c r="CG22" s="99">
        <v>118554.51071013001</v>
      </c>
      <c r="CH22" s="104">
        <f>SUM(CD22:CG22)</f>
        <v>462133.78426912997</v>
      </c>
      <c r="CI22" s="114">
        <v>117811.34691653</v>
      </c>
      <c r="CJ22" s="99">
        <v>119579.87310500001</v>
      </c>
      <c r="CK22" s="99">
        <v>121409.882792</v>
      </c>
      <c r="CL22" s="99">
        <v>123777.58762859381</v>
      </c>
      <c r="CM22" s="104">
        <f>SUM(CI22:CL22)</f>
        <v>482578.6904421238</v>
      </c>
      <c r="CN22" s="114">
        <v>123119.47767158662</v>
      </c>
      <c r="CO22" s="99">
        <v>124997.972710085</v>
      </c>
      <c r="CP22" s="99">
        <v>126919.50673952501</v>
      </c>
      <c r="CQ22" s="99">
        <v>129347.94162893045</v>
      </c>
      <c r="CR22" s="104">
        <f>SUM(CN22:CQ22)</f>
        <v>504384.89875012706</v>
      </c>
      <c r="CS22" s="114">
        <v>128782.97371001504</v>
      </c>
      <c r="CT22" s="99">
        <v>130779.42462190466</v>
      </c>
      <c r="CU22" s="99">
        <v>132798.77098808924</v>
      </c>
      <c r="CV22" s="99">
        <v>135291.01858394695</v>
      </c>
      <c r="CW22" s="104">
        <f>SUM(CS22:CV22)</f>
        <v>527652.18790395593</v>
      </c>
      <c r="CX22" s="114">
        <v>134827.91063642318</v>
      </c>
      <c r="CY22" s="99">
        <v>136950.90018673026</v>
      </c>
      <c r="CZ22" s="99">
        <v>139074.81033887225</v>
      </c>
      <c r="DA22" s="99">
        <v>141634.16370039835</v>
      </c>
      <c r="DB22" s="104">
        <f>SUM(CX22:DA22)</f>
        <v>552487.78486242401</v>
      </c>
      <c r="DC22" s="48"/>
      <c r="DD22" s="48"/>
      <c r="DE22" s="48"/>
      <c r="DF22" s="48"/>
      <c r="DG22" s="48"/>
      <c r="DH22" s="48"/>
      <c r="DI22" s="48"/>
      <c r="DJ22" s="48"/>
      <c r="DK22" s="99"/>
      <c r="DL22" s="99"/>
      <c r="DM22" s="18"/>
    </row>
    <row r="23" spans="1:123">
      <c r="A23" s="44" t="s">
        <v>594</v>
      </c>
      <c r="B23" s="41">
        <v>20535</v>
      </c>
      <c r="C23" s="40">
        <v>16574</v>
      </c>
      <c r="D23" s="178">
        <v>13225</v>
      </c>
      <c r="E23" s="162">
        <f>F23-SUM(B23:D23)</f>
        <v>10072</v>
      </c>
      <c r="F23" s="179">
        <v>60406</v>
      </c>
      <c r="G23" s="41">
        <v>17300</v>
      </c>
      <c r="H23" s="40">
        <v>15648</v>
      </c>
      <c r="I23" s="178">
        <v>18114</v>
      </c>
      <c r="J23" s="162">
        <f>K23-SUM(G23:I23)</f>
        <v>16402</v>
      </c>
      <c r="K23" s="179">
        <v>67464</v>
      </c>
      <c r="L23" s="41">
        <v>18383</v>
      </c>
      <c r="M23" s="40">
        <v>19900</v>
      </c>
      <c r="N23" s="178">
        <v>19482</v>
      </c>
      <c r="O23" s="162">
        <f>P23-SUM(L23:N23)</f>
        <v>20321</v>
      </c>
      <c r="P23" s="179">
        <v>78086</v>
      </c>
      <c r="Q23" s="41">
        <v>23659</v>
      </c>
      <c r="R23" s="40">
        <v>17925</v>
      </c>
      <c r="S23" s="178">
        <v>20733</v>
      </c>
      <c r="T23" s="162">
        <f>U23-SUM(Q23:S23)</f>
        <v>23618</v>
      </c>
      <c r="U23" s="179">
        <v>85935</v>
      </c>
      <c r="V23" s="41">
        <v>25331</v>
      </c>
      <c r="W23" s="40">
        <v>16680</v>
      </c>
      <c r="X23" s="178">
        <v>24068</v>
      </c>
      <c r="Y23" s="162">
        <f>Z23-SUM(V23:X23)</f>
        <v>16236</v>
      </c>
      <c r="Z23" s="179">
        <v>82315</v>
      </c>
      <c r="AA23" s="41">
        <v>25227</v>
      </c>
      <c r="AB23" s="40">
        <v>25261</v>
      </c>
      <c r="AC23" s="40">
        <v>24900</v>
      </c>
      <c r="AD23" s="40">
        <v>25608</v>
      </c>
      <c r="AE23" s="104">
        <f>SUM(AA23:AD23)</f>
        <v>100996</v>
      </c>
      <c r="AF23" s="41">
        <v>23073</v>
      </c>
      <c r="AG23" s="40">
        <v>25103</v>
      </c>
      <c r="AH23" s="40">
        <v>19465</v>
      </c>
      <c r="AI23" s="185">
        <v>23572</v>
      </c>
      <c r="AJ23" s="104">
        <f>SUM(AF23:AI23)</f>
        <v>91213</v>
      </c>
      <c r="AK23" s="41">
        <v>29006</v>
      </c>
      <c r="AL23" s="65">
        <v>25898</v>
      </c>
      <c r="AM23" s="40">
        <v>22122</v>
      </c>
      <c r="AN23" s="40">
        <v>17765</v>
      </c>
      <c r="AO23" s="104">
        <f>SUM(AK23:AN23)</f>
        <v>94791</v>
      </c>
      <c r="AP23" s="41">
        <v>31177</v>
      </c>
      <c r="AQ23" s="40">
        <v>27137</v>
      </c>
      <c r="AR23" s="40">
        <v>23157</v>
      </c>
      <c r="AS23" s="40">
        <v>21420</v>
      </c>
      <c r="AT23" s="104">
        <f>SUM(AP23:AS23)</f>
        <v>102891</v>
      </c>
      <c r="AU23" s="41">
        <v>35820</v>
      </c>
      <c r="AV23" s="40">
        <v>30337</v>
      </c>
      <c r="AW23" s="40">
        <v>27843</v>
      </c>
      <c r="AX23" s="40">
        <v>24328</v>
      </c>
      <c r="AY23" s="104">
        <f>SUM(AU23:AX23)</f>
        <v>118328</v>
      </c>
      <c r="AZ23" s="41">
        <v>22385</v>
      </c>
      <c r="BA23" s="40">
        <v>18699</v>
      </c>
      <c r="BB23" s="40">
        <v>19087</v>
      </c>
      <c r="BC23" s="40">
        <v>15573</v>
      </c>
      <c r="BD23" s="104">
        <f>SUM(AZ23:BC23)</f>
        <v>75744</v>
      </c>
      <c r="BE23" s="41">
        <v>24687</v>
      </c>
      <c r="BF23" s="40">
        <v>24481</v>
      </c>
      <c r="BG23" s="587">
        <v>17198</v>
      </c>
      <c r="BH23" s="40">
        <f>21217</f>
        <v>21217</v>
      </c>
      <c r="BI23" s="104">
        <f>SUM(BE23:BH23)</f>
        <v>87583</v>
      </c>
      <c r="BJ23" s="41">
        <v>21870</v>
      </c>
      <c r="BK23" s="40">
        <v>24172</v>
      </c>
      <c r="BL23" s="40">
        <v>18487</v>
      </c>
      <c r="BM23" s="40">
        <v>24320</v>
      </c>
      <c r="BN23" s="104">
        <f>SUM(BJ23:BM23)</f>
        <v>88849</v>
      </c>
      <c r="BO23" s="41">
        <v>27153</v>
      </c>
      <c r="BP23" s="587">
        <v>24304</v>
      </c>
      <c r="BQ23" s="587">
        <v>24641</v>
      </c>
      <c r="BR23" s="40">
        <v>22298</v>
      </c>
      <c r="BS23" s="104">
        <f>SUM(BO23:BR23)</f>
        <v>98396</v>
      </c>
      <c r="BT23" s="725">
        <v>18500</v>
      </c>
      <c r="BU23" s="99">
        <f>BT23*1.005</f>
        <v>18592.499999999996</v>
      </c>
      <c r="BV23" s="99">
        <f>BU23*1.005</f>
        <v>18685.462499999994</v>
      </c>
      <c r="BW23" s="99">
        <f>BV23*1.005</f>
        <v>18778.889812499991</v>
      </c>
      <c r="BX23" s="104">
        <f>SUM(BT23:BW23)</f>
        <v>74556.852312499977</v>
      </c>
      <c r="BY23" s="114">
        <f>+BW23*1.005</f>
        <v>18872.784261562487</v>
      </c>
      <c r="BZ23" s="99">
        <f>BY23*1.005</f>
        <v>18967.148182870296</v>
      </c>
      <c r="CA23" s="99">
        <f>BZ23*1.005</f>
        <v>19061.983923784646</v>
      </c>
      <c r="CB23" s="99">
        <f>CA23*1.005</f>
        <v>19157.293843403568</v>
      </c>
      <c r="CC23" s="104">
        <f>SUM(BY23:CB23)</f>
        <v>76059.210211620986</v>
      </c>
      <c r="CD23" s="114">
        <f>+CB23*1.005</f>
        <v>19253.080312620583</v>
      </c>
      <c r="CE23" s="99">
        <f>CD23*1.005</f>
        <v>19349.345714183684</v>
      </c>
      <c r="CF23" s="99">
        <f>CE23*1.005</f>
        <v>19446.092442754602</v>
      </c>
      <c r="CG23" s="99">
        <f>CF23*1.005</f>
        <v>19543.322904968372</v>
      </c>
      <c r="CH23" s="104">
        <f>SUM(CD23:CG23)</f>
        <v>77591.841374527241</v>
      </c>
      <c r="CI23" s="114">
        <f>+CG23*1.005</f>
        <v>19641.039519493213</v>
      </c>
      <c r="CJ23" s="99">
        <f>CI23*1.005</f>
        <v>19739.244717090678</v>
      </c>
      <c r="CK23" s="99">
        <f>CJ23*1.005</f>
        <v>19837.94094067613</v>
      </c>
      <c r="CL23" s="99">
        <f>CK23*1.005</f>
        <v>19937.130645379508</v>
      </c>
      <c r="CM23" s="104">
        <f>SUM(CI23:CL23)</f>
        <v>79155.355822639525</v>
      </c>
      <c r="CN23" s="114">
        <f>+CL23*1.005</f>
        <v>20036.816298606402</v>
      </c>
      <c r="CO23" s="99">
        <f>CN23*1.005</f>
        <v>20137.000380099431</v>
      </c>
      <c r="CP23" s="99">
        <f>CO23*1.005</f>
        <v>20237.685381999927</v>
      </c>
      <c r="CQ23" s="99">
        <f>CP23*1.005</f>
        <v>20338.873808909924</v>
      </c>
      <c r="CR23" s="104">
        <f>SUM(CN23:CQ23)</f>
        <v>80750.375869615673</v>
      </c>
      <c r="CS23" s="114">
        <f>+CQ23*1.005</f>
        <v>20440.568177954472</v>
      </c>
      <c r="CT23" s="99">
        <f>CS23*1.005</f>
        <v>20542.771018844243</v>
      </c>
      <c r="CU23" s="99">
        <f>CT23*1.005</f>
        <v>20645.484873938462</v>
      </c>
      <c r="CV23" s="99">
        <f>CU23*1.005</f>
        <v>20748.71229830815</v>
      </c>
      <c r="CW23" s="104">
        <f>SUM(CS23:CV23)</f>
        <v>82377.536369045323</v>
      </c>
      <c r="CX23" s="114">
        <f>+CV23*1.005</f>
        <v>20852.455859799687</v>
      </c>
      <c r="CY23" s="99">
        <f>CX23*1.005</f>
        <v>20956.718139098684</v>
      </c>
      <c r="CZ23" s="99">
        <f>CY23*1.005</f>
        <v>21061.501729794174</v>
      </c>
      <c r="DA23" s="99">
        <f>CZ23*1.005</f>
        <v>21166.809238443144</v>
      </c>
      <c r="DB23" s="104">
        <f>SUM(CX23:DA23)</f>
        <v>84037.484967135693</v>
      </c>
      <c r="DC23" s="48"/>
      <c r="DD23" s="48"/>
      <c r="DE23" s="48"/>
      <c r="DF23" s="48"/>
      <c r="DG23" s="48"/>
      <c r="DH23" s="48"/>
      <c r="DI23" s="48"/>
      <c r="DJ23" s="48"/>
      <c r="DK23" s="99"/>
      <c r="DL23" s="99"/>
      <c r="DM23" s="18"/>
    </row>
    <row r="24" spans="1:123">
      <c r="A24" s="45" t="s">
        <v>928</v>
      </c>
      <c r="B24" s="155">
        <f>SUM(B21:B23)</f>
        <v>197650</v>
      </c>
      <c r="C24" s="163">
        <f t="shared" ref="C24:Z24" si="11">SUM(C21:C23)</f>
        <v>176446</v>
      </c>
      <c r="D24" s="4">
        <f t="shared" si="11"/>
        <v>171451</v>
      </c>
      <c r="E24" s="163">
        <f t="shared" si="11"/>
        <v>148018</v>
      </c>
      <c r="F24" s="215">
        <f t="shared" si="11"/>
        <v>693565</v>
      </c>
      <c r="G24" s="155">
        <f t="shared" si="11"/>
        <v>184019</v>
      </c>
      <c r="H24" s="163">
        <f t="shared" si="11"/>
        <v>177796</v>
      </c>
      <c r="I24" s="4">
        <f t="shared" si="11"/>
        <v>219253</v>
      </c>
      <c r="J24" s="163">
        <f t="shared" si="11"/>
        <v>222321</v>
      </c>
      <c r="K24" s="215">
        <f t="shared" si="11"/>
        <v>803389</v>
      </c>
      <c r="L24" s="155">
        <f t="shared" si="11"/>
        <v>232214</v>
      </c>
      <c r="M24" s="163">
        <f t="shared" si="11"/>
        <v>243732</v>
      </c>
      <c r="N24" s="4">
        <f t="shared" si="11"/>
        <v>230235</v>
      </c>
      <c r="O24" s="163">
        <f t="shared" si="11"/>
        <v>270129</v>
      </c>
      <c r="P24" s="215">
        <f t="shared" si="11"/>
        <v>976310</v>
      </c>
      <c r="Q24" s="155">
        <f t="shared" si="11"/>
        <v>238752</v>
      </c>
      <c r="R24" s="163">
        <f t="shared" si="11"/>
        <v>231585</v>
      </c>
      <c r="S24" s="4">
        <f t="shared" si="11"/>
        <v>237449</v>
      </c>
      <c r="T24" s="163">
        <f t="shared" si="11"/>
        <v>281688</v>
      </c>
      <c r="U24" s="215">
        <f t="shared" si="11"/>
        <v>989474</v>
      </c>
      <c r="V24" s="155">
        <f t="shared" si="11"/>
        <v>252802</v>
      </c>
      <c r="W24" s="163">
        <f t="shared" si="11"/>
        <v>247812</v>
      </c>
      <c r="X24" s="4">
        <f t="shared" si="11"/>
        <v>264157</v>
      </c>
      <c r="Y24" s="163">
        <f t="shared" si="11"/>
        <v>256068</v>
      </c>
      <c r="Z24" s="215">
        <f t="shared" si="11"/>
        <v>1020839</v>
      </c>
      <c r="AA24" s="155">
        <f t="shared" ref="AA24:AZ24" si="12">SUM(AA21:AA23)</f>
        <v>259072</v>
      </c>
      <c r="AB24" s="163">
        <f t="shared" si="12"/>
        <v>281384</v>
      </c>
      <c r="AC24" s="4">
        <f t="shared" si="12"/>
        <v>276896</v>
      </c>
      <c r="AD24" s="163">
        <f t="shared" si="12"/>
        <v>308760</v>
      </c>
      <c r="AE24" s="215">
        <f t="shared" si="12"/>
        <v>1126112</v>
      </c>
      <c r="AF24" s="169">
        <f t="shared" si="12"/>
        <v>281201</v>
      </c>
      <c r="AG24" s="170">
        <f t="shared" si="12"/>
        <v>279091</v>
      </c>
      <c r="AH24" s="218">
        <f t="shared" si="12"/>
        <v>280592</v>
      </c>
      <c r="AI24" s="170">
        <f t="shared" si="12"/>
        <v>306258</v>
      </c>
      <c r="AJ24" s="215">
        <f t="shared" si="12"/>
        <v>1147142</v>
      </c>
      <c r="AK24" s="169">
        <f t="shared" si="12"/>
        <v>303003</v>
      </c>
      <c r="AL24" s="441">
        <f t="shared" si="12"/>
        <v>304519</v>
      </c>
      <c r="AM24" s="218">
        <f t="shared" si="12"/>
        <v>285043</v>
      </c>
      <c r="AN24" s="170">
        <f t="shared" si="12"/>
        <v>333830</v>
      </c>
      <c r="AO24" s="215">
        <f t="shared" si="12"/>
        <v>1226395</v>
      </c>
      <c r="AP24" s="169">
        <f t="shared" si="12"/>
        <v>307467</v>
      </c>
      <c r="AQ24" s="170">
        <f t="shared" si="12"/>
        <v>315849</v>
      </c>
      <c r="AR24" s="218">
        <f t="shared" si="12"/>
        <v>310639</v>
      </c>
      <c r="AS24" s="170">
        <f>SUM(AS21:AS23)</f>
        <v>310867</v>
      </c>
      <c r="AT24" s="215">
        <f>SUM(AT21:AT23)</f>
        <v>1244822</v>
      </c>
      <c r="AU24" s="169">
        <f t="shared" si="12"/>
        <v>349644</v>
      </c>
      <c r="AV24" s="170">
        <f t="shared" si="12"/>
        <v>325485</v>
      </c>
      <c r="AW24" s="218">
        <f t="shared" si="12"/>
        <v>331129</v>
      </c>
      <c r="AX24" s="170">
        <f>SUM(AX21:AX23)</f>
        <v>334418.15384615387</v>
      </c>
      <c r="AY24" s="215">
        <f t="shared" si="12"/>
        <v>1340676.153846154</v>
      </c>
      <c r="AZ24" s="169">
        <f t="shared" si="12"/>
        <v>216525</v>
      </c>
      <c r="BA24" s="170">
        <f t="shared" ref="BA24:BF24" si="13">SUM(BA21:BA23)</f>
        <v>244149</v>
      </c>
      <c r="BB24" s="218">
        <f t="shared" si="13"/>
        <v>247083</v>
      </c>
      <c r="BC24" s="170">
        <f t="shared" si="13"/>
        <v>261814</v>
      </c>
      <c r="BD24" s="215">
        <f t="shared" si="13"/>
        <v>969571</v>
      </c>
      <c r="BE24" s="169">
        <f t="shared" si="13"/>
        <v>264973</v>
      </c>
      <c r="BF24" s="384">
        <f t="shared" si="13"/>
        <v>252337</v>
      </c>
      <c r="BG24" s="218">
        <f t="shared" ref="BG24:BS24" si="14">SUM(BG21:BG23)</f>
        <v>252476</v>
      </c>
      <c r="BH24" s="384">
        <f t="shared" si="14"/>
        <v>278165</v>
      </c>
      <c r="BI24" s="592">
        <f t="shared" si="14"/>
        <v>1047951</v>
      </c>
      <c r="BJ24" s="169">
        <f t="shared" si="14"/>
        <v>271493</v>
      </c>
      <c r="BK24" s="384">
        <f t="shared" si="14"/>
        <v>291086</v>
      </c>
      <c r="BL24" s="218">
        <f>SUM(BL21:BL23)</f>
        <v>282701</v>
      </c>
      <c r="BM24" s="384">
        <f t="shared" si="14"/>
        <v>303489</v>
      </c>
      <c r="BN24" s="215">
        <f t="shared" si="14"/>
        <v>1148769</v>
      </c>
      <c r="BO24" s="169">
        <f t="shared" si="14"/>
        <v>291341</v>
      </c>
      <c r="BP24" s="170">
        <f t="shared" si="14"/>
        <v>318654</v>
      </c>
      <c r="BQ24" s="218">
        <f t="shared" si="14"/>
        <v>309348</v>
      </c>
      <c r="BR24" s="384">
        <f t="shared" si="14"/>
        <v>320578</v>
      </c>
      <c r="BS24" s="215">
        <f t="shared" si="14"/>
        <v>1239921</v>
      </c>
      <c r="BT24" s="169">
        <f t="shared" ref="BT24:DB24" si="15">SUM(BT21:BT23)</f>
        <v>292846.95339055918</v>
      </c>
      <c r="BU24" s="170">
        <f t="shared" si="15"/>
        <v>304924.69926127041</v>
      </c>
      <c r="BV24" s="218">
        <f t="shared" si="15"/>
        <v>315846.47476498666</v>
      </c>
      <c r="BW24" s="170">
        <f t="shared" si="15"/>
        <v>339966.1542495914</v>
      </c>
      <c r="BX24" s="215">
        <f t="shared" si="15"/>
        <v>1253584.2816664076</v>
      </c>
      <c r="BY24" s="169">
        <f t="shared" si="15"/>
        <v>302970.9769873367</v>
      </c>
      <c r="BZ24" s="170">
        <f t="shared" si="15"/>
        <v>315455.01665998978</v>
      </c>
      <c r="CA24" s="218">
        <f t="shared" si="15"/>
        <v>326791.12232933694</v>
      </c>
      <c r="CB24" s="170">
        <f t="shared" si="15"/>
        <v>351596.75498342083</v>
      </c>
      <c r="CC24" s="215">
        <f t="shared" si="15"/>
        <v>1296813.870960084</v>
      </c>
      <c r="CD24" s="169">
        <f t="shared" si="15"/>
        <v>312734.44189643371</v>
      </c>
      <c r="CE24" s="170">
        <f t="shared" si="15"/>
        <v>325553.88991884387</v>
      </c>
      <c r="CF24" s="218">
        <f t="shared" si="15"/>
        <v>337282.77253869461</v>
      </c>
      <c r="CG24" s="170">
        <f t="shared" si="15"/>
        <v>362663.32391699101</v>
      </c>
      <c r="CH24" s="215">
        <f t="shared" si="15"/>
        <v>1338234.428270963</v>
      </c>
      <c r="CI24" s="169">
        <f t="shared" si="15"/>
        <v>322950.12039082643</v>
      </c>
      <c r="CJ24" s="170">
        <f t="shared" si="15"/>
        <v>336117.59323382558</v>
      </c>
      <c r="CK24" s="218">
        <f t="shared" si="15"/>
        <v>348254.47008254135</v>
      </c>
      <c r="CL24" s="170">
        <f t="shared" si="15"/>
        <v>374226.6631318783</v>
      </c>
      <c r="CM24" s="215">
        <f t="shared" si="15"/>
        <v>1381548.8468390717</v>
      </c>
      <c r="CN24" s="169">
        <f t="shared" si="15"/>
        <v>333645.01710137038</v>
      </c>
      <c r="CO24" s="170">
        <f t="shared" si="15"/>
        <v>347173.66163638781</v>
      </c>
      <c r="CP24" s="218">
        <f t="shared" si="15"/>
        <v>359735.12080593582</v>
      </c>
      <c r="CQ24" s="170">
        <f t="shared" si="15"/>
        <v>386315.20624651783</v>
      </c>
      <c r="CR24" s="215">
        <f t="shared" si="15"/>
        <v>1426869.005790212</v>
      </c>
      <c r="CS24" s="169">
        <f t="shared" si="15"/>
        <v>344847.92592083983</v>
      </c>
      <c r="CT24" s="170">
        <f t="shared" si="15"/>
        <v>358751.57822362543</v>
      </c>
      <c r="CU24" s="218">
        <f t="shared" si="15"/>
        <v>371755.02216445887</v>
      </c>
      <c r="CV24" s="170">
        <f t="shared" si="15"/>
        <v>398959.66889600351</v>
      </c>
      <c r="CW24" s="215">
        <f t="shared" si="15"/>
        <v>1474314.1952049276</v>
      </c>
      <c r="CX24" s="169">
        <f t="shared" si="15"/>
        <v>356589.56579422095</v>
      </c>
      <c r="CY24" s="170">
        <f t="shared" si="15"/>
        <v>370882.7960516889</v>
      </c>
      <c r="CZ24" s="218">
        <f t="shared" si="15"/>
        <v>384346.46054502431</v>
      </c>
      <c r="DA24" s="170">
        <f t="shared" si="15"/>
        <v>412192.89733166032</v>
      </c>
      <c r="DB24" s="215">
        <f t="shared" si="15"/>
        <v>1524011.7197225944</v>
      </c>
      <c r="DC24" s="170"/>
      <c r="DD24" s="170"/>
      <c r="DE24" s="170"/>
      <c r="DF24" s="170"/>
      <c r="DG24" s="170"/>
      <c r="DH24" s="170"/>
      <c r="DI24" s="170"/>
      <c r="DJ24" s="170"/>
      <c r="DK24" s="170"/>
      <c r="DL24" s="170"/>
      <c r="DM24" s="25"/>
    </row>
    <row r="25" spans="1:123">
      <c r="A25" s="43"/>
      <c r="B25" s="41"/>
      <c r="C25" s="40"/>
      <c r="D25" s="178"/>
      <c r="E25" s="40" t="s">
        <v>653</v>
      </c>
      <c r="F25" s="179" t="s">
        <v>653</v>
      </c>
      <c r="G25" s="41"/>
      <c r="H25" s="40"/>
      <c r="I25" s="178"/>
      <c r="J25" s="40" t="s">
        <v>653</v>
      </c>
      <c r="K25" s="179" t="s">
        <v>653</v>
      </c>
      <c r="L25" s="41"/>
      <c r="M25" s="40"/>
      <c r="N25" s="178"/>
      <c r="O25" s="40" t="s">
        <v>653</v>
      </c>
      <c r="P25" s="179" t="s">
        <v>653</v>
      </c>
      <c r="Q25" s="41"/>
      <c r="R25" s="40"/>
      <c r="S25" s="178"/>
      <c r="T25" s="40" t="s">
        <v>653</v>
      </c>
      <c r="U25" s="179" t="s">
        <v>653</v>
      </c>
      <c r="V25" s="41"/>
      <c r="W25" s="40"/>
      <c r="X25" s="178"/>
      <c r="Y25" s="40" t="s">
        <v>653</v>
      </c>
      <c r="Z25" s="179" t="s">
        <v>653</v>
      </c>
      <c r="AA25" s="41"/>
      <c r="AB25" s="40"/>
      <c r="AC25" s="178"/>
      <c r="AD25" s="40" t="s">
        <v>653</v>
      </c>
      <c r="AE25" s="179" t="s">
        <v>653</v>
      </c>
      <c r="AF25" s="184"/>
      <c r="AG25" s="185"/>
      <c r="AH25" s="186"/>
      <c r="AI25" s="185" t="s">
        <v>653</v>
      </c>
      <c r="AJ25" s="179" t="s">
        <v>653</v>
      </c>
      <c r="AK25" s="184"/>
      <c r="AL25" s="185"/>
      <c r="AM25" s="186"/>
      <c r="AN25" s="185" t="s">
        <v>653</v>
      </c>
      <c r="AO25" s="179" t="s">
        <v>653</v>
      </c>
      <c r="AP25" s="184"/>
      <c r="AQ25" s="185" t="s">
        <v>653</v>
      </c>
      <c r="AR25" s="186"/>
      <c r="AS25" s="185" t="s">
        <v>653</v>
      </c>
      <c r="AT25" s="179" t="s">
        <v>653</v>
      </c>
      <c r="AU25" s="184"/>
      <c r="AV25" s="185" t="s">
        <v>653</v>
      </c>
      <c r="AW25" s="186"/>
      <c r="AX25" s="185" t="s">
        <v>653</v>
      </c>
      <c r="AY25" s="179" t="s">
        <v>653</v>
      </c>
      <c r="AZ25" s="184"/>
      <c r="BA25" s="185" t="s">
        <v>653</v>
      </c>
      <c r="BB25" s="186"/>
      <c r="BC25" s="185" t="s">
        <v>653</v>
      </c>
      <c r="BD25" s="179" t="s">
        <v>653</v>
      </c>
      <c r="BE25" s="184"/>
      <c r="BF25" s="185"/>
      <c r="BG25" s="186"/>
      <c r="BH25" s="185" t="s">
        <v>653</v>
      </c>
      <c r="BI25" s="179" t="s">
        <v>653</v>
      </c>
      <c r="BJ25" s="184"/>
      <c r="BK25" s="185"/>
      <c r="BL25" s="186"/>
      <c r="BM25" s="185"/>
      <c r="BN25" s="179" t="s">
        <v>653</v>
      </c>
      <c r="BO25" s="184"/>
      <c r="BP25" s="185"/>
      <c r="BQ25" s="186"/>
      <c r="BR25" s="185"/>
      <c r="BS25" s="179" t="s">
        <v>653</v>
      </c>
      <c r="BT25" s="184"/>
      <c r="BU25" s="185"/>
      <c r="BV25" s="186"/>
      <c r="BW25" s="185" t="s">
        <v>653</v>
      </c>
      <c r="BX25" s="179" t="s">
        <v>653</v>
      </c>
      <c r="BY25" s="184"/>
      <c r="BZ25" s="185"/>
      <c r="CA25" s="186"/>
      <c r="CB25" s="185" t="s">
        <v>653</v>
      </c>
      <c r="CC25" s="179" t="s">
        <v>653</v>
      </c>
      <c r="CD25" s="184"/>
      <c r="CE25" s="185"/>
      <c r="CF25" s="186"/>
      <c r="CG25" s="185" t="s">
        <v>653</v>
      </c>
      <c r="CH25" s="179" t="s">
        <v>653</v>
      </c>
      <c r="CI25" s="184"/>
      <c r="CJ25" s="185"/>
      <c r="CK25" s="186"/>
      <c r="CL25" s="185" t="s">
        <v>653</v>
      </c>
      <c r="CM25" s="179" t="s">
        <v>653</v>
      </c>
      <c r="CN25" s="184"/>
      <c r="CO25" s="185"/>
      <c r="CP25" s="186"/>
      <c r="CQ25" s="185" t="s">
        <v>653</v>
      </c>
      <c r="CR25" s="179" t="s">
        <v>653</v>
      </c>
      <c r="CS25" s="184"/>
      <c r="CT25" s="185"/>
      <c r="CU25" s="186"/>
      <c r="CV25" s="185" t="s">
        <v>653</v>
      </c>
      <c r="CW25" s="179" t="s">
        <v>653</v>
      </c>
      <c r="CX25" s="184"/>
      <c r="CY25" s="185"/>
      <c r="CZ25" s="186"/>
      <c r="DA25" s="185" t="s">
        <v>653</v>
      </c>
      <c r="DB25" s="179" t="s">
        <v>653</v>
      </c>
      <c r="DC25" s="185"/>
      <c r="DD25" s="185"/>
      <c r="DE25" s="185"/>
      <c r="DF25" s="185"/>
      <c r="DG25" s="185"/>
      <c r="DH25" s="185"/>
      <c r="DI25" s="185"/>
      <c r="DJ25" s="185"/>
      <c r="DK25" s="185"/>
      <c r="DL25" s="185"/>
      <c r="DM25" s="18"/>
    </row>
    <row r="26" spans="1:123">
      <c r="A26" s="45" t="s">
        <v>250</v>
      </c>
      <c r="B26" s="41">
        <v>0</v>
      </c>
      <c r="C26" s="40">
        <v>0</v>
      </c>
      <c r="D26" s="178">
        <v>0</v>
      </c>
      <c r="E26" s="162">
        <f>F26-SUM(B26:D26)</f>
        <v>2401</v>
      </c>
      <c r="F26" s="179">
        <v>2401</v>
      </c>
      <c r="G26" s="41">
        <v>0</v>
      </c>
      <c r="H26" s="40">
        <v>0</v>
      </c>
      <c r="I26" s="178">
        <v>2822</v>
      </c>
      <c r="J26" s="162">
        <f>K26-SUM(G26:I26)</f>
        <v>5799</v>
      </c>
      <c r="K26" s="179">
        <v>8621</v>
      </c>
      <c r="L26" s="41">
        <v>31641</v>
      </c>
      <c r="M26" s="40">
        <v>18321</v>
      </c>
      <c r="N26" s="178">
        <v>22788</v>
      </c>
      <c r="O26" s="162">
        <f>P26-SUM(L26:N26)</f>
        <v>23133</v>
      </c>
      <c r="P26" s="179">
        <v>95883</v>
      </c>
      <c r="Q26" s="41">
        <v>24055</v>
      </c>
      <c r="R26" s="40">
        <v>18758</v>
      </c>
      <c r="S26" s="178">
        <v>22162</v>
      </c>
      <c r="T26" s="162">
        <f>U26-SUM(Q26:S26)</f>
        <v>24933</v>
      </c>
      <c r="U26" s="179">
        <v>89908</v>
      </c>
      <c r="V26" s="41">
        <v>27783</v>
      </c>
      <c r="W26" s="40">
        <v>17610</v>
      </c>
      <c r="X26" s="178">
        <v>29412</v>
      </c>
      <c r="Y26" s="162">
        <f>Z26-SUM(V26:X26)</f>
        <v>26627</v>
      </c>
      <c r="Z26" s="179">
        <v>101432</v>
      </c>
      <c r="AA26" s="41">
        <v>21222</v>
      </c>
      <c r="AB26" s="40">
        <v>14188</v>
      </c>
      <c r="AC26" s="40">
        <v>20054</v>
      </c>
      <c r="AD26" s="334">
        <v>17258</v>
      </c>
      <c r="AE26" s="104">
        <f>SUM(AA26:AD26)</f>
        <v>72722</v>
      </c>
      <c r="AF26" s="41">
        <v>21116</v>
      </c>
      <c r="AG26" s="334">
        <v>20676</v>
      </c>
      <c r="AH26" s="334">
        <v>29390</v>
      </c>
      <c r="AI26" s="334">
        <v>30698</v>
      </c>
      <c r="AJ26" s="104">
        <f>SUM(AF26:AI26)</f>
        <v>101880</v>
      </c>
      <c r="AK26" s="41">
        <v>32092</v>
      </c>
      <c r="AL26" s="334">
        <v>29544</v>
      </c>
      <c r="AM26" s="334">
        <v>32029</v>
      </c>
      <c r="AN26" s="334">
        <v>33581</v>
      </c>
      <c r="AO26" s="432">
        <f>SUM(AK26:AN26)</f>
        <v>127246</v>
      </c>
      <c r="AP26" s="41">
        <v>34620</v>
      </c>
      <c r="AQ26" s="334">
        <v>29169</v>
      </c>
      <c r="AR26" s="334">
        <v>28591</v>
      </c>
      <c r="AS26" s="334">
        <v>30644</v>
      </c>
      <c r="AT26" s="432">
        <f>SUM(AP26:AS26)</f>
        <v>123024</v>
      </c>
      <c r="AU26" s="41">
        <v>25855</v>
      </c>
      <c r="AV26" s="334">
        <v>26421</v>
      </c>
      <c r="AW26" s="334">
        <v>27468</v>
      </c>
      <c r="AX26" s="334">
        <v>30773</v>
      </c>
      <c r="AY26" s="432">
        <f>SUM(AU26:AX26)</f>
        <v>110517</v>
      </c>
      <c r="AZ26" s="41">
        <v>33659</v>
      </c>
      <c r="BA26" s="334">
        <v>25435</v>
      </c>
      <c r="BB26" s="65">
        <f>-52347+76400</f>
        <v>24053</v>
      </c>
      <c r="BC26" s="334">
        <v>34256</v>
      </c>
      <c r="BD26" s="104">
        <f>SUM(AZ26:BC26)</f>
        <v>117403</v>
      </c>
      <c r="BE26" s="41">
        <v>30921</v>
      </c>
      <c r="BF26" s="334">
        <v>30040</v>
      </c>
      <c r="BG26" s="334">
        <v>32244</v>
      </c>
      <c r="BH26" s="334">
        <f>32095</f>
        <v>32095</v>
      </c>
      <c r="BI26" s="104">
        <f>SUM(BE26:BH26)</f>
        <v>125300</v>
      </c>
      <c r="BJ26" s="41">
        <v>32914</v>
      </c>
      <c r="BK26" s="334">
        <v>32372</v>
      </c>
      <c r="BL26" s="334">
        <v>35155</v>
      </c>
      <c r="BM26" s="334">
        <v>39249</v>
      </c>
      <c r="BN26" s="104">
        <f>SUM(BJ26:BM26)</f>
        <v>139690</v>
      </c>
      <c r="BO26" s="41">
        <v>39564</v>
      </c>
      <c r="BP26" s="587">
        <v>39363</v>
      </c>
      <c r="BQ26" s="587">
        <v>40058</v>
      </c>
      <c r="BR26" s="334">
        <v>40293</v>
      </c>
      <c r="BS26" s="432">
        <f>SUM(BO26:BR26)</f>
        <v>159278</v>
      </c>
      <c r="BT26" s="431">
        <v>37193</v>
      </c>
      <c r="BU26" s="431">
        <v>37369</v>
      </c>
      <c r="BV26" s="431">
        <v>37887</v>
      </c>
      <c r="BW26" s="431">
        <v>38179.49</v>
      </c>
      <c r="BX26" s="432">
        <f>SUM(BT26:BW26)</f>
        <v>150628.49</v>
      </c>
      <c r="BY26" s="431">
        <v>37796.564999999995</v>
      </c>
      <c r="BZ26" s="431">
        <v>37924.845000000001</v>
      </c>
      <c r="CA26" s="431">
        <v>38459.834999999999</v>
      </c>
      <c r="CB26" s="431">
        <v>38771.787449999996</v>
      </c>
      <c r="CC26" s="432">
        <f>SUM(BY26:CB26)</f>
        <v>152953.03245</v>
      </c>
      <c r="CD26" s="431">
        <v>38413.587824999995</v>
      </c>
      <c r="CE26" s="431">
        <v>38492.694224999999</v>
      </c>
      <c r="CF26" s="431">
        <v>39045.119174999993</v>
      </c>
      <c r="CG26" s="431">
        <v>39377.081387249993</v>
      </c>
      <c r="CH26" s="432">
        <f>SUM(CD26:CG26)</f>
        <v>155328.48261224997</v>
      </c>
      <c r="CI26" s="431">
        <v>38605.655764124989</v>
      </c>
      <c r="CJ26" s="431">
        <v>38685.157696124996</v>
      </c>
      <c r="CK26" s="431">
        <v>39240.344770874988</v>
      </c>
      <c r="CL26" s="431">
        <v>39573.966794186243</v>
      </c>
      <c r="CM26" s="432">
        <f>SUM(CI26:CL26)</f>
        <v>156105.12502531119</v>
      </c>
      <c r="CN26" s="431">
        <v>38798.684042945606</v>
      </c>
      <c r="CO26" s="431">
        <v>38878.58348460561</v>
      </c>
      <c r="CP26" s="431">
        <v>39436.546494729359</v>
      </c>
      <c r="CQ26" s="431">
        <v>39771.836628157165</v>
      </c>
      <c r="CR26" s="432">
        <f>SUM(CN26:CQ26)</f>
        <v>156885.65065043775</v>
      </c>
      <c r="CS26" s="431">
        <v>38992.677463160333</v>
      </c>
      <c r="CT26" s="431">
        <v>39072.976402028638</v>
      </c>
      <c r="CU26" s="431">
        <v>39633.729227203003</v>
      </c>
      <c r="CV26" s="431">
        <v>39970.695811297948</v>
      </c>
      <c r="CW26" s="432">
        <f>SUM(CS26:CV26)</f>
        <v>157670.07890368992</v>
      </c>
      <c r="CX26" s="431">
        <v>39187.640850476135</v>
      </c>
      <c r="CY26" s="431">
        <v>39268.341284038775</v>
      </c>
      <c r="CZ26" s="431">
        <v>39831.89787333901</v>
      </c>
      <c r="DA26" s="431">
        <v>40170.549290354429</v>
      </c>
      <c r="DB26" s="432">
        <f>SUM(CX26:DA26)</f>
        <v>158458.42929820836</v>
      </c>
      <c r="DC26" s="555"/>
      <c r="DD26" s="555"/>
      <c r="DE26" s="555"/>
      <c r="DF26" s="555"/>
      <c r="DG26" s="555"/>
      <c r="DH26" s="555"/>
      <c r="DI26" s="555"/>
      <c r="DJ26" s="555"/>
      <c r="DK26" s="99"/>
      <c r="DL26" s="99"/>
      <c r="DM26" s="18"/>
    </row>
    <row r="27" spans="1:123">
      <c r="A27" s="43"/>
      <c r="B27" s="41"/>
      <c r="C27" s="40"/>
      <c r="D27" s="178"/>
      <c r="E27" s="40"/>
      <c r="F27" s="179"/>
      <c r="G27" s="41"/>
      <c r="H27" s="40"/>
      <c r="I27" s="178"/>
      <c r="J27" s="40"/>
      <c r="K27" s="179"/>
      <c r="L27" s="41"/>
      <c r="M27" s="40"/>
      <c r="N27" s="178"/>
      <c r="O27" s="40"/>
      <c r="P27" s="179"/>
      <c r="Q27" s="41"/>
      <c r="R27" s="40"/>
      <c r="S27" s="178"/>
      <c r="T27" s="40"/>
      <c r="U27" s="179"/>
      <c r="V27" s="41"/>
      <c r="W27" s="40"/>
      <c r="X27" s="178"/>
      <c r="Y27" s="40"/>
      <c r="Z27" s="179"/>
      <c r="AA27" s="41"/>
      <c r="AB27" s="40"/>
      <c r="AC27" s="178"/>
      <c r="AD27" s="40"/>
      <c r="AE27" s="179"/>
      <c r="AF27" s="184"/>
      <c r="AG27" s="185"/>
      <c r="AH27" s="186"/>
      <c r="AI27" s="185"/>
      <c r="AJ27" s="179"/>
      <c r="AK27" s="184"/>
      <c r="AL27" s="185"/>
      <c r="AM27" s="186"/>
      <c r="AN27" s="185"/>
      <c r="AO27" s="179"/>
      <c r="AP27" s="184"/>
      <c r="AQ27" s="185"/>
      <c r="AR27" s="186"/>
      <c r="AS27" s="185"/>
      <c r="AT27" s="179"/>
      <c r="AU27" s="184"/>
      <c r="AV27" s="185"/>
      <c r="AW27" s="186"/>
      <c r="AX27" s="185"/>
      <c r="AY27" s="179"/>
      <c r="AZ27" s="184"/>
      <c r="BA27" s="185"/>
      <c r="BB27" s="186"/>
      <c r="BC27" s="185"/>
      <c r="BD27" s="179"/>
      <c r="BE27" s="184"/>
      <c r="BF27" s="185"/>
      <c r="BG27" s="186"/>
      <c r="BH27" s="185"/>
      <c r="BI27" s="179"/>
      <c r="BJ27" s="184"/>
      <c r="BK27" s="185"/>
      <c r="BL27" s="186"/>
      <c r="BM27" s="185"/>
      <c r="BN27" s="179"/>
      <c r="BO27" s="184"/>
      <c r="BP27" s="185"/>
      <c r="BQ27" s="186"/>
      <c r="BR27" s="673"/>
      <c r="BS27" s="179"/>
      <c r="BT27" s="184"/>
      <c r="BU27" s="185"/>
      <c r="BV27" s="186"/>
      <c r="BW27" s="673"/>
      <c r="BX27" s="179"/>
      <c r="BY27" s="184"/>
      <c r="BZ27" s="185"/>
      <c r="CA27" s="186"/>
      <c r="CB27" s="673"/>
      <c r="CC27" s="179"/>
      <c r="CD27" s="184"/>
      <c r="CE27" s="185"/>
      <c r="CF27" s="186"/>
      <c r="CG27" s="673"/>
      <c r="CH27" s="179"/>
      <c r="CI27" s="184"/>
      <c r="CJ27" s="185"/>
      <c r="CK27" s="186"/>
      <c r="CL27" s="673"/>
      <c r="CM27" s="179"/>
      <c r="CN27" s="184"/>
      <c r="CO27" s="185"/>
      <c r="CP27" s="186"/>
      <c r="CQ27" s="673"/>
      <c r="CR27" s="179"/>
      <c r="CS27" s="184"/>
      <c r="CT27" s="185"/>
      <c r="CU27" s="186"/>
      <c r="CV27" s="673"/>
      <c r="CW27" s="179"/>
      <c r="CX27" s="184"/>
      <c r="CY27" s="185"/>
      <c r="CZ27" s="186"/>
      <c r="DA27" s="673"/>
      <c r="DB27" s="179"/>
      <c r="DC27" s="185"/>
      <c r="DD27" s="185"/>
      <c r="DE27" s="185"/>
      <c r="DF27" s="185"/>
      <c r="DG27" s="185"/>
      <c r="DH27" s="185"/>
      <c r="DI27" s="185"/>
      <c r="DJ27" s="185"/>
      <c r="DK27" s="185"/>
      <c r="DL27" s="185"/>
      <c r="DM27" s="18"/>
    </row>
    <row r="28" spans="1:123">
      <c r="A28" s="45" t="s">
        <v>929</v>
      </c>
      <c r="B28" s="155">
        <f t="shared" ref="B28:AG28" si="16">B18-B24+B26</f>
        <v>195108</v>
      </c>
      <c r="C28" s="163">
        <f t="shared" si="16"/>
        <v>53606</v>
      </c>
      <c r="D28" s="163">
        <f t="shared" si="16"/>
        <v>48395</v>
      </c>
      <c r="E28" s="163">
        <f t="shared" si="16"/>
        <v>148944</v>
      </c>
      <c r="F28" s="219">
        <f t="shared" si="16"/>
        <v>446053</v>
      </c>
      <c r="G28" s="155">
        <f t="shared" si="16"/>
        <v>186378</v>
      </c>
      <c r="H28" s="163">
        <f t="shared" si="16"/>
        <v>52182</v>
      </c>
      <c r="I28" s="163">
        <f t="shared" si="16"/>
        <v>112888</v>
      </c>
      <c r="J28" s="163">
        <f t="shared" si="16"/>
        <v>191938</v>
      </c>
      <c r="K28" s="219">
        <f t="shared" si="16"/>
        <v>543386</v>
      </c>
      <c r="L28" s="155">
        <f t="shared" si="16"/>
        <v>300712</v>
      </c>
      <c r="M28" s="163">
        <f t="shared" si="16"/>
        <v>172803</v>
      </c>
      <c r="N28" s="163">
        <f t="shared" si="16"/>
        <v>142323</v>
      </c>
      <c r="O28" s="163">
        <f t="shared" si="16"/>
        <v>225719</v>
      </c>
      <c r="P28" s="219">
        <f t="shared" si="16"/>
        <v>841557</v>
      </c>
      <c r="Q28" s="155">
        <f t="shared" si="16"/>
        <v>350153</v>
      </c>
      <c r="R28" s="163">
        <f t="shared" si="16"/>
        <v>154872</v>
      </c>
      <c r="S28" s="163">
        <f t="shared" si="16"/>
        <v>124873</v>
      </c>
      <c r="T28" s="163">
        <f t="shared" si="16"/>
        <v>280644</v>
      </c>
      <c r="U28" s="219">
        <f t="shared" si="16"/>
        <v>910542</v>
      </c>
      <c r="V28" s="155">
        <f t="shared" si="16"/>
        <v>360893</v>
      </c>
      <c r="W28" s="163">
        <f t="shared" si="16"/>
        <v>190626</v>
      </c>
      <c r="X28" s="163">
        <f t="shared" si="16"/>
        <v>220281</v>
      </c>
      <c r="Y28" s="163">
        <f t="shared" si="16"/>
        <v>244320</v>
      </c>
      <c r="Z28" s="219">
        <f t="shared" si="16"/>
        <v>1016120</v>
      </c>
      <c r="AA28" s="155">
        <f t="shared" si="16"/>
        <v>313561</v>
      </c>
      <c r="AB28" s="163">
        <f t="shared" si="16"/>
        <v>165230</v>
      </c>
      <c r="AC28" s="163">
        <f t="shared" si="16"/>
        <v>195012</v>
      </c>
      <c r="AD28" s="163">
        <f>AD18-AD24+AD26</f>
        <v>288753</v>
      </c>
      <c r="AE28" s="219">
        <f t="shared" si="16"/>
        <v>962556</v>
      </c>
      <c r="AF28" s="155">
        <f t="shared" si="16"/>
        <v>359234</v>
      </c>
      <c r="AG28" s="163">
        <f t="shared" si="16"/>
        <v>199662</v>
      </c>
      <c r="AH28" s="163">
        <f t="shared" ref="AH28:AO28" si="17">AH18-AH24+AH26</f>
        <v>200168</v>
      </c>
      <c r="AI28" s="163">
        <f t="shared" si="17"/>
        <v>268165</v>
      </c>
      <c r="AJ28" s="219">
        <f t="shared" si="17"/>
        <v>1027229</v>
      </c>
      <c r="AK28" s="155">
        <f t="shared" si="17"/>
        <v>362638</v>
      </c>
      <c r="AL28" s="368">
        <f t="shared" si="17"/>
        <v>246673</v>
      </c>
      <c r="AM28" s="163">
        <f t="shared" si="17"/>
        <v>280979</v>
      </c>
      <c r="AN28" s="163">
        <f t="shared" si="17"/>
        <v>398776</v>
      </c>
      <c r="AO28" s="219">
        <f t="shared" si="17"/>
        <v>1289066</v>
      </c>
      <c r="AP28" s="155">
        <f t="shared" ref="AP28:AU28" si="18">AP18-AP24+AP26</f>
        <v>370740</v>
      </c>
      <c r="AQ28" s="163">
        <f t="shared" si="18"/>
        <v>262282</v>
      </c>
      <c r="AR28" s="163">
        <f t="shared" si="18"/>
        <v>271924</v>
      </c>
      <c r="AS28" s="163">
        <f t="shared" si="18"/>
        <v>324097</v>
      </c>
      <c r="AT28" s="219">
        <f t="shared" si="18"/>
        <v>1229043</v>
      </c>
      <c r="AU28" s="155">
        <f t="shared" si="18"/>
        <v>299663</v>
      </c>
      <c r="AV28" s="163">
        <f t="shared" ref="AV28:BM28" si="19">AV18-AV24+AV26</f>
        <v>268125</v>
      </c>
      <c r="AW28" s="163">
        <f t="shared" si="19"/>
        <v>273927</v>
      </c>
      <c r="AX28" s="163">
        <f t="shared" si="19"/>
        <v>348008.84615384613</v>
      </c>
      <c r="AY28" s="219">
        <f t="shared" si="19"/>
        <v>1189723.846153846</v>
      </c>
      <c r="AZ28" s="155">
        <f t="shared" si="19"/>
        <v>327761</v>
      </c>
      <c r="BA28" s="163">
        <f t="shared" si="19"/>
        <v>276766</v>
      </c>
      <c r="BB28" s="163">
        <f>BB18-BB24+BB26</f>
        <v>313911</v>
      </c>
      <c r="BC28" s="163">
        <f>BC18-BC24+BC26</f>
        <v>335937</v>
      </c>
      <c r="BD28" s="219">
        <f>BD18-BD24+BD26</f>
        <v>1254375</v>
      </c>
      <c r="BE28" s="155">
        <f>BE18-BE24+BE26</f>
        <v>227390</v>
      </c>
      <c r="BF28" s="381">
        <f>BF18-BF24+BF26</f>
        <v>302662</v>
      </c>
      <c r="BG28" s="163">
        <f t="shared" si="19"/>
        <v>317905</v>
      </c>
      <c r="BH28" s="381">
        <f t="shared" si="19"/>
        <v>351546</v>
      </c>
      <c r="BI28" s="594">
        <f t="shared" si="19"/>
        <v>1199503</v>
      </c>
      <c r="BJ28" s="155">
        <f t="shared" si="19"/>
        <v>340142</v>
      </c>
      <c r="BK28" s="381">
        <f>BK18-BK24+BK26</f>
        <v>348070</v>
      </c>
      <c r="BL28" s="163">
        <f>BL18-BL24+BL26</f>
        <v>358768</v>
      </c>
      <c r="BM28" s="163">
        <f t="shared" si="19"/>
        <v>368751</v>
      </c>
      <c r="BN28" s="219">
        <f t="shared" ref="BN28:BS28" si="20">BN18-BN24+BN26</f>
        <v>1415731</v>
      </c>
      <c r="BO28" s="155">
        <f t="shared" si="20"/>
        <v>353991</v>
      </c>
      <c r="BP28" s="163">
        <f t="shared" si="20"/>
        <v>355459</v>
      </c>
      <c r="BQ28" s="163">
        <f t="shared" si="20"/>
        <v>407660</v>
      </c>
      <c r="BR28" s="163">
        <f t="shared" si="20"/>
        <v>438109</v>
      </c>
      <c r="BS28" s="219">
        <f t="shared" si="20"/>
        <v>1555219</v>
      </c>
      <c r="BT28" s="155">
        <f t="shared" ref="BT28:DB28" si="21">BT18-BT24+BT26</f>
        <v>499094.75646727392</v>
      </c>
      <c r="BU28" s="163">
        <f t="shared" si="21"/>
        <v>451745.05676331517</v>
      </c>
      <c r="BV28" s="163">
        <f t="shared" si="21"/>
        <v>464112.17154733767</v>
      </c>
      <c r="BW28" s="163">
        <f t="shared" si="21"/>
        <v>459534.82788621692</v>
      </c>
      <c r="BX28" s="219">
        <f t="shared" si="21"/>
        <v>1874486.8126641451</v>
      </c>
      <c r="BY28" s="155">
        <f t="shared" si="21"/>
        <v>519223.66030015342</v>
      </c>
      <c r="BZ28" s="163">
        <f t="shared" si="21"/>
        <v>500445.68556171982</v>
      </c>
      <c r="CA28" s="163">
        <f t="shared" si="21"/>
        <v>508624.40732483071</v>
      </c>
      <c r="CB28" s="163">
        <f t="shared" si="21"/>
        <v>503901.51276289759</v>
      </c>
      <c r="CC28" s="219">
        <f t="shared" si="21"/>
        <v>2032195.2659496022</v>
      </c>
      <c r="CD28" s="155">
        <f t="shared" si="21"/>
        <v>538752.85950862756</v>
      </c>
      <c r="CE28" s="163">
        <f t="shared" si="21"/>
        <v>529967.3344356023</v>
      </c>
      <c r="CF28" s="163">
        <f t="shared" si="21"/>
        <v>547957.7205649775</v>
      </c>
      <c r="CG28" s="163">
        <f t="shared" si="21"/>
        <v>580703.04225463513</v>
      </c>
      <c r="CH28" s="219">
        <f t="shared" si="21"/>
        <v>2197380.9567638435</v>
      </c>
      <c r="CI28" s="155">
        <f t="shared" si="21"/>
        <v>569462.28927250963</v>
      </c>
      <c r="CJ28" s="163">
        <f t="shared" si="21"/>
        <v>571381.0511069604</v>
      </c>
      <c r="CK28" s="163">
        <f t="shared" si="21"/>
        <v>581987.72337222449</v>
      </c>
      <c r="CL28" s="163">
        <f t="shared" si="21"/>
        <v>632087.88451400306</v>
      </c>
      <c r="CM28" s="219">
        <f t="shared" si="21"/>
        <v>2354918.9482656959</v>
      </c>
      <c r="CN28" s="155">
        <f t="shared" si="21"/>
        <v>586093.02856868133</v>
      </c>
      <c r="CO28" s="163">
        <f t="shared" si="21"/>
        <v>591799.68823121197</v>
      </c>
      <c r="CP28" s="163">
        <f t="shared" si="21"/>
        <v>601311.37456866691</v>
      </c>
      <c r="CQ28" s="163">
        <f t="shared" si="21"/>
        <v>669374.86314406409</v>
      </c>
      <c r="CR28" s="219">
        <f t="shared" si="21"/>
        <v>2448578.954512625</v>
      </c>
      <c r="CS28" s="155">
        <f t="shared" si="21"/>
        <v>601241.04609085713</v>
      </c>
      <c r="CT28" s="163">
        <f t="shared" si="21"/>
        <v>607125.27121411683</v>
      </c>
      <c r="CU28" s="163">
        <f t="shared" si="21"/>
        <v>616893.33447662415</v>
      </c>
      <c r="CV28" s="163">
        <f t="shared" si="21"/>
        <v>704229.89810591412</v>
      </c>
      <c r="CW28" s="219">
        <f t="shared" si="21"/>
        <v>2529489.5498875128</v>
      </c>
      <c r="CX28" s="155">
        <f t="shared" si="21"/>
        <v>625205.85144815722</v>
      </c>
      <c r="CY28" s="163">
        <f t="shared" si="21"/>
        <v>631517.42815235886</v>
      </c>
      <c r="CZ28" s="163">
        <f t="shared" si="21"/>
        <v>641711.00546925445</v>
      </c>
      <c r="DA28" s="163">
        <f t="shared" si="21"/>
        <v>737275.37017875852</v>
      </c>
      <c r="DB28" s="219">
        <f t="shared" si="21"/>
        <v>2635709.6552485307</v>
      </c>
      <c r="DC28" s="163"/>
      <c r="DD28" s="163"/>
      <c r="DE28" s="163"/>
      <c r="DF28" s="163"/>
      <c r="DG28" s="163"/>
      <c r="DH28" s="163"/>
      <c r="DI28" s="163"/>
      <c r="DJ28" s="163"/>
      <c r="DK28" s="170"/>
      <c r="DL28" s="170"/>
      <c r="DM28" s="25"/>
    </row>
    <row r="29" spans="1:123" outlineLevel="1">
      <c r="A29" s="45"/>
      <c r="B29" s="173"/>
      <c r="C29" s="39"/>
      <c r="D29" s="174"/>
      <c r="E29" s="39"/>
      <c r="F29" s="175"/>
      <c r="G29" s="173"/>
      <c r="H29" s="39"/>
      <c r="I29" s="174"/>
      <c r="J29" s="39"/>
      <c r="K29" s="175"/>
      <c r="L29" s="173"/>
      <c r="M29" s="39"/>
      <c r="N29" s="174"/>
      <c r="O29" s="39"/>
      <c r="P29" s="175"/>
      <c r="Q29" s="173"/>
      <c r="R29" s="39"/>
      <c r="S29" s="174"/>
      <c r="T29" s="39"/>
      <c r="U29" s="175"/>
      <c r="V29" s="173"/>
      <c r="W29" s="39"/>
      <c r="X29" s="174"/>
      <c r="Y29" s="39"/>
      <c r="Z29" s="175"/>
      <c r="AA29" s="173"/>
      <c r="AB29" s="39"/>
      <c r="AC29" s="174"/>
      <c r="AD29" s="39"/>
      <c r="AE29" s="175"/>
      <c r="AF29" s="181"/>
      <c r="AG29" s="182"/>
      <c r="AH29" s="183"/>
      <c r="AI29" s="182"/>
      <c r="AJ29" s="175"/>
      <c r="AK29" s="181"/>
      <c r="AL29" s="182"/>
      <c r="AM29" s="183"/>
      <c r="AN29" s="183"/>
      <c r="AO29" s="175"/>
      <c r="AP29" s="181"/>
      <c r="AQ29" s="183"/>
      <c r="AR29" s="183"/>
      <c r="AS29" s="183"/>
      <c r="AT29" s="175"/>
      <c r="AU29" s="181"/>
      <c r="AV29" s="183"/>
      <c r="AW29" s="183"/>
      <c r="AX29" s="183"/>
      <c r="AY29" s="187"/>
      <c r="AZ29" s="181"/>
      <c r="BA29" s="182"/>
      <c r="BB29" s="183"/>
      <c r="BC29" s="182"/>
      <c r="BD29" s="187"/>
      <c r="BE29" s="181"/>
      <c r="BF29" s="182"/>
      <c r="BG29" s="183"/>
      <c r="BH29" s="182"/>
      <c r="BI29" s="175"/>
      <c r="BJ29" s="181"/>
      <c r="BK29" s="182"/>
      <c r="BL29" s="183"/>
      <c r="BM29" s="182"/>
      <c r="BN29" s="175"/>
      <c r="BO29" s="181"/>
      <c r="BP29" s="182"/>
      <c r="BQ29" s="183"/>
      <c r="BR29" s="182"/>
      <c r="BS29" s="175"/>
      <c r="BT29" s="181"/>
      <c r="BU29" s="182"/>
      <c r="BV29" s="183"/>
      <c r="BW29" s="182"/>
      <c r="BX29" s="175"/>
      <c r="BY29" s="181"/>
      <c r="BZ29" s="182"/>
      <c r="CA29" s="183"/>
      <c r="CB29" s="182"/>
      <c r="CC29" s="175"/>
      <c r="CD29" s="181"/>
      <c r="CE29" s="182"/>
      <c r="CF29" s="183"/>
      <c r="CG29" s="182"/>
      <c r="CH29" s="175"/>
      <c r="CI29" s="181"/>
      <c r="CJ29" s="182"/>
      <c r="CK29" s="183"/>
      <c r="CL29" s="182"/>
      <c r="CM29" s="175"/>
      <c r="CN29" s="181"/>
      <c r="CO29" s="182"/>
      <c r="CP29" s="183"/>
      <c r="CQ29" s="182"/>
      <c r="CR29" s="175"/>
      <c r="CS29" s="181"/>
      <c r="CT29" s="182"/>
      <c r="CU29" s="183"/>
      <c r="CV29" s="182"/>
      <c r="CW29" s="175"/>
      <c r="CX29" s="181"/>
      <c r="CY29" s="182"/>
      <c r="CZ29" s="183"/>
      <c r="DA29" s="182"/>
      <c r="DB29" s="175"/>
      <c r="DC29" s="182"/>
      <c r="DD29" s="182"/>
      <c r="DE29" s="182"/>
      <c r="DF29" s="182"/>
      <c r="DG29" s="182"/>
      <c r="DH29" s="182"/>
      <c r="DI29" s="182"/>
      <c r="DJ29" s="182"/>
      <c r="DK29" s="182"/>
      <c r="DL29" s="182"/>
      <c r="DM29" s="25"/>
    </row>
    <row r="30" spans="1:123" s="611" customFormat="1" outlineLevel="1">
      <c r="A30" s="613" t="s">
        <v>597</v>
      </c>
      <c r="B30" s="614"/>
      <c r="C30" s="615"/>
      <c r="D30" s="616"/>
      <c r="E30" s="615"/>
      <c r="F30" s="617"/>
      <c r="G30" s="614"/>
      <c r="H30" s="615"/>
      <c r="I30" s="616"/>
      <c r="J30" s="615"/>
      <c r="K30" s="617"/>
      <c r="L30" s="614"/>
      <c r="M30" s="615"/>
      <c r="N30" s="616"/>
      <c r="O30" s="615"/>
      <c r="P30" s="617"/>
      <c r="Q30" s="614"/>
      <c r="R30" s="615"/>
      <c r="S30" s="616"/>
      <c r="T30" s="615"/>
      <c r="U30" s="617"/>
      <c r="V30" s="614"/>
      <c r="W30" s="615"/>
      <c r="X30" s="616"/>
      <c r="Y30" s="615"/>
      <c r="Z30" s="617"/>
      <c r="AA30" s="614"/>
      <c r="AB30" s="615"/>
      <c r="AC30" s="616"/>
      <c r="AD30" s="615"/>
      <c r="AE30" s="617"/>
      <c r="AF30" s="614"/>
      <c r="AG30" s="615"/>
      <c r="AH30" s="616"/>
      <c r="AI30" s="615"/>
      <c r="AJ30" s="617"/>
      <c r="AK30" s="614"/>
      <c r="AL30" s="615"/>
      <c r="AM30" s="616"/>
      <c r="AN30" s="616"/>
      <c r="AO30" s="617"/>
      <c r="AP30" s="614"/>
      <c r="AQ30" s="616"/>
      <c r="AR30" s="616"/>
      <c r="AS30" s="616"/>
      <c r="AT30" s="617"/>
      <c r="AU30" s="614"/>
      <c r="AV30" s="616"/>
      <c r="AW30" s="616"/>
      <c r="AX30" s="615"/>
      <c r="AY30" s="617"/>
      <c r="AZ30" s="614"/>
      <c r="BA30" s="615"/>
      <c r="BB30" s="616"/>
      <c r="BC30" s="615"/>
      <c r="BD30" s="617"/>
      <c r="BE30" s="614"/>
      <c r="BF30" s="615"/>
      <c r="BG30" s="616"/>
      <c r="BH30" s="615"/>
      <c r="BI30" s="617"/>
      <c r="BJ30" s="614"/>
      <c r="BK30" s="615"/>
      <c r="BL30" s="616"/>
      <c r="BM30" s="615"/>
      <c r="BN30" s="617"/>
      <c r="BO30" s="614"/>
      <c r="BP30" s="615"/>
      <c r="BQ30" s="616"/>
      <c r="BR30" s="615"/>
      <c r="BS30" s="617"/>
      <c r="BT30" s="614"/>
      <c r="BU30" s="615"/>
      <c r="BV30" s="616"/>
      <c r="BW30" s="615"/>
      <c r="BX30" s="617"/>
      <c r="BY30" s="614"/>
      <c r="BZ30" s="615"/>
      <c r="CA30" s="616"/>
      <c r="CB30" s="615"/>
      <c r="CC30" s="617"/>
      <c r="CD30" s="614"/>
      <c r="CE30" s="615"/>
      <c r="CF30" s="616"/>
      <c r="CG30" s="615"/>
      <c r="CH30" s="617"/>
      <c r="CI30" s="614"/>
      <c r="CJ30" s="615"/>
      <c r="CK30" s="616"/>
      <c r="CL30" s="615"/>
      <c r="CM30" s="617"/>
      <c r="CN30" s="614"/>
      <c r="CO30" s="615"/>
      <c r="CP30" s="616"/>
      <c r="CQ30" s="615"/>
      <c r="CR30" s="617"/>
      <c r="CS30" s="614"/>
      <c r="CT30" s="615"/>
      <c r="CU30" s="616"/>
      <c r="CV30" s="615"/>
      <c r="CW30" s="617"/>
      <c r="CX30" s="614"/>
      <c r="CY30" s="615"/>
      <c r="CZ30" s="616"/>
      <c r="DA30" s="615"/>
      <c r="DB30" s="617"/>
      <c r="DC30" s="615"/>
      <c r="DD30" s="615"/>
      <c r="DE30" s="615"/>
      <c r="DF30" s="615"/>
      <c r="DG30" s="615"/>
      <c r="DH30" s="615"/>
      <c r="DI30" s="615"/>
      <c r="DJ30" s="615"/>
      <c r="DK30" s="615"/>
      <c r="DL30" s="615"/>
      <c r="DM30" s="612"/>
      <c r="DN30"/>
      <c r="DO30"/>
      <c r="DP30"/>
      <c r="DQ30"/>
      <c r="DR30"/>
      <c r="DS30"/>
    </row>
    <row r="31" spans="1:123" s="611" customFormat="1" outlineLevel="1">
      <c r="A31" s="618" t="s">
        <v>752</v>
      </c>
      <c r="B31" s="619">
        <f>B304</f>
        <v>45763</v>
      </c>
      <c r="C31" s="620">
        <f>C304</f>
        <v>50453</v>
      </c>
      <c r="D31" s="620">
        <f>D304</f>
        <v>53144</v>
      </c>
      <c r="E31" s="620">
        <f>E304</f>
        <v>41456</v>
      </c>
      <c r="F31" s="621">
        <f>SUM(B31:E31)</f>
        <v>190816</v>
      </c>
      <c r="G31" s="619">
        <f>G304</f>
        <v>51973</v>
      </c>
      <c r="H31" s="620">
        <f>H304</f>
        <v>56422</v>
      </c>
      <c r="I31" s="620">
        <f>I304</f>
        <v>80774</v>
      </c>
      <c r="J31" s="620">
        <f>J304</f>
        <v>70018</v>
      </c>
      <c r="K31" s="621">
        <f>SUM(G31:J31)</f>
        <v>259187</v>
      </c>
      <c r="L31" s="619">
        <f>L304</f>
        <v>98869</v>
      </c>
      <c r="M31" s="620">
        <f>M304</f>
        <v>98718</v>
      </c>
      <c r="N31" s="620">
        <f>N304</f>
        <v>107637</v>
      </c>
      <c r="O31" s="620">
        <f>O304</f>
        <v>90505</v>
      </c>
      <c r="P31" s="621">
        <f>SUM(L31:O31)</f>
        <v>395729</v>
      </c>
      <c r="Q31" s="619">
        <f>Q304</f>
        <v>102173</v>
      </c>
      <c r="R31" s="620">
        <f>R304</f>
        <v>107937</v>
      </c>
      <c r="S31" s="620">
        <f>S304</f>
        <v>105005</v>
      </c>
      <c r="T31" s="620">
        <f>T304</f>
        <v>129718</v>
      </c>
      <c r="U31" s="621">
        <f>SUM(Q31:T31)</f>
        <v>444833</v>
      </c>
      <c r="V31" s="619">
        <f>V304</f>
        <v>150501</v>
      </c>
      <c r="W31" s="620">
        <f>W304</f>
        <v>163742</v>
      </c>
      <c r="X31" s="620">
        <f>X304</f>
        <v>197504</v>
      </c>
      <c r="Y31" s="620">
        <f>Y304</f>
        <v>132350</v>
      </c>
      <c r="Z31" s="621">
        <f>SUM(V31:Y31)</f>
        <v>644097</v>
      </c>
      <c r="AA31" s="619">
        <f>AA304</f>
        <v>124155</v>
      </c>
      <c r="AB31" s="620">
        <f>AB304</f>
        <v>121522</v>
      </c>
      <c r="AC31" s="620">
        <f>AC304</f>
        <v>145914</v>
      </c>
      <c r="AD31" s="620">
        <f>AD304</f>
        <v>152343</v>
      </c>
      <c r="AE31" s="621">
        <f>SUM(AA31:AD31)</f>
        <v>543934</v>
      </c>
      <c r="AF31" s="619">
        <f>AF304</f>
        <v>120948</v>
      </c>
      <c r="AG31" s="620">
        <f>AG304</f>
        <v>146217</v>
      </c>
      <c r="AH31" s="620">
        <f>AH304</f>
        <v>144385</v>
      </c>
      <c r="AI31" s="620">
        <f>AI304</f>
        <v>156119</v>
      </c>
      <c r="AJ31" s="621">
        <f>SUM(AF31:AI31)</f>
        <v>567669</v>
      </c>
      <c r="AK31" s="619">
        <f>AK304</f>
        <v>178081</v>
      </c>
      <c r="AL31" s="620">
        <f>AL304</f>
        <v>202245</v>
      </c>
      <c r="AM31" s="620">
        <f>AM304</f>
        <v>242479</v>
      </c>
      <c r="AN31" s="620">
        <f>AN304</f>
        <v>317680</v>
      </c>
      <c r="AO31" s="621">
        <f>SUM(AK31:AN31)</f>
        <v>940485</v>
      </c>
      <c r="AP31" s="619">
        <f>AP304</f>
        <v>255900</v>
      </c>
      <c r="AQ31" s="620">
        <f>AQ304</f>
        <v>227100</v>
      </c>
      <c r="AR31" s="620">
        <f>AR304</f>
        <v>248807</v>
      </c>
      <c r="AS31" s="620">
        <f>AS304</f>
        <v>224263</v>
      </c>
      <c r="AT31" s="621">
        <f>SUM(AP31:AS31)</f>
        <v>956070</v>
      </c>
      <c r="AU31" s="619">
        <f>AU304</f>
        <v>177600</v>
      </c>
      <c r="AV31" s="620">
        <f>AV304</f>
        <v>229800</v>
      </c>
      <c r="AW31" s="620">
        <f>AW304</f>
        <v>240100</v>
      </c>
      <c r="AX31" s="620">
        <f>AX304</f>
        <v>241300</v>
      </c>
      <c r="AY31" s="621">
        <f>SUM(AU31:AX31)</f>
        <v>888800</v>
      </c>
      <c r="AZ31" s="619">
        <f>AZ304</f>
        <v>291900</v>
      </c>
      <c r="BA31" s="620">
        <f>BA304</f>
        <v>262241</v>
      </c>
      <c r="BB31" s="620">
        <f>BB304</f>
        <v>309731</v>
      </c>
      <c r="BC31" s="620">
        <f>BC304</f>
        <v>310471</v>
      </c>
      <c r="BD31" s="621">
        <f>SUM(AZ31:BC31)</f>
        <v>1174343</v>
      </c>
      <c r="BE31" s="619">
        <f>BE304</f>
        <v>219927</v>
      </c>
      <c r="BF31" s="620">
        <f>BF304</f>
        <v>271603</v>
      </c>
      <c r="BG31" s="620">
        <f>BG304</f>
        <v>288001</v>
      </c>
      <c r="BH31" s="620">
        <f>BH304</f>
        <v>319151</v>
      </c>
      <c r="BI31" s="621">
        <f>SUM(BE31:BH31)</f>
        <v>1098682</v>
      </c>
      <c r="BJ31" s="619">
        <f>BJ304</f>
        <v>314091</v>
      </c>
      <c r="BK31" s="620">
        <f>BK304</f>
        <v>326026</v>
      </c>
      <c r="BL31" s="620">
        <f>BL304</f>
        <v>353141.66501975502</v>
      </c>
      <c r="BM31" s="620">
        <f>BM304</f>
        <v>367974.65806282504</v>
      </c>
      <c r="BN31" s="621">
        <f>SUM(BJ31:BM31)</f>
        <v>1361233.32308258</v>
      </c>
      <c r="BO31" s="620">
        <f>BO304</f>
        <v>341055.24717716023</v>
      </c>
      <c r="BP31" s="620">
        <f>BP304</f>
        <v>322346.91308284586</v>
      </c>
      <c r="BQ31" s="620"/>
      <c r="BR31" s="620"/>
      <c r="BS31" s="621"/>
      <c r="BT31" s="619"/>
      <c r="BU31" s="620"/>
      <c r="BV31" s="620"/>
      <c r="BW31" s="620"/>
      <c r="BX31" s="621"/>
      <c r="BY31" s="619"/>
      <c r="BZ31" s="620"/>
      <c r="CA31" s="620"/>
      <c r="CB31" s="620"/>
      <c r="CC31" s="621"/>
      <c r="CD31" s="619"/>
      <c r="CE31" s="620"/>
      <c r="CF31" s="620"/>
      <c r="CG31" s="620"/>
      <c r="CH31" s="621"/>
      <c r="CI31" s="619"/>
      <c r="CJ31" s="620"/>
      <c r="CK31" s="620"/>
      <c r="CL31" s="620"/>
      <c r="CM31" s="621"/>
      <c r="CN31" s="619"/>
      <c r="CO31" s="620"/>
      <c r="CP31" s="620"/>
      <c r="CQ31" s="620"/>
      <c r="CR31" s="621"/>
      <c r="CS31" s="619"/>
      <c r="CT31" s="620"/>
      <c r="CU31" s="620"/>
      <c r="CV31" s="620"/>
      <c r="CW31" s="621"/>
      <c r="CX31" s="619"/>
      <c r="CY31" s="620"/>
      <c r="CZ31" s="620"/>
      <c r="DA31" s="620"/>
      <c r="DB31" s="621"/>
      <c r="DC31" s="620"/>
      <c r="DD31" s="620"/>
      <c r="DE31" s="620"/>
      <c r="DF31" s="620"/>
      <c r="DG31" s="620"/>
      <c r="DH31" s="620"/>
      <c r="DI31" s="620"/>
      <c r="DJ31" s="620"/>
      <c r="DK31" s="620"/>
      <c r="DL31" s="620"/>
      <c r="DM31" s="610"/>
      <c r="DN31"/>
      <c r="DO31"/>
      <c r="DP31"/>
      <c r="DQ31"/>
      <c r="DR31"/>
      <c r="DS31"/>
    </row>
    <row r="32" spans="1:123" s="611" customFormat="1" outlineLevel="1">
      <c r="A32" s="618" t="s">
        <v>753</v>
      </c>
      <c r="B32" s="619">
        <f>B339</f>
        <v>85724</v>
      </c>
      <c r="C32" s="620">
        <f>C339</f>
        <v>-2694</v>
      </c>
      <c r="D32" s="620">
        <f>D339</f>
        <v>-17603</v>
      </c>
      <c r="E32" s="620">
        <f>E339</f>
        <v>44800</v>
      </c>
      <c r="F32" s="621">
        <f>SUM(B32:E32)</f>
        <v>110227</v>
      </c>
      <c r="G32" s="619">
        <f>G339</f>
        <v>80603</v>
      </c>
      <c r="H32" s="620">
        <f>H339</f>
        <v>-6999</v>
      </c>
      <c r="I32" s="620">
        <f>I339</f>
        <v>-12790</v>
      </c>
      <c r="J32" s="620">
        <f>J339</f>
        <v>53098</v>
      </c>
      <c r="K32" s="621">
        <f>SUM(G32:J32)</f>
        <v>113912</v>
      </c>
      <c r="L32" s="619">
        <f>L339</f>
        <v>76775</v>
      </c>
      <c r="M32" s="620">
        <f>M339</f>
        <v>946</v>
      </c>
      <c r="N32" s="620">
        <f>N339</f>
        <v>-9186</v>
      </c>
      <c r="O32" s="620">
        <f>O339</f>
        <v>48944</v>
      </c>
      <c r="P32" s="621">
        <f>SUM(L32:O32)</f>
        <v>117479</v>
      </c>
      <c r="Q32" s="619">
        <f>Q339</f>
        <v>103238</v>
      </c>
      <c r="R32" s="620">
        <f>R339</f>
        <v>11784</v>
      </c>
      <c r="S32" s="620">
        <f>S339</f>
        <v>-1513</v>
      </c>
      <c r="T32" s="620">
        <f>T339</f>
        <v>60746</v>
      </c>
      <c r="U32" s="621">
        <f>SUM(Q32:T32)</f>
        <v>174255</v>
      </c>
      <c r="V32" s="619">
        <f>V339</f>
        <v>108556</v>
      </c>
      <c r="W32" s="620">
        <f>W339</f>
        <v>12036</v>
      </c>
      <c r="X32" s="620">
        <f>X339</f>
        <v>-2900</v>
      </c>
      <c r="Y32" s="620">
        <f>Y339</f>
        <v>71169</v>
      </c>
      <c r="Z32" s="621">
        <f>SUM(V32:Y32)</f>
        <v>188861</v>
      </c>
      <c r="AA32" s="619">
        <f>AA339</f>
        <v>112870</v>
      </c>
      <c r="AB32" s="620">
        <f>AB339</f>
        <v>9379</v>
      </c>
      <c r="AC32" s="620">
        <f>AC339</f>
        <v>7592</v>
      </c>
      <c r="AD32" s="620">
        <f>AD339</f>
        <v>79467</v>
      </c>
      <c r="AE32" s="621">
        <f>SUM(AA32:AD32)</f>
        <v>209308</v>
      </c>
      <c r="AF32" s="619">
        <f>AF339</f>
        <v>113705</v>
      </c>
      <c r="AG32" s="620">
        <f>AG339</f>
        <v>32359</v>
      </c>
      <c r="AH32" s="620">
        <f>AH339</f>
        <v>19632</v>
      </c>
      <c r="AI32" s="620">
        <f>AI339</f>
        <v>60757</v>
      </c>
      <c r="AJ32" s="621">
        <f>SUM(AF32:AI32)</f>
        <v>226453</v>
      </c>
      <c r="AK32" s="619">
        <f>AK339</f>
        <v>104797</v>
      </c>
      <c r="AL32" s="620">
        <f>AL339</f>
        <v>20885</v>
      </c>
      <c r="AM32" s="620">
        <f>AM339</f>
        <v>19353</v>
      </c>
      <c r="AN32" s="620">
        <f>AN339</f>
        <v>46596</v>
      </c>
      <c r="AO32" s="621">
        <f>SUM(AK32:AN32)</f>
        <v>191631</v>
      </c>
      <c r="AP32" s="619">
        <f>AP339</f>
        <v>98800</v>
      </c>
      <c r="AQ32" s="620">
        <f>AQ339</f>
        <v>21700</v>
      </c>
      <c r="AR32" s="620">
        <f>AR339</f>
        <v>15652</v>
      </c>
      <c r="AS32" s="620">
        <f>AS339</f>
        <v>79513</v>
      </c>
      <c r="AT32" s="621">
        <f>SUM(AP32:AS32)</f>
        <v>215665</v>
      </c>
      <c r="AU32" s="619">
        <f>AU339</f>
        <v>100600</v>
      </c>
      <c r="AV32" s="620">
        <f>AV339</f>
        <v>40500</v>
      </c>
      <c r="AW32" s="620">
        <f>AW339</f>
        <v>17600</v>
      </c>
      <c r="AX32" s="620">
        <f>AX339</f>
        <v>64700</v>
      </c>
      <c r="AY32" s="621">
        <f>SUM(AU32:AX32)</f>
        <v>223400</v>
      </c>
      <c r="AZ32" s="619">
        <f>AZ339</f>
        <v>0</v>
      </c>
      <c r="BA32" s="620">
        <f>BA339</f>
        <v>0</v>
      </c>
      <c r="BB32" s="620">
        <f>BB339</f>
        <v>0</v>
      </c>
      <c r="BC32" s="620">
        <f>BC339</f>
        <v>0</v>
      </c>
      <c r="BD32" s="621">
        <f>SUM(AZ32:BC32)</f>
        <v>0</v>
      </c>
      <c r="BE32" s="619">
        <f>BE339</f>
        <v>0</v>
      </c>
      <c r="BF32" s="620">
        <f>BF339</f>
        <v>0</v>
      </c>
      <c r="BG32" s="620">
        <f>BG339</f>
        <v>0</v>
      </c>
      <c r="BH32" s="620">
        <f>BH339</f>
        <v>0</v>
      </c>
      <c r="BI32" s="621">
        <f>SUM(BE32:BH32)</f>
        <v>0</v>
      </c>
      <c r="BJ32" s="619">
        <f>BJ339</f>
        <v>0</v>
      </c>
      <c r="BK32" s="620">
        <f>BK339</f>
        <v>0</v>
      </c>
      <c r="BL32" s="620">
        <f>BL339</f>
        <v>0</v>
      </c>
      <c r="BM32" s="620">
        <f>BM339</f>
        <v>0</v>
      </c>
      <c r="BN32" s="621">
        <f>SUM(BJ32:BM32)</f>
        <v>0</v>
      </c>
      <c r="BO32" s="620">
        <f>BO339</f>
        <v>0</v>
      </c>
      <c r="BP32" s="620">
        <f>BP339</f>
        <v>0</v>
      </c>
      <c r="BQ32" s="620"/>
      <c r="BR32" s="620"/>
      <c r="BS32" s="621"/>
      <c r="BT32" s="619"/>
      <c r="BU32" s="620"/>
      <c r="BV32" s="620"/>
      <c r="BW32" s="620"/>
      <c r="BX32" s="621"/>
      <c r="BY32" s="619"/>
      <c r="BZ32" s="620"/>
      <c r="CA32" s="620"/>
      <c r="CB32" s="620"/>
      <c r="CC32" s="621"/>
      <c r="CD32" s="619"/>
      <c r="CE32" s="620"/>
      <c r="CF32" s="620"/>
      <c r="CG32" s="620"/>
      <c r="CH32" s="621"/>
      <c r="CI32" s="619"/>
      <c r="CJ32" s="620"/>
      <c r="CK32" s="620"/>
      <c r="CL32" s="620"/>
      <c r="CM32" s="621"/>
      <c r="CN32" s="619"/>
      <c r="CO32" s="620"/>
      <c r="CP32" s="620"/>
      <c r="CQ32" s="620"/>
      <c r="CR32" s="621"/>
      <c r="CS32" s="619"/>
      <c r="CT32" s="620"/>
      <c r="CU32" s="620"/>
      <c r="CV32" s="620"/>
      <c r="CW32" s="621"/>
      <c r="CX32" s="619"/>
      <c r="CY32" s="620"/>
      <c r="CZ32" s="620"/>
      <c r="DA32" s="620"/>
      <c r="DB32" s="621"/>
      <c r="DC32" s="620"/>
      <c r="DD32" s="620"/>
      <c r="DE32" s="620"/>
      <c r="DF32" s="620"/>
      <c r="DG32" s="620"/>
      <c r="DH32" s="620"/>
      <c r="DI32" s="620"/>
      <c r="DJ32" s="620"/>
      <c r="DK32" s="620"/>
      <c r="DL32" s="620"/>
      <c r="DM32" s="610"/>
      <c r="DN32"/>
      <c r="DO32"/>
      <c r="DP32"/>
      <c r="DQ32"/>
      <c r="DR32"/>
      <c r="DS32"/>
    </row>
    <row r="33" spans="1:123" s="611" customFormat="1" outlineLevel="1">
      <c r="A33" s="618" t="s">
        <v>754</v>
      </c>
      <c r="B33" s="619">
        <f>B405</f>
        <v>63390</v>
      </c>
      <c r="C33" s="620">
        <f>C405</f>
        <v>4939</v>
      </c>
      <c r="D33" s="620">
        <f>D405</f>
        <v>10832</v>
      </c>
      <c r="E33" s="620">
        <f>E405</f>
        <v>60030</v>
      </c>
      <c r="F33" s="621">
        <f>SUM(B33:E33)</f>
        <v>139191</v>
      </c>
      <c r="G33" s="619">
        <f>G405</f>
        <v>52751</v>
      </c>
      <c r="H33" s="620">
        <f>H405</f>
        <v>2896</v>
      </c>
      <c r="I33" s="620">
        <f>I405</f>
        <v>42056</v>
      </c>
      <c r="J33" s="620">
        <f>J405</f>
        <v>67867</v>
      </c>
      <c r="K33" s="621">
        <f>SUM(G33:J33)</f>
        <v>165570</v>
      </c>
      <c r="L33" s="619">
        <f>L405</f>
        <v>93285</v>
      </c>
      <c r="M33" s="620">
        <f>M405</f>
        <v>53464</v>
      </c>
      <c r="N33" s="620">
        <f>N405</f>
        <v>21530</v>
      </c>
      <c r="O33" s="620">
        <f>O405</f>
        <v>60926</v>
      </c>
      <c r="P33" s="621">
        <f>SUM(L33:O33)</f>
        <v>229205</v>
      </c>
      <c r="Q33" s="619">
        <f>Q405</f>
        <v>120137</v>
      </c>
      <c r="R33" s="620">
        <f>R405</f>
        <v>10166</v>
      </c>
      <c r="S33" s="620">
        <f>S405</f>
        <v>-681</v>
      </c>
      <c r="T33" s="620">
        <f>T405</f>
        <v>75713</v>
      </c>
      <c r="U33" s="621">
        <f>SUM(Q33:T33)</f>
        <v>205335</v>
      </c>
      <c r="V33" s="619">
        <f>V405</f>
        <v>74322</v>
      </c>
      <c r="W33" s="620">
        <f>W405</f>
        <v>-4382</v>
      </c>
      <c r="X33" s="620">
        <f>X405</f>
        <v>-4824</v>
      </c>
      <c r="Y33" s="620">
        <f>Y405</f>
        <v>9086</v>
      </c>
      <c r="Z33" s="621">
        <f>SUM(V33:Y33)</f>
        <v>74202</v>
      </c>
      <c r="AA33" s="619">
        <f>AA405</f>
        <v>54917</v>
      </c>
      <c r="AB33" s="620">
        <f>AB405</f>
        <v>19438</v>
      </c>
      <c r="AC33" s="620">
        <f>AC405</f>
        <v>21224</v>
      </c>
      <c r="AD33" s="620">
        <f>AD405</f>
        <v>39752</v>
      </c>
      <c r="AE33" s="621">
        <f>SUM(AA33:AD33)</f>
        <v>135331</v>
      </c>
      <c r="AF33" s="619">
        <f>AF405</f>
        <v>103039</v>
      </c>
      <c r="AG33" s="620">
        <f>AG405</f>
        <v>932</v>
      </c>
      <c r="AH33" s="620">
        <f>AH405</f>
        <v>6893</v>
      </c>
      <c r="AI33" s="620">
        <f>AI405</f>
        <v>19797</v>
      </c>
      <c r="AJ33" s="621">
        <f>SUM(AF33:AI33)</f>
        <v>130661</v>
      </c>
      <c r="AK33" s="619">
        <f>AK405</f>
        <v>47796</v>
      </c>
      <c r="AL33" s="620">
        <f>AL405</f>
        <v>-5842</v>
      </c>
      <c r="AM33" s="620">
        <f>AM405</f>
        <v>-12725</v>
      </c>
      <c r="AN33" s="620">
        <f>AN405</f>
        <v>-5543</v>
      </c>
      <c r="AO33" s="621">
        <f>SUM(AK33:AN33)</f>
        <v>23686</v>
      </c>
      <c r="AP33" s="619">
        <f>AP405</f>
        <v>-20400</v>
      </c>
      <c r="AQ33" s="620">
        <f>AQ405</f>
        <v>-15100</v>
      </c>
      <c r="AR33" s="620">
        <f>AR405</f>
        <v>-21777</v>
      </c>
      <c r="AS33" s="620">
        <f>AS405</f>
        <v>-10425</v>
      </c>
      <c r="AT33" s="621">
        <f>SUM(AP33:AS33)</f>
        <v>-67702</v>
      </c>
      <c r="AU33" s="619">
        <f>AU405</f>
        <v>-4400</v>
      </c>
      <c r="AV33" s="620">
        <f>AV405</f>
        <v>-141500</v>
      </c>
      <c r="AW33" s="620">
        <f>AW405</f>
        <v>-24700</v>
      </c>
      <c r="AX33" s="620">
        <f>AX405</f>
        <v>-15900</v>
      </c>
      <c r="AY33" s="621">
        <f>SUM(AU33:AX33)</f>
        <v>-186500</v>
      </c>
      <c r="AZ33" s="619">
        <f>AZ405</f>
        <v>0</v>
      </c>
      <c r="BA33" s="620">
        <f>BA405</f>
        <v>0</v>
      </c>
      <c r="BB33" s="620">
        <f>BB405</f>
        <v>0</v>
      </c>
      <c r="BC33" s="620">
        <f>BC405</f>
        <v>0</v>
      </c>
      <c r="BD33" s="621">
        <f>SUM(AZ33:BC33)</f>
        <v>0</v>
      </c>
      <c r="BE33" s="619">
        <f>BE405</f>
        <v>0</v>
      </c>
      <c r="BF33" s="620">
        <f>BF405</f>
        <v>0</v>
      </c>
      <c r="BG33" s="620">
        <f>BG405</f>
        <v>0</v>
      </c>
      <c r="BH33" s="620">
        <f>BH405</f>
        <v>0</v>
      </c>
      <c r="BI33" s="621">
        <f>SUM(BE33:BH33)</f>
        <v>0</v>
      </c>
      <c r="BJ33" s="619">
        <f>BJ405</f>
        <v>0</v>
      </c>
      <c r="BK33" s="620">
        <f>BK405</f>
        <v>0</v>
      </c>
      <c r="BL33" s="620">
        <f>BL405</f>
        <v>0</v>
      </c>
      <c r="BM33" s="620">
        <f>BM405</f>
        <v>0</v>
      </c>
      <c r="BN33" s="621">
        <f>SUM(BJ33:BM33)</f>
        <v>0</v>
      </c>
      <c r="BO33" s="620">
        <f>BO405</f>
        <v>0</v>
      </c>
      <c r="BP33" s="620">
        <f>BP405</f>
        <v>0</v>
      </c>
      <c r="BQ33" s="620"/>
      <c r="BR33" s="620"/>
      <c r="BS33" s="621"/>
      <c r="BT33" s="619"/>
      <c r="BU33" s="620"/>
      <c r="BV33" s="620"/>
      <c r="BW33" s="620"/>
      <c r="BX33" s="621"/>
      <c r="BY33" s="619"/>
      <c r="BZ33" s="620"/>
      <c r="CA33" s="620"/>
      <c r="CB33" s="620"/>
      <c r="CC33" s="621"/>
      <c r="CD33" s="619"/>
      <c r="CE33" s="620"/>
      <c r="CF33" s="620"/>
      <c r="CG33" s="620"/>
      <c r="CH33" s="621"/>
      <c r="CI33" s="619"/>
      <c r="CJ33" s="620"/>
      <c r="CK33" s="620"/>
      <c r="CL33" s="620"/>
      <c r="CM33" s="621"/>
      <c r="CN33" s="619"/>
      <c r="CO33" s="620"/>
      <c r="CP33" s="620"/>
      <c r="CQ33" s="620"/>
      <c r="CR33" s="621"/>
      <c r="CS33" s="619"/>
      <c r="CT33" s="620"/>
      <c r="CU33" s="620"/>
      <c r="CV33" s="620"/>
      <c r="CW33" s="621"/>
      <c r="CX33" s="619"/>
      <c r="CY33" s="620"/>
      <c r="CZ33" s="620"/>
      <c r="DA33" s="620"/>
      <c r="DB33" s="621"/>
      <c r="DC33" s="620"/>
      <c r="DD33" s="620"/>
      <c r="DE33" s="620"/>
      <c r="DF33" s="620"/>
      <c r="DG33" s="620"/>
      <c r="DH33" s="620"/>
      <c r="DI33" s="620"/>
      <c r="DJ33" s="620"/>
      <c r="DK33" s="620"/>
      <c r="DL33" s="620"/>
      <c r="DM33" s="610"/>
      <c r="DN33"/>
      <c r="DO33"/>
      <c r="DP33"/>
      <c r="DQ33"/>
      <c r="DR33"/>
      <c r="DS33"/>
    </row>
    <row r="34" spans="1:123" s="611" customFormat="1" outlineLevel="1">
      <c r="A34" s="618" t="s">
        <v>286</v>
      </c>
      <c r="B34" s="619">
        <f>B440</f>
        <v>231</v>
      </c>
      <c r="C34" s="620">
        <f>C440</f>
        <v>908</v>
      </c>
      <c r="D34" s="620">
        <f>D440</f>
        <v>2022</v>
      </c>
      <c r="E34" s="620">
        <f>E440</f>
        <v>257</v>
      </c>
      <c r="F34" s="621">
        <f>SUM(B34:E34)</f>
        <v>3418</v>
      </c>
      <c r="G34" s="619">
        <f>G440</f>
        <v>1051</v>
      </c>
      <c r="H34" s="620">
        <f>H440</f>
        <v>-137</v>
      </c>
      <c r="I34" s="620">
        <f>I440</f>
        <v>26</v>
      </c>
      <c r="J34" s="620">
        <f>J440</f>
        <v>-4844</v>
      </c>
      <c r="K34" s="621">
        <f>SUM(G34:J34)</f>
        <v>-3904</v>
      </c>
      <c r="L34" s="619">
        <f>L440</f>
        <v>142</v>
      </c>
      <c r="M34" s="620">
        <f>M440</f>
        <v>1354</v>
      </c>
      <c r="N34" s="620">
        <f>N440</f>
        <v>-446</v>
      </c>
      <c r="O34" s="620">
        <f>O440</f>
        <v>2211</v>
      </c>
      <c r="P34" s="621">
        <f>SUM(L34:O34)</f>
        <v>3261</v>
      </c>
      <c r="Q34" s="619">
        <f>Q440</f>
        <v>550</v>
      </c>
      <c r="R34" s="620">
        <f>R440</f>
        <v>6227</v>
      </c>
      <c r="S34" s="620">
        <f>S440</f>
        <v>-100</v>
      </c>
      <c r="T34" s="620">
        <f>T440</f>
        <v>-10466</v>
      </c>
      <c r="U34" s="621">
        <f>SUM(Q34:T34)</f>
        <v>-3789</v>
      </c>
      <c r="V34" s="619">
        <f>V440</f>
        <v>-269</v>
      </c>
      <c r="W34" s="620">
        <f>W440</f>
        <v>1620</v>
      </c>
      <c r="X34" s="620">
        <f>X440</f>
        <v>1089</v>
      </c>
      <c r="Y34" s="620">
        <f>Y440</f>
        <v>5088</v>
      </c>
      <c r="Z34" s="621">
        <f>SUM(V34:Y34)</f>
        <v>7528</v>
      </c>
      <c r="AA34" s="619">
        <f>AA440</f>
        <v>397</v>
      </c>
      <c r="AB34" s="620">
        <f>AB440</f>
        <v>703</v>
      </c>
      <c r="AC34" s="620">
        <f>AC440</f>
        <v>228</v>
      </c>
      <c r="AD34" s="620">
        <f>AD440</f>
        <v>-67</v>
      </c>
      <c r="AE34" s="621">
        <f>SUM(AA34:AD34)</f>
        <v>1261</v>
      </c>
      <c r="AF34" s="619">
        <f>AF440</f>
        <v>426</v>
      </c>
      <c r="AG34" s="620">
        <f>AG440</f>
        <v>-522</v>
      </c>
      <c r="AH34" s="620">
        <f>AH440</f>
        <v>-132</v>
      </c>
      <c r="AI34" s="620">
        <f>AI440</f>
        <v>844</v>
      </c>
      <c r="AJ34" s="621">
        <f>SUM(AF34:AI34)</f>
        <v>616</v>
      </c>
      <c r="AK34" s="619">
        <f>AK440</f>
        <v>-128</v>
      </c>
      <c r="AL34" s="620">
        <f>AL440</f>
        <v>-159</v>
      </c>
      <c r="AM34" s="620">
        <f>AM440</f>
        <v>-157</v>
      </c>
      <c r="AN34" s="620">
        <f>AN440</f>
        <v>-1465</v>
      </c>
      <c r="AO34" s="621">
        <f>SUM(AK34:AN34)</f>
        <v>-1909</v>
      </c>
      <c r="AP34" s="619">
        <f>AP440</f>
        <v>1728</v>
      </c>
      <c r="AQ34" s="620">
        <f>AQ440</f>
        <v>-571</v>
      </c>
      <c r="AR34" s="620">
        <f>AR440</f>
        <v>651</v>
      </c>
      <c r="AS34" s="620">
        <f>AS440</f>
        <v>8</v>
      </c>
      <c r="AT34" s="621">
        <f>SUM(AP34:AS34)</f>
        <v>1816</v>
      </c>
      <c r="AU34" s="619">
        <f>AU440</f>
        <v>-80</v>
      </c>
      <c r="AV34" s="620">
        <f>AV440</f>
        <v>-963</v>
      </c>
      <c r="AW34" s="620">
        <f>AW440</f>
        <v>-2850</v>
      </c>
      <c r="AX34" s="620">
        <f>AX440</f>
        <v>-7047</v>
      </c>
      <c r="AY34" s="621">
        <f>SUM(AU34:AX34)</f>
        <v>-10940</v>
      </c>
      <c r="AZ34" s="619">
        <f>AZ440</f>
        <v>2204</v>
      </c>
      <c r="BA34" s="620">
        <f>BA440</f>
        <v>-11054</v>
      </c>
      <c r="BB34" s="620">
        <f>BB440</f>
        <v>-8487</v>
      </c>
      <c r="BC34" s="620">
        <f>BC440</f>
        <v>10151</v>
      </c>
      <c r="BD34" s="621">
        <f>SUM(AZ34:BC34)</f>
        <v>-7186</v>
      </c>
      <c r="BE34" s="619">
        <f>BE440</f>
        <v>-29</v>
      </c>
      <c r="BF34" s="620">
        <f>BF440</f>
        <v>396</v>
      </c>
      <c r="BG34" s="620">
        <f>BG440</f>
        <v>-2601</v>
      </c>
      <c r="BH34" s="620">
        <f>BH440</f>
        <v>368</v>
      </c>
      <c r="BI34" s="621">
        <f>SUM(BE34:BH34)</f>
        <v>-1866</v>
      </c>
      <c r="BJ34" s="619">
        <f>BJ440</f>
        <v>-6927</v>
      </c>
      <c r="BK34" s="620">
        <f>BK440</f>
        <v>-10017</v>
      </c>
      <c r="BL34" s="620">
        <f>BL440</f>
        <v>-7063</v>
      </c>
      <c r="BM34" s="620">
        <f>BM440</f>
        <v>57081</v>
      </c>
      <c r="BN34" s="621">
        <f>SUM(BJ34:BM34)</f>
        <v>33074</v>
      </c>
      <c r="BO34" s="620">
        <f>BO440</f>
        <v>-9901</v>
      </c>
      <c r="BP34" s="620">
        <f>BP440</f>
        <v>-26675</v>
      </c>
      <c r="BQ34" s="620"/>
      <c r="BR34" s="620"/>
      <c r="BS34" s="621"/>
      <c r="BT34" s="619"/>
      <c r="BU34" s="620"/>
      <c r="BV34" s="620"/>
      <c r="BW34" s="620"/>
      <c r="BX34" s="621"/>
      <c r="BY34" s="619"/>
      <c r="BZ34" s="620"/>
      <c r="CA34" s="620"/>
      <c r="CB34" s="620"/>
      <c r="CC34" s="621"/>
      <c r="CD34" s="619"/>
      <c r="CE34" s="620"/>
      <c r="CF34" s="620"/>
      <c r="CG34" s="620"/>
      <c r="CH34" s="621"/>
      <c r="CI34" s="619"/>
      <c r="CJ34" s="620"/>
      <c r="CK34" s="620"/>
      <c r="CL34" s="620"/>
      <c r="CM34" s="621"/>
      <c r="CN34" s="619"/>
      <c r="CO34" s="620"/>
      <c r="CP34" s="620"/>
      <c r="CQ34" s="620"/>
      <c r="CR34" s="621"/>
      <c r="CS34" s="619"/>
      <c r="CT34" s="620"/>
      <c r="CU34" s="620"/>
      <c r="CV34" s="620"/>
      <c r="CW34" s="621"/>
      <c r="CX34" s="619"/>
      <c r="CY34" s="620"/>
      <c r="CZ34" s="620"/>
      <c r="DA34" s="620"/>
      <c r="DB34" s="621"/>
      <c r="DC34" s="620"/>
      <c r="DD34" s="620"/>
      <c r="DE34" s="620"/>
      <c r="DF34" s="620"/>
      <c r="DG34" s="620"/>
      <c r="DH34" s="620"/>
      <c r="DI34" s="620"/>
      <c r="DJ34" s="620"/>
      <c r="DK34" s="620"/>
      <c r="DL34" s="620"/>
      <c r="DM34" s="610"/>
      <c r="DN34"/>
      <c r="DO34"/>
      <c r="DP34"/>
      <c r="DQ34"/>
      <c r="DR34"/>
      <c r="DS34"/>
    </row>
    <row r="35" spans="1:123">
      <c r="A35" s="42"/>
      <c r="B35" s="173"/>
      <c r="C35" s="39"/>
      <c r="D35" s="174"/>
      <c r="E35" s="39"/>
      <c r="F35" s="175"/>
      <c r="G35" s="173"/>
      <c r="H35" s="39"/>
      <c r="I35" s="174"/>
      <c r="J35" s="39"/>
      <c r="K35" s="175"/>
      <c r="L35" s="173"/>
      <c r="M35" s="39"/>
      <c r="N35" s="174"/>
      <c r="O35" s="39"/>
      <c r="P35" s="175"/>
      <c r="Q35" s="173"/>
      <c r="R35" s="39"/>
      <c r="S35" s="174"/>
      <c r="T35" s="39"/>
      <c r="U35" s="175"/>
      <c r="V35" s="173"/>
      <c r="W35" s="39"/>
      <c r="X35" s="174"/>
      <c r="Y35" s="39"/>
      <c r="Z35" s="175"/>
      <c r="AA35" s="173"/>
      <c r="AB35" s="39"/>
      <c r="AC35" s="39"/>
      <c r="AD35" s="39"/>
      <c r="AE35" s="175"/>
      <c r="AF35" s="181"/>
      <c r="AG35" s="182"/>
      <c r="AH35" s="183"/>
      <c r="AI35" s="182"/>
      <c r="AJ35" s="175"/>
      <c r="AK35" s="181"/>
      <c r="AL35" s="182"/>
      <c r="AM35" s="183"/>
      <c r="AN35" s="183"/>
      <c r="AO35" s="175"/>
      <c r="AP35" s="181"/>
      <c r="AQ35" s="183"/>
      <c r="AR35" s="183"/>
      <c r="AS35" s="183"/>
      <c r="AT35" s="175"/>
      <c r="AU35" s="181"/>
      <c r="AV35" s="183"/>
      <c r="AW35" s="183"/>
      <c r="AX35" s="182"/>
      <c r="AY35" s="175"/>
      <c r="AZ35" s="181"/>
      <c r="BA35" s="182"/>
      <c r="BB35" s="183"/>
      <c r="BC35" s="182"/>
      <c r="BD35" s="175"/>
      <c r="BE35" s="181"/>
      <c r="BF35" s="182"/>
      <c r="BG35" s="183"/>
      <c r="BH35" s="182"/>
      <c r="BI35" s="175"/>
      <c r="BJ35" s="181"/>
      <c r="BK35" s="182"/>
      <c r="BL35" s="183"/>
      <c r="BM35" s="182"/>
      <c r="BN35" s="175"/>
      <c r="BO35" s="181"/>
      <c r="BP35" s="182"/>
      <c r="BQ35" s="183"/>
      <c r="BR35" s="182"/>
      <c r="BS35" s="175"/>
      <c r="BT35" s="181"/>
      <c r="BU35" s="182"/>
      <c r="BV35" s="183"/>
      <c r="BW35" s="182"/>
      <c r="BX35" s="175"/>
      <c r="BY35" s="181"/>
      <c r="BZ35" s="182"/>
      <c r="CA35" s="183"/>
      <c r="CB35" s="182"/>
      <c r="CC35" s="175"/>
      <c r="CD35" s="181"/>
      <c r="CE35" s="182"/>
      <c r="CF35" s="183"/>
      <c r="CG35" s="182"/>
      <c r="CH35" s="175"/>
      <c r="CI35" s="181"/>
      <c r="CJ35" s="182"/>
      <c r="CK35" s="183"/>
      <c r="CL35" s="182"/>
      <c r="CM35" s="175"/>
      <c r="CN35" s="181"/>
      <c r="CO35" s="182"/>
      <c r="CP35" s="183"/>
      <c r="CQ35" s="182"/>
      <c r="CR35" s="175"/>
      <c r="CS35" s="181"/>
      <c r="CT35" s="182"/>
      <c r="CU35" s="183"/>
      <c r="CV35" s="182"/>
      <c r="CW35" s="175"/>
      <c r="CX35" s="181"/>
      <c r="CY35" s="182"/>
      <c r="CZ35" s="183"/>
      <c r="DA35" s="182"/>
      <c r="DB35" s="175"/>
      <c r="DC35" s="182"/>
      <c r="DD35" s="182"/>
      <c r="DE35" s="182"/>
      <c r="DF35" s="182"/>
      <c r="DG35" s="182"/>
      <c r="DH35" s="182"/>
      <c r="DI35" s="182"/>
      <c r="DJ35" s="182"/>
      <c r="DK35" s="182"/>
      <c r="DL35" s="182"/>
      <c r="DM35" s="20"/>
    </row>
    <row r="36" spans="1:123">
      <c r="A36" s="45" t="s">
        <v>685</v>
      </c>
      <c r="B36" s="155">
        <f t="shared" ref="B36:Z36" si="22">B28+B22</f>
        <v>241848</v>
      </c>
      <c r="C36" s="163">
        <f t="shared" si="22"/>
        <v>99832</v>
      </c>
      <c r="D36" s="4">
        <f t="shared" si="22"/>
        <v>88113</v>
      </c>
      <c r="E36" s="163">
        <f t="shared" si="22"/>
        <v>174313</v>
      </c>
      <c r="F36" s="215">
        <f t="shared" si="22"/>
        <v>604106</v>
      </c>
      <c r="G36" s="155">
        <f t="shared" si="22"/>
        <v>229595</v>
      </c>
      <c r="H36" s="163">
        <f t="shared" si="22"/>
        <v>95855</v>
      </c>
      <c r="I36" s="4">
        <f t="shared" si="22"/>
        <v>161019</v>
      </c>
      <c r="J36" s="163">
        <f t="shared" si="22"/>
        <v>240311</v>
      </c>
      <c r="K36" s="215">
        <f t="shared" si="22"/>
        <v>726780</v>
      </c>
      <c r="L36" s="155">
        <f t="shared" si="22"/>
        <v>357037</v>
      </c>
      <c r="M36" s="163">
        <f t="shared" si="22"/>
        <v>239898</v>
      </c>
      <c r="N36" s="4">
        <f t="shared" si="22"/>
        <v>197792</v>
      </c>
      <c r="O36" s="163">
        <f t="shared" si="22"/>
        <v>282373</v>
      </c>
      <c r="P36" s="215">
        <f t="shared" si="22"/>
        <v>1077100</v>
      </c>
      <c r="Q36" s="155">
        <f t="shared" si="22"/>
        <v>406603</v>
      </c>
      <c r="R36" s="163">
        <f t="shared" si="22"/>
        <v>210516</v>
      </c>
      <c r="S36" s="4">
        <f t="shared" si="22"/>
        <v>181237</v>
      </c>
      <c r="T36" s="163">
        <f t="shared" si="22"/>
        <v>340150</v>
      </c>
      <c r="U36" s="215">
        <f t="shared" si="22"/>
        <v>1138506</v>
      </c>
      <c r="V36" s="155">
        <f t="shared" si="22"/>
        <v>420372</v>
      </c>
      <c r="W36" s="163">
        <f t="shared" si="22"/>
        <v>250327</v>
      </c>
      <c r="X36" s="4">
        <f t="shared" si="22"/>
        <v>280530</v>
      </c>
      <c r="Y36" s="163">
        <f t="shared" si="22"/>
        <v>308818</v>
      </c>
      <c r="Z36" s="215">
        <f t="shared" si="22"/>
        <v>1260047</v>
      </c>
      <c r="AA36" s="155">
        <f t="shared" ref="AA36:AI36" si="23">AA28+AA22</f>
        <v>385687</v>
      </c>
      <c r="AB36" s="163">
        <f t="shared" si="23"/>
        <v>236479</v>
      </c>
      <c r="AC36" s="4">
        <f t="shared" si="23"/>
        <v>267330</v>
      </c>
      <c r="AD36" s="163">
        <f t="shared" si="23"/>
        <v>362051</v>
      </c>
      <c r="AE36" s="215">
        <f t="shared" si="23"/>
        <v>1251547</v>
      </c>
      <c r="AF36" s="169">
        <f t="shared" si="23"/>
        <v>437090</v>
      </c>
      <c r="AG36" s="170">
        <f t="shared" si="23"/>
        <v>275172</v>
      </c>
      <c r="AH36" s="218">
        <f t="shared" si="23"/>
        <v>277402</v>
      </c>
      <c r="AI36" s="170">
        <f t="shared" si="23"/>
        <v>344882</v>
      </c>
      <c r="AJ36" s="215">
        <f>AJ28+AJ22</f>
        <v>1334546</v>
      </c>
      <c r="AK36" s="169">
        <f>AK28+AK22</f>
        <v>442029</v>
      </c>
      <c r="AL36" s="170">
        <f>AL28+AL22</f>
        <v>325497</v>
      </c>
      <c r="AM36" s="218">
        <f>AM28+AM22</f>
        <v>356965</v>
      </c>
      <c r="AN36" s="218">
        <f>AN28+AN22</f>
        <v>476833</v>
      </c>
      <c r="AO36" s="215">
        <f t="shared" ref="AO36:BS36" si="24">AO28+AO22</f>
        <v>1601324</v>
      </c>
      <c r="AP36" s="169">
        <f t="shared" si="24"/>
        <v>454149</v>
      </c>
      <c r="AQ36" s="218">
        <f t="shared" ref="AQ36:AV36" si="25">AQ28+AQ22</f>
        <v>346868</v>
      </c>
      <c r="AR36" s="218">
        <f t="shared" si="25"/>
        <v>353358</v>
      </c>
      <c r="AS36" s="218">
        <f t="shared" si="25"/>
        <v>410512</v>
      </c>
      <c r="AT36" s="215">
        <f t="shared" si="25"/>
        <v>1564887</v>
      </c>
      <c r="AU36" s="169">
        <f t="shared" si="25"/>
        <v>389884</v>
      </c>
      <c r="AV36" s="218">
        <f t="shared" si="25"/>
        <v>359980</v>
      </c>
      <c r="AW36" s="218">
        <f t="shared" si="24"/>
        <v>368194</v>
      </c>
      <c r="AX36" s="218">
        <f t="shared" si="24"/>
        <v>456042.84615384613</v>
      </c>
      <c r="AY36" s="215">
        <f t="shared" si="24"/>
        <v>1574100.846153846</v>
      </c>
      <c r="AZ36" s="169">
        <f>AZ28+AZ22</f>
        <v>395175</v>
      </c>
      <c r="BA36" s="218">
        <f t="shared" si="24"/>
        <v>348893</v>
      </c>
      <c r="BB36" s="218">
        <f>BB28+BB22</f>
        <v>388499</v>
      </c>
      <c r="BC36" s="218">
        <f t="shared" si="24"/>
        <v>416492</v>
      </c>
      <c r="BD36" s="215">
        <f t="shared" si="24"/>
        <v>1549059</v>
      </c>
      <c r="BE36" s="169">
        <f>BE28+BE22</f>
        <v>313345</v>
      </c>
      <c r="BF36" s="384">
        <f>BF28+BF22</f>
        <v>389649</v>
      </c>
      <c r="BG36" s="218">
        <f t="shared" si="24"/>
        <v>406204</v>
      </c>
      <c r="BH36" s="384">
        <f t="shared" si="24"/>
        <v>444925</v>
      </c>
      <c r="BI36" s="592">
        <f t="shared" si="24"/>
        <v>1554123</v>
      </c>
      <c r="BJ36" s="169">
        <f t="shared" si="24"/>
        <v>434620</v>
      </c>
      <c r="BK36" s="384">
        <f t="shared" si="24"/>
        <v>447317</v>
      </c>
      <c r="BL36" s="218">
        <f>BL28+BL22</f>
        <v>457318</v>
      </c>
      <c r="BM36" s="170">
        <f t="shared" si="24"/>
        <v>468061</v>
      </c>
      <c r="BN36" s="215">
        <f t="shared" si="24"/>
        <v>1807316</v>
      </c>
      <c r="BO36" s="169">
        <f t="shared" si="24"/>
        <v>453410</v>
      </c>
      <c r="BP36" s="170">
        <f t="shared" si="24"/>
        <v>456308</v>
      </c>
      <c r="BQ36" s="218">
        <f t="shared" si="24"/>
        <v>509958</v>
      </c>
      <c r="BR36" s="170">
        <f t="shared" si="24"/>
        <v>541878</v>
      </c>
      <c r="BS36" s="215">
        <f t="shared" si="24"/>
        <v>1961554</v>
      </c>
      <c r="BT36" s="169">
        <f t="shared" ref="BT36:DB36" si="26">BT28+BT22</f>
        <v>602879.56646727398</v>
      </c>
      <c r="BU36" s="170">
        <f t="shared" si="26"/>
        <v>557011.05676331511</v>
      </c>
      <c r="BV36" s="218">
        <f t="shared" si="26"/>
        <v>570967.17154733767</v>
      </c>
      <c r="BW36" s="170">
        <f t="shared" si="26"/>
        <v>568591.94418621692</v>
      </c>
      <c r="BX36" s="215">
        <f t="shared" si="26"/>
        <v>2299449.7389641451</v>
      </c>
      <c r="BY36" s="169">
        <f t="shared" si="26"/>
        <v>627389.46900015348</v>
      </c>
      <c r="BZ36" s="170">
        <f t="shared" si="26"/>
        <v>610181.86556171987</v>
      </c>
      <c r="CA36" s="218">
        <f t="shared" si="26"/>
        <v>620024.71732483071</v>
      </c>
      <c r="CB36" s="170">
        <f t="shared" si="26"/>
        <v>617556.54472589761</v>
      </c>
      <c r="CC36" s="215">
        <f t="shared" si="26"/>
        <v>2475152.5966126025</v>
      </c>
      <c r="CD36" s="169">
        <f t="shared" si="26"/>
        <v>651587.17656762758</v>
      </c>
      <c r="CE36" s="170">
        <f t="shared" si="26"/>
        <v>644467.64163560234</v>
      </c>
      <c r="CF36" s="218">
        <f t="shared" si="26"/>
        <v>664202.36986497755</v>
      </c>
      <c r="CG36" s="170">
        <f t="shared" si="26"/>
        <v>699257.55296476511</v>
      </c>
      <c r="CH36" s="215">
        <f t="shared" si="26"/>
        <v>2659514.7410329734</v>
      </c>
      <c r="CI36" s="169">
        <f t="shared" si="26"/>
        <v>687273.63618903968</v>
      </c>
      <c r="CJ36" s="170">
        <f t="shared" si="26"/>
        <v>690960.9242119604</v>
      </c>
      <c r="CK36" s="218">
        <f t="shared" si="26"/>
        <v>703397.60616422445</v>
      </c>
      <c r="CL36" s="170">
        <f t="shared" si="26"/>
        <v>755865.47214259685</v>
      </c>
      <c r="CM36" s="215">
        <f t="shared" si="26"/>
        <v>2837497.6387078199</v>
      </c>
      <c r="CN36" s="169">
        <f t="shared" si="26"/>
        <v>709212.50624026801</v>
      </c>
      <c r="CO36" s="170">
        <f t="shared" si="26"/>
        <v>716797.66094129696</v>
      </c>
      <c r="CP36" s="218">
        <f t="shared" si="26"/>
        <v>728230.88130819192</v>
      </c>
      <c r="CQ36" s="170">
        <f t="shared" si="26"/>
        <v>798722.80477299448</v>
      </c>
      <c r="CR36" s="215">
        <f t="shared" si="26"/>
        <v>2952963.8532627523</v>
      </c>
      <c r="CS36" s="169">
        <f t="shared" si="26"/>
        <v>730024.01980087219</v>
      </c>
      <c r="CT36" s="170">
        <f t="shared" si="26"/>
        <v>737904.69583602145</v>
      </c>
      <c r="CU36" s="218">
        <f t="shared" si="26"/>
        <v>749692.10546471342</v>
      </c>
      <c r="CV36" s="170">
        <f t="shared" si="26"/>
        <v>839520.9166898611</v>
      </c>
      <c r="CW36" s="215">
        <f t="shared" si="26"/>
        <v>3057141.7377914689</v>
      </c>
      <c r="CX36" s="169">
        <f t="shared" si="26"/>
        <v>760033.76208458038</v>
      </c>
      <c r="CY36" s="170">
        <f t="shared" si="26"/>
        <v>768468.32833908917</v>
      </c>
      <c r="CZ36" s="218">
        <f t="shared" si="26"/>
        <v>780785.8158081267</v>
      </c>
      <c r="DA36" s="170">
        <f t="shared" si="26"/>
        <v>878909.53387915692</v>
      </c>
      <c r="DB36" s="215">
        <f t="shared" si="26"/>
        <v>3188197.4401109545</v>
      </c>
      <c r="DC36" s="170"/>
      <c r="DD36" s="170"/>
      <c r="DE36" s="170"/>
      <c r="DF36" s="170"/>
      <c r="DG36" s="170"/>
      <c r="DH36" s="170"/>
      <c r="DI36" s="170"/>
      <c r="DJ36" s="170"/>
      <c r="DK36" s="170"/>
      <c r="DL36" s="170"/>
      <c r="DM36" s="25"/>
    </row>
    <row r="37" spans="1:123">
      <c r="A37" s="43" t="s">
        <v>653</v>
      </c>
      <c r="B37" s="41"/>
      <c r="C37" s="40"/>
      <c r="D37" s="178"/>
      <c r="E37" s="40" t="s">
        <v>653</v>
      </c>
      <c r="F37" s="179" t="s">
        <v>653</v>
      </c>
      <c r="G37" s="41"/>
      <c r="H37" s="40"/>
      <c r="I37" s="178"/>
      <c r="J37" s="40" t="s">
        <v>653</v>
      </c>
      <c r="K37" s="179" t="s">
        <v>653</v>
      </c>
      <c r="L37" s="41"/>
      <c r="M37" s="40"/>
      <c r="N37" s="178"/>
      <c r="O37" s="40" t="s">
        <v>653</v>
      </c>
      <c r="P37" s="179" t="s">
        <v>653</v>
      </c>
      <c r="Q37" s="41"/>
      <c r="R37" s="40"/>
      <c r="S37" s="178"/>
      <c r="T37" s="40" t="s">
        <v>653</v>
      </c>
      <c r="U37" s="179" t="s">
        <v>653</v>
      </c>
      <c r="V37" s="41"/>
      <c r="W37" s="40"/>
      <c r="X37" s="178"/>
      <c r="Y37" s="40" t="s">
        <v>653</v>
      </c>
      <c r="Z37" s="179" t="s">
        <v>653</v>
      </c>
      <c r="AA37" s="41"/>
      <c r="AB37" s="40"/>
      <c r="AC37" s="38"/>
      <c r="AD37" s="38"/>
      <c r="AE37" s="179" t="s">
        <v>653</v>
      </c>
      <c r="AF37" s="60"/>
      <c r="AG37" s="61"/>
      <c r="AH37" s="61"/>
      <c r="AI37" s="61"/>
      <c r="AJ37" s="179" t="s">
        <v>653</v>
      </c>
      <c r="AK37" s="60"/>
      <c r="AL37" s="61"/>
      <c r="AM37" s="61"/>
      <c r="AN37" s="61"/>
      <c r="AO37" s="179" t="s">
        <v>653</v>
      </c>
      <c r="AP37" s="60"/>
      <c r="AQ37" s="61"/>
      <c r="AR37" s="61"/>
      <c r="AS37" s="61"/>
      <c r="AT37" s="179" t="s">
        <v>653</v>
      </c>
      <c r="AU37" s="60"/>
      <c r="AV37" s="61"/>
      <c r="AW37" s="61"/>
      <c r="AX37" s="61"/>
      <c r="AY37" s="452"/>
      <c r="AZ37" s="60"/>
      <c r="BA37" s="61"/>
      <c r="BB37" s="61"/>
      <c r="BC37" s="61"/>
      <c r="BD37" s="452"/>
      <c r="BE37" s="60"/>
      <c r="BF37" s="61"/>
      <c r="BG37" s="61"/>
      <c r="BH37" s="61"/>
      <c r="BI37" s="179" t="s">
        <v>653</v>
      </c>
      <c r="BJ37" s="60"/>
      <c r="BK37" s="61"/>
      <c r="BL37" s="61"/>
      <c r="BM37" s="61"/>
      <c r="BN37" s="179" t="s">
        <v>653</v>
      </c>
      <c r="BO37" s="60"/>
      <c r="BP37" s="61"/>
      <c r="BQ37" s="61"/>
      <c r="BR37" s="61"/>
      <c r="BS37" s="179" t="s">
        <v>653</v>
      </c>
      <c r="BT37" s="60"/>
      <c r="BU37" s="61"/>
      <c r="BV37" s="61"/>
      <c r="BW37" s="61"/>
      <c r="BX37" s="179" t="s">
        <v>653</v>
      </c>
      <c r="BY37" s="60"/>
      <c r="BZ37" s="61"/>
      <c r="CA37" s="61"/>
      <c r="CB37" s="61"/>
      <c r="CC37" s="179" t="s">
        <v>653</v>
      </c>
      <c r="CD37" s="60"/>
      <c r="CE37" s="61"/>
      <c r="CF37" s="61"/>
      <c r="CG37" s="61"/>
      <c r="CH37" s="179" t="s">
        <v>653</v>
      </c>
      <c r="CI37" s="60"/>
      <c r="CJ37" s="61"/>
      <c r="CK37" s="61"/>
      <c r="CL37" s="61"/>
      <c r="CM37" s="179" t="s">
        <v>653</v>
      </c>
      <c r="CN37" s="60"/>
      <c r="CO37" s="61"/>
      <c r="CP37" s="61"/>
      <c r="CQ37" s="61"/>
      <c r="CR37" s="179" t="s">
        <v>653</v>
      </c>
      <c r="CS37" s="60"/>
      <c r="CT37" s="61"/>
      <c r="CU37" s="61"/>
      <c r="CV37" s="61"/>
      <c r="CW37" s="179" t="s">
        <v>653</v>
      </c>
      <c r="CX37" s="60"/>
      <c r="CY37" s="61"/>
      <c r="CZ37" s="61"/>
      <c r="DA37" s="61"/>
      <c r="DB37" s="179" t="s">
        <v>653</v>
      </c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"/>
    </row>
    <row r="38" spans="1:123">
      <c r="A38" s="42" t="s">
        <v>930</v>
      </c>
      <c r="B38" s="41"/>
      <c r="C38" s="40"/>
      <c r="D38" s="178"/>
      <c r="E38" s="40" t="s">
        <v>653</v>
      </c>
      <c r="F38" s="179" t="s">
        <v>653</v>
      </c>
      <c r="G38" s="41"/>
      <c r="H38" s="40"/>
      <c r="I38" s="178"/>
      <c r="J38" s="40" t="s">
        <v>653</v>
      </c>
      <c r="K38" s="179" t="s">
        <v>653</v>
      </c>
      <c r="L38" s="41"/>
      <c r="M38" s="40"/>
      <c r="N38" s="178"/>
      <c r="O38" s="40" t="s">
        <v>653</v>
      </c>
      <c r="P38" s="179" t="s">
        <v>653</v>
      </c>
      <c r="Q38" s="41"/>
      <c r="R38" s="40"/>
      <c r="S38" s="178"/>
      <c r="T38" s="40" t="s">
        <v>653</v>
      </c>
      <c r="U38" s="179" t="s">
        <v>653</v>
      </c>
      <c r="V38" s="41"/>
      <c r="W38" s="40"/>
      <c r="X38" s="178"/>
      <c r="Y38" s="40" t="s">
        <v>653</v>
      </c>
      <c r="Z38" s="179" t="s">
        <v>653</v>
      </c>
      <c r="AA38" s="41"/>
      <c r="AB38" s="40"/>
      <c r="AC38" s="38"/>
      <c r="AD38" s="38"/>
      <c r="AE38" s="179" t="s">
        <v>653</v>
      </c>
      <c r="AF38" s="60"/>
      <c r="AG38" s="61"/>
      <c r="AH38" s="61"/>
      <c r="AI38" s="61"/>
      <c r="AJ38" s="179" t="s">
        <v>653</v>
      </c>
      <c r="AK38" s="60"/>
      <c r="AL38" s="61"/>
      <c r="AM38" s="61"/>
      <c r="AN38" s="61"/>
      <c r="AO38" s="179" t="s">
        <v>653</v>
      </c>
      <c r="AP38" s="60"/>
      <c r="AQ38" s="61"/>
      <c r="AR38" s="61"/>
      <c r="AS38" s="61"/>
      <c r="AT38" s="179" t="s">
        <v>653</v>
      </c>
      <c r="AU38" s="60"/>
      <c r="AV38" s="61"/>
      <c r="AW38" s="61"/>
      <c r="AX38" s="61"/>
      <c r="AY38" s="179" t="s">
        <v>653</v>
      </c>
      <c r="AZ38" s="60"/>
      <c r="BA38" s="61"/>
      <c r="BB38" s="61"/>
      <c r="BC38" s="61"/>
      <c r="BD38" s="179" t="s">
        <v>653</v>
      </c>
      <c r="BE38" s="60"/>
      <c r="BF38" s="61"/>
      <c r="BG38" s="61"/>
      <c r="BH38" s="61"/>
      <c r="BI38" s="179" t="s">
        <v>653</v>
      </c>
      <c r="BJ38" s="60"/>
      <c r="BK38" s="61"/>
      <c r="BL38" s="61"/>
      <c r="BM38" s="65"/>
      <c r="BN38" s="179" t="s">
        <v>653</v>
      </c>
      <c r="BO38" s="60"/>
      <c r="BP38" s="61"/>
      <c r="BQ38" s="61"/>
      <c r="BR38" s="61"/>
      <c r="BS38" s="179" t="s">
        <v>653</v>
      </c>
      <c r="BT38" s="60"/>
      <c r="BU38" s="61"/>
      <c r="BV38" s="61"/>
      <c r="BW38" s="61"/>
      <c r="BX38" s="179" t="s">
        <v>653</v>
      </c>
      <c r="BY38" s="60"/>
      <c r="BZ38" s="61"/>
      <c r="CA38" s="61"/>
      <c r="CB38" s="61"/>
      <c r="CC38" s="179" t="s">
        <v>653</v>
      </c>
      <c r="CD38" s="60"/>
      <c r="CE38" s="61"/>
      <c r="CF38" s="61"/>
      <c r="CG38" s="61"/>
      <c r="CH38" s="179" t="s">
        <v>653</v>
      </c>
      <c r="CI38" s="60"/>
      <c r="CJ38" s="61"/>
      <c r="CK38" s="61"/>
      <c r="CL38" s="61"/>
      <c r="CM38" s="179" t="s">
        <v>653</v>
      </c>
      <c r="CN38" s="60"/>
      <c r="CO38" s="61"/>
      <c r="CP38" s="61"/>
      <c r="CQ38" s="61"/>
      <c r="CR38" s="179" t="s">
        <v>653</v>
      </c>
      <c r="CS38" s="60"/>
      <c r="CT38" s="61"/>
      <c r="CU38" s="61"/>
      <c r="CV38" s="61"/>
      <c r="CW38" s="179" t="s">
        <v>653</v>
      </c>
      <c r="CX38" s="60"/>
      <c r="CY38" s="61"/>
      <c r="CZ38" s="61"/>
      <c r="DA38" s="61"/>
      <c r="DB38" s="179" t="s">
        <v>653</v>
      </c>
      <c r="DC38" s="185"/>
      <c r="DD38" s="185"/>
      <c r="DE38" s="185"/>
      <c r="DF38" s="185"/>
      <c r="DG38" s="185"/>
      <c r="DH38" s="185"/>
      <c r="DI38" s="185"/>
      <c r="DJ38" s="185"/>
      <c r="DK38" s="185"/>
      <c r="DL38" s="185"/>
      <c r="DM38" s="18"/>
    </row>
    <row r="39" spans="1:123">
      <c r="A39" s="44" t="s">
        <v>251</v>
      </c>
      <c r="B39" s="41">
        <v>0</v>
      </c>
      <c r="C39" s="40">
        <v>0</v>
      </c>
      <c r="D39" s="178">
        <v>0</v>
      </c>
      <c r="E39" s="162">
        <f>F39-SUM(B39:D39)</f>
        <v>0</v>
      </c>
      <c r="F39" s="179">
        <v>0</v>
      </c>
      <c r="G39" s="41">
        <v>0</v>
      </c>
      <c r="H39" s="40">
        <v>0</v>
      </c>
      <c r="I39" s="178">
        <v>0</v>
      </c>
      <c r="J39" s="162">
        <f>K39-SUM(G39:I39)</f>
        <v>0</v>
      </c>
      <c r="K39" s="179">
        <v>0</v>
      </c>
      <c r="L39" s="41">
        <v>0</v>
      </c>
      <c r="M39" s="40">
        <v>0</v>
      </c>
      <c r="N39" s="178">
        <v>0</v>
      </c>
      <c r="O39" s="162">
        <f>P39-SUM(L39:N39)</f>
        <v>2205</v>
      </c>
      <c r="P39" s="179">
        <v>2205</v>
      </c>
      <c r="Q39" s="41">
        <v>1337</v>
      </c>
      <c r="R39" s="40">
        <v>1658</v>
      </c>
      <c r="S39" s="178">
        <v>3691</v>
      </c>
      <c r="T39" s="162">
        <f>U39-SUM(Q39:S39)</f>
        <v>5852</v>
      </c>
      <c r="U39" s="179">
        <v>12538</v>
      </c>
      <c r="V39" s="41">
        <v>8496</v>
      </c>
      <c r="W39" s="40">
        <v>11676</v>
      </c>
      <c r="X39" s="178">
        <v>15616</v>
      </c>
      <c r="Y39" s="162">
        <f>Z39-SUM(V39:X39)</f>
        <v>15118</v>
      </c>
      <c r="Z39" s="179">
        <v>50906</v>
      </c>
      <c r="AA39" s="41">
        <v>9003</v>
      </c>
      <c r="AB39" s="40">
        <v>9468</v>
      </c>
      <c r="AC39" s="40">
        <v>7290</v>
      </c>
      <c r="AD39" s="38">
        <v>1107</v>
      </c>
      <c r="AE39" s="104">
        <f>SUM(AA39:AD39)</f>
        <v>26868</v>
      </c>
      <c r="AF39" s="180">
        <v>247</v>
      </c>
      <c r="AG39" s="40">
        <v>235</v>
      </c>
      <c r="AH39" s="40">
        <v>266</v>
      </c>
      <c r="AI39" s="65">
        <v>270</v>
      </c>
      <c r="AJ39" s="104">
        <f>SUM(AF39:AI39)</f>
        <v>1018</v>
      </c>
      <c r="AK39" s="180">
        <v>466</v>
      </c>
      <c r="AL39" s="65">
        <v>400</v>
      </c>
      <c r="AM39" s="40">
        <v>759</v>
      </c>
      <c r="AN39" s="40">
        <v>712</v>
      </c>
      <c r="AO39" s="104">
        <f>SUM(AK39:AN39)</f>
        <v>2337</v>
      </c>
      <c r="AP39" s="180">
        <v>975</v>
      </c>
      <c r="AQ39" s="40">
        <v>1849</v>
      </c>
      <c r="AR39" s="40">
        <v>3302</v>
      </c>
      <c r="AS39" s="40">
        <v>7522</v>
      </c>
      <c r="AT39" s="104">
        <f>SUM(AP39:AS39)</f>
        <v>13648</v>
      </c>
      <c r="AU39" s="180">
        <v>9087</v>
      </c>
      <c r="AV39" s="40">
        <v>5656</v>
      </c>
      <c r="AW39" s="40">
        <v>6429</v>
      </c>
      <c r="AX39" s="40">
        <v>9350</v>
      </c>
      <c r="AY39" s="104">
        <f>SUM(AU39:AX39)</f>
        <v>30522</v>
      </c>
      <c r="AZ39" s="180">
        <v>10971</v>
      </c>
      <c r="BA39" s="40">
        <v>1253</v>
      </c>
      <c r="BB39" s="40">
        <v>1723</v>
      </c>
      <c r="BC39" s="40">
        <v>990</v>
      </c>
      <c r="BD39" s="104">
        <f>SUM(AZ39:BC39)</f>
        <v>14937</v>
      </c>
      <c r="BE39" s="180">
        <v>799</v>
      </c>
      <c r="BF39" s="40">
        <v>742</v>
      </c>
      <c r="BG39" s="587">
        <v>177</v>
      </c>
      <c r="BH39" s="40">
        <v>461</v>
      </c>
      <c r="BI39" s="104">
        <f>SUM(BE39:BH39)</f>
        <v>2179</v>
      </c>
      <c r="BJ39" s="180">
        <v>208</v>
      </c>
      <c r="BK39" s="40">
        <v>0</v>
      </c>
      <c r="BL39" s="40">
        <v>0</v>
      </c>
      <c r="BM39" s="40">
        <v>1</v>
      </c>
      <c r="BN39" s="104">
        <f>SUM(BJ39:BM39)</f>
        <v>209</v>
      </c>
      <c r="BO39" s="180">
        <v>13</v>
      </c>
      <c r="BP39" s="587">
        <v>22</v>
      </c>
      <c r="BQ39" s="587">
        <v>40</v>
      </c>
      <c r="BR39" s="40">
        <v>32</v>
      </c>
      <c r="BS39" s="104">
        <f>SUM(BO39:BR39)</f>
        <v>107</v>
      </c>
      <c r="BT39" s="587">
        <v>1250</v>
      </c>
      <c r="BU39" s="99">
        <f>+BT39</f>
        <v>1250</v>
      </c>
      <c r="BV39" s="99">
        <f>+BU39</f>
        <v>1250</v>
      </c>
      <c r="BW39" s="99">
        <f>+BV39</f>
        <v>1250</v>
      </c>
      <c r="BX39" s="104">
        <f>SUM(BT39:BW39)</f>
        <v>5000</v>
      </c>
      <c r="BY39" s="99">
        <v>1250</v>
      </c>
      <c r="BZ39" s="99">
        <f>+BY39</f>
        <v>1250</v>
      </c>
      <c r="CA39" s="99">
        <f>+BZ39</f>
        <v>1250</v>
      </c>
      <c r="CB39" s="99">
        <f>+CA39</f>
        <v>1250</v>
      </c>
      <c r="CC39" s="104">
        <f>SUM(BY39:CB39)</f>
        <v>5000</v>
      </c>
      <c r="CD39" s="99">
        <v>1250</v>
      </c>
      <c r="CE39" s="99">
        <f>+CD39</f>
        <v>1250</v>
      </c>
      <c r="CF39" s="99">
        <f>+CE39</f>
        <v>1250</v>
      </c>
      <c r="CG39" s="99">
        <f>+CF39</f>
        <v>1250</v>
      </c>
      <c r="CH39" s="104">
        <f>SUM(CD39:CG39)</f>
        <v>5000</v>
      </c>
      <c r="CI39" s="99">
        <v>1250</v>
      </c>
      <c r="CJ39" s="99">
        <f>+CI39</f>
        <v>1250</v>
      </c>
      <c r="CK39" s="99">
        <f>+CJ39</f>
        <v>1250</v>
      </c>
      <c r="CL39" s="99">
        <f>+CK39</f>
        <v>1250</v>
      </c>
      <c r="CM39" s="104">
        <f>SUM(CI39:CL39)</f>
        <v>5000</v>
      </c>
      <c r="CN39" s="99">
        <v>1250</v>
      </c>
      <c r="CO39" s="99">
        <f>+CN39</f>
        <v>1250</v>
      </c>
      <c r="CP39" s="99">
        <f>+CO39</f>
        <v>1250</v>
      </c>
      <c r="CQ39" s="99">
        <f>+CP39</f>
        <v>1250</v>
      </c>
      <c r="CR39" s="104">
        <f>SUM(CN39:CQ39)</f>
        <v>5000</v>
      </c>
      <c r="CS39" s="99">
        <v>1250</v>
      </c>
      <c r="CT39" s="99">
        <f>+CS39</f>
        <v>1250</v>
      </c>
      <c r="CU39" s="99">
        <f>+CT39</f>
        <v>1250</v>
      </c>
      <c r="CV39" s="99">
        <f>+CU39</f>
        <v>1250</v>
      </c>
      <c r="CW39" s="104">
        <f>SUM(CS39:CV39)</f>
        <v>5000</v>
      </c>
      <c r="CX39" s="99">
        <v>1250</v>
      </c>
      <c r="CY39" s="99">
        <f>+CX39</f>
        <v>1250</v>
      </c>
      <c r="CZ39" s="99">
        <f>+CY39</f>
        <v>1250</v>
      </c>
      <c r="DA39" s="99">
        <f>+CZ39</f>
        <v>1250</v>
      </c>
      <c r="DB39" s="104">
        <f>SUM(CX39:DA39)</f>
        <v>5000</v>
      </c>
      <c r="DC39" s="48"/>
      <c r="DD39" s="48"/>
      <c r="DE39" s="48"/>
      <c r="DF39" s="48"/>
      <c r="DG39" s="48"/>
      <c r="DH39" s="48"/>
      <c r="DI39" s="48"/>
      <c r="DJ39" s="48"/>
      <c r="DK39" s="99"/>
      <c r="DL39" s="99"/>
      <c r="DM39" s="18"/>
    </row>
    <row r="40" spans="1:123">
      <c r="A40" s="44" t="s">
        <v>706</v>
      </c>
      <c r="B40" s="41">
        <v>7814</v>
      </c>
      <c r="C40" s="40">
        <v>1655</v>
      </c>
      <c r="D40" s="178">
        <v>1636</v>
      </c>
      <c r="E40" s="162">
        <f>F40-SUM(B40:D40)</f>
        <v>4093</v>
      </c>
      <c r="F40" s="179">
        <v>15198</v>
      </c>
      <c r="G40" s="41">
        <v>5298</v>
      </c>
      <c r="H40" s="40">
        <v>3938</v>
      </c>
      <c r="I40" s="178">
        <v>4428</v>
      </c>
      <c r="J40" s="162">
        <f>K40-SUM(G40:I40)</f>
        <v>-13748</v>
      </c>
      <c r="K40" s="179">
        <v>-84</v>
      </c>
      <c r="L40" s="41">
        <v>4480</v>
      </c>
      <c r="M40" s="40">
        <v>7821</v>
      </c>
      <c r="N40" s="178">
        <v>8381</v>
      </c>
      <c r="O40" s="162">
        <f>P40-SUM(L40:N40)</f>
        <v>5348</v>
      </c>
      <c r="P40" s="179">
        <v>26030</v>
      </c>
      <c r="Q40" s="41">
        <v>5004</v>
      </c>
      <c r="R40" s="40">
        <v>10684</v>
      </c>
      <c r="S40" s="178">
        <v>1756</v>
      </c>
      <c r="T40" s="162">
        <f>U40-SUM(Q40:S40)</f>
        <v>4488</v>
      </c>
      <c r="U40" s="179">
        <v>21932</v>
      </c>
      <c r="V40" s="41">
        <v>3232</v>
      </c>
      <c r="W40" s="40">
        <v>704</v>
      </c>
      <c r="X40" s="178">
        <v>12723</v>
      </c>
      <c r="Y40" s="162">
        <f>Z40-SUM(V40:X40)</f>
        <v>179</v>
      </c>
      <c r="Z40" s="179">
        <v>16838</v>
      </c>
      <c r="AA40" s="41">
        <v>1665</v>
      </c>
      <c r="AB40" s="40">
        <v>7939</v>
      </c>
      <c r="AC40" s="40">
        <v>8950</v>
      </c>
      <c r="AD40" s="38">
        <v>4055</v>
      </c>
      <c r="AE40" s="104">
        <f>SUM(AA40:AD40)</f>
        <v>22609</v>
      </c>
      <c r="AF40" s="180">
        <v>2909</v>
      </c>
      <c r="AG40" s="40">
        <v>711</v>
      </c>
      <c r="AH40" s="40">
        <v>6710</v>
      </c>
      <c r="AI40" s="65">
        <v>6624</v>
      </c>
      <c r="AJ40" s="104">
        <f>SUM(AF40:AI40)</f>
        <v>16954</v>
      </c>
      <c r="AK40" s="180">
        <v>3369</v>
      </c>
      <c r="AL40" s="65">
        <v>341</v>
      </c>
      <c r="AM40" s="40">
        <v>124</v>
      </c>
      <c r="AN40" s="40">
        <v>5455</v>
      </c>
      <c r="AO40" s="104">
        <f>SUM(AK40:AN40)</f>
        <v>9289</v>
      </c>
      <c r="AP40" s="180">
        <v>9861</v>
      </c>
      <c r="AQ40" s="40">
        <v>686</v>
      </c>
      <c r="AR40" s="40">
        <v>5049</v>
      </c>
      <c r="AS40" s="40">
        <v>1009</v>
      </c>
      <c r="AT40" s="104">
        <f>SUM(AP40:AS40)</f>
        <v>16605</v>
      </c>
      <c r="AU40" s="180">
        <v>7364</v>
      </c>
      <c r="AV40" s="40">
        <v>3134</v>
      </c>
      <c r="AW40" s="40">
        <v>6154</v>
      </c>
      <c r="AX40" s="40">
        <v>7831</v>
      </c>
      <c r="AY40" s="104">
        <f>SUM(AU40:AX40)</f>
        <v>24483</v>
      </c>
      <c r="AZ40" s="180">
        <v>1409</v>
      </c>
      <c r="BA40" s="40">
        <v>3213</v>
      </c>
      <c r="BB40" s="40">
        <v>100</v>
      </c>
      <c r="BC40" s="40">
        <v>2481</v>
      </c>
      <c r="BD40" s="104">
        <f>SUM(AZ40:BC40)</f>
        <v>7203</v>
      </c>
      <c r="BE40" s="180">
        <v>3136</v>
      </c>
      <c r="BF40" s="40">
        <v>60</v>
      </c>
      <c r="BG40" s="587">
        <v>71</v>
      </c>
      <c r="BH40" s="40">
        <v>4166</v>
      </c>
      <c r="BI40" s="104">
        <f>SUM(BE40:BH40)</f>
        <v>7433</v>
      </c>
      <c r="BJ40" s="180">
        <v>305</v>
      </c>
      <c r="BK40" s="40">
        <v>4804</v>
      </c>
      <c r="BL40" s="40">
        <v>4242</v>
      </c>
      <c r="BM40" s="40">
        <v>-3260</v>
      </c>
      <c r="BN40" s="104">
        <f>SUM(BJ40:BM40)</f>
        <v>6091</v>
      </c>
      <c r="BO40" s="180">
        <v>4341</v>
      </c>
      <c r="BP40" s="587">
        <v>4033</v>
      </c>
      <c r="BQ40" s="587">
        <v>3296</v>
      </c>
      <c r="BR40" s="40">
        <v>3715</v>
      </c>
      <c r="BS40" s="104">
        <f>SUM(BO40:BR40)</f>
        <v>15385</v>
      </c>
      <c r="BT40" s="114">
        <f>BR40*1.025</f>
        <v>3807.8749999999995</v>
      </c>
      <c r="BU40" s="99">
        <f t="shared" ref="BU40:BW41" si="27">BT40*1.005</f>
        <v>3826.9143749999989</v>
      </c>
      <c r="BV40" s="99">
        <f t="shared" si="27"/>
        <v>3846.0489468749984</v>
      </c>
      <c r="BW40" s="99">
        <f t="shared" si="27"/>
        <v>3865.2791916093729</v>
      </c>
      <c r="BX40" s="104">
        <f>SUM(BT40:BW40)</f>
        <v>15346.117513484369</v>
      </c>
      <c r="BY40" s="114">
        <f>BW40*1.025</f>
        <v>3961.9111713996067</v>
      </c>
      <c r="BZ40" s="99">
        <f t="shared" ref="BZ40:CB41" si="28">BY40*1.005</f>
        <v>3981.7207272566043</v>
      </c>
      <c r="CA40" s="99">
        <f t="shared" si="28"/>
        <v>4001.6293308928871</v>
      </c>
      <c r="CB40" s="99">
        <f t="shared" si="28"/>
        <v>4021.637477547351</v>
      </c>
      <c r="CC40" s="104">
        <f>SUM(BY40:CB40)</f>
        <v>15966.898707096449</v>
      </c>
      <c r="CD40" s="114">
        <f>CB40*1.025</f>
        <v>4122.1784144860339</v>
      </c>
      <c r="CE40" s="99">
        <f t="shared" ref="CE40:CG41" si="29">CD40*1.005</f>
        <v>4142.789306558464</v>
      </c>
      <c r="CF40" s="99">
        <f t="shared" si="29"/>
        <v>4163.5032530912558</v>
      </c>
      <c r="CG40" s="99">
        <f t="shared" si="29"/>
        <v>4184.3207693567119</v>
      </c>
      <c r="CH40" s="104">
        <f>SUM(CD40:CG40)</f>
        <v>16612.791743492464</v>
      </c>
      <c r="CI40" s="114">
        <f>CG40*1.025</f>
        <v>4288.9287885906297</v>
      </c>
      <c r="CJ40" s="99">
        <f t="shared" ref="CJ40:CL41" si="30">CI40*1.005</f>
        <v>4310.3734325335827</v>
      </c>
      <c r="CK40" s="99">
        <f t="shared" si="30"/>
        <v>4331.9252996962505</v>
      </c>
      <c r="CL40" s="99">
        <f t="shared" si="30"/>
        <v>4353.5849261947315</v>
      </c>
      <c r="CM40" s="104">
        <f>SUM(CI40:CL40)</f>
        <v>17284.812447015196</v>
      </c>
      <c r="CN40" s="114">
        <f>CL40*1.025</f>
        <v>4462.4245493495991</v>
      </c>
      <c r="CO40" s="99">
        <f t="shared" ref="CO40:CQ41" si="31">CN40*1.005</f>
        <v>4484.7366720963464</v>
      </c>
      <c r="CP40" s="99">
        <f t="shared" si="31"/>
        <v>4507.1603554568273</v>
      </c>
      <c r="CQ40" s="99">
        <f t="shared" si="31"/>
        <v>4529.6961572341106</v>
      </c>
      <c r="CR40" s="104">
        <f>SUM(CN40:CQ40)</f>
        <v>17984.017734136884</v>
      </c>
      <c r="CS40" s="114">
        <f>CQ40*1.025</f>
        <v>4642.9385611649632</v>
      </c>
      <c r="CT40" s="99">
        <f t="shared" ref="CT40:CV41" si="32">CS40*1.005</f>
        <v>4666.1532539707878</v>
      </c>
      <c r="CU40" s="99">
        <f t="shared" si="32"/>
        <v>4689.4840202406413</v>
      </c>
      <c r="CV40" s="99">
        <f t="shared" si="32"/>
        <v>4712.9314403418439</v>
      </c>
      <c r="CW40" s="104">
        <f>SUM(CS40:CV40)</f>
        <v>18711.507275718235</v>
      </c>
      <c r="CX40" s="114">
        <f>CV40*1.025</f>
        <v>4830.7547263503893</v>
      </c>
      <c r="CY40" s="99">
        <f t="shared" ref="CY40:DA41" si="33">CX40*1.005</f>
        <v>4854.9084999821407</v>
      </c>
      <c r="CZ40" s="99">
        <f t="shared" si="33"/>
        <v>4879.183042482051</v>
      </c>
      <c r="DA40" s="99">
        <f t="shared" si="33"/>
        <v>4903.5789576944608</v>
      </c>
      <c r="DB40" s="104">
        <f>SUM(CX40:DA40)</f>
        <v>19468.42522650904</v>
      </c>
      <c r="DC40" s="48"/>
      <c r="DD40" s="48"/>
      <c r="DE40" s="48"/>
      <c r="DF40" s="48"/>
      <c r="DG40" s="48"/>
      <c r="DH40" s="48"/>
      <c r="DI40" s="48"/>
      <c r="DJ40" s="48"/>
      <c r="DK40" s="99"/>
      <c r="DL40" s="99"/>
      <c r="DM40" s="18"/>
    </row>
    <row r="41" spans="1:123">
      <c r="A41" s="44" t="s">
        <v>252</v>
      </c>
      <c r="B41" s="41">
        <v>-7590</v>
      </c>
      <c r="C41" s="40">
        <v>-883</v>
      </c>
      <c r="D41" s="178">
        <v>-1322</v>
      </c>
      <c r="E41" s="162">
        <f>F41-SUM(B41:D41)</f>
        <v>-2261</v>
      </c>
      <c r="F41" s="179">
        <v>-12056</v>
      </c>
      <c r="G41" s="41">
        <v>-782</v>
      </c>
      <c r="H41" s="40">
        <v>-3939</v>
      </c>
      <c r="I41" s="178">
        <v>-3365</v>
      </c>
      <c r="J41" s="162">
        <f>K41-SUM(G41:I41)</f>
        <v>-10979</v>
      </c>
      <c r="K41" s="179">
        <v>-19065</v>
      </c>
      <c r="L41" s="41">
        <v>-5260</v>
      </c>
      <c r="M41" s="40">
        <v>-5958</v>
      </c>
      <c r="N41" s="178">
        <v>-860</v>
      </c>
      <c r="O41" s="162">
        <f>P41-SUM(L41:N41)</f>
        <v>-12076</v>
      </c>
      <c r="P41" s="179">
        <v>-24154</v>
      </c>
      <c r="Q41" s="41">
        <v>-645</v>
      </c>
      <c r="R41" s="40">
        <v>-914</v>
      </c>
      <c r="S41" s="178">
        <v>-654</v>
      </c>
      <c r="T41" s="162">
        <f>U41-SUM(Q41:S41)</f>
        <v>-5666</v>
      </c>
      <c r="U41" s="179">
        <v>-7879</v>
      </c>
      <c r="V41" s="41">
        <v>-4608</v>
      </c>
      <c r="W41" s="40">
        <v>-407</v>
      </c>
      <c r="X41" s="178">
        <v>-11332</v>
      </c>
      <c r="Y41" s="162">
        <f>Z41-SUM(V41:X41)</f>
        <v>-11128</v>
      </c>
      <c r="Z41" s="179">
        <v>-27475</v>
      </c>
      <c r="AA41" s="41">
        <v>-3944</v>
      </c>
      <c r="AB41" s="40">
        <v>-1399</v>
      </c>
      <c r="AC41" s="40">
        <v>-995</v>
      </c>
      <c r="AD41" s="38">
        <v>-11154</v>
      </c>
      <c r="AE41" s="104">
        <f>SUM(AA41:AD41)</f>
        <v>-17492</v>
      </c>
      <c r="AF41" s="180">
        <v>-1053</v>
      </c>
      <c r="AG41" s="40">
        <v>-7552</v>
      </c>
      <c r="AH41" s="40">
        <v>-2097</v>
      </c>
      <c r="AI41" s="65">
        <v>-5764</v>
      </c>
      <c r="AJ41" s="104">
        <f>SUM(AF41:AI41)</f>
        <v>-16466</v>
      </c>
      <c r="AK41" s="180">
        <v>-2287</v>
      </c>
      <c r="AL41" s="65">
        <f>-773</f>
        <v>-773</v>
      </c>
      <c r="AM41" s="40">
        <v>-13318</v>
      </c>
      <c r="AN41" s="40">
        <v>-915</v>
      </c>
      <c r="AO41" s="104">
        <f>SUM(AK41:AN41)</f>
        <v>-17293</v>
      </c>
      <c r="AP41" s="180">
        <v>-2274</v>
      </c>
      <c r="AQ41" s="40">
        <v>-4898</v>
      </c>
      <c r="AR41" s="40">
        <v>-919</v>
      </c>
      <c r="AS41" s="40">
        <v>-935</v>
      </c>
      <c r="AT41" s="104">
        <f>SUM(AP41:AS41)</f>
        <v>-9026</v>
      </c>
      <c r="AU41" s="180">
        <v>-2596</v>
      </c>
      <c r="AV41" s="40">
        <v>-806</v>
      </c>
      <c r="AW41" s="40">
        <v>-1077</v>
      </c>
      <c r="AX41" s="40">
        <v>-13228</v>
      </c>
      <c r="AY41" s="104">
        <f>SUM(AU41:AX41)</f>
        <v>-17707</v>
      </c>
      <c r="AZ41" s="180">
        <v>-25534</v>
      </c>
      <c r="BA41" s="40">
        <v>-1392</v>
      </c>
      <c r="BB41" s="40">
        <v>-2506</v>
      </c>
      <c r="BC41" s="40">
        <v>-1246</v>
      </c>
      <c r="BD41" s="104">
        <f>SUM(AZ41:BC41)</f>
        <v>-30678</v>
      </c>
      <c r="BE41" s="180">
        <v>-1304</v>
      </c>
      <c r="BF41" s="40">
        <v>-1960</v>
      </c>
      <c r="BG41" s="587">
        <f>-7508+-3860</f>
        <v>-11368</v>
      </c>
      <c r="BH41" s="40">
        <v>-1053</v>
      </c>
      <c r="BI41" s="104">
        <f>SUM(BE41:BH41)</f>
        <v>-15685</v>
      </c>
      <c r="BJ41" s="180">
        <v>-637</v>
      </c>
      <c r="BK41" s="40">
        <v>-941</v>
      </c>
      <c r="BL41" s="40">
        <f>-710-576</f>
        <v>-1286</v>
      </c>
      <c r="BM41" s="40">
        <v>-1195</v>
      </c>
      <c r="BN41" s="104">
        <f>SUM(BJ41:BM41)</f>
        <v>-4059</v>
      </c>
      <c r="BO41" s="180">
        <v>-750</v>
      </c>
      <c r="BP41" s="587">
        <f>-21843</f>
        <v>-21843</v>
      </c>
      <c r="BQ41" s="587">
        <f>+-838-4270-15970</f>
        <v>-21078</v>
      </c>
      <c r="BR41" s="40">
        <v>-1505</v>
      </c>
      <c r="BS41" s="104">
        <f>SUM(BO41:BR41)</f>
        <v>-45176</v>
      </c>
      <c r="BT41" s="114">
        <f>BR41*1.025</f>
        <v>-1542.6249999999998</v>
      </c>
      <c r="BU41" s="99">
        <f t="shared" si="27"/>
        <v>-1550.3381249999995</v>
      </c>
      <c r="BV41" s="99">
        <f t="shared" si="27"/>
        <v>-1558.0898156249993</v>
      </c>
      <c r="BW41" s="99">
        <f t="shared" si="27"/>
        <v>-1565.8802647031241</v>
      </c>
      <c r="BX41" s="104">
        <f>SUM(BT41:BW41)</f>
        <v>-6216.9332053281232</v>
      </c>
      <c r="BY41" s="114">
        <f>BW41*1.025</f>
        <v>-1605.0272713207021</v>
      </c>
      <c r="BZ41" s="99">
        <f t="shared" si="28"/>
        <v>-1613.0524076773054</v>
      </c>
      <c r="CA41" s="99">
        <f t="shared" si="28"/>
        <v>-1621.1176697156918</v>
      </c>
      <c r="CB41" s="99">
        <f t="shared" si="28"/>
        <v>-1629.2232580642701</v>
      </c>
      <c r="CC41" s="104">
        <f>SUM(BY41:CB41)</f>
        <v>-6468.4206067779696</v>
      </c>
      <c r="CD41" s="114">
        <f>CB41*1.025</f>
        <v>-1669.9538395158768</v>
      </c>
      <c r="CE41" s="99">
        <f t="shared" si="29"/>
        <v>-1678.303608713456</v>
      </c>
      <c r="CF41" s="99">
        <f t="shared" si="29"/>
        <v>-1686.6951267570232</v>
      </c>
      <c r="CG41" s="99">
        <f t="shared" si="29"/>
        <v>-1695.1286023908081</v>
      </c>
      <c r="CH41" s="104">
        <f>SUM(CD41:CG41)</f>
        <v>-6730.0811773771638</v>
      </c>
      <c r="CI41" s="114">
        <f>CG41*1.025</f>
        <v>-1737.5068174505782</v>
      </c>
      <c r="CJ41" s="99">
        <f t="shared" si="30"/>
        <v>-1746.1943515378309</v>
      </c>
      <c r="CK41" s="99">
        <f t="shared" si="30"/>
        <v>-1754.92532329552</v>
      </c>
      <c r="CL41" s="99">
        <f t="shared" si="30"/>
        <v>-1763.6999499119975</v>
      </c>
      <c r="CM41" s="104">
        <f>SUM(CI41:CL41)</f>
        <v>-7002.3264421959266</v>
      </c>
      <c r="CN41" s="114">
        <f>CL41*1.025</f>
        <v>-1807.7924486597972</v>
      </c>
      <c r="CO41" s="99">
        <f t="shared" si="31"/>
        <v>-1816.831410903096</v>
      </c>
      <c r="CP41" s="99">
        <f t="shared" si="31"/>
        <v>-1825.9155679576113</v>
      </c>
      <c r="CQ41" s="99">
        <f t="shared" si="31"/>
        <v>-1835.0451457973991</v>
      </c>
      <c r="CR41" s="104">
        <f>SUM(CN41:CQ41)</f>
        <v>-7285.5845733179031</v>
      </c>
      <c r="CS41" s="114">
        <f>CQ41*1.025</f>
        <v>-1880.9212744423339</v>
      </c>
      <c r="CT41" s="99">
        <f t="shared" si="32"/>
        <v>-1890.3258808145454</v>
      </c>
      <c r="CU41" s="99">
        <f t="shared" si="32"/>
        <v>-1899.7775102186179</v>
      </c>
      <c r="CV41" s="99">
        <f t="shared" si="32"/>
        <v>-1909.2763977697107</v>
      </c>
      <c r="CW41" s="104">
        <f>SUM(CS41:CV41)</f>
        <v>-7580.3010632452078</v>
      </c>
      <c r="CX41" s="114">
        <f>CV41*1.025</f>
        <v>-1957.0083077139532</v>
      </c>
      <c r="CY41" s="99">
        <f t="shared" si="33"/>
        <v>-1966.7933492525228</v>
      </c>
      <c r="CZ41" s="99">
        <f t="shared" si="33"/>
        <v>-1976.6273159987852</v>
      </c>
      <c r="DA41" s="99">
        <f t="shared" si="33"/>
        <v>-1986.510452578779</v>
      </c>
      <c r="DB41" s="104">
        <f>SUM(CX41:DA41)</f>
        <v>-7886.9394255440402</v>
      </c>
      <c r="DC41" s="48"/>
      <c r="DD41" s="48"/>
      <c r="DE41" s="48"/>
      <c r="DF41" s="48"/>
      <c r="DG41" s="48"/>
      <c r="DH41" s="48"/>
      <c r="DI41" s="48"/>
      <c r="DJ41" s="48"/>
      <c r="DK41" s="99"/>
      <c r="DL41" s="99"/>
      <c r="DM41" s="18"/>
    </row>
    <row r="42" spans="1:123">
      <c r="A42" s="44" t="s">
        <v>351</v>
      </c>
      <c r="B42" s="41">
        <v>-23688</v>
      </c>
      <c r="C42" s="40">
        <v>-24949</v>
      </c>
      <c r="D42" s="178">
        <v>-21148</v>
      </c>
      <c r="E42" s="162">
        <f>F42-SUM(B42:D42)</f>
        <v>-17516</v>
      </c>
      <c r="F42" s="179">
        <v>-87301</v>
      </c>
      <c r="G42" s="41">
        <v>-26090</v>
      </c>
      <c r="H42" s="40">
        <v>-23991</v>
      </c>
      <c r="I42" s="178">
        <v>-41601</v>
      </c>
      <c r="J42" s="162">
        <f>K42-SUM(G42:I42)</f>
        <v>-55926</v>
      </c>
      <c r="K42" s="179">
        <v>-147608</v>
      </c>
      <c r="L42" s="41">
        <v>-55585</v>
      </c>
      <c r="M42" s="40">
        <v>-59603</v>
      </c>
      <c r="N42" s="178">
        <v>-61460</v>
      </c>
      <c r="O42" s="162">
        <f>P42-SUM(L42:N42)</f>
        <v>-63077</v>
      </c>
      <c r="P42" s="179">
        <v>-239725</v>
      </c>
      <c r="Q42" s="41">
        <v>-62012</v>
      </c>
      <c r="R42" s="40">
        <v>-62816</v>
      </c>
      <c r="S42" s="178">
        <v>-62675</v>
      </c>
      <c r="T42" s="162">
        <f>U42-SUM(Q42:S42)</f>
        <v>-68822</v>
      </c>
      <c r="U42" s="179">
        <v>-256325</v>
      </c>
      <c r="V42" s="41">
        <v>-62861</v>
      </c>
      <c r="W42" s="40">
        <v>-59059</v>
      </c>
      <c r="X42" s="178">
        <v>-61180</v>
      </c>
      <c r="Y42" s="162">
        <f>Z42-SUM(V42:X42)</f>
        <v>-81067</v>
      </c>
      <c r="Z42" s="179">
        <v>-264167</v>
      </c>
      <c r="AA42" s="41">
        <v>-77961</v>
      </c>
      <c r="AB42" s="40">
        <v>-73392</v>
      </c>
      <c r="AC42" s="40">
        <v>-72689</v>
      </c>
      <c r="AD42" s="38">
        <v>-76780</v>
      </c>
      <c r="AE42" s="104">
        <f>SUM(AA42:AD42)</f>
        <v>-300822</v>
      </c>
      <c r="AF42" s="37">
        <v>-76520</v>
      </c>
      <c r="AG42" s="40">
        <v>-75361</v>
      </c>
      <c r="AH42" s="40">
        <v>-70907</v>
      </c>
      <c r="AI42" s="38">
        <v>-69451</v>
      </c>
      <c r="AJ42" s="104">
        <f>SUM(AF42:AI42)</f>
        <v>-292239</v>
      </c>
      <c r="AK42" s="37">
        <v>-79349</v>
      </c>
      <c r="AL42" s="38">
        <v>-75498</v>
      </c>
      <c r="AM42" s="40">
        <v>-73841</v>
      </c>
      <c r="AN42" s="40">
        <v>-68320</v>
      </c>
      <c r="AO42" s="104">
        <f>SUM(AK42:AN42)</f>
        <v>-297008</v>
      </c>
      <c r="AP42" s="37">
        <v>-75815</v>
      </c>
      <c r="AQ42" s="40">
        <v>-71535</v>
      </c>
      <c r="AR42" s="40">
        <v>-71364</v>
      </c>
      <c r="AS42" s="40">
        <v>-83591</v>
      </c>
      <c r="AT42" s="104">
        <f>SUM(AP42:AS42)</f>
        <v>-302305</v>
      </c>
      <c r="AU42" s="37">
        <v>-80437</v>
      </c>
      <c r="AV42" s="40">
        <v>-81731</v>
      </c>
      <c r="AW42" s="40">
        <v>-81908</v>
      </c>
      <c r="AX42" s="40">
        <v>-90130</v>
      </c>
      <c r="AY42" s="104">
        <f>SUM(AU42:AX42)</f>
        <v>-334206</v>
      </c>
      <c r="AZ42" s="37">
        <v>-94901</v>
      </c>
      <c r="BA42" s="40">
        <v>-88751</v>
      </c>
      <c r="BB42" s="40">
        <v>-86052</v>
      </c>
      <c r="BC42" s="40">
        <v>-86459</v>
      </c>
      <c r="BD42" s="104">
        <f>SUM(AZ42:BC42)</f>
        <v>-356163</v>
      </c>
      <c r="BE42" s="37">
        <v>-96750</v>
      </c>
      <c r="BF42" s="40">
        <v>-102384</v>
      </c>
      <c r="BG42" s="567">
        <v>-106923</v>
      </c>
      <c r="BH42" s="40">
        <v>-110730</v>
      </c>
      <c r="BI42" s="104">
        <f>SUM(BE42:BH42)</f>
        <v>-416787</v>
      </c>
      <c r="BJ42" s="37">
        <v>-118247</v>
      </c>
      <c r="BK42" s="40">
        <v>-118976</v>
      </c>
      <c r="BL42" s="40">
        <v>-118240</v>
      </c>
      <c r="BM42" s="40">
        <v>-114188</v>
      </c>
      <c r="BN42" s="104">
        <f>SUM(BJ42:BM42)</f>
        <v>-469651</v>
      </c>
      <c r="BO42" s="37">
        <v>-116462</v>
      </c>
      <c r="BP42" s="587">
        <v>-118473</v>
      </c>
      <c r="BQ42" s="587">
        <v>-126533</v>
      </c>
      <c r="BR42" s="40">
        <v>-124190</v>
      </c>
      <c r="BS42" s="104">
        <f>SUM(BO42:BR42)</f>
        <v>-485658</v>
      </c>
      <c r="BT42" s="94">
        <f>-(BT142*BT146)/4</f>
        <v>-121361.23528593751</v>
      </c>
      <c r="BU42" s="48">
        <f>-(BU142*BU146)/4</f>
        <v>-124186.3876842422</v>
      </c>
      <c r="BV42" s="48">
        <f>-(BV142*BV146)/4</f>
        <v>-127011.88459453839</v>
      </c>
      <c r="BW42" s="48">
        <f>-(BW142*BW146)/4</f>
        <v>-129837.7277393861</v>
      </c>
      <c r="BX42" s="104">
        <f>SUM(BT42:BW42)</f>
        <v>-502397.23530410422</v>
      </c>
      <c r="BY42" s="94">
        <f>-(BY142*BY146)/4</f>
        <v>-132959.23134995799</v>
      </c>
      <c r="BZ42" s="48">
        <f>-(BZ142*BZ146)/4</f>
        <v>-136376.39716608281</v>
      </c>
      <c r="CA42" s="48">
        <f>-(CA142*CA146)/4</f>
        <v>-139793.91443628821</v>
      </c>
      <c r="CB42" s="48">
        <f>-(CB142*CB146)/4</f>
        <v>-143211.78491784466</v>
      </c>
      <c r="CC42" s="104">
        <f>SUM(BY42:CB42)</f>
        <v>-552341.32787017373</v>
      </c>
      <c r="CD42" s="94">
        <f>-(CD142*CD146)/4</f>
        <v>-152632.70432332359</v>
      </c>
      <c r="CE42" s="48">
        <f>-(CE142*CE146)/4</f>
        <v>-154254.70116369022</v>
      </c>
      <c r="CF42" s="48">
        <f>-(CF142*CF146)/4</f>
        <v>-155877.07361325863</v>
      </c>
      <c r="CG42" s="48">
        <f>-(CG142*CG146)/4</f>
        <v>-157499.82355007494</v>
      </c>
      <c r="CH42" s="104">
        <f>SUM(CD42:CG42)</f>
        <v>-620264.30265034735</v>
      </c>
      <c r="CI42" s="94">
        <f>-(CI142*CI146)/4</f>
        <v>-158680.37473657532</v>
      </c>
      <c r="CJ42" s="48">
        <f>-(CJ142*CJ146)/4</f>
        <v>-159418.72906963318</v>
      </c>
      <c r="CK42" s="48">
        <f>-(CK142*CK146)/4</f>
        <v>-160157.46658060636</v>
      </c>
      <c r="CL42" s="48">
        <f>-(CL142*CL146)/4</f>
        <v>-160896.58918538436</v>
      </c>
      <c r="CM42" s="104">
        <f>SUM(CI42:CL42)</f>
        <v>-639153.15957219922</v>
      </c>
      <c r="CN42" s="94">
        <f>-(CN142*CN146)/4</f>
        <v>-161588.83318443631</v>
      </c>
      <c r="CO42" s="48">
        <f>-(CO142*CO146)/4</f>
        <v>-162234.20051285849</v>
      </c>
      <c r="CP42" s="48">
        <f>-(CP142*CP146)/4</f>
        <v>-162879.95874042279</v>
      </c>
      <c r="CQ42" s="48">
        <f>-(CQ142*CQ146)/4</f>
        <v>-163526.10982162491</v>
      </c>
      <c r="CR42" s="104">
        <f>SUM(CN42:CQ42)</f>
        <v>-650229.10225934244</v>
      </c>
      <c r="CS42" s="94">
        <f>-(CS142*CS146)/4</f>
        <v>-164172.65572073299</v>
      </c>
      <c r="CT42" s="48">
        <f>-(CT142*CT146)/4</f>
        <v>-164819.59841183669</v>
      </c>
      <c r="CU42" s="48">
        <f>-(CU142*CU146)/4</f>
        <v>-165466.93987889588</v>
      </c>
      <c r="CV42" s="48">
        <f>-(CV142*CV146)/4</f>
        <v>-166114.68211579035</v>
      </c>
      <c r="CW42" s="104">
        <f>SUM(CS42:CV42)</f>
        <v>-660573.87612725585</v>
      </c>
      <c r="CX42" s="94">
        <f>-(CX142*CX146)/4</f>
        <v>-166810.09275136929</v>
      </c>
      <c r="CY42" s="48">
        <f>-(CY142*CY146)/4</f>
        <v>-167553.17379950115</v>
      </c>
      <c r="CZ42" s="48">
        <f>-(CZ142*CZ146)/4</f>
        <v>-168296.66165912364</v>
      </c>
      <c r="DA42" s="48">
        <f>-(DA142*DA146)/4</f>
        <v>-169040.55836429427</v>
      </c>
      <c r="DB42" s="104">
        <f>SUM(CX42:DA42)</f>
        <v>-671700.48657428834</v>
      </c>
      <c r="DC42" s="48"/>
      <c r="DD42" s="48"/>
      <c r="DE42" s="48"/>
      <c r="DF42" s="48"/>
      <c r="DG42" s="48"/>
      <c r="DH42" s="48"/>
      <c r="DI42" s="48"/>
      <c r="DJ42" s="48"/>
      <c r="DK42" s="99"/>
      <c r="DL42" s="99"/>
      <c r="DM42" s="18"/>
    </row>
    <row r="43" spans="1:123">
      <c r="A43" s="45" t="s">
        <v>694</v>
      </c>
      <c r="B43" s="155">
        <f t="shared" ref="B43:AG43" si="34">SUM(B39:B42)</f>
        <v>-23464</v>
      </c>
      <c r="C43" s="163">
        <f t="shared" si="34"/>
        <v>-24177</v>
      </c>
      <c r="D43" s="163">
        <f t="shared" si="34"/>
        <v>-20834</v>
      </c>
      <c r="E43" s="163">
        <f t="shared" si="34"/>
        <v>-15684</v>
      </c>
      <c r="F43" s="215">
        <f t="shared" si="34"/>
        <v>-84159</v>
      </c>
      <c r="G43" s="155">
        <f t="shared" si="34"/>
        <v>-21574</v>
      </c>
      <c r="H43" s="163">
        <f t="shared" si="34"/>
        <v>-23992</v>
      </c>
      <c r="I43" s="163">
        <f t="shared" si="34"/>
        <v>-40538</v>
      </c>
      <c r="J43" s="163">
        <f t="shared" si="34"/>
        <v>-80653</v>
      </c>
      <c r="K43" s="215">
        <f t="shared" si="34"/>
        <v>-166757</v>
      </c>
      <c r="L43" s="155">
        <f t="shared" si="34"/>
        <v>-56365</v>
      </c>
      <c r="M43" s="163">
        <f t="shared" si="34"/>
        <v>-57740</v>
      </c>
      <c r="N43" s="163">
        <f t="shared" si="34"/>
        <v>-53939</v>
      </c>
      <c r="O43" s="163">
        <f t="shared" si="34"/>
        <v>-67600</v>
      </c>
      <c r="P43" s="215">
        <f t="shared" si="34"/>
        <v>-235644</v>
      </c>
      <c r="Q43" s="155">
        <f t="shared" si="34"/>
        <v>-56316</v>
      </c>
      <c r="R43" s="163">
        <f t="shared" si="34"/>
        <v>-51388</v>
      </c>
      <c r="S43" s="163">
        <f t="shared" si="34"/>
        <v>-57882</v>
      </c>
      <c r="T43" s="163">
        <f t="shared" si="34"/>
        <v>-64148</v>
      </c>
      <c r="U43" s="215">
        <f t="shared" si="34"/>
        <v>-229734</v>
      </c>
      <c r="V43" s="155">
        <f t="shared" si="34"/>
        <v>-55741</v>
      </c>
      <c r="W43" s="163">
        <f t="shared" si="34"/>
        <v>-47086</v>
      </c>
      <c r="X43" s="163">
        <f t="shared" si="34"/>
        <v>-44173</v>
      </c>
      <c r="Y43" s="163">
        <f t="shared" si="34"/>
        <v>-76898</v>
      </c>
      <c r="Z43" s="215">
        <f t="shared" si="34"/>
        <v>-223898</v>
      </c>
      <c r="AA43" s="155">
        <f t="shared" si="34"/>
        <v>-71237</v>
      </c>
      <c r="AB43" s="163">
        <f t="shared" si="34"/>
        <v>-57384</v>
      </c>
      <c r="AC43" s="163">
        <f t="shared" si="34"/>
        <v>-57444</v>
      </c>
      <c r="AD43" s="163">
        <f t="shared" si="34"/>
        <v>-82772</v>
      </c>
      <c r="AE43" s="215">
        <f t="shared" si="34"/>
        <v>-268837</v>
      </c>
      <c r="AF43" s="155">
        <f t="shared" si="34"/>
        <v>-74417</v>
      </c>
      <c r="AG43" s="163">
        <f t="shared" si="34"/>
        <v>-81967</v>
      </c>
      <c r="AH43" s="163">
        <f t="shared" ref="AH43:BM43" si="35">SUM(AH39:AH42)</f>
        <v>-66028</v>
      </c>
      <c r="AI43" s="163">
        <f t="shared" si="35"/>
        <v>-68321</v>
      </c>
      <c r="AJ43" s="215">
        <f t="shared" si="35"/>
        <v>-290733</v>
      </c>
      <c r="AK43" s="155">
        <f t="shared" si="35"/>
        <v>-77801</v>
      </c>
      <c r="AL43" s="368">
        <f t="shared" si="35"/>
        <v>-75530</v>
      </c>
      <c r="AM43" s="163">
        <f t="shared" si="35"/>
        <v>-86276</v>
      </c>
      <c r="AN43" s="163">
        <f>SUM(AN39:AN42)</f>
        <v>-63068</v>
      </c>
      <c r="AO43" s="215">
        <f t="shared" si="35"/>
        <v>-302675</v>
      </c>
      <c r="AP43" s="155">
        <f t="shared" si="35"/>
        <v>-67253</v>
      </c>
      <c r="AQ43" s="163">
        <f>SUM(AQ39:AQ42)</f>
        <v>-73898</v>
      </c>
      <c r="AR43" s="163">
        <f t="shared" si="35"/>
        <v>-63932</v>
      </c>
      <c r="AS43" s="163">
        <f>SUM(AS39:AS42)</f>
        <v>-75995</v>
      </c>
      <c r="AT43" s="215">
        <f>SUM(AT39:AT42)</f>
        <v>-281078</v>
      </c>
      <c r="AU43" s="155">
        <f t="shared" si="35"/>
        <v>-66582</v>
      </c>
      <c r="AV43" s="163">
        <f>SUM(AV39:AV42)</f>
        <v>-73747</v>
      </c>
      <c r="AW43" s="163">
        <f t="shared" si="35"/>
        <v>-70402</v>
      </c>
      <c r="AX43" s="163">
        <f>SUM(AX39:AX42)</f>
        <v>-86177</v>
      </c>
      <c r="AY43" s="215">
        <f t="shared" si="35"/>
        <v>-296908</v>
      </c>
      <c r="AZ43" s="155">
        <f t="shared" si="35"/>
        <v>-108055</v>
      </c>
      <c r="BA43" s="163">
        <f t="shared" ref="BA43:BF43" si="36">SUM(BA39:BA42)</f>
        <v>-85677</v>
      </c>
      <c r="BB43" s="163">
        <f t="shared" si="36"/>
        <v>-86735</v>
      </c>
      <c r="BC43" s="163">
        <f t="shared" si="36"/>
        <v>-84234</v>
      </c>
      <c r="BD43" s="215">
        <f t="shared" si="36"/>
        <v>-364701</v>
      </c>
      <c r="BE43" s="155">
        <f t="shared" si="36"/>
        <v>-94119</v>
      </c>
      <c r="BF43" s="381">
        <f t="shared" si="36"/>
        <v>-103542</v>
      </c>
      <c r="BG43" s="163">
        <f t="shared" si="35"/>
        <v>-118043</v>
      </c>
      <c r="BH43" s="381">
        <f t="shared" si="35"/>
        <v>-107156</v>
      </c>
      <c r="BI43" s="592">
        <f t="shared" si="35"/>
        <v>-422860</v>
      </c>
      <c r="BJ43" s="155">
        <f t="shared" si="35"/>
        <v>-118371</v>
      </c>
      <c r="BK43" s="381">
        <f t="shared" si="35"/>
        <v>-115113</v>
      </c>
      <c r="BL43" s="381">
        <f>SUM(BL39:BL42)</f>
        <v>-115284</v>
      </c>
      <c r="BM43" s="163">
        <f t="shared" si="35"/>
        <v>-118642</v>
      </c>
      <c r="BN43" s="215">
        <f t="shared" ref="BN43:BS43" si="37">SUM(BN39:BN42)</f>
        <v>-467410</v>
      </c>
      <c r="BO43" s="155">
        <f t="shared" si="37"/>
        <v>-112858</v>
      </c>
      <c r="BP43" s="163">
        <f t="shared" si="37"/>
        <v>-136261</v>
      </c>
      <c r="BQ43" s="163">
        <f t="shared" si="37"/>
        <v>-144275</v>
      </c>
      <c r="BR43" s="381">
        <f t="shared" si="37"/>
        <v>-121948</v>
      </c>
      <c r="BS43" s="215">
        <f t="shared" si="37"/>
        <v>-515342</v>
      </c>
      <c r="BT43" s="155">
        <f t="shared" ref="BT43:DB43" si="38">SUM(BT39:BT42)</f>
        <v>-117845.98528593751</v>
      </c>
      <c r="BU43" s="163">
        <f t="shared" si="38"/>
        <v>-120659.8114342422</v>
      </c>
      <c r="BV43" s="163">
        <f t="shared" si="38"/>
        <v>-123473.9254632884</v>
      </c>
      <c r="BW43" s="163">
        <f t="shared" si="38"/>
        <v>-126288.32881247986</v>
      </c>
      <c r="BX43" s="215">
        <f t="shared" si="38"/>
        <v>-488268.05099594797</v>
      </c>
      <c r="BY43" s="155">
        <f t="shared" si="38"/>
        <v>-129352.34744987909</v>
      </c>
      <c r="BZ43" s="163">
        <f t="shared" si="38"/>
        <v>-132757.72884650351</v>
      </c>
      <c r="CA43" s="163">
        <f t="shared" si="38"/>
        <v>-136163.40277511103</v>
      </c>
      <c r="CB43" s="163">
        <f t="shared" si="38"/>
        <v>-139569.37069836157</v>
      </c>
      <c r="CC43" s="215">
        <f t="shared" si="38"/>
        <v>-537842.84976985527</v>
      </c>
      <c r="CD43" s="155">
        <f t="shared" si="38"/>
        <v>-148930.47974835342</v>
      </c>
      <c r="CE43" s="163">
        <f t="shared" si="38"/>
        <v>-150540.21546584522</v>
      </c>
      <c r="CF43" s="163">
        <f t="shared" si="38"/>
        <v>-152150.26548692439</v>
      </c>
      <c r="CG43" s="163">
        <f t="shared" si="38"/>
        <v>-153760.63138310905</v>
      </c>
      <c r="CH43" s="215">
        <f t="shared" si="38"/>
        <v>-605381.59208423202</v>
      </c>
      <c r="CI43" s="155">
        <f t="shared" si="38"/>
        <v>-154878.95276543527</v>
      </c>
      <c r="CJ43" s="163">
        <f t="shared" si="38"/>
        <v>-155604.54998863742</v>
      </c>
      <c r="CK43" s="163">
        <f t="shared" si="38"/>
        <v>-156330.46660420563</v>
      </c>
      <c r="CL43" s="163">
        <f t="shared" si="38"/>
        <v>-157056.70420910162</v>
      </c>
      <c r="CM43" s="215">
        <f t="shared" si="38"/>
        <v>-623870.67356737994</v>
      </c>
      <c r="CN43" s="155">
        <f t="shared" si="38"/>
        <v>-157684.20108374651</v>
      </c>
      <c r="CO43" s="163">
        <f t="shared" si="38"/>
        <v>-158316.29525166523</v>
      </c>
      <c r="CP43" s="163">
        <f t="shared" si="38"/>
        <v>-158948.71395292357</v>
      </c>
      <c r="CQ43" s="163">
        <f t="shared" si="38"/>
        <v>-159581.4588101882</v>
      </c>
      <c r="CR43" s="215">
        <f t="shared" si="38"/>
        <v>-634530.66909852345</v>
      </c>
      <c r="CS43" s="155">
        <f t="shared" si="38"/>
        <v>-160160.63843401035</v>
      </c>
      <c r="CT43" s="163">
        <f t="shared" si="38"/>
        <v>-160793.77103868045</v>
      </c>
      <c r="CU43" s="163">
        <f t="shared" si="38"/>
        <v>-161427.23336887386</v>
      </c>
      <c r="CV43" s="163">
        <f t="shared" si="38"/>
        <v>-162061.02707321823</v>
      </c>
      <c r="CW43" s="215">
        <f t="shared" si="38"/>
        <v>-644442.66991478286</v>
      </c>
      <c r="CX43" s="155">
        <f t="shared" si="38"/>
        <v>-162686.34633273285</v>
      </c>
      <c r="CY43" s="163">
        <f t="shared" si="38"/>
        <v>-163415.05864877152</v>
      </c>
      <c r="CZ43" s="163">
        <f t="shared" si="38"/>
        <v>-164144.10593264038</v>
      </c>
      <c r="DA43" s="163">
        <f t="shared" si="38"/>
        <v>-164873.48985917857</v>
      </c>
      <c r="DB43" s="215">
        <f t="shared" si="38"/>
        <v>-655119.00077332335</v>
      </c>
      <c r="DC43" s="170"/>
      <c r="DD43" s="170"/>
      <c r="DE43" s="170"/>
      <c r="DF43" s="170"/>
      <c r="DG43" s="170"/>
      <c r="DH43" s="170"/>
      <c r="DI43" s="170"/>
      <c r="DJ43" s="170"/>
      <c r="DK43" s="170"/>
      <c r="DL43" s="170"/>
      <c r="DM43" s="25"/>
    </row>
    <row r="44" spans="1:123">
      <c r="A44" s="43" t="s">
        <v>653</v>
      </c>
      <c r="B44" s="41"/>
      <c r="C44" s="40"/>
      <c r="D44" s="178"/>
      <c r="E44" s="40" t="s">
        <v>653</v>
      </c>
      <c r="F44" s="179" t="s">
        <v>653</v>
      </c>
      <c r="G44" s="41"/>
      <c r="H44" s="40"/>
      <c r="I44" s="178"/>
      <c r="J44" s="40" t="s">
        <v>653</v>
      </c>
      <c r="K44" s="179" t="s">
        <v>653</v>
      </c>
      <c r="L44" s="41"/>
      <c r="M44" s="40"/>
      <c r="N44" s="178"/>
      <c r="O44" s="40" t="s">
        <v>653</v>
      </c>
      <c r="P44" s="179" t="s">
        <v>653</v>
      </c>
      <c r="Q44" s="41"/>
      <c r="R44" s="40"/>
      <c r="S44" s="178"/>
      <c r="T44" s="40" t="s">
        <v>653</v>
      </c>
      <c r="U44" s="179" t="s">
        <v>653</v>
      </c>
      <c r="V44" s="41"/>
      <c r="W44" s="40"/>
      <c r="X44" s="178"/>
      <c r="Y44" s="40" t="s">
        <v>653</v>
      </c>
      <c r="Z44" s="179" t="s">
        <v>653</v>
      </c>
      <c r="AA44" s="41"/>
      <c r="AB44" s="40"/>
      <c r="AC44" s="38"/>
      <c r="AD44" s="38"/>
      <c r="AE44" s="179" t="s">
        <v>653</v>
      </c>
      <c r="AF44" s="60"/>
      <c r="AG44" s="61"/>
      <c r="AH44" s="61"/>
      <c r="AI44" s="61"/>
      <c r="AJ44" s="179"/>
      <c r="AK44" s="60"/>
      <c r="AL44" s="61"/>
      <c r="AM44" s="61"/>
      <c r="AN44" s="61"/>
      <c r="AO44" s="179" t="s">
        <v>653</v>
      </c>
      <c r="AP44" s="180"/>
      <c r="AQ44" s="61"/>
      <c r="AR44" s="61"/>
      <c r="AS44" s="61"/>
      <c r="AT44" s="179" t="s">
        <v>653</v>
      </c>
      <c r="AU44" s="180"/>
      <c r="AV44" s="61"/>
      <c r="AW44" s="61"/>
      <c r="AX44" s="61"/>
      <c r="AY44" s="179" t="s">
        <v>653</v>
      </c>
      <c r="AZ44" s="180"/>
      <c r="BA44" s="61"/>
      <c r="BB44" s="61"/>
      <c r="BC44" s="61"/>
      <c r="BD44" s="179" t="s">
        <v>653</v>
      </c>
      <c r="BE44" s="180"/>
      <c r="BF44" s="61"/>
      <c r="BG44" s="61"/>
      <c r="BH44" s="61"/>
      <c r="BI44" s="179" t="s">
        <v>653</v>
      </c>
      <c r="BJ44" s="180"/>
      <c r="BK44" s="61"/>
      <c r="BL44" s="61"/>
      <c r="BM44" s="65"/>
      <c r="BN44" s="179" t="s">
        <v>653</v>
      </c>
      <c r="BO44" s="60"/>
      <c r="BP44" s="61"/>
      <c r="BQ44" s="61"/>
      <c r="BR44" s="65"/>
      <c r="BS44" s="179" t="s">
        <v>653</v>
      </c>
      <c r="BT44" s="60"/>
      <c r="BU44" s="61"/>
      <c r="BV44" s="61"/>
      <c r="BW44" s="61"/>
      <c r="BX44" s="179" t="s">
        <v>653</v>
      </c>
      <c r="BY44" s="60"/>
      <c r="BZ44" s="61"/>
      <c r="CA44" s="61"/>
      <c r="CB44" s="61"/>
      <c r="CC44" s="179" t="s">
        <v>653</v>
      </c>
      <c r="CD44" s="60"/>
      <c r="CE44" s="61"/>
      <c r="CF44" s="61"/>
      <c r="CG44" s="61"/>
      <c r="CH44" s="179" t="s">
        <v>653</v>
      </c>
      <c r="CI44" s="60"/>
      <c r="CJ44" s="61"/>
      <c r="CK44" s="61"/>
      <c r="CL44" s="61"/>
      <c r="CM44" s="179" t="s">
        <v>653</v>
      </c>
      <c r="CN44" s="60"/>
      <c r="CO44" s="61"/>
      <c r="CP44" s="61"/>
      <c r="CQ44" s="61"/>
      <c r="CR44" s="179" t="s">
        <v>653</v>
      </c>
      <c r="CS44" s="60"/>
      <c r="CT44" s="61"/>
      <c r="CU44" s="61"/>
      <c r="CV44" s="61"/>
      <c r="CW44" s="179" t="s">
        <v>653</v>
      </c>
      <c r="CX44" s="60"/>
      <c r="CY44" s="61"/>
      <c r="CZ44" s="61"/>
      <c r="DA44" s="61"/>
      <c r="DB44" s="179" t="s">
        <v>653</v>
      </c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"/>
    </row>
    <row r="45" spans="1:123">
      <c r="A45" s="43" t="s">
        <v>117</v>
      </c>
      <c r="B45" s="41">
        <v>0</v>
      </c>
      <c r="C45" s="40">
        <v>0</v>
      </c>
      <c r="D45" s="178">
        <v>0</v>
      </c>
      <c r="E45" s="162">
        <f>F45-SUM(B45:D45)</f>
        <v>0</v>
      </c>
      <c r="F45" s="179">
        <v>0</v>
      </c>
      <c r="G45" s="41">
        <v>0</v>
      </c>
      <c r="H45" s="40">
        <v>0</v>
      </c>
      <c r="I45" s="178">
        <v>0</v>
      </c>
      <c r="J45" s="162">
        <f>K45-SUM(G45:I45)</f>
        <v>0</v>
      </c>
      <c r="K45" s="179"/>
      <c r="L45" s="41">
        <v>35772</v>
      </c>
      <c r="M45" s="40">
        <v>100567</v>
      </c>
      <c r="N45" s="178">
        <v>48281</v>
      </c>
      <c r="O45" s="162">
        <f>P45-SUM(L45:N45)</f>
        <v>37380</v>
      </c>
      <c r="P45" s="179">
        <v>222000</v>
      </c>
      <c r="Q45" s="41">
        <v>45313</v>
      </c>
      <c r="R45" s="40">
        <v>44702</v>
      </c>
      <c r="S45" s="178">
        <v>44998</v>
      </c>
      <c r="T45" s="162">
        <f>U45-SUM(Q45:S45)</f>
        <v>58186</v>
      </c>
      <c r="U45" s="179">
        <v>193199</v>
      </c>
      <c r="V45" s="41">
        <v>68960</v>
      </c>
      <c r="W45" s="40">
        <v>71097</v>
      </c>
      <c r="X45" s="178">
        <v>95354</v>
      </c>
      <c r="Y45" s="162">
        <f>Z45-SUM(V45:X45)</f>
        <v>53147</v>
      </c>
      <c r="Z45" s="179">
        <v>288558</v>
      </c>
      <c r="AA45" s="41">
        <v>41264</v>
      </c>
      <c r="AB45" s="40">
        <v>39671</v>
      </c>
      <c r="AC45" s="40">
        <v>54266</v>
      </c>
      <c r="AD45" s="40">
        <v>50552</v>
      </c>
      <c r="AE45" s="104">
        <f>SUM(AA45:AD45)</f>
        <v>185753</v>
      </c>
      <c r="AF45" s="184">
        <v>32181</v>
      </c>
      <c r="AG45" s="65">
        <v>44650</v>
      </c>
      <c r="AH45" s="65">
        <f>65006-0.45*16126</f>
        <v>57749.3</v>
      </c>
      <c r="AI45" s="65">
        <f>64861-0.45*3551</f>
        <v>63263.05</v>
      </c>
      <c r="AJ45" s="104">
        <f>SUM(AF45:AI45)</f>
        <v>197843.34999999998</v>
      </c>
      <c r="AK45" s="184">
        <f>69216</f>
        <v>69216</v>
      </c>
      <c r="AL45" s="65">
        <v>79624</v>
      </c>
      <c r="AM45" s="65">
        <v>100559</v>
      </c>
      <c r="AN45" s="65">
        <v>149750</v>
      </c>
      <c r="AO45" s="104">
        <f>SUM(AK45:AN45)</f>
        <v>399149</v>
      </c>
      <c r="AP45" s="184">
        <v>110597</v>
      </c>
      <c r="AQ45" s="65">
        <v>88212</v>
      </c>
      <c r="AR45" s="65">
        <v>99769</v>
      </c>
      <c r="AS45" s="65">
        <v>84333</v>
      </c>
      <c r="AT45" s="104">
        <f>SUM(AP45:AS45)</f>
        <v>382911</v>
      </c>
      <c r="AU45" s="184">
        <v>53184</v>
      </c>
      <c r="AV45" s="65">
        <v>78576</v>
      </c>
      <c r="AW45" s="65">
        <v>85342</v>
      </c>
      <c r="AX45" s="65">
        <v>93326</v>
      </c>
      <c r="AY45" s="104">
        <f>SUM(AU45:AX45)</f>
        <v>310428</v>
      </c>
      <c r="AZ45" s="184">
        <v>112996</v>
      </c>
      <c r="BA45" s="65">
        <v>79161</v>
      </c>
      <c r="BB45" s="65">
        <v>49823</v>
      </c>
      <c r="BC45" s="65">
        <v>107021</v>
      </c>
      <c r="BD45" s="104">
        <f>SUM(AZ45:BC45)</f>
        <v>349001</v>
      </c>
      <c r="BE45" s="184">
        <v>34893</v>
      </c>
      <c r="BF45" s="40">
        <v>74375</v>
      </c>
      <c r="BG45" s="588">
        <v>78681</v>
      </c>
      <c r="BH45" s="65">
        <v>-53731</v>
      </c>
      <c r="BI45" s="104">
        <f>SUM(BE45:BH45)</f>
        <v>134218</v>
      </c>
      <c r="BJ45" s="184">
        <v>91513</v>
      </c>
      <c r="BK45" s="40">
        <v>93915</v>
      </c>
      <c r="BL45" s="40">
        <v>102072</v>
      </c>
      <c r="BM45" s="40">
        <v>103960</v>
      </c>
      <c r="BN45" s="104">
        <f>SUM(BJ45:BM45)</f>
        <v>391460</v>
      </c>
      <c r="BO45" s="184">
        <v>98824</v>
      </c>
      <c r="BP45" s="587">
        <v>104298</v>
      </c>
      <c r="BQ45" s="399">
        <v>789</v>
      </c>
      <c r="BR45" s="40">
        <v>1767</v>
      </c>
      <c r="BS45" s="104">
        <f>SUM(BO45:BR45)</f>
        <v>205678</v>
      </c>
      <c r="BT45" s="399">
        <v>0</v>
      </c>
      <c r="BU45" s="399">
        <f t="shared" ref="BU45:BW46" si="39">+BT45</f>
        <v>0</v>
      </c>
      <c r="BV45" s="399">
        <f t="shared" si="39"/>
        <v>0</v>
      </c>
      <c r="BW45" s="399">
        <f t="shared" si="39"/>
        <v>0</v>
      </c>
      <c r="BX45" s="104">
        <f>SUM(BT45:BW45)</f>
        <v>0</v>
      </c>
      <c r="BY45" s="399">
        <v>0</v>
      </c>
      <c r="BZ45" s="399">
        <f t="shared" ref="BZ45:CB45" si="40">+BY45</f>
        <v>0</v>
      </c>
      <c r="CA45" s="399">
        <f t="shared" si="40"/>
        <v>0</v>
      </c>
      <c r="CB45" s="399">
        <f t="shared" si="40"/>
        <v>0</v>
      </c>
      <c r="CC45" s="104">
        <f t="shared" ref="CC45" si="41">SUM(BY45:CB45)</f>
        <v>0</v>
      </c>
      <c r="CD45" s="399">
        <v>0</v>
      </c>
      <c r="CE45" s="399">
        <f t="shared" ref="CE45:CG45" si="42">+CD45</f>
        <v>0</v>
      </c>
      <c r="CF45" s="399">
        <f t="shared" si="42"/>
        <v>0</v>
      </c>
      <c r="CG45" s="399">
        <f t="shared" si="42"/>
        <v>0</v>
      </c>
      <c r="CH45" s="104">
        <f t="shared" ref="CH45" si="43">SUM(CD45:CG45)</f>
        <v>0</v>
      </c>
      <c r="CI45" s="399">
        <v>0</v>
      </c>
      <c r="CJ45" s="399">
        <f t="shared" ref="CJ45:CL45" si="44">+CI45</f>
        <v>0</v>
      </c>
      <c r="CK45" s="399">
        <f t="shared" si="44"/>
        <v>0</v>
      </c>
      <c r="CL45" s="399">
        <f t="shared" si="44"/>
        <v>0</v>
      </c>
      <c r="CM45" s="104">
        <f t="shared" ref="CM45" si="45">SUM(CI45:CL45)</f>
        <v>0</v>
      </c>
      <c r="CN45" s="399">
        <v>0</v>
      </c>
      <c r="CO45" s="399">
        <f t="shared" ref="CO45:CQ45" si="46">+CN45</f>
        <v>0</v>
      </c>
      <c r="CP45" s="399">
        <f t="shared" si="46"/>
        <v>0</v>
      </c>
      <c r="CQ45" s="399">
        <f t="shared" si="46"/>
        <v>0</v>
      </c>
      <c r="CR45" s="104">
        <f t="shared" ref="CR45" si="47">SUM(CN45:CQ45)</f>
        <v>0</v>
      </c>
      <c r="CS45" s="399">
        <v>0</v>
      </c>
      <c r="CT45" s="399">
        <f t="shared" ref="CT45:CV45" si="48">+CS45</f>
        <v>0</v>
      </c>
      <c r="CU45" s="399">
        <f t="shared" si="48"/>
        <v>0</v>
      </c>
      <c r="CV45" s="399">
        <f t="shared" si="48"/>
        <v>0</v>
      </c>
      <c r="CW45" s="104">
        <f t="shared" ref="CW45" si="49">SUM(CS45:CV45)</f>
        <v>0</v>
      </c>
      <c r="CX45" s="399">
        <v>0</v>
      </c>
      <c r="CY45" s="399">
        <f t="shared" ref="CY45:DA45" si="50">+CX45</f>
        <v>0</v>
      </c>
      <c r="CZ45" s="399">
        <f t="shared" si="50"/>
        <v>0</v>
      </c>
      <c r="DA45" s="399">
        <f t="shared" si="50"/>
        <v>0</v>
      </c>
      <c r="DB45" s="104">
        <f t="shared" ref="DB45" si="51">SUM(CX45:DA45)</f>
        <v>0</v>
      </c>
      <c r="DC45" s="48"/>
      <c r="DD45" s="48"/>
      <c r="DE45" s="48"/>
      <c r="DF45" s="48"/>
      <c r="DG45" s="48"/>
      <c r="DH45" s="48"/>
      <c r="DI45" s="48"/>
      <c r="DJ45" s="48"/>
      <c r="DK45" s="99"/>
      <c r="DL45" s="99"/>
      <c r="DM45" s="18"/>
    </row>
    <row r="46" spans="1:123">
      <c r="A46" s="43" t="s">
        <v>1616</v>
      </c>
      <c r="B46" s="41"/>
      <c r="C46" s="40"/>
      <c r="D46" s="178"/>
      <c r="E46" s="162"/>
      <c r="F46" s="179">
        <v>0</v>
      </c>
      <c r="G46" s="41">
        <v>0</v>
      </c>
      <c r="H46" s="40">
        <v>0</v>
      </c>
      <c r="I46" s="178">
        <v>0</v>
      </c>
      <c r="J46" s="162">
        <v>0</v>
      </c>
      <c r="K46" s="179">
        <v>0</v>
      </c>
      <c r="L46" s="41">
        <v>0</v>
      </c>
      <c r="M46" s="40">
        <v>0</v>
      </c>
      <c r="N46" s="178">
        <v>0</v>
      </c>
      <c r="O46" s="162">
        <v>0</v>
      </c>
      <c r="P46" s="179">
        <v>0</v>
      </c>
      <c r="Q46" s="41">
        <v>0</v>
      </c>
      <c r="R46" s="40">
        <v>0</v>
      </c>
      <c r="S46" s="178">
        <v>0</v>
      </c>
      <c r="T46" s="162">
        <v>0</v>
      </c>
      <c r="U46" s="179">
        <v>0</v>
      </c>
      <c r="V46" s="41">
        <v>0</v>
      </c>
      <c r="W46" s="40">
        <v>0</v>
      </c>
      <c r="X46" s="178">
        <v>0</v>
      </c>
      <c r="Y46" s="162">
        <v>0</v>
      </c>
      <c r="Z46" s="179">
        <v>0</v>
      </c>
      <c r="AA46" s="41">
        <v>0</v>
      </c>
      <c r="AB46" s="40">
        <v>0</v>
      </c>
      <c r="AC46" s="40">
        <v>0</v>
      </c>
      <c r="AD46" s="40">
        <v>0</v>
      </c>
      <c r="AE46" s="104">
        <v>0</v>
      </c>
      <c r="AF46" s="184">
        <v>0</v>
      </c>
      <c r="AG46" s="65">
        <v>0</v>
      </c>
      <c r="AH46" s="65">
        <v>0</v>
      </c>
      <c r="AI46" s="65">
        <v>0</v>
      </c>
      <c r="AJ46" s="104">
        <v>0</v>
      </c>
      <c r="AK46" s="184">
        <v>0</v>
      </c>
      <c r="AL46" s="65">
        <v>0</v>
      </c>
      <c r="AM46" s="65">
        <v>0</v>
      </c>
      <c r="AN46" s="65">
        <v>0</v>
      </c>
      <c r="AO46" s="104">
        <v>0</v>
      </c>
      <c r="AP46" s="184">
        <v>0</v>
      </c>
      <c r="AQ46" s="65">
        <v>0</v>
      </c>
      <c r="AR46" s="65">
        <v>0</v>
      </c>
      <c r="AS46" s="65">
        <v>0</v>
      </c>
      <c r="AT46" s="104">
        <v>0</v>
      </c>
      <c r="AU46" s="184">
        <v>0</v>
      </c>
      <c r="AV46" s="65">
        <v>0</v>
      </c>
      <c r="AW46" s="65">
        <v>0</v>
      </c>
      <c r="AX46" s="65">
        <v>0</v>
      </c>
      <c r="AY46" s="104">
        <v>0</v>
      </c>
      <c r="AZ46" s="184">
        <v>0</v>
      </c>
      <c r="BA46" s="65">
        <v>0</v>
      </c>
      <c r="BB46" s="65">
        <v>0</v>
      </c>
      <c r="BC46" s="65">
        <v>0</v>
      </c>
      <c r="BD46" s="104">
        <v>0</v>
      </c>
      <c r="BE46" s="184">
        <v>0</v>
      </c>
      <c r="BF46" s="40">
        <v>0</v>
      </c>
      <c r="BG46" s="588">
        <v>0</v>
      </c>
      <c r="BH46" s="65">
        <v>0</v>
      </c>
      <c r="BI46" s="104">
        <v>0</v>
      </c>
      <c r="BJ46" s="184">
        <v>0</v>
      </c>
      <c r="BK46" s="40">
        <v>0</v>
      </c>
      <c r="BL46" s="40">
        <v>0</v>
      </c>
      <c r="BM46" s="40">
        <v>0</v>
      </c>
      <c r="BN46" s="104">
        <v>0</v>
      </c>
      <c r="BO46" s="184">
        <v>0</v>
      </c>
      <c r="BP46" s="587">
        <v>217</v>
      </c>
      <c r="BQ46" s="587">
        <v>276</v>
      </c>
      <c r="BR46" s="40">
        <v>274</v>
      </c>
      <c r="BS46" s="104">
        <f>SUM(BO46:BR46)</f>
        <v>767</v>
      </c>
      <c r="BT46" s="399">
        <v>0</v>
      </c>
      <c r="BU46" s="399">
        <f t="shared" si="39"/>
        <v>0</v>
      </c>
      <c r="BV46" s="399">
        <f t="shared" si="39"/>
        <v>0</v>
      </c>
      <c r="BW46" s="399">
        <f t="shared" si="39"/>
        <v>0</v>
      </c>
      <c r="BX46" s="104">
        <f>SUM(BT46:BW46)</f>
        <v>0</v>
      </c>
      <c r="BY46" s="399">
        <v>0</v>
      </c>
      <c r="BZ46" s="399">
        <f t="shared" ref="BZ46" si="52">+BY46</f>
        <v>0</v>
      </c>
      <c r="CA46" s="399">
        <f t="shared" ref="CA46" si="53">+BZ46</f>
        <v>0</v>
      </c>
      <c r="CB46" s="399">
        <f t="shared" ref="CB46" si="54">+CA46</f>
        <v>0</v>
      </c>
      <c r="CC46" s="104">
        <f t="shared" ref="CC46" si="55">SUM(BY46:CB46)</f>
        <v>0</v>
      </c>
      <c r="CD46" s="399">
        <v>0</v>
      </c>
      <c r="CE46" s="399">
        <f t="shared" ref="CE46" si="56">+CD46</f>
        <v>0</v>
      </c>
      <c r="CF46" s="399">
        <f t="shared" ref="CF46" si="57">+CE46</f>
        <v>0</v>
      </c>
      <c r="CG46" s="399">
        <f t="shared" ref="CG46" si="58">+CF46</f>
        <v>0</v>
      </c>
      <c r="CH46" s="104">
        <f t="shared" ref="CH46" si="59">SUM(CD46:CG46)</f>
        <v>0</v>
      </c>
      <c r="CI46" s="399">
        <v>0</v>
      </c>
      <c r="CJ46" s="399">
        <f t="shared" ref="CJ46" si="60">+CI46</f>
        <v>0</v>
      </c>
      <c r="CK46" s="399">
        <f t="shared" ref="CK46" si="61">+CJ46</f>
        <v>0</v>
      </c>
      <c r="CL46" s="399">
        <f t="shared" ref="CL46" si="62">+CK46</f>
        <v>0</v>
      </c>
      <c r="CM46" s="104">
        <f t="shared" ref="CM46" si="63">SUM(CI46:CL46)</f>
        <v>0</v>
      </c>
      <c r="CN46" s="399">
        <v>0</v>
      </c>
      <c r="CO46" s="399">
        <f t="shared" ref="CO46" si="64">+CN46</f>
        <v>0</v>
      </c>
      <c r="CP46" s="399">
        <f t="shared" ref="CP46" si="65">+CO46</f>
        <v>0</v>
      </c>
      <c r="CQ46" s="399">
        <f t="shared" ref="CQ46" si="66">+CP46</f>
        <v>0</v>
      </c>
      <c r="CR46" s="104">
        <f t="shared" ref="CR46" si="67">SUM(CN46:CQ46)</f>
        <v>0</v>
      </c>
      <c r="CS46" s="399">
        <v>0</v>
      </c>
      <c r="CT46" s="399">
        <f t="shared" ref="CT46" si="68">+CS46</f>
        <v>0</v>
      </c>
      <c r="CU46" s="399">
        <f t="shared" ref="CU46" si="69">+CT46</f>
        <v>0</v>
      </c>
      <c r="CV46" s="399">
        <f t="shared" ref="CV46" si="70">+CU46</f>
        <v>0</v>
      </c>
      <c r="CW46" s="104">
        <f t="shared" ref="CW46" si="71">SUM(CS46:CV46)</f>
        <v>0</v>
      </c>
      <c r="CX46" s="399">
        <v>0</v>
      </c>
      <c r="CY46" s="399">
        <f t="shared" ref="CY46" si="72">+CX46</f>
        <v>0</v>
      </c>
      <c r="CZ46" s="399">
        <f t="shared" ref="CZ46" si="73">+CY46</f>
        <v>0</v>
      </c>
      <c r="DA46" s="399">
        <f t="shared" ref="DA46" si="74">+CZ46</f>
        <v>0</v>
      </c>
      <c r="DB46" s="104">
        <f t="shared" ref="DB46" si="75">SUM(CX46:DA46)</f>
        <v>0</v>
      </c>
      <c r="DC46" s="48"/>
      <c r="DD46" s="48"/>
      <c r="DE46" s="48"/>
      <c r="DF46" s="48"/>
      <c r="DG46" s="48"/>
      <c r="DH46" s="48"/>
      <c r="DI46" s="48"/>
      <c r="DJ46" s="48"/>
      <c r="DK46" s="99"/>
      <c r="DL46" s="99"/>
      <c r="DM46" s="18"/>
    </row>
    <row r="47" spans="1:123">
      <c r="A47" s="43" t="s">
        <v>653</v>
      </c>
      <c r="B47" s="41"/>
      <c r="C47" s="40"/>
      <c r="D47" s="178"/>
      <c r="E47" s="40" t="s">
        <v>653</v>
      </c>
      <c r="F47" s="179" t="s">
        <v>653</v>
      </c>
      <c r="G47" s="41"/>
      <c r="H47" s="40"/>
      <c r="I47" s="178"/>
      <c r="J47" s="40" t="s">
        <v>653</v>
      </c>
      <c r="K47" s="179" t="s">
        <v>653</v>
      </c>
      <c r="L47" s="41"/>
      <c r="M47" s="40"/>
      <c r="N47" s="178"/>
      <c r="O47" s="40" t="s">
        <v>653</v>
      </c>
      <c r="P47" s="179" t="s">
        <v>653</v>
      </c>
      <c r="Q47" s="41"/>
      <c r="R47" s="40"/>
      <c r="S47" s="178"/>
      <c r="T47" s="40" t="s">
        <v>653</v>
      </c>
      <c r="U47" s="179" t="s">
        <v>653</v>
      </c>
      <c r="V47" s="41"/>
      <c r="W47" s="40"/>
      <c r="X47" s="178"/>
      <c r="Y47" s="40" t="s">
        <v>653</v>
      </c>
      <c r="Z47" s="179" t="s">
        <v>653</v>
      </c>
      <c r="AA47" s="41"/>
      <c r="AB47" s="40"/>
      <c r="AC47" s="38"/>
      <c r="AD47" s="38"/>
      <c r="AE47" s="179" t="s">
        <v>653</v>
      </c>
      <c r="AF47" s="19"/>
      <c r="AG47" s="18"/>
      <c r="AH47" s="18"/>
      <c r="AI47" s="18"/>
      <c r="AJ47" s="179" t="s">
        <v>653</v>
      </c>
      <c r="AK47" s="19"/>
      <c r="AL47" s="18"/>
      <c r="AM47" s="18"/>
      <c r="AN47" s="18"/>
      <c r="AO47" s="179" t="s">
        <v>653</v>
      </c>
      <c r="AP47" s="37"/>
      <c r="AQ47" s="18"/>
      <c r="AR47" s="18"/>
      <c r="AS47" s="18"/>
      <c r="AT47" s="179" t="s">
        <v>653</v>
      </c>
      <c r="AU47" s="37"/>
      <c r="AV47" s="18"/>
      <c r="AW47" s="18"/>
      <c r="AX47" s="18"/>
      <c r="AY47" s="179" t="s">
        <v>653</v>
      </c>
      <c r="AZ47" s="37"/>
      <c r="BA47" s="18"/>
      <c r="BB47" s="18"/>
      <c r="BC47" s="18"/>
      <c r="BD47" s="179" t="s">
        <v>653</v>
      </c>
      <c r="BE47" s="37"/>
      <c r="BF47" s="18"/>
      <c r="BG47" s="18"/>
      <c r="BH47" s="18"/>
      <c r="BI47" s="179" t="s">
        <v>653</v>
      </c>
      <c r="BJ47" s="19"/>
      <c r="BK47" s="18"/>
      <c r="BL47" s="18"/>
      <c r="BM47" s="38"/>
      <c r="BN47" s="179" t="s">
        <v>653</v>
      </c>
      <c r="BO47" s="19"/>
      <c r="BP47" s="18"/>
      <c r="BQ47" s="18"/>
      <c r="BR47" s="38"/>
      <c r="BS47" s="179" t="s">
        <v>653</v>
      </c>
      <c r="BT47" s="19"/>
      <c r="BU47" s="18"/>
      <c r="BV47" s="18"/>
      <c r="BW47" s="18"/>
      <c r="BX47" s="179" t="s">
        <v>653</v>
      </c>
      <c r="BY47" s="19"/>
      <c r="BZ47" s="18"/>
      <c r="CA47" s="18"/>
      <c r="CB47" s="18"/>
      <c r="CC47" s="179" t="s">
        <v>653</v>
      </c>
      <c r="CD47" s="19"/>
      <c r="CE47" s="18"/>
      <c r="CF47" s="18"/>
      <c r="CG47" s="18"/>
      <c r="CH47" s="179" t="s">
        <v>653</v>
      </c>
      <c r="CI47" s="19"/>
      <c r="CJ47" s="18"/>
      <c r="CK47" s="18"/>
      <c r="CL47" s="18"/>
      <c r="CM47" s="179" t="s">
        <v>653</v>
      </c>
      <c r="CN47" s="19"/>
      <c r="CO47" s="18"/>
      <c r="CP47" s="18"/>
      <c r="CQ47" s="18"/>
      <c r="CR47" s="179" t="s">
        <v>653</v>
      </c>
      <c r="CS47" s="19"/>
      <c r="CT47" s="18"/>
      <c r="CU47" s="18"/>
      <c r="CV47" s="18"/>
      <c r="CW47" s="179" t="s">
        <v>653</v>
      </c>
      <c r="CX47" s="19"/>
      <c r="CY47" s="18"/>
      <c r="CZ47" s="18"/>
      <c r="DA47" s="18"/>
      <c r="DB47" s="179" t="s">
        <v>653</v>
      </c>
      <c r="DC47" s="185"/>
      <c r="DD47" s="185"/>
      <c r="DE47" s="185"/>
      <c r="DF47" s="185"/>
      <c r="DG47" s="185"/>
      <c r="DH47" s="185"/>
      <c r="DI47" s="185"/>
      <c r="DJ47" s="185"/>
      <c r="DK47" s="185"/>
      <c r="DL47" s="185"/>
      <c r="DM47" s="18"/>
    </row>
    <row r="48" spans="1:123">
      <c r="A48" s="45" t="s">
        <v>243</v>
      </c>
      <c r="B48" s="155">
        <f t="shared" ref="B48:E48" si="76">B28+B43-B45</f>
        <v>171644</v>
      </c>
      <c r="C48" s="163">
        <f t="shared" si="76"/>
        <v>29429</v>
      </c>
      <c r="D48" s="163">
        <f t="shared" si="76"/>
        <v>27561</v>
      </c>
      <c r="E48" s="163">
        <f t="shared" si="76"/>
        <v>133260</v>
      </c>
      <c r="F48" s="219">
        <f t="shared" ref="F48:BO48" si="77">F28+F43-F45-F46</f>
        <v>361894</v>
      </c>
      <c r="G48" s="155">
        <f t="shared" si="77"/>
        <v>164804</v>
      </c>
      <c r="H48" s="163">
        <f t="shared" si="77"/>
        <v>28190</v>
      </c>
      <c r="I48" s="163">
        <f t="shared" si="77"/>
        <v>72350</v>
      </c>
      <c r="J48" s="163">
        <f t="shared" si="77"/>
        <v>111285</v>
      </c>
      <c r="K48" s="219">
        <f t="shared" si="77"/>
        <v>376629</v>
      </c>
      <c r="L48" s="155">
        <f t="shared" si="77"/>
        <v>208575</v>
      </c>
      <c r="M48" s="163">
        <f t="shared" si="77"/>
        <v>14496</v>
      </c>
      <c r="N48" s="163">
        <f t="shared" si="77"/>
        <v>40103</v>
      </c>
      <c r="O48" s="163">
        <f t="shared" si="77"/>
        <v>120739</v>
      </c>
      <c r="P48" s="219">
        <f t="shared" si="77"/>
        <v>383913</v>
      </c>
      <c r="Q48" s="155">
        <f t="shared" si="77"/>
        <v>248524</v>
      </c>
      <c r="R48" s="163">
        <f t="shared" si="77"/>
        <v>58782</v>
      </c>
      <c r="S48" s="163">
        <f t="shared" si="77"/>
        <v>21993</v>
      </c>
      <c r="T48" s="163">
        <f t="shared" si="77"/>
        <v>158310</v>
      </c>
      <c r="U48" s="219">
        <f t="shared" si="77"/>
        <v>487609</v>
      </c>
      <c r="V48" s="155">
        <f t="shared" si="77"/>
        <v>236192</v>
      </c>
      <c r="W48" s="163">
        <f t="shared" si="77"/>
        <v>72443</v>
      </c>
      <c r="X48" s="163">
        <f t="shared" si="77"/>
        <v>80754</v>
      </c>
      <c r="Y48" s="163">
        <f t="shared" si="77"/>
        <v>114275</v>
      </c>
      <c r="Z48" s="219">
        <f t="shared" si="77"/>
        <v>503664</v>
      </c>
      <c r="AA48" s="155">
        <f t="shared" si="77"/>
        <v>201060</v>
      </c>
      <c r="AB48" s="163">
        <f t="shared" si="77"/>
        <v>68175</v>
      </c>
      <c r="AC48" s="163">
        <f t="shared" si="77"/>
        <v>83302</v>
      </c>
      <c r="AD48" s="163">
        <f t="shared" si="77"/>
        <v>155429</v>
      </c>
      <c r="AE48" s="219">
        <f t="shared" si="77"/>
        <v>507966</v>
      </c>
      <c r="AF48" s="155">
        <f t="shared" si="77"/>
        <v>252636</v>
      </c>
      <c r="AG48" s="163">
        <f t="shared" si="77"/>
        <v>73045</v>
      </c>
      <c r="AH48" s="163">
        <f t="shared" si="77"/>
        <v>76390.7</v>
      </c>
      <c r="AI48" s="163">
        <f t="shared" si="77"/>
        <v>136580.95000000001</v>
      </c>
      <c r="AJ48" s="219">
        <f t="shared" si="77"/>
        <v>538652.65</v>
      </c>
      <c r="AK48" s="155">
        <f t="shared" si="77"/>
        <v>215621</v>
      </c>
      <c r="AL48" s="368">
        <f t="shared" si="77"/>
        <v>91519</v>
      </c>
      <c r="AM48" s="163">
        <f t="shared" si="77"/>
        <v>94144</v>
      </c>
      <c r="AN48" s="163">
        <f t="shared" si="77"/>
        <v>185958</v>
      </c>
      <c r="AO48" s="219">
        <f t="shared" si="77"/>
        <v>587242</v>
      </c>
      <c r="AP48" s="155">
        <f t="shared" si="77"/>
        <v>192890</v>
      </c>
      <c r="AQ48" s="163">
        <f t="shared" si="77"/>
        <v>100172</v>
      </c>
      <c r="AR48" s="163">
        <f t="shared" si="77"/>
        <v>108223</v>
      </c>
      <c r="AS48" s="163">
        <f t="shared" si="77"/>
        <v>163769</v>
      </c>
      <c r="AT48" s="219">
        <f t="shared" si="77"/>
        <v>565054</v>
      </c>
      <c r="AU48" s="155">
        <f t="shared" si="77"/>
        <v>179897</v>
      </c>
      <c r="AV48" s="163">
        <f t="shared" si="77"/>
        <v>115802</v>
      </c>
      <c r="AW48" s="163">
        <f t="shared" si="77"/>
        <v>118183</v>
      </c>
      <c r="AX48" s="163">
        <f t="shared" si="77"/>
        <v>168505.84615384613</v>
      </c>
      <c r="AY48" s="219">
        <f t="shared" si="77"/>
        <v>582387.84615384601</v>
      </c>
      <c r="AZ48" s="155">
        <f t="shared" si="77"/>
        <v>106710</v>
      </c>
      <c r="BA48" s="163">
        <f t="shared" si="77"/>
        <v>111928</v>
      </c>
      <c r="BB48" s="163">
        <f t="shared" si="77"/>
        <v>177353</v>
      </c>
      <c r="BC48" s="163">
        <f t="shared" si="77"/>
        <v>144682</v>
      </c>
      <c r="BD48" s="219">
        <f t="shared" si="77"/>
        <v>540673</v>
      </c>
      <c r="BE48" s="155">
        <f t="shared" si="77"/>
        <v>98378</v>
      </c>
      <c r="BF48" s="381">
        <f t="shared" si="77"/>
        <v>124745</v>
      </c>
      <c r="BG48" s="163">
        <f t="shared" si="77"/>
        <v>121181</v>
      </c>
      <c r="BH48" s="381">
        <f t="shared" si="77"/>
        <v>298121</v>
      </c>
      <c r="BI48" s="594">
        <f t="shared" si="77"/>
        <v>642425</v>
      </c>
      <c r="BJ48" s="155">
        <f t="shared" si="77"/>
        <v>130258</v>
      </c>
      <c r="BK48" s="381">
        <f t="shared" si="77"/>
        <v>139042</v>
      </c>
      <c r="BL48" s="163">
        <f t="shared" si="77"/>
        <v>141412</v>
      </c>
      <c r="BM48" s="163">
        <f t="shared" si="77"/>
        <v>146149</v>
      </c>
      <c r="BN48" s="219">
        <f t="shared" si="77"/>
        <v>556861</v>
      </c>
      <c r="BO48" s="155">
        <f t="shared" si="77"/>
        <v>142309</v>
      </c>
      <c r="BP48" s="163">
        <f>BP28+BP43-BP45-BP46</f>
        <v>114683</v>
      </c>
      <c r="BQ48" s="163">
        <f t="shared" ref="BQ48:DB48" si="78">BQ28+BQ43-BQ45-BQ46</f>
        <v>262320</v>
      </c>
      <c r="BR48" s="381">
        <f t="shared" si="78"/>
        <v>314120</v>
      </c>
      <c r="BS48" s="219">
        <f t="shared" si="78"/>
        <v>833432</v>
      </c>
      <c r="BT48" s="155">
        <f t="shared" si="78"/>
        <v>381248.77118133643</v>
      </c>
      <c r="BU48" s="163">
        <f t="shared" si="78"/>
        <v>331085.24532907293</v>
      </c>
      <c r="BV48" s="163">
        <f t="shared" si="78"/>
        <v>340638.24608404929</v>
      </c>
      <c r="BW48" s="163">
        <f t="shared" si="78"/>
        <v>333246.49907373707</v>
      </c>
      <c r="BX48" s="219">
        <f t="shared" si="78"/>
        <v>1386218.7616681971</v>
      </c>
      <c r="BY48" s="155">
        <f t="shared" si="78"/>
        <v>389871.31285027432</v>
      </c>
      <c r="BZ48" s="163">
        <f t="shared" si="78"/>
        <v>367687.95671521628</v>
      </c>
      <c r="CA48" s="163">
        <f t="shared" si="78"/>
        <v>372461.00454971968</v>
      </c>
      <c r="CB48" s="163">
        <f t="shared" si="78"/>
        <v>364332.14206453599</v>
      </c>
      <c r="CC48" s="219">
        <f t="shared" si="78"/>
        <v>1494352.4161797469</v>
      </c>
      <c r="CD48" s="155">
        <f t="shared" si="78"/>
        <v>389822.37976027414</v>
      </c>
      <c r="CE48" s="163">
        <f t="shared" si="78"/>
        <v>379427.11896975711</v>
      </c>
      <c r="CF48" s="163">
        <f t="shared" si="78"/>
        <v>395807.45507805311</v>
      </c>
      <c r="CG48" s="163">
        <f t="shared" si="78"/>
        <v>426942.41087152611</v>
      </c>
      <c r="CH48" s="219">
        <f t="shared" si="78"/>
        <v>1591999.3646796115</v>
      </c>
      <c r="CI48" s="155">
        <f t="shared" si="78"/>
        <v>414583.33650707436</v>
      </c>
      <c r="CJ48" s="163">
        <f t="shared" si="78"/>
        <v>415776.50111832295</v>
      </c>
      <c r="CK48" s="163">
        <f t="shared" si="78"/>
        <v>425657.25676801882</v>
      </c>
      <c r="CL48" s="163">
        <f t="shared" si="78"/>
        <v>475031.18030490144</v>
      </c>
      <c r="CM48" s="219">
        <f t="shared" si="78"/>
        <v>1731048.2746983161</v>
      </c>
      <c r="CN48" s="155">
        <f t="shared" si="78"/>
        <v>428408.82748493482</v>
      </c>
      <c r="CO48" s="163">
        <f t="shared" si="78"/>
        <v>433483.39297954674</v>
      </c>
      <c r="CP48" s="163">
        <f t="shared" si="78"/>
        <v>442362.66061574337</v>
      </c>
      <c r="CQ48" s="163">
        <f t="shared" si="78"/>
        <v>509793.40433387586</v>
      </c>
      <c r="CR48" s="219">
        <f t="shared" si="78"/>
        <v>1814048.2854141016</v>
      </c>
      <c r="CS48" s="155">
        <f t="shared" si="78"/>
        <v>441080.4076568468</v>
      </c>
      <c r="CT48" s="163">
        <f t="shared" si="78"/>
        <v>446331.50017543638</v>
      </c>
      <c r="CU48" s="163">
        <f t="shared" si="78"/>
        <v>455466.10110775032</v>
      </c>
      <c r="CV48" s="163">
        <f t="shared" si="78"/>
        <v>542168.87103269587</v>
      </c>
      <c r="CW48" s="219">
        <f t="shared" si="78"/>
        <v>1885046.8799727298</v>
      </c>
      <c r="CX48" s="155">
        <f t="shared" si="78"/>
        <v>462519.5051154244</v>
      </c>
      <c r="CY48" s="163">
        <f t="shared" si="78"/>
        <v>468102.36950358737</v>
      </c>
      <c r="CZ48" s="163">
        <f t="shared" si="78"/>
        <v>477566.89953661407</v>
      </c>
      <c r="DA48" s="163">
        <f t="shared" si="78"/>
        <v>572401.88031957997</v>
      </c>
      <c r="DB48" s="219">
        <f t="shared" si="78"/>
        <v>1980590.6544752074</v>
      </c>
      <c r="DC48" s="163"/>
      <c r="DD48" s="163"/>
      <c r="DE48" s="163"/>
      <c r="DF48" s="163"/>
      <c r="DG48" s="163"/>
      <c r="DH48" s="163"/>
      <c r="DI48" s="163"/>
      <c r="DJ48" s="163"/>
      <c r="DK48" s="170"/>
      <c r="DL48" s="170"/>
      <c r="DM48" s="25"/>
    </row>
    <row r="49" spans="1:117">
      <c r="A49" s="44" t="s">
        <v>148</v>
      </c>
      <c r="B49" s="41">
        <v>66491</v>
      </c>
      <c r="C49" s="40">
        <v>11640</v>
      </c>
      <c r="D49" s="178">
        <v>11010</v>
      </c>
      <c r="E49" s="162">
        <f>F49-SUM(B49:D49)</f>
        <v>48080</v>
      </c>
      <c r="F49" s="179">
        <v>137221</v>
      </c>
      <c r="G49" s="41">
        <v>63026</v>
      </c>
      <c r="H49" s="40">
        <v>11116</v>
      </c>
      <c r="I49" s="178">
        <v>27736</v>
      </c>
      <c r="J49" s="162">
        <f>K49-SUM(G49:I49)</f>
        <v>38013.646018315892</v>
      </c>
      <c r="K49" s="220">
        <f>242521-(269040*K51)</f>
        <v>139891.64601831589</v>
      </c>
      <c r="L49" s="154">
        <f>80141-(1305*L51)</f>
        <v>79635.201770538391</v>
      </c>
      <c r="M49" s="162">
        <f>51638-(115087*M51)</f>
        <v>7032.0223493878439</v>
      </c>
      <c r="N49" s="162">
        <f>15726-(36*N51)</f>
        <v>15712.046945394162</v>
      </c>
      <c r="O49" s="162">
        <f>P49-SUM(L49:N49)</f>
        <v>46220.241514983776</v>
      </c>
      <c r="P49" s="220">
        <f>193764-(116528*P51)</f>
        <v>148599.51258030417</v>
      </c>
      <c r="Q49" s="154">
        <f>97847-(2203*Q51)</f>
        <v>96996.401897580887</v>
      </c>
      <c r="R49" s="162">
        <f>23210-(-369*R51)</f>
        <v>23352.474216882729</v>
      </c>
      <c r="S49" s="162">
        <f>8138-(59*S51)</f>
        <v>8115.2195696583167</v>
      </c>
      <c r="T49" s="162">
        <f>U49-SUM(Q49:S49)</f>
        <v>55395.822256178522</v>
      </c>
      <c r="U49" s="220">
        <f>184597-(1909*U51)</f>
        <v>183859.91794030045</v>
      </c>
      <c r="V49" s="154">
        <f>92368-(13*V51)</f>
        <v>92362.925072137237</v>
      </c>
      <c r="W49" s="162">
        <f>30574-(-4*W51)</f>
        <v>30575.561516265465</v>
      </c>
      <c r="X49" s="3">
        <f>24031-(1310*X51)</f>
        <v>23519.603423060202</v>
      </c>
      <c r="Y49" s="162">
        <f>Z49-SUM(V49:X49)</f>
        <v>46708.792070832831</v>
      </c>
      <c r="Z49" s="220">
        <f>194071-(2316*Z51)</f>
        <v>193166.88208229575</v>
      </c>
      <c r="AA49" s="154">
        <f>79439-(664*AA51)</f>
        <v>79179.788299932799</v>
      </c>
      <c r="AB49" s="162">
        <f>30258-(3762*AB51)</f>
        <v>28789.393952330131</v>
      </c>
      <c r="AC49" s="162">
        <f>34080-(-1180*AC51)</f>
        <v>34540.647298312186</v>
      </c>
      <c r="AD49" s="162">
        <f>63544-(1560*AD51)</f>
        <v>62935.008656468635</v>
      </c>
      <c r="AE49" s="104">
        <f>SUM(AA49:AD49)</f>
        <v>205444.83820704377</v>
      </c>
      <c r="AF49" s="154">
        <f>97311-(-786*AF51)</f>
        <v>97617.837946163883</v>
      </c>
      <c r="AG49" s="162">
        <f>31048-(-273*AG51)</f>
        <v>31154.573485117988</v>
      </c>
      <c r="AH49" s="48">
        <f>29965-0.45*16126*AH51</f>
        <v>27132.136229099964</v>
      </c>
      <c r="AI49" s="48">
        <f>55510-0.45*3551*AI51</f>
        <v>54886.193770900034</v>
      </c>
      <c r="AJ49" s="104">
        <f>SUM(AF49:AI49)</f>
        <v>210790.74143128184</v>
      </c>
      <c r="AK49" s="154">
        <f>84981-(-510*AK51)</f>
        <v>85180.093323846799</v>
      </c>
      <c r="AL49" s="162">
        <f>36165-(-212*AL51)</f>
        <v>36247.760362069646</v>
      </c>
      <c r="AM49" s="48">
        <f>33754-(-69*AL51)</f>
        <v>33780.936155579271</v>
      </c>
      <c r="AN49" s="48">
        <f>71795-(-172*AN51)</f>
        <v>71862.145199414997</v>
      </c>
      <c r="AO49" s="104">
        <f>SUM(AK49:AN49)</f>
        <v>227070.93504091073</v>
      </c>
      <c r="AP49" s="154">
        <f>73839-((-10255+57)*AP51)</f>
        <v>77820.085718803108</v>
      </c>
      <c r="AQ49" s="162">
        <f>40412-(966*AQ51)</f>
        <v>40034.893821890197</v>
      </c>
      <c r="AR49" s="48">
        <f>42584-(-420*AQ51)</f>
        <v>42747.959207873828</v>
      </c>
      <c r="AS49" s="48">
        <f>58360-(6133*AS51)</f>
        <v>55965.805185975732</v>
      </c>
      <c r="AT49" s="104">
        <f>SUM(AP49:AS49)</f>
        <v>216568.74393454287</v>
      </c>
      <c r="AU49" s="154">
        <f>67417-((41)*AU51)</f>
        <v>67400.99445827899</v>
      </c>
      <c r="AV49" s="162">
        <f>1362-(279*AV51)+(113800*AV51)</f>
        <v>45678.221992964143</v>
      </c>
      <c r="AW49" s="48">
        <f>39449+(16400*0.35)-(22*0.35)</f>
        <v>45181.3</v>
      </c>
      <c r="AX49" s="48">
        <f>55154-(11539*0.35)+(((5300+16900)/0.65)*0.35)</f>
        <v>63069.196153846155</v>
      </c>
      <c r="AY49" s="104">
        <f>SUM(AU49:AX49)</f>
        <v>221329.7126050893</v>
      </c>
      <c r="AZ49" s="154">
        <f>14984-((15)*AZ51)</f>
        <v>14978.144314004507</v>
      </c>
      <c r="BA49" s="162">
        <f>42313+(16*BA51)</f>
        <v>42319.24606506186</v>
      </c>
      <c r="BB49" s="48">
        <f>37858+(76400*0.75)+(171*0.35)-(1534*0.35)</f>
        <v>94680.950000000012</v>
      </c>
      <c r="BC49" s="48">
        <v>56003</v>
      </c>
      <c r="BD49" s="104">
        <f>SUM(AZ49:BC49)</f>
        <v>207981.34037906639</v>
      </c>
      <c r="BE49" s="154">
        <f>37428-((15)*BE51)</f>
        <v>37422.144314004508</v>
      </c>
      <c r="BF49" s="567">
        <v>48222</v>
      </c>
      <c r="BG49" s="567">
        <v>38298</v>
      </c>
      <c r="BH49" s="567">
        <v>12652</v>
      </c>
      <c r="BI49" s="104">
        <f>SUM(BE49:BH49)</f>
        <v>136594.14431400452</v>
      </c>
      <c r="BJ49" s="567">
        <v>50066</v>
      </c>
      <c r="BK49" s="567">
        <v>52458</v>
      </c>
      <c r="BL49" s="567">
        <v>55012</v>
      </c>
      <c r="BM49" s="567">
        <v>54870</v>
      </c>
      <c r="BN49" s="104">
        <f>SUM(BJ49:BM49)</f>
        <v>212406</v>
      </c>
      <c r="BO49" s="567">
        <v>54941</v>
      </c>
      <c r="BP49" s="587">
        <v>43844</v>
      </c>
      <c r="BQ49" s="587">
        <v>97128</v>
      </c>
      <c r="BR49" s="567">
        <v>251369</v>
      </c>
      <c r="BS49" s="104">
        <f>SUM(BO49:BR49)</f>
        <v>447282</v>
      </c>
      <c r="BT49" s="94">
        <f>BT48*BT51</f>
        <v>95312.192795334107</v>
      </c>
      <c r="BU49" s="48">
        <f>BU48*BU51</f>
        <v>82771.311332268233</v>
      </c>
      <c r="BV49" s="48">
        <f>BV48*BV51</f>
        <v>85159.561521012321</v>
      </c>
      <c r="BW49" s="48">
        <f>BW48*BW51</f>
        <v>83311.624768434267</v>
      </c>
      <c r="BX49" s="104">
        <f>SUM(BT49:BW49)</f>
        <v>346554.69041704893</v>
      </c>
      <c r="BY49" s="94">
        <f>BY48*BY51</f>
        <v>97467.82821256858</v>
      </c>
      <c r="BZ49" s="48">
        <f>BZ48*BZ51</f>
        <v>91921.98917880407</v>
      </c>
      <c r="CA49" s="48">
        <f>CA48*CA51</f>
        <v>93115.251137429921</v>
      </c>
      <c r="CB49" s="48">
        <f>CB48*CB51</f>
        <v>91083.035516133998</v>
      </c>
      <c r="CC49" s="104">
        <f>SUM(BY49:CB49)</f>
        <v>373588.10404493654</v>
      </c>
      <c r="CD49" s="94">
        <f>CD48*CD51</f>
        <v>97455.594940068535</v>
      </c>
      <c r="CE49" s="48">
        <f>CE48*CE51</f>
        <v>94856.779742439277</v>
      </c>
      <c r="CF49" s="48">
        <f>CF48*CF51</f>
        <v>98951.863769513278</v>
      </c>
      <c r="CG49" s="48">
        <f>CG48*CG51</f>
        <v>106735.60271788153</v>
      </c>
      <c r="CH49" s="104">
        <f>SUM(CD49:CG49)</f>
        <v>397999.84116990259</v>
      </c>
      <c r="CI49" s="94">
        <f>CI48*CI51</f>
        <v>103645.83412676859</v>
      </c>
      <c r="CJ49" s="48">
        <f>CJ48*CJ51</f>
        <v>103944.12527958074</v>
      </c>
      <c r="CK49" s="48">
        <f>CK48*CK51</f>
        <v>106414.31419200471</v>
      </c>
      <c r="CL49" s="48">
        <f>CL48*CL51</f>
        <v>118757.79507622536</v>
      </c>
      <c r="CM49" s="104">
        <f>SUM(CI49:CL49)</f>
        <v>432762.06867457944</v>
      </c>
      <c r="CN49" s="94">
        <f>CN48*CN51</f>
        <v>107102.20687123371</v>
      </c>
      <c r="CO49" s="48">
        <f>CO48*CO51</f>
        <v>108370.84824488669</v>
      </c>
      <c r="CP49" s="48">
        <f>CP48*CP51</f>
        <v>110590.66515393584</v>
      </c>
      <c r="CQ49" s="48">
        <f>CQ48*CQ51</f>
        <v>127448.35108346897</v>
      </c>
      <c r="CR49" s="104">
        <f>SUM(CN49:CQ49)</f>
        <v>453512.07135352516</v>
      </c>
      <c r="CS49" s="94">
        <f>CS48*CS51</f>
        <v>110270.1019142117</v>
      </c>
      <c r="CT49" s="48">
        <f>CT48*CT51</f>
        <v>111582.87504385909</v>
      </c>
      <c r="CU49" s="48">
        <f>CU48*CU51</f>
        <v>113866.52527693758</v>
      </c>
      <c r="CV49" s="48">
        <f>CV48*CV51</f>
        <v>135542.21775817397</v>
      </c>
      <c r="CW49" s="104">
        <f>SUM(CS49:CV49)</f>
        <v>471261.71999318234</v>
      </c>
      <c r="CX49" s="94">
        <f>CX48*CX51</f>
        <v>115629.8762788561</v>
      </c>
      <c r="CY49" s="48">
        <f>CY48*CY51</f>
        <v>117025.59237589684</v>
      </c>
      <c r="CZ49" s="48">
        <f>CZ48*CZ51</f>
        <v>119391.72488415352</v>
      </c>
      <c r="DA49" s="48">
        <f>DA48*DA51</f>
        <v>143100.47007989499</v>
      </c>
      <c r="DB49" s="104">
        <f>SUM(CX49:DA49)</f>
        <v>495147.66361880145</v>
      </c>
      <c r="DC49" s="48"/>
      <c r="DD49" s="48"/>
      <c r="DE49" s="48"/>
      <c r="DF49" s="48"/>
      <c r="DG49" s="48"/>
      <c r="DH49" s="48"/>
      <c r="DI49" s="48"/>
      <c r="DJ49" s="48"/>
      <c r="DK49" s="99"/>
      <c r="DL49" s="99"/>
      <c r="DM49" s="18"/>
    </row>
    <row r="50" spans="1:117">
      <c r="A50" s="140" t="s">
        <v>302</v>
      </c>
      <c r="B50" s="149">
        <f t="shared" ref="B50:AG50" si="79">B49/B48</f>
        <v>0.3873773624478572</v>
      </c>
      <c r="C50" s="149">
        <f t="shared" si="79"/>
        <v>0.39552822046280878</v>
      </c>
      <c r="D50" s="149">
        <f t="shared" si="79"/>
        <v>0.39947752258626318</v>
      </c>
      <c r="E50" s="149">
        <f t="shared" si="79"/>
        <v>0.36079843914152782</v>
      </c>
      <c r="F50" s="150">
        <f t="shared" si="79"/>
        <v>0.37917456492785179</v>
      </c>
      <c r="G50" s="149">
        <f t="shared" si="79"/>
        <v>0.38243003810587123</v>
      </c>
      <c r="H50" s="149">
        <f t="shared" si="79"/>
        <v>0.39432422844980491</v>
      </c>
      <c r="I50" s="149">
        <f t="shared" si="79"/>
        <v>0.38335867311679339</v>
      </c>
      <c r="J50" s="149">
        <f t="shared" si="79"/>
        <v>0.34158822858710419</v>
      </c>
      <c r="K50" s="150">
        <f t="shared" si="79"/>
        <v>0.37143089358046216</v>
      </c>
      <c r="L50" s="149">
        <f t="shared" si="79"/>
        <v>0.38180607345337836</v>
      </c>
      <c r="M50" s="149">
        <f t="shared" si="79"/>
        <v>0.48510087951075082</v>
      </c>
      <c r="N50" s="149">
        <f t="shared" si="79"/>
        <v>0.39179230844061946</v>
      </c>
      <c r="O50" s="149">
        <f t="shared" si="79"/>
        <v>0.38281120031625054</v>
      </c>
      <c r="P50" s="150">
        <f t="shared" si="79"/>
        <v>0.38706559189270529</v>
      </c>
      <c r="Q50" s="149">
        <f t="shared" si="79"/>
        <v>0.39028987903615298</v>
      </c>
      <c r="R50" s="149">
        <f t="shared" si="79"/>
        <v>0.39727253609749119</v>
      </c>
      <c r="S50" s="149">
        <f t="shared" si="79"/>
        <v>0.36899102303725351</v>
      </c>
      <c r="T50" s="149">
        <f t="shared" si="79"/>
        <v>0.34991991823749935</v>
      </c>
      <c r="U50" s="150">
        <f t="shared" si="79"/>
        <v>0.37706424192396049</v>
      </c>
      <c r="V50" s="149">
        <f t="shared" si="79"/>
        <v>0.39105018405423231</v>
      </c>
      <c r="W50" s="149">
        <f t="shared" si="79"/>
        <v>0.4220637123844328</v>
      </c>
      <c r="X50" s="149">
        <f t="shared" si="79"/>
        <v>0.29125001143051987</v>
      </c>
      <c r="Y50" s="149">
        <f t="shared" si="79"/>
        <v>0.4087402500182265</v>
      </c>
      <c r="Z50" s="150">
        <f t="shared" si="79"/>
        <v>0.3835233053827467</v>
      </c>
      <c r="AA50" s="149">
        <f t="shared" si="79"/>
        <v>0.39381173928147217</v>
      </c>
      <c r="AB50" s="149">
        <f t="shared" si="79"/>
        <v>0.42228667330150538</v>
      </c>
      <c r="AC50" s="149">
        <f t="shared" si="79"/>
        <v>0.41464367360102022</v>
      </c>
      <c r="AD50" s="149">
        <f t="shared" si="79"/>
        <v>0.40491162303346628</v>
      </c>
      <c r="AE50" s="150">
        <f t="shared" si="79"/>
        <v>0.40444604207179963</v>
      </c>
      <c r="AF50" s="149">
        <f t="shared" si="79"/>
        <v>0.38639717991958344</v>
      </c>
      <c r="AG50" s="149">
        <f t="shared" si="79"/>
        <v>0.42651206085451415</v>
      </c>
      <c r="AH50" s="149">
        <f t="shared" ref="AH50:BG50" si="80">AH49/AH48</f>
        <v>0.35517590791941905</v>
      </c>
      <c r="AI50" s="149">
        <f t="shared" si="80"/>
        <v>0.40185833947486843</v>
      </c>
      <c r="AJ50" s="150">
        <f t="shared" si="80"/>
        <v>0.39132962853015174</v>
      </c>
      <c r="AK50" s="149">
        <f t="shared" si="80"/>
        <v>0.39504544234488664</v>
      </c>
      <c r="AL50" s="361">
        <f>AL49/AL48</f>
        <v>0.39606814281263614</v>
      </c>
      <c r="AM50" s="149">
        <f t="shared" si="80"/>
        <v>0.35882197649960984</v>
      </c>
      <c r="AN50" s="149">
        <f t="shared" si="80"/>
        <v>0.38644288064732357</v>
      </c>
      <c r="AO50" s="150">
        <f t="shared" si="80"/>
        <v>0.38667352648637315</v>
      </c>
      <c r="AP50" s="149">
        <f t="shared" si="80"/>
        <v>0.40344282087616312</v>
      </c>
      <c r="AQ50" s="149">
        <f t="shared" si="80"/>
        <v>0.39966152040380742</v>
      </c>
      <c r="AR50" s="149">
        <f t="shared" si="80"/>
        <v>0.39499883765811172</v>
      </c>
      <c r="AS50" s="149">
        <f>AS49/AS48</f>
        <v>0.34173625769208904</v>
      </c>
      <c r="AT50" s="150">
        <f>AT49/AT48</f>
        <v>0.38327088018940292</v>
      </c>
      <c r="AU50" s="149">
        <f t="shared" si="80"/>
        <v>0.37466436048560559</v>
      </c>
      <c r="AV50" s="149">
        <f t="shared" si="80"/>
        <v>0.39445106296060639</v>
      </c>
      <c r="AW50" s="149">
        <f>AW49/AW48</f>
        <v>0.38229948469746072</v>
      </c>
      <c r="AX50" s="149">
        <f>AX49/AX48</f>
        <v>0.37428491410478348</v>
      </c>
      <c r="AY50" s="150">
        <f t="shared" si="80"/>
        <v>0.38003834397777236</v>
      </c>
      <c r="AZ50" s="149">
        <f t="shared" si="80"/>
        <v>0.14036308044236254</v>
      </c>
      <c r="BA50" s="149">
        <f>BA49/BA48</f>
        <v>0.378093471383942</v>
      </c>
      <c r="BB50" s="149">
        <f>BB49/BB48</f>
        <v>0.53385592575259522</v>
      </c>
      <c r="BC50" s="149">
        <f t="shared" si="80"/>
        <v>0.38707648498085456</v>
      </c>
      <c r="BD50" s="150">
        <f t="shared" si="80"/>
        <v>0.38467121601978715</v>
      </c>
      <c r="BE50" s="149">
        <f>BE49/BE48</f>
        <v>0.38039139151034285</v>
      </c>
      <c r="BF50" s="540">
        <f>BF49/BF48</f>
        <v>0.38656459176720509</v>
      </c>
      <c r="BG50" s="149">
        <f t="shared" si="80"/>
        <v>0.31603964317838606</v>
      </c>
      <c r="BH50" s="540">
        <f t="shared" ref="BH50:BM50" si="81">BH49/BH48</f>
        <v>4.2439143837569311E-2</v>
      </c>
      <c r="BI50" s="534">
        <f t="shared" si="81"/>
        <v>0.21262270975445308</v>
      </c>
      <c r="BJ50" s="540">
        <f t="shared" si="81"/>
        <v>0.38436026961875663</v>
      </c>
      <c r="BK50" s="540">
        <f t="shared" si="81"/>
        <v>0.37728168467081891</v>
      </c>
      <c r="BL50" s="149">
        <f t="shared" si="81"/>
        <v>0.38901931943540857</v>
      </c>
      <c r="BM50" s="149">
        <f t="shared" si="81"/>
        <v>0.37543876454850872</v>
      </c>
      <c r="BN50" s="150">
        <f t="shared" ref="BN50:BS50" si="82">BN49/BN48</f>
        <v>0.38143450519968181</v>
      </c>
      <c r="BO50" s="149">
        <f t="shared" si="82"/>
        <v>0.38606834423683672</v>
      </c>
      <c r="BP50" s="149">
        <f t="shared" si="82"/>
        <v>0.38230600873712756</v>
      </c>
      <c r="BQ50" s="149">
        <f t="shared" si="82"/>
        <v>0.37026532479414453</v>
      </c>
      <c r="BR50" s="540">
        <f t="shared" si="82"/>
        <v>0.80023239526295686</v>
      </c>
      <c r="BS50" s="150">
        <f t="shared" si="82"/>
        <v>0.53667485769684864</v>
      </c>
      <c r="BT50" s="149">
        <f t="shared" ref="BT50:DB50" si="83">BT49/BT48</f>
        <v>0.25</v>
      </c>
      <c r="BU50" s="149">
        <f t="shared" si="83"/>
        <v>0.25</v>
      </c>
      <c r="BV50" s="149">
        <f t="shared" si="83"/>
        <v>0.25</v>
      </c>
      <c r="BW50" s="149">
        <f t="shared" si="83"/>
        <v>0.25</v>
      </c>
      <c r="BX50" s="150">
        <f t="shared" si="83"/>
        <v>0.24999999999999975</v>
      </c>
      <c r="BY50" s="149">
        <f t="shared" si="83"/>
        <v>0.25</v>
      </c>
      <c r="BZ50" s="149">
        <f t="shared" si="83"/>
        <v>0.25</v>
      </c>
      <c r="CA50" s="149">
        <f t="shared" si="83"/>
        <v>0.25</v>
      </c>
      <c r="CB50" s="149">
        <f t="shared" si="83"/>
        <v>0.25</v>
      </c>
      <c r="CC50" s="150">
        <f t="shared" si="83"/>
        <v>0.24999999999999989</v>
      </c>
      <c r="CD50" s="149">
        <f t="shared" si="83"/>
        <v>0.25</v>
      </c>
      <c r="CE50" s="149">
        <f t="shared" si="83"/>
        <v>0.25</v>
      </c>
      <c r="CF50" s="149">
        <f t="shared" si="83"/>
        <v>0.25</v>
      </c>
      <c r="CG50" s="149">
        <f t="shared" si="83"/>
        <v>0.25</v>
      </c>
      <c r="CH50" s="150">
        <f t="shared" si="83"/>
        <v>0.24999999999999981</v>
      </c>
      <c r="CI50" s="149">
        <f t="shared" si="83"/>
        <v>0.25</v>
      </c>
      <c r="CJ50" s="149">
        <f t="shared" si="83"/>
        <v>0.25</v>
      </c>
      <c r="CK50" s="149">
        <f t="shared" si="83"/>
        <v>0.25</v>
      </c>
      <c r="CL50" s="149">
        <f t="shared" si="83"/>
        <v>0.25</v>
      </c>
      <c r="CM50" s="150">
        <f t="shared" si="83"/>
        <v>0.25000000000000022</v>
      </c>
      <c r="CN50" s="149">
        <f t="shared" si="83"/>
        <v>0.25</v>
      </c>
      <c r="CO50" s="149">
        <f t="shared" si="83"/>
        <v>0.25</v>
      </c>
      <c r="CP50" s="149">
        <f t="shared" si="83"/>
        <v>0.25</v>
      </c>
      <c r="CQ50" s="149">
        <f t="shared" si="83"/>
        <v>0.25</v>
      </c>
      <c r="CR50" s="150">
        <f t="shared" si="83"/>
        <v>0.24999999999999986</v>
      </c>
      <c r="CS50" s="149">
        <f t="shared" si="83"/>
        <v>0.25</v>
      </c>
      <c r="CT50" s="149">
        <f t="shared" si="83"/>
        <v>0.25</v>
      </c>
      <c r="CU50" s="149">
        <f t="shared" si="83"/>
        <v>0.25</v>
      </c>
      <c r="CV50" s="149">
        <f t="shared" si="83"/>
        <v>0.25</v>
      </c>
      <c r="CW50" s="150">
        <f t="shared" si="83"/>
        <v>0.24999999999999994</v>
      </c>
      <c r="CX50" s="149">
        <f t="shared" si="83"/>
        <v>0.25</v>
      </c>
      <c r="CY50" s="149">
        <f t="shared" si="83"/>
        <v>0.25</v>
      </c>
      <c r="CZ50" s="149">
        <f t="shared" si="83"/>
        <v>0.25</v>
      </c>
      <c r="DA50" s="149">
        <f t="shared" si="83"/>
        <v>0.25</v>
      </c>
      <c r="DB50" s="150">
        <f t="shared" si="83"/>
        <v>0.24999999999999981</v>
      </c>
      <c r="DC50" s="149"/>
      <c r="DD50" s="149"/>
      <c r="DE50" s="149"/>
      <c r="DF50" s="149"/>
      <c r="DG50" s="149"/>
      <c r="DH50" s="149"/>
      <c r="DI50" s="149"/>
      <c r="DJ50" s="149"/>
      <c r="DK50" s="400"/>
      <c r="DL50" s="400"/>
      <c r="DM50" s="18"/>
    </row>
    <row r="51" spans="1:117">
      <c r="A51" s="141" t="s">
        <v>621</v>
      </c>
      <c r="B51" s="221">
        <f t="shared" ref="B51:AG51" si="84">SUM(B462:B463)</f>
        <v>0.37825136642221202</v>
      </c>
      <c r="C51" s="222">
        <f t="shared" si="84"/>
        <v>0.37825136642221202</v>
      </c>
      <c r="D51" s="222">
        <f t="shared" si="84"/>
        <v>0.37825136642221202</v>
      </c>
      <c r="E51" s="222">
        <f t="shared" si="84"/>
        <v>0.37825136642221202</v>
      </c>
      <c r="F51" s="223">
        <f>AVERAGE(B51:E51)</f>
        <v>0.37825136642221202</v>
      </c>
      <c r="G51" s="221">
        <f t="shared" si="84"/>
        <v>0.38146503858788322</v>
      </c>
      <c r="H51" s="222">
        <f t="shared" si="84"/>
        <v>0.38146503858788322</v>
      </c>
      <c r="I51" s="222">
        <f t="shared" si="84"/>
        <v>0.38146503858788322</v>
      </c>
      <c r="J51" s="222">
        <f t="shared" si="84"/>
        <v>0.38146503858788322</v>
      </c>
      <c r="K51" s="223">
        <f>AVERAGE(G51:J51)</f>
        <v>0.38146503858788322</v>
      </c>
      <c r="L51" s="221">
        <f t="shared" si="84"/>
        <v>0.38758485016215694</v>
      </c>
      <c r="M51" s="222">
        <f t="shared" si="84"/>
        <v>0.38758485016215694</v>
      </c>
      <c r="N51" s="222">
        <f t="shared" si="84"/>
        <v>0.38758485016215694</v>
      </c>
      <c r="O51" s="222">
        <f t="shared" si="84"/>
        <v>0.38758485016215694</v>
      </c>
      <c r="P51" s="223">
        <f>AVERAGE(L51:O51)</f>
        <v>0.38758485016215694</v>
      </c>
      <c r="Q51" s="221">
        <f t="shared" si="84"/>
        <v>0.38610898884208544</v>
      </c>
      <c r="R51" s="222">
        <f t="shared" si="84"/>
        <v>0.38610898884208544</v>
      </c>
      <c r="S51" s="222">
        <f t="shared" si="84"/>
        <v>0.38610898884208544</v>
      </c>
      <c r="T51" s="222">
        <f t="shared" si="84"/>
        <v>0.38610898884208544</v>
      </c>
      <c r="U51" s="223">
        <f>AVERAGE(Q51:T51)</f>
        <v>0.38610898884208544</v>
      </c>
      <c r="V51" s="221">
        <f t="shared" si="84"/>
        <v>0.39037906636625952</v>
      </c>
      <c r="W51" s="222">
        <f t="shared" si="84"/>
        <v>0.39037906636625952</v>
      </c>
      <c r="X51" s="222">
        <f t="shared" si="84"/>
        <v>0.39037906636625952</v>
      </c>
      <c r="Y51" s="222">
        <f t="shared" si="84"/>
        <v>0.39037906636625952</v>
      </c>
      <c r="Z51" s="223">
        <f>AVERAGE(V51:Y51)</f>
        <v>0.39037906636625952</v>
      </c>
      <c r="AA51" s="221">
        <f t="shared" si="84"/>
        <v>0.39037906636625952</v>
      </c>
      <c r="AB51" s="222">
        <f t="shared" si="84"/>
        <v>0.39037906636625952</v>
      </c>
      <c r="AC51" s="222">
        <f t="shared" si="84"/>
        <v>0.39037906636625952</v>
      </c>
      <c r="AD51" s="222">
        <f t="shared" si="84"/>
        <v>0.39037906636625952</v>
      </c>
      <c r="AE51" s="223">
        <f>AVERAGE(AA51:AD51)</f>
        <v>0.39037906636625952</v>
      </c>
      <c r="AF51" s="221">
        <f t="shared" si="84"/>
        <v>0.39037906636625952</v>
      </c>
      <c r="AG51" s="222">
        <f t="shared" si="84"/>
        <v>0.39037906636625952</v>
      </c>
      <c r="AH51" s="222">
        <f t="shared" ref="AH51:AN51" si="85">SUM(AH462:AH463)</f>
        <v>0.39037906636625952</v>
      </c>
      <c r="AI51" s="222">
        <f t="shared" si="85"/>
        <v>0.39037906636625952</v>
      </c>
      <c r="AJ51" s="223">
        <f>AVERAGE(AF51:AI51)</f>
        <v>0.39037906636625952</v>
      </c>
      <c r="AK51" s="221">
        <f t="shared" si="85"/>
        <v>0.39037906636625952</v>
      </c>
      <c r="AL51" s="437">
        <f t="shared" si="85"/>
        <v>0.39037906636625952</v>
      </c>
      <c r="AM51" s="222">
        <f t="shared" si="85"/>
        <v>0.39037906636625952</v>
      </c>
      <c r="AN51" s="222">
        <f t="shared" si="85"/>
        <v>0.39037906636625952</v>
      </c>
      <c r="AO51" s="223">
        <f>AVERAGE(AK51:AN51)</f>
        <v>0.39037906636625952</v>
      </c>
      <c r="AP51" s="221">
        <f t="shared" ref="AP51:AU51" si="86">SUM(AP462:AP463)</f>
        <v>0.39037906636625952</v>
      </c>
      <c r="AQ51" s="222">
        <f t="shared" si="86"/>
        <v>0.39037906636625952</v>
      </c>
      <c r="AR51" s="222">
        <f t="shared" si="86"/>
        <v>0.39037906636625952</v>
      </c>
      <c r="AS51" s="222">
        <f t="shared" si="86"/>
        <v>0.39037906636625952</v>
      </c>
      <c r="AT51" s="223">
        <f>AVERAGE(AP51:AS51)</f>
        <v>0.39037906636625952</v>
      </c>
      <c r="AU51" s="221">
        <f t="shared" si="86"/>
        <v>0.39037906636625952</v>
      </c>
      <c r="AV51" s="222">
        <f>SUM(AV462:AV463)</f>
        <v>0.39037906636625952</v>
      </c>
      <c r="AW51" s="222">
        <f>SUM(AW462:AW463)</f>
        <v>0.39037906636625952</v>
      </c>
      <c r="AX51" s="222">
        <f>SUM(AX462:AX463)</f>
        <v>0.39037906636625952</v>
      </c>
      <c r="AY51" s="223">
        <f>AVERAGE(AU51:AX51)</f>
        <v>0.39037906636625952</v>
      </c>
      <c r="AZ51" s="221">
        <f>SUM(AZ462:AZ463)</f>
        <v>0.39037906636625952</v>
      </c>
      <c r="BA51" s="222">
        <f>SUM(BA462:BA463)</f>
        <v>0.39037906636625952</v>
      </c>
      <c r="BB51" s="222">
        <f>SUM(BB462:BB463)</f>
        <v>0.39037906636625952</v>
      </c>
      <c r="BC51" s="222">
        <f>BB51</f>
        <v>0.39037906636625952</v>
      </c>
      <c r="BD51" s="223">
        <f>AVERAGE(AZ51:BC51)</f>
        <v>0.39037906636625952</v>
      </c>
      <c r="BE51" s="221">
        <f>SUM(BE462:BE463)</f>
        <v>0.39037906636625952</v>
      </c>
      <c r="BF51" s="582">
        <f>SUM(BF462:BF463)</f>
        <v>0.39037906636625952</v>
      </c>
      <c r="BG51" s="222">
        <f t="shared" ref="BG51:BH51" si="87">SUM(BG462:BG463)</f>
        <v>0.39037906636625952</v>
      </c>
      <c r="BH51" s="582">
        <f t="shared" si="87"/>
        <v>0.39037906636625952</v>
      </c>
      <c r="BI51" s="595">
        <f>AVERAGE(BE51:BH51)</f>
        <v>0.39037906636625952</v>
      </c>
      <c r="BJ51" s="221">
        <f t="shared" ref="BJ51:BP51" si="88">SUM(BJ462:BJ463)</f>
        <v>0.39037906636625952</v>
      </c>
      <c r="BK51" s="222">
        <f t="shared" si="88"/>
        <v>0.39037906636625952</v>
      </c>
      <c r="BL51" s="222">
        <f t="shared" si="88"/>
        <v>0.39037906636625952</v>
      </c>
      <c r="BM51" s="222">
        <f t="shared" si="88"/>
        <v>0.39037906636625952</v>
      </c>
      <c r="BN51" s="223">
        <f>AVERAGE(BJ51:BM51)</f>
        <v>0.39037906636625952</v>
      </c>
      <c r="BO51" s="221">
        <f t="shared" si="88"/>
        <v>0.39037906636625952</v>
      </c>
      <c r="BP51" s="222">
        <f t="shared" si="88"/>
        <v>0.39037906636625952</v>
      </c>
      <c r="BQ51" s="711">
        <f>BP51</f>
        <v>0.39037906636625952</v>
      </c>
      <c r="BR51" s="582">
        <f t="shared" ref="BR51" si="89">SUM(BR462:BR463)</f>
        <v>0.39037906636625952</v>
      </c>
      <c r="BS51" s="223">
        <f>AVERAGE(BO51:BR51)</f>
        <v>0.39037906636625952</v>
      </c>
      <c r="BT51" s="221">
        <v>0.25</v>
      </c>
      <c r="BU51" s="222">
        <f>BT51</f>
        <v>0.25</v>
      </c>
      <c r="BV51" s="222">
        <f>BU51</f>
        <v>0.25</v>
      </c>
      <c r="BW51" s="222">
        <f>BV51</f>
        <v>0.25</v>
      </c>
      <c r="BX51" s="223">
        <f>AVERAGE(BT51:BW51)</f>
        <v>0.25</v>
      </c>
      <c r="BY51" s="221">
        <f>BW51</f>
        <v>0.25</v>
      </c>
      <c r="BZ51" s="222">
        <f>BY51</f>
        <v>0.25</v>
      </c>
      <c r="CA51" s="222">
        <f>BZ51</f>
        <v>0.25</v>
      </c>
      <c r="CB51" s="222">
        <f>CA51</f>
        <v>0.25</v>
      </c>
      <c r="CC51" s="223">
        <f>AVERAGE(BY51:CB51)</f>
        <v>0.25</v>
      </c>
      <c r="CD51" s="221">
        <f>CB51</f>
        <v>0.25</v>
      </c>
      <c r="CE51" s="222">
        <f>CD51</f>
        <v>0.25</v>
      </c>
      <c r="CF51" s="222">
        <f>CE51</f>
        <v>0.25</v>
      </c>
      <c r="CG51" s="222">
        <f>CF51</f>
        <v>0.25</v>
      </c>
      <c r="CH51" s="223">
        <f>AVERAGE(CD51:CG51)</f>
        <v>0.25</v>
      </c>
      <c r="CI51" s="221">
        <f>CG51</f>
        <v>0.25</v>
      </c>
      <c r="CJ51" s="222">
        <f>CI51</f>
        <v>0.25</v>
      </c>
      <c r="CK51" s="222">
        <f>CJ51</f>
        <v>0.25</v>
      </c>
      <c r="CL51" s="222">
        <f>CK51</f>
        <v>0.25</v>
      </c>
      <c r="CM51" s="223">
        <f>AVERAGE(CI51:CL51)</f>
        <v>0.25</v>
      </c>
      <c r="CN51" s="221">
        <f>CL51</f>
        <v>0.25</v>
      </c>
      <c r="CO51" s="222">
        <f>CN51</f>
        <v>0.25</v>
      </c>
      <c r="CP51" s="222">
        <f>CO51</f>
        <v>0.25</v>
      </c>
      <c r="CQ51" s="222">
        <f>CP51</f>
        <v>0.25</v>
      </c>
      <c r="CR51" s="223">
        <f>AVERAGE(CN51:CQ51)</f>
        <v>0.25</v>
      </c>
      <c r="CS51" s="221">
        <f>CQ51</f>
        <v>0.25</v>
      </c>
      <c r="CT51" s="222">
        <f>CS51</f>
        <v>0.25</v>
      </c>
      <c r="CU51" s="222">
        <f>CT51</f>
        <v>0.25</v>
      </c>
      <c r="CV51" s="222">
        <f>CU51</f>
        <v>0.25</v>
      </c>
      <c r="CW51" s="223">
        <f>AVERAGE(CS51:CV51)</f>
        <v>0.25</v>
      </c>
      <c r="CX51" s="221">
        <f>CV51</f>
        <v>0.25</v>
      </c>
      <c r="CY51" s="222">
        <f>CX51</f>
        <v>0.25</v>
      </c>
      <c r="CZ51" s="222">
        <f>CY51</f>
        <v>0.25</v>
      </c>
      <c r="DA51" s="222">
        <f>CZ51</f>
        <v>0.25</v>
      </c>
      <c r="DB51" s="223">
        <f>AVERAGE(CX51:DA51)</f>
        <v>0.25</v>
      </c>
      <c r="DC51" s="149"/>
      <c r="DD51" s="149"/>
      <c r="DE51" s="149"/>
      <c r="DF51" s="149"/>
      <c r="DG51" s="149"/>
      <c r="DH51" s="149"/>
      <c r="DI51" s="149"/>
      <c r="DJ51" s="149"/>
      <c r="DK51" s="400"/>
      <c r="DL51" s="400"/>
      <c r="DM51" s="66"/>
    </row>
    <row r="52" spans="1:117">
      <c r="A52" s="45" t="s">
        <v>640</v>
      </c>
      <c r="B52" s="155">
        <f t="shared" ref="B52:AI52" si="90">B48-B49</f>
        <v>105153</v>
      </c>
      <c r="C52" s="163">
        <f t="shared" si="90"/>
        <v>17789</v>
      </c>
      <c r="D52" s="4">
        <f t="shared" si="90"/>
        <v>16551</v>
      </c>
      <c r="E52" s="163">
        <f t="shared" si="90"/>
        <v>85180</v>
      </c>
      <c r="F52" s="219">
        <f t="shared" si="90"/>
        <v>224673</v>
      </c>
      <c r="G52" s="155">
        <f t="shared" si="90"/>
        <v>101778</v>
      </c>
      <c r="H52" s="163">
        <f t="shared" si="90"/>
        <v>17074</v>
      </c>
      <c r="I52" s="4">
        <f t="shared" si="90"/>
        <v>44614</v>
      </c>
      <c r="J52" s="163">
        <f t="shared" si="90"/>
        <v>73271.353981684108</v>
      </c>
      <c r="K52" s="219">
        <f t="shared" si="90"/>
        <v>236737.35398168411</v>
      </c>
      <c r="L52" s="155">
        <f t="shared" si="90"/>
        <v>128939.79822946161</v>
      </c>
      <c r="M52" s="163">
        <f t="shared" si="90"/>
        <v>7463.9776506121561</v>
      </c>
      <c r="N52" s="4">
        <f t="shared" si="90"/>
        <v>24390.953054605838</v>
      </c>
      <c r="O52" s="163">
        <f t="shared" si="90"/>
        <v>74518.758485016224</v>
      </c>
      <c r="P52" s="219">
        <f t="shared" si="90"/>
        <v>235313.48741969583</v>
      </c>
      <c r="Q52" s="155">
        <f t="shared" si="90"/>
        <v>151527.59810241911</v>
      </c>
      <c r="R52" s="163">
        <f t="shared" si="90"/>
        <v>35429.525783117271</v>
      </c>
      <c r="S52" s="4">
        <f t="shared" si="90"/>
        <v>13877.780430341683</v>
      </c>
      <c r="T52" s="163">
        <f t="shared" si="90"/>
        <v>102914.17774382148</v>
      </c>
      <c r="U52" s="219">
        <f t="shared" si="90"/>
        <v>303749.08205969958</v>
      </c>
      <c r="V52" s="155">
        <f t="shared" si="90"/>
        <v>143829.07492786276</v>
      </c>
      <c r="W52" s="163">
        <f t="shared" si="90"/>
        <v>41867.438483734535</v>
      </c>
      <c r="X52" s="4">
        <f t="shared" si="90"/>
        <v>57234.396576939798</v>
      </c>
      <c r="Y52" s="163">
        <f t="shared" si="90"/>
        <v>67566.207929167169</v>
      </c>
      <c r="Z52" s="219">
        <f t="shared" si="90"/>
        <v>310497.11791770428</v>
      </c>
      <c r="AA52" s="155">
        <f t="shared" si="90"/>
        <v>121880.2117000672</v>
      </c>
      <c r="AB52" s="163">
        <f t="shared" si="90"/>
        <v>39385.606047669869</v>
      </c>
      <c r="AC52" s="4">
        <f t="shared" si="90"/>
        <v>48761.352701687814</v>
      </c>
      <c r="AD52" s="163">
        <f t="shared" si="90"/>
        <v>92493.991343531365</v>
      </c>
      <c r="AE52" s="219">
        <f t="shared" si="90"/>
        <v>302521.16179295623</v>
      </c>
      <c r="AF52" s="155">
        <f t="shared" si="90"/>
        <v>155018.1620538361</v>
      </c>
      <c r="AG52" s="163">
        <f t="shared" si="90"/>
        <v>41890.426514882012</v>
      </c>
      <c r="AH52" s="4">
        <f t="shared" si="90"/>
        <v>49258.563770900029</v>
      </c>
      <c r="AI52" s="163">
        <f t="shared" si="90"/>
        <v>81694.756229099978</v>
      </c>
      <c r="AJ52" s="219">
        <f t="shared" ref="AJ52:AQ52" si="91">AJ48-AJ49</f>
        <v>327861.90856871818</v>
      </c>
      <c r="AK52" s="155">
        <f t="shared" si="91"/>
        <v>130440.9066761532</v>
      </c>
      <c r="AL52" s="368">
        <f t="shared" si="91"/>
        <v>55271.239637930354</v>
      </c>
      <c r="AM52" s="4">
        <f t="shared" si="91"/>
        <v>60363.063844420729</v>
      </c>
      <c r="AN52" s="163">
        <f t="shared" si="91"/>
        <v>114095.854800585</v>
      </c>
      <c r="AO52" s="219">
        <f t="shared" si="91"/>
        <v>360171.06495908927</v>
      </c>
      <c r="AP52" s="155">
        <f t="shared" si="91"/>
        <v>115069.91428119689</v>
      </c>
      <c r="AQ52" s="163">
        <f t="shared" si="91"/>
        <v>60137.106178109803</v>
      </c>
      <c r="AR52" s="4">
        <f t="shared" ref="AR52:AW52" si="92">AR48-AR49</f>
        <v>65475.040792126172</v>
      </c>
      <c r="AS52" s="163">
        <f t="shared" si="92"/>
        <v>107803.19481402426</v>
      </c>
      <c r="AT52" s="219">
        <f t="shared" si="92"/>
        <v>348485.25606545713</v>
      </c>
      <c r="AU52" s="155">
        <f t="shared" si="92"/>
        <v>112496.00554172101</v>
      </c>
      <c r="AV52" s="163">
        <f t="shared" si="92"/>
        <v>70123.778007035857</v>
      </c>
      <c r="AW52" s="4">
        <f t="shared" si="92"/>
        <v>73001.7</v>
      </c>
      <c r="AX52" s="163">
        <f t="shared" ref="AX52:BS52" si="93">AX48-AX49</f>
        <v>105436.64999999997</v>
      </c>
      <c r="AY52" s="219">
        <f t="shared" si="93"/>
        <v>361058.13354875671</v>
      </c>
      <c r="AZ52" s="155">
        <f t="shared" si="93"/>
        <v>91731.855685995499</v>
      </c>
      <c r="BA52" s="163">
        <f t="shared" si="93"/>
        <v>69608.75393493814</v>
      </c>
      <c r="BB52" s="4">
        <f t="shared" si="93"/>
        <v>82672.049999999988</v>
      </c>
      <c r="BC52" s="163">
        <f t="shared" si="93"/>
        <v>88679</v>
      </c>
      <c r="BD52" s="219">
        <f t="shared" si="93"/>
        <v>332691.65962093358</v>
      </c>
      <c r="BE52" s="155">
        <f t="shared" si="93"/>
        <v>60955.855685995492</v>
      </c>
      <c r="BF52" s="381">
        <f t="shared" si="93"/>
        <v>76523</v>
      </c>
      <c r="BG52" s="4">
        <f t="shared" si="93"/>
        <v>82883</v>
      </c>
      <c r="BH52" s="391">
        <f t="shared" si="93"/>
        <v>285469</v>
      </c>
      <c r="BI52" s="594">
        <f t="shared" si="93"/>
        <v>505830.85568599548</v>
      </c>
      <c r="BJ52" s="155">
        <f t="shared" si="93"/>
        <v>80192</v>
      </c>
      <c r="BK52" s="381">
        <f t="shared" si="93"/>
        <v>86584</v>
      </c>
      <c r="BL52" s="4">
        <f t="shared" si="93"/>
        <v>86400</v>
      </c>
      <c r="BM52" s="163">
        <f t="shared" si="93"/>
        <v>91279</v>
      </c>
      <c r="BN52" s="219">
        <f t="shared" si="93"/>
        <v>344455</v>
      </c>
      <c r="BO52" s="155">
        <f t="shared" si="93"/>
        <v>87368</v>
      </c>
      <c r="BP52" s="163">
        <f t="shared" si="93"/>
        <v>70839</v>
      </c>
      <c r="BQ52" s="4">
        <f t="shared" si="93"/>
        <v>165192</v>
      </c>
      <c r="BR52" s="381">
        <f t="shared" si="93"/>
        <v>62751</v>
      </c>
      <c r="BS52" s="219">
        <f t="shared" si="93"/>
        <v>386150</v>
      </c>
      <c r="BT52" s="155">
        <f t="shared" ref="BT52:DB52" si="94">BT48-BT49</f>
        <v>285936.57838600234</v>
      </c>
      <c r="BU52" s="163">
        <f t="shared" si="94"/>
        <v>248313.9339968047</v>
      </c>
      <c r="BV52" s="4">
        <f t="shared" si="94"/>
        <v>255478.68456303695</v>
      </c>
      <c r="BW52" s="163">
        <f t="shared" si="94"/>
        <v>249934.8743053028</v>
      </c>
      <c r="BX52" s="219">
        <f t="shared" si="94"/>
        <v>1039664.0712511481</v>
      </c>
      <c r="BY52" s="155">
        <f t="shared" si="94"/>
        <v>292403.48463770573</v>
      </c>
      <c r="BZ52" s="163">
        <f t="shared" si="94"/>
        <v>275765.96753641218</v>
      </c>
      <c r="CA52" s="4">
        <f t="shared" si="94"/>
        <v>279345.75341228978</v>
      </c>
      <c r="CB52" s="163">
        <f t="shared" si="94"/>
        <v>273249.10654840199</v>
      </c>
      <c r="CC52" s="219">
        <f t="shared" si="94"/>
        <v>1120764.3121348103</v>
      </c>
      <c r="CD52" s="155">
        <f t="shared" si="94"/>
        <v>292366.78482020559</v>
      </c>
      <c r="CE52" s="163">
        <f t="shared" si="94"/>
        <v>284570.33922731783</v>
      </c>
      <c r="CF52" s="4">
        <f t="shared" si="94"/>
        <v>296855.59130853985</v>
      </c>
      <c r="CG52" s="163">
        <f t="shared" si="94"/>
        <v>320206.80815364455</v>
      </c>
      <c r="CH52" s="219">
        <f t="shared" si="94"/>
        <v>1193999.5235097089</v>
      </c>
      <c r="CI52" s="155">
        <f t="shared" si="94"/>
        <v>310937.50238030578</v>
      </c>
      <c r="CJ52" s="163">
        <f t="shared" si="94"/>
        <v>311832.37583874224</v>
      </c>
      <c r="CK52" s="4">
        <f t="shared" si="94"/>
        <v>319242.94257601409</v>
      </c>
      <c r="CL52" s="163">
        <f t="shared" si="94"/>
        <v>356273.38522867608</v>
      </c>
      <c r="CM52" s="219">
        <f t="shared" si="94"/>
        <v>1298286.2060237366</v>
      </c>
      <c r="CN52" s="155">
        <f t="shared" si="94"/>
        <v>321306.62061370112</v>
      </c>
      <c r="CO52" s="163">
        <f t="shared" si="94"/>
        <v>325112.54473466007</v>
      </c>
      <c r="CP52" s="4">
        <f t="shared" si="94"/>
        <v>331771.99546180753</v>
      </c>
      <c r="CQ52" s="163">
        <f t="shared" si="94"/>
        <v>382345.05325040687</v>
      </c>
      <c r="CR52" s="219">
        <f t="shared" si="94"/>
        <v>1360536.2140605764</v>
      </c>
      <c r="CS52" s="155">
        <f t="shared" si="94"/>
        <v>330810.3057426351</v>
      </c>
      <c r="CT52" s="163">
        <f t="shared" si="94"/>
        <v>334748.62513157725</v>
      </c>
      <c r="CU52" s="4">
        <f t="shared" si="94"/>
        <v>341599.57583081274</v>
      </c>
      <c r="CV52" s="163">
        <f t="shared" si="94"/>
        <v>406626.65327452193</v>
      </c>
      <c r="CW52" s="219">
        <f t="shared" si="94"/>
        <v>1413785.1599795474</v>
      </c>
      <c r="CX52" s="155">
        <f t="shared" si="94"/>
        <v>346889.62883656833</v>
      </c>
      <c r="CY52" s="163">
        <f t="shared" si="94"/>
        <v>351076.7771276905</v>
      </c>
      <c r="CZ52" s="4">
        <f t="shared" si="94"/>
        <v>358175.17465246056</v>
      </c>
      <c r="DA52" s="163">
        <f t="shared" si="94"/>
        <v>429301.41023968498</v>
      </c>
      <c r="DB52" s="219">
        <f t="shared" si="94"/>
        <v>1485442.990856406</v>
      </c>
      <c r="DC52" s="163"/>
      <c r="DD52" s="163"/>
      <c r="DE52" s="163"/>
      <c r="DF52" s="163"/>
      <c r="DG52" s="163"/>
      <c r="DH52" s="163"/>
      <c r="DI52" s="163"/>
      <c r="DJ52" s="163"/>
      <c r="DK52" s="170"/>
      <c r="DL52" s="170"/>
      <c r="DM52" s="25"/>
    </row>
    <row r="53" spans="1:117">
      <c r="A53" s="43" t="s">
        <v>653</v>
      </c>
      <c r="B53" s="41"/>
      <c r="C53" s="40"/>
      <c r="D53" s="178"/>
      <c r="E53" s="40" t="s">
        <v>653</v>
      </c>
      <c r="F53" s="118"/>
      <c r="G53" s="41"/>
      <c r="H53" s="40"/>
      <c r="I53" s="178"/>
      <c r="J53" s="40" t="s">
        <v>653</v>
      </c>
      <c r="K53" s="118"/>
      <c r="L53" s="41"/>
      <c r="M53" s="40"/>
      <c r="N53" s="178"/>
      <c r="O53" s="40" t="s">
        <v>653</v>
      </c>
      <c r="P53" s="118"/>
      <c r="Q53" s="41"/>
      <c r="R53" s="40"/>
      <c r="S53" s="178"/>
      <c r="T53" s="40" t="s">
        <v>653</v>
      </c>
      <c r="U53" s="118"/>
      <c r="V53" s="41"/>
      <c r="W53" s="40"/>
      <c r="X53" s="178"/>
      <c r="Y53" s="40" t="s">
        <v>653</v>
      </c>
      <c r="Z53" s="118"/>
      <c r="AA53" s="41"/>
      <c r="AB53" s="38"/>
      <c r="AC53" s="38"/>
      <c r="AD53" s="38"/>
      <c r="AE53" s="118"/>
      <c r="AF53" s="19"/>
      <c r="AG53" s="18"/>
      <c r="AH53" s="38"/>
      <c r="AI53" s="18"/>
      <c r="AJ53" s="377"/>
      <c r="AK53" s="19"/>
      <c r="AL53" s="18"/>
      <c r="AM53" s="18"/>
      <c r="AN53" s="18"/>
      <c r="AO53" s="377"/>
      <c r="AP53" s="19"/>
      <c r="AQ53" s="18"/>
      <c r="AR53" s="18"/>
      <c r="AS53" s="18"/>
      <c r="AT53" s="377"/>
      <c r="AU53" s="19"/>
      <c r="AV53" s="18"/>
      <c r="AW53" s="18"/>
      <c r="AX53" s="18"/>
      <c r="AY53" s="118"/>
      <c r="AZ53" s="19"/>
      <c r="BA53" s="18"/>
      <c r="BB53" s="18"/>
      <c r="BC53" s="18"/>
      <c r="BD53" s="118"/>
      <c r="BE53" s="19"/>
      <c r="BF53" s="18"/>
      <c r="BG53" s="18"/>
      <c r="BH53" s="18"/>
      <c r="BI53" s="118"/>
      <c r="BJ53" s="19"/>
      <c r="BK53" s="18"/>
      <c r="BL53" s="18"/>
      <c r="BM53" s="18"/>
      <c r="BN53" s="118"/>
      <c r="BO53" s="19"/>
      <c r="BP53" s="18"/>
      <c r="BQ53" s="18"/>
      <c r="BR53" s="18"/>
      <c r="BS53" s="118"/>
      <c r="BT53" s="19"/>
      <c r="BU53" s="18"/>
      <c r="BV53" s="18"/>
      <c r="BW53" s="18"/>
      <c r="BX53" s="118"/>
      <c r="BY53" s="19"/>
      <c r="BZ53" s="18"/>
      <c r="CA53" s="18"/>
      <c r="CB53" s="18"/>
      <c r="CC53" s="118"/>
      <c r="CD53" s="19"/>
      <c r="CE53" s="18"/>
      <c r="CF53" s="18"/>
      <c r="CG53" s="18"/>
      <c r="CH53" s="118"/>
      <c r="CI53" s="19"/>
      <c r="CJ53" s="18"/>
      <c r="CK53" s="18"/>
      <c r="CL53" s="18"/>
      <c r="CM53" s="118"/>
      <c r="CN53" s="19"/>
      <c r="CO53" s="18"/>
      <c r="CP53" s="18"/>
      <c r="CQ53" s="18"/>
      <c r="CR53" s="118"/>
      <c r="CS53" s="19"/>
      <c r="CT53" s="18"/>
      <c r="CU53" s="18"/>
      <c r="CV53" s="18"/>
      <c r="CW53" s="118"/>
      <c r="CX53" s="19"/>
      <c r="CY53" s="18"/>
      <c r="CZ53" s="18"/>
      <c r="DA53" s="18"/>
      <c r="DB53" s="118"/>
      <c r="DC53" s="40"/>
      <c r="DD53" s="40"/>
      <c r="DE53" s="40"/>
      <c r="DF53" s="40"/>
      <c r="DG53" s="40"/>
      <c r="DH53" s="40"/>
      <c r="DI53" s="40"/>
      <c r="DJ53" s="40"/>
      <c r="DK53" s="185"/>
      <c r="DL53" s="185"/>
      <c r="DM53" s="18"/>
    </row>
    <row r="54" spans="1:117">
      <c r="A54" s="52" t="s">
        <v>64</v>
      </c>
      <c r="B54" s="190"/>
      <c r="C54" s="191"/>
      <c r="D54" s="192"/>
      <c r="E54" s="191"/>
      <c r="F54" s="193"/>
      <c r="G54" s="190"/>
      <c r="H54" s="191"/>
      <c r="I54" s="192"/>
      <c r="J54" s="191"/>
      <c r="K54" s="193"/>
      <c r="L54" s="190"/>
      <c r="M54" s="191"/>
      <c r="N54" s="192"/>
      <c r="O54" s="191"/>
      <c r="P54" s="193"/>
      <c r="Q54" s="190"/>
      <c r="R54" s="191"/>
      <c r="S54" s="192"/>
      <c r="T54" s="191"/>
      <c r="U54" s="193"/>
      <c r="V54" s="190"/>
      <c r="W54" s="191"/>
      <c r="X54" s="192"/>
      <c r="Y54" s="191"/>
      <c r="Z54" s="193"/>
      <c r="AA54" s="190"/>
      <c r="AB54" s="81"/>
      <c r="AC54" s="81"/>
      <c r="AD54" s="81"/>
      <c r="AE54" s="193"/>
      <c r="AF54" s="22"/>
      <c r="AG54" s="81"/>
      <c r="AH54" s="81"/>
      <c r="AI54" s="21"/>
      <c r="AJ54" s="378"/>
      <c r="AK54" s="22"/>
      <c r="AL54" s="21"/>
      <c r="AM54" s="21"/>
      <c r="AN54" s="21"/>
      <c r="AO54" s="193"/>
      <c r="AP54" s="457"/>
      <c r="AQ54" s="21"/>
      <c r="AR54" s="21"/>
      <c r="AS54" s="21"/>
      <c r="AT54" s="193"/>
      <c r="AU54" s="22"/>
      <c r="AV54" s="21"/>
      <c r="AW54" s="21"/>
      <c r="AX54" s="21"/>
      <c r="AY54" s="193"/>
      <c r="AZ54" s="22"/>
      <c r="BA54" s="21"/>
      <c r="BB54" s="21"/>
      <c r="BC54" s="21"/>
      <c r="BD54" s="193"/>
      <c r="BE54" s="22"/>
      <c r="BF54" s="21"/>
      <c r="BG54" s="21"/>
      <c r="BH54" s="21"/>
      <c r="BI54" s="193"/>
      <c r="BJ54" s="22"/>
      <c r="BK54" s="21"/>
      <c r="BL54" s="21"/>
      <c r="BM54" s="21"/>
      <c r="BN54" s="193"/>
      <c r="BO54" s="22"/>
      <c r="BP54" s="21"/>
      <c r="BQ54" s="21"/>
      <c r="BR54" s="21"/>
      <c r="BS54" s="193"/>
      <c r="BT54" s="22"/>
      <c r="BU54" s="21"/>
      <c r="BV54" s="21"/>
      <c r="BW54" s="21"/>
      <c r="BX54" s="193"/>
      <c r="BY54" s="22"/>
      <c r="BZ54" s="21"/>
      <c r="CA54" s="21"/>
      <c r="CB54" s="21"/>
      <c r="CC54" s="193"/>
      <c r="CD54" s="22"/>
      <c r="CE54" s="21"/>
      <c r="CF54" s="21"/>
      <c r="CG54" s="21"/>
      <c r="CH54" s="193"/>
      <c r="CI54" s="22"/>
      <c r="CJ54" s="21"/>
      <c r="CK54" s="21"/>
      <c r="CL54" s="21"/>
      <c r="CM54" s="193"/>
      <c r="CN54" s="22"/>
      <c r="CO54" s="21"/>
      <c r="CP54" s="21"/>
      <c r="CQ54" s="21"/>
      <c r="CR54" s="193"/>
      <c r="CS54" s="22"/>
      <c r="CT54" s="21"/>
      <c r="CU54" s="21"/>
      <c r="CV54" s="21"/>
      <c r="CW54" s="193"/>
      <c r="CX54" s="22"/>
      <c r="CY54" s="21"/>
      <c r="CZ54" s="21"/>
      <c r="DA54" s="21"/>
      <c r="DB54" s="193"/>
      <c r="DC54" s="40"/>
      <c r="DD54" s="40"/>
      <c r="DE54" s="40"/>
      <c r="DF54" s="40"/>
      <c r="DG54" s="40"/>
      <c r="DH54" s="40"/>
      <c r="DI54" s="40"/>
      <c r="DJ54" s="40"/>
      <c r="DK54" s="185"/>
      <c r="DL54" s="185"/>
      <c r="DM54" s="18"/>
    </row>
    <row r="55" spans="1:117">
      <c r="A55" s="46" t="s">
        <v>350</v>
      </c>
      <c r="B55" s="41">
        <v>0</v>
      </c>
      <c r="C55" s="40">
        <v>0</v>
      </c>
      <c r="D55" s="178">
        <v>4288</v>
      </c>
      <c r="E55" s="162">
        <f>F55-SUM(B55:D55)</f>
        <v>13217</v>
      </c>
      <c r="F55" s="118">
        <v>17505</v>
      </c>
      <c r="G55" s="41">
        <v>5886</v>
      </c>
      <c r="H55" s="40">
        <v>7778</v>
      </c>
      <c r="I55" s="3">
        <f>-19582+151355</f>
        <v>131773</v>
      </c>
      <c r="J55" s="162">
        <f>K55-SUM(G55:I55)</f>
        <v>-2040</v>
      </c>
      <c r="K55" s="224">
        <f>-6180+149577</f>
        <v>143397</v>
      </c>
      <c r="L55" s="41">
        <v>-247</v>
      </c>
      <c r="M55" s="40">
        <v>-150</v>
      </c>
      <c r="N55" s="178">
        <v>-13</v>
      </c>
      <c r="O55" s="162">
        <f>P55-SUM(L55:N55)</f>
        <v>45</v>
      </c>
      <c r="P55" s="118">
        <v>-365</v>
      </c>
      <c r="Q55" s="41">
        <v>0</v>
      </c>
      <c r="R55" s="40">
        <v>0</v>
      </c>
      <c r="S55" s="178">
        <v>0</v>
      </c>
      <c r="T55" s="162">
        <f>U55-SUM(Q55:S55)</f>
        <v>0</v>
      </c>
      <c r="U55" s="118">
        <v>0</v>
      </c>
      <c r="V55" s="41">
        <v>0</v>
      </c>
      <c r="W55" s="40">
        <v>0</v>
      </c>
      <c r="X55" s="178">
        <v>0</v>
      </c>
      <c r="Y55" s="162">
        <f>Z55-SUM(V55:X55)</f>
        <v>0</v>
      </c>
      <c r="Z55" s="118">
        <v>0</v>
      </c>
      <c r="AA55" s="41">
        <v>0</v>
      </c>
      <c r="AB55" s="38">
        <v>0</v>
      </c>
      <c r="AC55" s="38">
        <v>0</v>
      </c>
      <c r="AD55" s="38">
        <v>0</v>
      </c>
      <c r="AE55" s="224">
        <f>SUM(AA55:AD55)</f>
        <v>0</v>
      </c>
      <c r="AF55" s="19"/>
      <c r="AG55" s="18"/>
      <c r="AH55" s="18"/>
      <c r="AI55" s="18"/>
      <c r="AJ55" s="224">
        <f>SUM(AF55:AI55)</f>
        <v>0</v>
      </c>
      <c r="AK55" s="19"/>
      <c r="AL55" s="18"/>
      <c r="AM55" s="18"/>
      <c r="AN55" s="485">
        <v>1010</v>
      </c>
      <c r="AO55" s="224">
        <f>SUM(AK55:AN55)</f>
        <v>1010</v>
      </c>
      <c r="AP55" s="19"/>
      <c r="AQ55" s="484">
        <v>267</v>
      </c>
      <c r="AR55" s="18"/>
      <c r="AS55" s="485"/>
      <c r="AT55" s="224">
        <f>SUM(AP55:AS55)</f>
        <v>267</v>
      </c>
      <c r="AU55" s="19"/>
      <c r="AV55" s="484"/>
      <c r="AW55" s="18"/>
      <c r="AX55" s="18"/>
      <c r="AY55" s="224">
        <f>SUM(AU55:AX55)</f>
        <v>0</v>
      </c>
      <c r="AZ55" s="546">
        <v>1774</v>
      </c>
      <c r="BA55" s="547">
        <v>-8009</v>
      </c>
      <c r="BB55" s="547">
        <f>-76400*(0.25)</f>
        <v>-19100</v>
      </c>
      <c r="BC55" s="547">
        <v>799</v>
      </c>
      <c r="BD55" s="224">
        <f>SUM(AZ55:BC55)</f>
        <v>-24536</v>
      </c>
      <c r="BE55" s="546">
        <v>-144</v>
      </c>
      <c r="BF55" s="18"/>
      <c r="BG55" s="18"/>
      <c r="BH55" s="18">
        <v>-1937</v>
      </c>
      <c r="BI55" s="224">
        <f>SUM(BE55:BH55)</f>
        <v>-2081</v>
      </c>
      <c r="BJ55" s="19">
        <v>-952</v>
      </c>
      <c r="BK55" s="18">
        <v>-227</v>
      </c>
      <c r="BL55" s="18"/>
      <c r="BM55" s="18">
        <v>-872</v>
      </c>
      <c r="BN55" s="224">
        <f>SUM(BJ55:BM55)</f>
        <v>-2051</v>
      </c>
      <c r="BO55" s="19">
        <v>0</v>
      </c>
      <c r="BP55" s="18">
        <v>0</v>
      </c>
      <c r="BQ55" s="18">
        <v>0</v>
      </c>
      <c r="BR55" s="18">
        <v>0</v>
      </c>
      <c r="BS55" s="224">
        <f>SUM(BO55:BR55)</f>
        <v>0</v>
      </c>
      <c r="BT55" s="19"/>
      <c r="BU55" s="18"/>
      <c r="BV55" s="18"/>
      <c r="BW55" s="18"/>
      <c r="BX55" s="224">
        <f>SUM(BT55:BW55)</f>
        <v>0</v>
      </c>
      <c r="BY55" s="19"/>
      <c r="BZ55" s="18"/>
      <c r="CA55" s="18"/>
      <c r="CB55" s="18"/>
      <c r="CC55" s="224">
        <f>SUM(BY55:CB55)</f>
        <v>0</v>
      </c>
      <c r="CD55" s="19"/>
      <c r="CE55" s="18"/>
      <c r="CF55" s="18"/>
      <c r="CG55" s="18"/>
      <c r="CH55" s="224">
        <f>SUM(CD55:CG55)</f>
        <v>0</v>
      </c>
      <c r="CI55" s="19"/>
      <c r="CJ55" s="18"/>
      <c r="CK55" s="18"/>
      <c r="CL55" s="18"/>
      <c r="CM55" s="224">
        <f>SUM(CI55:CL55)</f>
        <v>0</v>
      </c>
      <c r="CN55" s="19"/>
      <c r="CO55" s="18"/>
      <c r="CP55" s="18"/>
      <c r="CQ55" s="18"/>
      <c r="CR55" s="224">
        <f>SUM(CN55:CQ55)</f>
        <v>0</v>
      </c>
      <c r="CS55" s="19"/>
      <c r="CT55" s="18"/>
      <c r="CU55" s="18"/>
      <c r="CV55" s="18"/>
      <c r="CW55" s="224">
        <f>SUM(CS55:CV55)</f>
        <v>0</v>
      </c>
      <c r="CX55" s="19"/>
      <c r="CY55" s="18"/>
      <c r="CZ55" s="18"/>
      <c r="DA55" s="18"/>
      <c r="DB55" s="224">
        <f>SUM(CX55:DA55)</f>
        <v>0</v>
      </c>
      <c r="DC55" s="162"/>
      <c r="DD55" s="162"/>
      <c r="DE55" s="162"/>
      <c r="DF55" s="162"/>
      <c r="DG55" s="162"/>
      <c r="DH55" s="162"/>
      <c r="DI55" s="162"/>
      <c r="DJ55" s="162"/>
      <c r="DK55" s="399"/>
      <c r="DL55" s="399"/>
      <c r="DM55" s="18"/>
    </row>
    <row r="56" spans="1:117">
      <c r="A56" s="58" t="s">
        <v>741</v>
      </c>
      <c r="B56" s="190">
        <v>0</v>
      </c>
      <c r="C56" s="191">
        <v>0</v>
      </c>
      <c r="D56" s="192">
        <v>0</v>
      </c>
      <c r="E56" s="225">
        <f>F56-SUM(B56:D56)</f>
        <v>0</v>
      </c>
      <c r="F56" s="193">
        <v>0</v>
      </c>
      <c r="G56" s="190">
        <v>0</v>
      </c>
      <c r="H56" s="191">
        <v>0</v>
      </c>
      <c r="I56" s="192">
        <v>0</v>
      </c>
      <c r="J56" s="225">
        <f>K56-SUM(G56:I56)</f>
        <v>166410.64601831589</v>
      </c>
      <c r="K56" s="226">
        <f>269040*(1-K51)</f>
        <v>166410.64601831589</v>
      </c>
      <c r="L56" s="227">
        <f>1305*(1-L51)</f>
        <v>799.20177053838518</v>
      </c>
      <c r="M56" s="225">
        <f>115087*(1-M51)</f>
        <v>70481.022349387844</v>
      </c>
      <c r="N56" s="225">
        <f>36*(1-N51)</f>
        <v>22.04694539416235</v>
      </c>
      <c r="O56" s="225">
        <f>P56-SUM(L56:N56)</f>
        <v>61.241514983776142</v>
      </c>
      <c r="P56" s="226">
        <f>116528*(1-P51)</f>
        <v>71363.512580304174</v>
      </c>
      <c r="Q56" s="227">
        <f>2203*(1-Q51)</f>
        <v>1352.4018975808858</v>
      </c>
      <c r="R56" s="225">
        <f>-369*(1-R51)</f>
        <v>-226.52578311727046</v>
      </c>
      <c r="S56" s="225">
        <f>59*(1-S51)</f>
        <v>36.219569658316956</v>
      </c>
      <c r="T56" s="225">
        <f>U56-SUM(Q56:S56)</f>
        <v>9.8222561785266862</v>
      </c>
      <c r="U56" s="226">
        <f>1909*(1-U51)</f>
        <v>1171.9179403004589</v>
      </c>
      <c r="V56" s="227">
        <f>13*(1-V51)</f>
        <v>7.9250721372386259</v>
      </c>
      <c r="W56" s="225">
        <f>-4*(1-W51)</f>
        <v>-2.4384837345349619</v>
      </c>
      <c r="X56" s="225">
        <f>1310*(1-X51)</f>
        <v>798.60342306020004</v>
      </c>
      <c r="Y56" s="225">
        <f>Z56-SUM(V56:X56)</f>
        <v>607.79207083283927</v>
      </c>
      <c r="Z56" s="226">
        <f>2316*(1-Z51)</f>
        <v>1411.882082295743</v>
      </c>
      <c r="AA56" s="227">
        <f>664*(1-AA51)</f>
        <v>404.78829993280368</v>
      </c>
      <c r="AB56" s="225">
        <f>3762*(1-AB51)</f>
        <v>2293.3939523301315</v>
      </c>
      <c r="AC56" s="225">
        <f>-1180*(1-AC51)</f>
        <v>-719.35270168781381</v>
      </c>
      <c r="AD56" s="225">
        <f>1560*(1-AD51)</f>
        <v>951.00865646863519</v>
      </c>
      <c r="AE56" s="226">
        <f>SUM(AA56:AD56)</f>
        <v>2929.8382070437565</v>
      </c>
      <c r="AF56" s="227">
        <f>-786*(1-AF51)</f>
        <v>-479.16205383612004</v>
      </c>
      <c r="AG56" s="225">
        <f>-273*(1-AG51)</f>
        <v>-166.42651488201116</v>
      </c>
      <c r="AH56" s="225">
        <f>0.45*16126*(1-AH51)</f>
        <v>4423.8362290999648</v>
      </c>
      <c r="AI56" s="225">
        <f>0.45*3551*(1-AI51)</f>
        <v>974.14377090003563</v>
      </c>
      <c r="AJ56" s="226">
        <f>SUM(AF56:AI56)</f>
        <v>4752.3914312818688</v>
      </c>
      <c r="AK56" s="227">
        <f>-510*(1-AK51)</f>
        <v>-310.90667615320763</v>
      </c>
      <c r="AL56" s="225">
        <f>-212*(1-AL51)</f>
        <v>-129.23963793035298</v>
      </c>
      <c r="AM56" s="225">
        <f>-69*(1-AM51)</f>
        <v>-42.063844420728095</v>
      </c>
      <c r="AN56" s="225">
        <f>-172*(1-AN51)</f>
        <v>-104.85480058500336</v>
      </c>
      <c r="AO56" s="226">
        <f>SUM(AK56:AN56)</f>
        <v>-587.06495908929207</v>
      </c>
      <c r="AP56" s="227">
        <f>((-10255+57)*(1-AP51))+762+13250</f>
        <v>7795.085718803115</v>
      </c>
      <c r="AQ56" s="225">
        <f>966*(1-AQ51)</f>
        <v>588.89382189019329</v>
      </c>
      <c r="AR56" s="225">
        <f>-420*(1-AR51)</f>
        <v>-256.04079212617103</v>
      </c>
      <c r="AS56" s="225">
        <f>6133*(1-AS51)</f>
        <v>3738.8051859757302</v>
      </c>
      <c r="AT56" s="226">
        <f>SUM(AP56:AS56)</f>
        <v>11866.743934542867</v>
      </c>
      <c r="AU56" s="227">
        <f>(41*(1-AU51))</f>
        <v>24.994458278983359</v>
      </c>
      <c r="AV56" s="225">
        <f>(279*(1-AV51))-(113800*(1-AV51))</f>
        <v>-69204.778007035842</v>
      </c>
      <c r="AW56" s="225">
        <f>(-16400*(1-0.35))+(22*(1-0.35))</f>
        <v>-10645.7</v>
      </c>
      <c r="AX56" s="225">
        <f>(11539*(1-0.35))-(((5300+16900)/0.65)*(1-0.35))</f>
        <v>-14699.650000000003</v>
      </c>
      <c r="AY56" s="226">
        <f>SUM(AU56:AX56)</f>
        <v>-94525.133548756858</v>
      </c>
      <c r="AZ56" s="548">
        <f>(15*(1-AZ51))</f>
        <v>9.1443140045061071</v>
      </c>
      <c r="BA56" s="549">
        <f>-16*(1-BA51)</f>
        <v>-9.7539349381398477</v>
      </c>
      <c r="BB56" s="549">
        <f>(-171*(1-0.35))+(1534*(1-0.35))</f>
        <v>885.95</v>
      </c>
      <c r="BC56" s="549">
        <v>5066</v>
      </c>
      <c r="BD56" s="226">
        <f>SUM(AZ56:BC56)</f>
        <v>5951.340379066366</v>
      </c>
      <c r="BE56" s="548">
        <v>-6</v>
      </c>
      <c r="BF56" s="21">
        <f>-140+122</f>
        <v>-18</v>
      </c>
      <c r="BG56" s="21">
        <v>-726</v>
      </c>
      <c r="BH56" s="21">
        <f>-83673+6239-180583</f>
        <v>-258017</v>
      </c>
      <c r="BI56" s="226">
        <f>SUM(BE56:BH56)</f>
        <v>-258767</v>
      </c>
      <c r="BJ56" s="22">
        <v>4206</v>
      </c>
      <c r="BK56" s="21">
        <v>-413</v>
      </c>
      <c r="BL56" s="21">
        <v>5744</v>
      </c>
      <c r="BM56" s="21">
        <v>98</v>
      </c>
      <c r="BN56" s="226">
        <f>SUM(BJ56:BM56)</f>
        <v>9635</v>
      </c>
      <c r="BO56" s="22">
        <v>-7</v>
      </c>
      <c r="BP56" s="21">
        <v>637</v>
      </c>
      <c r="BQ56" s="21">
        <v>274</v>
      </c>
      <c r="BR56" s="21">
        <v>20</v>
      </c>
      <c r="BS56" s="226">
        <f>SUM(BO56:BR56)</f>
        <v>924</v>
      </c>
      <c r="BT56" s="22"/>
      <c r="BU56" s="21"/>
      <c r="BV56" s="21"/>
      <c r="BW56" s="21"/>
      <c r="BX56" s="226">
        <f>SUM(BT56:BW56)</f>
        <v>0</v>
      </c>
      <c r="BY56" s="22"/>
      <c r="BZ56" s="21"/>
      <c r="CA56" s="21"/>
      <c r="CB56" s="21"/>
      <c r="CC56" s="226">
        <f>SUM(BY56:CB56)</f>
        <v>0</v>
      </c>
      <c r="CD56" s="22"/>
      <c r="CE56" s="21"/>
      <c r="CF56" s="21"/>
      <c r="CG56" s="21"/>
      <c r="CH56" s="226">
        <f>SUM(CD56:CG56)</f>
        <v>0</v>
      </c>
      <c r="CI56" s="22"/>
      <c r="CJ56" s="21"/>
      <c r="CK56" s="21"/>
      <c r="CL56" s="21"/>
      <c r="CM56" s="226">
        <f>SUM(CI56:CL56)</f>
        <v>0</v>
      </c>
      <c r="CN56" s="22"/>
      <c r="CO56" s="21"/>
      <c r="CP56" s="21"/>
      <c r="CQ56" s="21"/>
      <c r="CR56" s="226">
        <f>SUM(CN56:CQ56)</f>
        <v>0</v>
      </c>
      <c r="CS56" s="22"/>
      <c r="CT56" s="21"/>
      <c r="CU56" s="21"/>
      <c r="CV56" s="21"/>
      <c r="CW56" s="226">
        <f>SUM(CS56:CV56)</f>
        <v>0</v>
      </c>
      <c r="CX56" s="22"/>
      <c r="CY56" s="21"/>
      <c r="CZ56" s="21"/>
      <c r="DA56" s="21"/>
      <c r="DB56" s="226">
        <f>SUM(CX56:DA56)</f>
        <v>0</v>
      </c>
      <c r="DC56" s="162"/>
      <c r="DD56" s="162"/>
      <c r="DE56" s="162"/>
      <c r="DF56" s="162"/>
      <c r="DG56" s="162"/>
      <c r="DH56" s="162"/>
      <c r="DI56" s="162"/>
      <c r="DJ56" s="162"/>
      <c r="DK56" s="399"/>
      <c r="DL56" s="399"/>
      <c r="DM56" s="18"/>
    </row>
    <row r="57" spans="1:117">
      <c r="A57" s="47" t="s">
        <v>149</v>
      </c>
      <c r="B57" s="155">
        <f t="shared" ref="B57:Z57" si="95">B52+SUM(B55:B56)</f>
        <v>105153</v>
      </c>
      <c r="C57" s="163">
        <f t="shared" si="95"/>
        <v>17789</v>
      </c>
      <c r="D57" s="4">
        <f t="shared" si="95"/>
        <v>20839</v>
      </c>
      <c r="E57" s="163">
        <f t="shared" si="95"/>
        <v>98397</v>
      </c>
      <c r="F57" s="219">
        <f t="shared" si="95"/>
        <v>242178</v>
      </c>
      <c r="G57" s="155">
        <f t="shared" si="95"/>
        <v>107664</v>
      </c>
      <c r="H57" s="163">
        <f t="shared" si="95"/>
        <v>24852</v>
      </c>
      <c r="I57" s="4">
        <f t="shared" si="95"/>
        <v>176387</v>
      </c>
      <c r="J57" s="163">
        <f t="shared" si="95"/>
        <v>237642</v>
      </c>
      <c r="K57" s="219">
        <f t="shared" si="95"/>
        <v>546545</v>
      </c>
      <c r="L57" s="155">
        <f t="shared" si="95"/>
        <v>129492</v>
      </c>
      <c r="M57" s="163">
        <f t="shared" si="95"/>
        <v>77795</v>
      </c>
      <c r="N57" s="4">
        <f t="shared" si="95"/>
        <v>24400</v>
      </c>
      <c r="O57" s="163">
        <f t="shared" si="95"/>
        <v>74625</v>
      </c>
      <c r="P57" s="219">
        <f t="shared" si="95"/>
        <v>306312</v>
      </c>
      <c r="Q57" s="155">
        <f t="shared" si="95"/>
        <v>152880</v>
      </c>
      <c r="R57" s="163">
        <f t="shared" si="95"/>
        <v>35203</v>
      </c>
      <c r="S57" s="4">
        <f t="shared" si="95"/>
        <v>13914</v>
      </c>
      <c r="T57" s="163">
        <f t="shared" si="95"/>
        <v>102924</v>
      </c>
      <c r="U57" s="219">
        <f t="shared" si="95"/>
        <v>304921.00000000006</v>
      </c>
      <c r="V57" s="155">
        <f t="shared" si="95"/>
        <v>143837</v>
      </c>
      <c r="W57" s="163">
        <f t="shared" si="95"/>
        <v>41865</v>
      </c>
      <c r="X57" s="4">
        <f t="shared" si="95"/>
        <v>58033</v>
      </c>
      <c r="Y57" s="163">
        <f t="shared" si="95"/>
        <v>68174.000000000015</v>
      </c>
      <c r="Z57" s="219">
        <f t="shared" si="95"/>
        <v>311909</v>
      </c>
      <c r="AA57" s="155">
        <f t="shared" ref="AA57:BD57" si="96">AA52+SUM(AA55:AA56)</f>
        <v>122285</v>
      </c>
      <c r="AB57" s="163">
        <f t="shared" si="96"/>
        <v>41679</v>
      </c>
      <c r="AC57" s="4">
        <f t="shared" si="96"/>
        <v>48042</v>
      </c>
      <c r="AD57" s="163">
        <f t="shared" si="96"/>
        <v>93445</v>
      </c>
      <c r="AE57" s="219">
        <f t="shared" si="96"/>
        <v>305451</v>
      </c>
      <c r="AF57" s="155">
        <f t="shared" si="96"/>
        <v>154538.99999999997</v>
      </c>
      <c r="AG57" s="163">
        <f t="shared" si="96"/>
        <v>41724</v>
      </c>
      <c r="AH57" s="4">
        <f t="shared" si="96"/>
        <v>53682.399999999994</v>
      </c>
      <c r="AI57" s="163">
        <f t="shared" si="96"/>
        <v>82668.900000000009</v>
      </c>
      <c r="AJ57" s="219">
        <f t="shared" si="96"/>
        <v>332614.30000000005</v>
      </c>
      <c r="AK57" s="155">
        <f t="shared" si="96"/>
        <v>130130</v>
      </c>
      <c r="AL57" s="368">
        <f>AL52+SUM(AL55:AL56)</f>
        <v>55142</v>
      </c>
      <c r="AM57" s="4">
        <f t="shared" si="96"/>
        <v>60321</v>
      </c>
      <c r="AN57" s="163">
        <f t="shared" si="96"/>
        <v>115001</v>
      </c>
      <c r="AO57" s="219">
        <f t="shared" si="96"/>
        <v>360594</v>
      </c>
      <c r="AP57" s="155">
        <f t="shared" si="96"/>
        <v>122865</v>
      </c>
      <c r="AQ57" s="163">
        <f t="shared" si="96"/>
        <v>60993</v>
      </c>
      <c r="AR57" s="4">
        <f t="shared" si="96"/>
        <v>65219</v>
      </c>
      <c r="AS57" s="163">
        <f>AS52+SUM(AS55:AS56)</f>
        <v>111541.99999999999</v>
      </c>
      <c r="AT57" s="219">
        <f>AT52+SUM(AT55:AT56)</f>
        <v>360619</v>
      </c>
      <c r="AU57" s="155">
        <f t="shared" si="96"/>
        <v>112521</v>
      </c>
      <c r="AV57" s="163">
        <f t="shared" si="96"/>
        <v>919.00000000001455</v>
      </c>
      <c r="AW57" s="4">
        <f t="shared" si="96"/>
        <v>62356</v>
      </c>
      <c r="AX57" s="163">
        <f t="shared" si="96"/>
        <v>90736.999999999956</v>
      </c>
      <c r="AY57" s="219">
        <f t="shared" si="96"/>
        <v>266532.99999999988</v>
      </c>
      <c r="AZ57" s="155">
        <f t="shared" si="96"/>
        <v>93515</v>
      </c>
      <c r="BA57" s="163">
        <f t="shared" si="96"/>
        <v>61590</v>
      </c>
      <c r="BB57" s="4">
        <f t="shared" si="96"/>
        <v>64457.999999999985</v>
      </c>
      <c r="BC57" s="163">
        <f t="shared" si="96"/>
        <v>94544</v>
      </c>
      <c r="BD57" s="219">
        <f t="shared" si="96"/>
        <v>314106.99999999994</v>
      </c>
      <c r="BE57" s="155">
        <f>BE52+SUM(BE55:BE56)</f>
        <v>60805.855685995492</v>
      </c>
      <c r="BF57" s="381">
        <f>BF52+SUM(BF55:BF56)</f>
        <v>76505</v>
      </c>
      <c r="BG57" s="4">
        <f t="shared" ref="BG57:BS57" si="97">BG52+SUM(BG55:BG56)</f>
        <v>82157</v>
      </c>
      <c r="BH57" s="391">
        <f t="shared" si="97"/>
        <v>25515</v>
      </c>
      <c r="BI57" s="594">
        <f t="shared" si="97"/>
        <v>244982.85568599548</v>
      </c>
      <c r="BJ57" s="155">
        <f t="shared" si="97"/>
        <v>83446</v>
      </c>
      <c r="BK57" s="381">
        <f t="shared" si="97"/>
        <v>85944</v>
      </c>
      <c r="BL57" s="4">
        <f t="shared" si="97"/>
        <v>92144</v>
      </c>
      <c r="BM57" s="163">
        <f t="shared" si="97"/>
        <v>90505</v>
      </c>
      <c r="BN57" s="219">
        <f t="shared" si="97"/>
        <v>352039</v>
      </c>
      <c r="BO57" s="155">
        <f t="shared" si="97"/>
        <v>87361</v>
      </c>
      <c r="BP57" s="163">
        <f t="shared" si="97"/>
        <v>71476</v>
      </c>
      <c r="BQ57" s="4">
        <f t="shared" si="97"/>
        <v>165466</v>
      </c>
      <c r="BR57" s="381">
        <f t="shared" si="97"/>
        <v>62771</v>
      </c>
      <c r="BS57" s="219">
        <f t="shared" si="97"/>
        <v>387074</v>
      </c>
      <c r="BT57" s="155">
        <f t="shared" ref="BT57:DB57" si="98">BT52+SUM(BT55:BT56)</f>
        <v>285936.57838600234</v>
      </c>
      <c r="BU57" s="163">
        <f t="shared" si="98"/>
        <v>248313.9339968047</v>
      </c>
      <c r="BV57" s="4">
        <f t="shared" si="98"/>
        <v>255478.68456303695</v>
      </c>
      <c r="BW57" s="163">
        <f t="shared" si="98"/>
        <v>249934.8743053028</v>
      </c>
      <c r="BX57" s="219">
        <f t="shared" si="98"/>
        <v>1039664.0712511481</v>
      </c>
      <c r="BY57" s="155">
        <f t="shared" si="98"/>
        <v>292403.48463770573</v>
      </c>
      <c r="BZ57" s="163">
        <f t="shared" si="98"/>
        <v>275765.96753641218</v>
      </c>
      <c r="CA57" s="4">
        <f t="shared" si="98"/>
        <v>279345.75341228978</v>
      </c>
      <c r="CB57" s="163">
        <f t="shared" si="98"/>
        <v>273249.10654840199</v>
      </c>
      <c r="CC57" s="219">
        <f t="shared" si="98"/>
        <v>1120764.3121348103</v>
      </c>
      <c r="CD57" s="155">
        <f t="shared" si="98"/>
        <v>292366.78482020559</v>
      </c>
      <c r="CE57" s="163">
        <f t="shared" si="98"/>
        <v>284570.33922731783</v>
      </c>
      <c r="CF57" s="4">
        <f t="shared" si="98"/>
        <v>296855.59130853985</v>
      </c>
      <c r="CG57" s="163">
        <f t="shared" si="98"/>
        <v>320206.80815364455</v>
      </c>
      <c r="CH57" s="219">
        <f t="shared" si="98"/>
        <v>1193999.5235097089</v>
      </c>
      <c r="CI57" s="155">
        <f t="shared" si="98"/>
        <v>310937.50238030578</v>
      </c>
      <c r="CJ57" s="163">
        <f t="shared" si="98"/>
        <v>311832.37583874224</v>
      </c>
      <c r="CK57" s="4">
        <f t="shared" si="98"/>
        <v>319242.94257601409</v>
      </c>
      <c r="CL57" s="163">
        <f t="shared" si="98"/>
        <v>356273.38522867608</v>
      </c>
      <c r="CM57" s="219">
        <f t="shared" si="98"/>
        <v>1298286.2060237366</v>
      </c>
      <c r="CN57" s="155">
        <f t="shared" si="98"/>
        <v>321306.62061370112</v>
      </c>
      <c r="CO57" s="163">
        <f t="shared" si="98"/>
        <v>325112.54473466007</v>
      </c>
      <c r="CP57" s="4">
        <f t="shared" si="98"/>
        <v>331771.99546180753</v>
      </c>
      <c r="CQ57" s="163">
        <f t="shared" si="98"/>
        <v>382345.05325040687</v>
      </c>
      <c r="CR57" s="219">
        <f t="shared" si="98"/>
        <v>1360536.2140605764</v>
      </c>
      <c r="CS57" s="155">
        <f t="shared" si="98"/>
        <v>330810.3057426351</v>
      </c>
      <c r="CT57" s="163">
        <f t="shared" si="98"/>
        <v>334748.62513157725</v>
      </c>
      <c r="CU57" s="4">
        <f t="shared" si="98"/>
        <v>341599.57583081274</v>
      </c>
      <c r="CV57" s="163">
        <f t="shared" si="98"/>
        <v>406626.65327452193</v>
      </c>
      <c r="CW57" s="219">
        <f t="shared" si="98"/>
        <v>1413785.1599795474</v>
      </c>
      <c r="CX57" s="155">
        <f t="shared" si="98"/>
        <v>346889.62883656833</v>
      </c>
      <c r="CY57" s="163">
        <f t="shared" si="98"/>
        <v>351076.7771276905</v>
      </c>
      <c r="CZ57" s="4">
        <f t="shared" si="98"/>
        <v>358175.17465246056</v>
      </c>
      <c r="DA57" s="163">
        <f t="shared" si="98"/>
        <v>429301.41023968498</v>
      </c>
      <c r="DB57" s="219">
        <f t="shared" si="98"/>
        <v>1485442.990856406</v>
      </c>
      <c r="DC57" s="163"/>
      <c r="DD57" s="163"/>
      <c r="DE57" s="163"/>
      <c r="DF57" s="163"/>
      <c r="DG57" s="163"/>
      <c r="DH57" s="163"/>
      <c r="DI57" s="163"/>
      <c r="DJ57" s="163"/>
      <c r="DK57" s="170"/>
      <c r="DL57" s="170"/>
      <c r="DM57" s="25"/>
    </row>
    <row r="58" spans="1:117">
      <c r="A58" s="10"/>
      <c r="B58" s="41"/>
      <c r="C58" s="40"/>
      <c r="D58" s="178"/>
      <c r="E58" s="40"/>
      <c r="F58" s="118"/>
      <c r="G58" s="41"/>
      <c r="H58" s="40"/>
      <c r="I58" s="178"/>
      <c r="J58" s="40"/>
      <c r="K58" s="118"/>
      <c r="L58" s="41"/>
      <c r="M58" s="40"/>
      <c r="N58" s="178"/>
      <c r="O58" s="40"/>
      <c r="P58" s="118"/>
      <c r="Q58" s="41"/>
      <c r="R58" s="40"/>
      <c r="S58" s="178"/>
      <c r="T58" s="40"/>
      <c r="U58" s="118"/>
      <c r="V58" s="41"/>
      <c r="W58" s="40"/>
      <c r="X58" s="178"/>
      <c r="Y58" s="40"/>
      <c r="Z58" s="118"/>
      <c r="AA58" s="41"/>
      <c r="AB58" s="38"/>
      <c r="AC58" s="38"/>
      <c r="AD58" s="38"/>
      <c r="AE58" s="118"/>
      <c r="AF58" s="19"/>
      <c r="AG58" s="18"/>
      <c r="AH58" s="18"/>
      <c r="AI58" s="18"/>
      <c r="AJ58" s="118"/>
      <c r="AK58" s="19"/>
      <c r="AL58" s="18"/>
      <c r="AM58" s="18"/>
      <c r="AN58" s="18"/>
      <c r="AO58" s="118"/>
      <c r="AP58" s="19"/>
      <c r="AQ58" s="18"/>
      <c r="AR58" s="18"/>
      <c r="AS58" s="18"/>
      <c r="AT58" s="118"/>
      <c r="AU58" s="19"/>
      <c r="AV58" s="18"/>
      <c r="AW58" s="18"/>
      <c r="AX58" s="18"/>
      <c r="AY58" s="118"/>
      <c r="AZ58" s="38"/>
      <c r="BA58" s="545"/>
      <c r="BB58" s="18"/>
      <c r="BC58" s="18"/>
      <c r="BD58" s="452"/>
      <c r="BE58" s="38"/>
      <c r="BF58" s="18"/>
      <c r="BG58" s="18"/>
      <c r="BH58" s="38"/>
      <c r="BI58" s="118"/>
      <c r="BJ58" s="19"/>
      <c r="BK58" s="18"/>
      <c r="BL58" s="18"/>
      <c r="BM58" s="18"/>
      <c r="BN58" s="118"/>
      <c r="BO58" s="19"/>
      <c r="BP58" s="18"/>
      <c r="BQ58" s="18"/>
      <c r="BR58" s="18"/>
      <c r="BS58" s="118"/>
      <c r="BT58" s="19"/>
      <c r="BU58" s="18"/>
      <c r="BV58" s="18"/>
      <c r="BW58" s="18"/>
      <c r="BX58" s="118"/>
      <c r="BY58" s="19"/>
      <c r="BZ58" s="18"/>
      <c r="CA58" s="18"/>
      <c r="CB58" s="18"/>
      <c r="CC58" s="118"/>
      <c r="CD58" s="19"/>
      <c r="CE58" s="18"/>
      <c r="CF58" s="18"/>
      <c r="CG58" s="18"/>
      <c r="CH58" s="118"/>
      <c r="CI58" s="19"/>
      <c r="CJ58" s="18"/>
      <c r="CK58" s="18"/>
      <c r="CL58" s="18"/>
      <c r="CM58" s="118"/>
      <c r="CN58" s="19"/>
      <c r="CO58" s="18"/>
      <c r="CP58" s="18"/>
      <c r="CQ58" s="18"/>
      <c r="CR58" s="118"/>
      <c r="CS58" s="19"/>
      <c r="CT58" s="18"/>
      <c r="CU58" s="18"/>
      <c r="CV58" s="18"/>
      <c r="CW58" s="118"/>
      <c r="CX58" s="19"/>
      <c r="CY58" s="18"/>
      <c r="CZ58" s="18"/>
      <c r="DA58" s="18"/>
      <c r="DB58" s="118"/>
      <c r="DC58" s="40"/>
      <c r="DD58" s="40"/>
      <c r="DE58" s="40"/>
      <c r="DF58" s="40"/>
      <c r="DG58" s="40"/>
      <c r="DH58" s="40"/>
      <c r="DI58" s="40"/>
      <c r="DJ58" s="40"/>
      <c r="DK58" s="185"/>
      <c r="DL58" s="185"/>
      <c r="DM58" s="61"/>
    </row>
    <row r="59" spans="1:117">
      <c r="A59" s="9" t="s">
        <v>96</v>
      </c>
      <c r="B59" s="41">
        <v>101298</v>
      </c>
      <c r="C59" s="40">
        <v>103971</v>
      </c>
      <c r="D59" s="178">
        <v>106942</v>
      </c>
      <c r="E59" s="178">
        <v>109523</v>
      </c>
      <c r="F59" s="194">
        <v>210922</v>
      </c>
      <c r="G59" s="41">
        <v>222002</v>
      </c>
      <c r="H59" s="40">
        <v>218124</v>
      </c>
      <c r="I59" s="178">
        <v>217204</v>
      </c>
      <c r="J59" s="178">
        <v>206722</v>
      </c>
      <c r="K59" s="194">
        <v>216012</v>
      </c>
      <c r="L59" s="41">
        <v>221512</v>
      </c>
      <c r="M59" s="40">
        <v>238052</v>
      </c>
      <c r="N59" s="178">
        <v>229840</v>
      </c>
      <c r="O59" s="178">
        <v>225410</v>
      </c>
      <c r="P59" s="194">
        <v>228954</v>
      </c>
      <c r="Q59" s="41">
        <v>225448</v>
      </c>
      <c r="R59" s="40">
        <v>225972</v>
      </c>
      <c r="S59" s="178">
        <v>211862</v>
      </c>
      <c r="T59" s="178">
        <v>211110</v>
      </c>
      <c r="U59" s="194">
        <v>218596</v>
      </c>
      <c r="V59" s="41">
        <v>211642</v>
      </c>
      <c r="W59" s="40">
        <v>212144</v>
      </c>
      <c r="X59" s="178">
        <v>211272</v>
      </c>
      <c r="Y59" s="178">
        <v>211024</v>
      </c>
      <c r="Z59" s="194">
        <v>211520</v>
      </c>
      <c r="AA59" s="41">
        <v>211466</v>
      </c>
      <c r="AB59" s="40">
        <v>211900</v>
      </c>
      <c r="AC59" s="40">
        <v>212976</v>
      </c>
      <c r="AD59" s="195">
        <v>214194</v>
      </c>
      <c r="AE59" s="194">
        <v>212640</v>
      </c>
      <c r="AF59" s="196">
        <v>214820</v>
      </c>
      <c r="AG59" s="195">
        <v>215676</v>
      </c>
      <c r="AH59" s="195">
        <v>215302</v>
      </c>
      <c r="AI59" s="195">
        <v>217792</v>
      </c>
      <c r="AJ59" s="93">
        <f>AVERAGE(AF59:AI59)</f>
        <v>215897.5</v>
      </c>
      <c r="AK59" s="195">
        <v>218358</v>
      </c>
      <c r="AL59" s="38">
        <v>216060</v>
      </c>
      <c r="AM59" s="195">
        <v>211940</v>
      </c>
      <c r="AN59" s="195">
        <v>211634</v>
      </c>
      <c r="AO59" s="93">
        <f>AVERAGE(AK59:AN59)</f>
        <v>214498</v>
      </c>
      <c r="AP59" s="195">
        <v>211852</v>
      </c>
      <c r="AQ59" s="38">
        <v>211784</v>
      </c>
      <c r="AR59" s="195">
        <v>209960</v>
      </c>
      <c r="AS59" s="195">
        <v>209243</v>
      </c>
      <c r="AT59" s="93">
        <f>AVERAGE(AP59:AS59)</f>
        <v>210709.75</v>
      </c>
      <c r="AU59" s="195">
        <v>209458</v>
      </c>
      <c r="AV59" s="38">
        <v>208874</v>
      </c>
      <c r="AW59" s="195">
        <v>209893</v>
      </c>
      <c r="AX59" s="195">
        <v>210552</v>
      </c>
      <c r="AY59" s="93">
        <f>AVERAGE(AU59:AX59)</f>
        <v>209694.25</v>
      </c>
      <c r="AZ59" s="38">
        <v>210166</v>
      </c>
      <c r="BA59" s="38">
        <v>210516</v>
      </c>
      <c r="BB59" s="38">
        <v>210759</v>
      </c>
      <c r="BC59" s="195">
        <v>210285</v>
      </c>
      <c r="BD59" s="93">
        <f>AVERAGE(AZ59:BC59)</f>
        <v>210431.5</v>
      </c>
      <c r="BE59" s="38">
        <v>210467</v>
      </c>
      <c r="BF59" s="38">
        <v>210204</v>
      </c>
      <c r="BG59" s="38">
        <v>210524</v>
      </c>
      <c r="BH59" s="195">
        <v>210683</v>
      </c>
      <c r="BI59" s="93">
        <f>AVERAGE(BE59:BH59)</f>
        <v>210469.5</v>
      </c>
      <c r="BJ59" s="38">
        <v>211071</v>
      </c>
      <c r="BK59" s="38">
        <v>211075</v>
      </c>
      <c r="BL59" s="38">
        <v>212870</v>
      </c>
      <c r="BM59" s="38">
        <v>212383</v>
      </c>
      <c r="BN59" s="93">
        <f>AVERAGE(BJ59:BM59)</f>
        <v>211849.75</v>
      </c>
      <c r="BO59" s="38">
        <v>213602</v>
      </c>
      <c r="BP59" s="587">
        <v>214012</v>
      </c>
      <c r="BQ59" s="587">
        <v>383419</v>
      </c>
      <c r="BR59" s="38">
        <v>385586</v>
      </c>
      <c r="BS59" s="93">
        <f>AVERAGE(BO59:BR59)</f>
        <v>299154.75</v>
      </c>
      <c r="BT59" s="48">
        <f>(BR61+BT225)</f>
        <v>404586</v>
      </c>
      <c r="BU59" s="48">
        <f>(BT61+BT61+BU225)/2</f>
        <v>404586</v>
      </c>
      <c r="BV59" s="48">
        <f>(BU61+BU61+BV225)/2</f>
        <v>404586</v>
      </c>
      <c r="BW59" s="48">
        <f>(BV61+BV61+BW225)/2</f>
        <v>404586</v>
      </c>
      <c r="BX59" s="93">
        <f>AVERAGE(BT59:BW59)</f>
        <v>404586</v>
      </c>
      <c r="BY59" s="48">
        <f>(BW61+BW61+BY225)/2</f>
        <v>404586</v>
      </c>
      <c r="BZ59" s="48">
        <f>(BY61+BY61+BZ225)/2</f>
        <v>404586</v>
      </c>
      <c r="CA59" s="48">
        <f>(BZ61+BZ61+CA225)/2</f>
        <v>404586</v>
      </c>
      <c r="CB59" s="48">
        <f>(CA61+CA61+CB225)/2</f>
        <v>404586</v>
      </c>
      <c r="CC59" s="93">
        <f>AVERAGE(BY59:CB59)</f>
        <v>404586</v>
      </c>
      <c r="CD59" s="48">
        <f>(CB61+CB61+CD225)/2</f>
        <v>404586</v>
      </c>
      <c r="CE59" s="48">
        <f>(CD61+CD61+CE225)/2</f>
        <v>404586</v>
      </c>
      <c r="CF59" s="48">
        <f>(CE61+CE61+CF225)/2</f>
        <v>404586</v>
      </c>
      <c r="CG59" s="48">
        <f>(CF61+CF61+CG225)/2</f>
        <v>404586</v>
      </c>
      <c r="CH59" s="93">
        <f>AVERAGE(CD59:CG59)</f>
        <v>404586</v>
      </c>
      <c r="CI59" s="48">
        <f>(CG61+CG61+CI225)/2</f>
        <v>404586</v>
      </c>
      <c r="CJ59" s="48">
        <f>(CI61+CI61+CJ225)/2</f>
        <v>404586</v>
      </c>
      <c r="CK59" s="48">
        <f>(CJ61+CJ61+CK225)/2</f>
        <v>404586</v>
      </c>
      <c r="CL59" s="48">
        <f>(CK61+CK61+CL225)/2</f>
        <v>404586</v>
      </c>
      <c r="CM59" s="93">
        <f>AVERAGE(CI59:CL59)</f>
        <v>404586</v>
      </c>
      <c r="CN59" s="48">
        <f>(CL61+CL61+CN225)/2</f>
        <v>404586</v>
      </c>
      <c r="CO59" s="48">
        <f>(CN61+CN61+CO225)/2</f>
        <v>404586</v>
      </c>
      <c r="CP59" s="48">
        <f>(CO61+CO61+CP225)/2</f>
        <v>404586</v>
      </c>
      <c r="CQ59" s="48">
        <f>(CP61+CP61+CQ225)/2</f>
        <v>404586</v>
      </c>
      <c r="CR59" s="93">
        <f>AVERAGE(CN59:CQ59)</f>
        <v>404586</v>
      </c>
      <c r="CS59" s="48">
        <f>(CQ61+CQ61+CS225)/2</f>
        <v>404586</v>
      </c>
      <c r="CT59" s="48">
        <f>(CS61+CS61+CT225)/2</f>
        <v>404586</v>
      </c>
      <c r="CU59" s="48">
        <f>(CT61+CT61+CU225)/2</f>
        <v>404586</v>
      </c>
      <c r="CV59" s="48">
        <f>(CU61+CU61+CV225)/2</f>
        <v>404586</v>
      </c>
      <c r="CW59" s="93">
        <f>AVERAGE(CS59:CV59)</f>
        <v>404586</v>
      </c>
      <c r="CX59" s="48">
        <f>(CV61+CV61+CX225)/2</f>
        <v>404586</v>
      </c>
      <c r="CY59" s="48">
        <f>(CX61+CX61+CY225)/2</f>
        <v>404586</v>
      </c>
      <c r="CZ59" s="48">
        <f>(CY61+CY61+CZ225)/2</f>
        <v>404586</v>
      </c>
      <c r="DA59" s="48">
        <f>(CZ61+CZ61+DA225)/2</f>
        <v>404586</v>
      </c>
      <c r="DB59" s="93">
        <f>AVERAGE(CX59:DA59)</f>
        <v>404586</v>
      </c>
      <c r="DC59" s="3"/>
      <c r="DD59" s="3"/>
      <c r="DE59" s="3"/>
      <c r="DF59" s="3"/>
      <c r="DG59" s="3"/>
      <c r="DH59" s="3"/>
      <c r="DI59" s="3"/>
      <c r="DJ59" s="3"/>
      <c r="DK59" s="98"/>
      <c r="DL59" s="98"/>
      <c r="DM59" s="61"/>
    </row>
    <row r="60" spans="1:117">
      <c r="A60" s="9" t="s">
        <v>97</v>
      </c>
      <c r="B60" s="41">
        <v>99116</v>
      </c>
      <c r="C60" s="40">
        <v>102545</v>
      </c>
      <c r="D60" s="178">
        <v>102914</v>
      </c>
      <c r="E60" s="178">
        <v>103261</v>
      </c>
      <c r="F60" s="194">
        <v>203930</v>
      </c>
      <c r="G60" s="41">
        <v>207332</v>
      </c>
      <c r="H60" s="40">
        <v>202286</v>
      </c>
      <c r="I60" s="178">
        <v>199788</v>
      </c>
      <c r="J60" s="178">
        <v>194886</v>
      </c>
      <c r="K60" s="194">
        <v>201072</v>
      </c>
      <c r="L60" s="41">
        <v>214286</v>
      </c>
      <c r="M60" s="40">
        <v>234846</v>
      </c>
      <c r="N60" s="178">
        <v>226400</v>
      </c>
      <c r="O60" s="178">
        <v>220514</v>
      </c>
      <c r="P60" s="194">
        <v>224012</v>
      </c>
      <c r="Q60" s="41">
        <v>221736</v>
      </c>
      <c r="R60" s="40">
        <v>221758</v>
      </c>
      <c r="S60" s="178">
        <v>207764</v>
      </c>
      <c r="T60" s="178">
        <v>207526</v>
      </c>
      <c r="U60" s="194">
        <v>214692</v>
      </c>
      <c r="V60" s="41">
        <v>208340</v>
      </c>
      <c r="W60" s="40">
        <v>208680</v>
      </c>
      <c r="X60" s="178">
        <v>208892</v>
      </c>
      <c r="Y60" s="178">
        <v>209040</v>
      </c>
      <c r="Z60" s="194">
        <v>208738</v>
      </c>
      <c r="AA60" s="41">
        <v>210324</v>
      </c>
      <c r="AB60" s="40">
        <v>210670</v>
      </c>
      <c r="AC60" s="40">
        <v>210840</v>
      </c>
      <c r="AD60" s="195">
        <v>211060</v>
      </c>
      <c r="AE60" s="194">
        <v>210724</v>
      </c>
      <c r="AF60" s="38">
        <v>212264</v>
      </c>
      <c r="AG60" s="38">
        <v>212712</v>
      </c>
      <c r="AH60" s="38">
        <v>212886</v>
      </c>
      <c r="AI60" s="38">
        <v>213080</v>
      </c>
      <c r="AJ60" s="93">
        <f>AI60</f>
        <v>213080</v>
      </c>
      <c r="AK60" s="38">
        <v>214040</v>
      </c>
      <c r="AL60" s="38">
        <v>210674</v>
      </c>
      <c r="AM60" s="38">
        <v>206606</v>
      </c>
      <c r="AN60" s="38">
        <v>206054</v>
      </c>
      <c r="AO60" s="93">
        <f>AN60</f>
        <v>206054</v>
      </c>
      <c r="AP60" s="38">
        <v>207618</v>
      </c>
      <c r="AQ60" s="38">
        <v>207292</v>
      </c>
      <c r="AR60" s="38">
        <v>205005</v>
      </c>
      <c r="AS60" s="38">
        <v>204648</v>
      </c>
      <c r="AT60" s="93">
        <f>AS60</f>
        <v>204648</v>
      </c>
      <c r="AU60" s="38">
        <v>205479</v>
      </c>
      <c r="AV60" s="38">
        <v>206143</v>
      </c>
      <c r="AW60" s="38">
        <v>206235</v>
      </c>
      <c r="AX60" s="38">
        <v>206319</v>
      </c>
      <c r="AY60" s="93">
        <f>AX60</f>
        <v>206319</v>
      </c>
      <c r="AZ60" s="195">
        <v>209130</v>
      </c>
      <c r="BA60" s="38">
        <v>209403</v>
      </c>
      <c r="BB60" s="38">
        <v>209489</v>
      </c>
      <c r="BC60" s="38">
        <v>209541</v>
      </c>
      <c r="BD60" s="93">
        <f>BC60</f>
        <v>209541</v>
      </c>
      <c r="BE60" s="195">
        <v>209874</v>
      </c>
      <c r="BF60" s="38">
        <v>210477</v>
      </c>
      <c r="BG60" s="567">
        <v>210296</v>
      </c>
      <c r="BH60" s="38">
        <v>210417</v>
      </c>
      <c r="BI60" s="93">
        <f>BH60</f>
        <v>210417</v>
      </c>
      <c r="BJ60" s="195">
        <v>210781</v>
      </c>
      <c r="BK60" s="38">
        <v>212618</v>
      </c>
      <c r="BL60" s="38">
        <v>211309</v>
      </c>
      <c r="BM60" s="38">
        <v>211128</v>
      </c>
      <c r="BN60" s="93">
        <f>BM60</f>
        <v>211128</v>
      </c>
      <c r="BO60" s="195">
        <v>211619</v>
      </c>
      <c r="BP60" s="587">
        <v>211785</v>
      </c>
      <c r="BQ60" s="587">
        <v>380907</v>
      </c>
      <c r="BR60" s="38">
        <v>388071</v>
      </c>
      <c r="BS60" s="93">
        <f>AVERAGE(BO60:BR60)</f>
        <v>298095.5</v>
      </c>
      <c r="BT60" s="48">
        <f>BR60+BT225</f>
        <v>407071</v>
      </c>
      <c r="BU60" s="48">
        <f>BT60+BU225</f>
        <v>407071</v>
      </c>
      <c r="BV60" s="48">
        <f>BU60+BV225</f>
        <v>407071</v>
      </c>
      <c r="BW60" s="48">
        <f>BV60+BW225</f>
        <v>407071</v>
      </c>
      <c r="BX60" s="93">
        <f>AVERAGE(BT60:BW60)</f>
        <v>407071</v>
      </c>
      <c r="BY60" s="48">
        <f>BW60+BY225</f>
        <v>407071</v>
      </c>
      <c r="BZ60" s="48">
        <f>BY60+BZ225</f>
        <v>407071</v>
      </c>
      <c r="CA60" s="48">
        <f>BZ60+CA225</f>
        <v>407071</v>
      </c>
      <c r="CB60" s="48">
        <f>CA60+CB225</f>
        <v>407071</v>
      </c>
      <c r="CC60" s="93">
        <f>AVERAGE(BY60:CB60)</f>
        <v>407071</v>
      </c>
      <c r="CD60" s="48">
        <f>CB60+CD225</f>
        <v>407071</v>
      </c>
      <c r="CE60" s="48">
        <f>CD60+CE225</f>
        <v>407071</v>
      </c>
      <c r="CF60" s="48">
        <f>CE60+CF225</f>
        <v>407071</v>
      </c>
      <c r="CG60" s="48">
        <f>CF60+CG225</f>
        <v>407071</v>
      </c>
      <c r="CH60" s="93">
        <f>AVERAGE(CD60:CG60)</f>
        <v>407071</v>
      </c>
      <c r="CI60" s="48">
        <f>CG60+CI225</f>
        <v>407071</v>
      </c>
      <c r="CJ60" s="48">
        <f>CI60+CJ225</f>
        <v>407071</v>
      </c>
      <c r="CK60" s="48">
        <f>CJ60+CK225</f>
        <v>407071</v>
      </c>
      <c r="CL60" s="48">
        <f>CK60+CL225</f>
        <v>407071</v>
      </c>
      <c r="CM60" s="93">
        <f>AVERAGE(CI60:CL60)</f>
        <v>407071</v>
      </c>
      <c r="CN60" s="48">
        <f>CL60+CN225</f>
        <v>407071</v>
      </c>
      <c r="CO60" s="48">
        <f>CN60+CO225</f>
        <v>407071</v>
      </c>
      <c r="CP60" s="48">
        <f>CO60+CP225</f>
        <v>407071</v>
      </c>
      <c r="CQ60" s="48">
        <f>CP60+CQ225</f>
        <v>407071</v>
      </c>
      <c r="CR60" s="93">
        <f>AVERAGE(CN60:CQ60)</f>
        <v>407071</v>
      </c>
      <c r="CS60" s="48">
        <f>CQ60+CS225</f>
        <v>407071</v>
      </c>
      <c r="CT60" s="48">
        <f>CS60+CT225</f>
        <v>407071</v>
      </c>
      <c r="CU60" s="48">
        <f>CT60+CU225</f>
        <v>407071</v>
      </c>
      <c r="CV60" s="48">
        <f>CU60+CV225</f>
        <v>407071</v>
      </c>
      <c r="CW60" s="93">
        <f>AVERAGE(CS60:CV60)</f>
        <v>407071</v>
      </c>
      <c r="CX60" s="48">
        <f>CV60+CX225</f>
        <v>407071</v>
      </c>
      <c r="CY60" s="48">
        <f>CX60+CY225</f>
        <v>407071</v>
      </c>
      <c r="CZ60" s="48">
        <f>CY60+CZ225</f>
        <v>407071</v>
      </c>
      <c r="DA60" s="48">
        <f>CZ60+DA225</f>
        <v>407071</v>
      </c>
      <c r="DB60" s="93">
        <f>AVERAGE(CX60:DA60)</f>
        <v>407071</v>
      </c>
      <c r="DC60" s="3"/>
      <c r="DD60" s="3"/>
      <c r="DE60" s="3"/>
      <c r="DF60" s="3"/>
      <c r="DG60" s="3"/>
      <c r="DH60" s="3"/>
      <c r="DI60" s="3"/>
      <c r="DJ60" s="3"/>
      <c r="DK60" s="98"/>
      <c r="DL60" s="98"/>
      <c r="DM60" s="61"/>
    </row>
    <row r="61" spans="1:117">
      <c r="A61" s="9" t="s">
        <v>815</v>
      </c>
      <c r="B61" s="41"/>
      <c r="C61" s="40"/>
      <c r="D61" s="178"/>
      <c r="E61" s="3">
        <f>F61</f>
        <v>208212.57</v>
      </c>
      <c r="F61" s="194">
        <v>208212.57</v>
      </c>
      <c r="G61" s="41">
        <v>204477.35200000001</v>
      </c>
      <c r="H61" s="40">
        <v>201679.57800000001</v>
      </c>
      <c r="I61" s="178">
        <v>197470.432</v>
      </c>
      <c r="J61" s="3">
        <v>195309.394</v>
      </c>
      <c r="K61" s="194">
        <v>195309.394</v>
      </c>
      <c r="L61" s="41">
        <v>234568.97399999999</v>
      </c>
      <c r="M61" s="40">
        <v>235045.95800000001</v>
      </c>
      <c r="N61" s="178">
        <v>220339.74799999999</v>
      </c>
      <c r="O61" s="3">
        <v>221356.99799999999</v>
      </c>
      <c r="P61" s="194">
        <v>221356.99799999999</v>
      </c>
      <c r="Q61" s="41">
        <v>221964.47399999999</v>
      </c>
      <c r="R61" s="40">
        <v>207684.20800000001</v>
      </c>
      <c r="S61" s="178">
        <v>207471.022</v>
      </c>
      <c r="T61" s="3">
        <v>207974.95199999999</v>
      </c>
      <c r="U61" s="194">
        <v>207974.95199999999</v>
      </c>
      <c r="V61" s="41">
        <v>208504.86600000001</v>
      </c>
      <c r="W61" s="40">
        <v>208858.35</v>
      </c>
      <c r="X61" s="178">
        <v>208937.51199999999</v>
      </c>
      <c r="Y61" s="3">
        <v>209690.462</v>
      </c>
      <c r="Z61" s="194">
        <v>209690.462</v>
      </c>
      <c r="AA61" s="41">
        <v>210586.50599999999</v>
      </c>
      <c r="AB61" s="40">
        <v>210743.122</v>
      </c>
      <c r="AC61" s="40">
        <v>210930</v>
      </c>
      <c r="AD61" s="40">
        <v>211921.552</v>
      </c>
      <c r="AE61" s="194">
        <v>211813.552</v>
      </c>
      <c r="AF61" s="41">
        <v>212477.51800000001</v>
      </c>
      <c r="AG61" s="38">
        <v>212830.01800000001</v>
      </c>
      <c r="AH61" s="48">
        <f>AH59</f>
        <v>215302</v>
      </c>
      <c r="AI61" s="48">
        <f>AI59</f>
        <v>217792</v>
      </c>
      <c r="AJ61" s="93">
        <f>AI61</f>
        <v>217792</v>
      </c>
      <c r="AK61" s="48">
        <f>AK59</f>
        <v>218358</v>
      </c>
      <c r="AL61" s="48">
        <f>AL59</f>
        <v>216060</v>
      </c>
      <c r="AM61" s="48">
        <f>AM59</f>
        <v>211940</v>
      </c>
      <c r="AN61" s="48">
        <f>AN59</f>
        <v>211634</v>
      </c>
      <c r="AO61" s="93">
        <f>AN61</f>
        <v>211634</v>
      </c>
      <c r="AP61" s="48">
        <f>AP59</f>
        <v>211852</v>
      </c>
      <c r="AQ61" s="48">
        <f>AQ59</f>
        <v>211784</v>
      </c>
      <c r="AR61" s="48">
        <f>AR59</f>
        <v>209960</v>
      </c>
      <c r="AS61" s="48">
        <f>AS59</f>
        <v>209243</v>
      </c>
      <c r="AT61" s="93">
        <f>AS61</f>
        <v>209243</v>
      </c>
      <c r="AU61" s="48">
        <f>AU59</f>
        <v>209458</v>
      </c>
      <c r="AV61" s="48">
        <f>AV59</f>
        <v>208874</v>
      </c>
      <c r="AW61" s="48">
        <f>AW59</f>
        <v>209893</v>
      </c>
      <c r="AX61" s="48">
        <f>AX59</f>
        <v>210552</v>
      </c>
      <c r="AY61" s="93">
        <f>AX61</f>
        <v>210552</v>
      </c>
      <c r="AZ61" s="48">
        <f>AZ59</f>
        <v>210166</v>
      </c>
      <c r="BA61" s="48">
        <f>BA59</f>
        <v>210516</v>
      </c>
      <c r="BB61" s="48">
        <f>BB59</f>
        <v>210759</v>
      </c>
      <c r="BC61" s="48">
        <f>BC59</f>
        <v>210285</v>
      </c>
      <c r="BD61" s="93">
        <f>BC61</f>
        <v>210285</v>
      </c>
      <c r="BE61" s="48">
        <f>BE59</f>
        <v>210467</v>
      </c>
      <c r="BF61" s="48">
        <f>BF59</f>
        <v>210204</v>
      </c>
      <c r="BG61" s="48">
        <f>BG59</f>
        <v>210524</v>
      </c>
      <c r="BH61" s="48">
        <f>BH59</f>
        <v>210683</v>
      </c>
      <c r="BI61" s="93">
        <f>BH61</f>
        <v>210683</v>
      </c>
      <c r="BJ61" s="48">
        <f>BJ59</f>
        <v>211071</v>
      </c>
      <c r="BK61" s="48">
        <f>BK59</f>
        <v>211075</v>
      </c>
      <c r="BL61" s="48">
        <f>BL59</f>
        <v>212870</v>
      </c>
      <c r="BM61" s="48">
        <f>BM59</f>
        <v>212383</v>
      </c>
      <c r="BN61" s="93">
        <f>BM61</f>
        <v>212383</v>
      </c>
      <c r="BO61" s="48">
        <f>BO59</f>
        <v>213602</v>
      </c>
      <c r="BP61" s="48">
        <f>BP59</f>
        <v>214012</v>
      </c>
      <c r="BQ61" s="48">
        <f>BQ59</f>
        <v>383419</v>
      </c>
      <c r="BR61" s="48">
        <f>BR59</f>
        <v>385586</v>
      </c>
      <c r="BS61" s="93">
        <f>BR61</f>
        <v>385586</v>
      </c>
      <c r="BT61" s="48">
        <f>BT59</f>
        <v>404586</v>
      </c>
      <c r="BU61" s="48">
        <f>BU59</f>
        <v>404586</v>
      </c>
      <c r="BV61" s="48">
        <f>BV59</f>
        <v>404586</v>
      </c>
      <c r="BW61" s="48">
        <f>BW59</f>
        <v>404586</v>
      </c>
      <c r="BX61" s="93">
        <f>BW61</f>
        <v>404586</v>
      </c>
      <c r="BY61" s="48">
        <f>BY59</f>
        <v>404586</v>
      </c>
      <c r="BZ61" s="48">
        <f>BZ59</f>
        <v>404586</v>
      </c>
      <c r="CA61" s="48">
        <f>CA59</f>
        <v>404586</v>
      </c>
      <c r="CB61" s="48">
        <f>CB59</f>
        <v>404586</v>
      </c>
      <c r="CC61" s="93">
        <f>CB61</f>
        <v>404586</v>
      </c>
      <c r="CD61" s="48">
        <f>CD59</f>
        <v>404586</v>
      </c>
      <c r="CE61" s="48">
        <f>CE59</f>
        <v>404586</v>
      </c>
      <c r="CF61" s="48">
        <f>CF59</f>
        <v>404586</v>
      </c>
      <c r="CG61" s="48">
        <f>CG59</f>
        <v>404586</v>
      </c>
      <c r="CH61" s="93">
        <f>CG61</f>
        <v>404586</v>
      </c>
      <c r="CI61" s="48">
        <f>CI59</f>
        <v>404586</v>
      </c>
      <c r="CJ61" s="48">
        <f>CJ59</f>
        <v>404586</v>
      </c>
      <c r="CK61" s="48">
        <f>CK59</f>
        <v>404586</v>
      </c>
      <c r="CL61" s="48">
        <f>CL59</f>
        <v>404586</v>
      </c>
      <c r="CM61" s="93">
        <f>CL61</f>
        <v>404586</v>
      </c>
      <c r="CN61" s="48">
        <f>CN59</f>
        <v>404586</v>
      </c>
      <c r="CO61" s="48">
        <f>CO59</f>
        <v>404586</v>
      </c>
      <c r="CP61" s="48">
        <f>CP59</f>
        <v>404586</v>
      </c>
      <c r="CQ61" s="48">
        <f>CQ59</f>
        <v>404586</v>
      </c>
      <c r="CR61" s="93">
        <f>CQ61</f>
        <v>404586</v>
      </c>
      <c r="CS61" s="48">
        <f>CS59</f>
        <v>404586</v>
      </c>
      <c r="CT61" s="48">
        <f>CT59</f>
        <v>404586</v>
      </c>
      <c r="CU61" s="48">
        <f>CU59</f>
        <v>404586</v>
      </c>
      <c r="CV61" s="48">
        <f>CV59</f>
        <v>404586</v>
      </c>
      <c r="CW61" s="93">
        <f>CV61</f>
        <v>404586</v>
      </c>
      <c r="CX61" s="48">
        <f>CX59</f>
        <v>404586</v>
      </c>
      <c r="CY61" s="48">
        <f>CY59</f>
        <v>404586</v>
      </c>
      <c r="CZ61" s="48">
        <f>CZ59</f>
        <v>404586</v>
      </c>
      <c r="DA61" s="48">
        <f>DA59</f>
        <v>404586</v>
      </c>
      <c r="DB61" s="93">
        <f>DA61</f>
        <v>404586</v>
      </c>
      <c r="DC61" s="3"/>
      <c r="DD61" s="3"/>
      <c r="DE61" s="3"/>
      <c r="DF61" s="3"/>
      <c r="DG61" s="3"/>
      <c r="DH61" s="3"/>
      <c r="DI61" s="3"/>
      <c r="DJ61" s="3"/>
      <c r="DK61" s="98"/>
      <c r="DL61" s="98"/>
      <c r="DM61" s="9"/>
    </row>
    <row r="62" spans="1:117">
      <c r="A62" s="10"/>
      <c r="B62" s="197"/>
      <c r="C62" s="198"/>
      <c r="D62" s="199"/>
      <c r="E62" s="198"/>
      <c r="F62" s="200"/>
      <c r="G62" s="197"/>
      <c r="H62" s="198"/>
      <c r="I62" s="199"/>
      <c r="J62" s="198"/>
      <c r="K62" s="200"/>
      <c r="L62" s="197"/>
      <c r="M62" s="198"/>
      <c r="N62" s="199"/>
      <c r="O62" s="198"/>
      <c r="P62" s="200"/>
      <c r="Q62" s="197"/>
      <c r="R62" s="198"/>
      <c r="S62" s="199"/>
      <c r="T62" s="198"/>
      <c r="U62" s="200"/>
      <c r="V62" s="197"/>
      <c r="W62" s="198"/>
      <c r="X62" s="199"/>
      <c r="Y62" s="198"/>
      <c r="Z62" s="200"/>
      <c r="AA62" s="197"/>
      <c r="AB62" s="18"/>
      <c r="AC62" s="18"/>
      <c r="AD62" s="18"/>
      <c r="AE62" s="200"/>
      <c r="AF62" s="19"/>
      <c r="AG62" s="18"/>
      <c r="AH62" s="18"/>
      <c r="AI62" s="18"/>
      <c r="AJ62" s="200"/>
      <c r="AK62" s="19"/>
      <c r="AL62" s="18"/>
      <c r="AM62" s="18"/>
      <c r="AN62" s="18"/>
      <c r="AO62" s="200"/>
      <c r="AP62" s="19"/>
      <c r="AQ62" s="18"/>
      <c r="AR62" s="18"/>
      <c r="AS62" s="18"/>
      <c r="AT62" s="200"/>
      <c r="AU62" s="19"/>
      <c r="AV62" s="18"/>
      <c r="AW62" s="18"/>
      <c r="AX62" s="18"/>
      <c r="AY62" s="200"/>
      <c r="AZ62" s="19"/>
      <c r="BA62" s="18"/>
      <c r="BB62" s="18"/>
      <c r="BC62" s="18"/>
      <c r="BD62" s="200"/>
      <c r="BE62" s="19"/>
      <c r="BF62" s="18"/>
      <c r="BG62" s="18"/>
      <c r="BH62" s="18"/>
      <c r="BI62" s="200"/>
      <c r="BJ62" s="19"/>
      <c r="BK62" s="18"/>
      <c r="BL62" s="18"/>
      <c r="BM62" s="18"/>
      <c r="BN62" s="200"/>
      <c r="BO62" s="19"/>
      <c r="BP62" s="18"/>
      <c r="BQ62" s="18"/>
      <c r="BR62" s="18"/>
      <c r="BS62" s="200"/>
      <c r="BT62" s="19"/>
      <c r="BU62" s="18"/>
      <c r="BV62" s="18"/>
      <c r="BW62" s="18"/>
      <c r="BX62" s="200"/>
      <c r="BY62" s="19"/>
      <c r="BZ62" s="18"/>
      <c r="CA62" s="18"/>
      <c r="CB62" s="18"/>
      <c r="CC62" s="200"/>
      <c r="CD62" s="19"/>
      <c r="CE62" s="18"/>
      <c r="CF62" s="18"/>
      <c r="CG62" s="18"/>
      <c r="CH62" s="200"/>
      <c r="CI62" s="19"/>
      <c r="CJ62" s="18"/>
      <c r="CK62" s="18"/>
      <c r="CL62" s="18"/>
      <c r="CM62" s="200"/>
      <c r="CN62" s="19"/>
      <c r="CO62" s="18"/>
      <c r="CP62" s="18"/>
      <c r="CQ62" s="18"/>
      <c r="CR62" s="200"/>
      <c r="CS62" s="19"/>
      <c r="CT62" s="18"/>
      <c r="CU62" s="18"/>
      <c r="CV62" s="18"/>
      <c r="CW62" s="200"/>
      <c r="CX62" s="19"/>
      <c r="CY62" s="18"/>
      <c r="CZ62" s="18"/>
      <c r="DA62" s="18"/>
      <c r="DB62" s="200"/>
      <c r="DC62" s="198"/>
      <c r="DD62" s="198"/>
      <c r="DE62" s="198"/>
      <c r="DF62" s="198"/>
      <c r="DG62" s="198"/>
      <c r="DH62" s="198"/>
      <c r="DI62" s="198"/>
      <c r="DJ62" s="198"/>
      <c r="DK62" s="401"/>
      <c r="DL62" s="401"/>
      <c r="DM62" s="61"/>
    </row>
    <row r="63" spans="1:117">
      <c r="A63" s="32" t="s">
        <v>750</v>
      </c>
      <c r="B63" s="157">
        <f t="shared" ref="B63:Z63" si="99">B52/B59</f>
        <v>1.038056032695611</v>
      </c>
      <c r="C63" s="165">
        <f t="shared" si="99"/>
        <v>0.17109578632503294</v>
      </c>
      <c r="D63" s="228">
        <f t="shared" si="99"/>
        <v>0.15476613491425259</v>
      </c>
      <c r="E63" s="165">
        <f t="shared" si="99"/>
        <v>0.77773618326744154</v>
      </c>
      <c r="F63" s="229">
        <f t="shared" si="99"/>
        <v>1.0651947165302813</v>
      </c>
      <c r="G63" s="157">
        <f t="shared" si="99"/>
        <v>0.45845532923126819</v>
      </c>
      <c r="H63" s="165">
        <f t="shared" si="99"/>
        <v>7.8276576626139266E-2</v>
      </c>
      <c r="I63" s="228">
        <f t="shared" si="99"/>
        <v>0.20540137382368648</v>
      </c>
      <c r="J63" s="165">
        <f t="shared" si="99"/>
        <v>0.35444391009028603</v>
      </c>
      <c r="K63" s="229">
        <f t="shared" si="99"/>
        <v>1.095945382579135</v>
      </c>
      <c r="L63" s="157">
        <f t="shared" si="99"/>
        <v>0.58208944991450395</v>
      </c>
      <c r="M63" s="165">
        <f t="shared" si="99"/>
        <v>3.1354400091627696E-2</v>
      </c>
      <c r="N63" s="228">
        <f t="shared" si="99"/>
        <v>0.10612144559087121</v>
      </c>
      <c r="O63" s="165">
        <f t="shared" si="99"/>
        <v>0.33059206993929385</v>
      </c>
      <c r="P63" s="229">
        <f t="shared" si="99"/>
        <v>1.0277762669343877</v>
      </c>
      <c r="Q63" s="157">
        <f t="shared" si="99"/>
        <v>0.67211773048516332</v>
      </c>
      <c r="R63" s="165">
        <f t="shared" si="99"/>
        <v>0.15678723816719448</v>
      </c>
      <c r="S63" s="228">
        <f t="shared" si="99"/>
        <v>6.5503867755150449E-2</v>
      </c>
      <c r="T63" s="165">
        <f t="shared" si="99"/>
        <v>0.48749077610639702</v>
      </c>
      <c r="U63" s="229">
        <f t="shared" si="99"/>
        <v>1.3895454722854013</v>
      </c>
      <c r="V63" s="157">
        <f t="shared" si="99"/>
        <v>0.67958663652707285</v>
      </c>
      <c r="W63" s="165">
        <f t="shared" si="99"/>
        <v>0.19735386569374827</v>
      </c>
      <c r="X63" s="228">
        <f t="shared" si="99"/>
        <v>0.2709038423309279</v>
      </c>
      <c r="Y63" s="165">
        <f t="shared" si="99"/>
        <v>0.320182576053753</v>
      </c>
      <c r="Z63" s="229">
        <f t="shared" si="99"/>
        <v>1.4679326679165292</v>
      </c>
      <c r="AA63" s="157">
        <f t="shared" ref="AA63:AI63" si="100">AA52/AA59</f>
        <v>0.576358429724245</v>
      </c>
      <c r="AB63" s="165">
        <f t="shared" si="100"/>
        <v>0.1858688345807922</v>
      </c>
      <c r="AC63" s="228">
        <f>AC52/AC59</f>
        <v>0.22895233595188103</v>
      </c>
      <c r="AD63" s="165">
        <f t="shared" si="100"/>
        <v>0.43182344670500278</v>
      </c>
      <c r="AE63" s="229">
        <f t="shared" si="100"/>
        <v>1.4226916939096887</v>
      </c>
      <c r="AF63" s="157">
        <f t="shared" si="100"/>
        <v>0.72161885324381392</v>
      </c>
      <c r="AG63" s="165">
        <f t="shared" si="100"/>
        <v>0.19422850254493784</v>
      </c>
      <c r="AH63" s="228">
        <f>AH52/AH59</f>
        <v>0.22878823127931941</v>
      </c>
      <c r="AI63" s="165">
        <f t="shared" si="100"/>
        <v>0.37510448606514463</v>
      </c>
      <c r="AJ63" s="229">
        <f>AJ52/AJ59</f>
        <v>1.5185998382043246</v>
      </c>
      <c r="AK63" s="157">
        <f>AK52/AK59</f>
        <v>0.59737177788839058</v>
      </c>
      <c r="AL63" s="438">
        <f>AL52/AL59</f>
        <v>0.25581430916379871</v>
      </c>
      <c r="AM63" s="228">
        <f>AM52/AM59</f>
        <v>0.28481204040964769</v>
      </c>
      <c r="AN63" s="165">
        <f>AN52/AN59</f>
        <v>0.53911873706769708</v>
      </c>
      <c r="AO63" s="229">
        <f t="shared" ref="AO63:BX63" si="101">AO52/AO59</f>
        <v>1.6791348402273647</v>
      </c>
      <c r="AP63" s="157">
        <f t="shared" si="101"/>
        <v>0.54316180296243077</v>
      </c>
      <c r="AQ63" s="165">
        <f t="shared" si="101"/>
        <v>0.2839549077272589</v>
      </c>
      <c r="AR63" s="228">
        <f>AR52/AR59</f>
        <v>0.31184530764015134</v>
      </c>
      <c r="AS63" s="165">
        <f>AS52/AS59</f>
        <v>0.51520574076085823</v>
      </c>
      <c r="AT63" s="229">
        <f>AT52/AT59</f>
        <v>1.653863933991935</v>
      </c>
      <c r="AU63" s="157">
        <f t="shared" si="101"/>
        <v>0.53708144612151842</v>
      </c>
      <c r="AV63" s="165">
        <f>AV52/AV59</f>
        <v>0.33572286645075911</v>
      </c>
      <c r="AW63" s="228">
        <f t="shared" si="101"/>
        <v>0.347804357458324</v>
      </c>
      <c r="AX63" s="165">
        <f>AX52/AX59</f>
        <v>0.5007629944146812</v>
      </c>
      <c r="AY63" s="229">
        <f t="shared" si="101"/>
        <v>1.7218313499237901</v>
      </c>
      <c r="AZ63" s="157">
        <f t="shared" si="101"/>
        <v>0.43647333862753968</v>
      </c>
      <c r="BA63" s="165">
        <f t="shared" si="101"/>
        <v>0.33065778342234386</v>
      </c>
      <c r="BB63" s="228">
        <f t="shared" si="101"/>
        <v>0.39225869357892185</v>
      </c>
      <c r="BC63" s="165">
        <f t="shared" si="101"/>
        <v>0.42170863352117366</v>
      </c>
      <c r="BD63" s="229">
        <f t="shared" si="101"/>
        <v>1.5809974249146805</v>
      </c>
      <c r="BE63" s="157">
        <f>BE52/BE59</f>
        <v>0.28962191548316596</v>
      </c>
      <c r="BF63" s="385">
        <f>BF52/BF59</f>
        <v>0.36404159768605737</v>
      </c>
      <c r="BG63" s="228">
        <f t="shared" si="101"/>
        <v>0.39369858068438751</v>
      </c>
      <c r="BH63" s="385">
        <f t="shared" si="101"/>
        <v>1.3549693140879899</v>
      </c>
      <c r="BI63" s="596">
        <f t="shared" si="101"/>
        <v>2.4033451672854995</v>
      </c>
      <c r="BJ63" s="157">
        <f t="shared" si="101"/>
        <v>0.3799290286207011</v>
      </c>
      <c r="BK63" s="385">
        <f t="shared" si="101"/>
        <v>0.41020490347033045</v>
      </c>
      <c r="BL63" s="228">
        <f>BL52/BL59</f>
        <v>0.40588152393479587</v>
      </c>
      <c r="BM63" s="165">
        <f t="shared" si="101"/>
        <v>0.42978486978712988</v>
      </c>
      <c r="BN63" s="229">
        <f t="shared" si="101"/>
        <v>1.6259400825349097</v>
      </c>
      <c r="BO63" s="157">
        <f t="shared" si="101"/>
        <v>0.4090223874308293</v>
      </c>
      <c r="BP63" s="165">
        <f t="shared" si="101"/>
        <v>0.33100480346896438</v>
      </c>
      <c r="BQ63" s="228">
        <f t="shared" si="101"/>
        <v>0.43083936894102798</v>
      </c>
      <c r="BR63" s="385">
        <f t="shared" si="101"/>
        <v>0.16274190452972878</v>
      </c>
      <c r="BS63" s="229">
        <f t="shared" si="101"/>
        <v>1.2908035055435356</v>
      </c>
      <c r="BT63" s="157">
        <f t="shared" si="101"/>
        <v>0.70673868691947406</v>
      </c>
      <c r="BU63" s="165">
        <f t="shared" si="101"/>
        <v>0.61374821174436267</v>
      </c>
      <c r="BV63" s="228">
        <f t="shared" si="101"/>
        <v>0.63145705625759896</v>
      </c>
      <c r="BW63" s="165">
        <f t="shared" si="101"/>
        <v>0.61775462894243205</v>
      </c>
      <c r="BX63" s="229">
        <f t="shared" si="101"/>
        <v>2.5696985838638708</v>
      </c>
      <c r="BY63" s="157">
        <f t="shared" ref="BY63:CH63" si="102">BY52/BY59</f>
        <v>0.72272269588593208</v>
      </c>
      <c r="BZ63" s="165">
        <f t="shared" si="102"/>
        <v>0.68160037059219103</v>
      </c>
      <c r="CA63" s="228">
        <f t="shared" si="102"/>
        <v>0.69044839270832348</v>
      </c>
      <c r="CB63" s="165">
        <f t="shared" si="102"/>
        <v>0.67537953994552946</v>
      </c>
      <c r="CC63" s="229">
        <f t="shared" si="102"/>
        <v>2.7701509991319777</v>
      </c>
      <c r="CD63" s="157">
        <f t="shared" si="102"/>
        <v>0.72263198632727177</v>
      </c>
      <c r="CE63" s="165">
        <f t="shared" si="102"/>
        <v>0.70336180497426459</v>
      </c>
      <c r="CF63" s="228">
        <f t="shared" si="102"/>
        <v>0.73372680050357608</v>
      </c>
      <c r="CG63" s="165">
        <f t="shared" si="102"/>
        <v>0.79144312495648528</v>
      </c>
      <c r="CH63" s="229">
        <f t="shared" si="102"/>
        <v>2.9511637167616005</v>
      </c>
      <c r="CI63" s="157">
        <f t="shared" ref="CI63:CR63" si="103">CI52/CI59</f>
        <v>0.7685325304887114</v>
      </c>
      <c r="CJ63" s="165">
        <f t="shared" si="103"/>
        <v>0.77074435556035614</v>
      </c>
      <c r="CK63" s="228">
        <f t="shared" si="103"/>
        <v>0.78906077465857472</v>
      </c>
      <c r="CL63" s="165">
        <f t="shared" si="103"/>
        <v>0.88058752707378918</v>
      </c>
      <c r="CM63" s="229">
        <f t="shared" si="103"/>
        <v>3.2089251877814275</v>
      </c>
      <c r="CN63" s="157">
        <f t="shared" si="103"/>
        <v>0.79416149005082015</v>
      </c>
      <c r="CO63" s="165">
        <f t="shared" si="103"/>
        <v>0.80356844956241702</v>
      </c>
      <c r="CP63" s="228">
        <f t="shared" si="103"/>
        <v>0.82002836346736552</v>
      </c>
      <c r="CQ63" s="165">
        <f t="shared" si="103"/>
        <v>0.94502788838567542</v>
      </c>
      <c r="CR63" s="229">
        <f t="shared" si="103"/>
        <v>3.36278619146628</v>
      </c>
      <c r="CS63" s="157">
        <f t="shared" ref="CS63:DB63" si="104">CS52/CS59</f>
        <v>0.81765139115697305</v>
      </c>
      <c r="CT63" s="165">
        <f t="shared" si="104"/>
        <v>0.82738558707314946</v>
      </c>
      <c r="CU63" s="228">
        <f t="shared" si="104"/>
        <v>0.84431882425692617</v>
      </c>
      <c r="CV63" s="165">
        <f t="shared" si="104"/>
        <v>1.0050438059510758</v>
      </c>
      <c r="CW63" s="229">
        <f t="shared" si="104"/>
        <v>3.4943996084381252</v>
      </c>
      <c r="CX63" s="157">
        <f t="shared" si="104"/>
        <v>0.85739404931601271</v>
      </c>
      <c r="CY63" s="165">
        <f t="shared" si="104"/>
        <v>0.8677432662714244</v>
      </c>
      <c r="CZ63" s="228">
        <f t="shared" si="104"/>
        <v>0.88528810846757067</v>
      </c>
      <c r="DA63" s="165">
        <f t="shared" si="104"/>
        <v>1.0610881499599218</v>
      </c>
      <c r="DB63" s="229">
        <f t="shared" si="104"/>
        <v>3.6715135740149338</v>
      </c>
      <c r="DC63" s="165"/>
      <c r="DD63" s="165"/>
      <c r="DE63" s="165"/>
      <c r="DF63" s="165"/>
      <c r="DG63" s="165"/>
      <c r="DH63" s="165"/>
      <c r="DI63" s="165"/>
      <c r="DJ63" s="165"/>
      <c r="DK63" s="166"/>
      <c r="DL63" s="166"/>
      <c r="DM63" s="67"/>
    </row>
    <row r="64" spans="1:117">
      <c r="A64" s="32" t="s">
        <v>358</v>
      </c>
      <c r="B64" s="158">
        <f t="shared" ref="B64:Z64" si="105">B57/B59</f>
        <v>1.038056032695611</v>
      </c>
      <c r="C64" s="166">
        <f t="shared" si="105"/>
        <v>0.17109578632503294</v>
      </c>
      <c r="D64" s="230">
        <f t="shared" si="105"/>
        <v>0.1948626358212863</v>
      </c>
      <c r="E64" s="166">
        <f t="shared" si="105"/>
        <v>0.89841403175588685</v>
      </c>
      <c r="F64" s="231">
        <f t="shared" si="105"/>
        <v>1.1481874816282795</v>
      </c>
      <c r="G64" s="158">
        <f t="shared" si="105"/>
        <v>0.48496860388645147</v>
      </c>
      <c r="H64" s="166">
        <f t="shared" si="105"/>
        <v>0.11393519282609892</v>
      </c>
      <c r="I64" s="230">
        <f t="shared" si="105"/>
        <v>0.81207988803152797</v>
      </c>
      <c r="J64" s="166">
        <f t="shared" si="105"/>
        <v>1.1495728562997649</v>
      </c>
      <c r="K64" s="231">
        <f t="shared" si="105"/>
        <v>2.5301603614614003</v>
      </c>
      <c r="L64" s="158">
        <f t="shared" si="105"/>
        <v>0.5845823251110549</v>
      </c>
      <c r="M64" s="166">
        <f t="shared" si="105"/>
        <v>0.32679834657973889</v>
      </c>
      <c r="N64" s="230">
        <f t="shared" si="105"/>
        <v>0.10616080751827359</v>
      </c>
      <c r="O64" s="166">
        <f t="shared" si="105"/>
        <v>0.33106339559025777</v>
      </c>
      <c r="P64" s="231">
        <f t="shared" si="105"/>
        <v>1.3378757304960822</v>
      </c>
      <c r="Q64" s="158">
        <f t="shared" si="105"/>
        <v>0.67811646144565485</v>
      </c>
      <c r="R64" s="166">
        <f t="shared" si="105"/>
        <v>0.15578478749579594</v>
      </c>
      <c r="S64" s="230">
        <f t="shared" si="105"/>
        <v>6.5674826066024108E-2</v>
      </c>
      <c r="T64" s="166">
        <f t="shared" si="105"/>
        <v>0.48753730282790964</v>
      </c>
      <c r="U64" s="231">
        <f t="shared" si="105"/>
        <v>1.3949065856648797</v>
      </c>
      <c r="V64" s="158">
        <f t="shared" si="105"/>
        <v>0.67962408217650561</v>
      </c>
      <c r="W64" s="166">
        <f t="shared" si="105"/>
        <v>0.19734237121954898</v>
      </c>
      <c r="X64" s="230">
        <f t="shared" si="105"/>
        <v>0.27468381990987922</v>
      </c>
      <c r="Y64" s="166">
        <f t="shared" si="105"/>
        <v>0.32306277958905155</v>
      </c>
      <c r="Z64" s="231">
        <f t="shared" si="105"/>
        <v>1.474607602118003</v>
      </c>
      <c r="AA64" s="158">
        <f t="shared" ref="AA64:AI64" si="106">AA57/AA59</f>
        <v>0.57827263011547958</v>
      </c>
      <c r="AB64" s="166">
        <f t="shared" si="106"/>
        <v>0.19669183577159038</v>
      </c>
      <c r="AC64" s="230">
        <f t="shared" si="106"/>
        <v>0.22557471264367815</v>
      </c>
      <c r="AD64" s="166">
        <f t="shared" si="106"/>
        <v>0.43626338739647236</v>
      </c>
      <c r="AE64" s="231">
        <f t="shared" si="106"/>
        <v>1.4364700902934537</v>
      </c>
      <c r="AF64" s="158">
        <f t="shared" si="106"/>
        <v>0.71938832510939377</v>
      </c>
      <c r="AG64" s="166">
        <f t="shared" si="106"/>
        <v>0.19345685194458354</v>
      </c>
      <c r="AH64" s="230">
        <f t="shared" si="106"/>
        <v>0.24933535220295211</v>
      </c>
      <c r="AI64" s="166">
        <f t="shared" si="106"/>
        <v>0.37957730311489868</v>
      </c>
      <c r="AJ64" s="231">
        <f>AJ57/AJ59</f>
        <v>1.5406120960177865</v>
      </c>
      <c r="AK64" s="158">
        <f>AK57/AK59</f>
        <v>0.59594793870616147</v>
      </c>
      <c r="AL64" s="439">
        <f>AL57/AL59</f>
        <v>0.25521614366379708</v>
      </c>
      <c r="AM64" s="230">
        <f>AM57/AM59</f>
        <v>0.28461356987826741</v>
      </c>
      <c r="AN64" s="166">
        <f>AN57/AN59</f>
        <v>0.54339567366302199</v>
      </c>
      <c r="AO64" s="231">
        <f t="shared" ref="AO64:BX64" si="107">AO57/AO59</f>
        <v>1.6811065837443706</v>
      </c>
      <c r="AP64" s="158">
        <f t="shared" si="107"/>
        <v>0.57995676226799842</v>
      </c>
      <c r="AQ64" s="166">
        <f t="shared" si="107"/>
        <v>0.28799626034072451</v>
      </c>
      <c r="AR64" s="230">
        <f>AR57/AR59</f>
        <v>0.31062583349209372</v>
      </c>
      <c r="AS64" s="166">
        <f>AS57/AS59</f>
        <v>0.53307398574862708</v>
      </c>
      <c r="AT64" s="231">
        <f>AT57/AT59</f>
        <v>1.7114490430556726</v>
      </c>
      <c r="AU64" s="158">
        <f t="shared" si="107"/>
        <v>0.53720077533443455</v>
      </c>
      <c r="AV64" s="166">
        <f>AV57/AV59</f>
        <v>4.3997816865670907E-3</v>
      </c>
      <c r="AW64" s="230">
        <f t="shared" si="107"/>
        <v>0.2970847050640088</v>
      </c>
      <c r="AX64" s="166">
        <f>AX57/AX59</f>
        <v>0.43094817432273241</v>
      </c>
      <c r="AY64" s="231">
        <f t="shared" si="107"/>
        <v>1.2710553579795338</v>
      </c>
      <c r="AZ64" s="158">
        <f t="shared" si="107"/>
        <v>0.44495779526659879</v>
      </c>
      <c r="BA64" s="166">
        <f t="shared" si="107"/>
        <v>0.29256683577495296</v>
      </c>
      <c r="BB64" s="230">
        <f t="shared" si="107"/>
        <v>0.30583747313281989</v>
      </c>
      <c r="BC64" s="166">
        <f t="shared" si="107"/>
        <v>0.44959935325867273</v>
      </c>
      <c r="BD64" s="231">
        <f t="shared" si="107"/>
        <v>1.4926805159873875</v>
      </c>
      <c r="BE64" s="158">
        <f>BE57/BE59</f>
        <v>0.28890921467971459</v>
      </c>
      <c r="BF64" s="386">
        <f>BF57/BF59</f>
        <v>0.36395596658484142</v>
      </c>
      <c r="BG64" s="230">
        <f t="shared" si="107"/>
        <v>0.39025004275047026</v>
      </c>
      <c r="BH64" s="386">
        <f t="shared" si="107"/>
        <v>0.121106116772592</v>
      </c>
      <c r="BI64" s="597">
        <f t="shared" si="107"/>
        <v>1.1639826943381131</v>
      </c>
      <c r="BJ64" s="158">
        <f t="shared" si="107"/>
        <v>0.39534564198776717</v>
      </c>
      <c r="BK64" s="386">
        <f t="shared" si="107"/>
        <v>0.40717280587468907</v>
      </c>
      <c r="BL64" s="230">
        <f>BL57/BL59</f>
        <v>0.43286512895194251</v>
      </c>
      <c r="BM64" s="166">
        <f t="shared" si="107"/>
        <v>0.42614051030449707</v>
      </c>
      <c r="BN64" s="231">
        <f t="shared" si="107"/>
        <v>1.6617390391067255</v>
      </c>
      <c r="BO64" s="158">
        <f t="shared" si="107"/>
        <v>0.40898961620209551</v>
      </c>
      <c r="BP64" s="166">
        <f t="shared" si="107"/>
        <v>0.33398127207820122</v>
      </c>
      <c r="BQ64" s="230">
        <f t="shared" si="107"/>
        <v>0.43155399184703941</v>
      </c>
      <c r="BR64" s="386">
        <f t="shared" si="107"/>
        <v>0.1627937736328601</v>
      </c>
      <c r="BS64" s="231">
        <f t="shared" si="107"/>
        <v>1.2938922079626014</v>
      </c>
      <c r="BT64" s="158">
        <f t="shared" si="107"/>
        <v>0.70673868691947406</v>
      </c>
      <c r="BU64" s="166">
        <f t="shared" si="107"/>
        <v>0.61374821174436267</v>
      </c>
      <c r="BV64" s="230">
        <f t="shared" si="107"/>
        <v>0.63145705625759896</v>
      </c>
      <c r="BW64" s="166">
        <f t="shared" si="107"/>
        <v>0.61775462894243205</v>
      </c>
      <c r="BX64" s="231">
        <f t="shared" si="107"/>
        <v>2.5696985838638708</v>
      </c>
      <c r="BY64" s="158">
        <f t="shared" ref="BY64:CH64" si="108">BY57/BY59</f>
        <v>0.72272269588593208</v>
      </c>
      <c r="BZ64" s="166">
        <f t="shared" si="108"/>
        <v>0.68160037059219103</v>
      </c>
      <c r="CA64" s="230">
        <f t="shared" si="108"/>
        <v>0.69044839270832348</v>
      </c>
      <c r="CB64" s="166">
        <f t="shared" si="108"/>
        <v>0.67537953994552946</v>
      </c>
      <c r="CC64" s="231">
        <f t="shared" si="108"/>
        <v>2.7701509991319777</v>
      </c>
      <c r="CD64" s="158">
        <f t="shared" si="108"/>
        <v>0.72263198632727177</v>
      </c>
      <c r="CE64" s="166">
        <f t="shared" si="108"/>
        <v>0.70336180497426459</v>
      </c>
      <c r="CF64" s="230">
        <f t="shared" si="108"/>
        <v>0.73372680050357608</v>
      </c>
      <c r="CG64" s="166">
        <f t="shared" si="108"/>
        <v>0.79144312495648528</v>
      </c>
      <c r="CH64" s="231">
        <f t="shared" si="108"/>
        <v>2.9511637167616005</v>
      </c>
      <c r="CI64" s="158">
        <f t="shared" ref="CI64:CR64" si="109">CI57/CI59</f>
        <v>0.7685325304887114</v>
      </c>
      <c r="CJ64" s="166">
        <f t="shared" si="109"/>
        <v>0.77074435556035614</v>
      </c>
      <c r="CK64" s="230">
        <f t="shared" si="109"/>
        <v>0.78906077465857472</v>
      </c>
      <c r="CL64" s="166">
        <f t="shared" si="109"/>
        <v>0.88058752707378918</v>
      </c>
      <c r="CM64" s="231">
        <f t="shared" si="109"/>
        <v>3.2089251877814275</v>
      </c>
      <c r="CN64" s="158">
        <f t="shared" si="109"/>
        <v>0.79416149005082015</v>
      </c>
      <c r="CO64" s="166">
        <f t="shared" si="109"/>
        <v>0.80356844956241702</v>
      </c>
      <c r="CP64" s="230">
        <f t="shared" si="109"/>
        <v>0.82002836346736552</v>
      </c>
      <c r="CQ64" s="166">
        <f t="shared" si="109"/>
        <v>0.94502788838567542</v>
      </c>
      <c r="CR64" s="231">
        <f t="shared" si="109"/>
        <v>3.36278619146628</v>
      </c>
      <c r="CS64" s="158">
        <f t="shared" ref="CS64:DB64" si="110">CS57/CS59</f>
        <v>0.81765139115697305</v>
      </c>
      <c r="CT64" s="166">
        <f t="shared" si="110"/>
        <v>0.82738558707314946</v>
      </c>
      <c r="CU64" s="230">
        <f t="shared" si="110"/>
        <v>0.84431882425692617</v>
      </c>
      <c r="CV64" s="166">
        <f t="shared" si="110"/>
        <v>1.0050438059510758</v>
      </c>
      <c r="CW64" s="231">
        <f t="shared" si="110"/>
        <v>3.4943996084381252</v>
      </c>
      <c r="CX64" s="158">
        <f t="shared" si="110"/>
        <v>0.85739404931601271</v>
      </c>
      <c r="CY64" s="166">
        <f t="shared" si="110"/>
        <v>0.8677432662714244</v>
      </c>
      <c r="CZ64" s="230">
        <f t="shared" si="110"/>
        <v>0.88528810846757067</v>
      </c>
      <c r="DA64" s="166">
        <f t="shared" si="110"/>
        <v>1.0610881499599218</v>
      </c>
      <c r="DB64" s="231">
        <f t="shared" si="110"/>
        <v>3.6715135740149338</v>
      </c>
      <c r="DC64" s="166"/>
      <c r="DD64" s="166"/>
      <c r="DE64" s="166"/>
      <c r="DF64" s="166"/>
      <c r="DG64" s="166"/>
      <c r="DH64" s="166"/>
      <c r="DI64" s="166"/>
      <c r="DJ64" s="166"/>
      <c r="DK64" s="166"/>
      <c r="DL64" s="166"/>
      <c r="DM64" s="67"/>
    </row>
    <row r="65" spans="1:123">
      <c r="A65" s="32"/>
      <c r="B65" s="201"/>
      <c r="C65" s="202"/>
      <c r="D65" s="203"/>
      <c r="E65" s="202"/>
      <c r="F65" s="204"/>
      <c r="G65" s="201"/>
      <c r="H65" s="202"/>
      <c r="I65" s="203"/>
      <c r="J65" s="202"/>
      <c r="K65" s="204"/>
      <c r="L65" s="201"/>
      <c r="M65" s="202"/>
      <c r="N65" s="203"/>
      <c r="O65" s="202"/>
      <c r="P65" s="204"/>
      <c r="Q65" s="201"/>
      <c r="R65" s="202"/>
      <c r="S65" s="203"/>
      <c r="T65" s="202"/>
      <c r="U65" s="204"/>
      <c r="V65" s="201"/>
      <c r="W65" s="202"/>
      <c r="X65" s="203"/>
      <c r="Y65" s="202"/>
      <c r="Z65" s="204"/>
      <c r="AA65" s="201"/>
      <c r="AB65" s="202"/>
      <c r="AC65" s="203"/>
      <c r="AD65" s="202"/>
      <c r="AE65" s="204"/>
      <c r="AF65" s="201"/>
      <c r="AG65" s="202"/>
      <c r="AH65" s="203"/>
      <c r="AI65" s="202"/>
      <c r="AJ65" s="204"/>
      <c r="AK65" s="201"/>
      <c r="AL65" s="202"/>
      <c r="AM65" s="203"/>
      <c r="AN65" s="202"/>
      <c r="AO65" s="204"/>
      <c r="AP65" s="201"/>
      <c r="AQ65" s="202"/>
      <c r="AR65" s="203"/>
      <c r="AS65" s="202"/>
      <c r="AT65" s="204"/>
      <c r="AU65" s="201"/>
      <c r="AV65" s="202"/>
      <c r="AW65" s="203"/>
      <c r="AX65" s="202"/>
      <c r="AY65" s="204"/>
      <c r="AZ65" s="201"/>
      <c r="BA65" s="202"/>
      <c r="BB65" s="203"/>
      <c r="BC65" s="202"/>
      <c r="BD65" s="204"/>
      <c r="BE65" s="201"/>
      <c r="BF65" s="202"/>
      <c r="BG65" s="203"/>
      <c r="BH65" s="202"/>
      <c r="BI65" s="204"/>
      <c r="BJ65" s="201"/>
      <c r="BK65" s="202"/>
      <c r="BL65" s="203"/>
      <c r="BM65" s="202"/>
      <c r="BN65" s="204"/>
      <c r="BO65" s="201"/>
      <c r="BP65" s="202"/>
      <c r="BQ65" s="203"/>
      <c r="BR65" s="202"/>
      <c r="BS65" s="204"/>
      <c r="BT65" s="201"/>
      <c r="BU65" s="202"/>
      <c r="BV65" s="203"/>
      <c r="BW65" s="202"/>
      <c r="BX65" s="204"/>
      <c r="BY65" s="201"/>
      <c r="BZ65" s="202"/>
      <c r="CA65" s="203"/>
      <c r="CB65" s="202"/>
      <c r="CC65" s="204"/>
      <c r="CD65" s="201"/>
      <c r="CE65" s="202"/>
      <c r="CF65" s="203"/>
      <c r="CG65" s="202"/>
      <c r="CH65" s="204"/>
      <c r="CI65" s="201"/>
      <c r="CJ65" s="202"/>
      <c r="CK65" s="203"/>
      <c r="CL65" s="202"/>
      <c r="CM65" s="204"/>
      <c r="CN65" s="201"/>
      <c r="CO65" s="202"/>
      <c r="CP65" s="203"/>
      <c r="CQ65" s="202"/>
      <c r="CR65" s="204"/>
      <c r="CS65" s="201"/>
      <c r="CT65" s="202"/>
      <c r="CU65" s="203"/>
      <c r="CV65" s="202"/>
      <c r="CW65" s="204"/>
      <c r="CX65" s="201"/>
      <c r="CY65" s="202"/>
      <c r="CZ65" s="203"/>
      <c r="DA65" s="202"/>
      <c r="DB65" s="204"/>
      <c r="DC65" s="202"/>
      <c r="DD65" s="202"/>
      <c r="DE65" s="202"/>
      <c r="DF65" s="202"/>
      <c r="DG65" s="202"/>
      <c r="DH65" s="202"/>
      <c r="DI65" s="202"/>
      <c r="DJ65" s="202"/>
      <c r="DK65" s="402"/>
      <c r="DL65" s="402"/>
      <c r="DM65" s="67"/>
    </row>
    <row r="66" spans="1:123">
      <c r="A66" s="32" t="s">
        <v>748</v>
      </c>
      <c r="B66" s="157">
        <f t="shared" ref="B66:Z66" si="111">(B52)/B67</f>
        <v>1.038056032695611</v>
      </c>
      <c r="C66" s="165">
        <f t="shared" si="111"/>
        <v>0.17109578632503294</v>
      </c>
      <c r="D66" s="228">
        <f t="shared" si="111"/>
        <v>0.15476613491425259</v>
      </c>
      <c r="E66" s="165">
        <f t="shared" si="111"/>
        <v>0.77773618326744154</v>
      </c>
      <c r="F66" s="229">
        <f t="shared" si="111"/>
        <v>1.0651947165302813</v>
      </c>
      <c r="G66" s="157">
        <f t="shared" si="111"/>
        <v>0.45845532923126819</v>
      </c>
      <c r="H66" s="165">
        <f t="shared" si="111"/>
        <v>7.8276576626139266E-2</v>
      </c>
      <c r="I66" s="228">
        <f t="shared" si="111"/>
        <v>0.20540137382368648</v>
      </c>
      <c r="J66" s="165">
        <f t="shared" si="111"/>
        <v>0.35444391009028603</v>
      </c>
      <c r="K66" s="229">
        <f t="shared" si="111"/>
        <v>1.095945382579135</v>
      </c>
      <c r="L66" s="157">
        <f t="shared" si="111"/>
        <v>0.58208944991450395</v>
      </c>
      <c r="M66" s="165">
        <f t="shared" si="111"/>
        <v>3.1354400091627696E-2</v>
      </c>
      <c r="N66" s="228">
        <f t="shared" si="111"/>
        <v>0.10612144559087121</v>
      </c>
      <c r="O66" s="165">
        <f t="shared" si="111"/>
        <v>0.33059206993929385</v>
      </c>
      <c r="P66" s="229">
        <f t="shared" si="111"/>
        <v>1.0277762669343877</v>
      </c>
      <c r="Q66" s="157">
        <f t="shared" si="111"/>
        <v>0.67211773048516332</v>
      </c>
      <c r="R66" s="165">
        <f t="shared" si="111"/>
        <v>0.15678723816719448</v>
      </c>
      <c r="S66" s="228">
        <f t="shared" si="111"/>
        <v>6.5503867755150449E-2</v>
      </c>
      <c r="T66" s="165">
        <f t="shared" si="111"/>
        <v>0.48749077610639702</v>
      </c>
      <c r="U66" s="229">
        <f t="shared" si="111"/>
        <v>1.3895454722854013</v>
      </c>
      <c r="V66" s="157">
        <f t="shared" si="111"/>
        <v>0.67958663652707285</v>
      </c>
      <c r="W66" s="165">
        <f t="shared" si="111"/>
        <v>0.19735386569374827</v>
      </c>
      <c r="X66" s="228">
        <f t="shared" si="111"/>
        <v>0.2709038423309279</v>
      </c>
      <c r="Y66" s="165">
        <f t="shared" si="111"/>
        <v>0.320182576053753</v>
      </c>
      <c r="Z66" s="229">
        <f t="shared" si="111"/>
        <v>1.4679326679165292</v>
      </c>
      <c r="AA66" s="157">
        <f t="shared" ref="AA66:AI66" si="112">(AA52)/AA67</f>
        <v>0.576358429724245</v>
      </c>
      <c r="AB66" s="165">
        <f t="shared" si="112"/>
        <v>0.37173766916158441</v>
      </c>
      <c r="AC66" s="228">
        <f t="shared" si="112"/>
        <v>0.45790467190376205</v>
      </c>
      <c r="AD66" s="165">
        <f t="shared" si="112"/>
        <v>0.86364689341000556</v>
      </c>
      <c r="AE66" s="229">
        <f t="shared" si="112"/>
        <v>1.4226916939096887</v>
      </c>
      <c r="AF66" s="157">
        <f t="shared" si="112"/>
        <v>1.4432377064876278</v>
      </c>
      <c r="AG66" s="165">
        <f t="shared" si="112"/>
        <v>0.38845700508987568</v>
      </c>
      <c r="AH66" s="228">
        <f t="shared" si="112"/>
        <v>0.45757646255863882</v>
      </c>
      <c r="AI66" s="165">
        <f t="shared" si="112"/>
        <v>0.37510448606514463</v>
      </c>
      <c r="AJ66" s="229">
        <f>(AJ52)/AJ67</f>
        <v>1.5185998382043246</v>
      </c>
      <c r="AK66" s="157">
        <f>(AK52)/AK67</f>
        <v>0.59737177788839058</v>
      </c>
      <c r="AL66" s="438">
        <f>(AL52)/AL67</f>
        <v>0.25581430916379871</v>
      </c>
      <c r="AM66" s="228">
        <f>(AM52)/AM67</f>
        <v>0.28481204040964769</v>
      </c>
      <c r="AN66" s="165">
        <f>(AN52)/AN67</f>
        <v>0.53911873706769708</v>
      </c>
      <c r="AO66" s="229">
        <f t="shared" ref="AO66:BX66" si="113">(AO52)/AO67</f>
        <v>1.6791348402273647</v>
      </c>
      <c r="AP66" s="157">
        <f t="shared" si="113"/>
        <v>0.54316180296243077</v>
      </c>
      <c r="AQ66" s="165">
        <f t="shared" si="113"/>
        <v>0.2839549077272589</v>
      </c>
      <c r="AR66" s="228">
        <f>(AR52)/AR67</f>
        <v>0.31184530764015134</v>
      </c>
      <c r="AS66" s="165">
        <f>(AS52)/AS67</f>
        <v>0.51520574076085823</v>
      </c>
      <c r="AT66" s="229">
        <f>(AT52)/AT67</f>
        <v>1.653863933991935</v>
      </c>
      <c r="AU66" s="157">
        <f t="shared" si="113"/>
        <v>0.53708144612151842</v>
      </c>
      <c r="AV66" s="165">
        <f>(AV52)/AV67</f>
        <v>0.33572286645075911</v>
      </c>
      <c r="AW66" s="228">
        <f t="shared" si="113"/>
        <v>0.347804357458324</v>
      </c>
      <c r="AX66" s="165">
        <f t="shared" si="113"/>
        <v>0.5007629944146812</v>
      </c>
      <c r="AY66" s="229">
        <f t="shared" si="113"/>
        <v>1.7218313499237901</v>
      </c>
      <c r="AZ66" s="157">
        <f t="shared" si="113"/>
        <v>0.43647333862753968</v>
      </c>
      <c r="BA66" s="165">
        <f t="shared" si="113"/>
        <v>0.33065778342234386</v>
      </c>
      <c r="BB66" s="228">
        <f t="shared" si="113"/>
        <v>0.39225869357892185</v>
      </c>
      <c r="BC66" s="165">
        <f t="shared" si="113"/>
        <v>0.42170863352117366</v>
      </c>
      <c r="BD66" s="229">
        <f t="shared" si="113"/>
        <v>1.5809974249146805</v>
      </c>
      <c r="BE66" s="157">
        <f>(BE52)/BE67</f>
        <v>0.28962191548316596</v>
      </c>
      <c r="BF66" s="385">
        <f>(BF52)/BF67</f>
        <v>0.36404159768605737</v>
      </c>
      <c r="BG66" s="228">
        <f t="shared" si="113"/>
        <v>0.39369858068438751</v>
      </c>
      <c r="BH66" s="385">
        <f t="shared" si="113"/>
        <v>1.3549693140879899</v>
      </c>
      <c r="BI66" s="596">
        <f t="shared" si="113"/>
        <v>2.4033451672854995</v>
      </c>
      <c r="BJ66" s="157">
        <f t="shared" si="113"/>
        <v>0.3799290286207011</v>
      </c>
      <c r="BK66" s="385">
        <f t="shared" si="113"/>
        <v>0.41020490347033045</v>
      </c>
      <c r="BL66" s="228">
        <f>(BL52)/BL67</f>
        <v>0.40588152393479587</v>
      </c>
      <c r="BM66" s="165">
        <f t="shared" si="113"/>
        <v>0.42978486978712988</v>
      </c>
      <c r="BN66" s="229">
        <f t="shared" si="113"/>
        <v>1.6259400825349097</v>
      </c>
      <c r="BO66" s="157">
        <f t="shared" si="113"/>
        <v>0.4090223874308293</v>
      </c>
      <c r="BP66" s="165">
        <f t="shared" si="113"/>
        <v>0.33100480346896438</v>
      </c>
      <c r="BQ66" s="228">
        <f t="shared" si="113"/>
        <v>0.43083936894102798</v>
      </c>
      <c r="BR66" s="385">
        <f t="shared" si="113"/>
        <v>0.16274190452972878</v>
      </c>
      <c r="BS66" s="229">
        <f t="shared" si="113"/>
        <v>1.2908035055435356</v>
      </c>
      <c r="BT66" s="157">
        <f t="shared" si="113"/>
        <v>0.70673868691947406</v>
      </c>
      <c r="BU66" s="165">
        <f t="shared" si="113"/>
        <v>0.61374821174436267</v>
      </c>
      <c r="BV66" s="228">
        <f t="shared" si="113"/>
        <v>0.63145705625759896</v>
      </c>
      <c r="BW66" s="165">
        <f t="shared" si="113"/>
        <v>0.61775462894243205</v>
      </c>
      <c r="BX66" s="229">
        <f t="shared" si="113"/>
        <v>2.5696985838638708</v>
      </c>
      <c r="BY66" s="157">
        <f t="shared" ref="BY66:CH66" si="114">(BY52)/BY67</f>
        <v>0.72272269588593208</v>
      </c>
      <c r="BZ66" s="165">
        <f t="shared" si="114"/>
        <v>0.68160037059219103</v>
      </c>
      <c r="CA66" s="228">
        <f t="shared" si="114"/>
        <v>0.69044839270832348</v>
      </c>
      <c r="CB66" s="165">
        <f t="shared" si="114"/>
        <v>0.67537953994552946</v>
      </c>
      <c r="CC66" s="229">
        <f t="shared" si="114"/>
        <v>2.7701509991319777</v>
      </c>
      <c r="CD66" s="157">
        <f t="shared" si="114"/>
        <v>0.72263198632727177</v>
      </c>
      <c r="CE66" s="165">
        <f t="shared" si="114"/>
        <v>0.70336180497426459</v>
      </c>
      <c r="CF66" s="228">
        <f t="shared" si="114"/>
        <v>0.73372680050357608</v>
      </c>
      <c r="CG66" s="165">
        <f t="shared" si="114"/>
        <v>0.79144312495648528</v>
      </c>
      <c r="CH66" s="229">
        <f t="shared" si="114"/>
        <v>2.9511637167616005</v>
      </c>
      <c r="CI66" s="157">
        <f t="shared" ref="CI66:CR66" si="115">(CI52)/CI67</f>
        <v>0.7685325304887114</v>
      </c>
      <c r="CJ66" s="165">
        <f t="shared" si="115"/>
        <v>0.77074435556035614</v>
      </c>
      <c r="CK66" s="228">
        <f t="shared" si="115"/>
        <v>0.78906077465857472</v>
      </c>
      <c r="CL66" s="165">
        <f t="shared" si="115"/>
        <v>0.88058752707378918</v>
      </c>
      <c r="CM66" s="229">
        <f t="shared" si="115"/>
        <v>3.2089251877814275</v>
      </c>
      <c r="CN66" s="157">
        <f t="shared" si="115"/>
        <v>0.79416149005082015</v>
      </c>
      <c r="CO66" s="165">
        <f t="shared" si="115"/>
        <v>0.80356844956241702</v>
      </c>
      <c r="CP66" s="228">
        <f t="shared" si="115"/>
        <v>0.82002836346736552</v>
      </c>
      <c r="CQ66" s="165">
        <f t="shared" si="115"/>
        <v>0.94502788838567542</v>
      </c>
      <c r="CR66" s="229">
        <f t="shared" si="115"/>
        <v>3.36278619146628</v>
      </c>
      <c r="CS66" s="157">
        <f t="shared" ref="CS66:DB66" si="116">(CS52)/CS67</f>
        <v>0.81765139115697305</v>
      </c>
      <c r="CT66" s="165">
        <f t="shared" si="116"/>
        <v>0.82738558707314946</v>
      </c>
      <c r="CU66" s="228">
        <f t="shared" si="116"/>
        <v>0.84431882425692617</v>
      </c>
      <c r="CV66" s="165">
        <f t="shared" si="116"/>
        <v>1.0050438059510758</v>
      </c>
      <c r="CW66" s="229">
        <f t="shared" si="116"/>
        <v>3.4943996084381252</v>
      </c>
      <c r="CX66" s="157">
        <f t="shared" si="116"/>
        <v>0.85739404931601271</v>
      </c>
      <c r="CY66" s="165">
        <f t="shared" si="116"/>
        <v>0.8677432662714244</v>
      </c>
      <c r="CZ66" s="228">
        <f t="shared" si="116"/>
        <v>0.88528810846757067</v>
      </c>
      <c r="DA66" s="165">
        <f t="shared" si="116"/>
        <v>1.0610881499599218</v>
      </c>
      <c r="DB66" s="229">
        <f t="shared" si="116"/>
        <v>3.6715135740149338</v>
      </c>
      <c r="DC66" s="165"/>
      <c r="DD66" s="165"/>
      <c r="DE66" s="165"/>
      <c r="DF66" s="165"/>
      <c r="DG66" s="165"/>
      <c r="DH66" s="165"/>
      <c r="DI66" s="165"/>
      <c r="DJ66" s="165"/>
      <c r="DK66" s="166"/>
      <c r="DL66" s="166"/>
      <c r="DM66" s="67"/>
    </row>
    <row r="67" spans="1:123">
      <c r="A67" s="10" t="s">
        <v>749</v>
      </c>
      <c r="B67" s="154">
        <f t="shared" ref="B67:K67" si="117">B59</f>
        <v>101298</v>
      </c>
      <c r="C67" s="162">
        <f t="shared" si="117"/>
        <v>103971</v>
      </c>
      <c r="D67" s="3">
        <f t="shared" si="117"/>
        <v>106942</v>
      </c>
      <c r="E67" s="3">
        <f t="shared" si="117"/>
        <v>109523</v>
      </c>
      <c r="F67" s="93">
        <f t="shared" si="117"/>
        <v>210922</v>
      </c>
      <c r="G67" s="154">
        <f t="shared" si="117"/>
        <v>222002</v>
      </c>
      <c r="H67" s="162">
        <f t="shared" si="117"/>
        <v>218124</v>
      </c>
      <c r="I67" s="3">
        <f t="shared" si="117"/>
        <v>217204</v>
      </c>
      <c r="J67" s="3">
        <f t="shared" si="117"/>
        <v>206722</v>
      </c>
      <c r="K67" s="93">
        <f t="shared" si="117"/>
        <v>216012</v>
      </c>
      <c r="L67" s="154">
        <f t="shared" ref="L67:Z67" si="118">L59</f>
        <v>221512</v>
      </c>
      <c r="M67" s="162">
        <f t="shared" si="118"/>
        <v>238052</v>
      </c>
      <c r="N67" s="3">
        <f t="shared" si="118"/>
        <v>229840</v>
      </c>
      <c r="O67" s="3">
        <f t="shared" si="118"/>
        <v>225410</v>
      </c>
      <c r="P67" s="93">
        <f t="shared" si="118"/>
        <v>228954</v>
      </c>
      <c r="Q67" s="154">
        <f t="shared" si="118"/>
        <v>225448</v>
      </c>
      <c r="R67" s="162">
        <f t="shared" si="118"/>
        <v>225972</v>
      </c>
      <c r="S67" s="3">
        <f t="shared" si="118"/>
        <v>211862</v>
      </c>
      <c r="T67" s="3">
        <f t="shared" si="118"/>
        <v>211110</v>
      </c>
      <c r="U67" s="93">
        <f t="shared" si="118"/>
        <v>218596</v>
      </c>
      <c r="V67" s="154">
        <f t="shared" si="118"/>
        <v>211642</v>
      </c>
      <c r="W67" s="162">
        <f t="shared" si="118"/>
        <v>212144</v>
      </c>
      <c r="X67" s="3">
        <f t="shared" si="118"/>
        <v>211272</v>
      </c>
      <c r="Y67" s="3">
        <f t="shared" si="118"/>
        <v>211024</v>
      </c>
      <c r="Z67" s="93">
        <f t="shared" si="118"/>
        <v>211520</v>
      </c>
      <c r="AA67" s="154">
        <f>AA59</f>
        <v>211466</v>
      </c>
      <c r="AB67" s="40">
        <v>105950</v>
      </c>
      <c r="AC67" s="195">
        <v>106488</v>
      </c>
      <c r="AD67" s="195">
        <v>107097</v>
      </c>
      <c r="AE67" s="232">
        <f t="shared" ref="AE67:AL67" si="119">AE59</f>
        <v>212640</v>
      </c>
      <c r="AF67" s="196">
        <v>107410</v>
      </c>
      <c r="AG67" s="195">
        <v>107838</v>
      </c>
      <c r="AH67" s="195">
        <v>107651</v>
      </c>
      <c r="AI67" s="102">
        <f t="shared" si="119"/>
        <v>217792</v>
      </c>
      <c r="AJ67" s="232">
        <f t="shared" si="119"/>
        <v>215897.5</v>
      </c>
      <c r="AK67" s="103">
        <f t="shared" si="119"/>
        <v>218358</v>
      </c>
      <c r="AL67" s="440">
        <f t="shared" si="119"/>
        <v>216060</v>
      </c>
      <c r="AM67" s="102">
        <f t="shared" ref="AM67:BX67" si="120">AM59</f>
        <v>211940</v>
      </c>
      <c r="AN67" s="102">
        <f t="shared" si="120"/>
        <v>211634</v>
      </c>
      <c r="AO67" s="232">
        <f t="shared" si="120"/>
        <v>214498</v>
      </c>
      <c r="AP67" s="103">
        <f t="shared" si="120"/>
        <v>211852</v>
      </c>
      <c r="AQ67" s="102">
        <f t="shared" si="120"/>
        <v>211784</v>
      </c>
      <c r="AR67" s="102">
        <f>AR59</f>
        <v>209960</v>
      </c>
      <c r="AS67" s="102">
        <f>AS59</f>
        <v>209243</v>
      </c>
      <c r="AT67" s="232">
        <f>AT59</f>
        <v>210709.75</v>
      </c>
      <c r="AU67" s="103">
        <f t="shared" si="120"/>
        <v>209458</v>
      </c>
      <c r="AV67" s="102">
        <f>AV59</f>
        <v>208874</v>
      </c>
      <c r="AW67" s="102">
        <f t="shared" si="120"/>
        <v>209893</v>
      </c>
      <c r="AX67" s="102">
        <f t="shared" si="120"/>
        <v>210552</v>
      </c>
      <c r="AY67" s="232">
        <f t="shared" si="120"/>
        <v>209694.25</v>
      </c>
      <c r="AZ67" s="103">
        <f t="shared" si="120"/>
        <v>210166</v>
      </c>
      <c r="BA67" s="102">
        <f t="shared" si="120"/>
        <v>210516</v>
      </c>
      <c r="BB67" s="102">
        <f t="shared" si="120"/>
        <v>210759</v>
      </c>
      <c r="BC67" s="102">
        <f t="shared" si="120"/>
        <v>210285</v>
      </c>
      <c r="BD67" s="232">
        <f t="shared" si="120"/>
        <v>210431.5</v>
      </c>
      <c r="BE67" s="103">
        <f>BE59</f>
        <v>210467</v>
      </c>
      <c r="BF67" s="102">
        <f>BF59</f>
        <v>210204</v>
      </c>
      <c r="BG67" s="102">
        <f t="shared" si="120"/>
        <v>210524</v>
      </c>
      <c r="BH67" s="102">
        <f t="shared" si="120"/>
        <v>210683</v>
      </c>
      <c r="BI67" s="232">
        <f t="shared" si="120"/>
        <v>210469.5</v>
      </c>
      <c r="BJ67" s="103">
        <f t="shared" si="120"/>
        <v>211071</v>
      </c>
      <c r="BK67" s="102">
        <f t="shared" si="120"/>
        <v>211075</v>
      </c>
      <c r="BL67" s="102">
        <f>BL59</f>
        <v>212870</v>
      </c>
      <c r="BM67" s="102">
        <f t="shared" si="120"/>
        <v>212383</v>
      </c>
      <c r="BN67" s="232">
        <f t="shared" si="120"/>
        <v>211849.75</v>
      </c>
      <c r="BO67" s="103">
        <f t="shared" si="120"/>
        <v>213602</v>
      </c>
      <c r="BP67" s="102">
        <f t="shared" si="120"/>
        <v>214012</v>
      </c>
      <c r="BQ67" s="102">
        <f t="shared" si="120"/>
        <v>383419</v>
      </c>
      <c r="BR67" s="102">
        <f t="shared" si="120"/>
        <v>385586</v>
      </c>
      <c r="BS67" s="232">
        <f t="shared" si="120"/>
        <v>299154.75</v>
      </c>
      <c r="BT67" s="103">
        <f t="shared" si="120"/>
        <v>404586</v>
      </c>
      <c r="BU67" s="102">
        <f t="shared" si="120"/>
        <v>404586</v>
      </c>
      <c r="BV67" s="102">
        <f t="shared" si="120"/>
        <v>404586</v>
      </c>
      <c r="BW67" s="102">
        <f t="shared" si="120"/>
        <v>404586</v>
      </c>
      <c r="BX67" s="232">
        <f t="shared" si="120"/>
        <v>404586</v>
      </c>
      <c r="BY67" s="103">
        <f t="shared" ref="BY67:CH67" si="121">BY59</f>
        <v>404586</v>
      </c>
      <c r="BZ67" s="102">
        <f t="shared" si="121"/>
        <v>404586</v>
      </c>
      <c r="CA67" s="102">
        <f t="shared" si="121"/>
        <v>404586</v>
      </c>
      <c r="CB67" s="102">
        <f t="shared" si="121"/>
        <v>404586</v>
      </c>
      <c r="CC67" s="232">
        <f t="shared" si="121"/>
        <v>404586</v>
      </c>
      <c r="CD67" s="103">
        <f t="shared" si="121"/>
        <v>404586</v>
      </c>
      <c r="CE67" s="102">
        <f t="shared" si="121"/>
        <v>404586</v>
      </c>
      <c r="CF67" s="102">
        <f t="shared" si="121"/>
        <v>404586</v>
      </c>
      <c r="CG67" s="102">
        <f t="shared" si="121"/>
        <v>404586</v>
      </c>
      <c r="CH67" s="232">
        <f t="shared" si="121"/>
        <v>404586</v>
      </c>
      <c r="CI67" s="103">
        <f t="shared" ref="CI67:CR67" si="122">CI59</f>
        <v>404586</v>
      </c>
      <c r="CJ67" s="102">
        <f t="shared" si="122"/>
        <v>404586</v>
      </c>
      <c r="CK67" s="102">
        <f t="shared" si="122"/>
        <v>404586</v>
      </c>
      <c r="CL67" s="102">
        <f t="shared" si="122"/>
        <v>404586</v>
      </c>
      <c r="CM67" s="232">
        <f t="shared" si="122"/>
        <v>404586</v>
      </c>
      <c r="CN67" s="103">
        <f t="shared" si="122"/>
        <v>404586</v>
      </c>
      <c r="CO67" s="102">
        <f t="shared" si="122"/>
        <v>404586</v>
      </c>
      <c r="CP67" s="102">
        <f t="shared" si="122"/>
        <v>404586</v>
      </c>
      <c r="CQ67" s="102">
        <f t="shared" si="122"/>
        <v>404586</v>
      </c>
      <c r="CR67" s="232">
        <f t="shared" si="122"/>
        <v>404586</v>
      </c>
      <c r="CS67" s="103">
        <f t="shared" ref="CS67:DB67" si="123">CS59</f>
        <v>404586</v>
      </c>
      <c r="CT67" s="102">
        <f t="shared" si="123"/>
        <v>404586</v>
      </c>
      <c r="CU67" s="102">
        <f t="shared" si="123"/>
        <v>404586</v>
      </c>
      <c r="CV67" s="102">
        <f t="shared" si="123"/>
        <v>404586</v>
      </c>
      <c r="CW67" s="232">
        <f t="shared" si="123"/>
        <v>404586</v>
      </c>
      <c r="CX67" s="103">
        <f t="shared" si="123"/>
        <v>404586</v>
      </c>
      <c r="CY67" s="102">
        <f t="shared" si="123"/>
        <v>404586</v>
      </c>
      <c r="CZ67" s="102">
        <f t="shared" si="123"/>
        <v>404586</v>
      </c>
      <c r="DA67" s="102">
        <f t="shared" si="123"/>
        <v>404586</v>
      </c>
      <c r="DB67" s="232">
        <f t="shared" si="123"/>
        <v>404586</v>
      </c>
      <c r="DC67" s="556"/>
      <c r="DD67" s="556"/>
      <c r="DE67" s="556"/>
      <c r="DF67" s="556"/>
      <c r="DG67" s="556"/>
      <c r="DH67" s="556"/>
      <c r="DI67" s="556"/>
      <c r="DJ67" s="556"/>
      <c r="DK67" s="403"/>
      <c r="DL67" s="403"/>
      <c r="DM67" s="61"/>
    </row>
    <row r="68" spans="1:123">
      <c r="A68" s="10"/>
      <c r="B68" s="41"/>
      <c r="C68" s="40"/>
      <c r="D68" s="178"/>
      <c r="E68" s="178"/>
      <c r="F68" s="194"/>
      <c r="G68" s="41"/>
      <c r="H68" s="40"/>
      <c r="I68" s="178"/>
      <c r="J68" s="178"/>
      <c r="K68" s="194"/>
      <c r="L68" s="41"/>
      <c r="M68" s="40"/>
      <c r="N68" s="178"/>
      <c r="O68" s="178"/>
      <c r="P68" s="194"/>
      <c r="Q68" s="41"/>
      <c r="R68" s="40"/>
      <c r="S68" s="178"/>
      <c r="T68" s="178"/>
      <c r="U68" s="194"/>
      <c r="V68" s="41"/>
      <c r="W68" s="40"/>
      <c r="X68" s="178"/>
      <c r="Y68" s="178"/>
      <c r="Z68" s="194"/>
      <c r="AA68" s="41"/>
      <c r="AB68" s="18"/>
      <c r="AC68" s="18"/>
      <c r="AD68" s="18"/>
      <c r="AE68" s="205"/>
      <c r="AF68" s="19"/>
      <c r="AG68" s="18"/>
      <c r="AH68" s="18"/>
      <c r="AI68" s="18"/>
      <c r="AJ68" s="205"/>
      <c r="AK68" s="19"/>
      <c r="AL68" s="482"/>
      <c r="AM68" s="482"/>
      <c r="AN68" s="482"/>
      <c r="AO68" s="205"/>
      <c r="AP68" s="19"/>
      <c r="AQ68" s="482"/>
      <c r="AR68" s="482"/>
      <c r="AS68" s="482"/>
      <c r="AT68" s="205"/>
      <c r="AU68" s="19"/>
      <c r="AV68" s="482"/>
      <c r="AW68" s="18"/>
      <c r="AX68" s="18"/>
      <c r="AY68" s="455"/>
      <c r="AZ68" s="19"/>
      <c r="BA68" s="18"/>
      <c r="BB68" s="18"/>
      <c r="BC68" s="545">
        <f>BC69*1.02*4/0.08</f>
        <v>30.09</v>
      </c>
      <c r="BD68" s="455"/>
      <c r="BE68" s="19"/>
      <c r="BF68" s="18"/>
      <c r="BG68" s="18"/>
      <c r="BH68" s="545"/>
      <c r="BI68" s="455"/>
      <c r="BJ68" s="19"/>
      <c r="BK68" s="18"/>
      <c r="BL68" s="18"/>
      <c r="BM68" s="678"/>
      <c r="BN68" s="455"/>
      <c r="BO68" s="19"/>
      <c r="BP68" s="18"/>
      <c r="BQ68" s="18"/>
      <c r="BR68" s="18"/>
      <c r="BS68" s="455"/>
      <c r="BT68" s="19"/>
      <c r="BU68" s="18"/>
      <c r="BV68" s="18"/>
      <c r="BW68" s="18"/>
      <c r="BX68" s="205"/>
      <c r="BY68" s="19"/>
      <c r="BZ68" s="18"/>
      <c r="CA68" s="18"/>
      <c r="CB68" s="18"/>
      <c r="CC68" s="205"/>
      <c r="CD68" s="19"/>
      <c r="CE68" s="18"/>
      <c r="CF68" s="18"/>
      <c r="CG68" s="18"/>
      <c r="CH68" s="205"/>
      <c r="CI68" s="19"/>
      <c r="CJ68" s="18"/>
      <c r="CK68" s="18"/>
      <c r="CL68" s="18"/>
      <c r="CM68" s="205"/>
      <c r="CN68" s="19"/>
      <c r="CO68" s="18"/>
      <c r="CP68" s="18"/>
      <c r="CQ68" s="18"/>
      <c r="CR68" s="205"/>
      <c r="CS68" s="19"/>
      <c r="CT68" s="18"/>
      <c r="CU68" s="18"/>
      <c r="CV68" s="18"/>
      <c r="CW68" s="205"/>
      <c r="CX68" s="19"/>
      <c r="CY68" s="18"/>
      <c r="CZ68" s="18"/>
      <c r="DA68" s="18"/>
      <c r="DB68" s="205"/>
      <c r="DC68" s="199"/>
      <c r="DD68" s="199"/>
      <c r="DE68" s="199"/>
      <c r="DF68" s="199"/>
      <c r="DG68" s="199"/>
      <c r="DH68" s="199"/>
      <c r="DI68" s="199"/>
      <c r="DJ68" s="199"/>
      <c r="DK68" s="404"/>
      <c r="DL68" s="404"/>
      <c r="DM68" s="61"/>
    </row>
    <row r="69" spans="1:123">
      <c r="A69" s="7" t="s">
        <v>235</v>
      </c>
      <c r="B69" s="206">
        <v>0.105</v>
      </c>
      <c r="C69" s="207">
        <v>0.115</v>
      </c>
      <c r="D69" s="208">
        <v>0.125</v>
      </c>
      <c r="E69" s="207">
        <v>0.125</v>
      </c>
      <c r="F69" s="233">
        <f>SUM(B69:E69)</f>
        <v>0.47</v>
      </c>
      <c r="G69" s="206">
        <v>0.14000000000000001</v>
      </c>
      <c r="H69" s="207">
        <v>0.14000000000000001</v>
      </c>
      <c r="I69" s="208">
        <v>0.14000000000000001</v>
      </c>
      <c r="J69" s="207">
        <v>0.14000000000000001</v>
      </c>
      <c r="K69" s="233">
        <f>SUM(G69:J69)</f>
        <v>0.56000000000000005</v>
      </c>
      <c r="L69" s="206">
        <v>0.15</v>
      </c>
      <c r="M69" s="207">
        <v>0.16</v>
      </c>
      <c r="N69" s="208">
        <v>0.16</v>
      </c>
      <c r="O69" s="207">
        <v>0.17</v>
      </c>
      <c r="P69" s="233">
        <f>SUM(L69:O69)</f>
        <v>0.64</v>
      </c>
      <c r="Q69" s="206">
        <v>0.17</v>
      </c>
      <c r="R69" s="207">
        <v>0.18</v>
      </c>
      <c r="S69" s="208">
        <v>0.18</v>
      </c>
      <c r="T69" s="207">
        <v>0.19</v>
      </c>
      <c r="U69" s="233">
        <f>SUM(Q69:T69)</f>
        <v>0.72</v>
      </c>
      <c r="V69" s="206">
        <v>0.19</v>
      </c>
      <c r="W69" s="207">
        <v>0.2</v>
      </c>
      <c r="X69" s="208">
        <v>0.2</v>
      </c>
      <c r="Y69" s="207">
        <v>0.2</v>
      </c>
      <c r="Z69" s="233">
        <f>SUM(V69:Y69)</f>
        <v>0.79</v>
      </c>
      <c r="AA69" s="206">
        <v>0.2</v>
      </c>
      <c r="AB69" s="207">
        <v>0.21</v>
      </c>
      <c r="AC69" s="207">
        <v>0.21</v>
      </c>
      <c r="AD69" s="208">
        <v>0.21</v>
      </c>
      <c r="AE69" s="233">
        <f>SUM(AA69:AD69)</f>
        <v>0.83</v>
      </c>
      <c r="AF69" s="208">
        <v>0.22</v>
      </c>
      <c r="AG69" s="208">
        <v>0.22</v>
      </c>
      <c r="AH69" s="208">
        <v>0.23</v>
      </c>
      <c r="AI69" s="207">
        <v>0.24</v>
      </c>
      <c r="AJ69" s="233">
        <f>SUM(AF69:AI69)</f>
        <v>0.91</v>
      </c>
      <c r="AK69" s="208">
        <v>0.26</v>
      </c>
      <c r="AL69" s="207">
        <v>0.28000000000000003</v>
      </c>
      <c r="AM69" s="207">
        <v>0.28000000000000003</v>
      </c>
      <c r="AN69" s="456">
        <v>0.30499999999999999</v>
      </c>
      <c r="AO69" s="233">
        <f>SUM(AK69:AN69)</f>
        <v>1.125</v>
      </c>
      <c r="AP69" s="208">
        <v>0.30499999999999999</v>
      </c>
      <c r="AQ69" s="207">
        <v>0.33</v>
      </c>
      <c r="AR69" s="207">
        <v>0.33</v>
      </c>
      <c r="AS69" s="456">
        <v>0.36</v>
      </c>
      <c r="AT69" s="233">
        <f>SUM(AP69:AS69)</f>
        <v>1.3250000000000002</v>
      </c>
      <c r="AU69" s="208">
        <v>0.36</v>
      </c>
      <c r="AV69" s="207">
        <v>0.38</v>
      </c>
      <c r="AW69" s="207">
        <v>0.38</v>
      </c>
      <c r="AX69" s="207">
        <v>0.4</v>
      </c>
      <c r="AY69" s="233">
        <f>SUM(AU69:AX69)</f>
        <v>1.52</v>
      </c>
      <c r="AZ69" s="208">
        <v>0.56000000000000005</v>
      </c>
      <c r="BA69" s="207">
        <v>0.57499999999999996</v>
      </c>
      <c r="BB69" s="207">
        <v>0.59</v>
      </c>
      <c r="BC69" s="207">
        <v>0.59</v>
      </c>
      <c r="BD69" s="233">
        <f>SUM(AZ69:BC69)</f>
        <v>2.3149999999999999</v>
      </c>
      <c r="BE69" s="208">
        <v>0.60499999999999998</v>
      </c>
      <c r="BF69" s="207">
        <v>0.60499999999999998</v>
      </c>
      <c r="BG69" s="207">
        <v>0.61499999999999999</v>
      </c>
      <c r="BH69" s="207">
        <v>0.61499999999999999</v>
      </c>
      <c r="BI69" s="233">
        <f>SUM(BE69:BH69)</f>
        <v>2.44</v>
      </c>
      <c r="BJ69" s="208">
        <v>0.61499999999999999</v>
      </c>
      <c r="BK69" s="208">
        <v>0.61499999999999999</v>
      </c>
      <c r="BL69" s="208">
        <v>0.61499999999999999</v>
      </c>
      <c r="BM69" s="208">
        <v>0.61499999999999999</v>
      </c>
      <c r="BN69" s="233">
        <f>SUM(BJ69:BM69)</f>
        <v>2.46</v>
      </c>
      <c r="BO69" s="208">
        <v>0.61499999999999999</v>
      </c>
      <c r="BP69" s="208">
        <v>0.61499999999999999</v>
      </c>
      <c r="BQ69" s="208">
        <v>0.745</v>
      </c>
      <c r="BR69" s="208">
        <v>0.745</v>
      </c>
      <c r="BS69" s="233">
        <f>SUM(BO69:BR69)</f>
        <v>2.72</v>
      </c>
      <c r="BT69" s="234">
        <f>+BR69</f>
        <v>0.745</v>
      </c>
      <c r="BU69" s="167">
        <f>+BT69</f>
        <v>0.745</v>
      </c>
      <c r="BV69" s="167">
        <f>+BU69+0.0675</f>
        <v>0.8125</v>
      </c>
      <c r="BW69" s="167">
        <f>+BV69</f>
        <v>0.8125</v>
      </c>
      <c r="BX69" s="233">
        <f>SUM(BT69:BW69)</f>
        <v>3.1150000000000002</v>
      </c>
      <c r="BY69" s="234">
        <f>+BW69</f>
        <v>0.8125</v>
      </c>
      <c r="BZ69" s="167">
        <f>+BY69</f>
        <v>0.8125</v>
      </c>
      <c r="CA69" s="167">
        <f>+BZ69+0.0725</f>
        <v>0.88500000000000001</v>
      </c>
      <c r="CB69" s="167">
        <f>+CA69</f>
        <v>0.88500000000000001</v>
      </c>
      <c r="CC69" s="233">
        <f>SUM(BY69:CB69)</f>
        <v>3.3949999999999996</v>
      </c>
      <c r="CD69" s="234">
        <f>+CB69</f>
        <v>0.88500000000000001</v>
      </c>
      <c r="CE69" s="167">
        <f>+CD69</f>
        <v>0.88500000000000001</v>
      </c>
      <c r="CF69" s="167">
        <f>+CE69+0.08</f>
        <v>0.96499999999999997</v>
      </c>
      <c r="CG69" s="167">
        <f>+CF69</f>
        <v>0.96499999999999997</v>
      </c>
      <c r="CH69" s="233">
        <f>SUM(CD69:CG69)</f>
        <v>3.6999999999999997</v>
      </c>
      <c r="CI69" s="234">
        <f>+CG69</f>
        <v>0.96499999999999997</v>
      </c>
      <c r="CJ69" s="167">
        <f>+CI69</f>
        <v>0.96499999999999997</v>
      </c>
      <c r="CK69" s="167">
        <f>+CJ69+0.075</f>
        <v>1.04</v>
      </c>
      <c r="CL69" s="167">
        <f>+CK69</f>
        <v>1.04</v>
      </c>
      <c r="CM69" s="233">
        <f>SUM(CI69:CL69)</f>
        <v>4.01</v>
      </c>
      <c r="CN69" s="234">
        <f>CL69+0.008625</f>
        <v>1.0486250000000001</v>
      </c>
      <c r="CO69" s="167">
        <f>+CN69</f>
        <v>1.0486250000000001</v>
      </c>
      <c r="CP69" s="167">
        <f>+CO69+0.065</f>
        <v>1.1136250000000001</v>
      </c>
      <c r="CQ69" s="167">
        <f>+CP69</f>
        <v>1.1136250000000001</v>
      </c>
      <c r="CR69" s="233">
        <f>SUM(CN69:CQ69)</f>
        <v>4.3245000000000005</v>
      </c>
      <c r="CS69" s="234">
        <f>+CQ69</f>
        <v>1.1136250000000001</v>
      </c>
      <c r="CT69" s="167">
        <f>+CS69</f>
        <v>1.1136250000000001</v>
      </c>
      <c r="CU69" s="167">
        <f>+CT69+0.065</f>
        <v>1.178625</v>
      </c>
      <c r="CV69" s="167">
        <f>+CU69</f>
        <v>1.178625</v>
      </c>
      <c r="CW69" s="233">
        <f>SUM(CS69:CV69)</f>
        <v>4.5845000000000002</v>
      </c>
      <c r="CX69" s="234">
        <f>+CV69</f>
        <v>1.178625</v>
      </c>
      <c r="CY69" s="167">
        <f>+CX69</f>
        <v>1.178625</v>
      </c>
      <c r="CZ69" s="167">
        <f>+CY69+0.065</f>
        <v>1.243625</v>
      </c>
      <c r="DA69" s="167">
        <f>+CZ69</f>
        <v>1.243625</v>
      </c>
      <c r="DB69" s="233">
        <f>SUM(CX69:DA69)</f>
        <v>4.8445</v>
      </c>
      <c r="DC69" s="167"/>
      <c r="DD69" s="167"/>
      <c r="DE69" s="167"/>
      <c r="DF69" s="167"/>
      <c r="DG69" s="167"/>
      <c r="DH69" s="167"/>
      <c r="DI69" s="167"/>
      <c r="DJ69" s="167"/>
      <c r="DK69" s="405"/>
      <c r="DL69" s="405"/>
      <c r="DM69" s="8"/>
    </row>
    <row r="70" spans="1:123" s="648" customFormat="1">
      <c r="A70" s="10" t="s">
        <v>500</v>
      </c>
      <c r="B70" s="41"/>
      <c r="C70" s="40"/>
      <c r="D70" s="178"/>
      <c r="E70" s="178"/>
      <c r="F70" s="194"/>
      <c r="G70" s="459">
        <f>G69/B69-1</f>
        <v>0.33333333333333348</v>
      </c>
      <c r="H70" s="460">
        <f>H69/C69-1</f>
        <v>0.21739130434782616</v>
      </c>
      <c r="I70" s="460">
        <f>I69/D69-1</f>
        <v>0.12000000000000011</v>
      </c>
      <c r="J70" s="460">
        <f>J69/E69-1</f>
        <v>0.12000000000000011</v>
      </c>
      <c r="K70" s="461">
        <f>K69/F69-1</f>
        <v>0.19148936170212782</v>
      </c>
      <c r="L70" s="459">
        <f t="shared" ref="L70:BW70" si="124">L69/G69-1</f>
        <v>7.1428571428571397E-2</v>
      </c>
      <c r="M70" s="460">
        <f t="shared" si="124"/>
        <v>0.14285714285714279</v>
      </c>
      <c r="N70" s="460">
        <f t="shared" si="124"/>
        <v>0.14285714285714279</v>
      </c>
      <c r="O70" s="460">
        <f t="shared" si="124"/>
        <v>0.21428571428571419</v>
      </c>
      <c r="P70" s="461">
        <f t="shared" si="124"/>
        <v>0.14285714285714279</v>
      </c>
      <c r="Q70" s="459">
        <f t="shared" si="124"/>
        <v>0.13333333333333353</v>
      </c>
      <c r="R70" s="460">
        <f t="shared" si="124"/>
        <v>0.125</v>
      </c>
      <c r="S70" s="460">
        <f t="shared" si="124"/>
        <v>0.125</v>
      </c>
      <c r="T70" s="460">
        <f t="shared" si="124"/>
        <v>0.11764705882352944</v>
      </c>
      <c r="U70" s="461">
        <f t="shared" si="124"/>
        <v>0.125</v>
      </c>
      <c r="V70" s="459">
        <f t="shared" si="124"/>
        <v>0.11764705882352944</v>
      </c>
      <c r="W70" s="460">
        <f t="shared" si="124"/>
        <v>0.11111111111111116</v>
      </c>
      <c r="X70" s="460">
        <f t="shared" si="124"/>
        <v>0.11111111111111116</v>
      </c>
      <c r="Y70" s="460">
        <f t="shared" si="124"/>
        <v>5.2631578947368363E-2</v>
      </c>
      <c r="Z70" s="461">
        <f t="shared" si="124"/>
        <v>9.7222222222222321E-2</v>
      </c>
      <c r="AA70" s="459">
        <f t="shared" si="124"/>
        <v>5.2631578947368363E-2</v>
      </c>
      <c r="AB70" s="460">
        <f t="shared" si="124"/>
        <v>4.9999999999999822E-2</v>
      </c>
      <c r="AC70" s="460">
        <f t="shared" si="124"/>
        <v>4.9999999999999822E-2</v>
      </c>
      <c r="AD70" s="460">
        <f t="shared" si="124"/>
        <v>4.9999999999999822E-2</v>
      </c>
      <c r="AE70" s="461">
        <f t="shared" si="124"/>
        <v>5.0632911392404889E-2</v>
      </c>
      <c r="AF70" s="459">
        <f t="shared" si="124"/>
        <v>9.9999999999999867E-2</v>
      </c>
      <c r="AG70" s="460">
        <f t="shared" si="124"/>
        <v>4.7619047619047672E-2</v>
      </c>
      <c r="AH70" s="460">
        <f t="shared" si="124"/>
        <v>9.5238095238095344E-2</v>
      </c>
      <c r="AI70" s="460">
        <f t="shared" si="124"/>
        <v>0.14285714285714279</v>
      </c>
      <c r="AJ70" s="461">
        <f t="shared" si="124"/>
        <v>9.6385542168674787E-2</v>
      </c>
      <c r="AK70" s="459">
        <f t="shared" si="124"/>
        <v>0.18181818181818188</v>
      </c>
      <c r="AL70" s="460">
        <f t="shared" si="124"/>
        <v>0.27272727272727293</v>
      </c>
      <c r="AM70" s="460">
        <f t="shared" si="124"/>
        <v>0.21739130434782616</v>
      </c>
      <c r="AN70" s="460">
        <f t="shared" si="124"/>
        <v>0.27083333333333326</v>
      </c>
      <c r="AO70" s="461">
        <f t="shared" si="124"/>
        <v>0.23626373626373631</v>
      </c>
      <c r="AP70" s="459">
        <f t="shared" si="124"/>
        <v>0.17307692307692291</v>
      </c>
      <c r="AQ70" s="460">
        <f t="shared" si="124"/>
        <v>0.1785714285714286</v>
      </c>
      <c r="AR70" s="460">
        <f t="shared" si="124"/>
        <v>0.1785714285714286</v>
      </c>
      <c r="AS70" s="460">
        <f>AS69/AN69-1</f>
        <v>0.18032786885245899</v>
      </c>
      <c r="AT70" s="461">
        <f>AT69/AO69-1</f>
        <v>0.17777777777777803</v>
      </c>
      <c r="AU70" s="459">
        <f t="shared" si="124"/>
        <v>0.18032786885245899</v>
      </c>
      <c r="AV70" s="460">
        <f t="shared" si="124"/>
        <v>0.15151515151515138</v>
      </c>
      <c r="AW70" s="460">
        <f t="shared" si="124"/>
        <v>0.15151515151515138</v>
      </c>
      <c r="AX70" s="460">
        <f t="shared" si="124"/>
        <v>0.11111111111111116</v>
      </c>
      <c r="AY70" s="461">
        <f t="shared" si="124"/>
        <v>0.14716981132075468</v>
      </c>
      <c r="AZ70" s="459">
        <f t="shared" si="124"/>
        <v>0.5555555555555558</v>
      </c>
      <c r="BA70" s="460">
        <f t="shared" si="124"/>
        <v>0.51315789473684204</v>
      </c>
      <c r="BB70" s="460">
        <f t="shared" si="124"/>
        <v>0.55263157894736836</v>
      </c>
      <c r="BC70" s="460">
        <f t="shared" si="124"/>
        <v>0.47499999999999987</v>
      </c>
      <c r="BD70" s="461">
        <f t="shared" si="124"/>
        <v>0.52302631578947367</v>
      </c>
      <c r="BE70" s="459">
        <f t="shared" si="124"/>
        <v>8.0357142857142794E-2</v>
      </c>
      <c r="BF70" s="460">
        <f t="shared" si="124"/>
        <v>5.2173913043478404E-2</v>
      </c>
      <c r="BG70" s="460">
        <f t="shared" si="124"/>
        <v>4.2372881355932313E-2</v>
      </c>
      <c r="BH70" s="460">
        <f t="shared" si="124"/>
        <v>4.2372881355932313E-2</v>
      </c>
      <c r="BI70" s="461">
        <f t="shared" si="124"/>
        <v>5.3995680345572339E-2</v>
      </c>
      <c r="BJ70" s="459">
        <f t="shared" si="124"/>
        <v>1.6528925619834656E-2</v>
      </c>
      <c r="BK70" s="460">
        <f>BJ70+0.025</f>
        <v>4.1528925619834657E-2</v>
      </c>
      <c r="BL70" s="460">
        <f>BL69/BG69-1</f>
        <v>0</v>
      </c>
      <c r="BM70" s="460">
        <f>BM69/BH69-1</f>
        <v>0</v>
      </c>
      <c r="BN70" s="461">
        <f t="shared" si="124"/>
        <v>8.1967213114753079E-3</v>
      </c>
      <c r="BO70" s="459">
        <f t="shared" si="124"/>
        <v>0</v>
      </c>
      <c r="BP70" s="460">
        <f t="shared" si="124"/>
        <v>0</v>
      </c>
      <c r="BQ70" s="460">
        <f t="shared" si="124"/>
        <v>0.21138211382113825</v>
      </c>
      <c r="BR70" s="362">
        <f t="shared" si="124"/>
        <v>0.21138211382113825</v>
      </c>
      <c r="BS70" s="461">
        <f t="shared" si="124"/>
        <v>0.10569105691056913</v>
      </c>
      <c r="BT70" s="459">
        <f t="shared" si="124"/>
        <v>0.21138211382113825</v>
      </c>
      <c r="BU70" s="460">
        <f t="shared" si="124"/>
        <v>0.21138211382113825</v>
      </c>
      <c r="BV70" s="460">
        <f t="shared" si="124"/>
        <v>9.060402684563762E-2</v>
      </c>
      <c r="BW70" s="460">
        <f t="shared" si="124"/>
        <v>9.060402684563762E-2</v>
      </c>
      <c r="BX70" s="461">
        <f t="shared" ref="BX70:CM70" si="125">BX69/BS69-1</f>
        <v>0.14522058823529416</v>
      </c>
      <c r="BY70" s="459">
        <f t="shared" si="125"/>
        <v>9.060402684563762E-2</v>
      </c>
      <c r="BZ70" s="460">
        <f t="shared" si="125"/>
        <v>9.060402684563762E-2</v>
      </c>
      <c r="CA70" s="460">
        <f t="shared" si="125"/>
        <v>8.9230769230769225E-2</v>
      </c>
      <c r="CB70" s="460">
        <f t="shared" si="125"/>
        <v>8.9230769230769225E-2</v>
      </c>
      <c r="CC70" s="461">
        <f t="shared" si="125"/>
        <v>8.9887640449437978E-2</v>
      </c>
      <c r="CD70" s="459">
        <f t="shared" si="125"/>
        <v>8.9230769230769225E-2</v>
      </c>
      <c r="CE70" s="460">
        <f t="shared" si="125"/>
        <v>8.9230769230769225E-2</v>
      </c>
      <c r="CF70" s="460">
        <f t="shared" si="125"/>
        <v>9.0395480225988756E-2</v>
      </c>
      <c r="CG70" s="460">
        <f t="shared" si="125"/>
        <v>9.0395480225988756E-2</v>
      </c>
      <c r="CH70" s="461">
        <f t="shared" si="125"/>
        <v>8.9837997054492025E-2</v>
      </c>
      <c r="CI70" s="459">
        <f t="shared" si="125"/>
        <v>9.0395480225988756E-2</v>
      </c>
      <c r="CJ70" s="460">
        <f t="shared" si="125"/>
        <v>9.0395480225988756E-2</v>
      </c>
      <c r="CK70" s="460">
        <f t="shared" si="125"/>
        <v>7.7720207253886064E-2</v>
      </c>
      <c r="CL70" s="460">
        <f t="shared" si="125"/>
        <v>7.7720207253886064E-2</v>
      </c>
      <c r="CM70" s="461">
        <f t="shared" si="125"/>
        <v>8.3783783783783816E-2</v>
      </c>
      <c r="CN70" s="459">
        <f t="shared" ref="CN70:DB70" si="126">CN69/CI69-1</f>
        <v>8.6658031088083121E-2</v>
      </c>
      <c r="CO70" s="460">
        <f t="shared" si="126"/>
        <v>8.6658031088083121E-2</v>
      </c>
      <c r="CP70" s="460">
        <f t="shared" si="126"/>
        <v>7.079326923076934E-2</v>
      </c>
      <c r="CQ70" s="460">
        <f t="shared" si="126"/>
        <v>7.079326923076934E-2</v>
      </c>
      <c r="CR70" s="461">
        <f t="shared" si="126"/>
        <v>7.8428927680798122E-2</v>
      </c>
      <c r="CS70" s="459">
        <f t="shared" si="126"/>
        <v>6.1985933961139494E-2</v>
      </c>
      <c r="CT70" s="460">
        <f t="shared" si="126"/>
        <v>6.1985933961139494E-2</v>
      </c>
      <c r="CU70" s="460">
        <f t="shared" si="126"/>
        <v>5.8367942530025863E-2</v>
      </c>
      <c r="CV70" s="460">
        <f t="shared" si="126"/>
        <v>5.8367942530025863E-2</v>
      </c>
      <c r="CW70" s="461">
        <f t="shared" si="126"/>
        <v>6.0122557521100628E-2</v>
      </c>
      <c r="CX70" s="459">
        <f t="shared" si="126"/>
        <v>5.8367942530025863E-2</v>
      </c>
      <c r="CY70" s="460">
        <f t="shared" si="126"/>
        <v>5.8367942530025863E-2</v>
      </c>
      <c r="CZ70" s="460">
        <f t="shared" si="126"/>
        <v>5.5149008378406972E-2</v>
      </c>
      <c r="DA70" s="460">
        <f t="shared" si="126"/>
        <v>5.5149008378406972E-2</v>
      </c>
      <c r="DB70" s="461">
        <f t="shared" si="126"/>
        <v>5.6712836732468075E-2</v>
      </c>
      <c r="DC70" s="460"/>
      <c r="DD70" s="460"/>
      <c r="DE70" s="460"/>
      <c r="DF70" s="460"/>
      <c r="DG70" s="460"/>
      <c r="DH70" s="460"/>
      <c r="DI70" s="460"/>
      <c r="DJ70" s="460"/>
      <c r="DK70" s="404"/>
      <c r="DL70" s="404"/>
      <c r="DM70" s="61"/>
      <c r="DN70"/>
      <c r="DO70"/>
      <c r="DP70"/>
      <c r="DQ70"/>
      <c r="DR70"/>
      <c r="DS70"/>
    </row>
    <row r="71" spans="1:123" s="471" customFormat="1">
      <c r="A71" s="462"/>
      <c r="B71" s="463"/>
      <c r="C71" s="464"/>
      <c r="D71" s="465"/>
      <c r="E71" s="465"/>
      <c r="F71" s="466"/>
      <c r="G71" s="467"/>
      <c r="H71" s="468"/>
      <c r="I71" s="468"/>
      <c r="J71" s="468"/>
      <c r="K71" s="469"/>
      <c r="L71" s="467"/>
      <c r="M71" s="468"/>
      <c r="N71" s="468"/>
      <c r="O71" s="468"/>
      <c r="P71" s="469"/>
      <c r="Q71" s="467"/>
      <c r="R71" s="468"/>
      <c r="S71" s="468"/>
      <c r="T71" s="468"/>
      <c r="U71" s="469"/>
      <c r="V71" s="467"/>
      <c r="W71" s="468"/>
      <c r="X71" s="468"/>
      <c r="Y71" s="468"/>
      <c r="Z71" s="469"/>
      <c r="AA71" s="467"/>
      <c r="AB71" s="468"/>
      <c r="AC71" s="468"/>
      <c r="AD71" s="468"/>
      <c r="AE71" s="469"/>
      <c r="AF71" s="467"/>
      <c r="AG71" s="468"/>
      <c r="AH71" s="468"/>
      <c r="AI71" s="468"/>
      <c r="AJ71" s="469"/>
      <c r="AK71" s="467"/>
      <c r="AL71" s="468"/>
      <c r="AM71" s="468"/>
      <c r="AN71" s="468"/>
      <c r="AO71" s="469"/>
      <c r="AP71" s="467"/>
      <c r="AQ71" s="468"/>
      <c r="AR71" s="468"/>
      <c r="AS71" s="468"/>
      <c r="AT71" s="469"/>
      <c r="AU71" s="467"/>
      <c r="AV71" s="468"/>
      <c r="AW71" s="468"/>
      <c r="AX71" s="468"/>
      <c r="AY71" s="469"/>
      <c r="AZ71" s="467"/>
      <c r="BA71" s="468"/>
      <c r="BB71" s="468"/>
      <c r="BC71" s="468"/>
      <c r="BD71" s="469"/>
      <c r="BE71" s="467"/>
      <c r="BF71" s="362"/>
      <c r="BG71" s="468"/>
      <c r="BH71" s="362"/>
      <c r="BI71" s="598"/>
      <c r="BJ71" s="467"/>
      <c r="BK71" s="362"/>
      <c r="BL71" s="468"/>
      <c r="BM71" s="362"/>
      <c r="BN71" s="469"/>
      <c r="BO71" s="467"/>
      <c r="BP71" s="650"/>
      <c r="BQ71" s="468"/>
      <c r="BR71" s="468"/>
      <c r="BS71" s="469"/>
      <c r="BT71" s="467"/>
      <c r="BU71" s="468"/>
      <c r="BV71" s="468"/>
      <c r="BW71" s="468"/>
      <c r="BX71" s="469"/>
      <c r="BY71" s="467"/>
      <c r="BZ71" s="468"/>
      <c r="CA71" s="468"/>
      <c r="CB71" s="468"/>
      <c r="CC71" s="469"/>
      <c r="CD71" s="467"/>
      <c r="CE71" s="468"/>
      <c r="CF71" s="468"/>
      <c r="CG71" s="468"/>
      <c r="CH71" s="469"/>
      <c r="CI71" s="467"/>
      <c r="CJ71" s="468"/>
      <c r="CK71" s="468"/>
      <c r="CL71" s="468"/>
      <c r="CM71" s="469"/>
      <c r="CN71" s="467"/>
      <c r="CO71" s="468"/>
      <c r="CP71" s="468"/>
      <c r="CQ71" s="468"/>
      <c r="CR71" s="469"/>
      <c r="CS71" s="467"/>
      <c r="CT71" s="468"/>
      <c r="CU71" s="468"/>
      <c r="CV71" s="468"/>
      <c r="CW71" s="469"/>
      <c r="CX71" s="467"/>
      <c r="CY71" s="468"/>
      <c r="CZ71" s="468"/>
      <c r="DA71" s="468"/>
      <c r="DB71" s="469"/>
      <c r="DC71" s="468"/>
      <c r="DD71" s="468"/>
      <c r="DE71" s="468"/>
      <c r="DF71" s="468"/>
      <c r="DG71" s="468"/>
      <c r="DH71" s="468"/>
      <c r="DI71" s="468"/>
      <c r="DJ71" s="468"/>
      <c r="DK71" s="470"/>
      <c r="DL71" s="470"/>
      <c r="DM71" s="412"/>
      <c r="DN71"/>
      <c r="DO71"/>
      <c r="DP71"/>
      <c r="DQ71"/>
      <c r="DR71"/>
      <c r="DS71"/>
    </row>
    <row r="72" spans="1:123" s="647" customFormat="1">
      <c r="A72" s="637" t="s">
        <v>1598</v>
      </c>
      <c r="B72" s="638"/>
      <c r="C72" s="639"/>
      <c r="D72" s="640"/>
      <c r="E72" s="640"/>
      <c r="F72" s="641"/>
      <c r="G72" s="642"/>
      <c r="H72" s="643"/>
      <c r="I72" s="643"/>
      <c r="J72" s="643"/>
      <c r="K72" s="644"/>
      <c r="L72" s="642"/>
      <c r="M72" s="643"/>
      <c r="N72" s="643"/>
      <c r="O72" s="643"/>
      <c r="P72" s="644"/>
      <c r="Q72" s="642"/>
      <c r="R72" s="643"/>
      <c r="S72" s="643"/>
      <c r="T72" s="643"/>
      <c r="U72" s="644"/>
      <c r="V72" s="642"/>
      <c r="W72" s="643"/>
      <c r="X72" s="643"/>
      <c r="Y72" s="643"/>
      <c r="Z72" s="644"/>
      <c r="AA72" s="642"/>
      <c r="AB72" s="643"/>
      <c r="AC72" s="643"/>
      <c r="AD72" s="643"/>
      <c r="AE72" s="644"/>
      <c r="AF72" s="642"/>
      <c r="AG72" s="643"/>
      <c r="AH72" s="643"/>
      <c r="AI72" s="643"/>
      <c r="AJ72" s="644"/>
      <c r="AK72" s="642"/>
      <c r="AL72" s="643"/>
      <c r="AM72" s="643"/>
      <c r="AN72" s="643"/>
      <c r="AO72" s="644"/>
      <c r="AP72" s="642"/>
      <c r="AQ72" s="643"/>
      <c r="AR72" s="643"/>
      <c r="AS72" s="643"/>
      <c r="AT72" s="644"/>
      <c r="AU72" s="642"/>
      <c r="AV72" s="643"/>
      <c r="AW72" s="643"/>
      <c r="AX72" s="643"/>
      <c r="AY72" s="644"/>
      <c r="AZ72" s="642"/>
      <c r="BA72" s="643"/>
      <c r="BB72" s="643"/>
      <c r="BC72" s="643"/>
      <c r="BD72" s="644"/>
      <c r="BE72" s="642"/>
      <c r="BF72" s="643"/>
      <c r="BG72" s="643"/>
      <c r="BH72" s="643"/>
      <c r="BI72" s="644"/>
      <c r="BJ72" s="642"/>
      <c r="BK72" s="643"/>
      <c r="BL72" s="643"/>
      <c r="BM72" s="643"/>
      <c r="BN72" s="644"/>
      <c r="BO72" s="642"/>
      <c r="BP72" s="643"/>
      <c r="BQ72" s="643"/>
      <c r="BR72" s="643"/>
      <c r="BS72" s="644"/>
      <c r="BT72" s="642"/>
      <c r="BU72" s="643"/>
      <c r="BV72" s="643"/>
      <c r="BW72" s="643"/>
      <c r="BX72" s="644"/>
      <c r="BY72" s="642"/>
      <c r="BZ72" s="643"/>
      <c r="CA72" s="643"/>
      <c r="CB72" s="643"/>
      <c r="CC72" s="644"/>
      <c r="CD72" s="642"/>
      <c r="CE72" s="643"/>
      <c r="CF72" s="643"/>
      <c r="CG72" s="643"/>
      <c r="CH72" s="644"/>
      <c r="CI72" s="642"/>
      <c r="CJ72" s="643"/>
      <c r="CK72" s="643"/>
      <c r="CL72" s="643"/>
      <c r="CM72" s="644"/>
      <c r="CN72" s="642"/>
      <c r="CO72" s="643"/>
      <c r="CP72" s="643"/>
      <c r="CQ72" s="643"/>
      <c r="CR72" s="644"/>
      <c r="CS72" s="642"/>
      <c r="CT72" s="643"/>
      <c r="CU72" s="643"/>
      <c r="CV72" s="643"/>
      <c r="CW72" s="644"/>
      <c r="CX72" s="642"/>
      <c r="CY72" s="643"/>
      <c r="CZ72" s="643"/>
      <c r="DA72" s="643"/>
      <c r="DB72" s="644"/>
      <c r="DC72" s="643"/>
      <c r="DD72" s="643"/>
      <c r="DE72" s="643"/>
      <c r="DF72" s="643"/>
      <c r="DG72" s="643"/>
      <c r="DH72" s="643"/>
      <c r="DI72" s="643"/>
      <c r="DJ72" s="643"/>
      <c r="DK72" s="645"/>
      <c r="DL72" s="645"/>
      <c r="DM72" s="646"/>
      <c r="DN72"/>
      <c r="DO72"/>
      <c r="DP72"/>
      <c r="DQ72"/>
      <c r="DR72"/>
      <c r="DS72"/>
    </row>
    <row r="73" spans="1:123" s="648" customFormat="1">
      <c r="A73" s="10" t="s">
        <v>1613</v>
      </c>
      <c r="B73" s="41"/>
      <c r="C73" s="40"/>
      <c r="D73" s="178"/>
      <c r="E73" s="178"/>
      <c r="F73" s="194"/>
      <c r="G73" s="459"/>
      <c r="H73" s="460"/>
      <c r="I73" s="460"/>
      <c r="J73" s="460"/>
      <c r="K73" s="461"/>
      <c r="L73" s="459"/>
      <c r="M73" s="460"/>
      <c r="N73" s="460"/>
      <c r="O73" s="460"/>
      <c r="P73" s="461"/>
      <c r="Q73" s="459"/>
      <c r="R73" s="460"/>
      <c r="S73" s="460"/>
      <c r="T73" s="460"/>
      <c r="U73" s="461"/>
      <c r="V73" s="459"/>
      <c r="W73" s="460"/>
      <c r="X73" s="460"/>
      <c r="Y73" s="460"/>
      <c r="Z73" s="461"/>
      <c r="AA73" s="459"/>
      <c r="AB73" s="460"/>
      <c r="AC73" s="460"/>
      <c r="AD73" s="460"/>
      <c r="AE73" s="461"/>
      <c r="AF73" s="459"/>
      <c r="AG73" s="460"/>
      <c r="AH73" s="460"/>
      <c r="AI73" s="460"/>
      <c r="AJ73" s="461"/>
      <c r="AK73" s="459"/>
      <c r="AL73" s="460"/>
      <c r="AM73" s="460"/>
      <c r="AN73" s="460"/>
      <c r="AO73" s="461"/>
      <c r="AP73" s="459"/>
      <c r="AQ73" s="460"/>
      <c r="AR73" s="460"/>
      <c r="AS73" s="460"/>
      <c r="AT73" s="461"/>
      <c r="AU73" s="459"/>
      <c r="AV73" s="460"/>
      <c r="AW73" s="460"/>
      <c r="AX73" s="460"/>
      <c r="AY73" s="461"/>
      <c r="AZ73" s="459"/>
      <c r="BA73" s="460"/>
      <c r="BB73" s="460"/>
      <c r="BC73" s="460"/>
      <c r="BD73" s="461"/>
      <c r="BE73" s="459"/>
      <c r="BF73" s="460"/>
      <c r="BG73" s="460"/>
      <c r="BH73" s="460"/>
      <c r="BI73" s="461"/>
      <c r="BJ73" s="706">
        <f>+BJ57+BJ45</f>
        <v>174959</v>
      </c>
      <c r="BK73" s="706">
        <f>+BK57+BK45</f>
        <v>179859</v>
      </c>
      <c r="BL73" s="706">
        <f>+BL57</f>
        <v>92144</v>
      </c>
      <c r="BM73" s="706">
        <f>+BM57</f>
        <v>90505</v>
      </c>
      <c r="BN73" s="707">
        <f t="shared" ref="BN73:BN78" si="127">SUM(BJ73:BM73)</f>
        <v>537467</v>
      </c>
      <c r="BO73" s="650">
        <f>+BO57+BO45</f>
        <v>186185</v>
      </c>
      <c r="BP73" s="650">
        <f>+BP57+BP45</f>
        <v>175774</v>
      </c>
      <c r="BQ73" s="650">
        <f>+BQ57</f>
        <v>165466</v>
      </c>
      <c r="BR73" s="650">
        <f>+BR57</f>
        <v>62771</v>
      </c>
      <c r="BS73" s="653">
        <f t="shared" ref="BS73:BS78" si="128">SUM(BO73:BR73)</f>
        <v>590196</v>
      </c>
      <c r="BT73" s="649">
        <f>+BT57</f>
        <v>285936.57838600234</v>
      </c>
      <c r="BU73" s="650">
        <f>+BU57</f>
        <v>248313.9339968047</v>
      </c>
      <c r="BV73" s="650">
        <f>+BV57</f>
        <v>255478.68456303695</v>
      </c>
      <c r="BW73" s="650">
        <f>+BW57</f>
        <v>249934.8743053028</v>
      </c>
      <c r="BX73" s="653">
        <f t="shared" ref="BX73:BX78" si="129">SUM(BT73:BW73)</f>
        <v>1039664.0712511467</v>
      </c>
      <c r="BY73" s="649">
        <f>+BY57</f>
        <v>292403.48463770573</v>
      </c>
      <c r="BZ73" s="650">
        <f>+BZ57</f>
        <v>275765.96753641218</v>
      </c>
      <c r="CA73" s="650">
        <f>+CA57</f>
        <v>279345.75341228978</v>
      </c>
      <c r="CB73" s="650">
        <f>+CB57</f>
        <v>273249.10654840199</v>
      </c>
      <c r="CC73" s="653">
        <f t="shared" ref="CC73:CC78" si="130">SUM(BY73:CB73)</f>
        <v>1120764.3121348098</v>
      </c>
      <c r="CD73" s="649">
        <f>+CD57</f>
        <v>292366.78482020559</v>
      </c>
      <c r="CE73" s="650">
        <f>+CE57</f>
        <v>284570.33922731783</v>
      </c>
      <c r="CF73" s="650">
        <f>+CF57</f>
        <v>296855.59130853985</v>
      </c>
      <c r="CG73" s="650">
        <f>+CG57</f>
        <v>320206.80815364455</v>
      </c>
      <c r="CH73" s="653">
        <f t="shared" ref="CH73:CH78" si="131">SUM(CD73:CG73)</f>
        <v>1193999.5235097078</v>
      </c>
      <c r="CI73" s="649">
        <f>+CI57</f>
        <v>310937.50238030578</v>
      </c>
      <c r="CJ73" s="650">
        <f>+CJ57</f>
        <v>311832.37583874224</v>
      </c>
      <c r="CK73" s="650">
        <f>+CK57</f>
        <v>319242.94257601409</v>
      </c>
      <c r="CL73" s="650">
        <f>+CL57</f>
        <v>356273.38522867608</v>
      </c>
      <c r="CM73" s="653">
        <f t="shared" ref="CM73:CM78" si="132">SUM(CI73:CL73)</f>
        <v>1298286.2060237383</v>
      </c>
      <c r="CN73" s="649">
        <f>+CN57</f>
        <v>321306.62061370112</v>
      </c>
      <c r="CO73" s="650">
        <f>+CO57</f>
        <v>325112.54473466007</v>
      </c>
      <c r="CP73" s="650">
        <f>+CP57</f>
        <v>331771.99546180753</v>
      </c>
      <c r="CQ73" s="650">
        <f>+CQ57</f>
        <v>382345.05325040687</v>
      </c>
      <c r="CR73" s="653">
        <f t="shared" ref="CR73:CR78" si="133">SUM(CN73:CQ73)</f>
        <v>1360536.2140605757</v>
      </c>
      <c r="CS73" s="649">
        <f>+CS57</f>
        <v>330810.3057426351</v>
      </c>
      <c r="CT73" s="650">
        <f>+CT57</f>
        <v>334748.62513157725</v>
      </c>
      <c r="CU73" s="650">
        <f>+CU57</f>
        <v>341599.57583081274</v>
      </c>
      <c r="CV73" s="650">
        <f>+CV57</f>
        <v>406626.65327452193</v>
      </c>
      <c r="CW73" s="653">
        <f t="shared" ref="CW73:CW78" si="134">SUM(CS73:CV73)</f>
        <v>1413785.1599795471</v>
      </c>
      <c r="CX73" s="649">
        <f>+CX57</f>
        <v>346889.62883656833</v>
      </c>
      <c r="CY73" s="650">
        <f>+CY57</f>
        <v>351076.7771276905</v>
      </c>
      <c r="CZ73" s="650">
        <f>+CZ57</f>
        <v>358175.17465246056</v>
      </c>
      <c r="DA73" s="650">
        <f>+DA57</f>
        <v>429301.41023968498</v>
      </c>
      <c r="DB73" s="653">
        <f t="shared" ref="DB73:DB78" si="135">SUM(CX73:DA73)</f>
        <v>1485442.9908564044</v>
      </c>
      <c r="DC73" s="460"/>
      <c r="DD73" s="460"/>
      <c r="DE73" s="460"/>
      <c r="DF73" s="460"/>
      <c r="DG73" s="460"/>
      <c r="DH73" s="460"/>
      <c r="DI73" s="460"/>
      <c r="DJ73" s="460"/>
      <c r="DK73" s="404"/>
      <c r="DL73" s="404"/>
      <c r="DM73" s="61"/>
      <c r="DN73"/>
      <c r="DO73"/>
      <c r="DP73"/>
      <c r="DQ73"/>
      <c r="DR73"/>
      <c r="DS73"/>
    </row>
    <row r="74" spans="1:123" s="648" customFormat="1">
      <c r="A74" s="10" t="s">
        <v>351</v>
      </c>
      <c r="B74" s="41"/>
      <c r="C74" s="40"/>
      <c r="D74" s="178"/>
      <c r="E74" s="178"/>
      <c r="F74" s="194"/>
      <c r="G74" s="459"/>
      <c r="H74" s="460"/>
      <c r="I74" s="460"/>
      <c r="J74" s="460"/>
      <c r="K74" s="461"/>
      <c r="L74" s="459"/>
      <c r="M74" s="460"/>
      <c r="N74" s="460"/>
      <c r="O74" s="460"/>
      <c r="P74" s="461"/>
      <c r="Q74" s="459"/>
      <c r="R74" s="460"/>
      <c r="S74" s="460"/>
      <c r="T74" s="460"/>
      <c r="U74" s="461"/>
      <c r="V74" s="459"/>
      <c r="W74" s="460"/>
      <c r="X74" s="460"/>
      <c r="Y74" s="460"/>
      <c r="Z74" s="461"/>
      <c r="AA74" s="459"/>
      <c r="AB74" s="460"/>
      <c r="AC74" s="460"/>
      <c r="AD74" s="460"/>
      <c r="AE74" s="461"/>
      <c r="AF74" s="459"/>
      <c r="AG74" s="460"/>
      <c r="AH74" s="460"/>
      <c r="AI74" s="460"/>
      <c r="AJ74" s="461"/>
      <c r="AK74" s="459"/>
      <c r="AL74" s="460"/>
      <c r="AM74" s="460"/>
      <c r="AN74" s="460"/>
      <c r="AO74" s="461"/>
      <c r="AP74" s="459"/>
      <c r="AQ74" s="460"/>
      <c r="AR74" s="460"/>
      <c r="AS74" s="460"/>
      <c r="AT74" s="461"/>
      <c r="AU74" s="459"/>
      <c r="AV74" s="460"/>
      <c r="AW74" s="460"/>
      <c r="AX74" s="460"/>
      <c r="AY74" s="461"/>
      <c r="AZ74" s="459"/>
      <c r="BA74" s="460"/>
      <c r="BB74" s="460"/>
      <c r="BC74" s="460"/>
      <c r="BD74" s="461"/>
      <c r="BE74" s="459"/>
      <c r="BF74" s="460"/>
      <c r="BG74" s="460"/>
      <c r="BH74" s="460"/>
      <c r="BI74" s="461"/>
      <c r="BJ74" s="706">
        <f>+-BJ42</f>
        <v>118247</v>
      </c>
      <c r="BK74" s="706">
        <f>+-BK42</f>
        <v>118976</v>
      </c>
      <c r="BL74" s="706">
        <f>+-BL42</f>
        <v>118240</v>
      </c>
      <c r="BM74" s="706">
        <f>+-BM42</f>
        <v>114188</v>
      </c>
      <c r="BN74" s="707">
        <f t="shared" si="127"/>
        <v>469651</v>
      </c>
      <c r="BO74" s="650">
        <f>+-BO42</f>
        <v>116462</v>
      </c>
      <c r="BP74" s="650">
        <f>+-BP42</f>
        <v>118473</v>
      </c>
      <c r="BQ74" s="650">
        <f>+-BQ42</f>
        <v>126533</v>
      </c>
      <c r="BR74" s="650">
        <f>+-BR42</f>
        <v>124190</v>
      </c>
      <c r="BS74" s="653">
        <f t="shared" si="128"/>
        <v>485658</v>
      </c>
      <c r="BT74" s="649">
        <f>+-BT42</f>
        <v>121361.23528593751</v>
      </c>
      <c r="BU74" s="650">
        <f>+-BU42</f>
        <v>124186.3876842422</v>
      </c>
      <c r="BV74" s="650">
        <f>+-BV42</f>
        <v>127011.88459453839</v>
      </c>
      <c r="BW74" s="650">
        <f>+-BW42</f>
        <v>129837.7277393861</v>
      </c>
      <c r="BX74" s="653">
        <f t="shared" si="129"/>
        <v>502397.23530410422</v>
      </c>
      <c r="BY74" s="649">
        <f>+-BY42</f>
        <v>132959.23134995799</v>
      </c>
      <c r="BZ74" s="650">
        <f>+-BZ42</f>
        <v>136376.39716608281</v>
      </c>
      <c r="CA74" s="650">
        <f>+-CA42</f>
        <v>139793.91443628821</v>
      </c>
      <c r="CB74" s="650">
        <f>+-CB42</f>
        <v>143211.78491784466</v>
      </c>
      <c r="CC74" s="653">
        <f t="shared" si="130"/>
        <v>552341.32787017373</v>
      </c>
      <c r="CD74" s="649">
        <f>+-CD42</f>
        <v>152632.70432332359</v>
      </c>
      <c r="CE74" s="650">
        <f>+-CE42</f>
        <v>154254.70116369022</v>
      </c>
      <c r="CF74" s="650">
        <f>+-CF42</f>
        <v>155877.07361325863</v>
      </c>
      <c r="CG74" s="650">
        <f>+-CG42</f>
        <v>157499.82355007494</v>
      </c>
      <c r="CH74" s="653">
        <f t="shared" si="131"/>
        <v>620264.30265034735</v>
      </c>
      <c r="CI74" s="649">
        <f>+-CI42</f>
        <v>158680.37473657532</v>
      </c>
      <c r="CJ74" s="650">
        <f>+-CJ42</f>
        <v>159418.72906963318</v>
      </c>
      <c r="CK74" s="650">
        <f>+-CK42</f>
        <v>160157.46658060636</v>
      </c>
      <c r="CL74" s="650">
        <f>+-CL42</f>
        <v>160896.58918538436</v>
      </c>
      <c r="CM74" s="653">
        <f t="shared" si="132"/>
        <v>639153.15957219922</v>
      </c>
      <c r="CN74" s="649">
        <f>+-CN42</f>
        <v>161588.83318443631</v>
      </c>
      <c r="CO74" s="650">
        <f>+-CO42</f>
        <v>162234.20051285849</v>
      </c>
      <c r="CP74" s="650">
        <f>+-CP42</f>
        <v>162879.95874042279</v>
      </c>
      <c r="CQ74" s="650">
        <f>+-CQ42</f>
        <v>163526.10982162491</v>
      </c>
      <c r="CR74" s="653">
        <f t="shared" si="133"/>
        <v>650229.10225934244</v>
      </c>
      <c r="CS74" s="649">
        <f>+-CS42</f>
        <v>164172.65572073299</v>
      </c>
      <c r="CT74" s="650">
        <f>+-CT42</f>
        <v>164819.59841183669</v>
      </c>
      <c r="CU74" s="650">
        <f>+-CU42</f>
        <v>165466.93987889588</v>
      </c>
      <c r="CV74" s="650">
        <f>+-CV42</f>
        <v>166114.68211579035</v>
      </c>
      <c r="CW74" s="653">
        <f t="shared" si="134"/>
        <v>660573.87612725585</v>
      </c>
      <c r="CX74" s="649">
        <f>+-CX42</f>
        <v>166810.09275136929</v>
      </c>
      <c r="CY74" s="650">
        <f>+-CY42</f>
        <v>167553.17379950115</v>
      </c>
      <c r="CZ74" s="650">
        <f>+-CZ42</f>
        <v>168296.66165912364</v>
      </c>
      <c r="DA74" s="650">
        <f>+-DA42</f>
        <v>169040.55836429427</v>
      </c>
      <c r="DB74" s="653">
        <f t="shared" si="135"/>
        <v>671700.48657428834</v>
      </c>
      <c r="DC74" s="460"/>
      <c r="DD74" s="460"/>
      <c r="DE74" s="460"/>
      <c r="DF74" s="460"/>
      <c r="DG74" s="460"/>
      <c r="DH74" s="460"/>
      <c r="DI74" s="460"/>
      <c r="DJ74" s="460"/>
      <c r="DK74" s="404"/>
      <c r="DL74" s="404"/>
      <c r="DM74" s="61"/>
      <c r="DN74"/>
      <c r="DO74"/>
      <c r="DP74"/>
      <c r="DQ74"/>
      <c r="DR74"/>
      <c r="DS74"/>
    </row>
    <row r="75" spans="1:123" s="648" customFormat="1">
      <c r="A75" s="10" t="s">
        <v>698</v>
      </c>
      <c r="B75" s="41"/>
      <c r="C75" s="40"/>
      <c r="D75" s="178"/>
      <c r="E75" s="178"/>
      <c r="F75" s="194"/>
      <c r="G75" s="459"/>
      <c r="H75" s="460"/>
      <c r="I75" s="460"/>
      <c r="J75" s="460"/>
      <c r="K75" s="461"/>
      <c r="L75" s="459"/>
      <c r="M75" s="460"/>
      <c r="N75" s="460"/>
      <c r="O75" s="460"/>
      <c r="P75" s="461"/>
      <c r="Q75" s="459"/>
      <c r="R75" s="460"/>
      <c r="S75" s="460"/>
      <c r="T75" s="460"/>
      <c r="U75" s="461"/>
      <c r="V75" s="459"/>
      <c r="W75" s="460"/>
      <c r="X75" s="460"/>
      <c r="Y75" s="460"/>
      <c r="Z75" s="461"/>
      <c r="AA75" s="459"/>
      <c r="AB75" s="460"/>
      <c r="AC75" s="460"/>
      <c r="AD75" s="460"/>
      <c r="AE75" s="461"/>
      <c r="AF75" s="459"/>
      <c r="AG75" s="460"/>
      <c r="AH75" s="460"/>
      <c r="AI75" s="460"/>
      <c r="AJ75" s="461"/>
      <c r="AK75" s="459"/>
      <c r="AL75" s="460"/>
      <c r="AM75" s="460"/>
      <c r="AN75" s="460"/>
      <c r="AO75" s="461"/>
      <c r="AP75" s="459"/>
      <c r="AQ75" s="460"/>
      <c r="AR75" s="460"/>
      <c r="AS75" s="460"/>
      <c r="AT75" s="461"/>
      <c r="AU75" s="459"/>
      <c r="AV75" s="460"/>
      <c r="AW75" s="460"/>
      <c r="AX75" s="460"/>
      <c r="AY75" s="461"/>
      <c r="AZ75" s="459"/>
      <c r="BA75" s="460"/>
      <c r="BB75" s="460"/>
      <c r="BC75" s="460"/>
      <c r="BD75" s="461"/>
      <c r="BE75" s="459"/>
      <c r="BF75" s="460"/>
      <c r="BG75" s="460"/>
      <c r="BH75" s="460"/>
      <c r="BI75" s="461"/>
      <c r="BJ75" s="706">
        <f>+BJ22</f>
        <v>94478</v>
      </c>
      <c r="BK75" s="706">
        <f>+BK22</f>
        <v>99247</v>
      </c>
      <c r="BL75" s="706">
        <f>+BL22</f>
        <v>98550</v>
      </c>
      <c r="BM75" s="706">
        <f>+BM22</f>
        <v>99310</v>
      </c>
      <c r="BN75" s="707">
        <f t="shared" si="127"/>
        <v>391585</v>
      </c>
      <c r="BO75" s="650">
        <f>+BO22</f>
        <v>99419</v>
      </c>
      <c r="BP75" s="650">
        <f>+BP22</f>
        <v>100849</v>
      </c>
      <c r="BQ75" s="650">
        <f>+BQ22</f>
        <v>102298</v>
      </c>
      <c r="BR75" s="650">
        <f>+BR22</f>
        <v>103769</v>
      </c>
      <c r="BS75" s="653">
        <f t="shared" si="128"/>
        <v>406335</v>
      </c>
      <c r="BT75" s="649">
        <f>+BT22</f>
        <v>103784.81000000001</v>
      </c>
      <c r="BU75" s="650">
        <f>+BU22</f>
        <v>105266</v>
      </c>
      <c r="BV75" s="650">
        <f>+BV22</f>
        <v>106855</v>
      </c>
      <c r="BW75" s="650">
        <f>+BW22</f>
        <v>109057.11630000002</v>
      </c>
      <c r="BX75" s="653">
        <f t="shared" si="129"/>
        <v>424962.92630000005</v>
      </c>
      <c r="BY75" s="649">
        <f>+BY22</f>
        <v>108165.80870000001</v>
      </c>
      <c r="BZ75" s="650">
        <f>+BZ22</f>
        <v>109736.18000000002</v>
      </c>
      <c r="CA75" s="650">
        <f>+CA22</f>
        <v>111400.31</v>
      </c>
      <c r="CB75" s="650">
        <f>+CB22</f>
        <v>113655.03196300002</v>
      </c>
      <c r="CC75" s="653">
        <f t="shared" si="130"/>
        <v>442957.33066300006</v>
      </c>
      <c r="CD75" s="649">
        <f>+CD22</f>
        <v>112834.31705899999</v>
      </c>
      <c r="CE75" s="650">
        <f>+CE22</f>
        <v>114500.3072</v>
      </c>
      <c r="CF75" s="650">
        <f>+CF22</f>
        <v>116244.6493</v>
      </c>
      <c r="CG75" s="650">
        <f>+CG22</f>
        <v>118554.51071013001</v>
      </c>
      <c r="CH75" s="653">
        <f t="shared" si="131"/>
        <v>462133.78426912997</v>
      </c>
      <c r="CI75" s="649">
        <f>+CI22</f>
        <v>117811.34691653</v>
      </c>
      <c r="CJ75" s="650">
        <f>+CJ22</f>
        <v>119579.87310500001</v>
      </c>
      <c r="CK75" s="650">
        <f>+CK22</f>
        <v>121409.882792</v>
      </c>
      <c r="CL75" s="650">
        <f>+CL22</f>
        <v>123777.58762859381</v>
      </c>
      <c r="CM75" s="653">
        <f t="shared" si="132"/>
        <v>482578.6904421238</v>
      </c>
      <c r="CN75" s="649">
        <f>+CN22</f>
        <v>123119.47767158662</v>
      </c>
      <c r="CO75" s="650">
        <f>+CO22</f>
        <v>124997.972710085</v>
      </c>
      <c r="CP75" s="650">
        <f>+CP22</f>
        <v>126919.50673952501</v>
      </c>
      <c r="CQ75" s="650">
        <f>+CQ22</f>
        <v>129347.94162893045</v>
      </c>
      <c r="CR75" s="653">
        <f t="shared" si="133"/>
        <v>504384.89875012706</v>
      </c>
      <c r="CS75" s="649">
        <f>+CS22</f>
        <v>128782.97371001504</v>
      </c>
      <c r="CT75" s="650">
        <f>+CT22</f>
        <v>130779.42462190466</v>
      </c>
      <c r="CU75" s="650">
        <f>+CU22</f>
        <v>132798.77098808924</v>
      </c>
      <c r="CV75" s="650">
        <f>+CV22</f>
        <v>135291.01858394695</v>
      </c>
      <c r="CW75" s="653">
        <f t="shared" si="134"/>
        <v>527652.18790395593</v>
      </c>
      <c r="CX75" s="649">
        <f>+CX22</f>
        <v>134827.91063642318</v>
      </c>
      <c r="CY75" s="650">
        <f>+CY22</f>
        <v>136950.90018673026</v>
      </c>
      <c r="CZ75" s="650">
        <f>+CZ22</f>
        <v>139074.81033887225</v>
      </c>
      <c r="DA75" s="650">
        <f>+DA22</f>
        <v>141634.16370039835</v>
      </c>
      <c r="DB75" s="653">
        <f t="shared" si="135"/>
        <v>552487.78486242401</v>
      </c>
      <c r="DC75" s="460"/>
      <c r="DD75" s="460"/>
      <c r="DE75" s="460"/>
      <c r="DF75" s="460"/>
      <c r="DG75" s="460"/>
      <c r="DH75" s="460"/>
      <c r="DI75" s="460"/>
      <c r="DJ75" s="460"/>
      <c r="DK75" s="404"/>
      <c r="DL75" s="404"/>
      <c r="DM75" s="61"/>
      <c r="DN75"/>
      <c r="DO75"/>
      <c r="DP75"/>
      <c r="DQ75"/>
      <c r="DR75"/>
      <c r="DS75"/>
    </row>
    <row r="76" spans="1:123" s="648" customFormat="1">
      <c r="A76" s="10" t="s">
        <v>1599</v>
      </c>
      <c r="B76" s="41"/>
      <c r="C76" s="40"/>
      <c r="D76" s="178"/>
      <c r="E76" s="178"/>
      <c r="F76" s="194"/>
      <c r="G76" s="459"/>
      <c r="H76" s="460"/>
      <c r="I76" s="460"/>
      <c r="J76" s="460"/>
      <c r="K76" s="461"/>
      <c r="L76" s="459"/>
      <c r="M76" s="460"/>
      <c r="N76" s="460"/>
      <c r="O76" s="460"/>
      <c r="P76" s="461"/>
      <c r="Q76" s="459"/>
      <c r="R76" s="460"/>
      <c r="S76" s="460"/>
      <c r="T76" s="460"/>
      <c r="U76" s="461"/>
      <c r="V76" s="459"/>
      <c r="W76" s="460"/>
      <c r="X76" s="460"/>
      <c r="Y76" s="460"/>
      <c r="Z76" s="461"/>
      <c r="AA76" s="459"/>
      <c r="AB76" s="460"/>
      <c r="AC76" s="460"/>
      <c r="AD76" s="460"/>
      <c r="AE76" s="461"/>
      <c r="AF76" s="459"/>
      <c r="AG76" s="460"/>
      <c r="AH76" s="460"/>
      <c r="AI76" s="460"/>
      <c r="AJ76" s="461"/>
      <c r="AK76" s="459"/>
      <c r="AL76" s="460"/>
      <c r="AM76" s="460"/>
      <c r="AN76" s="460"/>
      <c r="AO76" s="461"/>
      <c r="AP76" s="459"/>
      <c r="AQ76" s="460"/>
      <c r="AR76" s="460"/>
      <c r="AS76" s="460"/>
      <c r="AT76" s="461"/>
      <c r="AU76" s="459"/>
      <c r="AV76" s="460"/>
      <c r="AW76" s="460"/>
      <c r="AX76" s="460"/>
      <c r="AY76" s="461"/>
      <c r="AZ76" s="459"/>
      <c r="BA76" s="460"/>
      <c r="BB76" s="460"/>
      <c r="BC76" s="460"/>
      <c r="BD76" s="461"/>
      <c r="BE76" s="459"/>
      <c r="BF76" s="460"/>
      <c r="BG76" s="460"/>
      <c r="BH76" s="460"/>
      <c r="BI76" s="461"/>
      <c r="BJ76" s="706">
        <f>+BJ49</f>
        <v>50066</v>
      </c>
      <c r="BK76" s="706">
        <f>+BK49</f>
        <v>52458</v>
      </c>
      <c r="BL76" s="706">
        <f>+BL49</f>
        <v>55012</v>
      </c>
      <c r="BM76" s="706">
        <f>+BM49</f>
        <v>54870</v>
      </c>
      <c r="BN76" s="707">
        <f t="shared" si="127"/>
        <v>212406</v>
      </c>
      <c r="BO76" s="650">
        <f>+BO49</f>
        <v>54941</v>
      </c>
      <c r="BP76" s="650">
        <f>+BP49</f>
        <v>43844</v>
      </c>
      <c r="BQ76" s="650">
        <f>+BQ49</f>
        <v>97128</v>
      </c>
      <c r="BR76" s="650">
        <f>+BR49</f>
        <v>251369</v>
      </c>
      <c r="BS76" s="653">
        <f t="shared" si="128"/>
        <v>447282</v>
      </c>
      <c r="BT76" s="649">
        <f>+BT49</f>
        <v>95312.192795334107</v>
      </c>
      <c r="BU76" s="650">
        <f>+BU49</f>
        <v>82771.311332268233</v>
      </c>
      <c r="BV76" s="650">
        <f>+BV49</f>
        <v>85159.561521012321</v>
      </c>
      <c r="BW76" s="650">
        <f>+BW49</f>
        <v>83311.624768434267</v>
      </c>
      <c r="BX76" s="653">
        <f t="shared" si="129"/>
        <v>346554.69041704893</v>
      </c>
      <c r="BY76" s="649">
        <f>+BY49</f>
        <v>97467.82821256858</v>
      </c>
      <c r="BZ76" s="650">
        <f>+BZ49</f>
        <v>91921.98917880407</v>
      </c>
      <c r="CA76" s="650">
        <f>+CA49</f>
        <v>93115.251137429921</v>
      </c>
      <c r="CB76" s="650">
        <f>+CB49</f>
        <v>91083.035516133998</v>
      </c>
      <c r="CC76" s="653">
        <f t="shared" si="130"/>
        <v>373588.10404493654</v>
      </c>
      <c r="CD76" s="649">
        <f>+CD49</f>
        <v>97455.594940068535</v>
      </c>
      <c r="CE76" s="650">
        <f>+CE49</f>
        <v>94856.779742439277</v>
      </c>
      <c r="CF76" s="650">
        <f>+CF49</f>
        <v>98951.863769513278</v>
      </c>
      <c r="CG76" s="650">
        <f>+CG49</f>
        <v>106735.60271788153</v>
      </c>
      <c r="CH76" s="653">
        <f t="shared" si="131"/>
        <v>397999.84116990259</v>
      </c>
      <c r="CI76" s="649">
        <f>+CI49</f>
        <v>103645.83412676859</v>
      </c>
      <c r="CJ76" s="650">
        <f>+CJ49</f>
        <v>103944.12527958074</v>
      </c>
      <c r="CK76" s="650">
        <f>+CK49</f>
        <v>106414.31419200471</v>
      </c>
      <c r="CL76" s="650">
        <f>+CL49</f>
        <v>118757.79507622536</v>
      </c>
      <c r="CM76" s="653">
        <f t="shared" si="132"/>
        <v>432762.06867457944</v>
      </c>
      <c r="CN76" s="649">
        <f>+CN49</f>
        <v>107102.20687123371</v>
      </c>
      <c r="CO76" s="650">
        <f>+CO49</f>
        <v>108370.84824488669</v>
      </c>
      <c r="CP76" s="650">
        <f>+CP49</f>
        <v>110590.66515393584</v>
      </c>
      <c r="CQ76" s="650">
        <f>+CQ49</f>
        <v>127448.35108346897</v>
      </c>
      <c r="CR76" s="653">
        <f t="shared" si="133"/>
        <v>453512.07135352516</v>
      </c>
      <c r="CS76" s="649">
        <f>+CS49</f>
        <v>110270.1019142117</v>
      </c>
      <c r="CT76" s="650">
        <f>+CT49</f>
        <v>111582.87504385909</v>
      </c>
      <c r="CU76" s="650">
        <f>+CU49</f>
        <v>113866.52527693758</v>
      </c>
      <c r="CV76" s="650">
        <f>+CV49</f>
        <v>135542.21775817397</v>
      </c>
      <c r="CW76" s="653">
        <f t="shared" si="134"/>
        <v>471261.71999318234</v>
      </c>
      <c r="CX76" s="649">
        <f>+CX49</f>
        <v>115629.8762788561</v>
      </c>
      <c r="CY76" s="650">
        <f>+CY49</f>
        <v>117025.59237589684</v>
      </c>
      <c r="CZ76" s="650">
        <f>+CZ49</f>
        <v>119391.72488415352</v>
      </c>
      <c r="DA76" s="650">
        <f>+DA49</f>
        <v>143100.47007989499</v>
      </c>
      <c r="DB76" s="653">
        <f t="shared" si="135"/>
        <v>495147.66361880145</v>
      </c>
      <c r="DC76" s="460"/>
      <c r="DD76" s="460"/>
      <c r="DE76" s="460"/>
      <c r="DF76" s="460"/>
      <c r="DG76" s="460"/>
      <c r="DH76" s="460"/>
      <c r="DI76" s="460"/>
      <c r="DJ76" s="460"/>
      <c r="DK76" s="404"/>
      <c r="DL76" s="404"/>
      <c r="DM76" s="61"/>
      <c r="DN76"/>
      <c r="DO76"/>
      <c r="DP76"/>
      <c r="DQ76"/>
      <c r="DR76"/>
      <c r="DS76"/>
    </row>
    <row r="77" spans="1:123" s="648" customFormat="1">
      <c r="A77" s="10" t="s">
        <v>1600</v>
      </c>
      <c r="B77" s="41"/>
      <c r="C77" s="40"/>
      <c r="D77" s="178"/>
      <c r="E77" s="178"/>
      <c r="F77" s="194"/>
      <c r="G77" s="459"/>
      <c r="H77" s="460"/>
      <c r="I77" s="460"/>
      <c r="J77" s="460"/>
      <c r="K77" s="461"/>
      <c r="L77" s="459"/>
      <c r="M77" s="460"/>
      <c r="N77" s="460"/>
      <c r="O77" s="460"/>
      <c r="P77" s="461"/>
      <c r="Q77" s="459"/>
      <c r="R77" s="460"/>
      <c r="S77" s="460"/>
      <c r="T77" s="460"/>
      <c r="U77" s="461"/>
      <c r="V77" s="459"/>
      <c r="W77" s="460"/>
      <c r="X77" s="460"/>
      <c r="Y77" s="460"/>
      <c r="Z77" s="461"/>
      <c r="AA77" s="459"/>
      <c r="AB77" s="460"/>
      <c r="AC77" s="460"/>
      <c r="AD77" s="460"/>
      <c r="AE77" s="461"/>
      <c r="AF77" s="459"/>
      <c r="AG77" s="460"/>
      <c r="AH77" s="460"/>
      <c r="AI77" s="460"/>
      <c r="AJ77" s="461"/>
      <c r="AK77" s="459"/>
      <c r="AL77" s="460"/>
      <c r="AM77" s="460"/>
      <c r="AN77" s="460"/>
      <c r="AO77" s="461"/>
      <c r="AP77" s="459"/>
      <c r="AQ77" s="460"/>
      <c r="AR77" s="460"/>
      <c r="AS77" s="460"/>
      <c r="AT77" s="461"/>
      <c r="AU77" s="459"/>
      <c r="AV77" s="460"/>
      <c r="AW77" s="460"/>
      <c r="AX77" s="460"/>
      <c r="AY77" s="461"/>
      <c r="AZ77" s="459"/>
      <c r="BA77" s="460"/>
      <c r="BB77" s="460"/>
      <c r="BC77" s="460"/>
      <c r="BD77" s="461"/>
      <c r="BE77" s="459"/>
      <c r="BF77" s="460"/>
      <c r="BG77" s="460"/>
      <c r="BH77" s="460"/>
      <c r="BI77" s="461"/>
      <c r="BJ77" s="708">
        <v>10000</v>
      </c>
      <c r="BK77" s="708">
        <v>10000</v>
      </c>
      <c r="BL77" s="708">
        <v>10000</v>
      </c>
      <c r="BM77" s="708">
        <v>10000</v>
      </c>
      <c r="BN77" s="707">
        <f t="shared" si="127"/>
        <v>40000</v>
      </c>
      <c r="BO77" s="652">
        <v>0</v>
      </c>
      <c r="BP77" s="652">
        <v>3260</v>
      </c>
      <c r="BQ77" s="652">
        <v>4883</v>
      </c>
      <c r="BR77" s="652">
        <v>3631</v>
      </c>
      <c r="BS77" s="653">
        <f t="shared" si="128"/>
        <v>11774</v>
      </c>
      <c r="BT77" s="651">
        <f>+BS77/4*1.005</f>
        <v>2958.2174999999997</v>
      </c>
      <c r="BU77" s="652">
        <f>+BT77</f>
        <v>2958.2174999999997</v>
      </c>
      <c r="BV77" s="652">
        <f>+BU77</f>
        <v>2958.2174999999997</v>
      </c>
      <c r="BW77" s="652">
        <f>+BV77</f>
        <v>2958.2174999999997</v>
      </c>
      <c r="BX77" s="653">
        <f t="shared" si="129"/>
        <v>11832.869999999999</v>
      </c>
      <c r="BY77" s="651">
        <f>+BX77/4*1.005</f>
        <v>2973.0085874999995</v>
      </c>
      <c r="BZ77" s="652">
        <f>+BY77</f>
        <v>2973.0085874999995</v>
      </c>
      <c r="CA77" s="652">
        <f>+BZ77</f>
        <v>2973.0085874999995</v>
      </c>
      <c r="CB77" s="652">
        <f>+CA77</f>
        <v>2973.0085874999995</v>
      </c>
      <c r="CC77" s="653">
        <f t="shared" si="130"/>
        <v>11892.034349999998</v>
      </c>
      <c r="CD77" s="651">
        <f>+CC77/4*1.005</f>
        <v>2987.8736304374993</v>
      </c>
      <c r="CE77" s="652">
        <f>+CD77</f>
        <v>2987.8736304374993</v>
      </c>
      <c r="CF77" s="652">
        <f>+CE77</f>
        <v>2987.8736304374993</v>
      </c>
      <c r="CG77" s="652">
        <f>+CF77</f>
        <v>2987.8736304374993</v>
      </c>
      <c r="CH77" s="653">
        <f t="shared" si="131"/>
        <v>11951.494521749997</v>
      </c>
      <c r="CI77" s="651">
        <f>+CH77/4*1.005</f>
        <v>3002.8129985896867</v>
      </c>
      <c r="CJ77" s="652">
        <f>+CI77</f>
        <v>3002.8129985896867</v>
      </c>
      <c r="CK77" s="652">
        <f>+CJ77</f>
        <v>3002.8129985896867</v>
      </c>
      <c r="CL77" s="652">
        <f>+CK77</f>
        <v>3002.8129985896867</v>
      </c>
      <c r="CM77" s="653">
        <f t="shared" si="132"/>
        <v>12011.251994358747</v>
      </c>
      <c r="CN77" s="651">
        <f>+CM77/4*1.005</f>
        <v>3017.8270635826348</v>
      </c>
      <c r="CO77" s="652">
        <f>+CN77</f>
        <v>3017.8270635826348</v>
      </c>
      <c r="CP77" s="652">
        <f>+CO77</f>
        <v>3017.8270635826348</v>
      </c>
      <c r="CQ77" s="652">
        <f>+CP77</f>
        <v>3017.8270635826348</v>
      </c>
      <c r="CR77" s="653">
        <f t="shared" si="133"/>
        <v>12071.308254330539</v>
      </c>
      <c r="CS77" s="651">
        <f>+CR77/4*1.005</f>
        <v>3032.9161989005474</v>
      </c>
      <c r="CT77" s="652">
        <f>+CS77</f>
        <v>3032.9161989005474</v>
      </c>
      <c r="CU77" s="652">
        <f>+CT77</f>
        <v>3032.9161989005474</v>
      </c>
      <c r="CV77" s="652">
        <f>+CU77</f>
        <v>3032.9161989005474</v>
      </c>
      <c r="CW77" s="653">
        <f t="shared" si="134"/>
        <v>12131.66479560219</v>
      </c>
      <c r="CX77" s="651">
        <f>+CW77/4*1.005</f>
        <v>3048.08077989505</v>
      </c>
      <c r="CY77" s="652">
        <f>+CX77</f>
        <v>3048.08077989505</v>
      </c>
      <c r="CZ77" s="652">
        <f>+CY77</f>
        <v>3048.08077989505</v>
      </c>
      <c r="DA77" s="652">
        <f>+CZ77</f>
        <v>3048.08077989505</v>
      </c>
      <c r="DB77" s="653">
        <f t="shared" si="135"/>
        <v>12192.3231195802</v>
      </c>
      <c r="DC77" s="460"/>
      <c r="DD77" s="460"/>
      <c r="DE77" s="460"/>
      <c r="DF77" s="460"/>
      <c r="DG77" s="460"/>
      <c r="DH77" s="460"/>
      <c r="DI77" s="460"/>
      <c r="DJ77" s="460"/>
      <c r="DK77" s="404"/>
      <c r="DL77" s="404"/>
      <c r="DM77" s="61"/>
      <c r="DN77"/>
      <c r="DO77"/>
      <c r="DP77"/>
      <c r="DQ77"/>
      <c r="DR77"/>
      <c r="DS77"/>
    </row>
    <row r="78" spans="1:123" s="648" customFormat="1">
      <c r="A78" s="10" t="s">
        <v>1614</v>
      </c>
      <c r="B78" s="41"/>
      <c r="C78" s="40"/>
      <c r="D78" s="178"/>
      <c r="E78" s="178"/>
      <c r="F78" s="194"/>
      <c r="G78" s="459"/>
      <c r="H78" s="460"/>
      <c r="I78" s="460"/>
      <c r="J78" s="460"/>
      <c r="K78" s="461"/>
      <c r="L78" s="459"/>
      <c r="M78" s="460"/>
      <c r="N78" s="460"/>
      <c r="O78" s="460"/>
      <c r="P78" s="461"/>
      <c r="Q78" s="459"/>
      <c r="R78" s="460"/>
      <c r="S78" s="460"/>
      <c r="T78" s="460"/>
      <c r="U78" s="461"/>
      <c r="V78" s="459"/>
      <c r="W78" s="460"/>
      <c r="X78" s="460"/>
      <c r="Y78" s="460"/>
      <c r="Z78" s="461"/>
      <c r="AA78" s="459"/>
      <c r="AB78" s="460"/>
      <c r="AC78" s="460"/>
      <c r="AD78" s="460"/>
      <c r="AE78" s="461"/>
      <c r="AF78" s="459"/>
      <c r="AG78" s="460"/>
      <c r="AH78" s="460"/>
      <c r="AI78" s="460"/>
      <c r="AJ78" s="461"/>
      <c r="AK78" s="459"/>
      <c r="AL78" s="460"/>
      <c r="AM78" s="460"/>
      <c r="AN78" s="460"/>
      <c r="AO78" s="461"/>
      <c r="AP78" s="459"/>
      <c r="AQ78" s="460"/>
      <c r="AR78" s="460"/>
      <c r="AS78" s="460"/>
      <c r="AT78" s="461"/>
      <c r="AU78" s="459"/>
      <c r="AV78" s="460"/>
      <c r="AW78" s="460"/>
      <c r="AX78" s="460"/>
      <c r="AY78" s="461"/>
      <c r="AZ78" s="459"/>
      <c r="BA78" s="460"/>
      <c r="BB78" s="460"/>
      <c r="BC78" s="460"/>
      <c r="BD78" s="461"/>
      <c r="BE78" s="459"/>
      <c r="BF78" s="460"/>
      <c r="BG78" s="460"/>
      <c r="BH78" s="460"/>
      <c r="BI78" s="461"/>
      <c r="BJ78" s="706">
        <f>464154-BJ73-BJ74-BJ75-BJ76-BJ77</f>
        <v>16404</v>
      </c>
      <c r="BK78" s="706">
        <f>+BK39</f>
        <v>0</v>
      </c>
      <c r="BL78" s="706">
        <f>+BL39</f>
        <v>0</v>
      </c>
      <c r="BM78" s="706">
        <f>+BM39</f>
        <v>1</v>
      </c>
      <c r="BN78" s="707">
        <f t="shared" si="127"/>
        <v>16405</v>
      </c>
      <c r="BO78" s="650">
        <f>459612-BO73-BO74-BO75-BO76-BO77</f>
        <v>2605</v>
      </c>
      <c r="BP78" s="650">
        <f>462329-BP73-BP74-BP75-BP76-BP77</f>
        <v>20129</v>
      </c>
      <c r="BQ78" s="650">
        <f>517193-SUM(BQ73:BQ77)</f>
        <v>20885</v>
      </c>
      <c r="BR78" s="650">
        <f>547719-SUM(BR73:BR77)</f>
        <v>1989</v>
      </c>
      <c r="BS78" s="653">
        <f t="shared" si="128"/>
        <v>45608</v>
      </c>
      <c r="BT78" s="649">
        <f>+BT39</f>
        <v>1250</v>
      </c>
      <c r="BU78" s="650">
        <f>+BU39</f>
        <v>1250</v>
      </c>
      <c r="BV78" s="650">
        <f>+BV39</f>
        <v>1250</v>
      </c>
      <c r="BW78" s="650">
        <f>+BW39</f>
        <v>1250</v>
      </c>
      <c r="BX78" s="653">
        <f t="shared" si="129"/>
        <v>5000</v>
      </c>
      <c r="BY78" s="649">
        <f>+BY39</f>
        <v>1250</v>
      </c>
      <c r="BZ78" s="650">
        <f>+BZ39</f>
        <v>1250</v>
      </c>
      <c r="CA78" s="650">
        <f>+CA39</f>
        <v>1250</v>
      </c>
      <c r="CB78" s="650">
        <f>+CB39</f>
        <v>1250</v>
      </c>
      <c r="CC78" s="653">
        <f t="shared" si="130"/>
        <v>5000</v>
      </c>
      <c r="CD78" s="649">
        <f>+CD39</f>
        <v>1250</v>
      </c>
      <c r="CE78" s="650">
        <f>+CE39</f>
        <v>1250</v>
      </c>
      <c r="CF78" s="650">
        <f>+CF39</f>
        <v>1250</v>
      </c>
      <c r="CG78" s="650">
        <f>+CG39</f>
        <v>1250</v>
      </c>
      <c r="CH78" s="653">
        <f t="shared" si="131"/>
        <v>5000</v>
      </c>
      <c r="CI78" s="649">
        <f>+CI39</f>
        <v>1250</v>
      </c>
      <c r="CJ78" s="650">
        <f>+CJ39</f>
        <v>1250</v>
      </c>
      <c r="CK78" s="650">
        <f>+CK39</f>
        <v>1250</v>
      </c>
      <c r="CL78" s="650">
        <f>+CL39</f>
        <v>1250</v>
      </c>
      <c r="CM78" s="653">
        <f t="shared" si="132"/>
        <v>5000</v>
      </c>
      <c r="CN78" s="649">
        <f>+CN39</f>
        <v>1250</v>
      </c>
      <c r="CO78" s="650">
        <f>+CO39</f>
        <v>1250</v>
      </c>
      <c r="CP78" s="650">
        <f>+CP39</f>
        <v>1250</v>
      </c>
      <c r="CQ78" s="650">
        <f>+CQ39</f>
        <v>1250</v>
      </c>
      <c r="CR78" s="653">
        <f t="shared" si="133"/>
        <v>5000</v>
      </c>
      <c r="CS78" s="649">
        <f>+CS39</f>
        <v>1250</v>
      </c>
      <c r="CT78" s="650">
        <f>+CT39</f>
        <v>1250</v>
      </c>
      <c r="CU78" s="650">
        <f>+CU39</f>
        <v>1250</v>
      </c>
      <c r="CV78" s="650">
        <f>+CV39</f>
        <v>1250</v>
      </c>
      <c r="CW78" s="653">
        <f t="shared" si="134"/>
        <v>5000</v>
      </c>
      <c r="CX78" s="649">
        <f>+CX39</f>
        <v>1250</v>
      </c>
      <c r="CY78" s="650">
        <f>+CY39</f>
        <v>1250</v>
      </c>
      <c r="CZ78" s="650">
        <f>+CZ39</f>
        <v>1250</v>
      </c>
      <c r="DA78" s="650">
        <f>+DA39</f>
        <v>1250</v>
      </c>
      <c r="DB78" s="653">
        <f t="shared" si="135"/>
        <v>5000</v>
      </c>
      <c r="DC78" s="460"/>
      <c r="DD78" s="460"/>
      <c r="DE78" s="460"/>
      <c r="DF78" s="460"/>
      <c r="DG78" s="460"/>
      <c r="DH78" s="460"/>
      <c r="DI78" s="460"/>
      <c r="DJ78" s="460"/>
      <c r="DK78" s="404"/>
      <c r="DL78" s="404"/>
      <c r="DM78" s="61"/>
      <c r="DN78"/>
      <c r="DO78"/>
      <c r="DP78"/>
      <c r="DQ78"/>
      <c r="DR78"/>
      <c r="DS78"/>
    </row>
    <row r="79" spans="1:123" s="660" customFormat="1">
      <c r="A79" s="16" t="s">
        <v>846</v>
      </c>
      <c r="B79" s="173"/>
      <c r="C79" s="39"/>
      <c r="D79" s="174"/>
      <c r="E79" s="174"/>
      <c r="F79" s="655"/>
      <c r="G79" s="656"/>
      <c r="H79" s="657"/>
      <c r="I79" s="657"/>
      <c r="J79" s="657"/>
      <c r="K79" s="658"/>
      <c r="L79" s="656"/>
      <c r="M79" s="657"/>
      <c r="N79" s="657"/>
      <c r="O79" s="657"/>
      <c r="P79" s="658"/>
      <c r="Q79" s="656"/>
      <c r="R79" s="657"/>
      <c r="S79" s="657"/>
      <c r="T79" s="657"/>
      <c r="U79" s="658"/>
      <c r="V79" s="656"/>
      <c r="W79" s="657"/>
      <c r="X79" s="657"/>
      <c r="Y79" s="657"/>
      <c r="Z79" s="658"/>
      <c r="AA79" s="656"/>
      <c r="AB79" s="657"/>
      <c r="AC79" s="657"/>
      <c r="AD79" s="657"/>
      <c r="AE79" s="658"/>
      <c r="AF79" s="656"/>
      <c r="AG79" s="657"/>
      <c r="AH79" s="657"/>
      <c r="AI79" s="657"/>
      <c r="AJ79" s="658"/>
      <c r="AK79" s="656"/>
      <c r="AL79" s="657"/>
      <c r="AM79" s="657"/>
      <c r="AN79" s="657"/>
      <c r="AO79" s="658"/>
      <c r="AP79" s="656"/>
      <c r="AQ79" s="657"/>
      <c r="AR79" s="657"/>
      <c r="AS79" s="657"/>
      <c r="AT79" s="658"/>
      <c r="AU79" s="656"/>
      <c r="AV79" s="657"/>
      <c r="AW79" s="657"/>
      <c r="AX79" s="657"/>
      <c r="AY79" s="658"/>
      <c r="AZ79" s="656"/>
      <c r="BA79" s="657"/>
      <c r="BB79" s="657"/>
      <c r="BC79" s="657"/>
      <c r="BD79" s="658"/>
      <c r="BE79" s="656"/>
      <c r="BF79" s="657"/>
      <c r="BG79" s="657"/>
      <c r="BH79" s="657"/>
      <c r="BI79" s="658"/>
      <c r="BJ79" s="709">
        <f t="shared" ref="BJ79:BN79" si="136">SUM(BJ73:BJ78)</f>
        <v>464154</v>
      </c>
      <c r="BK79" s="709">
        <f t="shared" si="136"/>
        <v>460540</v>
      </c>
      <c r="BL79" s="709">
        <f t="shared" si="136"/>
        <v>373946</v>
      </c>
      <c r="BM79" s="709">
        <f t="shared" si="136"/>
        <v>368874</v>
      </c>
      <c r="BN79" s="710">
        <f t="shared" si="136"/>
        <v>1667514</v>
      </c>
      <c r="BO79" s="383">
        <f t="shared" ref="BO79" si="137">SUM(BO73:BO78)</f>
        <v>459612</v>
      </c>
      <c r="BP79" s="383">
        <f t="shared" ref="BP79:DB79" si="138">SUM(BP73:BP78)</f>
        <v>462329</v>
      </c>
      <c r="BQ79" s="383">
        <f t="shared" si="138"/>
        <v>517193</v>
      </c>
      <c r="BR79" s="383">
        <f t="shared" si="138"/>
        <v>547719</v>
      </c>
      <c r="BS79" s="654">
        <f t="shared" si="138"/>
        <v>1986853</v>
      </c>
      <c r="BT79" s="382">
        <f t="shared" si="138"/>
        <v>610603.03396727401</v>
      </c>
      <c r="BU79" s="383">
        <f t="shared" si="138"/>
        <v>564745.85051331518</v>
      </c>
      <c r="BV79" s="383">
        <f t="shared" si="138"/>
        <v>578713.34817858774</v>
      </c>
      <c r="BW79" s="383">
        <f t="shared" si="138"/>
        <v>576349.56061312323</v>
      </c>
      <c r="BX79" s="654">
        <f t="shared" si="138"/>
        <v>2330411.7932723002</v>
      </c>
      <c r="BY79" s="382">
        <f t="shared" si="138"/>
        <v>635219.36148773227</v>
      </c>
      <c r="BZ79" s="383">
        <f t="shared" si="138"/>
        <v>618023.54246879905</v>
      </c>
      <c r="CA79" s="383">
        <f t="shared" si="138"/>
        <v>627878.23757350794</v>
      </c>
      <c r="CB79" s="383">
        <f t="shared" si="138"/>
        <v>625421.96753288072</v>
      </c>
      <c r="CC79" s="654">
        <f t="shared" si="138"/>
        <v>2506543.1090629203</v>
      </c>
      <c r="CD79" s="382">
        <f t="shared" si="138"/>
        <v>659527.27477303531</v>
      </c>
      <c r="CE79" s="383">
        <f t="shared" si="138"/>
        <v>652420.00096388487</v>
      </c>
      <c r="CF79" s="383">
        <f t="shared" si="138"/>
        <v>672167.05162174942</v>
      </c>
      <c r="CG79" s="383">
        <f t="shared" si="138"/>
        <v>707234.61876216857</v>
      </c>
      <c r="CH79" s="654">
        <f t="shared" si="138"/>
        <v>2691348.9461208377</v>
      </c>
      <c r="CI79" s="382">
        <f t="shared" si="138"/>
        <v>695327.87115876947</v>
      </c>
      <c r="CJ79" s="383">
        <f t="shared" si="138"/>
        <v>699027.91629154584</v>
      </c>
      <c r="CK79" s="383">
        <f t="shared" si="138"/>
        <v>711477.41913921491</v>
      </c>
      <c r="CL79" s="383">
        <f t="shared" si="138"/>
        <v>763958.17011746939</v>
      </c>
      <c r="CM79" s="654">
        <f t="shared" si="138"/>
        <v>2869791.3767069993</v>
      </c>
      <c r="CN79" s="382">
        <f t="shared" si="138"/>
        <v>717384.9654045403</v>
      </c>
      <c r="CO79" s="383">
        <f t="shared" si="138"/>
        <v>724983.39326607285</v>
      </c>
      <c r="CP79" s="383">
        <f t="shared" si="138"/>
        <v>736429.95315927383</v>
      </c>
      <c r="CQ79" s="383">
        <f t="shared" si="138"/>
        <v>806935.28284801391</v>
      </c>
      <c r="CR79" s="654">
        <f t="shared" si="138"/>
        <v>2985733.5946779009</v>
      </c>
      <c r="CS79" s="382">
        <f t="shared" si="138"/>
        <v>738318.95328649541</v>
      </c>
      <c r="CT79" s="383">
        <f t="shared" si="138"/>
        <v>746213.43940807821</v>
      </c>
      <c r="CU79" s="383">
        <f t="shared" si="138"/>
        <v>758014.72817363602</v>
      </c>
      <c r="CV79" s="383">
        <f t="shared" si="138"/>
        <v>847857.48793133372</v>
      </c>
      <c r="CW79" s="654">
        <f t="shared" si="138"/>
        <v>3090404.6087995437</v>
      </c>
      <c r="CX79" s="382">
        <f t="shared" si="138"/>
        <v>768455.58928311197</v>
      </c>
      <c r="CY79" s="383">
        <f t="shared" si="138"/>
        <v>776904.5242697139</v>
      </c>
      <c r="CZ79" s="383">
        <f t="shared" si="138"/>
        <v>789236.452314505</v>
      </c>
      <c r="DA79" s="383">
        <f t="shared" si="138"/>
        <v>887374.68316416768</v>
      </c>
      <c r="DB79" s="654">
        <f t="shared" si="138"/>
        <v>3221971.249031499</v>
      </c>
      <c r="DC79" s="657"/>
      <c r="DD79" s="657"/>
      <c r="DE79" s="657"/>
      <c r="DF79" s="657"/>
      <c r="DG79" s="657"/>
      <c r="DH79" s="657"/>
      <c r="DI79" s="657"/>
      <c r="DJ79" s="657"/>
      <c r="DK79" s="659"/>
      <c r="DL79" s="659"/>
      <c r="DM79" s="68"/>
      <c r="DN79"/>
      <c r="DO79"/>
      <c r="DP79"/>
      <c r="DQ79"/>
      <c r="DR79"/>
      <c r="DS79"/>
    </row>
    <row r="80" spans="1:123">
      <c r="A80" s="10"/>
      <c r="B80" s="41"/>
      <c r="C80" s="40"/>
      <c r="D80" s="178"/>
      <c r="E80" s="178"/>
      <c r="F80" s="194"/>
      <c r="G80" s="459"/>
      <c r="H80" s="460"/>
      <c r="I80" s="460"/>
      <c r="J80" s="460"/>
      <c r="K80" s="461"/>
      <c r="L80" s="41"/>
      <c r="M80" s="40"/>
      <c r="N80" s="178"/>
      <c r="O80" s="178"/>
      <c r="P80" s="194"/>
      <c r="Q80" s="41"/>
      <c r="R80" s="40"/>
      <c r="S80" s="178"/>
      <c r="T80" s="178"/>
      <c r="U80" s="194"/>
      <c r="V80" s="41"/>
      <c r="W80" s="40"/>
      <c r="X80" s="178"/>
      <c r="Y80" s="178"/>
      <c r="Z80" s="194"/>
      <c r="AA80" s="41"/>
      <c r="AB80" s="18"/>
      <c r="AC80" s="18"/>
      <c r="AD80" s="18"/>
      <c r="AE80" s="205"/>
      <c r="AF80" s="19"/>
      <c r="AG80" s="18"/>
      <c r="AH80" s="18"/>
      <c r="AI80" s="18"/>
      <c r="AJ80" s="341"/>
      <c r="AK80" s="19"/>
      <c r="AL80" s="18"/>
      <c r="AM80" s="18"/>
      <c r="AN80" s="18"/>
      <c r="AO80" s="341"/>
      <c r="AP80" s="19"/>
      <c r="AQ80" s="18"/>
      <c r="AR80" s="18"/>
      <c r="AS80" s="18"/>
      <c r="AT80" s="341"/>
      <c r="AU80" s="19"/>
      <c r="AV80" s="18"/>
      <c r="AW80" s="18"/>
      <c r="AX80" s="18"/>
      <c r="AY80" s="341"/>
      <c r="AZ80" s="19"/>
      <c r="BA80" s="18"/>
      <c r="BB80" s="171"/>
      <c r="BC80" s="171"/>
      <c r="BD80" s="341"/>
      <c r="BE80" s="19"/>
      <c r="BF80" s="171"/>
      <c r="BG80" s="18"/>
      <c r="BH80" s="18"/>
      <c r="BI80" s="341"/>
      <c r="BJ80" s="19"/>
      <c r="BK80" s="18"/>
      <c r="BL80" s="18"/>
      <c r="BM80" s="18"/>
      <c r="BN80" s="341"/>
      <c r="BO80" s="19"/>
      <c r="BP80" s="195"/>
      <c r="BQ80" s="18"/>
      <c r="BR80" s="18"/>
      <c r="BS80" s="674">
        <f>+AVERAGE(1885,2055)*1000</f>
        <v>1970000</v>
      </c>
      <c r="BT80" s="19"/>
      <c r="BU80" s="18"/>
      <c r="BV80" s="18"/>
      <c r="BW80" s="677"/>
      <c r="BX80" s="721">
        <f>+BX79/AVERAGE(2215000,2415000)-1</f>
        <v>6.6573621046652764E-3</v>
      </c>
      <c r="BY80" s="19"/>
      <c r="BZ80" s="18"/>
      <c r="CA80" s="18"/>
      <c r="CB80" s="677"/>
      <c r="CC80" s="674"/>
      <c r="CD80" s="19"/>
      <c r="CE80" s="18"/>
      <c r="CF80" s="18"/>
      <c r="CG80" s="18"/>
      <c r="CH80" s="699"/>
      <c r="CI80" s="19"/>
      <c r="CJ80" s="18"/>
      <c r="CK80" s="18"/>
      <c r="CL80" s="18"/>
      <c r="CM80" s="699"/>
      <c r="CN80" s="19"/>
      <c r="CO80" s="18"/>
      <c r="CP80" s="18"/>
      <c r="CQ80" s="18"/>
      <c r="CR80" s="699"/>
      <c r="CS80" s="19"/>
      <c r="CT80" s="18"/>
      <c r="CU80" s="18"/>
      <c r="CV80" s="18"/>
      <c r="CW80" s="699"/>
      <c r="CX80" s="19"/>
      <c r="CY80" s="18"/>
      <c r="CZ80" s="18"/>
      <c r="DA80" s="18"/>
      <c r="DB80" s="699"/>
      <c r="DC80" s="557"/>
      <c r="DD80" s="557"/>
      <c r="DE80" s="557"/>
      <c r="DF80" s="557"/>
      <c r="DG80" s="557"/>
      <c r="DH80" s="557"/>
      <c r="DI80" s="557"/>
      <c r="DJ80" s="557"/>
      <c r="DK80" s="404"/>
      <c r="DL80" s="404"/>
      <c r="DM80" s="61"/>
    </row>
    <row r="81" spans="1:117">
      <c r="A81" s="100" t="s">
        <v>882</v>
      </c>
      <c r="B81" s="209"/>
      <c r="C81" s="210"/>
      <c r="D81" s="210"/>
      <c r="E81" s="210" t="s">
        <v>653</v>
      </c>
      <c r="F81" s="211" t="s">
        <v>653</v>
      </c>
      <c r="G81" s="209"/>
      <c r="H81" s="210"/>
      <c r="I81" s="210"/>
      <c r="J81" s="210" t="s">
        <v>653</v>
      </c>
      <c r="K81" s="211" t="s">
        <v>653</v>
      </c>
      <c r="L81" s="209"/>
      <c r="M81" s="210"/>
      <c r="N81" s="210"/>
      <c r="O81" s="210" t="s">
        <v>653</v>
      </c>
      <c r="P81" s="211" t="s">
        <v>653</v>
      </c>
      <c r="Q81" s="209"/>
      <c r="R81" s="210"/>
      <c r="S81" s="210"/>
      <c r="T81" s="210" t="s">
        <v>653</v>
      </c>
      <c r="U81" s="211" t="s">
        <v>653</v>
      </c>
      <c r="V81" s="209"/>
      <c r="W81" s="210"/>
      <c r="X81" s="210"/>
      <c r="Y81" s="210" t="s">
        <v>653</v>
      </c>
      <c r="Z81" s="211" t="s">
        <v>653</v>
      </c>
      <c r="AA81" s="209"/>
      <c r="AB81" s="26"/>
      <c r="AC81" s="26"/>
      <c r="AD81" s="26"/>
      <c r="AE81" s="134"/>
      <c r="AF81" s="27"/>
      <c r="AG81" s="26"/>
      <c r="AH81" s="26"/>
      <c r="AI81" s="26"/>
      <c r="AJ81" s="134"/>
      <c r="AK81" s="27"/>
      <c r="AL81" s="26"/>
      <c r="AM81" s="26"/>
      <c r="AN81" s="26"/>
      <c r="AO81" s="134"/>
      <c r="AP81" s="27"/>
      <c r="AQ81" s="26"/>
      <c r="AR81" s="26"/>
      <c r="AS81" s="26"/>
      <c r="AT81" s="134"/>
      <c r="AU81" s="27"/>
      <c r="AV81" s="26"/>
      <c r="AW81" s="26"/>
      <c r="AX81" s="26"/>
      <c r="AY81" s="134"/>
      <c r="AZ81" s="27"/>
      <c r="BA81" s="26"/>
      <c r="BB81" s="26"/>
      <c r="BC81" s="26"/>
      <c r="BD81" s="134"/>
      <c r="BE81" s="27"/>
      <c r="BF81" s="26"/>
      <c r="BG81" s="26"/>
      <c r="BH81" s="26"/>
      <c r="BI81" s="134"/>
      <c r="BJ81" s="27"/>
      <c r="BK81" s="26"/>
      <c r="BL81" s="26"/>
      <c r="BM81" s="26"/>
      <c r="BN81" s="134"/>
      <c r="BO81" s="27"/>
      <c r="BP81" s="26"/>
      <c r="BQ81" s="26"/>
      <c r="BR81" s="26"/>
      <c r="BS81" s="134"/>
      <c r="BT81" s="27"/>
      <c r="BU81" s="26"/>
      <c r="BV81" s="26"/>
      <c r="BW81" s="26"/>
      <c r="BX81" s="714">
        <f>+BX79/2077102.44308624-1</f>
        <v>0.12195322913860873</v>
      </c>
      <c r="BY81" s="27"/>
      <c r="BZ81" s="26"/>
      <c r="CA81" s="26"/>
      <c r="CB81" s="26"/>
      <c r="CC81" s="134"/>
      <c r="CD81" s="27"/>
      <c r="CE81" s="26"/>
      <c r="CF81" s="26"/>
      <c r="CG81" s="26"/>
      <c r="CH81" s="713">
        <v>2224485.6873608031</v>
      </c>
      <c r="CI81" s="27"/>
      <c r="CJ81" s="26"/>
      <c r="CK81" s="26"/>
      <c r="CL81" s="26"/>
      <c r="CM81" s="713">
        <v>2311648.3625517548</v>
      </c>
      <c r="CN81" s="27"/>
      <c r="CO81" s="26"/>
      <c r="CP81" s="26"/>
      <c r="CQ81" s="26"/>
      <c r="CR81" s="134"/>
      <c r="CS81" s="27"/>
      <c r="CT81" s="26"/>
      <c r="CU81" s="26"/>
      <c r="CV81" s="26"/>
      <c r="CW81" s="134"/>
      <c r="CX81" s="27"/>
      <c r="CY81" s="26"/>
      <c r="CZ81" s="26"/>
      <c r="DA81" s="26"/>
      <c r="DB81" s="134"/>
      <c r="DC81" s="23"/>
      <c r="DD81" s="23"/>
      <c r="DE81" s="23"/>
      <c r="DF81" s="23"/>
      <c r="DG81" s="23"/>
      <c r="DH81" s="23"/>
      <c r="DI81" s="23"/>
      <c r="DJ81" s="23"/>
      <c r="DK81" s="61"/>
      <c r="DL81" s="61"/>
      <c r="DM81" s="61"/>
    </row>
    <row r="82" spans="1:117">
      <c r="A82" s="16" t="s">
        <v>883</v>
      </c>
      <c r="B82" s="197"/>
      <c r="C82" s="198"/>
      <c r="D82" s="198"/>
      <c r="E82" s="198" t="s">
        <v>653</v>
      </c>
      <c r="F82" s="200" t="s">
        <v>653</v>
      </c>
      <c r="G82" s="197"/>
      <c r="H82" s="198"/>
      <c r="I82" s="198"/>
      <c r="J82" s="198" t="s">
        <v>653</v>
      </c>
      <c r="K82" s="200" t="s">
        <v>653</v>
      </c>
      <c r="L82" s="197"/>
      <c r="M82" s="198"/>
      <c r="N82" s="198"/>
      <c r="O82" s="198" t="s">
        <v>653</v>
      </c>
      <c r="P82" s="200" t="s">
        <v>653</v>
      </c>
      <c r="Q82" s="197"/>
      <c r="R82" s="198"/>
      <c r="S82" s="198"/>
      <c r="T82" s="198" t="s">
        <v>653</v>
      </c>
      <c r="U82" s="200" t="s">
        <v>653</v>
      </c>
      <c r="V82" s="197"/>
      <c r="W82" s="198"/>
      <c r="X82" s="198"/>
      <c r="Y82" s="198" t="s">
        <v>653</v>
      </c>
      <c r="Z82" s="200" t="s">
        <v>653</v>
      </c>
      <c r="AA82" s="197"/>
      <c r="AB82" s="18"/>
      <c r="AC82" s="18"/>
      <c r="AD82" s="18"/>
      <c r="AE82" s="127"/>
      <c r="AF82" s="19"/>
      <c r="AG82" s="18"/>
      <c r="AH82" s="18"/>
      <c r="AI82" s="18"/>
      <c r="AJ82" s="127"/>
      <c r="AK82" s="19"/>
      <c r="AL82" s="18"/>
      <c r="AM82" s="18"/>
      <c r="AN82" s="18"/>
      <c r="AO82" s="127"/>
      <c r="AP82" s="19"/>
      <c r="AQ82" s="18"/>
      <c r="AR82" s="18"/>
      <c r="AS82" s="18"/>
      <c r="AT82" s="127"/>
      <c r="AU82" s="19"/>
      <c r="AV82" s="18"/>
      <c r="AW82" s="18"/>
      <c r="AX82" s="18"/>
      <c r="AY82" s="127"/>
      <c r="AZ82" s="19"/>
      <c r="BA82" s="18"/>
      <c r="BB82" s="18"/>
      <c r="BC82" s="18"/>
      <c r="BD82" s="127"/>
      <c r="BE82" s="19"/>
      <c r="BF82" s="18"/>
      <c r="BG82" s="18"/>
      <c r="BH82" s="18"/>
      <c r="BI82" s="127"/>
      <c r="BJ82" s="19"/>
      <c r="BK82" s="18"/>
      <c r="BL82" s="18"/>
      <c r="BM82" s="18"/>
      <c r="BN82" s="127"/>
      <c r="BO82" s="19"/>
      <c r="BP82" s="18"/>
      <c r="BQ82" s="18"/>
      <c r="BR82" s="18"/>
      <c r="BS82" s="127"/>
      <c r="BT82" s="19"/>
      <c r="BU82" s="18"/>
      <c r="BV82" s="18"/>
      <c r="BW82" s="18"/>
      <c r="BX82" s="127"/>
      <c r="BY82" s="19"/>
      <c r="BZ82" s="18"/>
      <c r="CA82" s="18"/>
      <c r="CB82" s="18"/>
      <c r="CC82" s="127"/>
      <c r="CD82" s="19"/>
      <c r="CE82" s="18"/>
      <c r="CF82" s="18"/>
      <c r="CG82" s="18"/>
      <c r="CH82" s="127"/>
      <c r="CI82" s="19"/>
      <c r="CJ82" s="18"/>
      <c r="CK82" s="18"/>
      <c r="CL82" s="18"/>
      <c r="CM82" s="127"/>
      <c r="CN82" s="19"/>
      <c r="CO82" s="18"/>
      <c r="CP82" s="18"/>
      <c r="CQ82" s="18"/>
      <c r="CR82" s="127"/>
      <c r="CS82" s="19"/>
      <c r="CT82" s="18"/>
      <c r="CU82" s="18"/>
      <c r="CV82" s="18"/>
      <c r="CW82" s="127"/>
      <c r="CX82" s="19"/>
      <c r="CY82" s="18"/>
      <c r="CZ82" s="18"/>
      <c r="DA82" s="18"/>
      <c r="DB82" s="127"/>
      <c r="DC82" s="18"/>
      <c r="DD82" s="18"/>
      <c r="DE82" s="18"/>
      <c r="DF82" s="18"/>
      <c r="DG82" s="18"/>
      <c r="DH82" s="18"/>
      <c r="DI82" s="18"/>
      <c r="DJ82" s="18"/>
      <c r="DK82" s="61"/>
      <c r="DL82" s="61"/>
      <c r="DM82" s="61"/>
    </row>
    <row r="83" spans="1:117">
      <c r="A83" s="2" t="s">
        <v>884</v>
      </c>
      <c r="B83" s="41"/>
      <c r="C83" s="40"/>
      <c r="D83" s="40"/>
      <c r="E83" s="40" t="s">
        <v>653</v>
      </c>
      <c r="F83" s="118" t="s">
        <v>653</v>
      </c>
      <c r="G83" s="41"/>
      <c r="H83" s="40"/>
      <c r="I83" s="40"/>
      <c r="J83" s="40" t="s">
        <v>653</v>
      </c>
      <c r="K83" s="118" t="s">
        <v>653</v>
      </c>
      <c r="L83" s="41"/>
      <c r="M83" s="40"/>
      <c r="N83" s="40"/>
      <c r="O83" s="40" t="s">
        <v>653</v>
      </c>
      <c r="P83" s="118" t="s">
        <v>653</v>
      </c>
      <c r="Q83" s="41"/>
      <c r="R83" s="40"/>
      <c r="S83" s="40"/>
      <c r="T83" s="40" t="s">
        <v>653</v>
      </c>
      <c r="U83" s="118" t="s">
        <v>653</v>
      </c>
      <c r="V83" s="41"/>
      <c r="W83" s="40"/>
      <c r="X83" s="40"/>
      <c r="Y83" s="40" t="s">
        <v>653</v>
      </c>
      <c r="Z83" s="118" t="s">
        <v>653</v>
      </c>
      <c r="AA83" s="41"/>
      <c r="AB83" s="18"/>
      <c r="AC83" s="18"/>
      <c r="AD83" s="18"/>
      <c r="AE83" s="127"/>
      <c r="AF83" s="19"/>
      <c r="AG83" s="18"/>
      <c r="AH83" s="18"/>
      <c r="AI83" s="18"/>
      <c r="AJ83" s="127"/>
      <c r="AK83" s="19"/>
      <c r="AL83" s="18"/>
      <c r="AM83" s="18"/>
      <c r="AN83" s="18"/>
      <c r="AO83" s="127"/>
      <c r="AP83" s="19"/>
      <c r="AQ83" s="18"/>
      <c r="AR83" s="18"/>
      <c r="AS83" s="18"/>
      <c r="AT83" s="127"/>
      <c r="AU83" s="19"/>
      <c r="AV83" s="18"/>
      <c r="AW83" s="18"/>
      <c r="AX83" s="18"/>
      <c r="AY83" s="127"/>
      <c r="AZ83" s="19"/>
      <c r="BA83" s="18"/>
      <c r="BB83" s="18"/>
      <c r="BC83" s="18"/>
      <c r="BD83" s="127"/>
      <c r="BE83" s="19"/>
      <c r="BF83" s="18"/>
      <c r="BG83" s="18"/>
      <c r="BH83" s="18"/>
      <c r="BI83" s="127"/>
      <c r="BJ83" s="19"/>
      <c r="BK83" s="18"/>
      <c r="BL83" s="18"/>
      <c r="BM83" s="18"/>
      <c r="BN83" s="127"/>
      <c r="BO83" s="19"/>
      <c r="BP83" s="18"/>
      <c r="BQ83" s="18"/>
      <c r="BR83" s="18"/>
      <c r="BS83" s="127"/>
      <c r="BT83" s="19"/>
      <c r="BU83" s="18"/>
      <c r="BV83" s="18"/>
      <c r="BW83" s="18"/>
      <c r="BX83" s="127"/>
      <c r="BY83" s="19"/>
      <c r="BZ83" s="18"/>
      <c r="CA83" s="18"/>
      <c r="CB83" s="18"/>
      <c r="CC83" s="127"/>
      <c r="CD83" s="19"/>
      <c r="CE83" s="18"/>
      <c r="CF83" s="18"/>
      <c r="CG83" s="18"/>
      <c r="CH83" s="127"/>
      <c r="CI83" s="19"/>
      <c r="CJ83" s="18"/>
      <c r="CK83" s="18"/>
      <c r="CL83" s="18"/>
      <c r="CM83" s="127"/>
      <c r="CN83" s="19"/>
      <c r="CO83" s="18"/>
      <c r="CP83" s="18"/>
      <c r="CQ83" s="18"/>
      <c r="CR83" s="127"/>
      <c r="CS83" s="19"/>
      <c r="CT83" s="18"/>
      <c r="CU83" s="18"/>
      <c r="CV83" s="18"/>
      <c r="CW83" s="127"/>
      <c r="CX83" s="19"/>
      <c r="CY83" s="18"/>
      <c r="CZ83" s="18"/>
      <c r="DA83" s="18"/>
      <c r="DB83" s="127"/>
      <c r="DC83" s="18"/>
      <c r="DD83" s="18"/>
      <c r="DE83" s="18"/>
      <c r="DF83" s="18"/>
      <c r="DG83" s="18"/>
      <c r="DH83" s="18"/>
      <c r="DI83" s="18"/>
      <c r="DJ83" s="18"/>
      <c r="DK83" s="61"/>
      <c r="DL83" s="61"/>
      <c r="DM83" s="61"/>
    </row>
    <row r="84" spans="1:117">
      <c r="A84" s="15" t="s">
        <v>885</v>
      </c>
      <c r="B84" s="94">
        <f t="shared" ref="B84:AB84" si="139">B220</f>
        <v>22237</v>
      </c>
      <c r="C84" s="48">
        <f t="shared" si="139"/>
        <v>18960</v>
      </c>
      <c r="D84" s="48">
        <f t="shared" si="139"/>
        <v>17759</v>
      </c>
      <c r="E84" s="48">
        <f t="shared" si="139"/>
        <v>9458</v>
      </c>
      <c r="F84" s="104">
        <f t="shared" si="139"/>
        <v>9458</v>
      </c>
      <c r="G84" s="94">
        <f t="shared" si="139"/>
        <v>35495</v>
      </c>
      <c r="H84" s="48">
        <f t="shared" si="139"/>
        <v>16603</v>
      </c>
      <c r="I84" s="48">
        <f t="shared" si="139"/>
        <v>86160</v>
      </c>
      <c r="J84" s="48">
        <f t="shared" si="139"/>
        <v>7915</v>
      </c>
      <c r="K84" s="104">
        <f t="shared" si="139"/>
        <v>7915</v>
      </c>
      <c r="L84" s="94">
        <f t="shared" si="139"/>
        <v>36800</v>
      </c>
      <c r="M84" s="48">
        <f t="shared" si="139"/>
        <v>645349</v>
      </c>
      <c r="N84" s="48">
        <f t="shared" si="139"/>
        <v>247475</v>
      </c>
      <c r="O84" s="48">
        <f t="shared" si="139"/>
        <v>68268</v>
      </c>
      <c r="P84" s="104">
        <f t="shared" si="139"/>
        <v>68268</v>
      </c>
      <c r="Q84" s="94">
        <f t="shared" si="139"/>
        <v>225510</v>
      </c>
      <c r="R84" s="48">
        <f t="shared" si="139"/>
        <v>303288</v>
      </c>
      <c r="S84" s="48">
        <f t="shared" si="139"/>
        <v>833745</v>
      </c>
      <c r="T84" s="48">
        <f t="shared" si="139"/>
        <v>19105</v>
      </c>
      <c r="U84" s="104">
        <f t="shared" si="139"/>
        <v>19105</v>
      </c>
      <c r="V84" s="94">
        <f t="shared" si="139"/>
        <v>268740</v>
      </c>
      <c r="W84" s="48">
        <f t="shared" si="139"/>
        <v>98744</v>
      </c>
      <c r="X84" s="48">
        <f t="shared" si="139"/>
        <v>72944</v>
      </c>
      <c r="Y84" s="48">
        <f t="shared" si="139"/>
        <v>510058</v>
      </c>
      <c r="Z84" s="104">
        <f t="shared" si="139"/>
        <v>510058</v>
      </c>
      <c r="AA84" s="94">
        <f t="shared" si="139"/>
        <v>76753</v>
      </c>
      <c r="AB84" s="48">
        <f t="shared" si="139"/>
        <v>47038</v>
      </c>
      <c r="AC84" s="48">
        <f t="shared" ref="AC84:AH84" si="140">AC220</f>
        <v>52180</v>
      </c>
      <c r="AD84" s="48">
        <f t="shared" si="140"/>
        <v>29399</v>
      </c>
      <c r="AE84" s="104">
        <f t="shared" si="140"/>
        <v>29399</v>
      </c>
      <c r="AF84" s="94">
        <f t="shared" si="140"/>
        <v>167433</v>
      </c>
      <c r="AG84" s="48">
        <f t="shared" si="140"/>
        <v>103251</v>
      </c>
      <c r="AH84" s="48">
        <f t="shared" si="140"/>
        <v>50483</v>
      </c>
      <c r="AI84" s="48">
        <f>AI220</f>
        <v>31034</v>
      </c>
      <c r="AJ84" s="104">
        <f>AI84</f>
        <v>31034</v>
      </c>
      <c r="AK84" s="94">
        <f>AK220</f>
        <v>870086</v>
      </c>
      <c r="AL84" s="48">
        <f>AL220</f>
        <v>477573</v>
      </c>
      <c r="AM84" s="48">
        <f>AM220</f>
        <v>148407</v>
      </c>
      <c r="AN84" s="48">
        <f>AN220</f>
        <v>65953</v>
      </c>
      <c r="AO84" s="104">
        <f t="shared" ref="AO84:AO91" si="141">AN84</f>
        <v>65953</v>
      </c>
      <c r="AP84" s="48">
        <f>AP220</f>
        <v>781192</v>
      </c>
      <c r="AQ84" s="48">
        <f>AQ220</f>
        <v>114920</v>
      </c>
      <c r="AR84" s="48">
        <f>AR220</f>
        <v>978825</v>
      </c>
      <c r="AS84" s="48">
        <f>AS220</f>
        <v>583618</v>
      </c>
      <c r="AT84" s="104">
        <f t="shared" ref="AT84:AT91" si="142">AS84</f>
        <v>583618</v>
      </c>
      <c r="AU84" s="48">
        <f>AU220</f>
        <v>143947</v>
      </c>
      <c r="AV84" s="48">
        <f>AV220</f>
        <v>33681</v>
      </c>
      <c r="AW84" s="48">
        <f>AW220</f>
        <v>779524</v>
      </c>
      <c r="AX84" s="48">
        <f>AX220</f>
        <v>149313</v>
      </c>
      <c r="AY84" s="104">
        <f t="shared" ref="AY84:AY91" si="143">AX84</f>
        <v>149313</v>
      </c>
      <c r="AZ84" s="48">
        <f>AZ220</f>
        <v>210227</v>
      </c>
      <c r="BA84" s="48">
        <f>BA220</f>
        <v>358560</v>
      </c>
      <c r="BB84" s="48">
        <f>BB220</f>
        <v>151403</v>
      </c>
      <c r="BC84" s="48">
        <f>BC220</f>
        <v>172812</v>
      </c>
      <c r="BD84" s="104">
        <f t="shared" ref="BD84:BD91" si="144">BC84</f>
        <v>172812</v>
      </c>
      <c r="BE84" s="552">
        <f>BE220</f>
        <v>239411</v>
      </c>
      <c r="BF84" s="48">
        <f>BF220</f>
        <v>226193</v>
      </c>
      <c r="BG84" s="567">
        <v>38371</v>
      </c>
      <c r="BH84" s="48">
        <f>BH220</f>
        <v>97619</v>
      </c>
      <c r="BI84" s="104">
        <f>BH84</f>
        <v>97619</v>
      </c>
      <c r="BJ84" s="48">
        <f>BJ220</f>
        <v>137219</v>
      </c>
      <c r="BK84" s="48">
        <f>BK220</f>
        <v>180854</v>
      </c>
      <c r="BL84" s="48">
        <f>BL220</f>
        <v>237410</v>
      </c>
      <c r="BM84" s="48">
        <f>BM220</f>
        <v>248875</v>
      </c>
      <c r="BN84" s="104">
        <f t="shared" ref="BN84:BN91" si="145">BM84</f>
        <v>248875</v>
      </c>
      <c r="BO84" s="94">
        <f>BO220</f>
        <v>310808</v>
      </c>
      <c r="BP84" s="48">
        <v>332371</v>
      </c>
      <c r="BQ84" s="48">
        <v>11676</v>
      </c>
      <c r="BR84" s="48">
        <f>BR220</f>
        <v>37193</v>
      </c>
      <c r="BS84" s="104">
        <f t="shared" ref="BS84:BS91" si="146">BR84</f>
        <v>37193</v>
      </c>
      <c r="BT84" s="94">
        <f>BT220</f>
        <v>925792.72743133642</v>
      </c>
      <c r="BU84" s="48">
        <f>BU220</f>
        <v>730824.00025415933</v>
      </c>
      <c r="BV84" s="48">
        <f>BV220</f>
        <v>519887.44948192709</v>
      </c>
      <c r="BW84" s="48">
        <f>BW220</f>
        <v>303904.97230260161</v>
      </c>
      <c r="BX84" s="104">
        <f t="shared" ref="BX84:BX91" si="147">BW84</f>
        <v>303904.97230260161</v>
      </c>
      <c r="BY84" s="94">
        <f>BY220</f>
        <v>277221.56538756046</v>
      </c>
      <c r="BZ84" s="48">
        <f>BZ220</f>
        <v>229985.51629469777</v>
      </c>
      <c r="CA84" s="48">
        <f>CA220</f>
        <v>159955.41126685962</v>
      </c>
      <c r="CB84" s="48">
        <f>CB220</f>
        <v>84130.351953513338</v>
      </c>
      <c r="CC84" s="104">
        <f t="shared" ref="CC84:CC91" si="148">CB84</f>
        <v>84130.351953513338</v>
      </c>
      <c r="CD84" s="94">
        <f>CD220</f>
        <v>87063.777902492904</v>
      </c>
      <c r="CE84" s="48">
        <f>CE220</f>
        <v>81312.249375539192</v>
      </c>
      <c r="CF84" s="48">
        <f>CF220</f>
        <v>61410.349113133561</v>
      </c>
      <c r="CG84" s="48">
        <f>CG220</f>
        <v>75023.232774614531</v>
      </c>
      <c r="CH84" s="104">
        <f t="shared" ref="CH84:CH91" si="149">CG84</f>
        <v>75023.232774614531</v>
      </c>
      <c r="CI84" s="94">
        <f>CI220</f>
        <v>96532.379435437033</v>
      </c>
      <c r="CJ84" s="48">
        <f>CJ220</f>
        <v>121048.30621248821</v>
      </c>
      <c r="CK84" s="48">
        <f>CK220</f>
        <v>127023.89185263769</v>
      </c>
      <c r="CL84" s="48">
        <f>CL220</f>
        <v>184811.97951161733</v>
      </c>
      <c r="CM84" s="104">
        <f t="shared" ref="CM84:CM91" si="150">CL84</f>
        <v>184811.97951161733</v>
      </c>
      <c r="CN84" s="94">
        <f>CN220</f>
        <v>172013.70174660621</v>
      </c>
      <c r="CO84" s="48">
        <f>CO220</f>
        <v>166087.49781674391</v>
      </c>
      <c r="CP84" s="48">
        <f>CP220</f>
        <v>144535.89709534199</v>
      </c>
      <c r="CQ84" s="48">
        <f>CQ220</f>
        <v>191229.50271924492</v>
      </c>
      <c r="CR84" s="104">
        <f t="shared" ref="CR84:CR91" si="151">CQ84</f>
        <v>191229.50271924492</v>
      </c>
      <c r="CS84" s="94">
        <f>CS220</f>
        <v>156994.96222049103</v>
      </c>
      <c r="CT84" s="48">
        <f>CT220</f>
        <v>129792.09136740887</v>
      </c>
      <c r="CU84" s="48">
        <f>CU220</f>
        <v>87083.267250698351</v>
      </c>
      <c r="CV84" s="48">
        <f>CV220</f>
        <v>129307.05723993457</v>
      </c>
      <c r="CW84" s="104">
        <f t="shared" ref="CW84:CW91" si="152">CV84</f>
        <v>129307.05723993457</v>
      </c>
      <c r="CX84" s="94">
        <f>CX220</f>
        <v>94037.98101505544</v>
      </c>
      <c r="CY84" s="48">
        <f>CY220</f>
        <v>66173.329530911869</v>
      </c>
      <c r="CZ84" s="48">
        <f>CZ220</f>
        <v>23103.477695891866</v>
      </c>
      <c r="DA84" s="48">
        <f>DA220</f>
        <v>71574.463914877153</v>
      </c>
      <c r="DB84" s="104">
        <f t="shared" ref="DB84:DB91" si="153">DA84</f>
        <v>71574.463914877153</v>
      </c>
      <c r="DC84" s="48"/>
      <c r="DD84" s="48"/>
      <c r="DE84" s="48"/>
      <c r="DF84" s="48"/>
      <c r="DG84" s="48"/>
      <c r="DH84" s="48"/>
      <c r="DI84" s="48"/>
      <c r="DJ84" s="48"/>
      <c r="DK84" s="99"/>
      <c r="DL84" s="99"/>
      <c r="DM84" s="61"/>
    </row>
    <row r="85" spans="1:117">
      <c r="A85" s="15" t="s">
        <v>765</v>
      </c>
      <c r="B85" s="37">
        <v>0</v>
      </c>
      <c r="C85" s="38">
        <v>0</v>
      </c>
      <c r="D85" s="38">
        <v>0</v>
      </c>
      <c r="E85" s="48">
        <f t="shared" ref="E85:E91" si="154">F85</f>
        <v>0</v>
      </c>
      <c r="F85" s="133">
        <v>0</v>
      </c>
      <c r="G85" s="37">
        <v>0</v>
      </c>
      <c r="H85" s="38">
        <v>0</v>
      </c>
      <c r="I85" s="38">
        <v>0</v>
      </c>
      <c r="J85" s="48">
        <f t="shared" ref="J85:J91" si="155">K85</f>
        <v>0</v>
      </c>
      <c r="K85" s="133">
        <v>0</v>
      </c>
      <c r="L85" s="37">
        <v>0</v>
      </c>
      <c r="M85" s="38">
        <v>0</v>
      </c>
      <c r="N85" s="38">
        <v>0</v>
      </c>
      <c r="O85" s="48">
        <f t="shared" ref="O85:O91" si="156">P85</f>
        <v>31125</v>
      </c>
      <c r="P85" s="133">
        <v>31125</v>
      </c>
      <c r="Q85" s="37">
        <v>538030</v>
      </c>
      <c r="R85" s="38">
        <v>26037</v>
      </c>
      <c r="S85" s="38">
        <v>0</v>
      </c>
      <c r="T85" s="48">
        <f t="shared" ref="T85:T91" si="157">U85</f>
        <v>0</v>
      </c>
      <c r="U85" s="133">
        <v>0</v>
      </c>
      <c r="V85" s="37">
        <v>0</v>
      </c>
      <c r="W85" s="38">
        <v>0</v>
      </c>
      <c r="X85" s="38">
        <v>0</v>
      </c>
      <c r="Y85" s="48">
        <f t="shared" ref="Y85:Y91" si="158">Z85</f>
        <v>0</v>
      </c>
      <c r="Z85" s="133">
        <v>0</v>
      </c>
      <c r="AA85" s="37">
        <v>0</v>
      </c>
      <c r="AB85" s="38">
        <v>0</v>
      </c>
      <c r="AC85" s="38">
        <v>0</v>
      </c>
      <c r="AD85" s="48">
        <f t="shared" ref="AD85:AD91" si="159">AE85</f>
        <v>0</v>
      </c>
      <c r="AE85" s="133">
        <v>0</v>
      </c>
      <c r="AF85" s="37">
        <v>0</v>
      </c>
      <c r="AG85" s="38">
        <v>0</v>
      </c>
      <c r="AH85" s="38">
        <v>0</v>
      </c>
      <c r="AI85" s="38">
        <v>0</v>
      </c>
      <c r="AJ85" s="104">
        <f t="shared" ref="AJ85:AJ91" si="160">AI85</f>
        <v>0</v>
      </c>
      <c r="AK85" s="37">
        <v>0</v>
      </c>
      <c r="AL85" s="38">
        <v>0</v>
      </c>
      <c r="AM85" s="38">
        <v>0</v>
      </c>
      <c r="AN85" s="38">
        <v>0</v>
      </c>
      <c r="AO85" s="104">
        <f t="shared" si="141"/>
        <v>0</v>
      </c>
      <c r="AP85" s="38">
        <v>0</v>
      </c>
      <c r="AQ85" s="38">
        <v>0</v>
      </c>
      <c r="AR85" s="38">
        <v>0</v>
      </c>
      <c r="AS85" s="38">
        <v>0</v>
      </c>
      <c r="AT85" s="104">
        <f t="shared" si="142"/>
        <v>0</v>
      </c>
      <c r="AU85" s="38">
        <v>0</v>
      </c>
      <c r="AV85" s="38">
        <v>0</v>
      </c>
      <c r="AW85" s="38">
        <v>0</v>
      </c>
      <c r="AX85" s="38">
        <v>0</v>
      </c>
      <c r="AY85" s="104">
        <f t="shared" si="143"/>
        <v>0</v>
      </c>
      <c r="AZ85" s="38">
        <v>0</v>
      </c>
      <c r="BA85" s="38">
        <v>0</v>
      </c>
      <c r="BB85" s="38">
        <v>0</v>
      </c>
      <c r="BC85" s="38">
        <v>0</v>
      </c>
      <c r="BD85" s="104">
        <f t="shared" si="144"/>
        <v>0</v>
      </c>
      <c r="BE85" s="38">
        <v>0</v>
      </c>
      <c r="BF85" s="567">
        <v>0</v>
      </c>
      <c r="BG85" s="567">
        <v>0</v>
      </c>
      <c r="BH85" s="38">
        <v>0</v>
      </c>
      <c r="BI85" s="104">
        <f t="shared" ref="BI85:BI91" si="161">BH85</f>
        <v>0</v>
      </c>
      <c r="BJ85" s="38">
        <v>0</v>
      </c>
      <c r="BK85" s="38">
        <v>0</v>
      </c>
      <c r="BL85" s="38">
        <v>0</v>
      </c>
      <c r="BM85" s="38">
        <v>0</v>
      </c>
      <c r="BN85" s="104">
        <f t="shared" si="145"/>
        <v>0</v>
      </c>
      <c r="BO85" s="48">
        <v>0</v>
      </c>
      <c r="BP85" s="48">
        <f t="shared" ref="BP85:BQ90" si="162">BO85*1.005</f>
        <v>0</v>
      </c>
      <c r="BQ85" s="48">
        <f t="shared" si="162"/>
        <v>0</v>
      </c>
      <c r="BR85" s="38">
        <v>0</v>
      </c>
      <c r="BS85" s="104">
        <f t="shared" si="146"/>
        <v>0</v>
      </c>
      <c r="BT85" s="48">
        <f t="shared" ref="BT85:BT91" si="163">BS85*1.005</f>
        <v>0</v>
      </c>
      <c r="BU85" s="48">
        <f t="shared" ref="BU85:BU91" si="164">BT85*1.005</f>
        <v>0</v>
      </c>
      <c r="BV85" s="48">
        <f t="shared" ref="BV85:BV91" si="165">BU85*1.005</f>
        <v>0</v>
      </c>
      <c r="BW85" s="48">
        <f t="shared" ref="BW85:BW91" si="166">BV85*1.005</f>
        <v>0</v>
      </c>
      <c r="BX85" s="104">
        <f t="shared" si="147"/>
        <v>0</v>
      </c>
      <c r="BY85" s="48">
        <f t="shared" ref="BY85:BY91" si="167">BX85*1.005</f>
        <v>0</v>
      </c>
      <c r="BZ85" s="48">
        <f t="shared" ref="BZ85:BZ91" si="168">BY85*1.005</f>
        <v>0</v>
      </c>
      <c r="CA85" s="48">
        <f t="shared" ref="CA85:CA91" si="169">BZ85*1.005</f>
        <v>0</v>
      </c>
      <c r="CB85" s="48">
        <f t="shared" ref="CB85:CB91" si="170">CA85*1.005</f>
        <v>0</v>
      </c>
      <c r="CC85" s="104">
        <f t="shared" si="148"/>
        <v>0</v>
      </c>
      <c r="CD85" s="48">
        <f t="shared" ref="CD85:CD91" si="171">CC85*1.005</f>
        <v>0</v>
      </c>
      <c r="CE85" s="48">
        <f t="shared" ref="CE85:CE91" si="172">CD85*1.005</f>
        <v>0</v>
      </c>
      <c r="CF85" s="48">
        <f t="shared" ref="CF85:CF91" si="173">CE85*1.005</f>
        <v>0</v>
      </c>
      <c r="CG85" s="48">
        <f t="shared" ref="CG85:CG91" si="174">CF85*1.005</f>
        <v>0</v>
      </c>
      <c r="CH85" s="104">
        <f t="shared" si="149"/>
        <v>0</v>
      </c>
      <c r="CI85" s="48">
        <f t="shared" ref="CI85:CI91" si="175">CH85*1.005</f>
        <v>0</v>
      </c>
      <c r="CJ85" s="48">
        <f t="shared" ref="CJ85:CJ91" si="176">CI85*1.005</f>
        <v>0</v>
      </c>
      <c r="CK85" s="48">
        <f t="shared" ref="CK85:CK91" si="177">CJ85*1.005</f>
        <v>0</v>
      </c>
      <c r="CL85" s="48">
        <f t="shared" ref="CL85:CL91" si="178">CK85*1.005</f>
        <v>0</v>
      </c>
      <c r="CM85" s="104">
        <f t="shared" si="150"/>
        <v>0</v>
      </c>
      <c r="CN85" s="48">
        <f t="shared" ref="CN85:CN91" si="179">CM85*1.005</f>
        <v>0</v>
      </c>
      <c r="CO85" s="48">
        <f t="shared" ref="CO85:CO91" si="180">CN85*1.005</f>
        <v>0</v>
      </c>
      <c r="CP85" s="48">
        <f t="shared" ref="CP85:CP91" si="181">CO85*1.005</f>
        <v>0</v>
      </c>
      <c r="CQ85" s="48">
        <f t="shared" ref="CQ85:CQ91" si="182">CP85*1.005</f>
        <v>0</v>
      </c>
      <c r="CR85" s="104">
        <f t="shared" si="151"/>
        <v>0</v>
      </c>
      <c r="CS85" s="48">
        <f t="shared" ref="CS85:CS91" si="183">CR85*1.005</f>
        <v>0</v>
      </c>
      <c r="CT85" s="48">
        <f t="shared" ref="CT85:CT91" si="184">CS85*1.005</f>
        <v>0</v>
      </c>
      <c r="CU85" s="48">
        <f t="shared" ref="CU85:CU91" si="185">CT85*1.005</f>
        <v>0</v>
      </c>
      <c r="CV85" s="48">
        <f t="shared" ref="CV85:CV91" si="186">CU85*1.005</f>
        <v>0</v>
      </c>
      <c r="CW85" s="104">
        <f t="shared" si="152"/>
        <v>0</v>
      </c>
      <c r="CX85" s="48">
        <f t="shared" ref="CX85:CX91" si="187">CW85*1.005</f>
        <v>0</v>
      </c>
      <c r="CY85" s="48">
        <f t="shared" ref="CY85:CY91" si="188">CX85*1.005</f>
        <v>0</v>
      </c>
      <c r="CZ85" s="48">
        <f t="shared" ref="CZ85:CZ91" si="189">CY85*1.005</f>
        <v>0</v>
      </c>
      <c r="DA85" s="48">
        <f t="shared" ref="DA85:DA91" si="190">CZ85*1.005</f>
        <v>0</v>
      </c>
      <c r="DB85" s="104">
        <f t="shared" si="153"/>
        <v>0</v>
      </c>
      <c r="DC85" s="48"/>
      <c r="DD85" s="48"/>
      <c r="DE85" s="48"/>
      <c r="DF85" s="48"/>
      <c r="DG85" s="48"/>
      <c r="DH85" s="48"/>
      <c r="DI85" s="48"/>
      <c r="DJ85" s="48"/>
      <c r="DK85" s="99"/>
      <c r="DL85" s="99"/>
      <c r="DM85" s="61"/>
    </row>
    <row r="86" spans="1:117">
      <c r="A86" s="34" t="s">
        <v>146</v>
      </c>
      <c r="B86" s="37">
        <v>944341</v>
      </c>
      <c r="C86" s="38">
        <v>815657</v>
      </c>
      <c r="D86" s="38">
        <v>696907</v>
      </c>
      <c r="E86" s="48">
        <f t="shared" si="154"/>
        <v>1412861</v>
      </c>
      <c r="F86" s="133">
        <v>1412861</v>
      </c>
      <c r="G86" s="37">
        <v>1262960</v>
      </c>
      <c r="H86" s="38">
        <v>930074</v>
      </c>
      <c r="I86" s="38">
        <v>1471986</v>
      </c>
      <c r="J86" s="48">
        <f t="shared" si="155"/>
        <v>1961208</v>
      </c>
      <c r="K86" s="133">
        <v>1961208</v>
      </c>
      <c r="L86" s="37">
        <v>1501651</v>
      </c>
      <c r="M86" s="38">
        <v>971855</v>
      </c>
      <c r="N86" s="38">
        <v>944732</v>
      </c>
      <c r="O86" s="48">
        <f t="shared" si="156"/>
        <v>1348490</v>
      </c>
      <c r="P86" s="133">
        <v>1348490</v>
      </c>
      <c r="Q86" s="37">
        <v>1286444</v>
      </c>
      <c r="R86" s="38">
        <v>1028968</v>
      </c>
      <c r="S86" s="38">
        <v>923445</v>
      </c>
      <c r="T86" s="48">
        <f t="shared" si="157"/>
        <v>1723212</v>
      </c>
      <c r="U86" s="133">
        <v>1723212</v>
      </c>
      <c r="V86" s="37">
        <v>1723572</v>
      </c>
      <c r="W86" s="38">
        <v>1507639</v>
      </c>
      <c r="X86" s="38">
        <v>1066606</v>
      </c>
      <c r="Y86" s="48">
        <f t="shared" si="158"/>
        <v>1265300</v>
      </c>
      <c r="Z86" s="133">
        <v>1265300</v>
      </c>
      <c r="AA86" s="37">
        <v>1014142</v>
      </c>
      <c r="AB86" s="38">
        <v>771196</v>
      </c>
      <c r="AC86" s="38">
        <v>726719</v>
      </c>
      <c r="AD86" s="48">
        <f t="shared" si="159"/>
        <v>1437994</v>
      </c>
      <c r="AE86" s="133">
        <v>1437994</v>
      </c>
      <c r="AF86" s="37">
        <v>1202293</v>
      </c>
      <c r="AG86" s="38">
        <v>904325</v>
      </c>
      <c r="AH86" s="38">
        <v>858819</v>
      </c>
      <c r="AI86" s="38">
        <v>1332726</v>
      </c>
      <c r="AJ86" s="104">
        <f t="shared" si="160"/>
        <v>1332726</v>
      </c>
      <c r="AK86" s="37">
        <v>1280125</v>
      </c>
      <c r="AL86" s="38">
        <v>1125338</v>
      </c>
      <c r="AM86" s="38">
        <v>1141132</v>
      </c>
      <c r="AN86" s="38">
        <v>1339933</v>
      </c>
      <c r="AO86" s="104">
        <f t="shared" si="141"/>
        <v>1339933</v>
      </c>
      <c r="AP86" s="38">
        <v>1154951</v>
      </c>
      <c r="AQ86" s="38">
        <v>793842</v>
      </c>
      <c r="AR86" s="38">
        <v>984724</v>
      </c>
      <c r="AS86" s="38">
        <v>1349371</v>
      </c>
      <c r="AT86" s="104">
        <f t="shared" si="142"/>
        <v>1349371</v>
      </c>
      <c r="AU86" s="38">
        <v>1261804</v>
      </c>
      <c r="AV86" s="38">
        <v>1158738</v>
      </c>
      <c r="AW86" s="38">
        <v>1166994</v>
      </c>
      <c r="AX86" s="38">
        <v>1549563</v>
      </c>
      <c r="AY86" s="104">
        <f t="shared" si="143"/>
        <v>1549563</v>
      </c>
      <c r="AZ86" s="38">
        <v>883673</v>
      </c>
      <c r="BA86" s="38">
        <v>1097008</v>
      </c>
      <c r="BB86" s="38">
        <v>971285</v>
      </c>
      <c r="BC86" s="38">
        <v>745494</v>
      </c>
      <c r="BD86" s="104">
        <f t="shared" si="144"/>
        <v>745494</v>
      </c>
      <c r="BE86" s="38">
        <v>628064</v>
      </c>
      <c r="BF86" s="38">
        <v>684899</v>
      </c>
      <c r="BG86" s="567">
        <v>586157</v>
      </c>
      <c r="BH86" s="38">
        <v>593979</v>
      </c>
      <c r="BI86" s="104">
        <f>BH86</f>
        <v>593979</v>
      </c>
      <c r="BJ86" s="38">
        <v>521436</v>
      </c>
      <c r="BK86" s="38">
        <v>672059</v>
      </c>
      <c r="BL86" s="38">
        <v>737224</v>
      </c>
      <c r="BM86" s="38">
        <v>872430</v>
      </c>
      <c r="BN86" s="104">
        <f t="shared" si="145"/>
        <v>872430</v>
      </c>
      <c r="BO86" s="38">
        <v>734844</v>
      </c>
      <c r="BP86" s="567">
        <v>749345</v>
      </c>
      <c r="BQ86" s="567">
        <v>939595</v>
      </c>
      <c r="BR86" s="38">
        <v>1202951</v>
      </c>
      <c r="BS86" s="104">
        <f t="shared" si="146"/>
        <v>1202951</v>
      </c>
      <c r="BT86" s="48">
        <f t="shared" si="163"/>
        <v>1208965.7549999999</v>
      </c>
      <c r="BU86" s="48">
        <f t="shared" si="164"/>
        <v>1215010.5837749997</v>
      </c>
      <c r="BV86" s="48">
        <f t="shared" si="165"/>
        <v>1221085.6366938746</v>
      </c>
      <c r="BW86" s="48">
        <f t="shared" si="166"/>
        <v>1227191.0648773438</v>
      </c>
      <c r="BX86" s="104">
        <f t="shared" si="147"/>
        <v>1227191.0648773438</v>
      </c>
      <c r="BY86" s="48">
        <f t="shared" si="167"/>
        <v>1233327.0202017303</v>
      </c>
      <c r="BZ86" s="48">
        <f t="shared" si="168"/>
        <v>1239493.6553027388</v>
      </c>
      <c r="CA86" s="48">
        <f t="shared" si="169"/>
        <v>1245691.1235792523</v>
      </c>
      <c r="CB86" s="48">
        <f t="shared" si="170"/>
        <v>1251919.5791971483</v>
      </c>
      <c r="CC86" s="104">
        <f t="shared" si="148"/>
        <v>1251919.5791971483</v>
      </c>
      <c r="CD86" s="48">
        <f t="shared" si="171"/>
        <v>1258179.177093134</v>
      </c>
      <c r="CE86" s="48">
        <f t="shared" si="172"/>
        <v>1264470.0729785995</v>
      </c>
      <c r="CF86" s="48">
        <f t="shared" si="173"/>
        <v>1270792.4233434924</v>
      </c>
      <c r="CG86" s="48">
        <f t="shared" si="174"/>
        <v>1277146.3854602098</v>
      </c>
      <c r="CH86" s="104">
        <f t="shared" si="149"/>
        <v>1277146.3854602098</v>
      </c>
      <c r="CI86" s="48">
        <f t="shared" si="175"/>
        <v>1283532.1173875106</v>
      </c>
      <c r="CJ86" s="48">
        <f t="shared" si="176"/>
        <v>1289949.7779744479</v>
      </c>
      <c r="CK86" s="48">
        <f t="shared" si="177"/>
        <v>1296399.52686432</v>
      </c>
      <c r="CL86" s="48">
        <f t="shared" si="178"/>
        <v>1302881.5244986415</v>
      </c>
      <c r="CM86" s="104">
        <f t="shared" si="150"/>
        <v>1302881.5244986415</v>
      </c>
      <c r="CN86" s="48">
        <f t="shared" si="179"/>
        <v>1309395.9321211346</v>
      </c>
      <c r="CO86" s="48">
        <f t="shared" si="180"/>
        <v>1315942.9117817401</v>
      </c>
      <c r="CP86" s="48">
        <f t="shared" si="181"/>
        <v>1322522.6263406486</v>
      </c>
      <c r="CQ86" s="48">
        <f t="shared" si="182"/>
        <v>1329135.2394723517</v>
      </c>
      <c r="CR86" s="104">
        <f t="shared" si="151"/>
        <v>1329135.2394723517</v>
      </c>
      <c r="CS86" s="48">
        <f t="shared" si="183"/>
        <v>1335780.9156697134</v>
      </c>
      <c r="CT86" s="48">
        <f t="shared" si="184"/>
        <v>1342459.8202480618</v>
      </c>
      <c r="CU86" s="48">
        <f t="shared" si="185"/>
        <v>1349172.119349302</v>
      </c>
      <c r="CV86" s="48">
        <f t="shared" si="186"/>
        <v>1355917.9799460485</v>
      </c>
      <c r="CW86" s="104">
        <f t="shared" si="152"/>
        <v>1355917.9799460485</v>
      </c>
      <c r="CX86" s="48">
        <f t="shared" si="187"/>
        <v>1362697.5698457786</v>
      </c>
      <c r="CY86" s="48">
        <f t="shared" si="188"/>
        <v>1369511.0576950074</v>
      </c>
      <c r="CZ86" s="48">
        <f t="shared" si="189"/>
        <v>1376358.6129834824</v>
      </c>
      <c r="DA86" s="48">
        <f t="shared" si="190"/>
        <v>1383240.4060483996</v>
      </c>
      <c r="DB86" s="104">
        <f t="shared" si="153"/>
        <v>1383240.4060483996</v>
      </c>
      <c r="DC86" s="48"/>
      <c r="DD86" s="48"/>
      <c r="DE86" s="48"/>
      <c r="DF86" s="48"/>
      <c r="DG86" s="48"/>
      <c r="DH86" s="48"/>
      <c r="DI86" s="48"/>
      <c r="DJ86" s="48"/>
      <c r="DK86" s="99"/>
      <c r="DL86" s="99"/>
      <c r="DM86" s="9"/>
    </row>
    <row r="87" spans="1:117">
      <c r="A87" s="15" t="s">
        <v>588</v>
      </c>
      <c r="B87" s="94">
        <f>256805+20684</f>
        <v>277489</v>
      </c>
      <c r="C87" s="48">
        <f>444569+21576</f>
        <v>466145</v>
      </c>
      <c r="D87" s="48">
        <f>636229+20585</f>
        <v>656814</v>
      </c>
      <c r="E87" s="48">
        <f t="shared" si="154"/>
        <v>593028</v>
      </c>
      <c r="F87" s="133">
        <v>593028</v>
      </c>
      <c r="G87" s="94">
        <f>22937+300440</f>
        <v>323377</v>
      </c>
      <c r="H87" s="48">
        <f>22665+550386</f>
        <v>573051</v>
      </c>
      <c r="I87" s="48">
        <f>22497+880170</f>
        <v>902667</v>
      </c>
      <c r="J87" s="48">
        <f t="shared" si="155"/>
        <v>911393</v>
      </c>
      <c r="K87" s="133">
        <v>911393</v>
      </c>
      <c r="L87" s="37">
        <v>625029</v>
      </c>
      <c r="M87" s="38">
        <v>905098</v>
      </c>
      <c r="N87" s="38">
        <v>1028007</v>
      </c>
      <c r="O87" s="48">
        <f t="shared" si="156"/>
        <v>925194</v>
      </c>
      <c r="P87" s="133">
        <v>925194</v>
      </c>
      <c r="Q87" s="37">
        <v>499058</v>
      </c>
      <c r="R87" s="38">
        <v>787650</v>
      </c>
      <c r="S87" s="38">
        <v>971788</v>
      </c>
      <c r="T87" s="48">
        <f t="shared" si="157"/>
        <v>841362</v>
      </c>
      <c r="U87" s="133">
        <v>841362</v>
      </c>
      <c r="V87" s="37">
        <v>329307</v>
      </c>
      <c r="W87" s="38">
        <v>902129</v>
      </c>
      <c r="X87" s="38">
        <v>1120077</v>
      </c>
      <c r="Y87" s="48">
        <f t="shared" si="158"/>
        <v>858966</v>
      </c>
      <c r="Z87" s="133">
        <v>858966</v>
      </c>
      <c r="AA87" s="37">
        <v>443244</v>
      </c>
      <c r="AB87" s="38">
        <v>564530</v>
      </c>
      <c r="AC87" s="38">
        <v>657403</v>
      </c>
      <c r="AD87" s="48">
        <f t="shared" si="159"/>
        <v>583127</v>
      </c>
      <c r="AE87" s="133">
        <v>583127</v>
      </c>
      <c r="AF87" s="37">
        <v>397254</v>
      </c>
      <c r="AG87" s="38">
        <v>572941</v>
      </c>
      <c r="AH87" s="38">
        <v>703677</v>
      </c>
      <c r="AI87" s="38">
        <v>708933</v>
      </c>
      <c r="AJ87" s="104">
        <f t="shared" si="160"/>
        <v>708933</v>
      </c>
      <c r="AK87" s="37">
        <v>407671</v>
      </c>
      <c r="AL87" s="38">
        <v>574173</v>
      </c>
      <c r="AM87" s="38">
        <v>658059</v>
      </c>
      <c r="AN87" s="38">
        <v>549915</v>
      </c>
      <c r="AO87" s="104">
        <f t="shared" si="141"/>
        <v>549915</v>
      </c>
      <c r="AP87" s="38">
        <v>299130</v>
      </c>
      <c r="AQ87" s="38">
        <v>561802</v>
      </c>
      <c r="AR87" s="38">
        <v>644719</v>
      </c>
      <c r="AS87" s="38">
        <v>517014</v>
      </c>
      <c r="AT87" s="104">
        <f t="shared" si="142"/>
        <v>517014</v>
      </c>
      <c r="AU87" s="38">
        <v>302473</v>
      </c>
      <c r="AV87" s="38">
        <v>434996</v>
      </c>
      <c r="AW87" s="38">
        <v>664213</v>
      </c>
      <c r="AX87" s="38">
        <v>417077</v>
      </c>
      <c r="AY87" s="104">
        <f t="shared" si="143"/>
        <v>417077</v>
      </c>
      <c r="AZ87" s="38">
        <v>231237</v>
      </c>
      <c r="BA87" s="38">
        <v>335116</v>
      </c>
      <c r="BB87" s="38">
        <v>338345</v>
      </c>
      <c r="BC87" s="38">
        <v>134134</v>
      </c>
      <c r="BD87" s="104">
        <f t="shared" si="144"/>
        <v>134134</v>
      </c>
      <c r="BE87" s="38">
        <f>218691</f>
        <v>218691</v>
      </c>
      <c r="BF87" s="38">
        <v>150137</v>
      </c>
      <c r="BG87" s="567">
        <v>142308</v>
      </c>
      <c r="BH87" s="38">
        <v>128084</v>
      </c>
      <c r="BI87" s="104">
        <f t="shared" si="161"/>
        <v>128084</v>
      </c>
      <c r="BJ87" s="38">
        <v>156075</v>
      </c>
      <c r="BK87" s="38">
        <v>245946</v>
      </c>
      <c r="BL87" s="38">
        <v>217769</v>
      </c>
      <c r="BM87" s="38">
        <v>140034</v>
      </c>
      <c r="BN87" s="104">
        <f t="shared" si="145"/>
        <v>140034</v>
      </c>
      <c r="BO87" s="38">
        <v>193339</v>
      </c>
      <c r="BP87" s="567">
        <v>200133</v>
      </c>
      <c r="BQ87" s="567">
        <v>314266</v>
      </c>
      <c r="BR87" s="38">
        <v>342293</v>
      </c>
      <c r="BS87" s="104">
        <f t="shared" si="146"/>
        <v>342293</v>
      </c>
      <c r="BT87" s="48">
        <f t="shared" si="163"/>
        <v>344004.46499999997</v>
      </c>
      <c r="BU87" s="48">
        <f t="shared" si="164"/>
        <v>345724.48732499994</v>
      </c>
      <c r="BV87" s="48">
        <f t="shared" si="165"/>
        <v>347453.10976162489</v>
      </c>
      <c r="BW87" s="48">
        <f t="shared" si="166"/>
        <v>349190.37531043298</v>
      </c>
      <c r="BX87" s="104">
        <f t="shared" si="147"/>
        <v>349190.37531043298</v>
      </c>
      <c r="BY87" s="48">
        <f t="shared" si="167"/>
        <v>350936.32718698512</v>
      </c>
      <c r="BZ87" s="48">
        <f t="shared" si="168"/>
        <v>352691.00882291998</v>
      </c>
      <c r="CA87" s="48">
        <f t="shared" si="169"/>
        <v>354454.46386703453</v>
      </c>
      <c r="CB87" s="48">
        <f t="shared" si="170"/>
        <v>356226.73618636967</v>
      </c>
      <c r="CC87" s="104">
        <f t="shared" si="148"/>
        <v>356226.73618636967</v>
      </c>
      <c r="CD87" s="48">
        <f t="shared" si="171"/>
        <v>358007.86986730149</v>
      </c>
      <c r="CE87" s="48">
        <f t="shared" si="172"/>
        <v>359797.90921663796</v>
      </c>
      <c r="CF87" s="48">
        <f t="shared" si="173"/>
        <v>361596.8987627211</v>
      </c>
      <c r="CG87" s="48">
        <f t="shared" si="174"/>
        <v>363404.8832565347</v>
      </c>
      <c r="CH87" s="104">
        <f t="shared" si="149"/>
        <v>363404.8832565347</v>
      </c>
      <c r="CI87" s="48">
        <f t="shared" si="175"/>
        <v>365221.90767281735</v>
      </c>
      <c r="CJ87" s="48">
        <f t="shared" si="176"/>
        <v>367048.0172111814</v>
      </c>
      <c r="CK87" s="48">
        <f t="shared" si="177"/>
        <v>368883.25729723729</v>
      </c>
      <c r="CL87" s="48">
        <f t="shared" si="178"/>
        <v>370727.67358372343</v>
      </c>
      <c r="CM87" s="104">
        <f t="shared" si="150"/>
        <v>370727.67358372343</v>
      </c>
      <c r="CN87" s="48">
        <f t="shared" si="179"/>
        <v>372581.31195164198</v>
      </c>
      <c r="CO87" s="48">
        <f t="shared" si="180"/>
        <v>374444.21851140016</v>
      </c>
      <c r="CP87" s="48">
        <f t="shared" si="181"/>
        <v>376316.43960395711</v>
      </c>
      <c r="CQ87" s="48">
        <f t="shared" si="182"/>
        <v>378198.02180197684</v>
      </c>
      <c r="CR87" s="104">
        <f t="shared" si="151"/>
        <v>378198.02180197684</v>
      </c>
      <c r="CS87" s="48">
        <f t="shared" si="183"/>
        <v>380089.01191098668</v>
      </c>
      <c r="CT87" s="48">
        <f t="shared" si="184"/>
        <v>381989.45697054156</v>
      </c>
      <c r="CU87" s="48">
        <f t="shared" si="185"/>
        <v>383899.40425539424</v>
      </c>
      <c r="CV87" s="48">
        <f t="shared" si="186"/>
        <v>385818.90127667115</v>
      </c>
      <c r="CW87" s="104">
        <f t="shared" si="152"/>
        <v>385818.90127667115</v>
      </c>
      <c r="CX87" s="48">
        <f t="shared" si="187"/>
        <v>387747.99578305444</v>
      </c>
      <c r="CY87" s="48">
        <f t="shared" si="188"/>
        <v>389686.7357619697</v>
      </c>
      <c r="CZ87" s="48">
        <f t="shared" si="189"/>
        <v>391635.16944077949</v>
      </c>
      <c r="DA87" s="48">
        <f t="shared" si="190"/>
        <v>393593.34528798336</v>
      </c>
      <c r="DB87" s="104">
        <f t="shared" si="153"/>
        <v>393593.34528798336</v>
      </c>
      <c r="DC87" s="48"/>
      <c r="DD87" s="48"/>
      <c r="DE87" s="48"/>
      <c r="DF87" s="48"/>
      <c r="DG87" s="48"/>
      <c r="DH87" s="48"/>
      <c r="DI87" s="48"/>
      <c r="DJ87" s="48"/>
      <c r="DK87" s="99"/>
      <c r="DL87" s="99"/>
      <c r="DM87" s="18"/>
    </row>
    <row r="88" spans="1:117">
      <c r="A88" s="15" t="s">
        <v>589</v>
      </c>
      <c r="B88" s="37">
        <v>0</v>
      </c>
      <c r="C88" s="38">
        <v>0</v>
      </c>
      <c r="D88" s="38">
        <v>0</v>
      </c>
      <c r="E88" s="48">
        <f t="shared" si="154"/>
        <v>1758</v>
      </c>
      <c r="F88" s="133">
        <v>1758</v>
      </c>
      <c r="G88" s="37">
        <v>0</v>
      </c>
      <c r="H88" s="38">
        <v>0</v>
      </c>
      <c r="I88" s="38">
        <v>160704</v>
      </c>
      <c r="J88" s="48">
        <f t="shared" si="155"/>
        <v>133159</v>
      </c>
      <c r="K88" s="133">
        <v>133159</v>
      </c>
      <c r="L88" s="37">
        <v>39704</v>
      </c>
      <c r="M88" s="38">
        <v>203187</v>
      </c>
      <c r="N88" s="38">
        <v>191184</v>
      </c>
      <c r="O88" s="48">
        <f t="shared" si="156"/>
        <v>53433</v>
      </c>
      <c r="P88" s="133">
        <v>53433</v>
      </c>
      <c r="Q88" s="37">
        <v>67514</v>
      </c>
      <c r="R88" s="38">
        <v>22301</v>
      </c>
      <c r="S88" s="38">
        <v>47178</v>
      </c>
      <c r="T88" s="48">
        <f t="shared" si="157"/>
        <v>82938</v>
      </c>
      <c r="U88" s="133">
        <v>82938</v>
      </c>
      <c r="V88" s="37">
        <v>75302</v>
      </c>
      <c r="W88" s="38">
        <v>156581</v>
      </c>
      <c r="X88" s="38">
        <v>80372</v>
      </c>
      <c r="Y88" s="48">
        <f t="shared" si="158"/>
        <v>56248</v>
      </c>
      <c r="Z88" s="133">
        <v>56248</v>
      </c>
      <c r="AA88" s="37">
        <v>49734</v>
      </c>
      <c r="AB88" s="38">
        <v>53417</v>
      </c>
      <c r="AC88" s="38">
        <v>84268</v>
      </c>
      <c r="AD88" s="48">
        <f t="shared" si="159"/>
        <v>186015</v>
      </c>
      <c r="AE88" s="133">
        <v>186015</v>
      </c>
      <c r="AF88" s="37">
        <v>96487</v>
      </c>
      <c r="AG88" s="38">
        <v>71289</v>
      </c>
      <c r="AH88" s="38">
        <v>98274</v>
      </c>
      <c r="AI88" s="38">
        <v>94854</v>
      </c>
      <c r="AJ88" s="104">
        <f t="shared" si="160"/>
        <v>94854</v>
      </c>
      <c r="AK88" s="37">
        <v>74762</v>
      </c>
      <c r="AL88" s="38">
        <v>131876</v>
      </c>
      <c r="AM88" s="38">
        <v>105884</v>
      </c>
      <c r="AN88" s="38">
        <v>63452</v>
      </c>
      <c r="AO88" s="104">
        <f t="shared" si="141"/>
        <v>63452</v>
      </c>
      <c r="AP88" s="38">
        <v>163939</v>
      </c>
      <c r="AQ88" s="38">
        <v>37716</v>
      </c>
      <c r="AR88" s="38">
        <v>57303</v>
      </c>
      <c r="AS88" s="38">
        <v>90211</v>
      </c>
      <c r="AT88" s="104">
        <f t="shared" si="142"/>
        <v>90211</v>
      </c>
      <c r="AU88" s="38">
        <v>75629</v>
      </c>
      <c r="AV88" s="38">
        <v>75570</v>
      </c>
      <c r="AW88" s="38">
        <v>94404</v>
      </c>
      <c r="AX88" s="38">
        <v>82144</v>
      </c>
      <c r="AY88" s="104">
        <f t="shared" si="143"/>
        <v>82144</v>
      </c>
      <c r="AZ88" s="38">
        <v>82979</v>
      </c>
      <c r="BA88" s="38">
        <v>93070</v>
      </c>
      <c r="BB88" s="38">
        <v>74247</v>
      </c>
      <c r="BC88" s="38">
        <v>64788</v>
      </c>
      <c r="BD88" s="104">
        <f t="shared" si="144"/>
        <v>64788</v>
      </c>
      <c r="BE88" s="38">
        <v>39667</v>
      </c>
      <c r="BF88" s="38">
        <v>31246</v>
      </c>
      <c r="BG88" s="567">
        <v>30602</v>
      </c>
      <c r="BH88" s="38">
        <v>38681</v>
      </c>
      <c r="BI88" s="104">
        <f t="shared" si="161"/>
        <v>38681</v>
      </c>
      <c r="BJ88" s="38">
        <v>38742</v>
      </c>
      <c r="BK88" s="38">
        <v>38300</v>
      </c>
      <c r="BL88" s="38">
        <v>43770</v>
      </c>
      <c r="BM88" s="38">
        <v>60896</v>
      </c>
      <c r="BN88" s="104">
        <f t="shared" si="145"/>
        <v>60896</v>
      </c>
      <c r="BO88" s="38">
        <v>30904</v>
      </c>
      <c r="BP88" s="567">
        <v>39325</v>
      </c>
      <c r="BQ88" s="567">
        <v>111766</v>
      </c>
      <c r="BR88" s="38">
        <v>38712</v>
      </c>
      <c r="BS88" s="104">
        <f t="shared" si="146"/>
        <v>38712</v>
      </c>
      <c r="BT88" s="48">
        <f t="shared" si="163"/>
        <v>38905.56</v>
      </c>
      <c r="BU88" s="48">
        <f t="shared" si="164"/>
        <v>39100.087799999994</v>
      </c>
      <c r="BV88" s="48">
        <f t="shared" si="165"/>
        <v>39295.58823899999</v>
      </c>
      <c r="BW88" s="48">
        <f t="shared" si="166"/>
        <v>39492.066180194983</v>
      </c>
      <c r="BX88" s="104">
        <f t="shared" si="147"/>
        <v>39492.066180194983</v>
      </c>
      <c r="BY88" s="48">
        <f t="shared" si="167"/>
        <v>39689.526511095952</v>
      </c>
      <c r="BZ88" s="48">
        <f t="shared" si="168"/>
        <v>39887.97414365143</v>
      </c>
      <c r="CA88" s="48">
        <f t="shared" si="169"/>
        <v>40087.414014369686</v>
      </c>
      <c r="CB88" s="48">
        <f t="shared" si="170"/>
        <v>40287.851084441529</v>
      </c>
      <c r="CC88" s="104">
        <f t="shared" si="148"/>
        <v>40287.851084441529</v>
      </c>
      <c r="CD88" s="48">
        <f t="shared" si="171"/>
        <v>40489.290339863735</v>
      </c>
      <c r="CE88" s="48">
        <f t="shared" si="172"/>
        <v>40691.736791563053</v>
      </c>
      <c r="CF88" s="48">
        <f t="shared" si="173"/>
        <v>40895.195475520864</v>
      </c>
      <c r="CG88" s="48">
        <f t="shared" si="174"/>
        <v>41099.671452898467</v>
      </c>
      <c r="CH88" s="104">
        <f t="shared" si="149"/>
        <v>41099.671452898467</v>
      </c>
      <c r="CI88" s="48">
        <f t="shared" si="175"/>
        <v>41305.169810162952</v>
      </c>
      <c r="CJ88" s="48">
        <f t="shared" si="176"/>
        <v>41511.695659213765</v>
      </c>
      <c r="CK88" s="48">
        <f t="shared" si="177"/>
        <v>41719.25413750983</v>
      </c>
      <c r="CL88" s="48">
        <f t="shared" si="178"/>
        <v>41927.850408197373</v>
      </c>
      <c r="CM88" s="104">
        <f t="shared" si="150"/>
        <v>41927.850408197373</v>
      </c>
      <c r="CN88" s="48">
        <f t="shared" si="179"/>
        <v>42137.489660238352</v>
      </c>
      <c r="CO88" s="48">
        <f t="shared" si="180"/>
        <v>42348.177108539538</v>
      </c>
      <c r="CP88" s="48">
        <f t="shared" si="181"/>
        <v>42559.917994082229</v>
      </c>
      <c r="CQ88" s="48">
        <f t="shared" si="182"/>
        <v>42772.717584052632</v>
      </c>
      <c r="CR88" s="104">
        <f t="shared" si="151"/>
        <v>42772.717584052632</v>
      </c>
      <c r="CS88" s="48">
        <f t="shared" si="183"/>
        <v>42986.581171972888</v>
      </c>
      <c r="CT88" s="48">
        <f t="shared" si="184"/>
        <v>43201.514077832748</v>
      </c>
      <c r="CU88" s="48">
        <f t="shared" si="185"/>
        <v>43417.521648221904</v>
      </c>
      <c r="CV88" s="48">
        <f t="shared" si="186"/>
        <v>43634.609256463009</v>
      </c>
      <c r="CW88" s="104">
        <f t="shared" si="152"/>
        <v>43634.609256463009</v>
      </c>
      <c r="CX88" s="48">
        <f t="shared" si="187"/>
        <v>43852.78230274532</v>
      </c>
      <c r="CY88" s="48">
        <f t="shared" si="188"/>
        <v>44072.04621425904</v>
      </c>
      <c r="CZ88" s="48">
        <f t="shared" si="189"/>
        <v>44292.406445330329</v>
      </c>
      <c r="DA88" s="48">
        <f t="shared" si="190"/>
        <v>44513.868477556978</v>
      </c>
      <c r="DB88" s="104">
        <f t="shared" si="153"/>
        <v>44513.868477556978</v>
      </c>
      <c r="DC88" s="48"/>
      <c r="DD88" s="48"/>
      <c r="DE88" s="48"/>
      <c r="DF88" s="48"/>
      <c r="DG88" s="48"/>
      <c r="DH88" s="48"/>
      <c r="DI88" s="48"/>
      <c r="DJ88" s="48"/>
      <c r="DK88" s="99"/>
      <c r="DL88" s="99"/>
      <c r="DM88" s="18"/>
    </row>
    <row r="89" spans="1:117">
      <c r="A89" s="15" t="s">
        <v>536</v>
      </c>
      <c r="B89" s="37">
        <v>201065</v>
      </c>
      <c r="C89" s="38">
        <v>227033</v>
      </c>
      <c r="D89" s="38">
        <v>469312</v>
      </c>
      <c r="E89" s="48">
        <f t="shared" si="154"/>
        <v>386781</v>
      </c>
      <c r="F89" s="133">
        <v>386781</v>
      </c>
      <c r="G89" s="37">
        <v>391867</v>
      </c>
      <c r="H89" s="38">
        <v>256782</v>
      </c>
      <c r="I89" s="38">
        <v>1300283</v>
      </c>
      <c r="J89" s="48">
        <f t="shared" si="155"/>
        <v>399439</v>
      </c>
      <c r="K89" s="133">
        <v>399439</v>
      </c>
      <c r="L89" s="37">
        <v>348958</v>
      </c>
      <c r="M89" s="38">
        <v>172738</v>
      </c>
      <c r="N89" s="38">
        <v>408093</v>
      </c>
      <c r="O89" s="48">
        <f t="shared" si="156"/>
        <v>401670</v>
      </c>
      <c r="P89" s="133">
        <v>401670</v>
      </c>
      <c r="Q89" s="37">
        <v>137726</v>
      </c>
      <c r="R89" s="38">
        <v>169330</v>
      </c>
      <c r="S89" s="38">
        <v>295549</v>
      </c>
      <c r="T89" s="48">
        <f t="shared" si="157"/>
        <v>143941</v>
      </c>
      <c r="U89" s="133">
        <v>143941</v>
      </c>
      <c r="V89" s="37">
        <v>129049</v>
      </c>
      <c r="W89" s="38">
        <v>263386</v>
      </c>
      <c r="X89" s="38">
        <v>314905</v>
      </c>
      <c r="Y89" s="48">
        <f t="shared" si="158"/>
        <v>362808</v>
      </c>
      <c r="Z89" s="133">
        <v>362808</v>
      </c>
      <c r="AA89" s="37">
        <v>280962</v>
      </c>
      <c r="AB89" s="38">
        <v>168457</v>
      </c>
      <c r="AC89" s="38">
        <v>127877</v>
      </c>
      <c r="AD89" s="48">
        <f t="shared" si="159"/>
        <v>113039</v>
      </c>
      <c r="AE89" s="133">
        <v>113039</v>
      </c>
      <c r="AF89" s="37">
        <v>156086</v>
      </c>
      <c r="AG89" s="38">
        <v>88183</v>
      </c>
      <c r="AH89" s="38">
        <v>99180</v>
      </c>
      <c r="AI89" s="38">
        <v>61940</v>
      </c>
      <c r="AJ89" s="104">
        <f t="shared" si="160"/>
        <v>61940</v>
      </c>
      <c r="AK89" s="37">
        <v>56431</v>
      </c>
      <c r="AL89" s="38">
        <v>58761</v>
      </c>
      <c r="AM89" s="38">
        <v>56301</v>
      </c>
      <c r="AN89" s="38">
        <v>40280</v>
      </c>
      <c r="AO89" s="104">
        <f t="shared" si="141"/>
        <v>40280</v>
      </c>
      <c r="AP89" s="38">
        <v>54368</v>
      </c>
      <c r="AQ89" s="38">
        <v>90335</v>
      </c>
      <c r="AR89" s="38">
        <v>70324</v>
      </c>
      <c r="AS89" s="38">
        <v>48577</v>
      </c>
      <c r="AT89" s="104">
        <f t="shared" si="142"/>
        <v>48577</v>
      </c>
      <c r="AU89" s="38">
        <v>11656</v>
      </c>
      <c r="AV89" s="38">
        <v>23549</v>
      </c>
      <c r="AW89" s="38">
        <v>16437</v>
      </c>
      <c r="AX89" s="38">
        <v>1687</v>
      </c>
      <c r="AY89" s="104">
        <f t="shared" si="143"/>
        <v>1687</v>
      </c>
      <c r="AZ89" s="38">
        <v>0</v>
      </c>
      <c r="BA89" s="38">
        <v>0</v>
      </c>
      <c r="BB89" s="38">
        <v>0</v>
      </c>
      <c r="BC89" s="38">
        <v>0</v>
      </c>
      <c r="BD89" s="104">
        <f t="shared" si="144"/>
        <v>0</v>
      </c>
      <c r="BE89" s="38">
        <v>0</v>
      </c>
      <c r="BF89" s="48">
        <v>0</v>
      </c>
      <c r="BG89" s="567">
        <v>0</v>
      </c>
      <c r="BH89" s="38">
        <v>0</v>
      </c>
      <c r="BI89" s="104">
        <f t="shared" si="161"/>
        <v>0</v>
      </c>
      <c r="BJ89" s="38">
        <v>0</v>
      </c>
      <c r="BK89" s="38">
        <v>0</v>
      </c>
      <c r="BL89" s="38">
        <v>0</v>
      </c>
      <c r="BM89" s="38">
        <v>0</v>
      </c>
      <c r="BN89" s="104">
        <f t="shared" si="145"/>
        <v>0</v>
      </c>
      <c r="BO89" s="38">
        <v>0</v>
      </c>
      <c r="BP89" s="567">
        <v>0</v>
      </c>
      <c r="BQ89" s="48">
        <f t="shared" si="162"/>
        <v>0</v>
      </c>
      <c r="BR89" s="38">
        <v>0</v>
      </c>
      <c r="BS89" s="104">
        <f t="shared" si="146"/>
        <v>0</v>
      </c>
      <c r="BT89" s="48">
        <f t="shared" si="163"/>
        <v>0</v>
      </c>
      <c r="BU89" s="48">
        <f t="shared" si="164"/>
        <v>0</v>
      </c>
      <c r="BV89" s="48">
        <f t="shared" si="165"/>
        <v>0</v>
      </c>
      <c r="BW89" s="48">
        <f t="shared" si="166"/>
        <v>0</v>
      </c>
      <c r="BX89" s="104">
        <f t="shared" si="147"/>
        <v>0</v>
      </c>
      <c r="BY89" s="48">
        <f t="shared" si="167"/>
        <v>0</v>
      </c>
      <c r="BZ89" s="48">
        <f t="shared" si="168"/>
        <v>0</v>
      </c>
      <c r="CA89" s="48">
        <f t="shared" si="169"/>
        <v>0</v>
      </c>
      <c r="CB89" s="48">
        <f t="shared" si="170"/>
        <v>0</v>
      </c>
      <c r="CC89" s="104">
        <f t="shared" si="148"/>
        <v>0</v>
      </c>
      <c r="CD89" s="48">
        <f t="shared" si="171"/>
        <v>0</v>
      </c>
      <c r="CE89" s="48">
        <f t="shared" si="172"/>
        <v>0</v>
      </c>
      <c r="CF89" s="48">
        <f t="shared" si="173"/>
        <v>0</v>
      </c>
      <c r="CG89" s="48">
        <f t="shared" si="174"/>
        <v>0</v>
      </c>
      <c r="CH89" s="104">
        <f t="shared" si="149"/>
        <v>0</v>
      </c>
      <c r="CI89" s="48">
        <f t="shared" si="175"/>
        <v>0</v>
      </c>
      <c r="CJ89" s="48">
        <f t="shared" si="176"/>
        <v>0</v>
      </c>
      <c r="CK89" s="48">
        <f t="shared" si="177"/>
        <v>0</v>
      </c>
      <c r="CL89" s="48">
        <f t="shared" si="178"/>
        <v>0</v>
      </c>
      <c r="CM89" s="104">
        <f t="shared" si="150"/>
        <v>0</v>
      </c>
      <c r="CN89" s="48">
        <f t="shared" si="179"/>
        <v>0</v>
      </c>
      <c r="CO89" s="48">
        <f t="shared" si="180"/>
        <v>0</v>
      </c>
      <c r="CP89" s="48">
        <f t="shared" si="181"/>
        <v>0</v>
      </c>
      <c r="CQ89" s="48">
        <f t="shared" si="182"/>
        <v>0</v>
      </c>
      <c r="CR89" s="104">
        <f t="shared" si="151"/>
        <v>0</v>
      </c>
      <c r="CS89" s="48">
        <f t="shared" si="183"/>
        <v>0</v>
      </c>
      <c r="CT89" s="48">
        <f t="shared" si="184"/>
        <v>0</v>
      </c>
      <c r="CU89" s="48">
        <f t="shared" si="185"/>
        <v>0</v>
      </c>
      <c r="CV89" s="48">
        <f t="shared" si="186"/>
        <v>0</v>
      </c>
      <c r="CW89" s="104">
        <f t="shared" si="152"/>
        <v>0</v>
      </c>
      <c r="CX89" s="48">
        <f t="shared" si="187"/>
        <v>0</v>
      </c>
      <c r="CY89" s="48">
        <f t="shared" si="188"/>
        <v>0</v>
      </c>
      <c r="CZ89" s="48">
        <f t="shared" si="189"/>
        <v>0</v>
      </c>
      <c r="DA89" s="48">
        <f t="shared" si="190"/>
        <v>0</v>
      </c>
      <c r="DB89" s="104">
        <f t="shared" si="153"/>
        <v>0</v>
      </c>
      <c r="DC89" s="48"/>
      <c r="DD89" s="48"/>
      <c r="DE89" s="48"/>
      <c r="DF89" s="48"/>
      <c r="DG89" s="48"/>
      <c r="DH89" s="48"/>
      <c r="DI89" s="48"/>
      <c r="DJ89" s="48"/>
      <c r="DK89" s="99"/>
      <c r="DL89" s="99"/>
      <c r="DM89" s="18"/>
    </row>
    <row r="90" spans="1:117">
      <c r="A90" s="15" t="s">
        <v>769</v>
      </c>
      <c r="B90" s="37">
        <v>26360</v>
      </c>
      <c r="C90" s="38">
        <v>20485</v>
      </c>
      <c r="D90" s="38">
        <v>19963</v>
      </c>
      <c r="E90" s="48">
        <f t="shared" si="154"/>
        <v>0</v>
      </c>
      <c r="F90" s="133">
        <v>0</v>
      </c>
      <c r="G90" s="37">
        <v>70806</v>
      </c>
      <c r="H90" s="38">
        <v>76807</v>
      </c>
      <c r="I90" s="38">
        <v>87621</v>
      </c>
      <c r="J90" s="48">
        <f t="shared" si="155"/>
        <v>150608</v>
      </c>
      <c r="K90" s="133">
        <v>150608</v>
      </c>
      <c r="L90" s="37">
        <v>0</v>
      </c>
      <c r="M90" s="38">
        <v>0</v>
      </c>
      <c r="N90" s="38">
        <v>161572</v>
      </c>
      <c r="O90" s="48">
        <f t="shared" si="156"/>
        <v>0</v>
      </c>
      <c r="P90" s="133">
        <v>0</v>
      </c>
      <c r="Q90" s="37">
        <v>0</v>
      </c>
      <c r="R90" s="38">
        <v>0</v>
      </c>
      <c r="S90" s="38">
        <v>0</v>
      </c>
      <c r="T90" s="48">
        <f t="shared" si="157"/>
        <v>0</v>
      </c>
      <c r="U90" s="133">
        <v>0</v>
      </c>
      <c r="V90" s="37">
        <v>0</v>
      </c>
      <c r="W90" s="38">
        <v>0</v>
      </c>
      <c r="X90" s="38">
        <v>0</v>
      </c>
      <c r="Y90" s="48">
        <f t="shared" si="158"/>
        <v>0</v>
      </c>
      <c r="Z90" s="133">
        <v>0</v>
      </c>
      <c r="AA90" s="37">
        <v>102355</v>
      </c>
      <c r="AB90" s="38">
        <v>0</v>
      </c>
      <c r="AC90" s="38">
        <v>0</v>
      </c>
      <c r="AD90" s="48">
        <f t="shared" si="159"/>
        <v>0</v>
      </c>
      <c r="AE90" s="133">
        <v>0</v>
      </c>
      <c r="AF90" s="37">
        <v>0</v>
      </c>
      <c r="AG90" s="38">
        <v>0</v>
      </c>
      <c r="AH90" s="38">
        <v>0</v>
      </c>
      <c r="AI90" s="38">
        <v>0</v>
      </c>
      <c r="AJ90" s="104">
        <f t="shared" si="160"/>
        <v>0</v>
      </c>
      <c r="AK90" s="37">
        <v>0</v>
      </c>
      <c r="AL90" s="38">
        <v>0</v>
      </c>
      <c r="AM90" s="38">
        <v>0</v>
      </c>
      <c r="AN90" s="38">
        <v>0</v>
      </c>
      <c r="AO90" s="104">
        <f t="shared" si="141"/>
        <v>0</v>
      </c>
      <c r="AP90" s="38">
        <v>0</v>
      </c>
      <c r="AQ90" s="38">
        <v>0</v>
      </c>
      <c r="AR90" s="38">
        <v>0</v>
      </c>
      <c r="AS90" s="38">
        <v>0</v>
      </c>
      <c r="AT90" s="104">
        <f t="shared" si="142"/>
        <v>0</v>
      </c>
      <c r="AU90" s="38">
        <v>0</v>
      </c>
      <c r="AV90" s="38">
        <v>0</v>
      </c>
      <c r="AW90" s="38">
        <v>0</v>
      </c>
      <c r="AX90" s="38">
        <v>0</v>
      </c>
      <c r="AY90" s="104">
        <f t="shared" si="143"/>
        <v>0</v>
      </c>
      <c r="AZ90" s="38">
        <v>0</v>
      </c>
      <c r="BA90" s="38">
        <v>0</v>
      </c>
      <c r="BB90" s="38">
        <v>0</v>
      </c>
      <c r="BC90" s="38">
        <v>0</v>
      </c>
      <c r="BD90" s="104">
        <f t="shared" si="144"/>
        <v>0</v>
      </c>
      <c r="BE90" s="38">
        <v>0</v>
      </c>
      <c r="BF90" s="48">
        <v>0</v>
      </c>
      <c r="BG90" s="567">
        <v>0</v>
      </c>
      <c r="BH90" s="38">
        <v>0</v>
      </c>
      <c r="BI90" s="104">
        <f t="shared" si="161"/>
        <v>0</v>
      </c>
      <c r="BJ90" s="38">
        <v>0</v>
      </c>
      <c r="BK90" s="38">
        <v>0</v>
      </c>
      <c r="BL90" s="38">
        <v>0</v>
      </c>
      <c r="BM90" s="38">
        <v>0</v>
      </c>
      <c r="BN90" s="104">
        <f t="shared" si="145"/>
        <v>0</v>
      </c>
      <c r="BO90" s="38">
        <v>0</v>
      </c>
      <c r="BP90" s="567">
        <v>0</v>
      </c>
      <c r="BQ90" s="48">
        <f t="shared" si="162"/>
        <v>0</v>
      </c>
      <c r="BR90" s="38">
        <v>0</v>
      </c>
      <c r="BS90" s="104">
        <f t="shared" si="146"/>
        <v>0</v>
      </c>
      <c r="BT90" s="48">
        <f t="shared" si="163"/>
        <v>0</v>
      </c>
      <c r="BU90" s="48">
        <f t="shared" si="164"/>
        <v>0</v>
      </c>
      <c r="BV90" s="48">
        <f t="shared" si="165"/>
        <v>0</v>
      </c>
      <c r="BW90" s="48">
        <f t="shared" si="166"/>
        <v>0</v>
      </c>
      <c r="BX90" s="104">
        <f t="shared" si="147"/>
        <v>0</v>
      </c>
      <c r="BY90" s="48">
        <f t="shared" si="167"/>
        <v>0</v>
      </c>
      <c r="BZ90" s="48">
        <f t="shared" si="168"/>
        <v>0</v>
      </c>
      <c r="CA90" s="48">
        <f t="shared" si="169"/>
        <v>0</v>
      </c>
      <c r="CB90" s="48">
        <f t="shared" si="170"/>
        <v>0</v>
      </c>
      <c r="CC90" s="104">
        <f t="shared" si="148"/>
        <v>0</v>
      </c>
      <c r="CD90" s="48">
        <f t="shared" si="171"/>
        <v>0</v>
      </c>
      <c r="CE90" s="48">
        <f t="shared" si="172"/>
        <v>0</v>
      </c>
      <c r="CF90" s="48">
        <f t="shared" si="173"/>
        <v>0</v>
      </c>
      <c r="CG90" s="48">
        <f t="shared" si="174"/>
        <v>0</v>
      </c>
      <c r="CH90" s="104">
        <f t="shared" si="149"/>
        <v>0</v>
      </c>
      <c r="CI90" s="48">
        <f t="shared" si="175"/>
        <v>0</v>
      </c>
      <c r="CJ90" s="48">
        <f t="shared" si="176"/>
        <v>0</v>
      </c>
      <c r="CK90" s="48">
        <f t="shared" si="177"/>
        <v>0</v>
      </c>
      <c r="CL90" s="48">
        <f t="shared" si="178"/>
        <v>0</v>
      </c>
      <c r="CM90" s="104">
        <f t="shared" si="150"/>
        <v>0</v>
      </c>
      <c r="CN90" s="48">
        <f t="shared" si="179"/>
        <v>0</v>
      </c>
      <c r="CO90" s="48">
        <f t="shared" si="180"/>
        <v>0</v>
      </c>
      <c r="CP90" s="48">
        <f t="shared" si="181"/>
        <v>0</v>
      </c>
      <c r="CQ90" s="48">
        <f t="shared" si="182"/>
        <v>0</v>
      </c>
      <c r="CR90" s="104">
        <f t="shared" si="151"/>
        <v>0</v>
      </c>
      <c r="CS90" s="48">
        <f t="shared" si="183"/>
        <v>0</v>
      </c>
      <c r="CT90" s="48">
        <f t="shared" si="184"/>
        <v>0</v>
      </c>
      <c r="CU90" s="48">
        <f t="shared" si="185"/>
        <v>0</v>
      </c>
      <c r="CV90" s="48">
        <f t="shared" si="186"/>
        <v>0</v>
      </c>
      <c r="CW90" s="104">
        <f t="shared" si="152"/>
        <v>0</v>
      </c>
      <c r="CX90" s="48">
        <f t="shared" si="187"/>
        <v>0</v>
      </c>
      <c r="CY90" s="48">
        <f t="shared" si="188"/>
        <v>0</v>
      </c>
      <c r="CZ90" s="48">
        <f t="shared" si="189"/>
        <v>0</v>
      </c>
      <c r="DA90" s="48">
        <f t="shared" si="190"/>
        <v>0</v>
      </c>
      <c r="DB90" s="104">
        <f t="shared" si="153"/>
        <v>0</v>
      </c>
      <c r="DC90" s="48"/>
      <c r="DD90" s="48"/>
      <c r="DE90" s="48"/>
      <c r="DF90" s="48"/>
      <c r="DG90" s="48"/>
      <c r="DH90" s="48"/>
      <c r="DI90" s="48"/>
      <c r="DJ90" s="48"/>
      <c r="DK90" s="99"/>
      <c r="DL90" s="99"/>
      <c r="DM90" s="18"/>
    </row>
    <row r="91" spans="1:117">
      <c r="A91" s="15" t="s">
        <v>143</v>
      </c>
      <c r="B91" s="37">
        <v>32468</v>
      </c>
      <c r="C91" s="38">
        <v>39437</v>
      </c>
      <c r="D91" s="48">
        <f>22408+59418</f>
        <v>81826</v>
      </c>
      <c r="E91" s="48">
        <f t="shared" si="154"/>
        <v>90566</v>
      </c>
      <c r="F91" s="133">
        <v>90566</v>
      </c>
      <c r="G91" s="94">
        <f>18547+78194</f>
        <v>96741</v>
      </c>
      <c r="H91" s="48">
        <f>18172+149290</f>
        <v>167462</v>
      </c>
      <c r="I91" s="48">
        <f>136668+336870</f>
        <v>473538</v>
      </c>
      <c r="J91" s="48">
        <f t="shared" si="155"/>
        <v>234666</v>
      </c>
      <c r="K91" s="133">
        <v>234666</v>
      </c>
      <c r="L91" s="37">
        <v>259054</v>
      </c>
      <c r="M91" s="38">
        <v>326100</v>
      </c>
      <c r="N91" s="38">
        <v>95835</v>
      </c>
      <c r="O91" s="48">
        <f t="shared" si="156"/>
        <v>296781</v>
      </c>
      <c r="P91" s="133">
        <v>296781</v>
      </c>
      <c r="Q91" s="37">
        <v>326066</v>
      </c>
      <c r="R91" s="38">
        <v>253595</v>
      </c>
      <c r="S91" s="38">
        <v>206551</v>
      </c>
      <c r="T91" s="48">
        <f t="shared" si="157"/>
        <v>140917</v>
      </c>
      <c r="U91" s="133">
        <v>140917</v>
      </c>
      <c r="V91" s="37">
        <v>216694</v>
      </c>
      <c r="W91" s="48">
        <f>221826+118222</f>
        <v>340048</v>
      </c>
      <c r="X91" s="38">
        <v>365746</v>
      </c>
      <c r="Y91" s="48">
        <f t="shared" si="158"/>
        <v>324222</v>
      </c>
      <c r="Z91" s="133">
        <v>324222</v>
      </c>
      <c r="AA91" s="37">
        <v>71539</v>
      </c>
      <c r="AB91" s="38">
        <v>189277</v>
      </c>
      <c r="AC91" s="38">
        <v>208515</v>
      </c>
      <c r="AD91" s="48">
        <f t="shared" si="159"/>
        <v>238890</v>
      </c>
      <c r="AE91" s="133">
        <v>238890</v>
      </c>
      <c r="AF91" s="37">
        <v>89175</v>
      </c>
      <c r="AG91" s="38">
        <v>138266</v>
      </c>
      <c r="AH91" s="38">
        <v>178343</v>
      </c>
      <c r="AI91" s="38">
        <v>149558</v>
      </c>
      <c r="AJ91" s="104">
        <f t="shared" si="160"/>
        <v>149558</v>
      </c>
      <c r="AK91" s="37">
        <v>106699</v>
      </c>
      <c r="AL91" s="38">
        <v>161540</v>
      </c>
      <c r="AM91" s="38">
        <v>202260</v>
      </c>
      <c r="AN91" s="38">
        <f>185143+74136</f>
        <v>259279</v>
      </c>
      <c r="AO91" s="104">
        <f t="shared" si="141"/>
        <v>259279</v>
      </c>
      <c r="AP91" s="38">
        <v>155695</v>
      </c>
      <c r="AQ91" s="38">
        <v>208704</v>
      </c>
      <c r="AR91" s="38">
        <v>220135</v>
      </c>
      <c r="AS91" s="38">
        <v>175869</v>
      </c>
      <c r="AT91" s="104">
        <f t="shared" si="142"/>
        <v>175869</v>
      </c>
      <c r="AU91" s="38">
        <v>154154</v>
      </c>
      <c r="AV91" s="38">
        <v>163055</v>
      </c>
      <c r="AW91" s="38">
        <v>160452</v>
      </c>
      <c r="AX91" s="38">
        <v>171018</v>
      </c>
      <c r="AY91" s="104">
        <f t="shared" si="143"/>
        <v>171018</v>
      </c>
      <c r="AZ91" s="38">
        <f>102089+146122</f>
        <v>248211</v>
      </c>
      <c r="BA91" s="38">
        <f>118545+57356</f>
        <v>175901</v>
      </c>
      <c r="BB91" s="38">
        <f>119427+58080</f>
        <v>177507</v>
      </c>
      <c r="BC91" s="38">
        <f>173299</f>
        <v>173299</v>
      </c>
      <c r="BD91" s="104">
        <f t="shared" si="144"/>
        <v>173299</v>
      </c>
      <c r="BE91" s="38">
        <f>175425+20691</f>
        <v>196116</v>
      </c>
      <c r="BF91" s="38">
        <f>155967+15354</f>
        <v>171321</v>
      </c>
      <c r="BG91" s="38">
        <f>76129+16619+62604</f>
        <v>155352</v>
      </c>
      <c r="BH91" s="38">
        <f>76696+39946</f>
        <v>116642</v>
      </c>
      <c r="BI91" s="104">
        <f t="shared" si="161"/>
        <v>116642</v>
      </c>
      <c r="BJ91" s="38">
        <f>83144+54024</f>
        <v>137168</v>
      </c>
      <c r="BK91" s="38">
        <f>85127+58200+702</f>
        <v>144029</v>
      </c>
      <c r="BL91" s="38">
        <f>81701+50759+658</f>
        <v>133118</v>
      </c>
      <c r="BM91" s="38">
        <f>60912+45986</f>
        <v>106898</v>
      </c>
      <c r="BN91" s="104">
        <f t="shared" si="145"/>
        <v>106898</v>
      </c>
      <c r="BO91" s="38">
        <v>108552</v>
      </c>
      <c r="BP91" s="567">
        <f>51465+75172</f>
        <v>126637</v>
      </c>
      <c r="BQ91" s="567">
        <f>1518865-SUM(BQ84:BQ90)</f>
        <v>141562</v>
      </c>
      <c r="BR91" s="38">
        <f>90301+53008</f>
        <v>143309</v>
      </c>
      <c r="BS91" s="104">
        <f t="shared" si="146"/>
        <v>143309</v>
      </c>
      <c r="BT91" s="48">
        <f t="shared" si="163"/>
        <v>144025.54499999998</v>
      </c>
      <c r="BU91" s="48">
        <f t="shared" si="164"/>
        <v>144745.67272499998</v>
      </c>
      <c r="BV91" s="48">
        <f t="shared" si="165"/>
        <v>145469.40108862496</v>
      </c>
      <c r="BW91" s="48">
        <f t="shared" si="166"/>
        <v>146196.74809406808</v>
      </c>
      <c r="BX91" s="104">
        <f t="shared" si="147"/>
        <v>146196.74809406808</v>
      </c>
      <c r="BY91" s="48">
        <f t="shared" si="167"/>
        <v>146927.7318345384</v>
      </c>
      <c r="BZ91" s="48">
        <f t="shared" si="168"/>
        <v>147662.37049371106</v>
      </c>
      <c r="CA91" s="48">
        <f t="shared" si="169"/>
        <v>148400.68234617959</v>
      </c>
      <c r="CB91" s="48">
        <f t="shared" si="170"/>
        <v>149142.68575791045</v>
      </c>
      <c r="CC91" s="104">
        <f t="shared" si="148"/>
        <v>149142.68575791045</v>
      </c>
      <c r="CD91" s="48">
        <f t="shared" si="171"/>
        <v>149888.3991867</v>
      </c>
      <c r="CE91" s="48">
        <f t="shared" si="172"/>
        <v>150637.84118263348</v>
      </c>
      <c r="CF91" s="48">
        <f t="shared" si="173"/>
        <v>151391.03038854664</v>
      </c>
      <c r="CG91" s="48">
        <f t="shared" si="174"/>
        <v>152147.98554048935</v>
      </c>
      <c r="CH91" s="104">
        <f t="shared" si="149"/>
        <v>152147.98554048935</v>
      </c>
      <c r="CI91" s="48">
        <f t="shared" si="175"/>
        <v>152908.72546819178</v>
      </c>
      <c r="CJ91" s="48">
        <f t="shared" si="176"/>
        <v>153673.26909553271</v>
      </c>
      <c r="CK91" s="48">
        <f t="shared" si="177"/>
        <v>154441.63544101035</v>
      </c>
      <c r="CL91" s="48">
        <f t="shared" si="178"/>
        <v>155213.84361821538</v>
      </c>
      <c r="CM91" s="104">
        <f t="shared" si="150"/>
        <v>155213.84361821538</v>
      </c>
      <c r="CN91" s="48">
        <f t="shared" si="179"/>
        <v>155989.91283630644</v>
      </c>
      <c r="CO91" s="48">
        <f t="shared" si="180"/>
        <v>156769.86240048794</v>
      </c>
      <c r="CP91" s="48">
        <f t="shared" si="181"/>
        <v>157553.71171249036</v>
      </c>
      <c r="CQ91" s="48">
        <f t="shared" si="182"/>
        <v>158341.4802710528</v>
      </c>
      <c r="CR91" s="104">
        <f t="shared" si="151"/>
        <v>158341.4802710528</v>
      </c>
      <c r="CS91" s="48">
        <f t="shared" si="183"/>
        <v>159133.18767240804</v>
      </c>
      <c r="CT91" s="48">
        <f t="shared" si="184"/>
        <v>159928.85361077005</v>
      </c>
      <c r="CU91" s="48">
        <f t="shared" si="185"/>
        <v>160728.4978788239</v>
      </c>
      <c r="CV91" s="48">
        <f t="shared" si="186"/>
        <v>161532.14036821801</v>
      </c>
      <c r="CW91" s="104">
        <f t="shared" si="152"/>
        <v>161532.14036821801</v>
      </c>
      <c r="CX91" s="48">
        <f t="shared" si="187"/>
        <v>162339.8010700591</v>
      </c>
      <c r="CY91" s="48">
        <f t="shared" si="188"/>
        <v>163151.50007540936</v>
      </c>
      <c r="CZ91" s="48">
        <f t="shared" si="189"/>
        <v>163967.25757578638</v>
      </c>
      <c r="DA91" s="48">
        <f t="shared" si="190"/>
        <v>164787.0938636653</v>
      </c>
      <c r="DB91" s="104">
        <f t="shared" si="153"/>
        <v>164787.0938636653</v>
      </c>
      <c r="DC91" s="48"/>
      <c r="DD91" s="48"/>
      <c r="DE91" s="48"/>
      <c r="DF91" s="48"/>
      <c r="DG91" s="48"/>
      <c r="DH91" s="48"/>
      <c r="DI91" s="48"/>
      <c r="DJ91" s="48"/>
      <c r="DK91" s="99"/>
      <c r="DL91" s="99"/>
      <c r="DM91" s="18"/>
    </row>
    <row r="92" spans="1:117">
      <c r="A92" s="28" t="s">
        <v>886</v>
      </c>
      <c r="B92" s="160">
        <f t="shared" ref="B92:Z92" si="191">SUM(B84:B91)</f>
        <v>1503960</v>
      </c>
      <c r="C92" s="168">
        <f t="shared" si="191"/>
        <v>1587717</v>
      </c>
      <c r="D92" s="168">
        <f t="shared" si="191"/>
        <v>1942581</v>
      </c>
      <c r="E92" s="168">
        <f t="shared" si="191"/>
        <v>2494452</v>
      </c>
      <c r="F92" s="235">
        <f t="shared" si="191"/>
        <v>2494452</v>
      </c>
      <c r="G92" s="160">
        <f t="shared" si="191"/>
        <v>2181246</v>
      </c>
      <c r="H92" s="168">
        <f t="shared" si="191"/>
        <v>2020779</v>
      </c>
      <c r="I92" s="168">
        <f t="shared" si="191"/>
        <v>4482959</v>
      </c>
      <c r="J92" s="168">
        <f t="shared" si="191"/>
        <v>3798388</v>
      </c>
      <c r="K92" s="235">
        <f t="shared" si="191"/>
        <v>3798388</v>
      </c>
      <c r="L92" s="160">
        <f t="shared" si="191"/>
        <v>2811196</v>
      </c>
      <c r="M92" s="168">
        <f t="shared" si="191"/>
        <v>3224327</v>
      </c>
      <c r="N92" s="168">
        <f t="shared" si="191"/>
        <v>3076898</v>
      </c>
      <c r="O92" s="168">
        <f t="shared" si="191"/>
        <v>3124961</v>
      </c>
      <c r="P92" s="235">
        <f t="shared" si="191"/>
        <v>3124961</v>
      </c>
      <c r="Q92" s="160">
        <f t="shared" si="191"/>
        <v>3080348</v>
      </c>
      <c r="R92" s="168">
        <f t="shared" si="191"/>
        <v>2591169</v>
      </c>
      <c r="S92" s="168">
        <f t="shared" si="191"/>
        <v>3278256</v>
      </c>
      <c r="T92" s="168">
        <f t="shared" si="191"/>
        <v>2951475</v>
      </c>
      <c r="U92" s="235">
        <f t="shared" si="191"/>
        <v>2951475</v>
      </c>
      <c r="V92" s="160">
        <f t="shared" si="191"/>
        <v>2742664</v>
      </c>
      <c r="W92" s="168">
        <f t="shared" si="191"/>
        <v>3268527</v>
      </c>
      <c r="X92" s="168">
        <f t="shared" si="191"/>
        <v>3020650</v>
      </c>
      <c r="Y92" s="168">
        <f t="shared" si="191"/>
        <v>3377602</v>
      </c>
      <c r="Z92" s="235">
        <f t="shared" si="191"/>
        <v>3377602</v>
      </c>
      <c r="AA92" s="160">
        <f t="shared" ref="AA92:AR92" si="192">SUM(AA84:AA91)</f>
        <v>2038729</v>
      </c>
      <c r="AB92" s="168">
        <f t="shared" si="192"/>
        <v>1793915</v>
      </c>
      <c r="AC92" s="168">
        <f t="shared" si="192"/>
        <v>1856962</v>
      </c>
      <c r="AD92" s="168">
        <f>SUM(AD84:AD91)</f>
        <v>2588464</v>
      </c>
      <c r="AE92" s="235">
        <f>SUM(AE84:AE91)</f>
        <v>2588464</v>
      </c>
      <c r="AF92" s="160">
        <f t="shared" si="192"/>
        <v>2108728</v>
      </c>
      <c r="AG92" s="168">
        <f t="shared" si="192"/>
        <v>1878255</v>
      </c>
      <c r="AH92" s="168">
        <f t="shared" si="192"/>
        <v>1988776</v>
      </c>
      <c r="AI92" s="168">
        <f t="shared" si="192"/>
        <v>2379045</v>
      </c>
      <c r="AJ92" s="235">
        <f t="shared" si="192"/>
        <v>2379045</v>
      </c>
      <c r="AK92" s="160">
        <f t="shared" si="192"/>
        <v>2795774</v>
      </c>
      <c r="AL92" s="76">
        <f t="shared" si="192"/>
        <v>2529261</v>
      </c>
      <c r="AM92" s="168">
        <f t="shared" si="192"/>
        <v>2312043</v>
      </c>
      <c r="AN92" s="168">
        <f t="shared" si="192"/>
        <v>2318812</v>
      </c>
      <c r="AO92" s="235">
        <f t="shared" si="192"/>
        <v>2318812</v>
      </c>
      <c r="AP92" s="168">
        <f t="shared" si="192"/>
        <v>2609275</v>
      </c>
      <c r="AQ92" s="168">
        <f t="shared" si="192"/>
        <v>1807319</v>
      </c>
      <c r="AR92" s="168">
        <f t="shared" si="192"/>
        <v>2956030</v>
      </c>
      <c r="AS92" s="168">
        <f t="shared" ref="AS92:AZ92" si="193">SUM(AS84:AS91)</f>
        <v>2764660</v>
      </c>
      <c r="AT92" s="235">
        <f t="shared" si="193"/>
        <v>2764660</v>
      </c>
      <c r="AU92" s="168">
        <f t="shared" si="193"/>
        <v>1949663</v>
      </c>
      <c r="AV92" s="168">
        <f t="shared" si="193"/>
        <v>1889589</v>
      </c>
      <c r="AW92" s="168">
        <f t="shared" si="193"/>
        <v>2882024</v>
      </c>
      <c r="AX92" s="168">
        <f t="shared" si="193"/>
        <v>2370802</v>
      </c>
      <c r="AY92" s="235">
        <f t="shared" si="193"/>
        <v>2370802</v>
      </c>
      <c r="AZ92" s="168">
        <f t="shared" si="193"/>
        <v>1656327</v>
      </c>
      <c r="BA92" s="168">
        <f t="shared" ref="BA92:BF92" si="194">SUM(BA84:BA91)</f>
        <v>2059655</v>
      </c>
      <c r="BB92" s="168">
        <f t="shared" si="194"/>
        <v>1712787</v>
      </c>
      <c r="BC92" s="168">
        <f t="shared" si="194"/>
        <v>1290527</v>
      </c>
      <c r="BD92" s="235">
        <f t="shared" si="194"/>
        <v>1290527</v>
      </c>
      <c r="BE92" s="553">
        <f t="shared" si="194"/>
        <v>1321949</v>
      </c>
      <c r="BF92" s="388">
        <f t="shared" si="194"/>
        <v>1263796</v>
      </c>
      <c r="BG92" s="168">
        <f t="shared" ref="BG92:BS92" si="195">SUM(BG84:BG91)</f>
        <v>952790</v>
      </c>
      <c r="BH92" s="388">
        <f t="shared" si="195"/>
        <v>975005</v>
      </c>
      <c r="BI92" s="521">
        <f t="shared" si="195"/>
        <v>975005</v>
      </c>
      <c r="BJ92" s="388">
        <f>SUM(BJ84:BJ91)</f>
        <v>990640</v>
      </c>
      <c r="BK92" s="388">
        <f>SUM(BK84:BK91)</f>
        <v>1281188</v>
      </c>
      <c r="BL92" s="388">
        <f>SUM(BL84:BL91)</f>
        <v>1369291</v>
      </c>
      <c r="BM92" s="388">
        <f t="shared" si="195"/>
        <v>1429133</v>
      </c>
      <c r="BN92" s="521">
        <f t="shared" si="195"/>
        <v>1429133</v>
      </c>
      <c r="BO92" s="160">
        <f t="shared" si="195"/>
        <v>1378447</v>
      </c>
      <c r="BP92" s="168">
        <f t="shared" si="195"/>
        <v>1447811</v>
      </c>
      <c r="BQ92" s="168">
        <f t="shared" si="195"/>
        <v>1518865</v>
      </c>
      <c r="BR92" s="388">
        <f t="shared" ref="BR92" si="196">SUM(BR84:BR91)</f>
        <v>1764458</v>
      </c>
      <c r="BS92" s="235">
        <f t="shared" si="195"/>
        <v>1764458</v>
      </c>
      <c r="BT92" s="160">
        <f t="shared" ref="BT92:DB92" si="197">SUM(BT84:BT91)</f>
        <v>2661694.0524313361</v>
      </c>
      <c r="BU92" s="168">
        <f t="shared" si="197"/>
        <v>2475404.831879159</v>
      </c>
      <c r="BV92" s="168">
        <f t="shared" si="197"/>
        <v>2273191.1852650512</v>
      </c>
      <c r="BW92" s="168">
        <f t="shared" si="197"/>
        <v>2065975.2267646417</v>
      </c>
      <c r="BX92" s="235">
        <f t="shared" si="197"/>
        <v>2065975.2267646417</v>
      </c>
      <c r="BY92" s="160">
        <f t="shared" si="197"/>
        <v>2048102.1711219102</v>
      </c>
      <c r="BZ92" s="168">
        <f t="shared" si="197"/>
        <v>2009720.5250577191</v>
      </c>
      <c r="CA92" s="168">
        <f t="shared" si="197"/>
        <v>1948589.0950736958</v>
      </c>
      <c r="CB92" s="168">
        <f t="shared" si="197"/>
        <v>1881707.2041793833</v>
      </c>
      <c r="CC92" s="235">
        <f t="shared" si="197"/>
        <v>1881707.2041793833</v>
      </c>
      <c r="CD92" s="160">
        <f t="shared" si="197"/>
        <v>1893628.5143894921</v>
      </c>
      <c r="CE92" s="168">
        <f t="shared" si="197"/>
        <v>1896909.8095449731</v>
      </c>
      <c r="CF92" s="168">
        <f t="shared" si="197"/>
        <v>1886085.8970834145</v>
      </c>
      <c r="CG92" s="168">
        <f t="shared" si="197"/>
        <v>1908822.1584847469</v>
      </c>
      <c r="CH92" s="235">
        <f t="shared" si="197"/>
        <v>1908822.1584847469</v>
      </c>
      <c r="CI92" s="160">
        <f t="shared" si="197"/>
        <v>1939500.2997741196</v>
      </c>
      <c r="CJ92" s="168">
        <f t="shared" si="197"/>
        <v>1973231.0661528641</v>
      </c>
      <c r="CK92" s="168">
        <f t="shared" si="197"/>
        <v>1988467.5655927153</v>
      </c>
      <c r="CL92" s="168">
        <f t="shared" si="197"/>
        <v>2055562.8716203948</v>
      </c>
      <c r="CM92" s="235">
        <f t="shared" si="197"/>
        <v>2055562.8716203948</v>
      </c>
      <c r="CN92" s="160">
        <f t="shared" si="197"/>
        <v>2052118.3483159277</v>
      </c>
      <c r="CO92" s="168">
        <f t="shared" si="197"/>
        <v>2055592.6676189119</v>
      </c>
      <c r="CP92" s="168">
        <f t="shared" si="197"/>
        <v>2043488.5927465202</v>
      </c>
      <c r="CQ92" s="168">
        <f t="shared" si="197"/>
        <v>2099676.961848679</v>
      </c>
      <c r="CR92" s="235">
        <f t="shared" si="197"/>
        <v>2099676.961848679</v>
      </c>
      <c r="CS92" s="160">
        <f t="shared" si="197"/>
        <v>2074984.6586455721</v>
      </c>
      <c r="CT92" s="168">
        <f t="shared" si="197"/>
        <v>2057371.7362746149</v>
      </c>
      <c r="CU92" s="168">
        <f t="shared" si="197"/>
        <v>2024300.8103824405</v>
      </c>
      <c r="CV92" s="168">
        <f t="shared" si="197"/>
        <v>2076210.6880873353</v>
      </c>
      <c r="CW92" s="235">
        <f t="shared" si="197"/>
        <v>2076210.6880873353</v>
      </c>
      <c r="CX92" s="160">
        <f t="shared" si="197"/>
        <v>2050676.1300166931</v>
      </c>
      <c r="CY92" s="168">
        <f t="shared" si="197"/>
        <v>2032594.6692775576</v>
      </c>
      <c r="CZ92" s="168">
        <f t="shared" si="197"/>
        <v>1999356.9241412706</v>
      </c>
      <c r="DA92" s="168">
        <f t="shared" si="197"/>
        <v>2057709.1775924824</v>
      </c>
      <c r="DB92" s="235">
        <f t="shared" si="197"/>
        <v>2057709.1775924824</v>
      </c>
      <c r="DC92" s="168"/>
      <c r="DD92" s="168"/>
      <c r="DE92" s="168"/>
      <c r="DF92" s="168"/>
      <c r="DG92" s="168"/>
      <c r="DH92" s="168"/>
      <c r="DI92" s="168"/>
      <c r="DJ92" s="168"/>
      <c r="DK92" s="406"/>
      <c r="DL92" s="406"/>
      <c r="DM92" s="25"/>
    </row>
    <row r="93" spans="1:117">
      <c r="A93" s="10"/>
      <c r="B93" s="37"/>
      <c r="C93" s="38"/>
      <c r="D93" s="38"/>
      <c r="E93" s="38" t="s">
        <v>653</v>
      </c>
      <c r="F93" s="133" t="s">
        <v>653</v>
      </c>
      <c r="G93" s="37"/>
      <c r="H93" s="38"/>
      <c r="I93" s="38"/>
      <c r="J93" s="38" t="s">
        <v>653</v>
      </c>
      <c r="K93" s="133" t="s">
        <v>653</v>
      </c>
      <c r="L93" s="37"/>
      <c r="M93" s="38"/>
      <c r="N93" s="38"/>
      <c r="O93" s="38" t="s">
        <v>653</v>
      </c>
      <c r="P93" s="133" t="s">
        <v>653</v>
      </c>
      <c r="Q93" s="37"/>
      <c r="R93" s="38"/>
      <c r="S93" s="38"/>
      <c r="T93" s="38" t="s">
        <v>653</v>
      </c>
      <c r="U93" s="133" t="s">
        <v>653</v>
      </c>
      <c r="V93" s="37"/>
      <c r="W93" s="38"/>
      <c r="X93" s="38"/>
      <c r="Y93" s="38" t="s">
        <v>653</v>
      </c>
      <c r="Z93" s="133" t="s">
        <v>653</v>
      </c>
      <c r="AA93" s="37"/>
      <c r="AB93" s="38"/>
      <c r="AC93" s="38"/>
      <c r="AD93" s="38"/>
      <c r="AE93" s="133" t="s">
        <v>653</v>
      </c>
      <c r="AF93" s="19"/>
      <c r="AG93" s="18"/>
      <c r="AH93" s="38"/>
      <c r="AI93" s="38"/>
      <c r="AJ93" s="133" t="s">
        <v>653</v>
      </c>
      <c r="AK93" s="19"/>
      <c r="AL93" s="18"/>
      <c r="AM93" s="18"/>
      <c r="AN93" s="38"/>
      <c r="AO93" s="133" t="s">
        <v>653</v>
      </c>
      <c r="AP93" s="38"/>
      <c r="AQ93" s="38"/>
      <c r="AR93" s="38"/>
      <c r="AS93" s="38"/>
      <c r="AT93" s="133" t="s">
        <v>653</v>
      </c>
      <c r="AU93" s="38"/>
      <c r="AV93" s="38"/>
      <c r="AW93" s="38"/>
      <c r="AX93" s="38"/>
      <c r="AY93" s="133" t="s">
        <v>653</v>
      </c>
      <c r="AZ93" s="38"/>
      <c r="BA93" s="38"/>
      <c r="BB93" s="38"/>
      <c r="BC93" s="38"/>
      <c r="BD93" s="133" t="s">
        <v>653</v>
      </c>
      <c r="BE93" s="38"/>
      <c r="BF93" s="18"/>
      <c r="BG93" s="18"/>
      <c r="BH93" s="38"/>
      <c r="BI93" s="133" t="s">
        <v>653</v>
      </c>
      <c r="BJ93" s="38"/>
      <c r="BK93" s="38"/>
      <c r="BL93" s="38"/>
      <c r="BM93" s="38"/>
      <c r="BN93" s="133" t="s">
        <v>653</v>
      </c>
      <c r="BO93" s="19"/>
      <c r="BP93" s="18"/>
      <c r="BQ93" s="18"/>
      <c r="BR93" s="38"/>
      <c r="BS93" s="133" t="s">
        <v>653</v>
      </c>
      <c r="BT93" s="19"/>
      <c r="BU93" s="18"/>
      <c r="BV93" s="18"/>
      <c r="BW93" s="18"/>
      <c r="BX93" s="133" t="s">
        <v>653</v>
      </c>
      <c r="BY93" s="19"/>
      <c r="BZ93" s="18"/>
      <c r="CA93" s="18"/>
      <c r="CB93" s="18"/>
      <c r="CC93" s="133" t="s">
        <v>653</v>
      </c>
      <c r="CD93" s="19"/>
      <c r="CE93" s="18"/>
      <c r="CF93" s="18"/>
      <c r="CG93" s="18"/>
      <c r="CH93" s="133" t="s">
        <v>653</v>
      </c>
      <c r="CI93" s="19"/>
      <c r="CJ93" s="18"/>
      <c r="CK93" s="18"/>
      <c r="CL93" s="18"/>
      <c r="CM93" s="133" t="s">
        <v>653</v>
      </c>
      <c r="CN93" s="19"/>
      <c r="CO93" s="18"/>
      <c r="CP93" s="18"/>
      <c r="CQ93" s="18"/>
      <c r="CR93" s="133" t="s">
        <v>653</v>
      </c>
      <c r="CS93" s="19"/>
      <c r="CT93" s="18"/>
      <c r="CU93" s="18"/>
      <c r="CV93" s="18"/>
      <c r="CW93" s="133" t="s">
        <v>653</v>
      </c>
      <c r="CX93" s="19"/>
      <c r="CY93" s="18"/>
      <c r="CZ93" s="18"/>
      <c r="DA93" s="18"/>
      <c r="DB93" s="133" t="s">
        <v>653</v>
      </c>
      <c r="DC93" s="38"/>
      <c r="DD93" s="38"/>
      <c r="DE93" s="38"/>
      <c r="DF93" s="38"/>
      <c r="DG93" s="38"/>
      <c r="DH93" s="38"/>
      <c r="DI93" s="38"/>
      <c r="DJ93" s="38"/>
      <c r="DK93" s="65"/>
      <c r="DL93" s="65"/>
      <c r="DM93" s="18"/>
    </row>
    <row r="94" spans="1:117">
      <c r="A94" s="34" t="s">
        <v>99</v>
      </c>
      <c r="B94" s="37"/>
      <c r="C94" s="38"/>
      <c r="D94" s="38"/>
      <c r="E94" s="38"/>
      <c r="F94" s="133"/>
      <c r="G94" s="37"/>
      <c r="H94" s="38"/>
      <c r="I94" s="38"/>
      <c r="J94" s="38"/>
      <c r="K94" s="133"/>
      <c r="L94" s="37"/>
      <c r="M94" s="38"/>
      <c r="N94" s="38"/>
      <c r="O94" s="38"/>
      <c r="P94" s="133"/>
      <c r="Q94" s="37"/>
      <c r="R94" s="38"/>
      <c r="S94" s="38"/>
      <c r="T94" s="38"/>
      <c r="U94" s="133"/>
      <c r="V94" s="37"/>
      <c r="W94" s="38"/>
      <c r="X94" s="38"/>
      <c r="Y94" s="38"/>
      <c r="Z94" s="133"/>
      <c r="AA94" s="37"/>
      <c r="AB94" s="38"/>
      <c r="AC94" s="38"/>
      <c r="AD94" s="38"/>
      <c r="AE94" s="133"/>
      <c r="AF94" s="19"/>
      <c r="AG94" s="18"/>
      <c r="AH94" s="38"/>
      <c r="AI94" s="38"/>
      <c r="AJ94" s="133"/>
      <c r="AK94" s="19"/>
      <c r="AL94" s="18"/>
      <c r="AM94" s="18"/>
      <c r="AN94" s="38"/>
      <c r="AO94" s="133"/>
      <c r="AP94" s="38"/>
      <c r="AQ94" s="38"/>
      <c r="AR94" s="38"/>
      <c r="AS94" s="38"/>
      <c r="AT94" s="133"/>
      <c r="AU94" s="38"/>
      <c r="AV94" s="38"/>
      <c r="AW94" s="38"/>
      <c r="AX94" s="38"/>
      <c r="AY94" s="133"/>
      <c r="AZ94" s="38"/>
      <c r="BA94" s="38"/>
      <c r="BB94" s="38"/>
      <c r="BC94" s="38"/>
      <c r="BD94" s="133"/>
      <c r="BE94" s="38"/>
      <c r="BF94" s="18"/>
      <c r="BG94" s="18"/>
      <c r="BH94" s="38">
        <v>14530460</v>
      </c>
      <c r="BI94" s="133"/>
      <c r="BJ94" s="38">
        <v>14671934</v>
      </c>
      <c r="BK94" s="38">
        <v>14811606</v>
      </c>
      <c r="BL94" s="38">
        <v>14943225</v>
      </c>
      <c r="BM94" s="38">
        <v>15078497</v>
      </c>
      <c r="BN94" s="133"/>
      <c r="BO94" s="38">
        <v>15154360</v>
      </c>
      <c r="BP94" s="567">
        <v>15241140</v>
      </c>
      <c r="BQ94" s="18">
        <v>15364289</v>
      </c>
      <c r="BR94" s="38">
        <v>15559667</v>
      </c>
      <c r="BS94" s="104">
        <f>BR94</f>
        <v>15559667</v>
      </c>
      <c r="BT94" s="19"/>
      <c r="BU94" s="18"/>
      <c r="BV94" s="18"/>
      <c r="BW94" s="18"/>
      <c r="BX94" s="133"/>
      <c r="BY94" s="19"/>
      <c r="BZ94" s="18"/>
      <c r="CA94" s="18"/>
      <c r="CB94" s="18"/>
      <c r="CC94" s="133"/>
      <c r="CD94" s="19"/>
      <c r="CE94" s="18"/>
      <c r="CF94" s="18"/>
      <c r="CG94" s="18"/>
      <c r="CH94" s="133"/>
      <c r="CI94" s="19"/>
      <c r="CJ94" s="18"/>
      <c r="CK94" s="18"/>
      <c r="CL94" s="18"/>
      <c r="CM94" s="133"/>
      <c r="CN94" s="19"/>
      <c r="CO94" s="18"/>
      <c r="CP94" s="18"/>
      <c r="CQ94" s="18"/>
      <c r="CR94" s="133"/>
      <c r="CS94" s="19"/>
      <c r="CT94" s="18"/>
      <c r="CU94" s="18"/>
      <c r="CV94" s="18"/>
      <c r="CW94" s="133"/>
      <c r="CX94" s="19"/>
      <c r="CY94" s="18"/>
      <c r="CZ94" s="18"/>
      <c r="DA94" s="18"/>
      <c r="DB94" s="133"/>
      <c r="DC94" s="38"/>
      <c r="DD94" s="38"/>
      <c r="DE94" s="38"/>
      <c r="DF94" s="38"/>
      <c r="DG94" s="38"/>
      <c r="DH94" s="38"/>
      <c r="DI94" s="38"/>
      <c r="DJ94" s="38"/>
      <c r="DK94" s="65"/>
      <c r="DL94" s="65"/>
      <c r="DM94" s="29"/>
    </row>
    <row r="95" spans="1:117">
      <c r="A95" s="17" t="s">
        <v>752</v>
      </c>
      <c r="B95" s="94">
        <f>412877+1040946+695172</f>
        <v>2148995</v>
      </c>
      <c r="C95" s="48">
        <f>424993+1047083+697280</f>
        <v>2169356</v>
      </c>
      <c r="D95" s="48">
        <f>442667+1055075+700781</f>
        <v>2198523</v>
      </c>
      <c r="E95" s="48">
        <f>F95</f>
        <v>1771727</v>
      </c>
      <c r="F95" s="104">
        <f>1034344+32268+705115</f>
        <v>1771727</v>
      </c>
      <c r="G95" s="94">
        <f>473947+1076006+699848</f>
        <v>2249801</v>
      </c>
      <c r="H95" s="48">
        <f>487594+1086587+703115</f>
        <v>2277296</v>
      </c>
      <c r="I95" s="48">
        <f>1055262+483536+1125629</f>
        <v>2664427</v>
      </c>
      <c r="J95" s="48">
        <f>K95</f>
        <v>2412679</v>
      </c>
      <c r="K95" s="104">
        <f>1478965+933714</f>
        <v>2412679</v>
      </c>
      <c r="L95" s="94">
        <f>781344+500790+1152620+3018800</f>
        <v>5453554</v>
      </c>
      <c r="M95" s="38">
        <v>3299795</v>
      </c>
      <c r="N95" s="38">
        <v>3355534</v>
      </c>
      <c r="O95" s="48">
        <f>P95</f>
        <v>3424452</v>
      </c>
      <c r="P95" s="104">
        <f>1894529+1529923</f>
        <v>3424452</v>
      </c>
      <c r="Q95" s="94">
        <f>1917775+1582450</f>
        <v>3500225</v>
      </c>
      <c r="R95" s="48">
        <f>1952682+1675852</f>
        <v>3628534</v>
      </c>
      <c r="S95" s="48">
        <f>2010553+1830674</f>
        <v>3841227</v>
      </c>
      <c r="T95" s="48">
        <f>U95</f>
        <v>4436371</v>
      </c>
      <c r="U95" s="104">
        <f>2112394+2323977</f>
        <v>4436371</v>
      </c>
      <c r="V95" s="94">
        <f>2196354+2572450</f>
        <v>4768804</v>
      </c>
      <c r="W95" s="48">
        <f>2297704+2742984</f>
        <v>5040688</v>
      </c>
      <c r="X95" s="48">
        <f>2397459+3046582</f>
        <v>5444041</v>
      </c>
      <c r="Y95" s="48">
        <f>Z95</f>
        <v>5808679</v>
      </c>
      <c r="Z95" s="104">
        <f>2465369+3343310</f>
        <v>5808679</v>
      </c>
      <c r="AA95" s="94">
        <f>2494611+3487274</f>
        <v>5981885</v>
      </c>
      <c r="AB95" s="48">
        <f>2522084+3627600</f>
        <v>6149684</v>
      </c>
      <c r="AC95" s="77">
        <f>2523024+3727738</f>
        <v>6250762</v>
      </c>
      <c r="AD95" s="48"/>
      <c r="AE95" s="104"/>
      <c r="AF95" s="94"/>
      <c r="AG95" s="18"/>
      <c r="AH95" s="77"/>
      <c r="AI95" s="77"/>
      <c r="AJ95" s="133"/>
      <c r="AK95" s="94"/>
      <c r="AL95" s="18"/>
      <c r="AM95" s="18"/>
      <c r="AN95" s="77"/>
      <c r="AO95" s="133"/>
      <c r="AP95" s="77"/>
      <c r="AQ95" s="77"/>
      <c r="AR95" s="77"/>
      <c r="AS95" s="77"/>
      <c r="AT95" s="133"/>
      <c r="AU95" s="77"/>
      <c r="AV95" s="77"/>
      <c r="AW95" s="77"/>
      <c r="AX95" s="77"/>
      <c r="AY95" s="133"/>
      <c r="AZ95" s="77"/>
      <c r="BA95" s="77"/>
      <c r="BB95" s="77"/>
      <c r="BC95" s="77"/>
      <c r="BD95" s="133"/>
      <c r="BE95" s="77"/>
      <c r="BF95" s="18"/>
      <c r="BG95" s="18"/>
      <c r="BH95" s="57"/>
      <c r="BI95" s="133"/>
      <c r="BJ95" s="57"/>
      <c r="BK95" s="57"/>
      <c r="BL95" s="57"/>
      <c r="BM95" s="57"/>
      <c r="BN95" s="133"/>
      <c r="BO95" s="57"/>
      <c r="BP95" s="18"/>
      <c r="BQ95" s="18"/>
      <c r="BR95" s="57"/>
      <c r="BS95" s="104"/>
      <c r="BT95" s="19"/>
      <c r="BU95" s="18"/>
      <c r="BV95" s="18"/>
      <c r="BW95" s="18"/>
      <c r="BX95" s="133"/>
      <c r="BY95" s="19"/>
      <c r="BZ95" s="18"/>
      <c r="CA95" s="18"/>
      <c r="CB95" s="18"/>
      <c r="CC95" s="133"/>
      <c r="CD95" s="19"/>
      <c r="CE95" s="18"/>
      <c r="CF95" s="18"/>
      <c r="CG95" s="18"/>
      <c r="CH95" s="133"/>
      <c r="CI95" s="19"/>
      <c r="CJ95" s="18"/>
      <c r="CK95" s="18"/>
      <c r="CL95" s="18"/>
      <c r="CM95" s="133"/>
      <c r="CN95" s="19"/>
      <c r="CO95" s="18"/>
      <c r="CP95" s="18"/>
      <c r="CQ95" s="18"/>
      <c r="CR95" s="133"/>
      <c r="CS95" s="19"/>
      <c r="CT95" s="18"/>
      <c r="CU95" s="18"/>
      <c r="CV95" s="18"/>
      <c r="CW95" s="133"/>
      <c r="CX95" s="19"/>
      <c r="CY95" s="18"/>
      <c r="CZ95" s="18"/>
      <c r="DA95" s="18"/>
      <c r="DB95" s="133"/>
      <c r="DC95" s="38"/>
      <c r="DD95" s="38"/>
      <c r="DE95" s="38"/>
      <c r="DF95" s="38"/>
      <c r="DG95" s="38"/>
      <c r="DH95" s="38"/>
      <c r="DI95" s="38"/>
      <c r="DJ95" s="38"/>
      <c r="DK95" s="65"/>
      <c r="DL95" s="65"/>
      <c r="DM95" s="18"/>
    </row>
    <row r="96" spans="1:117">
      <c r="A96" s="17" t="s">
        <v>753</v>
      </c>
      <c r="B96" s="37">
        <v>2825409</v>
      </c>
      <c r="C96" s="38">
        <v>2860055</v>
      </c>
      <c r="D96" s="38">
        <v>2888524</v>
      </c>
      <c r="E96" s="48">
        <f>F96</f>
        <v>2916440</v>
      </c>
      <c r="F96" s="133">
        <v>2916440</v>
      </c>
      <c r="G96" s="37">
        <v>2935514</v>
      </c>
      <c r="H96" s="38">
        <v>2963002</v>
      </c>
      <c r="I96" s="38">
        <v>2999783</v>
      </c>
      <c r="J96" s="48">
        <f>K96</f>
        <v>3016668</v>
      </c>
      <c r="K96" s="133">
        <v>3016668</v>
      </c>
      <c r="L96" s="37">
        <v>3046015</v>
      </c>
      <c r="M96" s="38">
        <v>3071227</v>
      </c>
      <c r="N96" s="38">
        <v>3106388</v>
      </c>
      <c r="O96" s="48">
        <f>P96</f>
        <v>3126188</v>
      </c>
      <c r="P96" s="133">
        <v>3126188</v>
      </c>
      <c r="Q96" s="37">
        <v>3139905</v>
      </c>
      <c r="R96" s="38">
        <v>3175170</v>
      </c>
      <c r="S96" s="38">
        <v>3220038</v>
      </c>
      <c r="T96" s="48">
        <f>U96</f>
        <v>3271920</v>
      </c>
      <c r="U96" s="133">
        <v>3271920</v>
      </c>
      <c r="V96" s="37">
        <v>3299727</v>
      </c>
      <c r="W96" s="38">
        <v>3339219</v>
      </c>
      <c r="X96" s="38">
        <v>3391964</v>
      </c>
      <c r="Y96" s="48">
        <f>Z96</f>
        <v>3434554</v>
      </c>
      <c r="Z96" s="133">
        <v>3434554</v>
      </c>
      <c r="AA96" s="37">
        <v>3468508</v>
      </c>
      <c r="AB96" s="38">
        <v>3489951</v>
      </c>
      <c r="AC96" s="38">
        <v>3512168</v>
      </c>
      <c r="AD96" s="48"/>
      <c r="AE96" s="133"/>
      <c r="AF96" s="37"/>
      <c r="AG96" s="18"/>
      <c r="AH96" s="38"/>
      <c r="AI96" s="38"/>
      <c r="AJ96" s="133"/>
      <c r="AK96" s="37"/>
      <c r="AL96" s="18"/>
      <c r="AM96" s="18"/>
      <c r="AN96" s="38"/>
      <c r="AO96" s="133"/>
      <c r="AP96" s="38"/>
      <c r="AQ96" s="38"/>
      <c r="AR96" s="38"/>
      <c r="AS96" s="38"/>
      <c r="AT96" s="133"/>
      <c r="AU96" s="38"/>
      <c r="AV96" s="38"/>
      <c r="AW96" s="38"/>
      <c r="AX96" s="38"/>
      <c r="AY96" s="133"/>
      <c r="AZ96" s="38"/>
      <c r="BA96" s="38"/>
      <c r="BB96" s="38"/>
      <c r="BC96" s="38"/>
      <c r="BD96" s="133"/>
      <c r="BE96" s="38"/>
      <c r="BF96" s="18"/>
      <c r="BG96" s="18"/>
      <c r="BH96" s="38"/>
      <c r="BI96" s="133"/>
      <c r="BJ96" s="38"/>
      <c r="BK96" s="38"/>
      <c r="BL96" s="38"/>
      <c r="BM96" s="38"/>
      <c r="BN96" s="133"/>
      <c r="BO96" s="38"/>
      <c r="BP96" s="18"/>
      <c r="BQ96" s="18"/>
      <c r="BR96" s="38"/>
      <c r="BS96" s="104"/>
      <c r="BT96" s="19"/>
      <c r="BU96" s="18"/>
      <c r="BV96" s="18"/>
      <c r="BW96" s="18"/>
      <c r="BX96" s="133"/>
      <c r="BY96" s="19"/>
      <c r="BZ96" s="18"/>
      <c r="CA96" s="18"/>
      <c r="CB96" s="18"/>
      <c r="CC96" s="133"/>
      <c r="CD96" s="19"/>
      <c r="CE96" s="18"/>
      <c r="CF96" s="18"/>
      <c r="CG96" s="18"/>
      <c r="CH96" s="133"/>
      <c r="CI96" s="19"/>
      <c r="CJ96" s="18"/>
      <c r="CK96" s="18"/>
      <c r="CL96" s="18"/>
      <c r="CM96" s="133"/>
      <c r="CN96" s="19"/>
      <c r="CO96" s="18"/>
      <c r="CP96" s="18"/>
      <c r="CQ96" s="18"/>
      <c r="CR96" s="133"/>
      <c r="CS96" s="19"/>
      <c r="CT96" s="18"/>
      <c r="CU96" s="18"/>
      <c r="CV96" s="18"/>
      <c r="CW96" s="133"/>
      <c r="CX96" s="19"/>
      <c r="CY96" s="18"/>
      <c r="CZ96" s="18"/>
      <c r="DA96" s="18"/>
      <c r="DB96" s="133"/>
      <c r="DC96" s="38"/>
      <c r="DD96" s="38"/>
      <c r="DE96" s="38"/>
      <c r="DF96" s="38"/>
      <c r="DG96" s="38"/>
      <c r="DH96" s="38"/>
      <c r="DI96" s="38"/>
      <c r="DJ96" s="38"/>
      <c r="DK96" s="65"/>
      <c r="DL96" s="65"/>
      <c r="DM96" s="18"/>
    </row>
    <row r="97" spans="1:117">
      <c r="A97" s="17" t="s">
        <v>754</v>
      </c>
      <c r="B97" s="37">
        <v>126425</v>
      </c>
      <c r="C97" s="38">
        <v>127128</v>
      </c>
      <c r="D97" s="38">
        <v>127687</v>
      </c>
      <c r="E97" s="48">
        <f>F97</f>
        <v>7531</v>
      </c>
      <c r="F97" s="133">
        <v>7531</v>
      </c>
      <c r="G97" s="37">
        <v>128147</v>
      </c>
      <c r="H97" s="38">
        <v>128279</v>
      </c>
      <c r="I97" s="38">
        <v>7690</v>
      </c>
      <c r="J97" s="48">
        <f>K97</f>
        <v>7690</v>
      </c>
      <c r="K97" s="133">
        <v>7690</v>
      </c>
      <c r="L97" s="37">
        <v>7688</v>
      </c>
      <c r="M97" s="38">
        <v>7688</v>
      </c>
      <c r="N97" s="38">
        <v>7688</v>
      </c>
      <c r="O97" s="48">
        <f>P97</f>
        <v>7689</v>
      </c>
      <c r="P97" s="133">
        <v>7689</v>
      </c>
      <c r="Q97" s="37">
        <v>7688</v>
      </c>
      <c r="R97" s="38">
        <v>7687</v>
      </c>
      <c r="S97" s="38">
        <v>7687</v>
      </c>
      <c r="T97" s="48">
        <f>U97</f>
        <v>7845</v>
      </c>
      <c r="U97" s="133">
        <v>7845</v>
      </c>
      <c r="V97" s="37">
        <v>7845</v>
      </c>
      <c r="W97" s="38">
        <v>7860</v>
      </c>
      <c r="X97" s="38">
        <v>7859</v>
      </c>
      <c r="Y97" s="48">
        <f>Z97</f>
        <v>7907</v>
      </c>
      <c r="Z97" s="133">
        <v>7907</v>
      </c>
      <c r="AA97" s="37">
        <v>7907</v>
      </c>
      <c r="AB97" s="38">
        <v>7907</v>
      </c>
      <c r="AC97" s="38">
        <v>7907</v>
      </c>
      <c r="AD97" s="48"/>
      <c r="AE97" s="133"/>
      <c r="AF97" s="37"/>
      <c r="AG97" s="18"/>
      <c r="AH97" s="38"/>
      <c r="AI97" s="38"/>
      <c r="AJ97" s="133"/>
      <c r="AK97" s="37"/>
      <c r="AL97" s="18"/>
      <c r="AM97" s="18"/>
      <c r="AN97" s="38"/>
      <c r="AO97" s="133"/>
      <c r="AP97" s="38"/>
      <c r="AQ97" s="38"/>
      <c r="AR97" s="38"/>
      <c r="AS97" s="38"/>
      <c r="AT97" s="133"/>
      <c r="AU97" s="38"/>
      <c r="AV97" s="38"/>
      <c r="AW97" s="38"/>
      <c r="AX97" s="38"/>
      <c r="AY97" s="133"/>
      <c r="AZ97" s="38"/>
      <c r="BA97" s="38"/>
      <c r="BB97" s="38"/>
      <c r="BC97" s="38"/>
      <c r="BD97" s="133"/>
      <c r="BE97" s="38"/>
      <c r="BF97" s="18"/>
      <c r="BG97" s="18"/>
      <c r="BH97" s="38"/>
      <c r="BI97" s="133"/>
      <c r="BJ97" s="38"/>
      <c r="BK97" s="38"/>
      <c r="BL97" s="38"/>
      <c r="BM97" s="38"/>
      <c r="BN97" s="133"/>
      <c r="BO97" s="38"/>
      <c r="BP97" s="18"/>
      <c r="BQ97" s="18"/>
      <c r="BR97" s="38"/>
      <c r="BS97" s="104"/>
      <c r="BT97" s="19"/>
      <c r="BU97" s="18"/>
      <c r="BV97" s="18"/>
      <c r="BW97" s="18"/>
      <c r="BX97" s="133"/>
      <c r="BY97" s="19"/>
      <c r="BZ97" s="18"/>
      <c r="CA97" s="18"/>
      <c r="CB97" s="18"/>
      <c r="CC97" s="133"/>
      <c r="CD97" s="19"/>
      <c r="CE97" s="18"/>
      <c r="CF97" s="18"/>
      <c r="CG97" s="18"/>
      <c r="CH97" s="133"/>
      <c r="CI97" s="19"/>
      <c r="CJ97" s="18"/>
      <c r="CK97" s="18"/>
      <c r="CL97" s="18"/>
      <c r="CM97" s="133"/>
      <c r="CN97" s="19"/>
      <c r="CO97" s="18"/>
      <c r="CP97" s="18"/>
      <c r="CQ97" s="18"/>
      <c r="CR97" s="133"/>
      <c r="CS97" s="19"/>
      <c r="CT97" s="18"/>
      <c r="CU97" s="18"/>
      <c r="CV97" s="18"/>
      <c r="CW97" s="133"/>
      <c r="CX97" s="19"/>
      <c r="CY97" s="18"/>
      <c r="CZ97" s="18"/>
      <c r="DA97" s="18"/>
      <c r="DB97" s="133"/>
      <c r="DC97" s="38"/>
      <c r="DD97" s="38"/>
      <c r="DE97" s="38"/>
      <c r="DF97" s="38"/>
      <c r="DG97" s="38"/>
      <c r="DH97" s="38"/>
      <c r="DI97" s="38"/>
      <c r="DJ97" s="38"/>
      <c r="DK97" s="65"/>
      <c r="DL97" s="65"/>
      <c r="DM97" s="18"/>
    </row>
    <row r="98" spans="1:117">
      <c r="A98" s="17" t="s">
        <v>926</v>
      </c>
      <c r="B98" s="37">
        <v>125130</v>
      </c>
      <c r="C98" s="38">
        <v>128741</v>
      </c>
      <c r="D98" s="38">
        <v>133002</v>
      </c>
      <c r="E98" s="48">
        <f>F98</f>
        <v>137178</v>
      </c>
      <c r="F98" s="133">
        <v>137178</v>
      </c>
      <c r="G98" s="37">
        <v>134322</v>
      </c>
      <c r="H98" s="38">
        <v>134658</v>
      </c>
      <c r="I98" s="38">
        <v>135311</v>
      </c>
      <c r="J98" s="48">
        <f>K98</f>
        <v>138328</v>
      </c>
      <c r="K98" s="133">
        <v>138328</v>
      </c>
      <c r="L98" s="37">
        <v>140937</v>
      </c>
      <c r="M98" s="38">
        <v>155668</v>
      </c>
      <c r="N98" s="38">
        <v>165382</v>
      </c>
      <c r="O98" s="48">
        <f>P98</f>
        <v>166430</v>
      </c>
      <c r="P98" s="133">
        <v>166430</v>
      </c>
      <c r="Q98" s="37">
        <v>168623</v>
      </c>
      <c r="R98" s="38">
        <v>179001</v>
      </c>
      <c r="S98" s="38">
        <v>177408</v>
      </c>
      <c r="T98" s="48">
        <f>U98</f>
        <v>177356</v>
      </c>
      <c r="U98" s="133">
        <v>177356</v>
      </c>
      <c r="V98" s="37">
        <v>221228</v>
      </c>
      <c r="W98" s="38">
        <v>221914</v>
      </c>
      <c r="X98" s="38">
        <v>223308</v>
      </c>
      <c r="Y98" s="48">
        <f>Z98</f>
        <v>225479</v>
      </c>
      <c r="Z98" s="133">
        <v>225479</v>
      </c>
      <c r="AA98" s="37">
        <v>230478</v>
      </c>
      <c r="AB98" s="38">
        <v>233078</v>
      </c>
      <c r="AC98" s="38">
        <v>239569</v>
      </c>
      <c r="AD98" s="48"/>
      <c r="AE98" s="133"/>
      <c r="AF98" s="37"/>
      <c r="AG98" s="18"/>
      <c r="AH98" s="38"/>
      <c r="AI98" s="38"/>
      <c r="AJ98" s="133"/>
      <c r="AK98" s="37"/>
      <c r="AL98" s="18"/>
      <c r="AM98" s="18"/>
      <c r="AN98" s="38"/>
      <c r="AO98" s="133"/>
      <c r="AP98" s="38"/>
      <c r="AQ98" s="38"/>
      <c r="AR98" s="38"/>
      <c r="AS98" s="38"/>
      <c r="AT98" s="133"/>
      <c r="AU98" s="38"/>
      <c r="AV98" s="38"/>
      <c r="AW98" s="38"/>
      <c r="AX98" s="38"/>
      <c r="AY98" s="133"/>
      <c r="AZ98" s="38"/>
      <c r="BA98" s="38"/>
      <c r="BB98" s="38"/>
      <c r="BC98" s="38"/>
      <c r="BD98" s="133"/>
      <c r="BE98" s="38"/>
      <c r="BF98" s="18"/>
      <c r="BG98" s="18"/>
      <c r="BH98" s="38"/>
      <c r="BI98" s="133"/>
      <c r="BJ98" s="38"/>
      <c r="BK98" s="38"/>
      <c r="BL98" s="38"/>
      <c r="BM98" s="38"/>
      <c r="BN98" s="133"/>
      <c r="BO98" s="38"/>
      <c r="BP98" s="18"/>
      <c r="BQ98" s="18"/>
      <c r="BR98" s="38"/>
      <c r="BS98" s="104"/>
      <c r="BT98" s="19"/>
      <c r="BU98" s="18"/>
      <c r="BV98" s="18"/>
      <c r="BW98" s="18"/>
      <c r="BX98" s="133"/>
      <c r="BY98" s="19"/>
      <c r="BZ98" s="18"/>
      <c r="CA98" s="18"/>
      <c r="CB98" s="18"/>
      <c r="CC98" s="133"/>
      <c r="CD98" s="19"/>
      <c r="CE98" s="18"/>
      <c r="CF98" s="18"/>
      <c r="CG98" s="18"/>
      <c r="CH98" s="133"/>
      <c r="CI98" s="19"/>
      <c r="CJ98" s="18"/>
      <c r="CK98" s="18"/>
      <c r="CL98" s="18"/>
      <c r="CM98" s="133"/>
      <c r="CN98" s="19"/>
      <c r="CO98" s="18"/>
      <c r="CP98" s="18"/>
      <c r="CQ98" s="18"/>
      <c r="CR98" s="133"/>
      <c r="CS98" s="19"/>
      <c r="CT98" s="18"/>
      <c r="CU98" s="18"/>
      <c r="CV98" s="18"/>
      <c r="CW98" s="133"/>
      <c r="CX98" s="19"/>
      <c r="CY98" s="18"/>
      <c r="CZ98" s="18"/>
      <c r="DA98" s="18"/>
      <c r="DB98" s="133"/>
      <c r="DC98" s="38"/>
      <c r="DD98" s="38"/>
      <c r="DE98" s="38"/>
      <c r="DF98" s="38"/>
      <c r="DG98" s="38"/>
      <c r="DH98" s="38"/>
      <c r="DI98" s="38"/>
      <c r="DJ98" s="38"/>
      <c r="DK98" s="65"/>
      <c r="DL98" s="65"/>
      <c r="DM98" s="18"/>
    </row>
    <row r="99" spans="1:117">
      <c r="A99" s="17" t="s">
        <v>755</v>
      </c>
      <c r="B99" s="37">
        <v>1529199</v>
      </c>
      <c r="C99" s="38">
        <v>1561931</v>
      </c>
      <c r="D99" s="38">
        <v>1586456</v>
      </c>
      <c r="E99" s="48">
        <f>F99</f>
        <v>1519719</v>
      </c>
      <c r="F99" s="133">
        <v>1519719</v>
      </c>
      <c r="G99" s="37">
        <v>1655737</v>
      </c>
      <c r="H99" s="38">
        <v>1691828</v>
      </c>
      <c r="I99" s="38">
        <v>1608153</v>
      </c>
      <c r="J99" s="48">
        <f>K99</f>
        <v>1581138</v>
      </c>
      <c r="K99" s="133">
        <v>1581138</v>
      </c>
      <c r="L99" s="37">
        <v>2718333</v>
      </c>
      <c r="M99" s="38">
        <v>1823874</v>
      </c>
      <c r="N99" s="38">
        <v>1867565</v>
      </c>
      <c r="O99" s="48">
        <f>P99</f>
        <v>1879838</v>
      </c>
      <c r="P99" s="133">
        <v>1879838</v>
      </c>
      <c r="Q99" s="37">
        <v>1914845</v>
      </c>
      <c r="R99" s="38">
        <v>1946041</v>
      </c>
      <c r="S99" s="38">
        <v>1998367</v>
      </c>
      <c r="T99" s="48">
        <f>U99</f>
        <v>2048311</v>
      </c>
      <c r="U99" s="133">
        <v>2048311</v>
      </c>
      <c r="V99" s="37">
        <v>2091337</v>
      </c>
      <c r="W99" s="38">
        <v>2133100</v>
      </c>
      <c r="X99" s="38">
        <v>2174001</v>
      </c>
      <c r="Y99" s="48">
        <f>Z99</f>
        <v>2212850</v>
      </c>
      <c r="Z99" s="133">
        <v>2212850</v>
      </c>
      <c r="AA99" s="37">
        <v>2252123</v>
      </c>
      <c r="AB99" s="38">
        <v>2289760</v>
      </c>
      <c r="AC99" s="38">
        <v>2311810</v>
      </c>
      <c r="AD99" s="48">
        <f>AE99</f>
        <v>2352142</v>
      </c>
      <c r="AE99" s="133">
        <v>2352142</v>
      </c>
      <c r="AF99" s="37">
        <v>2411431</v>
      </c>
      <c r="AG99" s="38">
        <v>2457162</v>
      </c>
      <c r="AH99" s="38">
        <v>2490417</v>
      </c>
      <c r="AI99" s="38">
        <v>2541302</v>
      </c>
      <c r="AJ99" s="133"/>
      <c r="AK99" s="37">
        <v>2597547</v>
      </c>
      <c r="AL99" s="38">
        <v>2637978</v>
      </c>
      <c r="AM99" s="38">
        <v>2690104</v>
      </c>
      <c r="AN99" s="38">
        <v>2733601</v>
      </c>
      <c r="AO99" s="133"/>
      <c r="AP99" s="38">
        <v>2794183</v>
      </c>
      <c r="AQ99" s="38">
        <v>2855863</v>
      </c>
      <c r="AR99" s="38">
        <v>2914496</v>
      </c>
      <c r="AS99" s="38">
        <v>2974651</v>
      </c>
      <c r="AT99" s="133"/>
      <c r="AU99" s="38">
        <v>3039265</v>
      </c>
      <c r="AV99" s="38">
        <v>3105646</v>
      </c>
      <c r="AW99" s="38">
        <v>3173366</v>
      </c>
      <c r="AX99" s="38">
        <v>3238652</v>
      </c>
      <c r="AY99" s="133"/>
      <c r="AZ99" s="38">
        <v>1802704</v>
      </c>
      <c r="BA99" s="38">
        <v>1866627</v>
      </c>
      <c r="BB99" s="38">
        <v>1931713</v>
      </c>
      <c r="BC99" s="38">
        <v>1940210</v>
      </c>
      <c r="BD99" s="133"/>
      <c r="BE99" s="38">
        <v>2017041</v>
      </c>
      <c r="BF99" s="38">
        <v>2099187</v>
      </c>
      <c r="BG99" s="18">
        <v>2178687</v>
      </c>
      <c r="BH99" s="38">
        <v>2156471</v>
      </c>
      <c r="BI99" s="133"/>
      <c r="BJ99" s="38">
        <v>2234807</v>
      </c>
      <c r="BK99" s="38">
        <v>2326984</v>
      </c>
      <c r="BL99" s="38">
        <v>2416476</v>
      </c>
      <c r="BM99" s="38">
        <v>2507094</v>
      </c>
      <c r="BN99" s="133"/>
      <c r="BO99" s="38">
        <v>2600776</v>
      </c>
      <c r="BP99" s="567">
        <v>2694148</v>
      </c>
      <c r="BQ99" s="18">
        <v>2785682</v>
      </c>
      <c r="BR99" s="38">
        <v>2861541</v>
      </c>
      <c r="BS99" s="104">
        <f t="shared" ref="BS99:BS104" si="198">BR99</f>
        <v>2861541</v>
      </c>
      <c r="BT99" s="19"/>
      <c r="BU99" s="18"/>
      <c r="BV99" s="18"/>
      <c r="BW99" s="18"/>
      <c r="BX99" s="133"/>
      <c r="BY99" s="19"/>
      <c r="BZ99" s="18"/>
      <c r="CA99" s="18"/>
      <c r="CB99" s="18"/>
      <c r="CC99" s="133"/>
      <c r="CD99" s="19"/>
      <c r="CE99" s="18"/>
      <c r="CF99" s="18"/>
      <c r="CG99" s="18"/>
      <c r="CH99" s="133"/>
      <c r="CI99" s="19"/>
      <c r="CJ99" s="18"/>
      <c r="CK99" s="18"/>
      <c r="CL99" s="18"/>
      <c r="CM99" s="133"/>
      <c r="CN99" s="19"/>
      <c r="CO99" s="18"/>
      <c r="CP99" s="18"/>
      <c r="CQ99" s="18"/>
      <c r="CR99" s="133"/>
      <c r="CS99" s="19"/>
      <c r="CT99" s="18"/>
      <c r="CU99" s="18"/>
      <c r="CV99" s="18"/>
      <c r="CW99" s="133"/>
      <c r="CX99" s="19"/>
      <c r="CY99" s="18"/>
      <c r="CZ99" s="18"/>
      <c r="DA99" s="18"/>
      <c r="DB99" s="133"/>
      <c r="DC99" s="38"/>
      <c r="DD99" s="38"/>
      <c r="DE99" s="38"/>
      <c r="DF99" s="38"/>
      <c r="DG99" s="38"/>
      <c r="DH99" s="38"/>
      <c r="DI99" s="38"/>
      <c r="DJ99" s="38"/>
      <c r="DK99" s="65"/>
      <c r="DL99" s="65"/>
      <c r="DM99" s="18"/>
    </row>
    <row r="100" spans="1:117" collapsed="1">
      <c r="A100" s="34" t="s">
        <v>717</v>
      </c>
      <c r="B100" s="48">
        <f t="shared" ref="B100:AC100" si="199">SUM(B95:B98)-B99</f>
        <v>3696760</v>
      </c>
      <c r="C100" s="48">
        <f t="shared" si="199"/>
        <v>3723349</v>
      </c>
      <c r="D100" s="48">
        <f t="shared" si="199"/>
        <v>3761280</v>
      </c>
      <c r="E100" s="48">
        <f t="shared" si="199"/>
        <v>3313157</v>
      </c>
      <c r="F100" s="104">
        <f t="shared" si="199"/>
        <v>3313157</v>
      </c>
      <c r="G100" s="48">
        <f t="shared" si="199"/>
        <v>3792047</v>
      </c>
      <c r="H100" s="48">
        <f t="shared" si="199"/>
        <v>3811407</v>
      </c>
      <c r="I100" s="48">
        <f t="shared" si="199"/>
        <v>4199058</v>
      </c>
      <c r="J100" s="48">
        <f t="shared" si="199"/>
        <v>3994227</v>
      </c>
      <c r="K100" s="104">
        <f t="shared" si="199"/>
        <v>3994227</v>
      </c>
      <c r="L100" s="48">
        <f t="shared" si="199"/>
        <v>5929861</v>
      </c>
      <c r="M100" s="48">
        <f t="shared" si="199"/>
        <v>4710504</v>
      </c>
      <c r="N100" s="48">
        <f t="shared" si="199"/>
        <v>4767427</v>
      </c>
      <c r="O100" s="48">
        <f t="shared" si="199"/>
        <v>4844921</v>
      </c>
      <c r="P100" s="104">
        <f t="shared" si="199"/>
        <v>4844921</v>
      </c>
      <c r="Q100" s="48">
        <f t="shared" si="199"/>
        <v>4901596</v>
      </c>
      <c r="R100" s="48">
        <f t="shared" si="199"/>
        <v>5044351</v>
      </c>
      <c r="S100" s="48">
        <f t="shared" si="199"/>
        <v>5247993</v>
      </c>
      <c r="T100" s="48">
        <f t="shared" si="199"/>
        <v>5845181</v>
      </c>
      <c r="U100" s="104">
        <f t="shared" si="199"/>
        <v>5845181</v>
      </c>
      <c r="V100" s="48">
        <f t="shared" si="199"/>
        <v>6206267</v>
      </c>
      <c r="W100" s="48">
        <f t="shared" si="199"/>
        <v>6476581</v>
      </c>
      <c r="X100" s="48">
        <f t="shared" si="199"/>
        <v>6893171</v>
      </c>
      <c r="Y100" s="48">
        <f t="shared" si="199"/>
        <v>7263769</v>
      </c>
      <c r="Z100" s="104">
        <f t="shared" si="199"/>
        <v>7263769</v>
      </c>
      <c r="AA100" s="48">
        <f t="shared" si="199"/>
        <v>7436655</v>
      </c>
      <c r="AB100" s="48">
        <f t="shared" si="199"/>
        <v>7590860</v>
      </c>
      <c r="AC100" s="48">
        <f t="shared" si="199"/>
        <v>7698596</v>
      </c>
      <c r="AD100" s="38">
        <v>7793658</v>
      </c>
      <c r="AE100" s="133">
        <v>7793658</v>
      </c>
      <c r="AF100" s="37">
        <v>7794404</v>
      </c>
      <c r="AG100" s="38">
        <v>7847340</v>
      </c>
      <c r="AH100" s="38">
        <v>7138972</v>
      </c>
      <c r="AI100" s="38">
        <v>7313183</v>
      </c>
      <c r="AJ100" s="104">
        <f>AI100</f>
        <v>7313183</v>
      </c>
      <c r="AK100" s="37">
        <v>7438893</v>
      </c>
      <c r="AL100" s="38">
        <v>7712574</v>
      </c>
      <c r="AM100" s="38">
        <v>8019313</v>
      </c>
      <c r="AN100" s="38">
        <v>8444333</v>
      </c>
      <c r="AO100" s="104">
        <f>AN100</f>
        <v>8444333</v>
      </c>
      <c r="AP100" s="38">
        <v>8701036</v>
      </c>
      <c r="AQ100" s="38">
        <v>9098053</v>
      </c>
      <c r="AR100" s="38">
        <v>9490382</v>
      </c>
      <c r="AS100" s="38">
        <v>10114340</v>
      </c>
      <c r="AT100" s="104">
        <f>AS100</f>
        <v>10114340</v>
      </c>
      <c r="AU100" s="38">
        <v>10521218</v>
      </c>
      <c r="AV100" s="38">
        <v>10979485</v>
      </c>
      <c r="AW100" s="38">
        <v>11770796</v>
      </c>
      <c r="AX100" s="38">
        <v>12297504</v>
      </c>
      <c r="AY100" s="104">
        <f>AX100</f>
        <v>12297504</v>
      </c>
      <c r="AZ100" s="38">
        <v>9510794</v>
      </c>
      <c r="BA100" s="38">
        <v>9870664</v>
      </c>
      <c r="BB100" s="38">
        <v>10242122</v>
      </c>
      <c r="BC100" s="38">
        <v>11662437</v>
      </c>
      <c r="BD100" s="104">
        <f>BC100</f>
        <v>11662437</v>
      </c>
      <c r="BE100" s="38">
        <v>11891321</v>
      </c>
      <c r="BF100" s="38">
        <v>12075850</v>
      </c>
      <c r="BG100" s="38">
        <v>12278593</v>
      </c>
      <c r="BH100" s="38">
        <v>12373989</v>
      </c>
      <c r="BI100" s="104">
        <f>BH100</f>
        <v>12373989</v>
      </c>
      <c r="BJ100" s="48">
        <f t="shared" ref="BJ100:BM100" si="200">+BJ94-BJ99</f>
        <v>12437127</v>
      </c>
      <c r="BK100" s="48">
        <f t="shared" si="200"/>
        <v>12484622</v>
      </c>
      <c r="BL100" s="48">
        <f t="shared" si="200"/>
        <v>12526749</v>
      </c>
      <c r="BM100" s="48">
        <f t="shared" si="200"/>
        <v>12571403</v>
      </c>
      <c r="BN100" s="104">
        <f>BM100</f>
        <v>12571403</v>
      </c>
      <c r="BO100" s="48">
        <f>+BO94-BO99</f>
        <v>12553584</v>
      </c>
      <c r="BP100" s="48">
        <f>+BP94-BP99</f>
        <v>12546992</v>
      </c>
      <c r="BQ100" s="48">
        <f>+BQ94-BQ99</f>
        <v>12578607</v>
      </c>
      <c r="BR100" s="48">
        <f t="shared" ref="BR100" si="201">+BR94-BR99</f>
        <v>12698126</v>
      </c>
      <c r="BS100" s="104">
        <f t="shared" si="198"/>
        <v>12698126</v>
      </c>
      <c r="BT100" s="94">
        <f>BR100-BT191-BT192-BT194-BT195-BT163-BT193</f>
        <v>13159341.189999999</v>
      </c>
      <c r="BU100" s="48">
        <f>BT100-BU191-BU192-BU194-BU195-BU163-BU193</f>
        <v>13619075.189999999</v>
      </c>
      <c r="BV100" s="48">
        <f>BU100-BV191-BV192-BV194-BV195-BV163-BV193</f>
        <v>14077220.189999999</v>
      </c>
      <c r="BW100" s="48">
        <f>BV100-BW191-BW192-BW194-BW195-BW163-BW193</f>
        <v>14533163.0737</v>
      </c>
      <c r="BX100" s="104">
        <f>BW100</f>
        <v>14533163.0737</v>
      </c>
      <c r="BY100" s="94">
        <f>BW100-BY191-BY192-BY194-BY195-BY163-BY193</f>
        <v>14890997.264999999</v>
      </c>
      <c r="BZ100" s="48">
        <f>BY100-BZ191-BZ192-BZ194-BZ195-BZ163-BZ193</f>
        <v>15247261.084999999</v>
      </c>
      <c r="CA100" s="48">
        <f>BZ100-CA191-CA192-CA194-CA195-CA163-CA193</f>
        <v>15601860.774999999</v>
      </c>
      <c r="CB100" s="48">
        <f>CA100-CB191-CB192-CB194-CB195-CB163-CB193</f>
        <v>15954205.743036998</v>
      </c>
      <c r="CC100" s="104">
        <f>CB100</f>
        <v>15954205.743036998</v>
      </c>
      <c r="CD100" s="94">
        <f>CB100-CD191-CD192-CD194-CD195-CD163-CD193</f>
        <v>16108396.425977999</v>
      </c>
      <c r="CE100" s="48">
        <f>CD100-CE191-CE192-CE194-CE195-CE163-CE193</f>
        <v>16260921.118778</v>
      </c>
      <c r="CF100" s="48">
        <f>CE100-CF191-CF192-CF194-CF195-CF163-CF193</f>
        <v>16411701.469478</v>
      </c>
      <c r="CG100" s="48">
        <f>CF100-CG191-CG192-CG194-CG195-CG163-CG193</f>
        <v>16560171.95876787</v>
      </c>
      <c r="CH100" s="104">
        <f>CG100</f>
        <v>16560171.95876787</v>
      </c>
      <c r="CI100" s="94">
        <f>CG100-CI191-CI192-CI194-CI195-CI163-CI193</f>
        <v>16623986.86185134</v>
      </c>
      <c r="CJ100" s="48">
        <f>CI100-CJ191-CJ192-CJ194-CJ195-CJ163-CJ193</f>
        <v>16686033.238746339</v>
      </c>
      <c r="CK100" s="48">
        <f>CJ100-CK191-CK192-CK194-CK195-CK163-CK193</f>
        <v>16746249.605954338</v>
      </c>
      <c r="CL100" s="48">
        <f>CK100-CL191-CL192-CL194-CL195-CL163-CL193</f>
        <v>16804098.268325742</v>
      </c>
      <c r="CM100" s="104">
        <f>CL100</f>
        <v>16804098.268325742</v>
      </c>
      <c r="CN100" s="94">
        <f>CL100-CN191-CN192-CN194-CN195-CN163-CN193</f>
        <v>16864811.353154156</v>
      </c>
      <c r="CO100" s="48">
        <f>CN100-CO191-CO192-CO194-CO195-CO163-CO193</f>
        <v>16923645.942944072</v>
      </c>
      <c r="CP100" s="48">
        <f>CO100-CP191-CP192-CP194-CP195-CP163-CP193</f>
        <v>16980558.998704549</v>
      </c>
      <c r="CQ100" s="48">
        <f>CP100-CQ191-CQ192-CQ194-CQ195-CQ163-CQ193</f>
        <v>17035043.61957562</v>
      </c>
      <c r="CR100" s="104">
        <f>CQ100</f>
        <v>17035043.61957562</v>
      </c>
      <c r="CS100" s="94">
        <f>CQ100-CS191-CS192-CS194-CS195-CS163-CS193</f>
        <v>17092409.836490605</v>
      </c>
      <c r="CT100" s="48">
        <f>CS100-CT191-CT192-CT194-CT195-CT163-CT193</f>
        <v>17147779.6024937</v>
      </c>
      <c r="CU100" s="48">
        <f>CT100-CU191-CU192-CU194-CU195-CU163-CU193</f>
        <v>17201130.022130612</v>
      </c>
      <c r="CV100" s="48">
        <f>CU100-CV191-CV192-CV194-CV195-CV163-CV193</f>
        <v>17251988.194171667</v>
      </c>
      <c r="CW100" s="104">
        <f>CV100</f>
        <v>17251988.194171667</v>
      </c>
      <c r="CX100" s="94">
        <f>CV100-CX191-CX192-CX194-CX195-CX163-CX193</f>
        <v>17305741.93369149</v>
      </c>
      <c r="CY100" s="48">
        <f>CX100-CY191-CY192-CY194-CY195-CY163-CY193</f>
        <v>17357372.68366101</v>
      </c>
      <c r="CZ100" s="48">
        <f>CY100-CZ191-CZ192-CZ194-CZ195-CZ163-CZ193</f>
        <v>17406879.523478385</v>
      </c>
      <c r="DA100" s="48">
        <f>CZ100-DA191-DA192-DA194-DA195-DA163-DA193</f>
        <v>17453827.009934235</v>
      </c>
      <c r="DB100" s="104">
        <f>DA100</f>
        <v>17453827.009934235</v>
      </c>
      <c r="DC100" s="48"/>
      <c r="DD100" s="48"/>
      <c r="DE100" s="48"/>
      <c r="DF100" s="48"/>
      <c r="DG100" s="48"/>
      <c r="DH100" s="48"/>
      <c r="DI100" s="48"/>
      <c r="DJ100" s="48"/>
      <c r="DK100" s="99"/>
      <c r="DL100" s="99"/>
      <c r="DM100" s="29"/>
    </row>
    <row r="101" spans="1:117">
      <c r="A101" s="15" t="s">
        <v>537</v>
      </c>
      <c r="B101" s="37">
        <v>225363</v>
      </c>
      <c r="C101" s="38">
        <v>225363</v>
      </c>
      <c r="D101" s="38">
        <v>225363</v>
      </c>
      <c r="E101" s="48">
        <f>F101</f>
        <v>225188</v>
      </c>
      <c r="F101" s="133">
        <v>225188</v>
      </c>
      <c r="G101" s="37">
        <v>225188</v>
      </c>
      <c r="H101" s="38">
        <v>225188</v>
      </c>
      <c r="I101" s="48">
        <f>397161+323618</f>
        <v>720779</v>
      </c>
      <c r="J101" s="48">
        <f>K101</f>
        <v>683211</v>
      </c>
      <c r="K101" s="133">
        <v>683211</v>
      </c>
      <c r="L101" s="37">
        <v>991264</v>
      </c>
      <c r="M101" s="38">
        <v>1027336</v>
      </c>
      <c r="N101" s="38">
        <v>1025420</v>
      </c>
      <c r="O101" s="48">
        <f>P101</f>
        <v>1051440</v>
      </c>
      <c r="P101" s="133">
        <v>1051440</v>
      </c>
      <c r="Q101" s="37">
        <v>1049523</v>
      </c>
      <c r="R101" s="38">
        <v>1047606</v>
      </c>
      <c r="S101" s="38">
        <v>1045690</v>
      </c>
      <c r="T101" s="48">
        <f>U101</f>
        <v>1043773</v>
      </c>
      <c r="U101" s="133">
        <v>1043773</v>
      </c>
      <c r="V101" s="37">
        <v>1041857</v>
      </c>
      <c r="W101" s="38">
        <v>1042059</v>
      </c>
      <c r="X101" s="38">
        <v>1040142</v>
      </c>
      <c r="Y101" s="48">
        <f>Z101</f>
        <v>1038226</v>
      </c>
      <c r="Z101" s="133">
        <v>1038226</v>
      </c>
      <c r="AA101" s="37">
        <v>1036309</v>
      </c>
      <c r="AB101" s="38">
        <v>1034393</v>
      </c>
      <c r="AC101" s="38">
        <v>1032476</v>
      </c>
      <c r="AD101" s="48">
        <f>AE101</f>
        <v>1030560</v>
      </c>
      <c r="AE101" s="133">
        <v>1030560</v>
      </c>
      <c r="AF101" s="37">
        <v>1028643</v>
      </c>
      <c r="AG101" s="38">
        <v>1026726</v>
      </c>
      <c r="AH101" s="38">
        <v>1024810</v>
      </c>
      <c r="AI101" s="38">
        <v>1022894</v>
      </c>
      <c r="AJ101" s="104">
        <f>AI101</f>
        <v>1022894</v>
      </c>
      <c r="AK101" s="37">
        <v>1020977</v>
      </c>
      <c r="AL101" s="38">
        <v>1020865</v>
      </c>
      <c r="AM101" s="38">
        <v>1016044</v>
      </c>
      <c r="AN101" s="38">
        <v>1014127</v>
      </c>
      <c r="AO101" s="104">
        <f>AN101</f>
        <v>1014127</v>
      </c>
      <c r="AP101" s="38">
        <v>1001956</v>
      </c>
      <c r="AQ101" s="38">
        <v>1000039</v>
      </c>
      <c r="AR101" s="38">
        <v>998122</v>
      </c>
      <c r="AS101" s="38">
        <v>996206</v>
      </c>
      <c r="AT101" s="104">
        <f>AS101</f>
        <v>996206</v>
      </c>
      <c r="AU101" s="38">
        <v>994289</v>
      </c>
      <c r="AV101" s="38">
        <v>992373</v>
      </c>
      <c r="AW101" s="38">
        <v>990456</v>
      </c>
      <c r="AX101" s="38">
        <v>1182515</v>
      </c>
      <c r="AY101" s="104">
        <f>AX101</f>
        <v>1182515</v>
      </c>
      <c r="AZ101" s="38">
        <v>1021620</v>
      </c>
      <c r="BA101" s="38">
        <v>1018679</v>
      </c>
      <c r="BB101" s="38">
        <v>1017715</v>
      </c>
      <c r="BC101" s="38">
        <v>1014740</v>
      </c>
      <c r="BD101" s="104">
        <f>BC101</f>
        <v>1014740</v>
      </c>
      <c r="BE101" s="38">
        <v>1011765</v>
      </c>
      <c r="BF101" s="38">
        <v>1023209</v>
      </c>
      <c r="BG101" s="38">
        <v>1020233</v>
      </c>
      <c r="BH101" s="38">
        <v>1017258</v>
      </c>
      <c r="BI101" s="104">
        <f>BH101</f>
        <v>1017258</v>
      </c>
      <c r="BJ101" s="38">
        <v>1014284</v>
      </c>
      <c r="BK101" s="38">
        <v>1011309</v>
      </c>
      <c r="BL101" s="38">
        <v>1008334</v>
      </c>
      <c r="BM101" s="38">
        <v>1005359</v>
      </c>
      <c r="BN101" s="104">
        <f>BM101</f>
        <v>1005359</v>
      </c>
      <c r="BO101" s="38">
        <v>1002384</v>
      </c>
      <c r="BP101" s="567">
        <v>999409</v>
      </c>
      <c r="BQ101" s="567">
        <v>1013702</v>
      </c>
      <c r="BR101" s="38">
        <v>993460</v>
      </c>
      <c r="BS101" s="104">
        <f t="shared" si="198"/>
        <v>993460</v>
      </c>
      <c r="BT101" s="94">
        <f t="shared" ref="BT101:BW102" si="202">BS101</f>
        <v>993460</v>
      </c>
      <c r="BU101" s="48">
        <f t="shared" si="202"/>
        <v>993460</v>
      </c>
      <c r="BV101" s="48">
        <f t="shared" si="202"/>
        <v>993460</v>
      </c>
      <c r="BW101" s="48">
        <f t="shared" si="202"/>
        <v>993460</v>
      </c>
      <c r="BX101" s="104">
        <f>BW101</f>
        <v>993460</v>
      </c>
      <c r="BY101" s="94">
        <f t="shared" ref="BY101:CB102" si="203">BX101</f>
        <v>993460</v>
      </c>
      <c r="BZ101" s="48">
        <f t="shared" si="203"/>
        <v>993460</v>
      </c>
      <c r="CA101" s="48">
        <f t="shared" si="203"/>
        <v>993460</v>
      </c>
      <c r="CB101" s="48">
        <f t="shared" si="203"/>
        <v>993460</v>
      </c>
      <c r="CC101" s="104">
        <f>CB101</f>
        <v>993460</v>
      </c>
      <c r="CD101" s="94">
        <f t="shared" ref="CD101:CG102" si="204">CC101</f>
        <v>993460</v>
      </c>
      <c r="CE101" s="48">
        <f t="shared" si="204"/>
        <v>993460</v>
      </c>
      <c r="CF101" s="48">
        <f t="shared" si="204"/>
        <v>993460</v>
      </c>
      <c r="CG101" s="48">
        <f t="shared" si="204"/>
        <v>993460</v>
      </c>
      <c r="CH101" s="104">
        <f>CG101</f>
        <v>993460</v>
      </c>
      <c r="CI101" s="94">
        <f t="shared" ref="CI101:CL102" si="205">CH101</f>
        <v>993460</v>
      </c>
      <c r="CJ101" s="48">
        <f t="shared" si="205"/>
        <v>993460</v>
      </c>
      <c r="CK101" s="48">
        <f t="shared" si="205"/>
        <v>993460</v>
      </c>
      <c r="CL101" s="48">
        <f t="shared" si="205"/>
        <v>993460</v>
      </c>
      <c r="CM101" s="104">
        <f>CL101</f>
        <v>993460</v>
      </c>
      <c r="CN101" s="94">
        <f t="shared" ref="CN101:CQ102" si="206">CM101</f>
        <v>993460</v>
      </c>
      <c r="CO101" s="48">
        <f t="shared" si="206"/>
        <v>993460</v>
      </c>
      <c r="CP101" s="48">
        <f t="shared" si="206"/>
        <v>993460</v>
      </c>
      <c r="CQ101" s="48">
        <f t="shared" si="206"/>
        <v>993460</v>
      </c>
      <c r="CR101" s="104">
        <f>CQ101</f>
        <v>993460</v>
      </c>
      <c r="CS101" s="94">
        <f t="shared" ref="CS101:CV102" si="207">CR101</f>
        <v>993460</v>
      </c>
      <c r="CT101" s="48">
        <f t="shared" si="207"/>
        <v>993460</v>
      </c>
      <c r="CU101" s="48">
        <f t="shared" si="207"/>
        <v>993460</v>
      </c>
      <c r="CV101" s="48">
        <f t="shared" si="207"/>
        <v>993460</v>
      </c>
      <c r="CW101" s="104">
        <f>CV101</f>
        <v>993460</v>
      </c>
      <c r="CX101" s="94">
        <f t="shared" ref="CX101:DA102" si="208">CW101</f>
        <v>993460</v>
      </c>
      <c r="CY101" s="48">
        <f t="shared" si="208"/>
        <v>993460</v>
      </c>
      <c r="CZ101" s="48">
        <f t="shared" si="208"/>
        <v>993460</v>
      </c>
      <c r="DA101" s="48">
        <f t="shared" si="208"/>
        <v>993460</v>
      </c>
      <c r="DB101" s="104">
        <f>DA101</f>
        <v>993460</v>
      </c>
      <c r="DC101" s="48"/>
      <c r="DD101" s="48"/>
      <c r="DE101" s="48"/>
      <c r="DF101" s="48"/>
      <c r="DG101" s="48"/>
      <c r="DH101" s="48"/>
      <c r="DI101" s="48"/>
      <c r="DJ101" s="48"/>
      <c r="DK101" s="99"/>
      <c r="DL101" s="99"/>
      <c r="DM101" s="18"/>
    </row>
    <row r="102" spans="1:117">
      <c r="A102" s="15" t="s">
        <v>536</v>
      </c>
      <c r="B102" s="37">
        <v>123717</v>
      </c>
      <c r="C102" s="38">
        <v>117906</v>
      </c>
      <c r="D102" s="38">
        <v>83103</v>
      </c>
      <c r="E102" s="48">
        <f>F102</f>
        <v>71310</v>
      </c>
      <c r="F102" s="133">
        <v>71310</v>
      </c>
      <c r="G102" s="37">
        <v>69321</v>
      </c>
      <c r="H102" s="38">
        <v>58877</v>
      </c>
      <c r="I102" s="38">
        <v>195941</v>
      </c>
      <c r="J102" s="48">
        <f>K102</f>
        <v>55713</v>
      </c>
      <c r="K102" s="133">
        <v>55713</v>
      </c>
      <c r="L102" s="37">
        <v>113415</v>
      </c>
      <c r="M102" s="38">
        <v>22869</v>
      </c>
      <c r="N102" s="38">
        <v>111122</v>
      </c>
      <c r="O102" s="48">
        <f>P102</f>
        <v>91133</v>
      </c>
      <c r="P102" s="133">
        <v>91133</v>
      </c>
      <c r="Q102" s="37">
        <v>44715</v>
      </c>
      <c r="R102" s="38">
        <v>35550</v>
      </c>
      <c r="S102" s="38">
        <v>75284</v>
      </c>
      <c r="T102" s="48">
        <f>U102</f>
        <v>3978</v>
      </c>
      <c r="U102" s="133">
        <v>3978</v>
      </c>
      <c r="V102" s="37">
        <v>7180</v>
      </c>
      <c r="W102" s="38">
        <v>35194</v>
      </c>
      <c r="X102" s="38">
        <v>45769</v>
      </c>
      <c r="Y102" s="48">
        <f>Z102</f>
        <v>45900</v>
      </c>
      <c r="Z102" s="133">
        <v>45900</v>
      </c>
      <c r="AA102" s="37">
        <v>60550</v>
      </c>
      <c r="AB102" s="38">
        <v>47163</v>
      </c>
      <c r="AC102" s="38">
        <v>32191</v>
      </c>
      <c r="AD102" s="48">
        <f>AE102</f>
        <v>23125</v>
      </c>
      <c r="AE102" s="133">
        <v>23125</v>
      </c>
      <c r="AF102" s="37">
        <v>22547</v>
      </c>
      <c r="AG102" s="38">
        <v>19686</v>
      </c>
      <c r="AH102" s="38">
        <v>9956</v>
      </c>
      <c r="AI102" s="38">
        <v>1921</v>
      </c>
      <c r="AJ102" s="104">
        <f>AI102</f>
        <v>1921</v>
      </c>
      <c r="AK102" s="37">
        <v>1715</v>
      </c>
      <c r="AL102" s="38">
        <v>7528</v>
      </c>
      <c r="AM102" s="38">
        <v>24232</v>
      </c>
      <c r="AN102" s="38">
        <v>0</v>
      </c>
      <c r="AO102" s="104">
        <f>AN102</f>
        <v>0</v>
      </c>
      <c r="AP102" s="38">
        <v>0</v>
      </c>
      <c r="AQ102" s="38">
        <v>0</v>
      </c>
      <c r="AR102" s="38">
        <v>0</v>
      </c>
      <c r="AS102" s="38">
        <v>0</v>
      </c>
      <c r="AT102" s="104">
        <f>AS102</f>
        <v>0</v>
      </c>
      <c r="AU102" s="38">
        <v>0</v>
      </c>
      <c r="AV102" s="38">
        <v>0</v>
      </c>
      <c r="AW102" s="38">
        <v>0</v>
      </c>
      <c r="AX102" s="38">
        <v>0</v>
      </c>
      <c r="AY102" s="104">
        <f>AX102</f>
        <v>0</v>
      </c>
      <c r="AZ102" s="38">
        <v>0</v>
      </c>
      <c r="BA102" s="38">
        <v>0</v>
      </c>
      <c r="BB102" s="38">
        <v>0</v>
      </c>
      <c r="BC102" s="38">
        <v>0</v>
      </c>
      <c r="BD102" s="104">
        <f>BC102</f>
        <v>0</v>
      </c>
      <c r="BE102" s="38">
        <v>0</v>
      </c>
      <c r="BF102" s="48">
        <v>0</v>
      </c>
      <c r="BG102" s="48">
        <v>0</v>
      </c>
      <c r="BH102" s="38">
        <v>0</v>
      </c>
      <c r="BI102" s="104">
        <f>BH102</f>
        <v>0</v>
      </c>
      <c r="BJ102" s="38">
        <v>0</v>
      </c>
      <c r="BK102" s="38">
        <v>0</v>
      </c>
      <c r="BL102" s="38">
        <v>0</v>
      </c>
      <c r="BM102" s="38">
        <v>0</v>
      </c>
      <c r="BN102" s="104">
        <f>BM102</f>
        <v>0</v>
      </c>
      <c r="BO102" s="38">
        <v>0</v>
      </c>
      <c r="BP102" s="567">
        <v>0</v>
      </c>
      <c r="BQ102" s="48">
        <f t="shared" ref="BQ102" si="209">BP102</f>
        <v>0</v>
      </c>
      <c r="BR102" s="38">
        <v>0</v>
      </c>
      <c r="BS102" s="104">
        <f t="shared" si="198"/>
        <v>0</v>
      </c>
      <c r="BT102" s="94">
        <f t="shared" si="202"/>
        <v>0</v>
      </c>
      <c r="BU102" s="48">
        <f t="shared" si="202"/>
        <v>0</v>
      </c>
      <c r="BV102" s="48">
        <f t="shared" si="202"/>
        <v>0</v>
      </c>
      <c r="BW102" s="48">
        <f t="shared" si="202"/>
        <v>0</v>
      </c>
      <c r="BX102" s="104">
        <f>BW102</f>
        <v>0</v>
      </c>
      <c r="BY102" s="94">
        <f t="shared" si="203"/>
        <v>0</v>
      </c>
      <c r="BZ102" s="48">
        <f t="shared" si="203"/>
        <v>0</v>
      </c>
      <c r="CA102" s="48">
        <f t="shared" si="203"/>
        <v>0</v>
      </c>
      <c r="CB102" s="48">
        <f t="shared" si="203"/>
        <v>0</v>
      </c>
      <c r="CC102" s="104">
        <f>CB102</f>
        <v>0</v>
      </c>
      <c r="CD102" s="94">
        <f t="shared" si="204"/>
        <v>0</v>
      </c>
      <c r="CE102" s="48">
        <f t="shared" si="204"/>
        <v>0</v>
      </c>
      <c r="CF102" s="48">
        <f t="shared" si="204"/>
        <v>0</v>
      </c>
      <c r="CG102" s="48">
        <f t="shared" si="204"/>
        <v>0</v>
      </c>
      <c r="CH102" s="104">
        <f>CG102</f>
        <v>0</v>
      </c>
      <c r="CI102" s="94">
        <f t="shared" si="205"/>
        <v>0</v>
      </c>
      <c r="CJ102" s="48">
        <f t="shared" si="205"/>
        <v>0</v>
      </c>
      <c r="CK102" s="48">
        <f t="shared" si="205"/>
        <v>0</v>
      </c>
      <c r="CL102" s="48">
        <f t="shared" si="205"/>
        <v>0</v>
      </c>
      <c r="CM102" s="104">
        <f>CL102</f>
        <v>0</v>
      </c>
      <c r="CN102" s="94">
        <f t="shared" si="206"/>
        <v>0</v>
      </c>
      <c r="CO102" s="48">
        <f t="shared" si="206"/>
        <v>0</v>
      </c>
      <c r="CP102" s="48">
        <f t="shared" si="206"/>
        <v>0</v>
      </c>
      <c r="CQ102" s="48">
        <f t="shared" si="206"/>
        <v>0</v>
      </c>
      <c r="CR102" s="104">
        <f>CQ102</f>
        <v>0</v>
      </c>
      <c r="CS102" s="94">
        <f t="shared" si="207"/>
        <v>0</v>
      </c>
      <c r="CT102" s="48">
        <f t="shared" si="207"/>
        <v>0</v>
      </c>
      <c r="CU102" s="48">
        <f t="shared" si="207"/>
        <v>0</v>
      </c>
      <c r="CV102" s="48">
        <f t="shared" si="207"/>
        <v>0</v>
      </c>
      <c r="CW102" s="104">
        <f>CV102</f>
        <v>0</v>
      </c>
      <c r="CX102" s="94">
        <f t="shared" si="208"/>
        <v>0</v>
      </c>
      <c r="CY102" s="48">
        <f t="shared" si="208"/>
        <v>0</v>
      </c>
      <c r="CZ102" s="48">
        <f t="shared" si="208"/>
        <v>0</v>
      </c>
      <c r="DA102" s="48">
        <f t="shared" si="208"/>
        <v>0</v>
      </c>
      <c r="DB102" s="104">
        <f>DA102</f>
        <v>0</v>
      </c>
      <c r="DC102" s="48"/>
      <c r="DD102" s="48"/>
      <c r="DE102" s="48"/>
      <c r="DF102" s="48"/>
      <c r="DG102" s="48"/>
      <c r="DH102" s="48"/>
      <c r="DI102" s="48"/>
      <c r="DJ102" s="48"/>
      <c r="DK102" s="99"/>
      <c r="DL102" s="99"/>
      <c r="DM102" s="30"/>
    </row>
    <row r="103" spans="1:117">
      <c r="A103" s="159" t="s">
        <v>857</v>
      </c>
      <c r="B103" s="180">
        <v>0</v>
      </c>
      <c r="C103" s="65">
        <v>0</v>
      </c>
      <c r="D103" s="65">
        <v>0</v>
      </c>
      <c r="E103" s="99">
        <f>F103</f>
        <v>0</v>
      </c>
      <c r="F103" s="172">
        <v>0</v>
      </c>
      <c r="G103" s="180">
        <v>0</v>
      </c>
      <c r="H103" s="65">
        <v>0</v>
      </c>
      <c r="I103" s="65">
        <v>0</v>
      </c>
      <c r="J103" s="99">
        <f>K103</f>
        <v>245009</v>
      </c>
      <c r="K103" s="172">
        <v>245009</v>
      </c>
      <c r="L103" s="180">
        <v>0</v>
      </c>
      <c r="M103" s="65">
        <v>0</v>
      </c>
      <c r="N103" s="65">
        <v>755772</v>
      </c>
      <c r="O103" s="99">
        <f>P103</f>
        <v>748879</v>
      </c>
      <c r="P103" s="172">
        <v>748879</v>
      </c>
      <c r="Q103" s="180">
        <v>746383</v>
      </c>
      <c r="R103" s="65">
        <v>741851</v>
      </c>
      <c r="S103" s="65">
        <v>741310</v>
      </c>
      <c r="T103" s="99">
        <f>U103</f>
        <v>756260</v>
      </c>
      <c r="U103" s="172">
        <v>756260</v>
      </c>
      <c r="V103" s="180">
        <v>754304</v>
      </c>
      <c r="W103" s="65">
        <v>752952</v>
      </c>
      <c r="X103" s="65">
        <v>756449</v>
      </c>
      <c r="Y103" s="99">
        <f>Z103</f>
        <v>755492</v>
      </c>
      <c r="Z103" s="172">
        <v>755492</v>
      </c>
      <c r="AA103" s="180">
        <v>747990</v>
      </c>
      <c r="AB103" s="65">
        <v>735394</v>
      </c>
      <c r="AC103" s="65">
        <v>774347</v>
      </c>
      <c r="AD103" s="99">
        <f>AE103</f>
        <v>765163</v>
      </c>
      <c r="AE103" s="172">
        <v>765163</v>
      </c>
      <c r="AF103" s="65">
        <v>762435</v>
      </c>
      <c r="AG103" s="65">
        <v>757232</v>
      </c>
      <c r="AH103" s="65">
        <v>1194087</v>
      </c>
      <c r="AI103" s="65">
        <v>1188124</v>
      </c>
      <c r="AJ103" s="121">
        <f>AI103</f>
        <v>1188124</v>
      </c>
      <c r="AK103" s="65">
        <v>1186588</v>
      </c>
      <c r="AL103" s="65">
        <v>1177219</v>
      </c>
      <c r="AM103" s="65">
        <v>1224397</v>
      </c>
      <c r="AN103" s="65">
        <v>1223398</v>
      </c>
      <c r="AO103" s="121">
        <f>AN103</f>
        <v>1223398</v>
      </c>
      <c r="AP103" s="65">
        <v>1219635</v>
      </c>
      <c r="AQ103" s="65">
        <v>1210268</v>
      </c>
      <c r="AR103" s="65">
        <v>1218282</v>
      </c>
      <c r="AS103" s="65">
        <v>1221405</v>
      </c>
      <c r="AT103" s="121">
        <f>AS103</f>
        <v>1221405</v>
      </c>
      <c r="AU103" s="65">
        <v>1220129</v>
      </c>
      <c r="AV103" s="65">
        <v>1208787</v>
      </c>
      <c r="AW103" s="65">
        <v>1201873</v>
      </c>
      <c r="AX103" s="65">
        <v>1229838</v>
      </c>
      <c r="AY103" s="121">
        <f>AX103</f>
        <v>1229838</v>
      </c>
      <c r="AZ103" s="65">
        <v>1229054</v>
      </c>
      <c r="BA103" s="65">
        <v>1212408</v>
      </c>
      <c r="BB103" s="65">
        <v>1128509</v>
      </c>
      <c r="BC103" s="65">
        <v>1132653</v>
      </c>
      <c r="BD103" s="121">
        <f>BC103</f>
        <v>1132653</v>
      </c>
      <c r="BE103" s="65">
        <v>1124204</v>
      </c>
      <c r="BF103" s="65">
        <v>1146407</v>
      </c>
      <c r="BG103" s="587">
        <v>1137059</v>
      </c>
      <c r="BH103" s="65">
        <v>948221</v>
      </c>
      <c r="BI103" s="121">
        <f>BH103</f>
        <v>948221</v>
      </c>
      <c r="BJ103" s="65">
        <v>929209</v>
      </c>
      <c r="BK103" s="65">
        <v>913813</v>
      </c>
      <c r="BL103" s="65">
        <v>943390</v>
      </c>
      <c r="BM103" s="65">
        <v>958807</v>
      </c>
      <c r="BN103" s="121">
        <f>BM103</f>
        <v>958807</v>
      </c>
      <c r="BO103" s="65">
        <v>956388</v>
      </c>
      <c r="BP103" s="567">
        <v>944562</v>
      </c>
      <c r="BQ103" s="567">
        <v>996435</v>
      </c>
      <c r="BR103" s="65">
        <v>1003156</v>
      </c>
      <c r="BS103" s="121">
        <f t="shared" si="198"/>
        <v>1003156</v>
      </c>
      <c r="BT103" s="99">
        <f>BS103-BT168-BT169-BT190</f>
        <v>993857.75</v>
      </c>
      <c r="BU103" s="99">
        <f>BT103-BU168-BU169-BU190</f>
        <v>984515.5</v>
      </c>
      <c r="BV103" s="99">
        <f>BU103-BV168-BV169-BV190</f>
        <v>975043.75</v>
      </c>
      <c r="BW103" s="99">
        <f>BV103-BW168-BW169-BW190</f>
        <v>965498.87749999994</v>
      </c>
      <c r="BX103" s="121">
        <f>BW103</f>
        <v>965498.87749999994</v>
      </c>
      <c r="BY103" s="99">
        <f>BX103-BY168-BY169-BY190</f>
        <v>961719.2209999999</v>
      </c>
      <c r="BZ103" s="99">
        <f>BY103-BZ168-BZ169-BZ190</f>
        <v>957926.73649999988</v>
      </c>
      <c r="CA103" s="99">
        <f>BZ103-CA168-CA169-CA190</f>
        <v>954080.75299999979</v>
      </c>
      <c r="CB103" s="99">
        <f>CA103-CB168-CB169-CB190</f>
        <v>950203.57425499975</v>
      </c>
      <c r="CC103" s="121">
        <f>CB103</f>
        <v>950203.57425499975</v>
      </c>
      <c r="CD103" s="99">
        <f>CC103-CD168-CD169-CD190</f>
        <v>946362.21547249972</v>
      </c>
      <c r="CE103" s="99">
        <f>CD103-CE168-CE169-CE190</f>
        <v>942512.94604999968</v>
      </c>
      <c r="CF103" s="99">
        <f>CE103-CF168-CF169-CF190</f>
        <v>938608.43413249974</v>
      </c>
      <c r="CG103" s="99">
        <f>CF103-CG168-CG169-CG190</f>
        <v>934670.72599377471</v>
      </c>
      <c r="CH103" s="121">
        <f>CG103</f>
        <v>934670.72599377471</v>
      </c>
      <c r="CI103" s="99">
        <f>CH103-CI168-CI169-CI190</f>
        <v>930810.16041736212</v>
      </c>
      <c r="CJ103" s="99">
        <f>CI103-CJ168-CJ169-CJ190</f>
        <v>926941.64464774961</v>
      </c>
      <c r="CK103" s="99">
        <f>CJ103-CK168-CK169-CK190</f>
        <v>923017.61017066205</v>
      </c>
      <c r="CL103" s="99">
        <f>CK103-CL168-CL169-CL190</f>
        <v>919060.21349124343</v>
      </c>
      <c r="CM103" s="121">
        <f>CL103</f>
        <v>919060.21349124343</v>
      </c>
      <c r="CN103" s="99">
        <f>CM103-CN168-CN169-CN190</f>
        <v>915180.34508694883</v>
      </c>
      <c r="CO103" s="99">
        <f>CN103-CO168-CO169-CO190</f>
        <v>911292.48673848831</v>
      </c>
      <c r="CP103" s="99">
        <f>CO103-CP168-CP169-CP190</f>
        <v>907348.8320890154</v>
      </c>
      <c r="CQ103" s="99">
        <f>CP103-CQ168-CQ169-CQ190</f>
        <v>903371.64842619968</v>
      </c>
      <c r="CR103" s="121">
        <f>CQ103</f>
        <v>903371.64842619968</v>
      </c>
      <c r="CS103" s="99">
        <f>CR103-CS168-CS169-CS190</f>
        <v>899472.38067988364</v>
      </c>
      <c r="CT103" s="99">
        <f>CS103-CT168-CT169-CT190</f>
        <v>895565.08303968073</v>
      </c>
      <c r="CU103" s="99">
        <f>CT103-CU168-CU169-CU190</f>
        <v>891601.71011696034</v>
      </c>
      <c r="CV103" s="99">
        <f>CU103-CV168-CV169-CV190</f>
        <v>887604.64053583052</v>
      </c>
      <c r="CW103" s="121">
        <f>CV103</f>
        <v>887604.64053583052</v>
      </c>
      <c r="CX103" s="99">
        <f>CW103-CX168-CX169-CX190</f>
        <v>883685.87645078287</v>
      </c>
      <c r="CY103" s="99">
        <f>CX103-CY168-CY169-CY190</f>
        <v>879759.04232237895</v>
      </c>
      <c r="CZ103" s="99">
        <f>CY103-CZ168-CZ169-CZ190</f>
        <v>875775.85253504501</v>
      </c>
      <c r="DA103" s="99">
        <f>CZ103-DA168-DA169-DA190</f>
        <v>871758.79760600964</v>
      </c>
      <c r="DB103" s="121">
        <f>DA103</f>
        <v>871758.79760600964</v>
      </c>
      <c r="DC103" s="99"/>
      <c r="DD103" s="99"/>
      <c r="DE103" s="99"/>
      <c r="DF103" s="99"/>
      <c r="DG103" s="99"/>
      <c r="DH103" s="99"/>
      <c r="DI103" s="99"/>
      <c r="DJ103" s="99"/>
      <c r="DK103" s="99"/>
      <c r="DL103" s="99"/>
      <c r="DM103" s="64"/>
    </row>
    <row r="104" spans="1:117">
      <c r="A104" s="34" t="s">
        <v>124</v>
      </c>
      <c r="B104" s="94">
        <f>121437+78005+208666</f>
        <v>408108</v>
      </c>
      <c r="C104" s="48">
        <f>203887+123965+86668</f>
        <v>414520</v>
      </c>
      <c r="D104" s="48">
        <f>126974+83459+201576</f>
        <v>412009</v>
      </c>
      <c r="E104" s="48">
        <f>F104</f>
        <v>589805</v>
      </c>
      <c r="F104" s="133">
        <v>589805</v>
      </c>
      <c r="G104" s="94">
        <f>125079+258054+198984</f>
        <v>582117</v>
      </c>
      <c r="H104" s="48">
        <f>122500+266311+191808</f>
        <v>580619</v>
      </c>
      <c r="I104" s="48">
        <f>119929+391939+187455</f>
        <v>699323</v>
      </c>
      <c r="J104" s="48">
        <f>K104</f>
        <v>471289</v>
      </c>
      <c r="K104" s="133">
        <v>471289</v>
      </c>
      <c r="L104" s="37">
        <v>822695</v>
      </c>
      <c r="M104" s="38">
        <v>1127460</v>
      </c>
      <c r="N104" s="38">
        <v>388982</v>
      </c>
      <c r="O104" s="48">
        <f>P104</f>
        <v>529748</v>
      </c>
      <c r="P104" s="133">
        <v>529748</v>
      </c>
      <c r="Q104" s="37">
        <v>526346</v>
      </c>
      <c r="R104" s="38">
        <v>528003</v>
      </c>
      <c r="S104" s="38">
        <v>533851</v>
      </c>
      <c r="T104" s="48">
        <f>U104</f>
        <v>461367</v>
      </c>
      <c r="U104" s="133">
        <v>461367</v>
      </c>
      <c r="V104" s="37">
        <v>487562</v>
      </c>
      <c r="W104" s="38">
        <v>593759</v>
      </c>
      <c r="X104" s="38">
        <v>465882</v>
      </c>
      <c r="Y104" s="48">
        <f>Z104</f>
        <v>645073</v>
      </c>
      <c r="Z104" s="133">
        <v>645073</v>
      </c>
      <c r="AA104" s="37">
        <v>619731</v>
      </c>
      <c r="AB104" s="38">
        <v>631998</v>
      </c>
      <c r="AC104" s="38">
        <v>634898</v>
      </c>
      <c r="AD104" s="48">
        <f>AE104</f>
        <v>626713</v>
      </c>
      <c r="AE104" s="133">
        <v>626713</v>
      </c>
      <c r="AF104" s="65">
        <v>612435</v>
      </c>
      <c r="AG104" s="38">
        <v>590672</v>
      </c>
      <c r="AH104" s="38">
        <v>573152</v>
      </c>
      <c r="AI104" s="38">
        <v>594008</v>
      </c>
      <c r="AJ104" s="104">
        <f>AI104</f>
        <v>594008</v>
      </c>
      <c r="AK104" s="65">
        <v>595649</v>
      </c>
      <c r="AL104" s="65">
        <v>588886</v>
      </c>
      <c r="AM104" s="38">
        <v>575095</v>
      </c>
      <c r="AN104" s="38">
        <v>695965</v>
      </c>
      <c r="AO104" s="104">
        <f>AN104</f>
        <v>695965</v>
      </c>
      <c r="AP104" s="38">
        <v>720174</v>
      </c>
      <c r="AQ104" s="38">
        <v>701512</v>
      </c>
      <c r="AR104" s="38">
        <v>701491</v>
      </c>
      <c r="AS104" s="38">
        <v>758664</v>
      </c>
      <c r="AT104" s="104">
        <f>AS104</f>
        <v>758664</v>
      </c>
      <c r="AU104" s="38">
        <v>760920</v>
      </c>
      <c r="AV104" s="38">
        <v>772040</v>
      </c>
      <c r="AW104" s="38">
        <v>765194</v>
      </c>
      <c r="AX104" s="38">
        <v>626899</v>
      </c>
      <c r="AY104" s="104">
        <f>AX104</f>
        <v>626899</v>
      </c>
      <c r="AZ104" s="38">
        <f>202626+32713</f>
        <v>235339</v>
      </c>
      <c r="BA104" s="38">
        <f>193032+30100</f>
        <v>223132</v>
      </c>
      <c r="BB104" s="38">
        <f>184935+26128</f>
        <v>211063</v>
      </c>
      <c r="BC104" s="38">
        <f>167466</f>
        <v>167466</v>
      </c>
      <c r="BD104" s="104">
        <f>BC104</f>
        <v>167466</v>
      </c>
      <c r="BE104" s="38">
        <f>167724+16110</f>
        <v>183834</v>
      </c>
      <c r="BF104" s="587">
        <f>129700+12218</f>
        <v>141918</v>
      </c>
      <c r="BG104" s="587">
        <f>115716+3907</f>
        <v>119623</v>
      </c>
      <c r="BH104" s="38">
        <f>112598</f>
        <v>112598</v>
      </c>
      <c r="BI104" s="104">
        <f>BH104</f>
        <v>112598</v>
      </c>
      <c r="BJ104" s="38">
        <v>112614</v>
      </c>
      <c r="BK104" s="38">
        <v>118980</v>
      </c>
      <c r="BL104" s="38">
        <v>121529</v>
      </c>
      <c r="BM104" s="38">
        <v>162998</v>
      </c>
      <c r="BN104" s="104">
        <f>BM104</f>
        <v>162998</v>
      </c>
      <c r="BO104" s="38">
        <v>176755</v>
      </c>
      <c r="BP104" s="567">
        <f>563364+170785</f>
        <v>734149</v>
      </c>
      <c r="BQ104" s="567">
        <f>474967+182265</f>
        <v>657232</v>
      </c>
      <c r="BR104" s="38">
        <f>205907+180830</f>
        <v>386737</v>
      </c>
      <c r="BS104" s="104">
        <f t="shared" si="198"/>
        <v>386737</v>
      </c>
      <c r="BT104" s="99">
        <f>BS104-BT164-BT165-BT166-BT172-BT173-BT196-BT197-BT198-BT199-BT200</f>
        <v>387987</v>
      </c>
      <c r="BU104" s="99">
        <f>BT104-BU164-BU165-BU166-BU172-BU173-BU196-BU197-BU198-BU199-BU200</f>
        <v>389237</v>
      </c>
      <c r="BV104" s="99">
        <f>BU104-BV164-BV165-BV166-BV172-BV173-BV196-BV197-BV198-BV199-BV200</f>
        <v>390487</v>
      </c>
      <c r="BW104" s="99">
        <f>BV104-BW164-BW165-BW166-BW172-BW173-BW196-BW197-BW198-BW199-BW200</f>
        <v>391737</v>
      </c>
      <c r="BX104" s="104">
        <f>BW104</f>
        <v>391737</v>
      </c>
      <c r="BY104" s="99">
        <f>BX104-BY164-BY165-BY166-BY172-BY173-BY196-BY197-BY198-BY199-BY200</f>
        <v>392987</v>
      </c>
      <c r="BZ104" s="99">
        <f>BY104-BZ164-BZ165-BZ166-BZ172-BZ173-BZ196-BZ197-BZ198-BZ199-BZ200</f>
        <v>394237</v>
      </c>
      <c r="CA104" s="99">
        <f>BZ104-CA164-CA165-CA166-CA172-CA173-CA196-CA197-CA198-CA199-CA200</f>
        <v>395487</v>
      </c>
      <c r="CB104" s="99">
        <f>CA104-CB164-CB165-CB166-CB172-CB173-CB196-CB197-CB198-CB199-CB200</f>
        <v>396737</v>
      </c>
      <c r="CC104" s="104">
        <f>CB104</f>
        <v>396737</v>
      </c>
      <c r="CD104" s="99">
        <f>CC104-CD164-CD165-CD166-CD172-CD173-CD196-CD197-CD198-CD199-CD200</f>
        <v>397987</v>
      </c>
      <c r="CE104" s="99">
        <f>CD104-CE164-CE165-CE166-CE172-CE173-CE196-CE197-CE198-CE199-CE200</f>
        <v>399237</v>
      </c>
      <c r="CF104" s="99">
        <f>CE104-CF164-CF165-CF166-CF172-CF173-CF196-CF197-CF198-CF199-CF200</f>
        <v>400487</v>
      </c>
      <c r="CG104" s="99">
        <f>CF104-CG164-CG165-CG166-CG172-CG173-CG196-CG197-CG198-CG199-CG200</f>
        <v>401737</v>
      </c>
      <c r="CH104" s="104">
        <f>CG104</f>
        <v>401737</v>
      </c>
      <c r="CI104" s="99">
        <f>CH104-CI164-CI165-CI166-CI172-CI173-CI196-CI197-CI198-CI199-CI200</f>
        <v>402987</v>
      </c>
      <c r="CJ104" s="99">
        <f>CI104-CJ164-CJ165-CJ166-CJ172-CJ173-CJ196-CJ197-CJ198-CJ199-CJ200</f>
        <v>404237</v>
      </c>
      <c r="CK104" s="99">
        <f>CJ104-CK164-CK165-CK166-CK172-CK173-CK196-CK197-CK198-CK199-CK200</f>
        <v>405487</v>
      </c>
      <c r="CL104" s="99">
        <f>CK104-CL164-CL165-CL166-CL172-CL173-CL196-CL197-CL198-CL199-CL200</f>
        <v>406737</v>
      </c>
      <c r="CM104" s="104">
        <f>CL104</f>
        <v>406737</v>
      </c>
      <c r="CN104" s="99">
        <f>CM104-CN164-CN165-CN166-CN172-CN173-CN196-CN197-CN198-CN199-CN200</f>
        <v>407987</v>
      </c>
      <c r="CO104" s="99">
        <f>CN104-CO164-CO165-CO166-CO172-CO173-CO196-CO197-CO198-CO199-CO200</f>
        <v>409237</v>
      </c>
      <c r="CP104" s="99">
        <f>CO104-CP164-CP165-CP166-CP172-CP173-CP196-CP197-CP198-CP199-CP200</f>
        <v>410487</v>
      </c>
      <c r="CQ104" s="99">
        <f>CP104-CQ164-CQ165-CQ166-CQ172-CQ173-CQ196-CQ197-CQ198-CQ199-CQ200</f>
        <v>411737</v>
      </c>
      <c r="CR104" s="104">
        <f>CQ104</f>
        <v>411737</v>
      </c>
      <c r="CS104" s="99">
        <f>CR104-CS164-CS165-CS166-CS172-CS173-CS196-CS197-CS198-CS199-CS200</f>
        <v>412987</v>
      </c>
      <c r="CT104" s="99">
        <f>CS104-CT164-CT165-CT166-CT172-CT173-CT196-CT197-CT198-CT199-CT200</f>
        <v>414237</v>
      </c>
      <c r="CU104" s="99">
        <f>CT104-CU164-CU165-CU166-CU172-CU173-CU196-CU197-CU198-CU199-CU200</f>
        <v>415487</v>
      </c>
      <c r="CV104" s="99">
        <f>CU104-CV164-CV165-CV166-CV172-CV173-CV196-CV197-CV198-CV199-CV200</f>
        <v>416737</v>
      </c>
      <c r="CW104" s="104">
        <f>CV104</f>
        <v>416737</v>
      </c>
      <c r="CX104" s="99">
        <f>CW104-CX164-CX165-CX166-CX172-CX173-CX196-CX197-CX198-CX199-CX200</f>
        <v>417987</v>
      </c>
      <c r="CY104" s="99">
        <f>CX104-CY164-CY165-CY166-CY172-CY173-CY196-CY197-CY198-CY199-CY200</f>
        <v>419237</v>
      </c>
      <c r="CZ104" s="99">
        <f>CY104-CZ164-CZ165-CZ166-CZ172-CZ173-CZ196-CZ197-CZ198-CZ199-CZ200</f>
        <v>420487</v>
      </c>
      <c r="DA104" s="99">
        <f>CZ104-DA164-DA165-DA166-DA172-DA173-DA196-DA197-DA198-DA199-DA200</f>
        <v>421737</v>
      </c>
      <c r="DB104" s="104">
        <f>DA104</f>
        <v>421737</v>
      </c>
      <c r="DC104" s="48"/>
      <c r="DD104" s="48"/>
      <c r="DE104" s="48"/>
      <c r="DF104" s="48"/>
      <c r="DG104" s="48"/>
      <c r="DH104" s="48"/>
      <c r="DI104" s="48"/>
      <c r="DJ104" s="48"/>
      <c r="DK104" s="99"/>
      <c r="DL104" s="99"/>
      <c r="DM104" s="30"/>
    </row>
    <row r="105" spans="1:117">
      <c r="A105" s="28" t="s">
        <v>124</v>
      </c>
      <c r="B105" s="160">
        <f t="shared" ref="B105:Z105" si="210">SUM(B101:B104)</f>
        <v>757188</v>
      </c>
      <c r="C105" s="168">
        <f t="shared" si="210"/>
        <v>757789</v>
      </c>
      <c r="D105" s="168">
        <f t="shared" si="210"/>
        <v>720475</v>
      </c>
      <c r="E105" s="168">
        <f t="shared" si="210"/>
        <v>886303</v>
      </c>
      <c r="F105" s="235">
        <f t="shared" si="210"/>
        <v>886303</v>
      </c>
      <c r="G105" s="160">
        <f t="shared" si="210"/>
        <v>876626</v>
      </c>
      <c r="H105" s="168">
        <f t="shared" si="210"/>
        <v>864684</v>
      </c>
      <c r="I105" s="168">
        <f t="shared" si="210"/>
        <v>1616043</v>
      </c>
      <c r="J105" s="168">
        <f t="shared" si="210"/>
        <v>1455222</v>
      </c>
      <c r="K105" s="235">
        <f t="shared" si="210"/>
        <v>1455222</v>
      </c>
      <c r="L105" s="160">
        <f t="shared" si="210"/>
        <v>1927374</v>
      </c>
      <c r="M105" s="168">
        <f t="shared" si="210"/>
        <v>2177665</v>
      </c>
      <c r="N105" s="168">
        <f t="shared" si="210"/>
        <v>2281296</v>
      </c>
      <c r="O105" s="168">
        <f t="shared" si="210"/>
        <v>2421200</v>
      </c>
      <c r="P105" s="235">
        <f t="shared" si="210"/>
        <v>2421200</v>
      </c>
      <c r="Q105" s="160">
        <f t="shared" si="210"/>
        <v>2366967</v>
      </c>
      <c r="R105" s="168">
        <f t="shared" si="210"/>
        <v>2353010</v>
      </c>
      <c r="S105" s="168">
        <f t="shared" si="210"/>
        <v>2396135</v>
      </c>
      <c r="T105" s="168">
        <f t="shared" si="210"/>
        <v>2265378</v>
      </c>
      <c r="U105" s="235">
        <f t="shared" si="210"/>
        <v>2265378</v>
      </c>
      <c r="V105" s="160">
        <f t="shared" si="210"/>
        <v>2290903</v>
      </c>
      <c r="W105" s="168">
        <f t="shared" si="210"/>
        <v>2423964</v>
      </c>
      <c r="X105" s="168">
        <f t="shared" si="210"/>
        <v>2308242</v>
      </c>
      <c r="Y105" s="168">
        <f t="shared" si="210"/>
        <v>2484691</v>
      </c>
      <c r="Z105" s="235">
        <f t="shared" si="210"/>
        <v>2484691</v>
      </c>
      <c r="AA105" s="160">
        <f t="shared" ref="AA105:AR105" si="211">SUM(AA101:AA104)</f>
        <v>2464580</v>
      </c>
      <c r="AB105" s="168">
        <f t="shared" si="211"/>
        <v>2448948</v>
      </c>
      <c r="AC105" s="168">
        <f t="shared" si="211"/>
        <v>2473912</v>
      </c>
      <c r="AD105" s="168">
        <f t="shared" si="211"/>
        <v>2445561</v>
      </c>
      <c r="AE105" s="235">
        <f t="shared" si="211"/>
        <v>2445561</v>
      </c>
      <c r="AF105" s="160">
        <f t="shared" si="211"/>
        <v>2426060</v>
      </c>
      <c r="AG105" s="168">
        <f t="shared" si="211"/>
        <v>2394316</v>
      </c>
      <c r="AH105" s="168">
        <f t="shared" si="211"/>
        <v>2802005</v>
      </c>
      <c r="AI105" s="168">
        <f t="shared" si="211"/>
        <v>2806947</v>
      </c>
      <c r="AJ105" s="235">
        <f t="shared" si="211"/>
        <v>2806947</v>
      </c>
      <c r="AK105" s="160">
        <f t="shared" si="211"/>
        <v>2804929</v>
      </c>
      <c r="AL105" s="76">
        <f t="shared" si="211"/>
        <v>2794498</v>
      </c>
      <c r="AM105" s="168">
        <f t="shared" si="211"/>
        <v>2839768</v>
      </c>
      <c r="AN105" s="168">
        <f t="shared" si="211"/>
        <v>2933490</v>
      </c>
      <c r="AO105" s="235">
        <f t="shared" si="211"/>
        <v>2933490</v>
      </c>
      <c r="AP105" s="168">
        <f t="shared" si="211"/>
        <v>2941765</v>
      </c>
      <c r="AQ105" s="168">
        <f t="shared" si="211"/>
        <v>2911819</v>
      </c>
      <c r="AR105" s="168">
        <f t="shared" si="211"/>
        <v>2917895</v>
      </c>
      <c r="AS105" s="168">
        <f t="shared" ref="AS105:AZ105" si="212">SUM(AS101:AS104)</f>
        <v>2976275</v>
      </c>
      <c r="AT105" s="235">
        <f t="shared" si="212"/>
        <v>2976275</v>
      </c>
      <c r="AU105" s="168">
        <f t="shared" si="212"/>
        <v>2975338</v>
      </c>
      <c r="AV105" s="168">
        <f t="shared" si="212"/>
        <v>2973200</v>
      </c>
      <c r="AW105" s="168">
        <f t="shared" si="212"/>
        <v>2957523</v>
      </c>
      <c r="AX105" s="168">
        <f t="shared" si="212"/>
        <v>3039252</v>
      </c>
      <c r="AY105" s="235">
        <f t="shared" si="212"/>
        <v>3039252</v>
      </c>
      <c r="AZ105" s="168">
        <f t="shared" si="212"/>
        <v>2486013</v>
      </c>
      <c r="BA105" s="168">
        <f t="shared" ref="BA105:BF105" si="213">SUM(BA101:BA104)</f>
        <v>2454219</v>
      </c>
      <c r="BB105" s="168">
        <f t="shared" si="213"/>
        <v>2357287</v>
      </c>
      <c r="BC105" s="168">
        <f t="shared" si="213"/>
        <v>2314859</v>
      </c>
      <c r="BD105" s="235">
        <f t="shared" si="213"/>
        <v>2314859</v>
      </c>
      <c r="BE105" s="168">
        <f t="shared" si="213"/>
        <v>2319803</v>
      </c>
      <c r="BF105" s="388">
        <f t="shared" si="213"/>
        <v>2311534</v>
      </c>
      <c r="BG105" s="168">
        <f t="shared" ref="BG105:BS105" si="214">SUM(BG101:BG104)</f>
        <v>2276915</v>
      </c>
      <c r="BH105" s="388">
        <f t="shared" si="214"/>
        <v>2078077</v>
      </c>
      <c r="BI105" s="521">
        <f t="shared" si="214"/>
        <v>2078077</v>
      </c>
      <c r="BJ105" s="388">
        <f>SUM(BJ101:BJ104)</f>
        <v>2056107</v>
      </c>
      <c r="BK105" s="388">
        <f>SUM(BK101:BK104)</f>
        <v>2044102</v>
      </c>
      <c r="BL105" s="388">
        <f>SUM(BL101:BL104)</f>
        <v>2073253</v>
      </c>
      <c r="BM105" s="388">
        <f t="shared" si="214"/>
        <v>2127164</v>
      </c>
      <c r="BN105" s="521">
        <f t="shared" si="214"/>
        <v>2127164</v>
      </c>
      <c r="BO105" s="160">
        <f t="shared" si="214"/>
        <v>2135527</v>
      </c>
      <c r="BP105" s="168">
        <f t="shared" si="214"/>
        <v>2678120</v>
      </c>
      <c r="BQ105" s="168">
        <f t="shared" si="214"/>
        <v>2667369</v>
      </c>
      <c r="BR105" s="388">
        <f t="shared" ref="BR105" si="215">SUM(BR101:BR104)</f>
        <v>2383353</v>
      </c>
      <c r="BS105" s="235">
        <f t="shared" si="214"/>
        <v>2383353</v>
      </c>
      <c r="BT105" s="160">
        <f t="shared" ref="BT105:DB105" si="216">SUM(BT101:BT104)</f>
        <v>2375304.75</v>
      </c>
      <c r="BU105" s="168">
        <f t="shared" si="216"/>
        <v>2367212.5</v>
      </c>
      <c r="BV105" s="168">
        <f t="shared" si="216"/>
        <v>2358990.75</v>
      </c>
      <c r="BW105" s="168">
        <f t="shared" si="216"/>
        <v>2350695.8774999999</v>
      </c>
      <c r="BX105" s="235">
        <f t="shared" si="216"/>
        <v>2350695.8774999999</v>
      </c>
      <c r="BY105" s="160">
        <f t="shared" si="216"/>
        <v>2348166.2209999999</v>
      </c>
      <c r="BZ105" s="168">
        <f t="shared" si="216"/>
        <v>2345623.7364999996</v>
      </c>
      <c r="CA105" s="168">
        <f t="shared" si="216"/>
        <v>2343027.7529999996</v>
      </c>
      <c r="CB105" s="168">
        <f t="shared" si="216"/>
        <v>2340400.5742549999</v>
      </c>
      <c r="CC105" s="235">
        <f t="shared" si="216"/>
        <v>2340400.5742549999</v>
      </c>
      <c r="CD105" s="160">
        <f t="shared" si="216"/>
        <v>2337809.2154724998</v>
      </c>
      <c r="CE105" s="168">
        <f t="shared" si="216"/>
        <v>2335209.9460499994</v>
      </c>
      <c r="CF105" s="168">
        <f t="shared" si="216"/>
        <v>2332555.4341324996</v>
      </c>
      <c r="CG105" s="168">
        <f t="shared" si="216"/>
        <v>2329867.7259937748</v>
      </c>
      <c r="CH105" s="235">
        <f t="shared" si="216"/>
        <v>2329867.7259937748</v>
      </c>
      <c r="CI105" s="160">
        <f t="shared" si="216"/>
        <v>2327257.1604173621</v>
      </c>
      <c r="CJ105" s="168">
        <f t="shared" si="216"/>
        <v>2324638.6446477496</v>
      </c>
      <c r="CK105" s="168">
        <f t="shared" si="216"/>
        <v>2321964.6101706619</v>
      </c>
      <c r="CL105" s="168">
        <f t="shared" si="216"/>
        <v>2319257.2134912433</v>
      </c>
      <c r="CM105" s="235">
        <f t="shared" si="216"/>
        <v>2319257.2134912433</v>
      </c>
      <c r="CN105" s="160">
        <f t="shared" si="216"/>
        <v>2316627.3450869489</v>
      </c>
      <c r="CO105" s="168">
        <f t="shared" si="216"/>
        <v>2313989.4867384881</v>
      </c>
      <c r="CP105" s="168">
        <f t="shared" si="216"/>
        <v>2311295.8320890153</v>
      </c>
      <c r="CQ105" s="168">
        <f t="shared" si="216"/>
        <v>2308568.6484261998</v>
      </c>
      <c r="CR105" s="235">
        <f t="shared" si="216"/>
        <v>2308568.6484261998</v>
      </c>
      <c r="CS105" s="160">
        <f t="shared" si="216"/>
        <v>2305919.3806798835</v>
      </c>
      <c r="CT105" s="168">
        <f t="shared" si="216"/>
        <v>2303262.0830396805</v>
      </c>
      <c r="CU105" s="168">
        <f t="shared" si="216"/>
        <v>2300548.7101169601</v>
      </c>
      <c r="CV105" s="168">
        <f t="shared" si="216"/>
        <v>2297801.6405358305</v>
      </c>
      <c r="CW105" s="235">
        <f t="shared" si="216"/>
        <v>2297801.6405358305</v>
      </c>
      <c r="CX105" s="160">
        <f t="shared" si="216"/>
        <v>2295132.8764507826</v>
      </c>
      <c r="CY105" s="168">
        <f t="shared" si="216"/>
        <v>2292456.0423223791</v>
      </c>
      <c r="CZ105" s="168">
        <f t="shared" si="216"/>
        <v>2289722.8525350448</v>
      </c>
      <c r="DA105" s="168">
        <f t="shared" si="216"/>
        <v>2286955.7976060095</v>
      </c>
      <c r="DB105" s="235">
        <f t="shared" si="216"/>
        <v>2286955.7976060095</v>
      </c>
      <c r="DC105" s="168"/>
      <c r="DD105" s="168"/>
      <c r="DE105" s="168"/>
      <c r="DF105" s="168"/>
      <c r="DG105" s="168"/>
      <c r="DH105" s="168"/>
      <c r="DI105" s="168"/>
      <c r="DJ105" s="168"/>
      <c r="DK105" s="406"/>
      <c r="DL105" s="406"/>
      <c r="DM105" s="25"/>
    </row>
    <row r="106" spans="1:117">
      <c r="A106" s="10" t="s">
        <v>279</v>
      </c>
      <c r="B106" s="37">
        <v>0</v>
      </c>
      <c r="C106" s="38">
        <v>0</v>
      </c>
      <c r="D106" s="38">
        <v>0</v>
      </c>
      <c r="E106" s="48">
        <f>F106</f>
        <v>505240</v>
      </c>
      <c r="F106" s="133">
        <v>505240</v>
      </c>
      <c r="G106" s="37">
        <v>0</v>
      </c>
      <c r="H106" s="38">
        <v>0</v>
      </c>
      <c r="I106" s="38">
        <v>64395</v>
      </c>
      <c r="J106" s="48">
        <f>K106</f>
        <v>63911</v>
      </c>
      <c r="K106" s="133">
        <v>63911</v>
      </c>
      <c r="L106" s="37">
        <v>63001</v>
      </c>
      <c r="M106" s="38">
        <v>63608</v>
      </c>
      <c r="N106" s="38">
        <v>62897</v>
      </c>
      <c r="O106" s="48">
        <f>P106</f>
        <v>0</v>
      </c>
      <c r="P106" s="133">
        <v>0</v>
      </c>
      <c r="Q106" s="37">
        <v>0</v>
      </c>
      <c r="R106" s="38">
        <v>0</v>
      </c>
      <c r="S106" s="38">
        <v>0</v>
      </c>
      <c r="T106" s="48">
        <f>U106</f>
        <v>0</v>
      </c>
      <c r="U106" s="133">
        <v>0</v>
      </c>
      <c r="V106" s="37">
        <v>0</v>
      </c>
      <c r="W106" s="38">
        <v>0</v>
      </c>
      <c r="X106" s="38">
        <v>0</v>
      </c>
      <c r="Y106" s="48">
        <f>Z106</f>
        <v>0</v>
      </c>
      <c r="Z106" s="133">
        <v>0</v>
      </c>
      <c r="AA106" s="37">
        <v>0</v>
      </c>
      <c r="AB106" s="38">
        <v>0</v>
      </c>
      <c r="AC106" s="38">
        <v>0</v>
      </c>
      <c r="AD106" s="48">
        <f>AE106</f>
        <v>0</v>
      </c>
      <c r="AE106" s="133">
        <v>0</v>
      </c>
      <c r="AF106" s="37">
        <v>0</v>
      </c>
      <c r="AG106" s="38">
        <v>0</v>
      </c>
      <c r="AH106" s="38">
        <v>0</v>
      </c>
      <c r="AI106" s="38">
        <v>0</v>
      </c>
      <c r="AJ106" s="104">
        <f>AI106</f>
        <v>0</v>
      </c>
      <c r="AK106" s="37">
        <v>0</v>
      </c>
      <c r="AL106" s="38">
        <v>0</v>
      </c>
      <c r="AM106" s="38">
        <v>0</v>
      </c>
      <c r="AN106" s="38">
        <v>0</v>
      </c>
      <c r="AO106" s="104">
        <f>AN106</f>
        <v>0</v>
      </c>
      <c r="AP106" s="38">
        <v>0</v>
      </c>
      <c r="AQ106" s="38">
        <v>0</v>
      </c>
      <c r="AR106" s="38">
        <v>0</v>
      </c>
      <c r="AS106" s="38">
        <v>0</v>
      </c>
      <c r="AT106" s="104">
        <f>AS106</f>
        <v>0</v>
      </c>
      <c r="AU106" s="38">
        <v>0</v>
      </c>
      <c r="AV106" s="38">
        <v>0</v>
      </c>
      <c r="AW106" s="38">
        <v>0</v>
      </c>
      <c r="AX106" s="38">
        <v>0</v>
      </c>
      <c r="AY106" s="104">
        <f>AX106</f>
        <v>0</v>
      </c>
      <c r="AZ106" s="38">
        <v>0</v>
      </c>
      <c r="BA106" s="38">
        <v>0</v>
      </c>
      <c r="BB106" s="38">
        <v>0</v>
      </c>
      <c r="BC106" s="38">
        <f>20020+16717</f>
        <v>36737</v>
      </c>
      <c r="BD106" s="104">
        <f>BC106</f>
        <v>36737</v>
      </c>
      <c r="BE106" s="38">
        <v>0</v>
      </c>
      <c r="BF106" s="48">
        <f>BE106</f>
        <v>0</v>
      </c>
      <c r="BG106" s="48">
        <f>BF106</f>
        <v>0</v>
      </c>
      <c r="BH106" s="38">
        <f>18835+205</f>
        <v>19040</v>
      </c>
      <c r="BI106" s="104">
        <f>BH106</f>
        <v>19040</v>
      </c>
      <c r="BJ106" s="38">
        <f>16894+381</f>
        <v>17275</v>
      </c>
      <c r="BK106" s="38">
        <v>12988</v>
      </c>
      <c r="BL106" s="38">
        <v>12742</v>
      </c>
      <c r="BM106" s="38">
        <f>10500+551</f>
        <v>11051</v>
      </c>
      <c r="BN106" s="104">
        <f>BM106</f>
        <v>11051</v>
      </c>
      <c r="BO106" s="38">
        <v>0</v>
      </c>
      <c r="BP106" s="38">
        <v>0</v>
      </c>
      <c r="BQ106" s="48">
        <f t="shared" ref="BQ106:DB106" si="217">BP106</f>
        <v>0</v>
      </c>
      <c r="BR106" s="38">
        <v>0</v>
      </c>
      <c r="BS106" s="104">
        <f t="shared" si="217"/>
        <v>0</v>
      </c>
      <c r="BT106" s="94">
        <f t="shared" si="217"/>
        <v>0</v>
      </c>
      <c r="BU106" s="48">
        <f t="shared" si="217"/>
        <v>0</v>
      </c>
      <c r="BV106" s="48">
        <f t="shared" si="217"/>
        <v>0</v>
      </c>
      <c r="BW106" s="48">
        <f t="shared" si="217"/>
        <v>0</v>
      </c>
      <c r="BX106" s="104">
        <f t="shared" si="217"/>
        <v>0</v>
      </c>
      <c r="BY106" s="94">
        <f t="shared" si="217"/>
        <v>0</v>
      </c>
      <c r="BZ106" s="48">
        <f t="shared" si="217"/>
        <v>0</v>
      </c>
      <c r="CA106" s="48">
        <f t="shared" si="217"/>
        <v>0</v>
      </c>
      <c r="CB106" s="48">
        <f t="shared" si="217"/>
        <v>0</v>
      </c>
      <c r="CC106" s="104">
        <f t="shared" si="217"/>
        <v>0</v>
      </c>
      <c r="CD106" s="94">
        <f t="shared" si="217"/>
        <v>0</v>
      </c>
      <c r="CE106" s="48">
        <f t="shared" si="217"/>
        <v>0</v>
      </c>
      <c r="CF106" s="48">
        <f t="shared" si="217"/>
        <v>0</v>
      </c>
      <c r="CG106" s="48">
        <f t="shared" si="217"/>
        <v>0</v>
      </c>
      <c r="CH106" s="104">
        <f t="shared" si="217"/>
        <v>0</v>
      </c>
      <c r="CI106" s="94">
        <f t="shared" si="217"/>
        <v>0</v>
      </c>
      <c r="CJ106" s="48">
        <f t="shared" si="217"/>
        <v>0</v>
      </c>
      <c r="CK106" s="48">
        <f t="shared" si="217"/>
        <v>0</v>
      </c>
      <c r="CL106" s="48">
        <f t="shared" si="217"/>
        <v>0</v>
      </c>
      <c r="CM106" s="104">
        <f t="shared" si="217"/>
        <v>0</v>
      </c>
      <c r="CN106" s="94">
        <f t="shared" si="217"/>
        <v>0</v>
      </c>
      <c r="CO106" s="48">
        <f t="shared" si="217"/>
        <v>0</v>
      </c>
      <c r="CP106" s="48">
        <f t="shared" si="217"/>
        <v>0</v>
      </c>
      <c r="CQ106" s="48">
        <f t="shared" si="217"/>
        <v>0</v>
      </c>
      <c r="CR106" s="104">
        <f t="shared" si="217"/>
        <v>0</v>
      </c>
      <c r="CS106" s="94">
        <f t="shared" si="217"/>
        <v>0</v>
      </c>
      <c r="CT106" s="48">
        <f t="shared" si="217"/>
        <v>0</v>
      </c>
      <c r="CU106" s="48">
        <f t="shared" si="217"/>
        <v>0</v>
      </c>
      <c r="CV106" s="48">
        <f t="shared" si="217"/>
        <v>0</v>
      </c>
      <c r="CW106" s="104">
        <f t="shared" si="217"/>
        <v>0</v>
      </c>
      <c r="CX106" s="94">
        <f t="shared" si="217"/>
        <v>0</v>
      </c>
      <c r="CY106" s="48">
        <f t="shared" si="217"/>
        <v>0</v>
      </c>
      <c r="CZ106" s="48">
        <f t="shared" si="217"/>
        <v>0</v>
      </c>
      <c r="DA106" s="48">
        <f t="shared" si="217"/>
        <v>0</v>
      </c>
      <c r="DB106" s="104">
        <f t="shared" si="217"/>
        <v>0</v>
      </c>
      <c r="DC106" s="48"/>
      <c r="DD106" s="48"/>
      <c r="DE106" s="48"/>
      <c r="DF106" s="48"/>
      <c r="DG106" s="48"/>
      <c r="DH106" s="48"/>
      <c r="DI106" s="48"/>
      <c r="DJ106" s="48"/>
      <c r="DK106" s="99"/>
      <c r="DL106" s="99"/>
      <c r="DM106" s="18"/>
    </row>
    <row r="107" spans="1:117">
      <c r="A107" s="28" t="s">
        <v>718</v>
      </c>
      <c r="B107" s="160">
        <f t="shared" ref="B107:AG107" si="218">B92+B100+B105+B106</f>
        <v>5957908</v>
      </c>
      <c r="C107" s="168">
        <f t="shared" si="218"/>
        <v>6068855</v>
      </c>
      <c r="D107" s="168">
        <f t="shared" si="218"/>
        <v>6424336</v>
      </c>
      <c r="E107" s="168">
        <f t="shared" si="218"/>
        <v>7199152</v>
      </c>
      <c r="F107" s="235">
        <f t="shared" si="218"/>
        <v>7199152</v>
      </c>
      <c r="G107" s="160">
        <f t="shared" si="218"/>
        <v>6849919</v>
      </c>
      <c r="H107" s="168">
        <f t="shared" si="218"/>
        <v>6696870</v>
      </c>
      <c r="I107" s="168">
        <f t="shared" si="218"/>
        <v>10362455</v>
      </c>
      <c r="J107" s="168">
        <f t="shared" si="218"/>
        <v>9311748</v>
      </c>
      <c r="K107" s="235">
        <f t="shared" si="218"/>
        <v>9311748</v>
      </c>
      <c r="L107" s="160">
        <f t="shared" si="218"/>
        <v>10731432</v>
      </c>
      <c r="M107" s="168">
        <f t="shared" si="218"/>
        <v>10176104</v>
      </c>
      <c r="N107" s="168">
        <f t="shared" si="218"/>
        <v>10188518</v>
      </c>
      <c r="O107" s="168">
        <f t="shared" si="218"/>
        <v>10391082</v>
      </c>
      <c r="P107" s="235">
        <f t="shared" si="218"/>
        <v>10391082</v>
      </c>
      <c r="Q107" s="160">
        <f t="shared" si="218"/>
        <v>10348911</v>
      </c>
      <c r="R107" s="168">
        <f t="shared" si="218"/>
        <v>9988530</v>
      </c>
      <c r="S107" s="168">
        <f t="shared" si="218"/>
        <v>10922384</v>
      </c>
      <c r="T107" s="168">
        <f t="shared" si="218"/>
        <v>11062034</v>
      </c>
      <c r="U107" s="235">
        <f t="shared" si="218"/>
        <v>11062034</v>
      </c>
      <c r="V107" s="160">
        <f t="shared" si="218"/>
        <v>11239834</v>
      </c>
      <c r="W107" s="168">
        <f t="shared" si="218"/>
        <v>12169072</v>
      </c>
      <c r="X107" s="168">
        <f t="shared" si="218"/>
        <v>12222063</v>
      </c>
      <c r="Y107" s="168">
        <f t="shared" si="218"/>
        <v>13126062</v>
      </c>
      <c r="Z107" s="235">
        <f t="shared" si="218"/>
        <v>13126062</v>
      </c>
      <c r="AA107" s="160">
        <f t="shared" si="218"/>
        <v>11939964</v>
      </c>
      <c r="AB107" s="168">
        <f t="shared" si="218"/>
        <v>11833723</v>
      </c>
      <c r="AC107" s="168">
        <f>AC92+AC100+AC105+AC106</f>
        <v>12029470</v>
      </c>
      <c r="AD107" s="168">
        <f>AD92+AD100+AD105+AD106</f>
        <v>12827683</v>
      </c>
      <c r="AE107" s="235">
        <f>AE92+AE100+AE105+AE106</f>
        <v>12827683</v>
      </c>
      <c r="AF107" s="160">
        <f t="shared" si="218"/>
        <v>12329192</v>
      </c>
      <c r="AG107" s="168">
        <f t="shared" si="218"/>
        <v>12119911</v>
      </c>
      <c r="AH107" s="168">
        <f t="shared" ref="AH107:AO107" si="219">AH92+AH100+AH105+AH106</f>
        <v>11929753</v>
      </c>
      <c r="AI107" s="168">
        <f t="shared" si="219"/>
        <v>12499175</v>
      </c>
      <c r="AJ107" s="235">
        <f t="shared" si="219"/>
        <v>12499175</v>
      </c>
      <c r="AK107" s="160">
        <f t="shared" si="219"/>
        <v>13039596</v>
      </c>
      <c r="AL107" s="76">
        <f t="shared" si="219"/>
        <v>13036333</v>
      </c>
      <c r="AM107" s="168">
        <f t="shared" si="219"/>
        <v>13171124</v>
      </c>
      <c r="AN107" s="168">
        <f t="shared" si="219"/>
        <v>13696635</v>
      </c>
      <c r="AO107" s="235">
        <f t="shared" si="219"/>
        <v>13696635</v>
      </c>
      <c r="AP107" s="168">
        <f t="shared" ref="AP107:AW107" si="220">AP92+AP100+AP105+AP106</f>
        <v>14252076</v>
      </c>
      <c r="AQ107" s="168">
        <f t="shared" si="220"/>
        <v>13817191</v>
      </c>
      <c r="AR107" s="168">
        <f t="shared" si="220"/>
        <v>15364307</v>
      </c>
      <c r="AS107" s="168">
        <f t="shared" si="220"/>
        <v>15855275</v>
      </c>
      <c r="AT107" s="235">
        <f t="shared" si="220"/>
        <v>15855275</v>
      </c>
      <c r="AU107" s="168">
        <f t="shared" si="220"/>
        <v>15446219</v>
      </c>
      <c r="AV107" s="168">
        <f t="shared" si="220"/>
        <v>15842274</v>
      </c>
      <c r="AW107" s="168">
        <f t="shared" si="220"/>
        <v>17610343</v>
      </c>
      <c r="AX107" s="168">
        <f t="shared" ref="AX107:BM107" si="221">AX92+AX100+AX105+AX106</f>
        <v>17707558</v>
      </c>
      <c r="AY107" s="235">
        <f t="shared" si="221"/>
        <v>17707558</v>
      </c>
      <c r="AZ107" s="168">
        <f t="shared" si="221"/>
        <v>13653134</v>
      </c>
      <c r="BA107" s="168">
        <f t="shared" si="221"/>
        <v>14384538</v>
      </c>
      <c r="BB107" s="168">
        <f t="shared" si="221"/>
        <v>14312196</v>
      </c>
      <c r="BC107" s="168">
        <f t="shared" si="221"/>
        <v>15304560</v>
      </c>
      <c r="BD107" s="235">
        <f>BD92+BD100+BD105+BD106</f>
        <v>15304560</v>
      </c>
      <c r="BE107" s="168">
        <f>BE92+BE100+BE105+BE106</f>
        <v>15533073</v>
      </c>
      <c r="BF107" s="388">
        <f>BF92+BF100+BF105+BF106</f>
        <v>15651180</v>
      </c>
      <c r="BG107" s="168">
        <f t="shared" si="221"/>
        <v>15508298</v>
      </c>
      <c r="BH107" s="388">
        <f>BH92+BH100+BH105+BH106</f>
        <v>15446111</v>
      </c>
      <c r="BI107" s="521">
        <f>BI92+BI100+BI105+BI106</f>
        <v>15446111</v>
      </c>
      <c r="BJ107" s="388">
        <f>BJ92+BJ100+BJ105+BJ106</f>
        <v>15501149</v>
      </c>
      <c r="BK107" s="388">
        <f>BK92+BK100+BK105+BK106</f>
        <v>15822900</v>
      </c>
      <c r="BL107" s="388">
        <f>BL92+BL100+BL105+BL106</f>
        <v>15982035</v>
      </c>
      <c r="BM107" s="168">
        <f t="shared" si="221"/>
        <v>16138751</v>
      </c>
      <c r="BN107" s="235">
        <f t="shared" ref="BN107:BS107" si="222">BN92+BN100+BN105+BN106</f>
        <v>16138751</v>
      </c>
      <c r="BO107" s="160">
        <f t="shared" si="222"/>
        <v>16067558</v>
      </c>
      <c r="BP107" s="168">
        <f t="shared" si="222"/>
        <v>16672923</v>
      </c>
      <c r="BQ107" s="168">
        <f t="shared" si="222"/>
        <v>16764841</v>
      </c>
      <c r="BR107" s="168">
        <f t="shared" si="222"/>
        <v>16845937</v>
      </c>
      <c r="BS107" s="235">
        <f t="shared" si="222"/>
        <v>16845937</v>
      </c>
      <c r="BT107" s="160">
        <f t="shared" ref="BT107:DB107" si="223">BT92+BT100+BT105+BT106</f>
        <v>18196339.992431335</v>
      </c>
      <c r="BU107" s="168">
        <f t="shared" si="223"/>
        <v>18461692.521879159</v>
      </c>
      <c r="BV107" s="168">
        <f t="shared" si="223"/>
        <v>18709402.125265051</v>
      </c>
      <c r="BW107" s="168">
        <f t="shared" si="223"/>
        <v>18949834.177964643</v>
      </c>
      <c r="BX107" s="235">
        <f t="shared" si="223"/>
        <v>18949834.177964643</v>
      </c>
      <c r="BY107" s="160">
        <f t="shared" si="223"/>
        <v>19287265.657121912</v>
      </c>
      <c r="BZ107" s="168">
        <f t="shared" si="223"/>
        <v>19602605.346557718</v>
      </c>
      <c r="CA107" s="168">
        <f t="shared" si="223"/>
        <v>19893477.623073693</v>
      </c>
      <c r="CB107" s="168">
        <f t="shared" si="223"/>
        <v>20176313.521471381</v>
      </c>
      <c r="CC107" s="235">
        <f t="shared" si="223"/>
        <v>20176313.521471381</v>
      </c>
      <c r="CD107" s="160">
        <f t="shared" si="223"/>
        <v>20339834.155839991</v>
      </c>
      <c r="CE107" s="168">
        <f t="shared" si="223"/>
        <v>20493040.87437297</v>
      </c>
      <c r="CF107" s="168">
        <f t="shared" si="223"/>
        <v>20630342.800693914</v>
      </c>
      <c r="CG107" s="168">
        <f t="shared" si="223"/>
        <v>20798861.843246393</v>
      </c>
      <c r="CH107" s="235">
        <f t="shared" si="223"/>
        <v>20798861.843246393</v>
      </c>
      <c r="CI107" s="160">
        <f t="shared" si="223"/>
        <v>20890744.322042823</v>
      </c>
      <c r="CJ107" s="168">
        <f t="shared" si="223"/>
        <v>20983902.949546956</v>
      </c>
      <c r="CK107" s="168">
        <f t="shared" si="223"/>
        <v>21056681.781717714</v>
      </c>
      <c r="CL107" s="168">
        <f t="shared" si="223"/>
        <v>21178918.353437379</v>
      </c>
      <c r="CM107" s="235">
        <f t="shared" si="223"/>
        <v>21178918.353437379</v>
      </c>
      <c r="CN107" s="160">
        <f t="shared" si="223"/>
        <v>21233557.046557032</v>
      </c>
      <c r="CO107" s="168">
        <f t="shared" si="223"/>
        <v>21293228.097301472</v>
      </c>
      <c r="CP107" s="168">
        <f t="shared" si="223"/>
        <v>21335343.423540082</v>
      </c>
      <c r="CQ107" s="168">
        <f t="shared" si="223"/>
        <v>21443289.229850501</v>
      </c>
      <c r="CR107" s="235">
        <f t="shared" si="223"/>
        <v>21443289.229850501</v>
      </c>
      <c r="CS107" s="160">
        <f t="shared" si="223"/>
        <v>21473313.875816062</v>
      </c>
      <c r="CT107" s="168">
        <f t="shared" si="223"/>
        <v>21508413.421807997</v>
      </c>
      <c r="CU107" s="168">
        <f t="shared" si="223"/>
        <v>21525979.542630013</v>
      </c>
      <c r="CV107" s="168">
        <f t="shared" si="223"/>
        <v>21626000.522794835</v>
      </c>
      <c r="CW107" s="235">
        <f t="shared" si="223"/>
        <v>21626000.522794835</v>
      </c>
      <c r="CX107" s="160">
        <f t="shared" si="223"/>
        <v>21651550.940158963</v>
      </c>
      <c r="CY107" s="168">
        <f t="shared" si="223"/>
        <v>21682423.395260945</v>
      </c>
      <c r="CZ107" s="168">
        <f t="shared" si="223"/>
        <v>21695959.300154701</v>
      </c>
      <c r="DA107" s="168">
        <f t="shared" si="223"/>
        <v>21798491.985132728</v>
      </c>
      <c r="DB107" s="235">
        <f t="shared" si="223"/>
        <v>21798491.985132728</v>
      </c>
      <c r="DC107" s="168"/>
      <c r="DD107" s="168"/>
      <c r="DE107" s="168"/>
      <c r="DF107" s="168"/>
      <c r="DG107" s="168"/>
      <c r="DH107" s="168"/>
      <c r="DI107" s="168"/>
      <c r="DJ107" s="168"/>
      <c r="DK107" s="406"/>
      <c r="DL107" s="406"/>
      <c r="DM107" s="25"/>
    </row>
    <row r="108" spans="1:117">
      <c r="A108" s="10"/>
      <c r="B108" s="37"/>
      <c r="C108" s="38"/>
      <c r="D108" s="38"/>
      <c r="E108" s="38"/>
      <c r="F108" s="133"/>
      <c r="G108" s="37"/>
      <c r="H108" s="38"/>
      <c r="I108" s="38"/>
      <c r="J108" s="38"/>
      <c r="K108" s="133"/>
      <c r="L108" s="37"/>
      <c r="M108" s="38"/>
      <c r="N108" s="38"/>
      <c r="O108" s="38"/>
      <c r="P108" s="133"/>
      <c r="Q108" s="37"/>
      <c r="R108" s="38"/>
      <c r="S108" s="38"/>
      <c r="T108" s="38"/>
      <c r="U108" s="133"/>
      <c r="V108" s="37"/>
      <c r="W108" s="38"/>
      <c r="X108" s="38"/>
      <c r="Y108" s="38"/>
      <c r="Z108" s="133"/>
      <c r="AA108" s="37"/>
      <c r="AB108" s="38"/>
      <c r="AC108" s="38"/>
      <c r="AD108" s="38"/>
      <c r="AE108" s="133"/>
      <c r="AF108" s="19"/>
      <c r="AG108" s="18"/>
      <c r="AH108" s="18"/>
      <c r="AI108" s="18"/>
      <c r="AJ108" s="127"/>
      <c r="AK108" s="19"/>
      <c r="AL108" s="18"/>
      <c r="AM108" s="18"/>
      <c r="AN108" s="18"/>
      <c r="AO108" s="127"/>
      <c r="AP108" s="18"/>
      <c r="AQ108" s="18"/>
      <c r="AR108" s="18"/>
      <c r="AS108" s="18"/>
      <c r="AT108" s="127"/>
      <c r="AU108" s="18"/>
      <c r="AV108" s="18"/>
      <c r="AW108" s="18"/>
      <c r="AX108" s="18"/>
      <c r="AY108" s="127"/>
      <c r="AZ108" s="19"/>
      <c r="BA108" s="18"/>
      <c r="BB108" s="18"/>
      <c r="BC108" s="18"/>
      <c r="BD108" s="127"/>
      <c r="BE108" s="19"/>
      <c r="BF108" s="18"/>
      <c r="BG108" s="18"/>
      <c r="BH108" s="18"/>
      <c r="BI108" s="127"/>
      <c r="BJ108" s="18"/>
      <c r="BK108" s="18"/>
      <c r="BL108" s="18"/>
      <c r="BM108" s="18"/>
      <c r="BN108" s="127"/>
      <c r="BO108" s="19"/>
      <c r="BP108" s="18"/>
      <c r="BQ108" s="18"/>
      <c r="BR108" s="18"/>
      <c r="BS108" s="127"/>
      <c r="BT108" s="19"/>
      <c r="BU108" s="18"/>
      <c r="BV108" s="18"/>
      <c r="BW108" s="18"/>
      <c r="BX108" s="127"/>
      <c r="BY108" s="19"/>
      <c r="BZ108" s="18"/>
      <c r="CA108" s="18"/>
      <c r="CB108" s="18"/>
      <c r="CC108" s="127"/>
      <c r="CD108" s="19"/>
      <c r="CE108" s="18"/>
      <c r="CF108" s="18"/>
      <c r="CG108" s="18"/>
      <c r="CH108" s="127"/>
      <c r="CI108" s="19"/>
      <c r="CJ108" s="18"/>
      <c r="CK108" s="18"/>
      <c r="CL108" s="18"/>
      <c r="CM108" s="127"/>
      <c r="CN108" s="19"/>
      <c r="CO108" s="18"/>
      <c r="CP108" s="18"/>
      <c r="CQ108" s="18"/>
      <c r="CR108" s="127"/>
      <c r="CS108" s="19"/>
      <c r="CT108" s="18"/>
      <c r="CU108" s="18"/>
      <c r="CV108" s="18"/>
      <c r="CW108" s="127"/>
      <c r="CX108" s="19"/>
      <c r="CY108" s="18"/>
      <c r="CZ108" s="18"/>
      <c r="DA108" s="18"/>
      <c r="DB108" s="127"/>
      <c r="DC108" s="18"/>
      <c r="DD108" s="18"/>
      <c r="DE108" s="18"/>
      <c r="DF108" s="18"/>
      <c r="DG108" s="18"/>
      <c r="DH108" s="18"/>
      <c r="DI108" s="18"/>
      <c r="DJ108" s="18"/>
      <c r="DK108" s="61"/>
      <c r="DL108" s="61"/>
      <c r="DM108" s="18"/>
    </row>
    <row r="109" spans="1:117">
      <c r="A109" s="16" t="s">
        <v>175</v>
      </c>
      <c r="B109" s="37"/>
      <c r="C109" s="38"/>
      <c r="D109" s="38"/>
      <c r="E109" s="38" t="s">
        <v>653</v>
      </c>
      <c r="F109" s="133" t="s">
        <v>653</v>
      </c>
      <c r="G109" s="37"/>
      <c r="H109" s="38"/>
      <c r="I109" s="38"/>
      <c r="J109" s="38" t="s">
        <v>653</v>
      </c>
      <c r="K109" s="133" t="s">
        <v>653</v>
      </c>
      <c r="L109" s="37"/>
      <c r="M109" s="38"/>
      <c r="N109" s="38"/>
      <c r="O109" s="38" t="s">
        <v>653</v>
      </c>
      <c r="P109" s="133" t="s">
        <v>653</v>
      </c>
      <c r="Q109" s="37"/>
      <c r="R109" s="38"/>
      <c r="S109" s="38"/>
      <c r="T109" s="38" t="s">
        <v>653</v>
      </c>
      <c r="U109" s="133" t="s">
        <v>653</v>
      </c>
      <c r="V109" s="37"/>
      <c r="W109" s="38"/>
      <c r="X109" s="38"/>
      <c r="Y109" s="38" t="s">
        <v>653</v>
      </c>
      <c r="Z109" s="133" t="s">
        <v>653</v>
      </c>
      <c r="AA109" s="37"/>
      <c r="AB109" s="38"/>
      <c r="AC109" s="38"/>
      <c r="AD109" s="38"/>
      <c r="AE109" s="133" t="s">
        <v>653</v>
      </c>
      <c r="AF109" s="19"/>
      <c r="AG109" s="18"/>
      <c r="AH109" s="18"/>
      <c r="AI109" s="18"/>
      <c r="AJ109" s="127"/>
      <c r="AK109" s="19"/>
      <c r="AL109" s="18"/>
      <c r="AM109" s="18"/>
      <c r="AN109" s="18"/>
      <c r="AO109" s="127"/>
      <c r="AP109" s="18"/>
      <c r="AQ109" s="18"/>
      <c r="AR109" s="18"/>
      <c r="AS109" s="18"/>
      <c r="AT109" s="127"/>
      <c r="AU109" s="18"/>
      <c r="AV109" s="18"/>
      <c r="AW109" s="18"/>
      <c r="AX109" s="18"/>
      <c r="AY109" s="127"/>
      <c r="AZ109" s="19"/>
      <c r="BA109" s="18"/>
      <c r="BB109" s="18"/>
      <c r="BC109" s="18"/>
      <c r="BD109" s="127"/>
      <c r="BE109" s="19"/>
      <c r="BF109" s="18"/>
      <c r="BG109" s="18"/>
      <c r="BH109" s="18"/>
      <c r="BI109" s="127"/>
      <c r="BJ109" s="18"/>
      <c r="BK109" s="18"/>
      <c r="BL109" s="18"/>
      <c r="BM109" s="18"/>
      <c r="BN109" s="127"/>
      <c r="BO109" s="19"/>
      <c r="BP109" s="18"/>
      <c r="BQ109" s="18"/>
      <c r="BR109" s="18"/>
      <c r="BS109" s="127"/>
      <c r="BT109" s="19"/>
      <c r="BU109" s="18"/>
      <c r="BV109" s="18"/>
      <c r="BW109" s="18"/>
      <c r="BX109" s="127"/>
      <c r="BY109" s="19"/>
      <c r="BZ109" s="18"/>
      <c r="CA109" s="18"/>
      <c r="CB109" s="18"/>
      <c r="CC109" s="127"/>
      <c r="CD109" s="19"/>
      <c r="CE109" s="18"/>
      <c r="CF109" s="18"/>
      <c r="CG109" s="18"/>
      <c r="CH109" s="127"/>
      <c r="CI109" s="19"/>
      <c r="CJ109" s="18"/>
      <c r="CK109" s="18"/>
      <c r="CL109" s="18"/>
      <c r="CM109" s="127"/>
      <c r="CN109" s="19"/>
      <c r="CO109" s="18"/>
      <c r="CP109" s="18"/>
      <c r="CQ109" s="18"/>
      <c r="CR109" s="127"/>
      <c r="CS109" s="19"/>
      <c r="CT109" s="18"/>
      <c r="CU109" s="18"/>
      <c r="CV109" s="18"/>
      <c r="CW109" s="127"/>
      <c r="CX109" s="19"/>
      <c r="CY109" s="18"/>
      <c r="CZ109" s="18"/>
      <c r="DA109" s="18"/>
      <c r="DB109" s="127"/>
      <c r="DC109" s="18"/>
      <c r="DD109" s="18"/>
      <c r="DE109" s="18"/>
      <c r="DF109" s="18"/>
      <c r="DG109" s="18"/>
      <c r="DH109" s="18"/>
      <c r="DI109" s="18"/>
      <c r="DJ109" s="18"/>
      <c r="DK109" s="61"/>
      <c r="DL109" s="61"/>
      <c r="DM109" s="18"/>
    </row>
    <row r="110" spans="1:117">
      <c r="A110" s="2" t="s">
        <v>840</v>
      </c>
      <c r="B110" s="37"/>
      <c r="C110" s="38"/>
      <c r="D110" s="38"/>
      <c r="E110" s="38" t="s">
        <v>653</v>
      </c>
      <c r="F110" s="133" t="s">
        <v>653</v>
      </c>
      <c r="G110" s="37"/>
      <c r="H110" s="38"/>
      <c r="I110" s="38"/>
      <c r="J110" s="38" t="s">
        <v>653</v>
      </c>
      <c r="K110" s="133" t="s">
        <v>653</v>
      </c>
      <c r="L110" s="37"/>
      <c r="M110" s="38"/>
      <c r="N110" s="38"/>
      <c r="O110" s="38" t="s">
        <v>653</v>
      </c>
      <c r="P110" s="133" t="s">
        <v>653</v>
      </c>
      <c r="Q110" s="37"/>
      <c r="R110" s="38"/>
      <c r="S110" s="38"/>
      <c r="T110" s="38" t="s">
        <v>653</v>
      </c>
      <c r="U110" s="133" t="s">
        <v>653</v>
      </c>
      <c r="V110" s="37"/>
      <c r="W110" s="38"/>
      <c r="X110" s="38"/>
      <c r="Y110" s="38" t="s">
        <v>653</v>
      </c>
      <c r="Z110" s="133" t="s">
        <v>653</v>
      </c>
      <c r="AA110" s="37"/>
      <c r="AB110" s="38"/>
      <c r="AC110" s="38"/>
      <c r="AD110" s="38"/>
      <c r="AE110" s="133" t="s">
        <v>653</v>
      </c>
      <c r="AF110" s="19"/>
      <c r="AG110" s="18"/>
      <c r="AH110" s="18"/>
      <c r="AI110" s="18"/>
      <c r="AJ110" s="127"/>
      <c r="AK110" s="19"/>
      <c r="AL110" s="18"/>
      <c r="AM110" s="18"/>
      <c r="AN110" s="18"/>
      <c r="AO110" s="127"/>
      <c r="AP110" s="18"/>
      <c r="AQ110" s="18"/>
      <c r="AR110" s="18"/>
      <c r="AS110" s="18"/>
      <c r="AT110" s="127"/>
      <c r="AU110" s="18"/>
      <c r="AV110" s="18"/>
      <c r="AW110" s="18"/>
      <c r="AX110" s="18"/>
      <c r="AY110" s="127"/>
      <c r="AZ110" s="19"/>
      <c r="BA110" s="18"/>
      <c r="BB110" s="18"/>
      <c r="BC110" s="18"/>
      <c r="BD110" s="127"/>
      <c r="BE110" s="19"/>
      <c r="BF110" s="18"/>
      <c r="BG110" s="18"/>
      <c r="BH110" s="18"/>
      <c r="BI110" s="127"/>
      <c r="BJ110" s="18"/>
      <c r="BK110" s="18"/>
      <c r="BL110" s="18"/>
      <c r="BM110" s="18"/>
      <c r="BN110" s="127"/>
      <c r="BO110" s="19"/>
      <c r="BP110" s="18"/>
      <c r="BQ110" s="18"/>
      <c r="BR110" s="18"/>
      <c r="BS110" s="127"/>
      <c r="BT110" s="19"/>
      <c r="BU110" s="18"/>
      <c r="BV110" s="18"/>
      <c r="BW110" s="18"/>
      <c r="BX110" s="127"/>
      <c r="BY110" s="19"/>
      <c r="BZ110" s="18"/>
      <c r="CA110" s="18"/>
      <c r="CB110" s="18"/>
      <c r="CC110" s="127"/>
      <c r="CD110" s="19"/>
      <c r="CE110" s="18"/>
      <c r="CF110" s="18"/>
      <c r="CG110" s="18"/>
      <c r="CH110" s="127"/>
      <c r="CI110" s="19"/>
      <c r="CJ110" s="18"/>
      <c r="CK110" s="18"/>
      <c r="CL110" s="18"/>
      <c r="CM110" s="127"/>
      <c r="CN110" s="19"/>
      <c r="CO110" s="18"/>
      <c r="CP110" s="18"/>
      <c r="CQ110" s="18"/>
      <c r="CR110" s="127"/>
      <c r="CS110" s="19"/>
      <c r="CT110" s="18"/>
      <c r="CU110" s="18"/>
      <c r="CV110" s="18"/>
      <c r="CW110" s="127"/>
      <c r="CX110" s="19"/>
      <c r="CY110" s="18"/>
      <c r="CZ110" s="18"/>
      <c r="DA110" s="18"/>
      <c r="DB110" s="127"/>
      <c r="DC110" s="18"/>
      <c r="DD110" s="18"/>
      <c r="DE110" s="18"/>
      <c r="DF110" s="18"/>
      <c r="DG110" s="18"/>
      <c r="DH110" s="18"/>
      <c r="DI110" s="18"/>
      <c r="DJ110" s="18"/>
      <c r="DK110" s="61"/>
      <c r="DL110" s="61"/>
      <c r="DM110" s="18"/>
    </row>
    <row r="111" spans="1:117">
      <c r="A111" s="15" t="s">
        <v>538</v>
      </c>
      <c r="B111" s="37">
        <v>341334</v>
      </c>
      <c r="C111" s="38">
        <v>341334</v>
      </c>
      <c r="D111" s="38">
        <v>341334</v>
      </c>
      <c r="E111" s="48">
        <f t="shared" ref="E111:E116" si="224">F111</f>
        <v>341532</v>
      </c>
      <c r="F111" s="133">
        <v>341532</v>
      </c>
      <c r="G111" s="37">
        <v>6535</v>
      </c>
      <c r="H111" s="38">
        <v>6539</v>
      </c>
      <c r="I111" s="38">
        <v>306543</v>
      </c>
      <c r="J111" s="48">
        <f t="shared" ref="J111:J116" si="225">K111</f>
        <v>6546</v>
      </c>
      <c r="K111" s="133">
        <v>6546</v>
      </c>
      <c r="L111" s="37">
        <v>6551</v>
      </c>
      <c r="M111" s="38">
        <v>18485</v>
      </c>
      <c r="N111" s="38">
        <v>18183</v>
      </c>
      <c r="O111" s="48">
        <f t="shared" ref="O111:O116" si="226">P111</f>
        <v>18159</v>
      </c>
      <c r="P111" s="133">
        <v>18159</v>
      </c>
      <c r="Q111" s="37">
        <v>420466</v>
      </c>
      <c r="R111" s="38">
        <v>420470</v>
      </c>
      <c r="S111" s="38">
        <v>420475</v>
      </c>
      <c r="T111" s="48">
        <f t="shared" ref="T111:T116" si="227">U111</f>
        <v>420479</v>
      </c>
      <c r="U111" s="133">
        <v>420479</v>
      </c>
      <c r="V111" s="37">
        <v>118181</v>
      </c>
      <c r="W111" s="38">
        <v>118186</v>
      </c>
      <c r="X111" s="38">
        <v>118190</v>
      </c>
      <c r="Y111" s="48">
        <f t="shared" ref="Y111:Y116" si="228">Z111</f>
        <v>118195</v>
      </c>
      <c r="Z111" s="133">
        <v>118195</v>
      </c>
      <c r="AA111" s="37">
        <v>18200</v>
      </c>
      <c r="AB111" s="38">
        <v>268205</v>
      </c>
      <c r="AC111" s="38">
        <v>268210</v>
      </c>
      <c r="AD111" s="48">
        <f t="shared" ref="AD111:AD116" si="229">AE111</f>
        <v>268215</v>
      </c>
      <c r="AE111" s="133">
        <v>268215</v>
      </c>
      <c r="AF111" s="37">
        <v>493220</v>
      </c>
      <c r="AG111" s="38">
        <v>643225</v>
      </c>
      <c r="AH111" s="38">
        <v>643231</v>
      </c>
      <c r="AI111" s="38">
        <v>643236</v>
      </c>
      <c r="AJ111" s="104">
        <f t="shared" ref="AJ111:AJ116" si="230">AI111</f>
        <v>643236</v>
      </c>
      <c r="AK111" s="37">
        <v>418242</v>
      </c>
      <c r="AL111" s="38">
        <v>368248</v>
      </c>
      <c r="AM111" s="38">
        <v>365253</v>
      </c>
      <c r="AN111" s="38">
        <v>364391</v>
      </c>
      <c r="AO111" s="104">
        <f t="shared" ref="AO111:AO116" si="231">AN111</f>
        <v>364391</v>
      </c>
      <c r="AP111" s="38">
        <v>364397</v>
      </c>
      <c r="AQ111" s="38">
        <v>12262</v>
      </c>
      <c r="AR111" s="38">
        <v>11140</v>
      </c>
      <c r="AS111" s="38">
        <v>10855</v>
      </c>
      <c r="AT111" s="104">
        <f t="shared" ref="AT111:AT116" si="232">AS111</f>
        <v>10855</v>
      </c>
      <c r="AU111" s="38">
        <v>10771</v>
      </c>
      <c r="AV111" s="38">
        <v>10685</v>
      </c>
      <c r="AW111" s="38">
        <v>10656</v>
      </c>
      <c r="AX111" s="38">
        <v>10656</v>
      </c>
      <c r="AY111" s="104">
        <f t="shared" ref="AY111:AY116" si="233">AX111</f>
        <v>10656</v>
      </c>
      <c r="AZ111" s="38">
        <v>10650</v>
      </c>
      <c r="BA111" s="38">
        <v>10650</v>
      </c>
      <c r="BB111" s="38">
        <v>10650</v>
      </c>
      <c r="BC111" s="38">
        <v>10650</v>
      </c>
      <c r="BD111" s="104">
        <f t="shared" ref="BD111:BD116" si="234">BC111</f>
        <v>10650</v>
      </c>
      <c r="BE111" s="38">
        <v>660650</v>
      </c>
      <c r="BF111" s="38">
        <v>660650</v>
      </c>
      <c r="BG111" s="38">
        <v>660650</v>
      </c>
      <c r="BH111" s="38">
        <v>110650</v>
      </c>
      <c r="BI111" s="104">
        <f t="shared" ref="BI111:BI116" si="235">BH111</f>
        <v>110650</v>
      </c>
      <c r="BJ111" s="38">
        <v>460650</v>
      </c>
      <c r="BK111" s="38">
        <v>460650</v>
      </c>
      <c r="BL111" s="38">
        <v>460650</v>
      </c>
      <c r="BM111" s="38">
        <v>410650</v>
      </c>
      <c r="BN111" s="104">
        <f t="shared" ref="BN111:BN116" si="236">BM111</f>
        <v>410650</v>
      </c>
      <c r="BO111" s="38">
        <v>410650</v>
      </c>
      <c r="BP111" s="567">
        <v>494703</v>
      </c>
      <c r="BQ111" s="567">
        <v>432650</v>
      </c>
      <c r="BR111" s="38">
        <v>432650</v>
      </c>
      <c r="BS111" s="104">
        <f t="shared" ref="BS111:BS116" si="237">BR111</f>
        <v>432650</v>
      </c>
      <c r="BT111" s="48">
        <f t="shared" ref="BT111:BT116" si="238">BS111*1.005</f>
        <v>434813.24999999994</v>
      </c>
      <c r="BU111" s="48">
        <f t="shared" ref="BU111:BU116" si="239">BT111*1.005</f>
        <v>436987.31624999992</v>
      </c>
      <c r="BV111" s="48">
        <f t="shared" ref="BV111:BV116" si="240">BU111*1.005</f>
        <v>439172.25283124985</v>
      </c>
      <c r="BW111" s="48">
        <f t="shared" ref="BW111:BW116" si="241">BV111*1.005</f>
        <v>441368.11409540602</v>
      </c>
      <c r="BX111" s="104">
        <f t="shared" ref="BX111:BX116" si="242">BW111</f>
        <v>441368.11409540602</v>
      </c>
      <c r="BY111" s="48">
        <f t="shared" ref="BY111:BY116" si="243">BX111*1.005</f>
        <v>443574.95466588304</v>
      </c>
      <c r="BZ111" s="48">
        <f t="shared" ref="BZ111:BZ116" si="244">BY111*1.005</f>
        <v>445792.82943921239</v>
      </c>
      <c r="CA111" s="48">
        <f t="shared" ref="CA111:CA116" si="245">BZ111*1.005</f>
        <v>448021.79358640843</v>
      </c>
      <c r="CB111" s="48">
        <f t="shared" ref="CB111:CB116" si="246">CA111*1.005</f>
        <v>450261.90255434043</v>
      </c>
      <c r="CC111" s="104">
        <f t="shared" ref="CC111:CC116" si="247">CB111</f>
        <v>450261.90255434043</v>
      </c>
      <c r="CD111" s="48">
        <f t="shared" ref="CD111:CD116" si="248">CC111*1.005</f>
        <v>452513.21206711209</v>
      </c>
      <c r="CE111" s="48">
        <f t="shared" ref="CE111:CE116" si="249">CD111*1.005</f>
        <v>454775.77812744759</v>
      </c>
      <c r="CF111" s="48">
        <f t="shared" ref="CF111:CF116" si="250">CE111*1.005</f>
        <v>457049.65701808478</v>
      </c>
      <c r="CG111" s="48">
        <f t="shared" ref="CG111:CG116" si="251">CF111*1.005</f>
        <v>459334.90530317515</v>
      </c>
      <c r="CH111" s="104">
        <f t="shared" ref="CH111:CH116" si="252">CG111</f>
        <v>459334.90530317515</v>
      </c>
      <c r="CI111" s="48">
        <f t="shared" ref="CI111:CI116" si="253">CH111*1.005</f>
        <v>461631.57982969098</v>
      </c>
      <c r="CJ111" s="48">
        <f t="shared" ref="CJ111:CJ116" si="254">CI111*1.005</f>
        <v>463939.73772883939</v>
      </c>
      <c r="CK111" s="48">
        <f t="shared" ref="CK111:CK116" si="255">CJ111*1.005</f>
        <v>466259.43641748355</v>
      </c>
      <c r="CL111" s="48">
        <f t="shared" ref="CL111:CL116" si="256">CK111*1.005</f>
        <v>468590.73359957093</v>
      </c>
      <c r="CM111" s="104">
        <f t="shared" ref="CM111:CM116" si="257">CL111</f>
        <v>468590.73359957093</v>
      </c>
      <c r="CN111" s="48">
        <f t="shared" ref="CN111:CN116" si="258">CM111*1.005</f>
        <v>470933.68726756872</v>
      </c>
      <c r="CO111" s="48">
        <f t="shared" ref="CO111:CO116" si="259">CN111*1.005</f>
        <v>473288.35570390651</v>
      </c>
      <c r="CP111" s="48">
        <f t="shared" ref="CP111:CP116" si="260">CO111*1.005</f>
        <v>475654.79748242599</v>
      </c>
      <c r="CQ111" s="48">
        <f t="shared" ref="CQ111:CQ116" si="261">CP111*1.005</f>
        <v>478033.07146983809</v>
      </c>
      <c r="CR111" s="104">
        <f t="shared" ref="CR111:CR116" si="262">CQ111</f>
        <v>478033.07146983809</v>
      </c>
      <c r="CS111" s="48">
        <f t="shared" ref="CS111:CS116" si="263">CR111*1.005</f>
        <v>480423.23682718724</v>
      </c>
      <c r="CT111" s="48">
        <f t="shared" ref="CT111:CT116" si="264">CS111*1.005</f>
        <v>482825.35301132314</v>
      </c>
      <c r="CU111" s="48">
        <f t="shared" ref="CU111:CU116" si="265">CT111*1.005</f>
        <v>485239.47977637971</v>
      </c>
      <c r="CV111" s="48">
        <f t="shared" ref="CV111:CV116" si="266">CU111*1.005</f>
        <v>487665.67717526155</v>
      </c>
      <c r="CW111" s="104">
        <f t="shared" ref="CW111:CW116" si="267">CV111</f>
        <v>487665.67717526155</v>
      </c>
      <c r="CX111" s="48">
        <f t="shared" ref="CX111:CX116" si="268">CW111*1.005</f>
        <v>490104.0055611378</v>
      </c>
      <c r="CY111" s="48">
        <f t="shared" ref="CY111:CY116" si="269">CX111*1.005</f>
        <v>492554.52558894345</v>
      </c>
      <c r="CZ111" s="48">
        <f t="shared" ref="CZ111:CZ116" si="270">CY111*1.005</f>
        <v>495017.2982168881</v>
      </c>
      <c r="DA111" s="48">
        <f t="shared" ref="DA111:DA116" si="271">CZ111*1.005</f>
        <v>497492.38470797247</v>
      </c>
      <c r="DB111" s="104">
        <f t="shared" ref="DB111:DB116" si="272">DA111</f>
        <v>497492.38470797247</v>
      </c>
      <c r="DC111" s="48"/>
      <c r="DD111" s="48"/>
      <c r="DE111" s="48"/>
      <c r="DF111" s="48"/>
      <c r="DG111" s="48"/>
      <c r="DH111" s="48"/>
      <c r="DI111" s="48"/>
      <c r="DJ111" s="48"/>
      <c r="DK111" s="99"/>
      <c r="DL111" s="99"/>
      <c r="DM111" s="18"/>
    </row>
    <row r="112" spans="1:117">
      <c r="A112" s="15" t="s">
        <v>539</v>
      </c>
      <c r="B112" s="37">
        <v>0</v>
      </c>
      <c r="C112" s="38">
        <v>40000</v>
      </c>
      <c r="D112" s="38">
        <v>298000</v>
      </c>
      <c r="E112" s="48">
        <f t="shared" si="224"/>
        <v>644000</v>
      </c>
      <c r="F112" s="133">
        <v>644000</v>
      </c>
      <c r="G112" s="37">
        <v>688500</v>
      </c>
      <c r="H112" s="38">
        <v>111500</v>
      </c>
      <c r="I112" s="38">
        <v>1202500</v>
      </c>
      <c r="J112" s="48">
        <f t="shared" si="225"/>
        <v>1541500</v>
      </c>
      <c r="K112" s="133">
        <v>1541500</v>
      </c>
      <c r="L112" s="37">
        <v>745000</v>
      </c>
      <c r="M112" s="38">
        <v>1364000</v>
      </c>
      <c r="N112" s="38">
        <v>4500</v>
      </c>
      <c r="O112" s="48">
        <f t="shared" si="226"/>
        <v>6000</v>
      </c>
      <c r="P112" s="133">
        <v>6000</v>
      </c>
      <c r="Q112" s="37">
        <v>0</v>
      </c>
      <c r="R112" s="38">
        <v>105000</v>
      </c>
      <c r="S112" s="38">
        <v>365000</v>
      </c>
      <c r="T112" s="48">
        <f t="shared" si="227"/>
        <v>202600</v>
      </c>
      <c r="U112" s="133">
        <v>202600</v>
      </c>
      <c r="V112" s="37">
        <v>265600</v>
      </c>
      <c r="W112" s="38">
        <v>801493</v>
      </c>
      <c r="X112" s="38">
        <v>1322214</v>
      </c>
      <c r="Y112" s="48">
        <f t="shared" si="228"/>
        <v>2270000</v>
      </c>
      <c r="Z112" s="133">
        <v>2270000</v>
      </c>
      <c r="AA112" s="37">
        <v>986700</v>
      </c>
      <c r="AB112" s="38">
        <v>689910</v>
      </c>
      <c r="AC112" s="38">
        <v>824000</v>
      </c>
      <c r="AD112" s="48">
        <f t="shared" si="229"/>
        <v>881870</v>
      </c>
      <c r="AE112" s="133">
        <v>881870</v>
      </c>
      <c r="AF112" s="37">
        <v>310000</v>
      </c>
      <c r="AG112" s="38">
        <v>680000</v>
      </c>
      <c r="AH112" s="38">
        <v>326385</v>
      </c>
      <c r="AI112" s="38">
        <v>556855</v>
      </c>
      <c r="AJ112" s="104">
        <f t="shared" si="230"/>
        <v>556855</v>
      </c>
      <c r="AK112" s="37">
        <v>0</v>
      </c>
      <c r="AL112" s="38">
        <v>526633</v>
      </c>
      <c r="AM112" s="38">
        <v>650000</v>
      </c>
      <c r="AN112" s="38">
        <v>841982</v>
      </c>
      <c r="AO112" s="104">
        <f t="shared" si="231"/>
        <v>841982</v>
      </c>
      <c r="AP112" s="38">
        <v>419757</v>
      </c>
      <c r="AQ112" s="38">
        <v>595931</v>
      </c>
      <c r="AR112" s="38">
        <v>676747</v>
      </c>
      <c r="AS112" s="38">
        <v>817170</v>
      </c>
      <c r="AT112" s="104">
        <f t="shared" si="232"/>
        <v>817170</v>
      </c>
      <c r="AU112" s="38">
        <v>551250</v>
      </c>
      <c r="AV112" s="38">
        <v>834000</v>
      </c>
      <c r="AW112" s="38">
        <v>562329</v>
      </c>
      <c r="AX112" s="38">
        <v>564462</v>
      </c>
      <c r="AY112" s="104">
        <f t="shared" si="233"/>
        <v>564462</v>
      </c>
      <c r="AZ112" s="38">
        <v>125000</v>
      </c>
      <c r="BA112" s="38">
        <v>0</v>
      </c>
      <c r="BB112" s="38">
        <v>0</v>
      </c>
      <c r="BC112" s="38">
        <v>1055296</v>
      </c>
      <c r="BD112" s="104">
        <f t="shared" si="234"/>
        <v>1055296</v>
      </c>
      <c r="BE112" s="38">
        <v>825475</v>
      </c>
      <c r="BF112" s="38">
        <v>870484</v>
      </c>
      <c r="BG112" s="567">
        <v>287272</v>
      </c>
      <c r="BH112" s="38">
        <v>546340</v>
      </c>
      <c r="BI112" s="104">
        <f t="shared" si="235"/>
        <v>546340</v>
      </c>
      <c r="BJ112" s="38">
        <v>444567</v>
      </c>
      <c r="BK112" s="38">
        <v>576307</v>
      </c>
      <c r="BL112" s="38">
        <v>693500</v>
      </c>
      <c r="BM112" s="38">
        <v>1110277</v>
      </c>
      <c r="BN112" s="104">
        <f t="shared" si="236"/>
        <v>1110277</v>
      </c>
      <c r="BO112" s="38">
        <v>1290729</v>
      </c>
      <c r="BP112" s="567">
        <v>1274407</v>
      </c>
      <c r="BQ112" s="567">
        <v>932250</v>
      </c>
      <c r="BR112" s="38">
        <v>614673</v>
      </c>
      <c r="BS112" s="104">
        <f t="shared" si="237"/>
        <v>614673</v>
      </c>
      <c r="BT112" s="48">
        <f t="shared" si="238"/>
        <v>617746.36499999999</v>
      </c>
      <c r="BU112" s="48">
        <f t="shared" si="239"/>
        <v>620835.0968249999</v>
      </c>
      <c r="BV112" s="48">
        <f t="shared" si="240"/>
        <v>623939.27230912482</v>
      </c>
      <c r="BW112" s="48">
        <f t="shared" si="241"/>
        <v>627058.96867067041</v>
      </c>
      <c r="BX112" s="104">
        <f t="shared" si="242"/>
        <v>627058.96867067041</v>
      </c>
      <c r="BY112" s="48">
        <f t="shared" si="243"/>
        <v>630194.26351402374</v>
      </c>
      <c r="BZ112" s="48">
        <f t="shared" si="244"/>
        <v>633345.23483159381</v>
      </c>
      <c r="CA112" s="48">
        <f t="shared" si="245"/>
        <v>636511.96100575174</v>
      </c>
      <c r="CB112" s="48">
        <f t="shared" si="246"/>
        <v>639694.52081078046</v>
      </c>
      <c r="CC112" s="104">
        <f t="shared" si="247"/>
        <v>639694.52081078046</v>
      </c>
      <c r="CD112" s="48">
        <f t="shared" si="248"/>
        <v>642892.99341483426</v>
      </c>
      <c r="CE112" s="48">
        <f t="shared" si="249"/>
        <v>646107.45838190836</v>
      </c>
      <c r="CF112" s="48">
        <f t="shared" si="250"/>
        <v>649337.99567381782</v>
      </c>
      <c r="CG112" s="48">
        <f t="shared" si="251"/>
        <v>652584.68565218686</v>
      </c>
      <c r="CH112" s="104">
        <f t="shared" si="252"/>
        <v>652584.68565218686</v>
      </c>
      <c r="CI112" s="48">
        <f t="shared" si="253"/>
        <v>655847.6090804477</v>
      </c>
      <c r="CJ112" s="48">
        <f t="shared" si="254"/>
        <v>659126.84712584992</v>
      </c>
      <c r="CK112" s="48">
        <f t="shared" si="255"/>
        <v>662422.48136147915</v>
      </c>
      <c r="CL112" s="48">
        <f t="shared" si="256"/>
        <v>665734.59376828652</v>
      </c>
      <c r="CM112" s="104">
        <f t="shared" si="257"/>
        <v>665734.59376828652</v>
      </c>
      <c r="CN112" s="48">
        <f t="shared" si="258"/>
        <v>669063.26673712791</v>
      </c>
      <c r="CO112" s="48">
        <f t="shared" si="259"/>
        <v>672408.58307081345</v>
      </c>
      <c r="CP112" s="48">
        <f t="shared" si="260"/>
        <v>675770.62598616746</v>
      </c>
      <c r="CQ112" s="48">
        <f t="shared" si="261"/>
        <v>679149.47911609826</v>
      </c>
      <c r="CR112" s="104">
        <f t="shared" si="262"/>
        <v>679149.47911609826</v>
      </c>
      <c r="CS112" s="48">
        <f t="shared" si="263"/>
        <v>682545.22651167866</v>
      </c>
      <c r="CT112" s="48">
        <f t="shared" si="264"/>
        <v>685957.95264423697</v>
      </c>
      <c r="CU112" s="48">
        <f t="shared" si="265"/>
        <v>689387.74240745814</v>
      </c>
      <c r="CV112" s="48">
        <f t="shared" si="266"/>
        <v>692834.6811194953</v>
      </c>
      <c r="CW112" s="104">
        <f t="shared" si="267"/>
        <v>692834.6811194953</v>
      </c>
      <c r="CX112" s="48">
        <f t="shared" si="268"/>
        <v>696298.85452509276</v>
      </c>
      <c r="CY112" s="48">
        <f t="shared" si="269"/>
        <v>699780.34879771818</v>
      </c>
      <c r="CZ112" s="48">
        <f t="shared" si="270"/>
        <v>703279.25054170669</v>
      </c>
      <c r="DA112" s="48">
        <f t="shared" si="271"/>
        <v>706795.6467944152</v>
      </c>
      <c r="DB112" s="104">
        <f t="shared" si="272"/>
        <v>706795.6467944152</v>
      </c>
      <c r="DC112" s="48"/>
      <c r="DD112" s="48"/>
      <c r="DE112" s="48"/>
      <c r="DF112" s="48"/>
      <c r="DG112" s="48"/>
      <c r="DH112" s="48"/>
      <c r="DI112" s="48"/>
      <c r="DJ112" s="48"/>
      <c r="DK112" s="99"/>
      <c r="DL112" s="99"/>
      <c r="DM112" s="18"/>
    </row>
    <row r="113" spans="1:117">
      <c r="A113" s="34" t="s">
        <v>841</v>
      </c>
      <c r="B113" s="37">
        <v>820360</v>
      </c>
      <c r="C113" s="38">
        <v>882773</v>
      </c>
      <c r="D113" s="38">
        <v>775078</v>
      </c>
      <c r="E113" s="48">
        <f t="shared" si="224"/>
        <v>1161984</v>
      </c>
      <c r="F113" s="133">
        <v>1161984</v>
      </c>
      <c r="G113" s="37">
        <v>1088831</v>
      </c>
      <c r="H113" s="38">
        <v>919868</v>
      </c>
      <c r="I113" s="38">
        <v>1531696</v>
      </c>
      <c r="J113" s="48">
        <f t="shared" si="225"/>
        <v>1514620</v>
      </c>
      <c r="K113" s="133">
        <v>1514620</v>
      </c>
      <c r="L113" s="37">
        <v>1308421</v>
      </c>
      <c r="M113" s="38">
        <v>943194</v>
      </c>
      <c r="N113" s="38">
        <v>1021732</v>
      </c>
      <c r="O113" s="48">
        <f t="shared" si="226"/>
        <v>1076954</v>
      </c>
      <c r="P113" s="133">
        <v>1076954</v>
      </c>
      <c r="Q113" s="37">
        <v>1073934</v>
      </c>
      <c r="R113" s="38">
        <v>1088612</v>
      </c>
      <c r="S113" s="38">
        <v>979700</v>
      </c>
      <c r="T113" s="48">
        <f t="shared" si="227"/>
        <v>1436005</v>
      </c>
      <c r="U113" s="133">
        <v>1436005</v>
      </c>
      <c r="V113" s="37">
        <v>1585757</v>
      </c>
      <c r="W113" s="38">
        <v>1730041</v>
      </c>
      <c r="X113" s="38">
        <v>1294630</v>
      </c>
      <c r="Y113" s="48">
        <f t="shared" si="228"/>
        <v>1122761</v>
      </c>
      <c r="Z113" s="133">
        <v>1122761</v>
      </c>
      <c r="AA113" s="37">
        <v>798625</v>
      </c>
      <c r="AB113" s="38">
        <v>826414</v>
      </c>
      <c r="AC113" s="38">
        <v>766580</v>
      </c>
      <c r="AD113" s="48">
        <f t="shared" si="229"/>
        <v>1240207</v>
      </c>
      <c r="AE113" s="133">
        <v>1240207</v>
      </c>
      <c r="AF113" s="37">
        <v>965015</v>
      </c>
      <c r="AG113" s="38">
        <v>830015</v>
      </c>
      <c r="AH113" s="38">
        <v>885017</v>
      </c>
      <c r="AI113" s="38">
        <v>1215468</v>
      </c>
      <c r="AJ113" s="104">
        <f t="shared" si="230"/>
        <v>1215468</v>
      </c>
      <c r="AK113" s="37">
        <v>1131922</v>
      </c>
      <c r="AL113" s="38">
        <v>1194103</v>
      </c>
      <c r="AM113" s="38">
        <v>1241633</v>
      </c>
      <c r="AN113" s="38">
        <v>1341718</v>
      </c>
      <c r="AO113" s="104">
        <f t="shared" si="231"/>
        <v>1341718</v>
      </c>
      <c r="AP113" s="38">
        <v>1110108</v>
      </c>
      <c r="AQ113" s="38">
        <v>911977</v>
      </c>
      <c r="AR113" s="38">
        <v>1153750</v>
      </c>
      <c r="AS113" s="38">
        <v>1333489</v>
      </c>
      <c r="AT113" s="104">
        <f t="shared" si="232"/>
        <v>1333489</v>
      </c>
      <c r="AU113" s="38">
        <v>1205248</v>
      </c>
      <c r="AV113" s="38">
        <v>1214322</v>
      </c>
      <c r="AW113" s="38">
        <v>1382785</v>
      </c>
      <c r="AX113" s="38">
        <v>1503699</v>
      </c>
      <c r="AY113" s="104">
        <f t="shared" si="233"/>
        <v>1503699</v>
      </c>
      <c r="AZ113" s="38">
        <v>1155114</v>
      </c>
      <c r="BA113" s="38">
        <v>1271539</v>
      </c>
      <c r="BB113" s="38">
        <v>1221934</v>
      </c>
      <c r="BC113" s="38">
        <v>891413</v>
      </c>
      <c r="BD113" s="104">
        <f t="shared" si="234"/>
        <v>891413</v>
      </c>
      <c r="BE113" s="38">
        <v>721535</v>
      </c>
      <c r="BF113" s="38">
        <v>694914</v>
      </c>
      <c r="BG113" s="567">
        <v>620568</v>
      </c>
      <c r="BH113" s="38">
        <v>615982</v>
      </c>
      <c r="BI113" s="104">
        <f t="shared" si="235"/>
        <v>615982</v>
      </c>
      <c r="BJ113" s="38">
        <v>522317</v>
      </c>
      <c r="BK113" s="38">
        <v>697833</v>
      </c>
      <c r="BL113" s="38">
        <v>711817</v>
      </c>
      <c r="BM113" s="38">
        <v>874731</v>
      </c>
      <c r="BN113" s="104">
        <f t="shared" si="236"/>
        <v>874731</v>
      </c>
      <c r="BO113" s="38">
        <v>703278</v>
      </c>
      <c r="BP113" s="567">
        <v>696834</v>
      </c>
      <c r="BQ113" s="567">
        <v>922820</v>
      </c>
      <c r="BR113" s="38">
        <v>1140571</v>
      </c>
      <c r="BS113" s="104">
        <f t="shared" si="237"/>
        <v>1140571</v>
      </c>
      <c r="BT113" s="48">
        <f t="shared" si="238"/>
        <v>1146273.855</v>
      </c>
      <c r="BU113" s="48">
        <f t="shared" si="239"/>
        <v>1152005.2242749999</v>
      </c>
      <c r="BV113" s="48">
        <f t="shared" si="240"/>
        <v>1157765.2503963748</v>
      </c>
      <c r="BW113" s="48">
        <f t="shared" si="241"/>
        <v>1163554.0766483566</v>
      </c>
      <c r="BX113" s="104">
        <f t="shared" si="242"/>
        <v>1163554.0766483566</v>
      </c>
      <c r="BY113" s="48">
        <f t="shared" si="243"/>
        <v>1169371.8470315982</v>
      </c>
      <c r="BZ113" s="48">
        <f t="shared" si="244"/>
        <v>1175218.7062667562</v>
      </c>
      <c r="CA113" s="48">
        <f t="shared" si="245"/>
        <v>1181094.7997980898</v>
      </c>
      <c r="CB113" s="48">
        <f t="shared" si="246"/>
        <v>1187000.2737970802</v>
      </c>
      <c r="CC113" s="104">
        <f t="shared" si="247"/>
        <v>1187000.2737970802</v>
      </c>
      <c r="CD113" s="48">
        <f t="shared" si="248"/>
        <v>1192935.2751660654</v>
      </c>
      <c r="CE113" s="48">
        <f t="shared" si="249"/>
        <v>1198899.9515418957</v>
      </c>
      <c r="CF113" s="48">
        <f t="shared" si="250"/>
        <v>1204894.4512996052</v>
      </c>
      <c r="CG113" s="48">
        <f t="shared" si="251"/>
        <v>1210918.9235561031</v>
      </c>
      <c r="CH113" s="104">
        <f t="shared" si="252"/>
        <v>1210918.9235561031</v>
      </c>
      <c r="CI113" s="48">
        <f t="shared" si="253"/>
        <v>1216973.5181738834</v>
      </c>
      <c r="CJ113" s="48">
        <f t="shared" si="254"/>
        <v>1223058.3857647527</v>
      </c>
      <c r="CK113" s="48">
        <f t="shared" si="255"/>
        <v>1229173.6776935763</v>
      </c>
      <c r="CL113" s="48">
        <f t="shared" si="256"/>
        <v>1235319.546082044</v>
      </c>
      <c r="CM113" s="104">
        <f t="shared" si="257"/>
        <v>1235319.546082044</v>
      </c>
      <c r="CN113" s="48">
        <f t="shared" si="258"/>
        <v>1241496.1438124541</v>
      </c>
      <c r="CO113" s="48">
        <f t="shared" si="259"/>
        <v>1247703.6245315161</v>
      </c>
      <c r="CP113" s="48">
        <f t="shared" si="260"/>
        <v>1253942.1426541735</v>
      </c>
      <c r="CQ113" s="48">
        <f t="shared" si="261"/>
        <v>1260211.8533674444</v>
      </c>
      <c r="CR113" s="104">
        <f t="shared" si="262"/>
        <v>1260211.8533674444</v>
      </c>
      <c r="CS113" s="48">
        <f t="shared" si="263"/>
        <v>1266512.9126342814</v>
      </c>
      <c r="CT113" s="48">
        <f t="shared" si="264"/>
        <v>1272845.4771974527</v>
      </c>
      <c r="CU113" s="48">
        <f t="shared" si="265"/>
        <v>1279209.7045834397</v>
      </c>
      <c r="CV113" s="48">
        <f t="shared" si="266"/>
        <v>1285605.7531063568</v>
      </c>
      <c r="CW113" s="104">
        <f t="shared" si="267"/>
        <v>1285605.7531063568</v>
      </c>
      <c r="CX113" s="48">
        <f t="shared" si="268"/>
        <v>1292033.7818718886</v>
      </c>
      <c r="CY113" s="48">
        <f t="shared" si="269"/>
        <v>1298493.9507812478</v>
      </c>
      <c r="CZ113" s="48">
        <f t="shared" si="270"/>
        <v>1304986.4205351539</v>
      </c>
      <c r="DA113" s="48">
        <f t="shared" si="271"/>
        <v>1311511.3526378295</v>
      </c>
      <c r="DB113" s="104">
        <f t="shared" si="272"/>
        <v>1311511.3526378295</v>
      </c>
      <c r="DC113" s="48"/>
      <c r="DD113" s="48"/>
      <c r="DE113" s="48"/>
      <c r="DF113" s="48"/>
      <c r="DG113" s="48"/>
      <c r="DH113" s="48"/>
      <c r="DI113" s="48"/>
      <c r="DJ113" s="48"/>
      <c r="DK113" s="99"/>
      <c r="DL113" s="99"/>
      <c r="DM113" s="29"/>
    </row>
    <row r="114" spans="1:117">
      <c r="A114" s="15" t="s">
        <v>589</v>
      </c>
      <c r="B114" s="37">
        <v>0</v>
      </c>
      <c r="C114" s="38">
        <v>0</v>
      </c>
      <c r="D114" s="38">
        <v>0</v>
      </c>
      <c r="E114" s="48">
        <f t="shared" si="224"/>
        <v>0</v>
      </c>
      <c r="F114" s="133">
        <v>0</v>
      </c>
      <c r="G114" s="37">
        <v>0</v>
      </c>
      <c r="H114" s="38">
        <v>0</v>
      </c>
      <c r="I114" s="38">
        <v>289206</v>
      </c>
      <c r="J114" s="48">
        <f t="shared" si="225"/>
        <v>238176</v>
      </c>
      <c r="K114" s="133">
        <v>238176</v>
      </c>
      <c r="L114" s="37">
        <v>122547</v>
      </c>
      <c r="M114" s="38">
        <v>337765</v>
      </c>
      <c r="N114" s="38">
        <v>291095</v>
      </c>
      <c r="O114" s="48">
        <f t="shared" si="226"/>
        <v>176451</v>
      </c>
      <c r="P114" s="133">
        <v>176451</v>
      </c>
      <c r="Q114" s="37">
        <v>183064</v>
      </c>
      <c r="R114" s="38">
        <v>165912</v>
      </c>
      <c r="S114" s="38">
        <v>195074</v>
      </c>
      <c r="T114" s="48">
        <f t="shared" si="227"/>
        <v>252095</v>
      </c>
      <c r="U114" s="133">
        <v>252095</v>
      </c>
      <c r="V114" s="37">
        <v>219773</v>
      </c>
      <c r="W114" s="38">
        <v>379619</v>
      </c>
      <c r="X114" s="38">
        <v>246392</v>
      </c>
      <c r="Y114" s="48">
        <f t="shared" si="228"/>
        <v>188030</v>
      </c>
      <c r="Z114" s="133">
        <v>188030</v>
      </c>
      <c r="AA114" s="37">
        <v>130199</v>
      </c>
      <c r="AB114" s="38">
        <v>166847</v>
      </c>
      <c r="AC114" s="38">
        <v>205662</v>
      </c>
      <c r="AD114" s="48">
        <f t="shared" si="229"/>
        <v>394971</v>
      </c>
      <c r="AE114" s="133">
        <v>394971</v>
      </c>
      <c r="AF114" s="37">
        <v>246540</v>
      </c>
      <c r="AG114" s="38">
        <v>205967</v>
      </c>
      <c r="AH114" s="38">
        <v>235983</v>
      </c>
      <c r="AI114" s="38">
        <v>288494</v>
      </c>
      <c r="AJ114" s="104">
        <f t="shared" si="230"/>
        <v>288494</v>
      </c>
      <c r="AK114" s="37">
        <v>250310</v>
      </c>
      <c r="AL114" s="38">
        <v>313064</v>
      </c>
      <c r="AM114" s="38">
        <v>236365</v>
      </c>
      <c r="AN114" s="38">
        <v>202206</v>
      </c>
      <c r="AO114" s="104">
        <f t="shared" si="231"/>
        <v>202206</v>
      </c>
      <c r="AP114" s="38">
        <v>201089</v>
      </c>
      <c r="AQ114" s="38">
        <v>201515</v>
      </c>
      <c r="AR114" s="38">
        <v>213367</v>
      </c>
      <c r="AS114" s="38">
        <v>272436</v>
      </c>
      <c r="AT114" s="104">
        <f t="shared" si="232"/>
        <v>272436</v>
      </c>
      <c r="AU114" s="38">
        <v>201553</v>
      </c>
      <c r="AV114" s="38">
        <v>199910</v>
      </c>
      <c r="AW114" s="38">
        <v>227355</v>
      </c>
      <c r="AX114" s="38">
        <v>212136</v>
      </c>
      <c r="AY114" s="104">
        <f t="shared" si="233"/>
        <v>212136</v>
      </c>
      <c r="AZ114" s="38">
        <v>216750</v>
      </c>
      <c r="BA114" s="38">
        <v>207456</v>
      </c>
      <c r="BB114" s="38">
        <v>171249</v>
      </c>
      <c r="BC114" s="38">
        <v>104650</v>
      </c>
      <c r="BD114" s="104">
        <f t="shared" si="234"/>
        <v>104650</v>
      </c>
      <c r="BE114" s="38">
        <v>94586</v>
      </c>
      <c r="BF114" s="38">
        <v>91605</v>
      </c>
      <c r="BG114" s="567">
        <v>96192</v>
      </c>
      <c r="BH114" s="38">
        <v>74460</v>
      </c>
      <c r="BI114" s="104">
        <f t="shared" si="235"/>
        <v>74460</v>
      </c>
      <c r="BJ114" s="38">
        <v>77489</v>
      </c>
      <c r="BK114" s="38">
        <v>105544</v>
      </c>
      <c r="BL114" s="38">
        <v>134658</v>
      </c>
      <c r="BM114" s="38">
        <v>142646</v>
      </c>
      <c r="BN114" s="104">
        <f t="shared" si="236"/>
        <v>142646</v>
      </c>
      <c r="BO114" s="38">
        <v>114542</v>
      </c>
      <c r="BP114" s="567">
        <v>114941</v>
      </c>
      <c r="BQ114" s="567">
        <v>189512</v>
      </c>
      <c r="BR114" s="38">
        <v>164161</v>
      </c>
      <c r="BS114" s="104">
        <f t="shared" si="237"/>
        <v>164161</v>
      </c>
      <c r="BT114" s="48">
        <f t="shared" si="238"/>
        <v>164981.80499999999</v>
      </c>
      <c r="BU114" s="48">
        <f t="shared" si="239"/>
        <v>165806.71402499996</v>
      </c>
      <c r="BV114" s="48">
        <f t="shared" si="240"/>
        <v>166635.74759512494</v>
      </c>
      <c r="BW114" s="48">
        <f t="shared" si="241"/>
        <v>167468.92633310053</v>
      </c>
      <c r="BX114" s="104">
        <f t="shared" si="242"/>
        <v>167468.92633310053</v>
      </c>
      <c r="BY114" s="48">
        <f t="shared" si="243"/>
        <v>168306.27096476601</v>
      </c>
      <c r="BZ114" s="48">
        <f t="shared" si="244"/>
        <v>169147.80231958983</v>
      </c>
      <c r="CA114" s="48">
        <f t="shared" si="245"/>
        <v>169993.54133118776</v>
      </c>
      <c r="CB114" s="48">
        <f t="shared" si="246"/>
        <v>170843.50903784367</v>
      </c>
      <c r="CC114" s="104">
        <f t="shared" si="247"/>
        <v>170843.50903784367</v>
      </c>
      <c r="CD114" s="48">
        <f t="shared" si="248"/>
        <v>171697.72658303287</v>
      </c>
      <c r="CE114" s="48">
        <f t="shared" si="249"/>
        <v>172556.215215948</v>
      </c>
      <c r="CF114" s="48">
        <f t="shared" si="250"/>
        <v>173418.99629202773</v>
      </c>
      <c r="CG114" s="48">
        <f t="shared" si="251"/>
        <v>174286.09127348787</v>
      </c>
      <c r="CH114" s="104">
        <f t="shared" si="252"/>
        <v>174286.09127348787</v>
      </c>
      <c r="CI114" s="48">
        <f t="shared" si="253"/>
        <v>175157.52172985527</v>
      </c>
      <c r="CJ114" s="48">
        <f t="shared" si="254"/>
        <v>176033.30933850454</v>
      </c>
      <c r="CK114" s="48">
        <f t="shared" si="255"/>
        <v>176913.47588519703</v>
      </c>
      <c r="CL114" s="48">
        <f t="shared" si="256"/>
        <v>177798.043264623</v>
      </c>
      <c r="CM114" s="104">
        <f t="shared" si="257"/>
        <v>177798.043264623</v>
      </c>
      <c r="CN114" s="48">
        <f t="shared" si="258"/>
        <v>178687.03348094609</v>
      </c>
      <c r="CO114" s="48">
        <f t="shared" si="259"/>
        <v>179580.4686483508</v>
      </c>
      <c r="CP114" s="48">
        <f t="shared" si="260"/>
        <v>180478.37099159253</v>
      </c>
      <c r="CQ114" s="48">
        <f t="shared" si="261"/>
        <v>181380.76284655047</v>
      </c>
      <c r="CR114" s="104">
        <f t="shared" si="262"/>
        <v>181380.76284655047</v>
      </c>
      <c r="CS114" s="48">
        <f t="shared" si="263"/>
        <v>182287.6666607832</v>
      </c>
      <c r="CT114" s="48">
        <f t="shared" si="264"/>
        <v>183199.1049940871</v>
      </c>
      <c r="CU114" s="48">
        <f t="shared" si="265"/>
        <v>184115.10051905751</v>
      </c>
      <c r="CV114" s="48">
        <f t="shared" si="266"/>
        <v>185035.67602165279</v>
      </c>
      <c r="CW114" s="104">
        <f t="shared" si="267"/>
        <v>185035.67602165279</v>
      </c>
      <c r="CX114" s="48">
        <f t="shared" si="268"/>
        <v>185960.85440176103</v>
      </c>
      <c r="CY114" s="48">
        <f t="shared" si="269"/>
        <v>186890.65867376982</v>
      </c>
      <c r="CZ114" s="48">
        <f t="shared" si="270"/>
        <v>187825.11196713866</v>
      </c>
      <c r="DA114" s="48">
        <f t="shared" si="271"/>
        <v>188764.23752697432</v>
      </c>
      <c r="DB114" s="104">
        <f t="shared" si="272"/>
        <v>188764.23752697432</v>
      </c>
      <c r="DC114" s="48"/>
      <c r="DD114" s="48"/>
      <c r="DE114" s="48"/>
      <c r="DF114" s="48"/>
      <c r="DG114" s="48"/>
      <c r="DH114" s="48"/>
      <c r="DI114" s="48"/>
      <c r="DJ114" s="48"/>
      <c r="DK114" s="99"/>
      <c r="DL114" s="99"/>
      <c r="DM114" s="18"/>
    </row>
    <row r="115" spans="1:117">
      <c r="A115" s="15" t="s">
        <v>900</v>
      </c>
      <c r="B115" s="37">
        <v>268595</v>
      </c>
      <c r="C115" s="38">
        <v>283511</v>
      </c>
      <c r="D115" s="38">
        <v>610122</v>
      </c>
      <c r="E115" s="48">
        <f t="shared" si="224"/>
        <v>403626</v>
      </c>
      <c r="F115" s="133">
        <v>403626</v>
      </c>
      <c r="G115" s="37">
        <v>509946</v>
      </c>
      <c r="H115" s="38">
        <v>413813</v>
      </c>
      <c r="I115" s="38">
        <v>1205411</v>
      </c>
      <c r="J115" s="48">
        <f t="shared" si="225"/>
        <v>449085</v>
      </c>
      <c r="K115" s="133">
        <v>449085</v>
      </c>
      <c r="L115" s="37">
        <v>450555</v>
      </c>
      <c r="M115" s="38">
        <v>255559</v>
      </c>
      <c r="N115" s="38">
        <v>375620</v>
      </c>
      <c r="O115" s="48">
        <f t="shared" si="226"/>
        <v>306658</v>
      </c>
      <c r="P115" s="133">
        <v>306658</v>
      </c>
      <c r="Q115" s="37">
        <v>308445</v>
      </c>
      <c r="R115" s="38">
        <v>253623</v>
      </c>
      <c r="S115" s="38">
        <v>249572</v>
      </c>
      <c r="T115" s="48">
        <f t="shared" si="227"/>
        <v>133903</v>
      </c>
      <c r="U115" s="133">
        <v>133903</v>
      </c>
      <c r="V115" s="37">
        <v>244632</v>
      </c>
      <c r="W115" s="38">
        <v>389542</v>
      </c>
      <c r="X115" s="38">
        <v>303574</v>
      </c>
      <c r="Y115" s="48">
        <f t="shared" si="228"/>
        <v>175006</v>
      </c>
      <c r="Z115" s="133">
        <v>175006</v>
      </c>
      <c r="AA115" s="37">
        <v>77084</v>
      </c>
      <c r="AB115" s="38">
        <v>41485</v>
      </c>
      <c r="AC115" s="38">
        <v>49234</v>
      </c>
      <c r="AD115" s="48">
        <f t="shared" si="229"/>
        <v>65162</v>
      </c>
      <c r="AE115" s="133">
        <v>65162</v>
      </c>
      <c r="AF115" s="37">
        <v>75119</v>
      </c>
      <c r="AG115" s="38">
        <v>35628</v>
      </c>
      <c r="AH115" s="38">
        <v>36774</v>
      </c>
      <c r="AI115" s="38">
        <v>22800</v>
      </c>
      <c r="AJ115" s="104">
        <f t="shared" si="230"/>
        <v>22800</v>
      </c>
      <c r="AK115" s="37">
        <v>51123</v>
      </c>
      <c r="AL115" s="38">
        <v>45704</v>
      </c>
      <c r="AM115" s="38">
        <v>130993</v>
      </c>
      <c r="AN115" s="38">
        <v>137680</v>
      </c>
      <c r="AO115" s="104">
        <f t="shared" si="231"/>
        <v>137680</v>
      </c>
      <c r="AP115" s="38">
        <v>94573</v>
      </c>
      <c r="AQ115" s="38">
        <v>138028</v>
      </c>
      <c r="AR115" s="38">
        <v>25856</v>
      </c>
      <c r="AS115" s="38">
        <v>9990</v>
      </c>
      <c r="AT115" s="104">
        <f t="shared" si="232"/>
        <v>9990</v>
      </c>
      <c r="AU115" s="38">
        <v>10323</v>
      </c>
      <c r="AV115" s="38">
        <v>908</v>
      </c>
      <c r="AW115" s="38">
        <v>5530</v>
      </c>
      <c r="AX115" s="38">
        <v>4032</v>
      </c>
      <c r="AY115" s="104">
        <f t="shared" si="233"/>
        <v>4032</v>
      </c>
      <c r="AZ115" s="38">
        <v>0</v>
      </c>
      <c r="BA115" s="38">
        <v>0</v>
      </c>
      <c r="BB115" s="38">
        <v>0</v>
      </c>
      <c r="BC115" s="38">
        <v>0</v>
      </c>
      <c r="BD115" s="104">
        <f t="shared" si="234"/>
        <v>0</v>
      </c>
      <c r="BE115" s="38">
        <v>0</v>
      </c>
      <c r="BF115" s="38">
        <f>BE115*1.005</f>
        <v>0</v>
      </c>
      <c r="BG115" s="567">
        <v>0</v>
      </c>
      <c r="BH115" s="38">
        <v>0</v>
      </c>
      <c r="BI115" s="104">
        <f t="shared" si="235"/>
        <v>0</v>
      </c>
      <c r="BJ115" s="38">
        <v>0</v>
      </c>
      <c r="BK115" s="38">
        <v>0</v>
      </c>
      <c r="BL115" s="38">
        <v>0</v>
      </c>
      <c r="BM115" s="38">
        <v>0</v>
      </c>
      <c r="BN115" s="104">
        <f t="shared" si="236"/>
        <v>0</v>
      </c>
      <c r="BO115" s="38">
        <v>0</v>
      </c>
      <c r="BP115" s="38">
        <v>0</v>
      </c>
      <c r="BQ115" s="38">
        <f t="shared" ref="BQ115" si="273">BP115*1.005</f>
        <v>0</v>
      </c>
      <c r="BR115" s="38">
        <v>0</v>
      </c>
      <c r="BS115" s="104">
        <f t="shared" si="237"/>
        <v>0</v>
      </c>
      <c r="BT115" s="48">
        <f t="shared" si="238"/>
        <v>0</v>
      </c>
      <c r="BU115" s="48">
        <f t="shared" si="239"/>
        <v>0</v>
      </c>
      <c r="BV115" s="48">
        <f t="shared" si="240"/>
        <v>0</v>
      </c>
      <c r="BW115" s="48">
        <f t="shared" si="241"/>
        <v>0</v>
      </c>
      <c r="BX115" s="104">
        <f t="shared" si="242"/>
        <v>0</v>
      </c>
      <c r="BY115" s="48">
        <f t="shared" si="243"/>
        <v>0</v>
      </c>
      <c r="BZ115" s="48">
        <f t="shared" si="244"/>
        <v>0</v>
      </c>
      <c r="CA115" s="48">
        <f t="shared" si="245"/>
        <v>0</v>
      </c>
      <c r="CB115" s="48">
        <f t="shared" si="246"/>
        <v>0</v>
      </c>
      <c r="CC115" s="104">
        <f t="shared" si="247"/>
        <v>0</v>
      </c>
      <c r="CD115" s="48">
        <f t="shared" si="248"/>
        <v>0</v>
      </c>
      <c r="CE115" s="48">
        <f t="shared" si="249"/>
        <v>0</v>
      </c>
      <c r="CF115" s="48">
        <f t="shared" si="250"/>
        <v>0</v>
      </c>
      <c r="CG115" s="48">
        <f t="shared" si="251"/>
        <v>0</v>
      </c>
      <c r="CH115" s="104">
        <f t="shared" si="252"/>
        <v>0</v>
      </c>
      <c r="CI115" s="48">
        <f t="shared" si="253"/>
        <v>0</v>
      </c>
      <c r="CJ115" s="48">
        <f t="shared" si="254"/>
        <v>0</v>
      </c>
      <c r="CK115" s="48">
        <f t="shared" si="255"/>
        <v>0</v>
      </c>
      <c r="CL115" s="48">
        <f t="shared" si="256"/>
        <v>0</v>
      </c>
      <c r="CM115" s="104">
        <f t="shared" si="257"/>
        <v>0</v>
      </c>
      <c r="CN115" s="48">
        <f t="shared" si="258"/>
        <v>0</v>
      </c>
      <c r="CO115" s="48">
        <f t="shared" si="259"/>
        <v>0</v>
      </c>
      <c r="CP115" s="48">
        <f t="shared" si="260"/>
        <v>0</v>
      </c>
      <c r="CQ115" s="48">
        <f t="shared" si="261"/>
        <v>0</v>
      </c>
      <c r="CR115" s="104">
        <f t="shared" si="262"/>
        <v>0</v>
      </c>
      <c r="CS115" s="48">
        <f t="shared" si="263"/>
        <v>0</v>
      </c>
      <c r="CT115" s="48">
        <f t="shared" si="264"/>
        <v>0</v>
      </c>
      <c r="CU115" s="48">
        <f t="shared" si="265"/>
        <v>0</v>
      </c>
      <c r="CV115" s="48">
        <f t="shared" si="266"/>
        <v>0</v>
      </c>
      <c r="CW115" s="104">
        <f t="shared" si="267"/>
        <v>0</v>
      </c>
      <c r="CX115" s="48">
        <f t="shared" si="268"/>
        <v>0</v>
      </c>
      <c r="CY115" s="48">
        <f t="shared" si="269"/>
        <v>0</v>
      </c>
      <c r="CZ115" s="48">
        <f t="shared" si="270"/>
        <v>0</v>
      </c>
      <c r="DA115" s="48">
        <f t="shared" si="271"/>
        <v>0</v>
      </c>
      <c r="DB115" s="104">
        <f t="shared" si="272"/>
        <v>0</v>
      </c>
      <c r="DC115" s="48"/>
      <c r="DD115" s="48"/>
      <c r="DE115" s="48"/>
      <c r="DF115" s="48"/>
      <c r="DG115" s="48"/>
      <c r="DH115" s="48"/>
      <c r="DI115" s="48"/>
      <c r="DJ115" s="48"/>
      <c r="DK115" s="99"/>
      <c r="DL115" s="99"/>
      <c r="DM115" s="18"/>
    </row>
    <row r="116" spans="1:117">
      <c r="A116" s="15" t="s">
        <v>901</v>
      </c>
      <c r="B116" s="94">
        <f>94352+28586+35662+49695+9205+118102</f>
        <v>335602</v>
      </c>
      <c r="C116" s="48">
        <f>23685+43140+33643+35700+65171+8250+118458</f>
        <v>328047</v>
      </c>
      <c r="D116" s="48">
        <f>25840+24155+28671+36970+68535+112341</f>
        <v>296512</v>
      </c>
      <c r="E116" s="48">
        <f t="shared" si="224"/>
        <v>337653</v>
      </c>
      <c r="F116" s="133">
        <v>337653</v>
      </c>
      <c r="G116" s="94">
        <f>90057+25639+39831+60705+127458</f>
        <v>343690</v>
      </c>
      <c r="H116" s="48">
        <f>28235+48410+26776+39665+65648+112698</f>
        <v>321432</v>
      </c>
      <c r="I116" s="48">
        <f>27647+203234+39464+41025+109869+131165</f>
        <v>552404</v>
      </c>
      <c r="J116" s="48">
        <f t="shared" si="225"/>
        <v>438009</v>
      </c>
      <c r="K116" s="133">
        <v>438009</v>
      </c>
      <c r="L116" s="37">
        <v>444633</v>
      </c>
      <c r="M116" s="38">
        <v>403020</v>
      </c>
      <c r="N116" s="38">
        <v>412214</v>
      </c>
      <c r="O116" s="48">
        <f t="shared" si="226"/>
        <v>366316</v>
      </c>
      <c r="P116" s="133">
        <v>366316</v>
      </c>
      <c r="Q116" s="37">
        <v>357923</v>
      </c>
      <c r="R116" s="38">
        <v>266275</v>
      </c>
      <c r="S116" s="38">
        <v>295526</v>
      </c>
      <c r="T116" s="48">
        <f t="shared" si="227"/>
        <v>436585</v>
      </c>
      <c r="U116" s="133">
        <v>436585</v>
      </c>
      <c r="V116" s="37">
        <v>445064</v>
      </c>
      <c r="W116" s="38">
        <v>310717</v>
      </c>
      <c r="X116" s="38">
        <v>332469</v>
      </c>
      <c r="Y116" s="48">
        <f t="shared" si="228"/>
        <v>319772</v>
      </c>
      <c r="Z116" s="133">
        <v>319772</v>
      </c>
      <c r="AA116" s="37">
        <v>436702</v>
      </c>
      <c r="AB116" s="38">
        <v>444182</v>
      </c>
      <c r="AC116" s="38">
        <v>530775</v>
      </c>
      <c r="AD116" s="48">
        <f t="shared" si="229"/>
        <v>488487</v>
      </c>
      <c r="AE116" s="133">
        <v>488487</v>
      </c>
      <c r="AF116" s="37">
        <v>581622</v>
      </c>
      <c r="AG116" s="38">
        <v>480773</v>
      </c>
      <c r="AH116" s="38">
        <v>469551</v>
      </c>
      <c r="AI116" s="38">
        <v>424259</v>
      </c>
      <c r="AJ116" s="104">
        <f t="shared" si="230"/>
        <v>424259</v>
      </c>
      <c r="AK116" s="37">
        <v>450051</v>
      </c>
      <c r="AL116" s="38">
        <v>392865</v>
      </c>
      <c r="AM116" s="38">
        <v>352520</v>
      </c>
      <c r="AN116" s="38">
        <f>345383+12815</f>
        <v>358198</v>
      </c>
      <c r="AO116" s="104">
        <f t="shared" si="231"/>
        <v>358198</v>
      </c>
      <c r="AP116" s="38">
        <v>410399</v>
      </c>
      <c r="AQ116" s="38">
        <v>396964</v>
      </c>
      <c r="AR116" s="38">
        <v>358253</v>
      </c>
      <c r="AS116" s="38">
        <v>369054</v>
      </c>
      <c r="AT116" s="104">
        <f t="shared" si="232"/>
        <v>369054</v>
      </c>
      <c r="AU116" s="38">
        <v>357880</v>
      </c>
      <c r="AV116" s="38">
        <v>388954</v>
      </c>
      <c r="AW116" s="38">
        <v>433055</v>
      </c>
      <c r="AX116" s="38">
        <v>401422</v>
      </c>
      <c r="AY116" s="104">
        <f t="shared" si="233"/>
        <v>401422</v>
      </c>
      <c r="AZ116" s="38">
        <f>102831+127697+153682</f>
        <v>384210</v>
      </c>
      <c r="BA116" s="38">
        <f>105099+190289+66138</f>
        <v>361526</v>
      </c>
      <c r="BB116" s="38">
        <f>102838+90681+120162+64387</f>
        <v>378068</v>
      </c>
      <c r="BC116" s="38">
        <f>285435</f>
        <v>285435</v>
      </c>
      <c r="BD116" s="104">
        <f t="shared" si="234"/>
        <v>285435</v>
      </c>
      <c r="BE116" s="38">
        <f>208211+38263</f>
        <v>246474</v>
      </c>
      <c r="BF116" s="38">
        <f>256201+32708</f>
        <v>288909</v>
      </c>
      <c r="BG116" s="567">
        <f>108454+157705+29980</f>
        <v>296139</v>
      </c>
      <c r="BH116" s="38">
        <f>129043+132556</f>
        <v>261599</v>
      </c>
      <c r="BI116" s="104">
        <f t="shared" si="235"/>
        <v>261599</v>
      </c>
      <c r="BJ116" s="38">
        <f>104630+126549</f>
        <v>231179</v>
      </c>
      <c r="BK116" s="38">
        <f>119774+202954</f>
        <v>322728</v>
      </c>
      <c r="BL116" s="38">
        <f>104137+214662</f>
        <v>318799</v>
      </c>
      <c r="BM116" s="38">
        <f>112514+166042</f>
        <v>278556</v>
      </c>
      <c r="BN116" s="104">
        <f t="shared" si="236"/>
        <v>278556</v>
      </c>
      <c r="BO116" s="38">
        <f>90151+122624</f>
        <v>212775</v>
      </c>
      <c r="BP116" s="567">
        <f>111697+167937</f>
        <v>279634</v>
      </c>
      <c r="BQ116" s="567">
        <f>97023+166825</f>
        <v>263848</v>
      </c>
      <c r="BR116" s="38">
        <f>135309+179971</f>
        <v>315280</v>
      </c>
      <c r="BS116" s="104">
        <f t="shared" si="237"/>
        <v>315280</v>
      </c>
      <c r="BT116" s="48">
        <f t="shared" si="238"/>
        <v>316856.39999999997</v>
      </c>
      <c r="BU116" s="48">
        <f t="shared" si="239"/>
        <v>318440.68199999991</v>
      </c>
      <c r="BV116" s="48">
        <f t="shared" si="240"/>
        <v>320032.88540999987</v>
      </c>
      <c r="BW116" s="48">
        <f t="shared" si="241"/>
        <v>321633.04983704985</v>
      </c>
      <c r="BX116" s="104">
        <f t="shared" si="242"/>
        <v>321633.04983704985</v>
      </c>
      <c r="BY116" s="48">
        <f t="shared" si="243"/>
        <v>323241.21508623508</v>
      </c>
      <c r="BZ116" s="48">
        <f t="shared" si="244"/>
        <v>324857.42116166622</v>
      </c>
      <c r="CA116" s="48">
        <f t="shared" si="245"/>
        <v>326481.70826747455</v>
      </c>
      <c r="CB116" s="48">
        <f t="shared" si="246"/>
        <v>328114.1168088119</v>
      </c>
      <c r="CC116" s="104">
        <f t="shared" si="247"/>
        <v>328114.1168088119</v>
      </c>
      <c r="CD116" s="48">
        <f t="shared" si="248"/>
        <v>329754.68739285594</v>
      </c>
      <c r="CE116" s="48">
        <f t="shared" si="249"/>
        <v>331403.46082982019</v>
      </c>
      <c r="CF116" s="48">
        <f t="shared" si="250"/>
        <v>333060.47813396924</v>
      </c>
      <c r="CG116" s="48">
        <f t="shared" si="251"/>
        <v>334725.78052463906</v>
      </c>
      <c r="CH116" s="104">
        <f t="shared" si="252"/>
        <v>334725.78052463906</v>
      </c>
      <c r="CI116" s="48">
        <f t="shared" si="253"/>
        <v>336399.4094272622</v>
      </c>
      <c r="CJ116" s="48">
        <f t="shared" si="254"/>
        <v>338081.40647439845</v>
      </c>
      <c r="CK116" s="48">
        <f t="shared" si="255"/>
        <v>339771.81350677041</v>
      </c>
      <c r="CL116" s="48">
        <f t="shared" si="256"/>
        <v>341470.67257430422</v>
      </c>
      <c r="CM116" s="104">
        <f t="shared" si="257"/>
        <v>341470.67257430422</v>
      </c>
      <c r="CN116" s="48">
        <f t="shared" si="258"/>
        <v>343178.02593717573</v>
      </c>
      <c r="CO116" s="48">
        <f t="shared" si="259"/>
        <v>344893.9160668616</v>
      </c>
      <c r="CP116" s="48">
        <f t="shared" si="260"/>
        <v>346618.38564719586</v>
      </c>
      <c r="CQ116" s="48">
        <f t="shared" si="261"/>
        <v>348351.47757543181</v>
      </c>
      <c r="CR116" s="104">
        <f t="shared" si="262"/>
        <v>348351.47757543181</v>
      </c>
      <c r="CS116" s="48">
        <f t="shared" si="263"/>
        <v>350093.23496330896</v>
      </c>
      <c r="CT116" s="48">
        <f t="shared" si="264"/>
        <v>351843.70113812544</v>
      </c>
      <c r="CU116" s="48">
        <f t="shared" si="265"/>
        <v>353602.91964381601</v>
      </c>
      <c r="CV116" s="48">
        <f t="shared" si="266"/>
        <v>355370.93424203503</v>
      </c>
      <c r="CW116" s="104">
        <f t="shared" si="267"/>
        <v>355370.93424203503</v>
      </c>
      <c r="CX116" s="48">
        <f t="shared" si="268"/>
        <v>357147.78891324514</v>
      </c>
      <c r="CY116" s="48">
        <f t="shared" si="269"/>
        <v>358933.52785781131</v>
      </c>
      <c r="CZ116" s="48">
        <f t="shared" si="270"/>
        <v>360728.1954971003</v>
      </c>
      <c r="DA116" s="48">
        <f t="shared" si="271"/>
        <v>362531.83647458575</v>
      </c>
      <c r="DB116" s="104">
        <f t="shared" si="272"/>
        <v>362531.83647458575</v>
      </c>
      <c r="DC116" s="48"/>
      <c r="DD116" s="48"/>
      <c r="DE116" s="48"/>
      <c r="DF116" s="48"/>
      <c r="DG116" s="48"/>
      <c r="DH116" s="48"/>
      <c r="DI116" s="48"/>
      <c r="DJ116" s="48"/>
      <c r="DK116" s="99"/>
      <c r="DL116" s="99"/>
      <c r="DM116" s="18"/>
    </row>
    <row r="117" spans="1:117">
      <c r="A117" s="28" t="s">
        <v>842</v>
      </c>
      <c r="B117" s="160">
        <f t="shared" ref="B117:Z117" si="274">SUM(B111:B116)</f>
        <v>1765891</v>
      </c>
      <c r="C117" s="168">
        <f t="shared" si="274"/>
        <v>1875665</v>
      </c>
      <c r="D117" s="168">
        <f t="shared" si="274"/>
        <v>2321046</v>
      </c>
      <c r="E117" s="168">
        <f t="shared" si="274"/>
        <v>2888795</v>
      </c>
      <c r="F117" s="235">
        <f t="shared" si="274"/>
        <v>2888795</v>
      </c>
      <c r="G117" s="160">
        <f t="shared" si="274"/>
        <v>2637502</v>
      </c>
      <c r="H117" s="168">
        <f t="shared" si="274"/>
        <v>1773152</v>
      </c>
      <c r="I117" s="168">
        <f t="shared" si="274"/>
        <v>5087760</v>
      </c>
      <c r="J117" s="168">
        <f t="shared" si="274"/>
        <v>4187936</v>
      </c>
      <c r="K117" s="235">
        <f t="shared" si="274"/>
        <v>4187936</v>
      </c>
      <c r="L117" s="160">
        <f t="shared" si="274"/>
        <v>3077707</v>
      </c>
      <c r="M117" s="168">
        <f t="shared" si="274"/>
        <v>3322023</v>
      </c>
      <c r="N117" s="168">
        <f t="shared" si="274"/>
        <v>2123344</v>
      </c>
      <c r="O117" s="168">
        <f t="shared" si="274"/>
        <v>1950538</v>
      </c>
      <c r="P117" s="235">
        <f t="shared" si="274"/>
        <v>1950538</v>
      </c>
      <c r="Q117" s="160">
        <f t="shared" si="274"/>
        <v>2343832</v>
      </c>
      <c r="R117" s="168">
        <f t="shared" si="274"/>
        <v>2299892</v>
      </c>
      <c r="S117" s="168">
        <f t="shared" si="274"/>
        <v>2505347</v>
      </c>
      <c r="T117" s="168">
        <f t="shared" si="274"/>
        <v>2881667</v>
      </c>
      <c r="U117" s="235">
        <f t="shared" si="274"/>
        <v>2881667</v>
      </c>
      <c r="V117" s="160">
        <f t="shared" si="274"/>
        <v>2879007</v>
      </c>
      <c r="W117" s="168">
        <f t="shared" si="274"/>
        <v>3729598</v>
      </c>
      <c r="X117" s="168">
        <f t="shared" si="274"/>
        <v>3617469</v>
      </c>
      <c r="Y117" s="168">
        <f t="shared" si="274"/>
        <v>4193764</v>
      </c>
      <c r="Z117" s="235">
        <f t="shared" si="274"/>
        <v>4193764</v>
      </c>
      <c r="AA117" s="160">
        <f t="shared" ref="AA117:AR117" si="275">SUM(AA111:AA116)</f>
        <v>2447510</v>
      </c>
      <c r="AB117" s="168">
        <f t="shared" si="275"/>
        <v>2437043</v>
      </c>
      <c r="AC117" s="168">
        <f t="shared" si="275"/>
        <v>2644461</v>
      </c>
      <c r="AD117" s="168">
        <f>SUM(AD111:AD116)</f>
        <v>3338912</v>
      </c>
      <c r="AE117" s="235">
        <f>SUM(AE111:AE116)</f>
        <v>3338912</v>
      </c>
      <c r="AF117" s="160">
        <f t="shared" si="275"/>
        <v>2671516</v>
      </c>
      <c r="AG117" s="168">
        <f t="shared" si="275"/>
        <v>2875608</v>
      </c>
      <c r="AH117" s="168">
        <f t="shared" si="275"/>
        <v>2596941</v>
      </c>
      <c r="AI117" s="168">
        <f t="shared" si="275"/>
        <v>3151112</v>
      </c>
      <c r="AJ117" s="235">
        <f t="shared" si="275"/>
        <v>3151112</v>
      </c>
      <c r="AK117" s="160">
        <f t="shared" si="275"/>
        <v>2301648</v>
      </c>
      <c r="AL117" s="76">
        <f t="shared" si="275"/>
        <v>2840617</v>
      </c>
      <c r="AM117" s="168">
        <f t="shared" si="275"/>
        <v>2976764</v>
      </c>
      <c r="AN117" s="168">
        <f t="shared" si="275"/>
        <v>3246175</v>
      </c>
      <c r="AO117" s="235">
        <f t="shared" si="275"/>
        <v>3246175</v>
      </c>
      <c r="AP117" s="168">
        <f t="shared" si="275"/>
        <v>2600323</v>
      </c>
      <c r="AQ117" s="168">
        <f t="shared" si="275"/>
        <v>2256677</v>
      </c>
      <c r="AR117" s="168">
        <f t="shared" si="275"/>
        <v>2439113</v>
      </c>
      <c r="AS117" s="168">
        <f t="shared" ref="AS117:AZ117" si="276">SUM(AS111:AS116)</f>
        <v>2812994</v>
      </c>
      <c r="AT117" s="235">
        <f t="shared" si="276"/>
        <v>2812994</v>
      </c>
      <c r="AU117" s="168">
        <f t="shared" si="276"/>
        <v>2337025</v>
      </c>
      <c r="AV117" s="168">
        <f t="shared" si="276"/>
        <v>2648779</v>
      </c>
      <c r="AW117" s="168">
        <f t="shared" si="276"/>
        <v>2621710</v>
      </c>
      <c r="AX117" s="168">
        <f t="shared" si="276"/>
        <v>2696407</v>
      </c>
      <c r="AY117" s="235">
        <f t="shared" si="276"/>
        <v>2696407</v>
      </c>
      <c r="AZ117" s="168">
        <f t="shared" si="276"/>
        <v>1891724</v>
      </c>
      <c r="BA117" s="168">
        <f t="shared" ref="BA117:BF117" si="277">SUM(BA111:BA116)</f>
        <v>1851171</v>
      </c>
      <c r="BB117" s="168">
        <f t="shared" si="277"/>
        <v>1781901</v>
      </c>
      <c r="BC117" s="168">
        <f t="shared" si="277"/>
        <v>2347444</v>
      </c>
      <c r="BD117" s="235">
        <f t="shared" si="277"/>
        <v>2347444</v>
      </c>
      <c r="BE117" s="168">
        <f t="shared" si="277"/>
        <v>2548720</v>
      </c>
      <c r="BF117" s="388">
        <f t="shared" si="277"/>
        <v>2606562</v>
      </c>
      <c r="BG117" s="168">
        <f t="shared" ref="BG117:BS117" si="278">SUM(BG111:BG116)</f>
        <v>1960821</v>
      </c>
      <c r="BH117" s="388">
        <f t="shared" si="278"/>
        <v>1609031</v>
      </c>
      <c r="BI117" s="521">
        <f t="shared" si="278"/>
        <v>1609031</v>
      </c>
      <c r="BJ117" s="388">
        <f>SUM(BJ111:BJ116)</f>
        <v>1736202</v>
      </c>
      <c r="BK117" s="388">
        <f>SUM(BK111:BK116)</f>
        <v>2163062</v>
      </c>
      <c r="BL117" s="388">
        <f>SUM(BL111:BL116)</f>
        <v>2319424</v>
      </c>
      <c r="BM117" s="388">
        <f t="shared" si="278"/>
        <v>2816860</v>
      </c>
      <c r="BN117" s="521">
        <f t="shared" si="278"/>
        <v>2816860</v>
      </c>
      <c r="BO117" s="160">
        <f t="shared" si="278"/>
        <v>2731974</v>
      </c>
      <c r="BP117" s="168">
        <f t="shared" si="278"/>
        <v>2860519</v>
      </c>
      <c r="BQ117" s="168">
        <f t="shared" si="278"/>
        <v>2741080</v>
      </c>
      <c r="BR117" s="388">
        <f t="shared" ref="BR117" si="279">SUM(BR111:BR116)</f>
        <v>2667335</v>
      </c>
      <c r="BS117" s="235">
        <f t="shared" si="278"/>
        <v>2667335</v>
      </c>
      <c r="BT117" s="160">
        <f t="shared" ref="BT117:DB117" si="280">SUM(BT111:BT116)</f>
        <v>2680671.6749999998</v>
      </c>
      <c r="BU117" s="168">
        <f t="shared" si="280"/>
        <v>2694075.0333749996</v>
      </c>
      <c r="BV117" s="168">
        <f t="shared" si="280"/>
        <v>2707545.408541874</v>
      </c>
      <c r="BW117" s="168">
        <f t="shared" si="280"/>
        <v>2721083.1355845835</v>
      </c>
      <c r="BX117" s="235">
        <f t="shared" si="280"/>
        <v>2721083.1355845835</v>
      </c>
      <c r="BY117" s="160">
        <f t="shared" si="280"/>
        <v>2734688.5512625058</v>
      </c>
      <c r="BZ117" s="168">
        <f t="shared" si="280"/>
        <v>2748361.9940188187</v>
      </c>
      <c r="CA117" s="168">
        <f t="shared" si="280"/>
        <v>2762103.8039889121</v>
      </c>
      <c r="CB117" s="168">
        <f t="shared" si="280"/>
        <v>2775914.3230088567</v>
      </c>
      <c r="CC117" s="235">
        <f t="shared" si="280"/>
        <v>2775914.3230088567</v>
      </c>
      <c r="CD117" s="160">
        <f t="shared" si="280"/>
        <v>2789793.8946239008</v>
      </c>
      <c r="CE117" s="168">
        <f t="shared" si="280"/>
        <v>2803742.8640970197</v>
      </c>
      <c r="CF117" s="168">
        <f t="shared" si="280"/>
        <v>2817761.5784175042</v>
      </c>
      <c r="CG117" s="168">
        <f t="shared" si="280"/>
        <v>2831850.3863095921</v>
      </c>
      <c r="CH117" s="235">
        <f t="shared" si="280"/>
        <v>2831850.3863095921</v>
      </c>
      <c r="CI117" s="160">
        <f t="shared" si="280"/>
        <v>2846009.6382411402</v>
      </c>
      <c r="CJ117" s="168">
        <f t="shared" si="280"/>
        <v>2860239.6864323448</v>
      </c>
      <c r="CK117" s="168">
        <f t="shared" si="280"/>
        <v>2874540.8848645063</v>
      </c>
      <c r="CL117" s="168">
        <f t="shared" si="280"/>
        <v>2888913.5892888284</v>
      </c>
      <c r="CM117" s="235">
        <f t="shared" si="280"/>
        <v>2888913.5892888284</v>
      </c>
      <c r="CN117" s="160">
        <f t="shared" si="280"/>
        <v>2903358.1572352727</v>
      </c>
      <c r="CO117" s="168">
        <f t="shared" si="280"/>
        <v>2917874.9480214482</v>
      </c>
      <c r="CP117" s="168">
        <f t="shared" si="280"/>
        <v>2932464.3227615557</v>
      </c>
      <c r="CQ117" s="168">
        <f t="shared" si="280"/>
        <v>2947126.6443753634</v>
      </c>
      <c r="CR117" s="235">
        <f t="shared" si="280"/>
        <v>2947126.6443753634</v>
      </c>
      <c r="CS117" s="160">
        <f t="shared" si="280"/>
        <v>2961862.2775972397</v>
      </c>
      <c r="CT117" s="168">
        <f t="shared" si="280"/>
        <v>2976671.5889852252</v>
      </c>
      <c r="CU117" s="168">
        <f t="shared" si="280"/>
        <v>2991554.946930151</v>
      </c>
      <c r="CV117" s="168">
        <f t="shared" si="280"/>
        <v>3006512.7216648012</v>
      </c>
      <c r="CW117" s="235">
        <f t="shared" si="280"/>
        <v>3006512.7216648012</v>
      </c>
      <c r="CX117" s="160">
        <f t="shared" si="280"/>
        <v>3021545.2852731259</v>
      </c>
      <c r="CY117" s="168">
        <f t="shared" si="280"/>
        <v>3036653.0116994902</v>
      </c>
      <c r="CZ117" s="168">
        <f t="shared" si="280"/>
        <v>3051836.2767579877</v>
      </c>
      <c r="DA117" s="168">
        <f t="shared" si="280"/>
        <v>3067095.4581417772</v>
      </c>
      <c r="DB117" s="235">
        <f t="shared" si="280"/>
        <v>3067095.4581417772</v>
      </c>
      <c r="DC117" s="168"/>
      <c r="DD117" s="168"/>
      <c r="DE117" s="168"/>
      <c r="DF117" s="168"/>
      <c r="DG117" s="168"/>
      <c r="DH117" s="168"/>
      <c r="DI117" s="168"/>
      <c r="DJ117" s="168"/>
      <c r="DK117" s="406"/>
      <c r="DL117" s="406"/>
      <c r="DM117" s="25"/>
    </row>
    <row r="118" spans="1:117">
      <c r="A118" s="10"/>
      <c r="B118" s="37"/>
      <c r="C118" s="38"/>
      <c r="D118" s="38"/>
      <c r="E118" s="38" t="s">
        <v>653</v>
      </c>
      <c r="F118" s="133" t="s">
        <v>653</v>
      </c>
      <c r="G118" s="37"/>
      <c r="H118" s="38"/>
      <c r="I118" s="38"/>
      <c r="J118" s="38" t="s">
        <v>653</v>
      </c>
      <c r="K118" s="133" t="s">
        <v>653</v>
      </c>
      <c r="L118" s="37"/>
      <c r="M118" s="38"/>
      <c r="N118" s="38"/>
      <c r="O118" s="38" t="s">
        <v>653</v>
      </c>
      <c r="P118" s="133" t="s">
        <v>653</v>
      </c>
      <c r="Q118" s="37"/>
      <c r="R118" s="38"/>
      <c r="S118" s="38"/>
      <c r="T118" s="38" t="s">
        <v>653</v>
      </c>
      <c r="U118" s="133" t="s">
        <v>653</v>
      </c>
      <c r="V118" s="37"/>
      <c r="W118" s="38"/>
      <c r="X118" s="38"/>
      <c r="Y118" s="38" t="s">
        <v>653</v>
      </c>
      <c r="Z118" s="133" t="s">
        <v>653</v>
      </c>
      <c r="AA118" s="37"/>
      <c r="AB118" s="38"/>
      <c r="AC118" s="38"/>
      <c r="AD118" s="38"/>
      <c r="AE118" s="133" t="s">
        <v>653</v>
      </c>
      <c r="AF118" s="19"/>
      <c r="AG118" s="18"/>
      <c r="AH118" s="18"/>
      <c r="AI118" s="18"/>
      <c r="AJ118" s="127"/>
      <c r="AK118" s="19"/>
      <c r="AL118" s="18"/>
      <c r="AM118" s="18"/>
      <c r="AN118" s="18"/>
      <c r="AO118" s="127"/>
      <c r="AP118" s="18"/>
      <c r="AQ118" s="18"/>
      <c r="AR118" s="18"/>
      <c r="AS118" s="18"/>
      <c r="AT118" s="127"/>
      <c r="AU118" s="18"/>
      <c r="AV118" s="18"/>
      <c r="AW118" s="18"/>
      <c r="AX118" s="18"/>
      <c r="AY118" s="127"/>
      <c r="AZ118" s="18"/>
      <c r="BA118" s="18"/>
      <c r="BB118" s="18"/>
      <c r="BC118" s="18"/>
      <c r="BD118" s="127"/>
      <c r="BE118" s="18"/>
      <c r="BF118" s="18"/>
      <c r="BG118" s="18"/>
      <c r="BH118" s="18"/>
      <c r="BI118" s="127"/>
      <c r="BJ118" s="18"/>
      <c r="BK118" s="18"/>
      <c r="BL118" s="18"/>
      <c r="BM118" s="18"/>
      <c r="BN118" s="127"/>
      <c r="BO118" s="19"/>
      <c r="BP118" s="18"/>
      <c r="BQ118" s="18"/>
      <c r="BR118" s="18"/>
      <c r="BS118" s="127"/>
      <c r="BT118" s="19"/>
      <c r="BU118" s="18"/>
      <c r="BV118" s="18"/>
      <c r="BW118" s="18"/>
      <c r="BX118" s="127"/>
      <c r="BY118" s="19"/>
      <c r="BZ118" s="18"/>
      <c r="CA118" s="18"/>
      <c r="CB118" s="18"/>
      <c r="CC118" s="127"/>
      <c r="CD118" s="19"/>
      <c r="CE118" s="18"/>
      <c r="CF118" s="18"/>
      <c r="CG118" s="18"/>
      <c r="CH118" s="127"/>
      <c r="CI118" s="19"/>
      <c r="CJ118" s="18"/>
      <c r="CK118" s="18"/>
      <c r="CL118" s="18"/>
      <c r="CM118" s="127"/>
      <c r="CN118" s="19"/>
      <c r="CO118" s="18"/>
      <c r="CP118" s="18"/>
      <c r="CQ118" s="18"/>
      <c r="CR118" s="127"/>
      <c r="CS118" s="19"/>
      <c r="CT118" s="18"/>
      <c r="CU118" s="18"/>
      <c r="CV118" s="18"/>
      <c r="CW118" s="127"/>
      <c r="CX118" s="19"/>
      <c r="CY118" s="18"/>
      <c r="CZ118" s="18"/>
      <c r="DA118" s="18"/>
      <c r="DB118" s="127"/>
      <c r="DC118" s="18"/>
      <c r="DD118" s="18"/>
      <c r="DE118" s="18"/>
      <c r="DF118" s="18"/>
      <c r="DG118" s="18"/>
      <c r="DH118" s="18"/>
      <c r="DI118" s="18"/>
      <c r="DJ118" s="18"/>
      <c r="DK118" s="61"/>
      <c r="DL118" s="61"/>
      <c r="DM118" s="18"/>
    </row>
    <row r="119" spans="1:117">
      <c r="A119" s="15" t="s">
        <v>902</v>
      </c>
      <c r="B119" s="37">
        <v>1571068</v>
      </c>
      <c r="C119" s="38">
        <v>1525988</v>
      </c>
      <c r="D119" s="38">
        <v>1549232</v>
      </c>
      <c r="E119" s="48">
        <f>F119</f>
        <v>1543202</v>
      </c>
      <c r="F119" s="133">
        <v>1543202</v>
      </c>
      <c r="G119" s="37">
        <v>1528708</v>
      </c>
      <c r="H119" s="38">
        <v>2338250</v>
      </c>
      <c r="I119" s="38">
        <v>2027721</v>
      </c>
      <c r="J119" s="48">
        <f>K119</f>
        <v>2024070</v>
      </c>
      <c r="K119" s="133">
        <v>2024070</v>
      </c>
      <c r="L119" s="37">
        <v>3104054</v>
      </c>
      <c r="M119" s="38">
        <v>2630320</v>
      </c>
      <c r="N119" s="38">
        <v>4036127</v>
      </c>
      <c r="O119" s="48">
        <f>P119</f>
        <v>4030855</v>
      </c>
      <c r="P119" s="133">
        <v>4030855</v>
      </c>
      <c r="Q119" s="37">
        <v>3627043</v>
      </c>
      <c r="R119" s="38">
        <v>3608840</v>
      </c>
      <c r="S119" s="38">
        <v>4210541</v>
      </c>
      <c r="T119" s="48">
        <f>U119</f>
        <v>4215046</v>
      </c>
      <c r="U119" s="133">
        <v>4215046</v>
      </c>
      <c r="V119" s="37">
        <v>4118394</v>
      </c>
      <c r="W119" s="38">
        <v>4104994</v>
      </c>
      <c r="X119" s="38">
        <v>4102250</v>
      </c>
      <c r="Y119" s="48">
        <f>Z119</f>
        <v>4112581</v>
      </c>
      <c r="Z119" s="133">
        <v>4112581</v>
      </c>
      <c r="AA119" s="37">
        <v>4602756</v>
      </c>
      <c r="AB119" s="38">
        <v>4346285</v>
      </c>
      <c r="AC119" s="38">
        <v>4340211</v>
      </c>
      <c r="AD119" s="48">
        <f>AE119</f>
        <v>4334204</v>
      </c>
      <c r="AE119" s="133">
        <v>4334204</v>
      </c>
      <c r="AF119" s="37">
        <v>4103333</v>
      </c>
      <c r="AG119" s="38">
        <v>3697585</v>
      </c>
      <c r="AH119" s="38">
        <v>3692043</v>
      </c>
      <c r="AI119" s="38">
        <v>3686542</v>
      </c>
      <c r="AJ119" s="104">
        <f>AI119</f>
        <v>3686542</v>
      </c>
      <c r="AK119" s="37">
        <v>4976458</v>
      </c>
      <c r="AL119" s="38">
        <v>4622616</v>
      </c>
      <c r="AM119" s="38">
        <v>4532053</v>
      </c>
      <c r="AN119" s="38">
        <v>4529551</v>
      </c>
      <c r="AO119" s="104">
        <f>AN119</f>
        <v>4529551</v>
      </c>
      <c r="AP119" s="38">
        <v>5225849</v>
      </c>
      <c r="AQ119" s="38">
        <v>5224623</v>
      </c>
      <c r="AR119" s="38">
        <v>6517464</v>
      </c>
      <c r="AS119" s="38">
        <v>6515372</v>
      </c>
      <c r="AT119" s="104">
        <f>AS119</f>
        <v>6515372</v>
      </c>
      <c r="AU119" s="38">
        <v>6513327</v>
      </c>
      <c r="AV119" s="38">
        <v>6511359</v>
      </c>
      <c r="AW119" s="38">
        <v>7757159</v>
      </c>
      <c r="AX119" s="38">
        <v>7754975</v>
      </c>
      <c r="AY119" s="104">
        <f>AX119</f>
        <v>7754975</v>
      </c>
      <c r="AZ119" s="38">
        <v>7199029</v>
      </c>
      <c r="BA119" s="38">
        <v>7196988</v>
      </c>
      <c r="BB119" s="38">
        <v>7194957</v>
      </c>
      <c r="BC119" s="38">
        <v>7192929</v>
      </c>
      <c r="BD119" s="104">
        <f>BC119</f>
        <v>7192929</v>
      </c>
      <c r="BE119" s="38">
        <v>7339766</v>
      </c>
      <c r="BF119" s="38">
        <v>7291400</v>
      </c>
      <c r="BG119" s="567">
        <v>7773756</v>
      </c>
      <c r="BH119" s="38">
        <v>8323582</v>
      </c>
      <c r="BI119" s="104">
        <f>BH119</f>
        <v>8323582</v>
      </c>
      <c r="BJ119" s="38">
        <v>8320451</v>
      </c>
      <c r="BK119" s="38">
        <v>8320277</v>
      </c>
      <c r="BL119" s="38">
        <v>8320144</v>
      </c>
      <c r="BM119" s="38">
        <v>7919996</v>
      </c>
      <c r="BN119" s="104">
        <f>BM119</f>
        <v>7919996</v>
      </c>
      <c r="BO119" s="38">
        <v>7919826</v>
      </c>
      <c r="BP119" s="567">
        <v>7835606</v>
      </c>
      <c r="BQ119" s="567">
        <v>8092000</v>
      </c>
      <c r="BR119" s="38">
        <v>8091629</v>
      </c>
      <c r="BS119" s="104">
        <f>BR119</f>
        <v>8091629</v>
      </c>
      <c r="BT119" s="94">
        <f>BS119+BT204+BT205</f>
        <v>8301629</v>
      </c>
      <c r="BU119" s="48">
        <f>BT119+BU204+BU205</f>
        <v>8511629</v>
      </c>
      <c r="BV119" s="48">
        <f>BU119+BV204+BV205</f>
        <v>8721629</v>
      </c>
      <c r="BW119" s="48">
        <f>BV119+BW204+BW205</f>
        <v>8931629</v>
      </c>
      <c r="BX119" s="104">
        <f>BW119</f>
        <v>8931629</v>
      </c>
      <c r="BY119" s="94">
        <f>BX119+BY204+BY205</f>
        <v>9186629</v>
      </c>
      <c r="BZ119" s="48">
        <f>BY119+BZ204+BZ205</f>
        <v>9441629</v>
      </c>
      <c r="CA119" s="48">
        <f>BZ119+CA204+CA205</f>
        <v>9696629</v>
      </c>
      <c r="CB119" s="48">
        <f>CA119+CB204+CB205</f>
        <v>9951629</v>
      </c>
      <c r="CC119" s="104">
        <f>CB119</f>
        <v>9951629</v>
      </c>
      <c r="CD119" s="94">
        <f>CC119+CD204+CD205</f>
        <v>10064129</v>
      </c>
      <c r="CE119" s="48">
        <f>CD119+CE204+CE205</f>
        <v>10176629</v>
      </c>
      <c r="CF119" s="48">
        <f>CE119+CF204+CF205</f>
        <v>10289129</v>
      </c>
      <c r="CG119" s="48">
        <f>CF119+CG204+CG205</f>
        <v>10401629</v>
      </c>
      <c r="CH119" s="104">
        <f>CG119</f>
        <v>10401629</v>
      </c>
      <c r="CI119" s="94">
        <f>CH119+CI204+CI205</f>
        <v>10449754</v>
      </c>
      <c r="CJ119" s="48">
        <f>CI119+CJ204+CJ205</f>
        <v>10497879</v>
      </c>
      <c r="CK119" s="48">
        <f>CJ119+CK204+CK205</f>
        <v>10546004</v>
      </c>
      <c r="CL119" s="48">
        <f>CK119+CL204+CL205</f>
        <v>10594129</v>
      </c>
      <c r="CM119" s="104">
        <f>CL119</f>
        <v>10594129</v>
      </c>
      <c r="CN119" s="94">
        <f>CM119+CN204+CN205</f>
        <v>10635379</v>
      </c>
      <c r="CO119" s="48">
        <f>CN119+CO204+CO205</f>
        <v>10676629</v>
      </c>
      <c r="CP119" s="48">
        <f>CO119+CP204+CP205</f>
        <v>10717879</v>
      </c>
      <c r="CQ119" s="48">
        <f>CP119+CQ204+CQ205</f>
        <v>10759129</v>
      </c>
      <c r="CR119" s="104">
        <f>CQ119</f>
        <v>10759129</v>
      </c>
      <c r="CS119" s="94">
        <f>CR119+CS204+CS205</f>
        <v>10800379</v>
      </c>
      <c r="CT119" s="48">
        <f>CS119+CT204+CT205</f>
        <v>10841629</v>
      </c>
      <c r="CU119" s="48">
        <f>CT119+CU204+CU205</f>
        <v>10882879</v>
      </c>
      <c r="CV119" s="48">
        <f>CU119+CV204+CV205</f>
        <v>10924129</v>
      </c>
      <c r="CW119" s="104">
        <f>CV119</f>
        <v>10924129</v>
      </c>
      <c r="CX119" s="94">
        <f>CW119+CX204+CX205</f>
        <v>10972254</v>
      </c>
      <c r="CY119" s="48">
        <f>CX119+CY204+CY205</f>
        <v>11020379</v>
      </c>
      <c r="CZ119" s="48">
        <f>CY119+CZ204+CZ205</f>
        <v>11068504</v>
      </c>
      <c r="DA119" s="48">
        <f>CZ119+DA204+DA205</f>
        <v>11116629</v>
      </c>
      <c r="DB119" s="104">
        <f>DA119</f>
        <v>11116629</v>
      </c>
      <c r="DC119" s="48"/>
      <c r="DD119" s="48"/>
      <c r="DE119" s="48"/>
      <c r="DF119" s="48"/>
      <c r="DG119" s="48"/>
      <c r="DH119" s="48"/>
      <c r="DI119" s="48"/>
      <c r="DJ119" s="48"/>
      <c r="DK119" s="99"/>
      <c r="DL119" s="99"/>
      <c r="DM119" s="18"/>
    </row>
    <row r="120" spans="1:117">
      <c r="A120" s="15" t="s">
        <v>843</v>
      </c>
      <c r="B120" s="37">
        <v>570760</v>
      </c>
      <c r="C120" s="38">
        <v>598016</v>
      </c>
      <c r="D120" s="38">
        <v>614292</v>
      </c>
      <c r="E120" s="48">
        <f>F120</f>
        <v>601281</v>
      </c>
      <c r="F120" s="133">
        <v>601281</v>
      </c>
      <c r="G120" s="37">
        <v>656588</v>
      </c>
      <c r="H120" s="38">
        <v>658887</v>
      </c>
      <c r="I120" s="38">
        <v>633405</v>
      </c>
      <c r="J120" s="48">
        <f>K120</f>
        <v>603835</v>
      </c>
      <c r="K120" s="133">
        <v>603835</v>
      </c>
      <c r="L120" s="37">
        <v>604405</v>
      </c>
      <c r="M120" s="38">
        <v>572738</v>
      </c>
      <c r="N120" s="38">
        <v>577591</v>
      </c>
      <c r="O120" s="48">
        <f>P120</f>
        <v>707444</v>
      </c>
      <c r="P120" s="133">
        <v>707444</v>
      </c>
      <c r="Q120" s="37">
        <v>762637</v>
      </c>
      <c r="R120" s="38">
        <v>772821</v>
      </c>
      <c r="S120" s="38">
        <v>789491</v>
      </c>
      <c r="T120" s="48">
        <f>U120</f>
        <v>680543</v>
      </c>
      <c r="U120" s="133">
        <v>680543</v>
      </c>
      <c r="V120" s="37">
        <v>720733</v>
      </c>
      <c r="W120" s="38">
        <v>755818</v>
      </c>
      <c r="X120" s="38">
        <v>832407</v>
      </c>
      <c r="Y120" s="48">
        <f>Z120</f>
        <v>890815</v>
      </c>
      <c r="Z120" s="133">
        <v>890815</v>
      </c>
      <c r="AA120" s="37">
        <v>866497</v>
      </c>
      <c r="AB120" s="38">
        <v>867015</v>
      </c>
      <c r="AC120" s="38">
        <v>893213</v>
      </c>
      <c r="AD120" s="48">
        <f>AE120</f>
        <v>1037665</v>
      </c>
      <c r="AE120" s="133">
        <v>1037665</v>
      </c>
      <c r="AF120" s="37">
        <v>1033396</v>
      </c>
      <c r="AG120" s="38">
        <v>1053931</v>
      </c>
      <c r="AH120" s="38">
        <v>1127023</v>
      </c>
      <c r="AI120" s="38">
        <v>1171997</v>
      </c>
      <c r="AJ120" s="104">
        <f>AI120</f>
        <v>1171997</v>
      </c>
      <c r="AK120" s="37">
        <v>1223250</v>
      </c>
      <c r="AL120" s="65">
        <v>1288438</v>
      </c>
      <c r="AM120" s="38">
        <v>1386959</v>
      </c>
      <c r="AN120" s="38">
        <v>1446591</v>
      </c>
      <c r="AO120" s="104">
        <f>AN120</f>
        <v>1446591</v>
      </c>
      <c r="AP120" s="38">
        <v>1408420</v>
      </c>
      <c r="AQ120" s="38">
        <v>1457896</v>
      </c>
      <c r="AR120" s="38">
        <v>1539960</v>
      </c>
      <c r="AS120" s="38">
        <v>1592802</v>
      </c>
      <c r="AT120" s="104">
        <f>AS120</f>
        <v>1592802</v>
      </c>
      <c r="AU120" s="38">
        <v>1678887</v>
      </c>
      <c r="AV120" s="38">
        <v>1716547</v>
      </c>
      <c r="AW120" s="38">
        <v>1776949</v>
      </c>
      <c r="AX120" s="38">
        <v>1938262</v>
      </c>
      <c r="AY120" s="104">
        <f>AX120</f>
        <v>1938262</v>
      </c>
      <c r="AZ120" s="38">
        <v>1144348</v>
      </c>
      <c r="BA120" s="38">
        <v>1253099</v>
      </c>
      <c r="BB120" s="38">
        <v>1303548</v>
      </c>
      <c r="BC120" s="38">
        <v>1395222</v>
      </c>
      <c r="BD120" s="104">
        <f>BC120</f>
        <v>1395222</v>
      </c>
      <c r="BE120" s="38">
        <v>1430478</v>
      </c>
      <c r="BF120" s="38">
        <v>1451833</v>
      </c>
      <c r="BG120" s="587">
        <v>1437087</v>
      </c>
      <c r="BH120" s="38">
        <v>1436715</v>
      </c>
      <c r="BI120" s="104">
        <f>BH120</f>
        <v>1436715</v>
      </c>
      <c r="BJ120" s="38">
        <v>1484745</v>
      </c>
      <c r="BK120" s="38">
        <v>1518328</v>
      </c>
      <c r="BL120" s="38">
        <v>1573950</v>
      </c>
      <c r="BM120" s="38">
        <v>1623822</v>
      </c>
      <c r="BN120" s="104">
        <f>BM120</f>
        <v>1623822</v>
      </c>
      <c r="BO120" s="38">
        <v>1612039</v>
      </c>
      <c r="BP120" s="567">
        <v>73983</v>
      </c>
      <c r="BQ120" s="567">
        <v>76262</v>
      </c>
      <c r="BR120" s="38">
        <v>52697</v>
      </c>
      <c r="BS120" s="104">
        <f>BR120</f>
        <v>52697</v>
      </c>
      <c r="BT120" s="99">
        <f>BS120+BT170</f>
        <v>148009.19279533409</v>
      </c>
      <c r="BU120" s="99">
        <f>BT120+BU170</f>
        <v>230780.50412760233</v>
      </c>
      <c r="BV120" s="99">
        <f>BU120+BV170</f>
        <v>315940.06564861466</v>
      </c>
      <c r="BW120" s="99">
        <f>BV120+BW170</f>
        <v>399251.69041704893</v>
      </c>
      <c r="BX120" s="104">
        <f>BW120</f>
        <v>399251.69041704893</v>
      </c>
      <c r="BY120" s="99">
        <f>BX120+BY170</f>
        <v>496719.51862961752</v>
      </c>
      <c r="BZ120" s="99">
        <f>BY120+BZ170</f>
        <v>588641.50780842162</v>
      </c>
      <c r="CA120" s="99">
        <f>BZ120+CA170</f>
        <v>681756.75894585159</v>
      </c>
      <c r="CB120" s="99">
        <f>CA120+CB170</f>
        <v>772839.79446198558</v>
      </c>
      <c r="CC120" s="104">
        <f>CB120</f>
        <v>772839.79446198558</v>
      </c>
      <c r="CD120" s="99">
        <f>CC120+CD170</f>
        <v>870295.38940205413</v>
      </c>
      <c r="CE120" s="99">
        <f>CD120+CE170</f>
        <v>965152.16914449341</v>
      </c>
      <c r="CF120" s="99">
        <f>CE120+CF170</f>
        <v>1064104.0329140066</v>
      </c>
      <c r="CG120" s="99">
        <f>CF120+CG170</f>
        <v>1170839.6356318882</v>
      </c>
      <c r="CH120" s="104">
        <f>CG120</f>
        <v>1170839.6356318882</v>
      </c>
      <c r="CI120" s="99">
        <f>CH120+CI170</f>
        <v>1274485.4697586568</v>
      </c>
      <c r="CJ120" s="99">
        <f>CI120+CJ170</f>
        <v>1378429.5950382375</v>
      </c>
      <c r="CK120" s="99">
        <f>CJ120+CK170</f>
        <v>1484843.9092302423</v>
      </c>
      <c r="CL120" s="99">
        <f>CK120+CL170</f>
        <v>1603601.7043064677</v>
      </c>
      <c r="CM120" s="104">
        <f>CL120</f>
        <v>1603601.7043064677</v>
      </c>
      <c r="CN120" s="99">
        <f>CM120+CN170</f>
        <v>1699993.6904905781</v>
      </c>
      <c r="CO120" s="99">
        <f>CN120+CO170</f>
        <v>1797527.4539109762</v>
      </c>
      <c r="CP120" s="99">
        <f>CO120+CP170</f>
        <v>1897059.0525495184</v>
      </c>
      <c r="CQ120" s="99">
        <f>CP120+CQ170</f>
        <v>2011762.5685246405</v>
      </c>
      <c r="CR120" s="104">
        <f>CQ120</f>
        <v>2011762.5685246405</v>
      </c>
      <c r="CS120" s="99">
        <f>CR120+CS170</f>
        <v>2099978.6500560101</v>
      </c>
      <c r="CT120" s="99">
        <f>CS120+CT170</f>
        <v>2189244.9500910975</v>
      </c>
      <c r="CU120" s="99">
        <f>CT120+CU170</f>
        <v>2280338.1703126477</v>
      </c>
      <c r="CV120" s="99">
        <f>CU120+CV170</f>
        <v>2388771.9445191869</v>
      </c>
      <c r="CW120" s="104">
        <f>CV120</f>
        <v>2388771.9445191869</v>
      </c>
      <c r="CX120" s="99">
        <f>CW120+CX170</f>
        <v>2475494.351728329</v>
      </c>
      <c r="CY120" s="99">
        <f>CX120+CY170</f>
        <v>2563263.5460102516</v>
      </c>
      <c r="CZ120" s="99">
        <f>CY120+CZ170</f>
        <v>2652807.3396733669</v>
      </c>
      <c r="DA120" s="99">
        <f>CZ120+DA170</f>
        <v>2760132.6922332882</v>
      </c>
      <c r="DB120" s="104">
        <f>DA120</f>
        <v>2760132.6922332882</v>
      </c>
      <c r="DC120" s="48"/>
      <c r="DD120" s="48"/>
      <c r="DE120" s="48"/>
      <c r="DF120" s="48"/>
      <c r="DG120" s="48"/>
      <c r="DH120" s="48"/>
      <c r="DI120" s="48"/>
      <c r="DJ120" s="48"/>
      <c r="DK120" s="99"/>
      <c r="DL120" s="99"/>
      <c r="DM120" s="18"/>
    </row>
    <row r="121" spans="1:117">
      <c r="A121" s="15" t="s">
        <v>900</v>
      </c>
      <c r="B121" s="37">
        <v>131134</v>
      </c>
      <c r="C121" s="38">
        <v>188435</v>
      </c>
      <c r="D121" s="38">
        <v>121179</v>
      </c>
      <c r="E121" s="48">
        <f>F121</f>
        <v>102865</v>
      </c>
      <c r="F121" s="133">
        <v>102865</v>
      </c>
      <c r="G121" s="37">
        <v>89467</v>
      </c>
      <c r="H121" s="38">
        <v>64864</v>
      </c>
      <c r="I121" s="38">
        <v>873997</v>
      </c>
      <c r="J121" s="48">
        <f>K121</f>
        <v>348529</v>
      </c>
      <c r="K121" s="133">
        <v>348529</v>
      </c>
      <c r="L121" s="37">
        <v>218138</v>
      </c>
      <c r="M121" s="38">
        <v>149596</v>
      </c>
      <c r="N121" s="38">
        <v>154019</v>
      </c>
      <c r="O121" s="48">
        <f>P121</f>
        <v>137312</v>
      </c>
      <c r="P121" s="133">
        <v>137312</v>
      </c>
      <c r="Q121" s="37">
        <v>57071</v>
      </c>
      <c r="R121" s="38">
        <v>78028</v>
      </c>
      <c r="S121" s="38">
        <v>169585</v>
      </c>
      <c r="T121" s="48">
        <f>U121</f>
        <v>26861</v>
      </c>
      <c r="U121" s="133">
        <v>26861</v>
      </c>
      <c r="V121" s="37">
        <v>64256</v>
      </c>
      <c r="W121" s="38">
        <v>127428</v>
      </c>
      <c r="X121" s="38">
        <v>59796</v>
      </c>
      <c r="Y121" s="48">
        <f>Z121</f>
        <v>46311</v>
      </c>
      <c r="Z121" s="133">
        <v>46311</v>
      </c>
      <c r="AA121" s="37">
        <v>16892</v>
      </c>
      <c r="AB121" s="38">
        <v>8301</v>
      </c>
      <c r="AC121" s="38">
        <v>12995</v>
      </c>
      <c r="AD121" s="48">
        <f>AE121</f>
        <v>8926</v>
      </c>
      <c r="AE121" s="133">
        <v>8926</v>
      </c>
      <c r="AF121" s="37">
        <v>13115</v>
      </c>
      <c r="AG121" s="38">
        <v>5081</v>
      </c>
      <c r="AH121" s="38">
        <v>2045</v>
      </c>
      <c r="AI121" s="38">
        <v>2221</v>
      </c>
      <c r="AJ121" s="104">
        <f>AI121</f>
        <v>2221</v>
      </c>
      <c r="AK121" s="37">
        <v>6154</v>
      </c>
      <c r="AL121" s="38">
        <v>2406</v>
      </c>
      <c r="AM121" s="38">
        <v>1135</v>
      </c>
      <c r="AN121" s="38">
        <v>0</v>
      </c>
      <c r="AO121" s="104">
        <f>AN121</f>
        <v>0</v>
      </c>
      <c r="AP121" s="38">
        <v>0</v>
      </c>
      <c r="AQ121" s="38">
        <v>0</v>
      </c>
      <c r="AR121" s="38">
        <v>0</v>
      </c>
      <c r="AS121" s="38">
        <v>0</v>
      </c>
      <c r="AT121" s="104">
        <f>AS121</f>
        <v>0</v>
      </c>
      <c r="AU121" s="38">
        <v>0</v>
      </c>
      <c r="AV121" s="38">
        <v>0</v>
      </c>
      <c r="AW121" s="38">
        <v>0</v>
      </c>
      <c r="AX121" s="38">
        <v>0</v>
      </c>
      <c r="AY121" s="104">
        <f>AX121</f>
        <v>0</v>
      </c>
      <c r="AZ121" s="38">
        <v>0</v>
      </c>
      <c r="BA121" s="38">
        <v>0</v>
      </c>
      <c r="BB121" s="38">
        <v>0</v>
      </c>
      <c r="BC121" s="38">
        <v>0</v>
      </c>
      <c r="BD121" s="104">
        <f>BC121</f>
        <v>0</v>
      </c>
      <c r="BE121" s="38">
        <v>0</v>
      </c>
      <c r="BF121" s="48">
        <f>BE121</f>
        <v>0</v>
      </c>
      <c r="BG121" s="567">
        <v>0</v>
      </c>
      <c r="BH121" s="38">
        <v>0</v>
      </c>
      <c r="BI121" s="104">
        <f>BH121</f>
        <v>0</v>
      </c>
      <c r="BJ121" s="38">
        <v>0</v>
      </c>
      <c r="BK121" s="38">
        <v>0</v>
      </c>
      <c r="BL121" s="38">
        <v>0</v>
      </c>
      <c r="BM121" s="38">
        <v>0</v>
      </c>
      <c r="BN121" s="104">
        <f>BM121</f>
        <v>0</v>
      </c>
      <c r="BO121" s="38">
        <v>0</v>
      </c>
      <c r="BP121" s="567">
        <v>0</v>
      </c>
      <c r="BQ121" s="48">
        <f>BP121</f>
        <v>0</v>
      </c>
      <c r="BR121" s="38">
        <v>0</v>
      </c>
      <c r="BS121" s="104">
        <f>BR121</f>
        <v>0</v>
      </c>
      <c r="BT121" s="94">
        <f t="shared" ref="BT121:BW122" si="281">BS121</f>
        <v>0</v>
      </c>
      <c r="BU121" s="48">
        <f t="shared" si="281"/>
        <v>0</v>
      </c>
      <c r="BV121" s="48">
        <f t="shared" si="281"/>
        <v>0</v>
      </c>
      <c r="BW121" s="48">
        <f t="shared" si="281"/>
        <v>0</v>
      </c>
      <c r="BX121" s="104">
        <f>BW121</f>
        <v>0</v>
      </c>
      <c r="BY121" s="94">
        <f t="shared" ref="BY121:CB122" si="282">BX121</f>
        <v>0</v>
      </c>
      <c r="BZ121" s="48">
        <f t="shared" si="282"/>
        <v>0</v>
      </c>
      <c r="CA121" s="48">
        <f t="shared" si="282"/>
        <v>0</v>
      </c>
      <c r="CB121" s="48">
        <f t="shared" si="282"/>
        <v>0</v>
      </c>
      <c r="CC121" s="104">
        <f>CB121</f>
        <v>0</v>
      </c>
      <c r="CD121" s="94">
        <f t="shared" ref="CD121:CG122" si="283">CC121</f>
        <v>0</v>
      </c>
      <c r="CE121" s="48">
        <f t="shared" si="283"/>
        <v>0</v>
      </c>
      <c r="CF121" s="48">
        <f t="shared" si="283"/>
        <v>0</v>
      </c>
      <c r="CG121" s="48">
        <f t="shared" si="283"/>
        <v>0</v>
      </c>
      <c r="CH121" s="104">
        <f>CG121</f>
        <v>0</v>
      </c>
      <c r="CI121" s="94">
        <f t="shared" ref="CI121:CL122" si="284">CH121</f>
        <v>0</v>
      </c>
      <c r="CJ121" s="48">
        <f t="shared" si="284"/>
        <v>0</v>
      </c>
      <c r="CK121" s="48">
        <f t="shared" si="284"/>
        <v>0</v>
      </c>
      <c r="CL121" s="48">
        <f t="shared" si="284"/>
        <v>0</v>
      </c>
      <c r="CM121" s="104">
        <f>CL121</f>
        <v>0</v>
      </c>
      <c r="CN121" s="94">
        <f t="shared" ref="CN121:CQ122" si="285">CM121</f>
        <v>0</v>
      </c>
      <c r="CO121" s="48">
        <f t="shared" si="285"/>
        <v>0</v>
      </c>
      <c r="CP121" s="48">
        <f t="shared" si="285"/>
        <v>0</v>
      </c>
      <c r="CQ121" s="48">
        <f t="shared" si="285"/>
        <v>0</v>
      </c>
      <c r="CR121" s="104">
        <f>CQ121</f>
        <v>0</v>
      </c>
      <c r="CS121" s="94">
        <f t="shared" ref="CS121:CV122" si="286">CR121</f>
        <v>0</v>
      </c>
      <c r="CT121" s="48">
        <f t="shared" si="286"/>
        <v>0</v>
      </c>
      <c r="CU121" s="48">
        <f t="shared" si="286"/>
        <v>0</v>
      </c>
      <c r="CV121" s="48">
        <f t="shared" si="286"/>
        <v>0</v>
      </c>
      <c r="CW121" s="104">
        <f>CV121</f>
        <v>0</v>
      </c>
      <c r="CX121" s="94">
        <f t="shared" ref="CX121:DA122" si="287">CW121</f>
        <v>0</v>
      </c>
      <c r="CY121" s="48">
        <f t="shared" si="287"/>
        <v>0</v>
      </c>
      <c r="CZ121" s="48">
        <f t="shared" si="287"/>
        <v>0</v>
      </c>
      <c r="DA121" s="48">
        <f t="shared" si="287"/>
        <v>0</v>
      </c>
      <c r="DB121" s="104">
        <f>DA121</f>
        <v>0</v>
      </c>
      <c r="DC121" s="48"/>
      <c r="DD121" s="48"/>
      <c r="DE121" s="48"/>
      <c r="DF121" s="48"/>
      <c r="DG121" s="48"/>
      <c r="DH121" s="48"/>
      <c r="DI121" s="48"/>
      <c r="DJ121" s="48"/>
      <c r="DK121" s="99"/>
      <c r="DL121" s="99"/>
      <c r="DM121" s="18"/>
    </row>
    <row r="122" spans="1:117">
      <c r="A122" s="15" t="s">
        <v>278</v>
      </c>
      <c r="B122" s="37">
        <v>96923</v>
      </c>
      <c r="C122" s="38">
        <v>93555</v>
      </c>
      <c r="D122" s="38">
        <v>90186</v>
      </c>
      <c r="E122" s="48">
        <f>F122</f>
        <v>0</v>
      </c>
      <c r="F122" s="133">
        <v>0</v>
      </c>
      <c r="G122" s="37">
        <v>83449</v>
      </c>
      <c r="H122" s="38">
        <v>80080</v>
      </c>
      <c r="I122" s="38">
        <v>76712</v>
      </c>
      <c r="J122" s="48">
        <f>K122</f>
        <v>0</v>
      </c>
      <c r="K122" s="133">
        <v>0</v>
      </c>
      <c r="L122" s="37">
        <v>0</v>
      </c>
      <c r="M122" s="38">
        <v>0</v>
      </c>
      <c r="N122" s="38">
        <v>0</v>
      </c>
      <c r="O122" s="48">
        <f>P122</f>
        <v>0</v>
      </c>
      <c r="P122" s="133">
        <v>0</v>
      </c>
      <c r="Q122" s="37">
        <v>0</v>
      </c>
      <c r="R122" s="38">
        <v>0</v>
      </c>
      <c r="S122" s="38">
        <v>0</v>
      </c>
      <c r="T122" s="48">
        <f>U122</f>
        <v>0</v>
      </c>
      <c r="U122" s="133">
        <v>0</v>
      </c>
      <c r="V122" s="37">
        <v>0</v>
      </c>
      <c r="W122" s="38">
        <v>0</v>
      </c>
      <c r="X122" s="38">
        <v>0</v>
      </c>
      <c r="Y122" s="48">
        <f>Z122</f>
        <v>0</v>
      </c>
      <c r="Z122" s="133">
        <v>0</v>
      </c>
      <c r="AA122" s="37">
        <v>0</v>
      </c>
      <c r="AB122" s="38">
        <v>0</v>
      </c>
      <c r="AC122" s="38">
        <v>0</v>
      </c>
      <c r="AD122" s="48">
        <f>AE122</f>
        <v>0</v>
      </c>
      <c r="AE122" s="133">
        <v>0</v>
      </c>
      <c r="AF122" s="37">
        <v>0</v>
      </c>
      <c r="AG122" s="38">
        <v>0</v>
      </c>
      <c r="AH122" s="38">
        <v>0</v>
      </c>
      <c r="AI122" s="38">
        <v>0</v>
      </c>
      <c r="AJ122" s="104">
        <f>AI122</f>
        <v>0</v>
      </c>
      <c r="AK122" s="37">
        <v>0</v>
      </c>
      <c r="AL122" s="38">
        <v>0</v>
      </c>
      <c r="AM122" s="38">
        <v>0</v>
      </c>
      <c r="AN122" s="38">
        <v>0</v>
      </c>
      <c r="AO122" s="104">
        <f>AN122</f>
        <v>0</v>
      </c>
      <c r="AP122" s="38">
        <v>0</v>
      </c>
      <c r="AQ122" s="38">
        <v>0</v>
      </c>
      <c r="AR122" s="38">
        <v>0</v>
      </c>
      <c r="AS122" s="38">
        <v>0</v>
      </c>
      <c r="AT122" s="104">
        <f>AS122</f>
        <v>0</v>
      </c>
      <c r="AU122" s="38">
        <v>0</v>
      </c>
      <c r="AV122" s="38">
        <v>0</v>
      </c>
      <c r="AW122" s="38">
        <v>0</v>
      </c>
      <c r="AX122" s="38">
        <v>0</v>
      </c>
      <c r="AY122" s="104">
        <f>AX122</f>
        <v>0</v>
      </c>
      <c r="AZ122" s="38">
        <v>0</v>
      </c>
      <c r="BA122" s="38">
        <v>0</v>
      </c>
      <c r="BB122" s="38">
        <v>0</v>
      </c>
      <c r="BC122" s="38">
        <v>0</v>
      </c>
      <c r="BD122" s="104">
        <f>BC122</f>
        <v>0</v>
      </c>
      <c r="BE122" s="38">
        <v>0</v>
      </c>
      <c r="BF122" s="48">
        <f>BE122</f>
        <v>0</v>
      </c>
      <c r="BG122" s="567">
        <v>0</v>
      </c>
      <c r="BH122" s="38">
        <v>0</v>
      </c>
      <c r="BI122" s="104">
        <f>BH122</f>
        <v>0</v>
      </c>
      <c r="BJ122" s="38">
        <v>0</v>
      </c>
      <c r="BK122" s="38">
        <v>0</v>
      </c>
      <c r="BL122" s="38">
        <v>0</v>
      </c>
      <c r="BM122" s="38">
        <v>0</v>
      </c>
      <c r="BN122" s="104">
        <f t="shared" ref="BN122:BS123" si="288">BM122</f>
        <v>0</v>
      </c>
      <c r="BO122" s="38">
        <v>0</v>
      </c>
      <c r="BP122" s="567">
        <v>0</v>
      </c>
      <c r="BQ122" s="48">
        <f t="shared" si="288"/>
        <v>0</v>
      </c>
      <c r="BR122" s="38">
        <v>0</v>
      </c>
      <c r="BS122" s="104">
        <f t="shared" si="288"/>
        <v>0</v>
      </c>
      <c r="BT122" s="94">
        <f t="shared" si="281"/>
        <v>0</v>
      </c>
      <c r="BU122" s="48">
        <f t="shared" si="281"/>
        <v>0</v>
      </c>
      <c r="BV122" s="48">
        <f t="shared" si="281"/>
        <v>0</v>
      </c>
      <c r="BW122" s="48">
        <f t="shared" si="281"/>
        <v>0</v>
      </c>
      <c r="BX122" s="104">
        <f>BW122</f>
        <v>0</v>
      </c>
      <c r="BY122" s="94">
        <f t="shared" si="282"/>
        <v>0</v>
      </c>
      <c r="BZ122" s="48">
        <f t="shared" si="282"/>
        <v>0</v>
      </c>
      <c r="CA122" s="48">
        <f t="shared" si="282"/>
        <v>0</v>
      </c>
      <c r="CB122" s="48">
        <f t="shared" si="282"/>
        <v>0</v>
      </c>
      <c r="CC122" s="104">
        <f>CB122</f>
        <v>0</v>
      </c>
      <c r="CD122" s="94">
        <f t="shared" si="283"/>
        <v>0</v>
      </c>
      <c r="CE122" s="48">
        <f t="shared" si="283"/>
        <v>0</v>
      </c>
      <c r="CF122" s="48">
        <f t="shared" si="283"/>
        <v>0</v>
      </c>
      <c r="CG122" s="48">
        <f t="shared" si="283"/>
        <v>0</v>
      </c>
      <c r="CH122" s="104">
        <f>CG122</f>
        <v>0</v>
      </c>
      <c r="CI122" s="94">
        <f t="shared" si="284"/>
        <v>0</v>
      </c>
      <c r="CJ122" s="48">
        <f t="shared" si="284"/>
        <v>0</v>
      </c>
      <c r="CK122" s="48">
        <f t="shared" si="284"/>
        <v>0</v>
      </c>
      <c r="CL122" s="48">
        <f t="shared" si="284"/>
        <v>0</v>
      </c>
      <c r="CM122" s="104">
        <f>CL122</f>
        <v>0</v>
      </c>
      <c r="CN122" s="94">
        <f t="shared" si="285"/>
        <v>0</v>
      </c>
      <c r="CO122" s="48">
        <f t="shared" si="285"/>
        <v>0</v>
      </c>
      <c r="CP122" s="48">
        <f t="shared" si="285"/>
        <v>0</v>
      </c>
      <c r="CQ122" s="48">
        <f t="shared" si="285"/>
        <v>0</v>
      </c>
      <c r="CR122" s="104">
        <f>CQ122</f>
        <v>0</v>
      </c>
      <c r="CS122" s="94">
        <f t="shared" si="286"/>
        <v>0</v>
      </c>
      <c r="CT122" s="48">
        <f t="shared" si="286"/>
        <v>0</v>
      </c>
      <c r="CU122" s="48">
        <f t="shared" si="286"/>
        <v>0</v>
      </c>
      <c r="CV122" s="48">
        <f t="shared" si="286"/>
        <v>0</v>
      </c>
      <c r="CW122" s="104">
        <f>CV122</f>
        <v>0</v>
      </c>
      <c r="CX122" s="94">
        <f t="shared" si="287"/>
        <v>0</v>
      </c>
      <c r="CY122" s="48">
        <f t="shared" si="287"/>
        <v>0</v>
      </c>
      <c r="CZ122" s="48">
        <f t="shared" si="287"/>
        <v>0</v>
      </c>
      <c r="DA122" s="48">
        <f t="shared" si="287"/>
        <v>0</v>
      </c>
      <c r="DB122" s="104">
        <f>DA122</f>
        <v>0</v>
      </c>
      <c r="DC122" s="48"/>
      <c r="DD122" s="48"/>
      <c r="DE122" s="48"/>
      <c r="DF122" s="48"/>
      <c r="DG122" s="48"/>
      <c r="DH122" s="48"/>
      <c r="DI122" s="48"/>
      <c r="DJ122" s="48"/>
      <c r="DK122" s="99"/>
      <c r="DL122" s="99"/>
      <c r="DM122" s="18"/>
    </row>
    <row r="123" spans="1:117">
      <c r="A123" s="15" t="s">
        <v>903</v>
      </c>
      <c r="B123" s="37">
        <v>338410</v>
      </c>
      <c r="C123" s="38">
        <v>330810</v>
      </c>
      <c r="D123" s="38">
        <v>329013</v>
      </c>
      <c r="E123" s="48">
        <f>F123</f>
        <v>371130</v>
      </c>
      <c r="F123" s="133">
        <v>371130</v>
      </c>
      <c r="G123" s="37">
        <v>282072</v>
      </c>
      <c r="H123" s="38">
        <v>283267</v>
      </c>
      <c r="I123" s="38">
        <v>275720</v>
      </c>
      <c r="J123" s="48">
        <f>K123</f>
        <v>350157</v>
      </c>
      <c r="K123" s="133">
        <v>350157</v>
      </c>
      <c r="L123" s="37">
        <v>347447</v>
      </c>
      <c r="M123" s="38">
        <v>330669</v>
      </c>
      <c r="N123" s="38">
        <v>330068</v>
      </c>
      <c r="O123" s="48">
        <f>P123</f>
        <v>548330</v>
      </c>
      <c r="P123" s="133">
        <v>548330</v>
      </c>
      <c r="Q123" s="37">
        <v>548674</v>
      </c>
      <c r="R123" s="38">
        <v>571110</v>
      </c>
      <c r="S123" s="38">
        <v>577108</v>
      </c>
      <c r="T123" s="48">
        <f>U123</f>
        <v>486645</v>
      </c>
      <c r="U123" s="133">
        <v>486645</v>
      </c>
      <c r="V123" s="37">
        <v>485190</v>
      </c>
      <c r="W123" s="38">
        <v>495231</v>
      </c>
      <c r="X123" s="38">
        <v>493284</v>
      </c>
      <c r="Y123" s="48">
        <f>Z123</f>
        <v>715052</v>
      </c>
      <c r="Z123" s="133">
        <v>715052</v>
      </c>
      <c r="AA123" s="37">
        <v>765176</v>
      </c>
      <c r="AB123" s="38">
        <v>762213</v>
      </c>
      <c r="AC123" s="38">
        <v>738815</v>
      </c>
      <c r="AD123" s="48">
        <f>AE123</f>
        <v>662514</v>
      </c>
      <c r="AE123" s="133">
        <v>662514</v>
      </c>
      <c r="AF123" s="37">
        <v>628191</v>
      </c>
      <c r="AG123" s="38">
        <v>617132</v>
      </c>
      <c r="AH123" s="38">
        <v>616306</v>
      </c>
      <c r="AI123" s="38">
        <v>566462</v>
      </c>
      <c r="AJ123" s="104">
        <f>AI123</f>
        <v>566462</v>
      </c>
      <c r="AK123" s="37">
        <v>575068</v>
      </c>
      <c r="AL123" s="38">
        <v>584552</v>
      </c>
      <c r="AM123" s="38">
        <v>592153</v>
      </c>
      <c r="AN123" s="38">
        <v>674586</v>
      </c>
      <c r="AO123" s="104">
        <f>AN123</f>
        <v>674586</v>
      </c>
      <c r="AP123" s="38">
        <v>638029</v>
      </c>
      <c r="AQ123" s="38">
        <v>672007</v>
      </c>
      <c r="AR123" s="38">
        <v>692211</v>
      </c>
      <c r="AS123" s="38">
        <v>701657</v>
      </c>
      <c r="AT123" s="104">
        <f>AS123</f>
        <v>701657</v>
      </c>
      <c r="AU123" s="38">
        <v>712847</v>
      </c>
      <c r="AV123" s="38">
        <v>791233</v>
      </c>
      <c r="AW123" s="38">
        <v>763879</v>
      </c>
      <c r="AX123" s="38">
        <v>472734</v>
      </c>
      <c r="AY123" s="104">
        <f>AX123</f>
        <v>472734</v>
      </c>
      <c r="AZ123" s="38">
        <v>229277</v>
      </c>
      <c r="BA123" s="38">
        <v>237468</v>
      </c>
      <c r="BB123" s="38">
        <v>229280</v>
      </c>
      <c r="BC123" s="38">
        <f>281757</f>
        <v>281757</v>
      </c>
      <c r="BD123" s="104">
        <f>BC123</f>
        <v>281757</v>
      </c>
      <c r="BE123" s="38">
        <v>290422</v>
      </c>
      <c r="BF123" s="38">
        <v>276897</v>
      </c>
      <c r="BG123" s="38">
        <f>278731</f>
        <v>278731</v>
      </c>
      <c r="BH123" s="38">
        <f>264248</f>
        <v>264248</v>
      </c>
      <c r="BI123" s="104">
        <f>BH123</f>
        <v>264248</v>
      </c>
      <c r="BJ123" s="38">
        <v>273070</v>
      </c>
      <c r="BK123" s="38">
        <v>293153</v>
      </c>
      <c r="BL123" s="38">
        <v>296751</v>
      </c>
      <c r="BM123" s="38">
        <v>321846</v>
      </c>
      <c r="BN123" s="104">
        <f>BM123</f>
        <v>321846</v>
      </c>
      <c r="BO123" s="38">
        <v>334206</v>
      </c>
      <c r="BP123" s="567">
        <v>337584</v>
      </c>
      <c r="BQ123" s="567">
        <v>339116</v>
      </c>
      <c r="BR123" s="38">
        <v>348924</v>
      </c>
      <c r="BS123" s="104">
        <f t="shared" si="288"/>
        <v>348924</v>
      </c>
      <c r="BT123" s="99">
        <f>BS123+BT174+BT171</f>
        <v>361158.11625000002</v>
      </c>
      <c r="BU123" s="99">
        <f>BT123+BU174+BU171</f>
        <v>373438.61199375003</v>
      </c>
      <c r="BV123" s="99">
        <f>BU123+BV174+BV171</f>
        <v>385765.71912871883</v>
      </c>
      <c r="BW123" s="99">
        <f>BV123+BW174+BW171</f>
        <v>398139.67071186245</v>
      </c>
      <c r="BX123" s="104">
        <f>BW123</f>
        <v>398139.67071186245</v>
      </c>
      <c r="BY123" s="99">
        <f>BX123+BY174+BY171</f>
        <v>405820.54634093429</v>
      </c>
      <c r="BZ123" s="99">
        <f>BY123+BZ174+BZ171</f>
        <v>413524.96130521398</v>
      </c>
      <c r="CA123" s="99">
        <f>BZ123+CA174+CA171</f>
        <v>421253.03330137755</v>
      </c>
      <c r="CB123" s="99">
        <f>CA123+CB174+CB171</f>
        <v>429004.88061458443</v>
      </c>
      <c r="CC123" s="104">
        <f>CB123</f>
        <v>429004.88061458443</v>
      </c>
      <c r="CD123" s="99">
        <f>CC123+CD174+CD171</f>
        <v>434382.17360787536</v>
      </c>
      <c r="CE123" s="99">
        <f>CD123+CE174+CE171</f>
        <v>439771.41369798052</v>
      </c>
      <c r="CF123" s="99">
        <f>CE123+CF174+CF171</f>
        <v>445172.66062038403</v>
      </c>
      <c r="CG123" s="99">
        <f>CF123+CG174+CG171</f>
        <v>450585.9744092474</v>
      </c>
      <c r="CH123" s="104">
        <f>CG123</f>
        <v>450585.9744092474</v>
      </c>
      <c r="CI123" s="99">
        <f>CH123+CI174+CI171</f>
        <v>456026.35476705513</v>
      </c>
      <c r="CJ123" s="99">
        <f>CI123+CJ174+CJ171</f>
        <v>461478.92296165891</v>
      </c>
      <c r="CK123" s="99">
        <f>CJ123+CK174+CK171</f>
        <v>466943.73993224278</v>
      </c>
      <c r="CL123" s="99">
        <f>CK123+CL174+CL171</f>
        <v>472420.86692268663</v>
      </c>
      <c r="CM123" s="104">
        <f>CL123</f>
        <v>472420.86692268663</v>
      </c>
      <c r="CN123" s="99">
        <f>CM123+CN174+CN171</f>
        <v>477925.37954808271</v>
      </c>
      <c r="CO123" s="99">
        <f>CN123+CO174+CO171</f>
        <v>483442.32560128783</v>
      </c>
      <c r="CP123" s="99">
        <f>CO123+CP174+CP171</f>
        <v>488971.76724944107</v>
      </c>
      <c r="CQ123" s="99">
        <f>CP123+CQ174+CQ171</f>
        <v>494513.76697051717</v>
      </c>
      <c r="CR123" s="104">
        <f>CQ123</f>
        <v>494513.76697051717</v>
      </c>
      <c r="CS123" s="99">
        <f>CR123+CS174+CS171</f>
        <v>500083.47669019864</v>
      </c>
      <c r="CT123" s="99">
        <f>CS123+CT174+CT171</f>
        <v>505665.87037748401</v>
      </c>
      <c r="CU123" s="99">
        <f>CT123+CU174+CU171</f>
        <v>511261.0114522113</v>
      </c>
      <c r="CV123" s="99">
        <f>CU123+CV174+CV171</f>
        <v>516868.9636513177</v>
      </c>
      <c r="CW123" s="104">
        <f>CV123</f>
        <v>516868.9636513177</v>
      </c>
      <c r="CX123" s="99">
        <f>CW123+CX174+CX171</f>
        <v>522504.95561141963</v>
      </c>
      <c r="CY123" s="99">
        <f>CX123+CY174+CY171</f>
        <v>528153.88712742261</v>
      </c>
      <c r="CZ123" s="99">
        <f>CY123+CZ174+CZ171</f>
        <v>533815.82289710618</v>
      </c>
      <c r="DA123" s="99">
        <f>CZ123+DA174+DA171</f>
        <v>539490.82794173865</v>
      </c>
      <c r="DB123" s="104">
        <f>DA123</f>
        <v>539490.82794173865</v>
      </c>
      <c r="DC123" s="48"/>
      <c r="DD123" s="48"/>
      <c r="DE123" s="48"/>
      <c r="DF123" s="48"/>
      <c r="DG123" s="48"/>
      <c r="DH123" s="48"/>
      <c r="DI123" s="48"/>
      <c r="DJ123" s="48"/>
      <c r="DK123" s="99"/>
      <c r="DL123" s="99"/>
      <c r="DM123" s="18"/>
    </row>
    <row r="124" spans="1:117">
      <c r="A124" s="28" t="s">
        <v>316</v>
      </c>
      <c r="B124" s="160">
        <f>SUM(B120:B123)</f>
        <v>1137227</v>
      </c>
      <c r="C124" s="168">
        <f t="shared" ref="C124:Z124" si="289">SUM(C120:C123)</f>
        <v>1210816</v>
      </c>
      <c r="D124" s="168">
        <f t="shared" si="289"/>
        <v>1154670</v>
      </c>
      <c r="E124" s="168">
        <f t="shared" si="289"/>
        <v>1075276</v>
      </c>
      <c r="F124" s="235">
        <f t="shared" si="289"/>
        <v>1075276</v>
      </c>
      <c r="G124" s="160">
        <f t="shared" si="289"/>
        <v>1111576</v>
      </c>
      <c r="H124" s="168">
        <f t="shared" si="289"/>
        <v>1087098</v>
      </c>
      <c r="I124" s="168">
        <f t="shared" si="289"/>
        <v>1859834</v>
      </c>
      <c r="J124" s="168">
        <f t="shared" si="289"/>
        <v>1302521</v>
      </c>
      <c r="K124" s="235">
        <f t="shared" si="289"/>
        <v>1302521</v>
      </c>
      <c r="L124" s="160">
        <f t="shared" si="289"/>
        <v>1169990</v>
      </c>
      <c r="M124" s="168">
        <f t="shared" si="289"/>
        <v>1053003</v>
      </c>
      <c r="N124" s="168">
        <f t="shared" si="289"/>
        <v>1061678</v>
      </c>
      <c r="O124" s="168">
        <f t="shared" si="289"/>
        <v>1393086</v>
      </c>
      <c r="P124" s="235">
        <f t="shared" si="289"/>
        <v>1393086</v>
      </c>
      <c r="Q124" s="160">
        <f t="shared" si="289"/>
        <v>1368382</v>
      </c>
      <c r="R124" s="168">
        <f t="shared" si="289"/>
        <v>1421959</v>
      </c>
      <c r="S124" s="168">
        <f t="shared" si="289"/>
        <v>1536184</v>
      </c>
      <c r="T124" s="168">
        <f t="shared" si="289"/>
        <v>1194049</v>
      </c>
      <c r="U124" s="235">
        <f t="shared" si="289"/>
        <v>1194049</v>
      </c>
      <c r="V124" s="160">
        <f t="shared" si="289"/>
        <v>1270179</v>
      </c>
      <c r="W124" s="168">
        <f t="shared" si="289"/>
        <v>1378477</v>
      </c>
      <c r="X124" s="168">
        <f t="shared" si="289"/>
        <v>1385487</v>
      </c>
      <c r="Y124" s="168">
        <f t="shared" si="289"/>
        <v>1652178</v>
      </c>
      <c r="Z124" s="235">
        <f t="shared" si="289"/>
        <v>1652178</v>
      </c>
      <c r="AA124" s="160">
        <f t="shared" ref="AA124:AR124" si="290">SUM(AA120:AA123)</f>
        <v>1648565</v>
      </c>
      <c r="AB124" s="168">
        <f t="shared" si="290"/>
        <v>1637529</v>
      </c>
      <c r="AC124" s="168">
        <f t="shared" si="290"/>
        <v>1645023</v>
      </c>
      <c r="AD124" s="168">
        <f>SUM(AD120:AD123)</f>
        <v>1709105</v>
      </c>
      <c r="AE124" s="235">
        <f>SUM(AE120:AE123)</f>
        <v>1709105</v>
      </c>
      <c r="AF124" s="160">
        <f t="shared" si="290"/>
        <v>1674702</v>
      </c>
      <c r="AG124" s="168">
        <f t="shared" si="290"/>
        <v>1676144</v>
      </c>
      <c r="AH124" s="168">
        <f t="shared" si="290"/>
        <v>1745374</v>
      </c>
      <c r="AI124" s="168">
        <f t="shared" si="290"/>
        <v>1740680</v>
      </c>
      <c r="AJ124" s="235">
        <f t="shared" si="290"/>
        <v>1740680</v>
      </c>
      <c r="AK124" s="160">
        <f t="shared" si="290"/>
        <v>1804472</v>
      </c>
      <c r="AL124" s="76">
        <f t="shared" si="290"/>
        <v>1875396</v>
      </c>
      <c r="AM124" s="168">
        <f t="shared" si="290"/>
        <v>1980247</v>
      </c>
      <c r="AN124" s="168">
        <f t="shared" si="290"/>
        <v>2121177</v>
      </c>
      <c r="AO124" s="235">
        <f t="shared" si="290"/>
        <v>2121177</v>
      </c>
      <c r="AP124" s="168">
        <f t="shared" si="290"/>
        <v>2046449</v>
      </c>
      <c r="AQ124" s="168">
        <f t="shared" si="290"/>
        <v>2129903</v>
      </c>
      <c r="AR124" s="168">
        <f t="shared" si="290"/>
        <v>2232171</v>
      </c>
      <c r="AS124" s="168">
        <f t="shared" ref="AS124:AZ124" si="291">SUM(AS120:AS123)</f>
        <v>2294459</v>
      </c>
      <c r="AT124" s="235">
        <f t="shared" si="291"/>
        <v>2294459</v>
      </c>
      <c r="AU124" s="168">
        <f t="shared" si="291"/>
        <v>2391734</v>
      </c>
      <c r="AV124" s="168">
        <f t="shared" si="291"/>
        <v>2507780</v>
      </c>
      <c r="AW124" s="168">
        <f t="shared" si="291"/>
        <v>2540828</v>
      </c>
      <c r="AX124" s="168">
        <f t="shared" si="291"/>
        <v>2410996</v>
      </c>
      <c r="AY124" s="235">
        <f t="shared" si="291"/>
        <v>2410996</v>
      </c>
      <c r="AZ124" s="168">
        <f t="shared" si="291"/>
        <v>1373625</v>
      </c>
      <c r="BA124" s="168">
        <f t="shared" ref="BA124:BF124" si="292">SUM(BA120:BA123)</f>
        <v>1490567</v>
      </c>
      <c r="BB124" s="168">
        <f t="shared" si="292"/>
        <v>1532828</v>
      </c>
      <c r="BC124" s="168">
        <f t="shared" si="292"/>
        <v>1676979</v>
      </c>
      <c r="BD124" s="235">
        <f t="shared" si="292"/>
        <v>1676979</v>
      </c>
      <c r="BE124" s="168">
        <f t="shared" si="292"/>
        <v>1720900</v>
      </c>
      <c r="BF124" s="388">
        <f t="shared" si="292"/>
        <v>1728730</v>
      </c>
      <c r="BG124" s="168">
        <f t="shared" ref="BG124:BS124" si="293">SUM(BG120:BG123)</f>
        <v>1715818</v>
      </c>
      <c r="BH124" s="388">
        <f t="shared" si="293"/>
        <v>1700963</v>
      </c>
      <c r="BI124" s="521">
        <f t="shared" si="293"/>
        <v>1700963</v>
      </c>
      <c r="BJ124" s="388">
        <f>SUM(BJ120:BJ123)</f>
        <v>1757815</v>
      </c>
      <c r="BK124" s="388">
        <f>SUM(BK120:BK123)</f>
        <v>1811481</v>
      </c>
      <c r="BL124" s="388">
        <f>SUM(BL120:BL123)</f>
        <v>1870701</v>
      </c>
      <c r="BM124" s="388">
        <f t="shared" si="293"/>
        <v>1945668</v>
      </c>
      <c r="BN124" s="521">
        <f t="shared" si="293"/>
        <v>1945668</v>
      </c>
      <c r="BO124" s="160">
        <f t="shared" si="293"/>
        <v>1946245</v>
      </c>
      <c r="BP124" s="168">
        <f t="shared" si="293"/>
        <v>411567</v>
      </c>
      <c r="BQ124" s="168">
        <f t="shared" si="293"/>
        <v>415378</v>
      </c>
      <c r="BR124" s="388">
        <f t="shared" ref="BR124" si="294">SUM(BR120:BR123)</f>
        <v>401621</v>
      </c>
      <c r="BS124" s="235">
        <f t="shared" si="293"/>
        <v>401621</v>
      </c>
      <c r="BT124" s="160">
        <f t="shared" ref="BT124:DB124" si="295">SUM(BT120:BT123)</f>
        <v>509167.30904533411</v>
      </c>
      <c r="BU124" s="168">
        <f t="shared" si="295"/>
        <v>604219.11612135242</v>
      </c>
      <c r="BV124" s="168">
        <f t="shared" si="295"/>
        <v>701705.78477733349</v>
      </c>
      <c r="BW124" s="168">
        <f t="shared" si="295"/>
        <v>797391.36112891138</v>
      </c>
      <c r="BX124" s="235">
        <f t="shared" si="295"/>
        <v>797391.36112891138</v>
      </c>
      <c r="BY124" s="160">
        <f t="shared" si="295"/>
        <v>902540.06497055176</v>
      </c>
      <c r="BZ124" s="168">
        <f t="shared" si="295"/>
        <v>1002166.4691136356</v>
      </c>
      <c r="CA124" s="168">
        <f t="shared" si="295"/>
        <v>1103009.7922472293</v>
      </c>
      <c r="CB124" s="168">
        <f t="shared" si="295"/>
        <v>1201844.6750765699</v>
      </c>
      <c r="CC124" s="235">
        <f t="shared" si="295"/>
        <v>1201844.6750765699</v>
      </c>
      <c r="CD124" s="160">
        <f t="shared" si="295"/>
        <v>1304677.5630099294</v>
      </c>
      <c r="CE124" s="168">
        <f t="shared" si="295"/>
        <v>1404923.5828424739</v>
      </c>
      <c r="CF124" s="168">
        <f t="shared" si="295"/>
        <v>1509276.6935343905</v>
      </c>
      <c r="CG124" s="168">
        <f t="shared" si="295"/>
        <v>1621425.6100411355</v>
      </c>
      <c r="CH124" s="235">
        <f t="shared" si="295"/>
        <v>1621425.6100411355</v>
      </c>
      <c r="CI124" s="160">
        <f t="shared" si="295"/>
        <v>1730511.8245257121</v>
      </c>
      <c r="CJ124" s="168">
        <f t="shared" si="295"/>
        <v>1839908.5179998963</v>
      </c>
      <c r="CK124" s="168">
        <f t="shared" si="295"/>
        <v>1951787.649162485</v>
      </c>
      <c r="CL124" s="168">
        <f t="shared" si="295"/>
        <v>2076022.5712291542</v>
      </c>
      <c r="CM124" s="235">
        <f t="shared" si="295"/>
        <v>2076022.5712291542</v>
      </c>
      <c r="CN124" s="160">
        <f t="shared" si="295"/>
        <v>2177919.0700386609</v>
      </c>
      <c r="CO124" s="168">
        <f t="shared" si="295"/>
        <v>2280969.7795122638</v>
      </c>
      <c r="CP124" s="168">
        <f t="shared" si="295"/>
        <v>2386030.8197989594</v>
      </c>
      <c r="CQ124" s="168">
        <f t="shared" si="295"/>
        <v>2506276.3354951576</v>
      </c>
      <c r="CR124" s="235">
        <f t="shared" si="295"/>
        <v>2506276.3354951576</v>
      </c>
      <c r="CS124" s="160">
        <f t="shared" si="295"/>
        <v>2600062.1267462089</v>
      </c>
      <c r="CT124" s="168">
        <f t="shared" si="295"/>
        <v>2694910.8204685813</v>
      </c>
      <c r="CU124" s="168">
        <f t="shared" si="295"/>
        <v>2791599.1817648588</v>
      </c>
      <c r="CV124" s="168">
        <f t="shared" si="295"/>
        <v>2905640.9081705045</v>
      </c>
      <c r="CW124" s="235">
        <f t="shared" si="295"/>
        <v>2905640.9081705045</v>
      </c>
      <c r="CX124" s="160">
        <f t="shared" si="295"/>
        <v>2997999.3073397484</v>
      </c>
      <c r="CY124" s="168">
        <f t="shared" si="295"/>
        <v>3091417.4331376744</v>
      </c>
      <c r="CZ124" s="168">
        <f t="shared" si="295"/>
        <v>3186623.1625704728</v>
      </c>
      <c r="DA124" s="168">
        <f t="shared" si="295"/>
        <v>3299623.5201750267</v>
      </c>
      <c r="DB124" s="235">
        <f t="shared" si="295"/>
        <v>3299623.5201750267</v>
      </c>
      <c r="DC124" s="168"/>
      <c r="DD124" s="168"/>
      <c r="DE124" s="168"/>
      <c r="DF124" s="168"/>
      <c r="DG124" s="168"/>
      <c r="DH124" s="168"/>
      <c r="DI124" s="168"/>
      <c r="DJ124" s="168"/>
      <c r="DK124" s="406"/>
      <c r="DL124" s="406"/>
      <c r="DM124" s="25"/>
    </row>
    <row r="125" spans="1:117">
      <c r="A125" s="10" t="s">
        <v>280</v>
      </c>
      <c r="B125" s="37">
        <v>0</v>
      </c>
      <c r="C125" s="38">
        <v>0</v>
      </c>
      <c r="D125" s="38">
        <v>0</v>
      </c>
      <c r="E125" s="48">
        <f>F125</f>
        <v>86175</v>
      </c>
      <c r="F125" s="133">
        <v>86175</v>
      </c>
      <c r="G125" s="37">
        <v>0</v>
      </c>
      <c r="H125" s="38">
        <v>0</v>
      </c>
      <c r="I125" s="38">
        <v>1646</v>
      </c>
      <c r="J125" s="48">
        <f>K125</f>
        <v>2464</v>
      </c>
      <c r="K125" s="133">
        <v>2464</v>
      </c>
      <c r="L125" s="37">
        <v>1963</v>
      </c>
      <c r="M125" s="38">
        <v>2359</v>
      </c>
      <c r="N125" s="38">
        <v>1683</v>
      </c>
      <c r="O125" s="48">
        <f>P125</f>
        <v>0</v>
      </c>
      <c r="P125" s="133">
        <v>0</v>
      </c>
      <c r="Q125" s="37">
        <v>0</v>
      </c>
      <c r="R125" s="38">
        <v>0</v>
      </c>
      <c r="S125" s="38">
        <v>0</v>
      </c>
      <c r="T125" s="48">
        <f>U125</f>
        <v>0</v>
      </c>
      <c r="U125" s="133">
        <v>0</v>
      </c>
      <c r="V125" s="37">
        <v>0</v>
      </c>
      <c r="W125" s="38">
        <v>0</v>
      </c>
      <c r="X125" s="38">
        <v>0</v>
      </c>
      <c r="Y125" s="48">
        <f>Z125</f>
        <v>0</v>
      </c>
      <c r="Z125" s="133">
        <v>0</v>
      </c>
      <c r="AA125" s="37">
        <v>0</v>
      </c>
      <c r="AB125" s="38">
        <v>0</v>
      </c>
      <c r="AC125" s="38">
        <v>0</v>
      </c>
      <c r="AD125" s="48">
        <f>AE125</f>
        <v>0</v>
      </c>
      <c r="AE125" s="133">
        <v>0</v>
      </c>
      <c r="AF125" s="37">
        <v>0</v>
      </c>
      <c r="AG125" s="38">
        <v>0</v>
      </c>
      <c r="AH125" s="38">
        <v>0</v>
      </c>
      <c r="AI125" s="38">
        <v>0</v>
      </c>
      <c r="AJ125" s="104">
        <f>AI125</f>
        <v>0</v>
      </c>
      <c r="AK125" s="37">
        <v>0</v>
      </c>
      <c r="AL125" s="38">
        <v>0</v>
      </c>
      <c r="AM125" s="38">
        <v>0</v>
      </c>
      <c r="AN125" s="38">
        <v>0</v>
      </c>
      <c r="AO125" s="104">
        <f>AN125</f>
        <v>0</v>
      </c>
      <c r="AP125" s="38">
        <v>0</v>
      </c>
      <c r="AQ125" s="38">
        <v>0</v>
      </c>
      <c r="AR125" s="38">
        <v>0</v>
      </c>
      <c r="AS125" s="38">
        <v>0</v>
      </c>
      <c r="AT125" s="104">
        <f>AS125</f>
        <v>0</v>
      </c>
      <c r="AU125" s="38">
        <v>0</v>
      </c>
      <c r="AV125" s="38">
        <v>0</v>
      </c>
      <c r="AW125" s="38">
        <v>0</v>
      </c>
      <c r="AX125" s="38">
        <v>0</v>
      </c>
      <c r="AY125" s="104">
        <f>AX125</f>
        <v>0</v>
      </c>
      <c r="AZ125" s="38">
        <v>61049</v>
      </c>
      <c r="BA125" s="38">
        <v>52481</v>
      </c>
      <c r="BB125" s="38">
        <v>43115</v>
      </c>
      <c r="BC125" s="38">
        <f>36424+44901</f>
        <v>81325</v>
      </c>
      <c r="BD125" s="104">
        <f>BC125</f>
        <v>81325</v>
      </c>
      <c r="BE125" s="38">
        <v>30399</v>
      </c>
      <c r="BF125" s="38">
        <v>25129</v>
      </c>
      <c r="BG125" s="567">
        <v>20598</v>
      </c>
      <c r="BH125" s="38">
        <f>16964+29235</f>
        <v>46199</v>
      </c>
      <c r="BI125" s="104">
        <f>BH125</f>
        <v>46199</v>
      </c>
      <c r="BJ125" s="38">
        <f>12916+28258</f>
        <v>41174</v>
      </c>
      <c r="BK125" s="38">
        <f>25359+10544</f>
        <v>35903</v>
      </c>
      <c r="BL125" s="38">
        <f>22540+9012</f>
        <v>31552</v>
      </c>
      <c r="BM125" s="38">
        <f>7471+19841</f>
        <v>27312</v>
      </c>
      <c r="BN125" s="104">
        <f t="shared" ref="BN125:BS125" si="296">BM125</f>
        <v>27312</v>
      </c>
      <c r="BO125" s="38">
        <v>0</v>
      </c>
      <c r="BP125" s="48">
        <v>0</v>
      </c>
      <c r="BQ125" s="48">
        <v>0</v>
      </c>
      <c r="BR125" s="38">
        <v>0</v>
      </c>
      <c r="BS125" s="104">
        <f t="shared" si="296"/>
        <v>0</v>
      </c>
      <c r="BT125" s="94">
        <f t="shared" ref="BT125:DB125" si="297">BS125</f>
        <v>0</v>
      </c>
      <c r="BU125" s="48">
        <f t="shared" si="297"/>
        <v>0</v>
      </c>
      <c r="BV125" s="48">
        <f t="shared" si="297"/>
        <v>0</v>
      </c>
      <c r="BW125" s="48">
        <f t="shared" si="297"/>
        <v>0</v>
      </c>
      <c r="BX125" s="104">
        <f t="shared" si="297"/>
        <v>0</v>
      </c>
      <c r="BY125" s="94">
        <f t="shared" si="297"/>
        <v>0</v>
      </c>
      <c r="BZ125" s="48">
        <f t="shared" si="297"/>
        <v>0</v>
      </c>
      <c r="CA125" s="48">
        <f t="shared" si="297"/>
        <v>0</v>
      </c>
      <c r="CB125" s="48">
        <f t="shared" si="297"/>
        <v>0</v>
      </c>
      <c r="CC125" s="104">
        <f t="shared" si="297"/>
        <v>0</v>
      </c>
      <c r="CD125" s="94">
        <f t="shared" si="297"/>
        <v>0</v>
      </c>
      <c r="CE125" s="48">
        <f t="shared" si="297"/>
        <v>0</v>
      </c>
      <c r="CF125" s="48">
        <f t="shared" si="297"/>
        <v>0</v>
      </c>
      <c r="CG125" s="48">
        <f t="shared" si="297"/>
        <v>0</v>
      </c>
      <c r="CH125" s="104">
        <f t="shared" si="297"/>
        <v>0</v>
      </c>
      <c r="CI125" s="94">
        <f t="shared" si="297"/>
        <v>0</v>
      </c>
      <c r="CJ125" s="48">
        <f t="shared" si="297"/>
        <v>0</v>
      </c>
      <c r="CK125" s="48">
        <f t="shared" si="297"/>
        <v>0</v>
      </c>
      <c r="CL125" s="48">
        <f t="shared" si="297"/>
        <v>0</v>
      </c>
      <c r="CM125" s="104">
        <f t="shared" si="297"/>
        <v>0</v>
      </c>
      <c r="CN125" s="94">
        <f t="shared" si="297"/>
        <v>0</v>
      </c>
      <c r="CO125" s="48">
        <f t="shared" si="297"/>
        <v>0</v>
      </c>
      <c r="CP125" s="48">
        <f t="shared" si="297"/>
        <v>0</v>
      </c>
      <c r="CQ125" s="48">
        <f t="shared" si="297"/>
        <v>0</v>
      </c>
      <c r="CR125" s="104">
        <f t="shared" si="297"/>
        <v>0</v>
      </c>
      <c r="CS125" s="94">
        <f t="shared" si="297"/>
        <v>0</v>
      </c>
      <c r="CT125" s="48">
        <f t="shared" si="297"/>
        <v>0</v>
      </c>
      <c r="CU125" s="48">
        <f t="shared" si="297"/>
        <v>0</v>
      </c>
      <c r="CV125" s="48">
        <f t="shared" si="297"/>
        <v>0</v>
      </c>
      <c r="CW125" s="104">
        <f t="shared" si="297"/>
        <v>0</v>
      </c>
      <c r="CX125" s="94">
        <f t="shared" si="297"/>
        <v>0</v>
      </c>
      <c r="CY125" s="48">
        <f t="shared" si="297"/>
        <v>0</v>
      </c>
      <c r="CZ125" s="48">
        <f t="shared" si="297"/>
        <v>0</v>
      </c>
      <c r="DA125" s="48">
        <f t="shared" si="297"/>
        <v>0</v>
      </c>
      <c r="DB125" s="104">
        <f t="shared" si="297"/>
        <v>0</v>
      </c>
      <c r="DC125" s="48"/>
      <c r="DD125" s="48"/>
      <c r="DE125" s="48"/>
      <c r="DF125" s="48"/>
      <c r="DG125" s="48"/>
      <c r="DH125" s="48"/>
      <c r="DI125" s="48"/>
      <c r="DJ125" s="48"/>
      <c r="DK125" s="99"/>
      <c r="DL125" s="99"/>
      <c r="DM125" s="18"/>
    </row>
    <row r="126" spans="1:117">
      <c r="A126" s="28" t="s">
        <v>317</v>
      </c>
      <c r="B126" s="160">
        <f t="shared" ref="B126:AI126" si="298">B117+B119+B124+B125</f>
        <v>4474186</v>
      </c>
      <c r="C126" s="168">
        <f t="shared" si="298"/>
        <v>4612469</v>
      </c>
      <c r="D126" s="168">
        <f t="shared" si="298"/>
        <v>5024948</v>
      </c>
      <c r="E126" s="168">
        <f t="shared" si="298"/>
        <v>5593448</v>
      </c>
      <c r="F126" s="235">
        <f t="shared" si="298"/>
        <v>5593448</v>
      </c>
      <c r="G126" s="160">
        <f t="shared" si="298"/>
        <v>5277786</v>
      </c>
      <c r="H126" s="168">
        <f t="shared" si="298"/>
        <v>5198500</v>
      </c>
      <c r="I126" s="168">
        <f t="shared" si="298"/>
        <v>8976961</v>
      </c>
      <c r="J126" s="168">
        <f t="shared" si="298"/>
        <v>7516991</v>
      </c>
      <c r="K126" s="235">
        <f t="shared" si="298"/>
        <v>7516991</v>
      </c>
      <c r="L126" s="160">
        <f t="shared" si="298"/>
        <v>7353714</v>
      </c>
      <c r="M126" s="168">
        <f t="shared" si="298"/>
        <v>7007705</v>
      </c>
      <c r="N126" s="168">
        <f t="shared" si="298"/>
        <v>7222832</v>
      </c>
      <c r="O126" s="168">
        <f t="shared" si="298"/>
        <v>7374479</v>
      </c>
      <c r="P126" s="235">
        <f t="shared" si="298"/>
        <v>7374479</v>
      </c>
      <c r="Q126" s="160">
        <f t="shared" si="298"/>
        <v>7339257</v>
      </c>
      <c r="R126" s="168">
        <f t="shared" si="298"/>
        <v>7330691</v>
      </c>
      <c r="S126" s="168">
        <f t="shared" si="298"/>
        <v>8252072</v>
      </c>
      <c r="T126" s="168">
        <f t="shared" si="298"/>
        <v>8290762</v>
      </c>
      <c r="U126" s="235">
        <f t="shared" si="298"/>
        <v>8290762</v>
      </c>
      <c r="V126" s="160">
        <f t="shared" si="298"/>
        <v>8267580</v>
      </c>
      <c r="W126" s="168">
        <f t="shared" si="298"/>
        <v>9213069</v>
      </c>
      <c r="X126" s="168">
        <f t="shared" si="298"/>
        <v>9105206</v>
      </c>
      <c r="Y126" s="168">
        <f t="shared" si="298"/>
        <v>9958523</v>
      </c>
      <c r="Z126" s="235">
        <f t="shared" si="298"/>
        <v>9958523</v>
      </c>
      <c r="AA126" s="160">
        <f t="shared" si="298"/>
        <v>8698831</v>
      </c>
      <c r="AB126" s="168">
        <f t="shared" si="298"/>
        <v>8420857</v>
      </c>
      <c r="AC126" s="168">
        <f t="shared" si="298"/>
        <v>8629695</v>
      </c>
      <c r="AD126" s="168">
        <f>AD117+AD119+AD124+AD125</f>
        <v>9382221</v>
      </c>
      <c r="AE126" s="235">
        <f>AE117+AE119+AE124+AE125</f>
        <v>9382221</v>
      </c>
      <c r="AF126" s="160">
        <f t="shared" si="298"/>
        <v>8449551</v>
      </c>
      <c r="AG126" s="168">
        <f t="shared" si="298"/>
        <v>8249337</v>
      </c>
      <c r="AH126" s="168">
        <f t="shared" si="298"/>
        <v>8034358</v>
      </c>
      <c r="AI126" s="168">
        <f t="shared" si="298"/>
        <v>8578334</v>
      </c>
      <c r="AJ126" s="235">
        <f t="shared" ref="AJ126:AR126" si="299">AJ117+AJ119+AJ124+AJ125</f>
        <v>8578334</v>
      </c>
      <c r="AK126" s="160">
        <f t="shared" si="299"/>
        <v>9082578</v>
      </c>
      <c r="AL126" s="76">
        <f t="shared" si="299"/>
        <v>9338629</v>
      </c>
      <c r="AM126" s="168">
        <f t="shared" si="299"/>
        <v>9489064</v>
      </c>
      <c r="AN126" s="168">
        <f t="shared" si="299"/>
        <v>9896903</v>
      </c>
      <c r="AO126" s="235">
        <f t="shared" si="299"/>
        <v>9896903</v>
      </c>
      <c r="AP126" s="168">
        <f t="shared" si="299"/>
        <v>9872621</v>
      </c>
      <c r="AQ126" s="168">
        <f t="shared" si="299"/>
        <v>9611203</v>
      </c>
      <c r="AR126" s="168">
        <f t="shared" si="299"/>
        <v>11188748</v>
      </c>
      <c r="AS126" s="168">
        <f t="shared" ref="AS126:AZ126" si="300">AS117+AS119+AS124+AS125</f>
        <v>11622825</v>
      </c>
      <c r="AT126" s="235">
        <f t="shared" si="300"/>
        <v>11622825</v>
      </c>
      <c r="AU126" s="168">
        <f t="shared" si="300"/>
        <v>11242086</v>
      </c>
      <c r="AV126" s="168">
        <f t="shared" si="300"/>
        <v>11667918</v>
      </c>
      <c r="AW126" s="168">
        <f t="shared" si="300"/>
        <v>12919697</v>
      </c>
      <c r="AX126" s="168">
        <f t="shared" si="300"/>
        <v>12862378</v>
      </c>
      <c r="AY126" s="235">
        <f t="shared" si="300"/>
        <v>12862378</v>
      </c>
      <c r="AZ126" s="168">
        <f t="shared" si="300"/>
        <v>10525427</v>
      </c>
      <c r="BA126" s="168">
        <f t="shared" ref="BA126:BF126" si="301">BA117+BA119+BA124+BA125</f>
        <v>10591207</v>
      </c>
      <c r="BB126" s="168">
        <f t="shared" si="301"/>
        <v>10552801</v>
      </c>
      <c r="BC126" s="168">
        <f t="shared" si="301"/>
        <v>11298677</v>
      </c>
      <c r="BD126" s="235">
        <f t="shared" si="301"/>
        <v>11298677</v>
      </c>
      <c r="BE126" s="168">
        <f t="shared" si="301"/>
        <v>11639785</v>
      </c>
      <c r="BF126" s="388">
        <f t="shared" si="301"/>
        <v>11651821</v>
      </c>
      <c r="BG126" s="168">
        <f t="shared" ref="BG126:BM126" si="302">BG117+BG119+BG124+BG125</f>
        <v>11470993</v>
      </c>
      <c r="BH126" s="388">
        <f t="shared" si="302"/>
        <v>11679775</v>
      </c>
      <c r="BI126" s="521">
        <f t="shared" si="302"/>
        <v>11679775</v>
      </c>
      <c r="BJ126" s="388">
        <f t="shared" si="302"/>
        <v>11855642</v>
      </c>
      <c r="BK126" s="388">
        <f t="shared" si="302"/>
        <v>12330723</v>
      </c>
      <c r="BL126" s="388">
        <f>BL117+BL119+BL124+BL125</f>
        <v>12541821</v>
      </c>
      <c r="BM126" s="388">
        <f t="shared" si="302"/>
        <v>12709836</v>
      </c>
      <c r="BN126" s="521">
        <f t="shared" ref="BN126:BS126" si="303">BN117+BN119+BN124+BN125</f>
        <v>12709836</v>
      </c>
      <c r="BO126" s="160">
        <f t="shared" si="303"/>
        <v>12598045</v>
      </c>
      <c r="BP126" s="168">
        <f t="shared" si="303"/>
        <v>11107692</v>
      </c>
      <c r="BQ126" s="168">
        <f t="shared" ref="BQ126:BR126" si="304">BQ117+BQ119+BQ124+BQ125</f>
        <v>11248458</v>
      </c>
      <c r="BR126" s="388">
        <f t="shared" si="304"/>
        <v>11160585</v>
      </c>
      <c r="BS126" s="235">
        <f t="shared" si="303"/>
        <v>11160585</v>
      </c>
      <c r="BT126" s="160">
        <f t="shared" ref="BT126:DB126" si="305">BT117+BT119+BT124+BT125</f>
        <v>11491467.984045334</v>
      </c>
      <c r="BU126" s="168">
        <f t="shared" si="305"/>
        <v>11809923.14949635</v>
      </c>
      <c r="BV126" s="168">
        <f t="shared" si="305"/>
        <v>12130880.193319207</v>
      </c>
      <c r="BW126" s="168">
        <f t="shared" si="305"/>
        <v>12450103.496713495</v>
      </c>
      <c r="BX126" s="235">
        <f t="shared" si="305"/>
        <v>12450103.496713495</v>
      </c>
      <c r="BY126" s="160">
        <f t="shared" si="305"/>
        <v>12823857.616233056</v>
      </c>
      <c r="BZ126" s="168">
        <f t="shared" si="305"/>
        <v>13192157.463132454</v>
      </c>
      <c r="CA126" s="168">
        <f t="shared" si="305"/>
        <v>13561742.59623614</v>
      </c>
      <c r="CB126" s="168">
        <f t="shared" si="305"/>
        <v>13929387.998085428</v>
      </c>
      <c r="CC126" s="235">
        <f t="shared" si="305"/>
        <v>13929387.998085428</v>
      </c>
      <c r="CD126" s="160">
        <f t="shared" si="305"/>
        <v>14158600.457633831</v>
      </c>
      <c r="CE126" s="168">
        <f t="shared" si="305"/>
        <v>14385295.446939494</v>
      </c>
      <c r="CF126" s="168">
        <f t="shared" si="305"/>
        <v>14616167.271951895</v>
      </c>
      <c r="CG126" s="168">
        <f t="shared" si="305"/>
        <v>14854904.996350728</v>
      </c>
      <c r="CH126" s="235">
        <f t="shared" si="305"/>
        <v>14854904.996350728</v>
      </c>
      <c r="CI126" s="160">
        <f t="shared" si="305"/>
        <v>15026275.462766852</v>
      </c>
      <c r="CJ126" s="168">
        <f t="shared" si="305"/>
        <v>15198027.204432242</v>
      </c>
      <c r="CK126" s="168">
        <f t="shared" si="305"/>
        <v>15372332.53402699</v>
      </c>
      <c r="CL126" s="168">
        <f t="shared" si="305"/>
        <v>15559065.160517983</v>
      </c>
      <c r="CM126" s="235">
        <f t="shared" si="305"/>
        <v>15559065.160517983</v>
      </c>
      <c r="CN126" s="160">
        <f t="shared" si="305"/>
        <v>15716656.227273934</v>
      </c>
      <c r="CO126" s="168">
        <f t="shared" si="305"/>
        <v>15875473.727533713</v>
      </c>
      <c r="CP126" s="168">
        <f t="shared" si="305"/>
        <v>16036374.142560516</v>
      </c>
      <c r="CQ126" s="168">
        <f t="shared" si="305"/>
        <v>16212531.979870521</v>
      </c>
      <c r="CR126" s="235">
        <f t="shared" si="305"/>
        <v>16212531.979870521</v>
      </c>
      <c r="CS126" s="160">
        <f t="shared" si="305"/>
        <v>16362303.404343449</v>
      </c>
      <c r="CT126" s="168">
        <f t="shared" si="305"/>
        <v>16513211.409453806</v>
      </c>
      <c r="CU126" s="168">
        <f t="shared" si="305"/>
        <v>16666033.128695011</v>
      </c>
      <c r="CV126" s="168">
        <f t="shared" si="305"/>
        <v>16836282.629835308</v>
      </c>
      <c r="CW126" s="235">
        <f t="shared" si="305"/>
        <v>16836282.629835308</v>
      </c>
      <c r="CX126" s="160">
        <f t="shared" si="305"/>
        <v>16991798.592612874</v>
      </c>
      <c r="CY126" s="168">
        <f t="shared" si="305"/>
        <v>17148449.444837164</v>
      </c>
      <c r="CZ126" s="168">
        <f t="shared" si="305"/>
        <v>17306963.439328462</v>
      </c>
      <c r="DA126" s="168">
        <f t="shared" si="305"/>
        <v>17483347.978316806</v>
      </c>
      <c r="DB126" s="235">
        <f t="shared" si="305"/>
        <v>17483347.978316806</v>
      </c>
      <c r="DC126" s="168"/>
      <c r="DD126" s="168"/>
      <c r="DE126" s="168"/>
      <c r="DF126" s="168"/>
      <c r="DG126" s="168"/>
      <c r="DH126" s="168"/>
      <c r="DI126" s="168"/>
      <c r="DJ126" s="168"/>
      <c r="DK126" s="406"/>
      <c r="DL126" s="406"/>
      <c r="DM126" s="25"/>
    </row>
    <row r="127" spans="1:117">
      <c r="A127" s="10"/>
      <c r="B127" s="37"/>
      <c r="C127" s="38"/>
      <c r="D127" s="38"/>
      <c r="E127" s="38"/>
      <c r="F127" s="133"/>
      <c r="G127" s="37"/>
      <c r="H127" s="38"/>
      <c r="I127" s="38"/>
      <c r="J127" s="38"/>
      <c r="K127" s="133"/>
      <c r="L127" s="37"/>
      <c r="M127" s="38"/>
      <c r="N127" s="38"/>
      <c r="O127" s="38"/>
      <c r="P127" s="133"/>
      <c r="Q127" s="37"/>
      <c r="R127" s="38"/>
      <c r="S127" s="38"/>
      <c r="T127" s="38"/>
      <c r="U127" s="133"/>
      <c r="V127" s="37"/>
      <c r="W127" s="38"/>
      <c r="X127" s="38"/>
      <c r="Y127" s="38"/>
      <c r="Z127" s="133"/>
      <c r="AA127" s="37"/>
      <c r="AB127" s="38"/>
      <c r="AC127" s="38"/>
      <c r="AD127" s="38"/>
      <c r="AE127" s="133"/>
      <c r="AF127" s="19"/>
      <c r="AG127" s="18"/>
      <c r="AH127" s="18"/>
      <c r="AI127" s="18"/>
      <c r="AJ127" s="127"/>
      <c r="AK127" s="19"/>
      <c r="AL127" s="18"/>
      <c r="AM127" s="18"/>
      <c r="AN127" s="18"/>
      <c r="AO127" s="127"/>
      <c r="AP127" s="18"/>
      <c r="AQ127" s="18"/>
      <c r="AR127" s="18"/>
      <c r="AS127" s="18"/>
      <c r="AT127" s="127"/>
      <c r="AU127" s="18"/>
      <c r="AV127" s="18"/>
      <c r="AW127" s="18"/>
      <c r="AX127" s="18"/>
      <c r="AY127" s="127"/>
      <c r="AZ127" s="18"/>
      <c r="BA127" s="18"/>
      <c r="BB127" s="18"/>
      <c r="BC127" s="18"/>
      <c r="BD127" s="127"/>
      <c r="BE127" s="18"/>
      <c r="BF127" s="18"/>
      <c r="BG127" s="18"/>
      <c r="BH127" s="18"/>
      <c r="BI127" s="127"/>
      <c r="BJ127" s="18"/>
      <c r="BK127" s="18"/>
      <c r="BL127" s="18"/>
      <c r="BM127" s="18"/>
      <c r="BN127" s="127"/>
      <c r="BO127" s="19"/>
      <c r="BP127" s="18"/>
      <c r="BQ127" s="18"/>
      <c r="BR127" s="18"/>
      <c r="BS127" s="127"/>
      <c r="BT127" s="19"/>
      <c r="BU127" s="18"/>
      <c r="BV127" s="18"/>
      <c r="BW127" s="18"/>
      <c r="BX127" s="127"/>
      <c r="BY127" s="19"/>
      <c r="BZ127" s="18"/>
      <c r="CA127" s="18"/>
      <c r="CB127" s="18"/>
      <c r="CC127" s="127"/>
      <c r="CD127" s="19"/>
      <c r="CE127" s="18"/>
      <c r="CF127" s="18"/>
      <c r="CG127" s="18"/>
      <c r="CH127" s="127"/>
      <c r="CI127" s="19"/>
      <c r="CJ127" s="18"/>
      <c r="CK127" s="18"/>
      <c r="CL127" s="18"/>
      <c r="CM127" s="127"/>
      <c r="CN127" s="19"/>
      <c r="CO127" s="18"/>
      <c r="CP127" s="18"/>
      <c r="CQ127" s="18"/>
      <c r="CR127" s="127"/>
      <c r="CS127" s="19"/>
      <c r="CT127" s="18"/>
      <c r="CU127" s="18"/>
      <c r="CV127" s="18"/>
      <c r="CW127" s="127"/>
      <c r="CX127" s="19"/>
      <c r="CY127" s="18"/>
      <c r="CZ127" s="18"/>
      <c r="DA127" s="18"/>
      <c r="DB127" s="127"/>
      <c r="DC127" s="18"/>
      <c r="DD127" s="18"/>
      <c r="DE127" s="18"/>
      <c r="DF127" s="18"/>
      <c r="DG127" s="18"/>
      <c r="DH127" s="18"/>
      <c r="DI127" s="18"/>
      <c r="DJ127" s="18"/>
      <c r="DK127" s="61"/>
      <c r="DL127" s="61"/>
      <c r="DM127" s="18"/>
    </row>
    <row r="128" spans="1:117">
      <c r="A128" s="10" t="s">
        <v>356</v>
      </c>
      <c r="B128" s="37">
        <v>0</v>
      </c>
      <c r="C128" s="38">
        <v>0</v>
      </c>
      <c r="D128" s="38">
        <v>0</v>
      </c>
      <c r="E128" s="48">
        <f>F128</f>
        <v>0</v>
      </c>
      <c r="F128" s="133">
        <v>0</v>
      </c>
      <c r="G128" s="37">
        <v>0</v>
      </c>
      <c r="H128" s="38">
        <v>0</v>
      </c>
      <c r="I128" s="38">
        <v>0</v>
      </c>
      <c r="J128" s="48">
        <f>K128</f>
        <v>0</v>
      </c>
      <c r="K128" s="133">
        <v>0</v>
      </c>
      <c r="L128" s="37">
        <v>1022668</v>
      </c>
      <c r="M128" s="38">
        <v>802407</v>
      </c>
      <c r="N128" s="38">
        <v>810089</v>
      </c>
      <c r="O128" s="48">
        <f>P128</f>
        <v>800645</v>
      </c>
      <c r="P128" s="133">
        <v>800645</v>
      </c>
      <c r="Q128" s="37">
        <v>798878</v>
      </c>
      <c r="R128" s="38">
        <v>796254</v>
      </c>
      <c r="S128" s="38">
        <v>794804</v>
      </c>
      <c r="T128" s="48">
        <f>U128</f>
        <v>801964</v>
      </c>
      <c r="U128" s="133">
        <v>801964</v>
      </c>
      <c r="V128" s="37">
        <v>965462</v>
      </c>
      <c r="W128" s="38">
        <v>972705</v>
      </c>
      <c r="X128" s="38">
        <v>1058842</v>
      </c>
      <c r="Y128" s="48">
        <f>Z128</f>
        <v>1079369</v>
      </c>
      <c r="Z128" s="133">
        <v>1079369</v>
      </c>
      <c r="AA128" s="37">
        <v>1057840</v>
      </c>
      <c r="AB128" s="38">
        <v>1250473</v>
      </c>
      <c r="AC128" s="38">
        <v>1260160</v>
      </c>
      <c r="AD128" s="48">
        <f>AE128</f>
        <v>1238268</v>
      </c>
      <c r="AE128" s="133">
        <v>1238268</v>
      </c>
      <c r="AF128" s="37">
        <v>1498944</v>
      </c>
      <c r="AG128" s="65">
        <v>1483345</v>
      </c>
      <c r="AH128" s="65">
        <v>1480916</v>
      </c>
      <c r="AI128" s="65">
        <v>1472218</v>
      </c>
      <c r="AJ128" s="104">
        <f>AI128</f>
        <v>1472218</v>
      </c>
      <c r="AK128" s="37">
        <v>1457934</v>
      </c>
      <c r="AL128" s="65">
        <v>1480615</v>
      </c>
      <c r="AM128" s="65">
        <v>1496100</v>
      </c>
      <c r="AN128" s="65">
        <v>1561159</v>
      </c>
      <c r="AO128" s="104">
        <f>AN128</f>
        <v>1561159</v>
      </c>
      <c r="AP128" s="65">
        <v>2123303</v>
      </c>
      <c r="AQ128" s="65">
        <v>2116448</v>
      </c>
      <c r="AR128" s="65">
        <v>2109853</v>
      </c>
      <c r="AS128" s="65">
        <v>2102841</v>
      </c>
      <c r="AT128" s="104">
        <f>AS128</f>
        <v>2102841</v>
      </c>
      <c r="AU128" s="65">
        <v>2069779</v>
      </c>
      <c r="AV128" s="65">
        <v>2089007</v>
      </c>
      <c r="AW128" s="65">
        <v>2500952</v>
      </c>
      <c r="AX128" s="65">
        <v>2507329</v>
      </c>
      <c r="AY128" s="104">
        <f>AX128</f>
        <v>2507329</v>
      </c>
      <c r="AZ128" s="65">
        <v>2543207</v>
      </c>
      <c r="BA128" s="65">
        <v>3136906</v>
      </c>
      <c r="BB128" s="65">
        <v>3136163</v>
      </c>
      <c r="BC128" s="65">
        <v>3413768</v>
      </c>
      <c r="BD128" s="104">
        <f>BC128</f>
        <v>3413768</v>
      </c>
      <c r="BE128" s="65">
        <v>3363130</v>
      </c>
      <c r="BF128" s="65">
        <v>3481851</v>
      </c>
      <c r="BG128" s="587">
        <v>3622833</v>
      </c>
      <c r="BH128" s="65">
        <v>3430538</v>
      </c>
      <c r="BI128" s="104">
        <f>BH128</f>
        <v>3430538</v>
      </c>
      <c r="BJ128" s="65">
        <v>3358619</v>
      </c>
      <c r="BK128" s="65">
        <v>3254748</v>
      </c>
      <c r="BL128" s="65">
        <v>3225918</v>
      </c>
      <c r="BM128" s="65">
        <v>3240170</v>
      </c>
      <c r="BN128" s="104">
        <f>BM128</f>
        <v>3240170</v>
      </c>
      <c r="BO128" s="65">
        <v>3231131</v>
      </c>
      <c r="BP128" s="567">
        <v>157484</v>
      </c>
      <c r="BQ128" s="567">
        <v>156888</v>
      </c>
      <c r="BR128" s="65">
        <v>157485</v>
      </c>
      <c r="BS128" s="104">
        <f>BR128</f>
        <v>157485</v>
      </c>
      <c r="BT128" s="99">
        <f>BS128+BT167</f>
        <v>157485</v>
      </c>
      <c r="BU128" s="99">
        <f>BT128+BU167</f>
        <v>157485</v>
      </c>
      <c r="BV128" s="99">
        <f>BU128+BV167</f>
        <v>157485</v>
      </c>
      <c r="BW128" s="99">
        <f>BV128+BW167</f>
        <v>157485</v>
      </c>
      <c r="BX128" s="104">
        <f>BW128</f>
        <v>157485</v>
      </c>
      <c r="BY128" s="99">
        <f>BX128+BY167</f>
        <v>157485</v>
      </c>
      <c r="BZ128" s="99">
        <f>BY128+BZ167</f>
        <v>157485</v>
      </c>
      <c r="CA128" s="99">
        <f>BZ128+CA167</f>
        <v>157485</v>
      </c>
      <c r="CB128" s="99">
        <f>CA128+CB167</f>
        <v>157485</v>
      </c>
      <c r="CC128" s="104">
        <f>CB128</f>
        <v>157485</v>
      </c>
      <c r="CD128" s="99">
        <f>CC128+CD167</f>
        <v>157485</v>
      </c>
      <c r="CE128" s="99">
        <f>CD128+CE167</f>
        <v>157485</v>
      </c>
      <c r="CF128" s="99">
        <f>CE128+CF167</f>
        <v>157485</v>
      </c>
      <c r="CG128" s="99">
        <f>CF128+CG167</f>
        <v>157485</v>
      </c>
      <c r="CH128" s="104">
        <f>CG128</f>
        <v>157485</v>
      </c>
      <c r="CI128" s="99">
        <f>CH128+CI167</f>
        <v>157485</v>
      </c>
      <c r="CJ128" s="99">
        <f>CI128+CJ167</f>
        <v>157485</v>
      </c>
      <c r="CK128" s="99">
        <f>CJ128+CK167</f>
        <v>157485</v>
      </c>
      <c r="CL128" s="99">
        <f>CK128+CL167</f>
        <v>157485</v>
      </c>
      <c r="CM128" s="104">
        <f>CL128</f>
        <v>157485</v>
      </c>
      <c r="CN128" s="99">
        <f>CM128+CN167</f>
        <v>157485</v>
      </c>
      <c r="CO128" s="99">
        <f>CN128+CO167</f>
        <v>157485</v>
      </c>
      <c r="CP128" s="99">
        <f>CO128+CP167</f>
        <v>157485</v>
      </c>
      <c r="CQ128" s="99">
        <f>CP128+CQ167</f>
        <v>157485</v>
      </c>
      <c r="CR128" s="104">
        <f>CQ128</f>
        <v>157485</v>
      </c>
      <c r="CS128" s="99">
        <f>CR128+CS167</f>
        <v>157485</v>
      </c>
      <c r="CT128" s="99">
        <f>CS128+CT167</f>
        <v>157485</v>
      </c>
      <c r="CU128" s="99">
        <f>CT128+CU167</f>
        <v>157485</v>
      </c>
      <c r="CV128" s="99">
        <f>CU128+CV167</f>
        <v>157485</v>
      </c>
      <c r="CW128" s="104">
        <f>CV128</f>
        <v>157485</v>
      </c>
      <c r="CX128" s="99">
        <f>CW128+CX167</f>
        <v>157485</v>
      </c>
      <c r="CY128" s="99">
        <f>CX128+CY167</f>
        <v>157485</v>
      </c>
      <c r="CZ128" s="99">
        <f>CY128+CZ167</f>
        <v>157485</v>
      </c>
      <c r="DA128" s="99">
        <f>CZ128+DA167</f>
        <v>157485</v>
      </c>
      <c r="DB128" s="104">
        <f>DA128</f>
        <v>157485</v>
      </c>
      <c r="DC128" s="48"/>
      <c r="DD128" s="48"/>
      <c r="DE128" s="48"/>
      <c r="DF128" s="48"/>
      <c r="DG128" s="48"/>
      <c r="DH128" s="48"/>
      <c r="DI128" s="48"/>
      <c r="DJ128" s="48"/>
      <c r="DK128" s="99"/>
      <c r="DL128" s="99"/>
      <c r="DM128" s="30"/>
    </row>
    <row r="129" spans="1:117">
      <c r="A129" s="10"/>
      <c r="B129" s="37"/>
      <c r="C129" s="38"/>
      <c r="D129" s="38"/>
      <c r="E129" s="38" t="s">
        <v>653</v>
      </c>
      <c r="F129" s="133" t="s">
        <v>653</v>
      </c>
      <c r="G129" s="37"/>
      <c r="H129" s="38"/>
      <c r="I129" s="38"/>
      <c r="J129" s="38" t="s">
        <v>653</v>
      </c>
      <c r="K129" s="133" t="s">
        <v>653</v>
      </c>
      <c r="L129" s="37"/>
      <c r="M129" s="38"/>
      <c r="N129" s="38"/>
      <c r="O129" s="38" t="s">
        <v>653</v>
      </c>
      <c r="P129" s="133" t="s">
        <v>653</v>
      </c>
      <c r="Q129" s="37"/>
      <c r="R129" s="38"/>
      <c r="S129" s="38"/>
      <c r="T129" s="38" t="s">
        <v>653</v>
      </c>
      <c r="U129" s="133" t="s">
        <v>653</v>
      </c>
      <c r="V129" s="37"/>
      <c r="W129" s="38"/>
      <c r="X129" s="38"/>
      <c r="Y129" s="38" t="s">
        <v>653</v>
      </c>
      <c r="Z129" s="133" t="s">
        <v>653</v>
      </c>
      <c r="AA129" s="37"/>
      <c r="AB129" s="38"/>
      <c r="AC129" s="38"/>
      <c r="AD129" s="38"/>
      <c r="AE129" s="133" t="s">
        <v>653</v>
      </c>
      <c r="AF129" s="19"/>
      <c r="AG129" s="18"/>
      <c r="AH129" s="18"/>
      <c r="AI129" s="18"/>
      <c r="AJ129" s="127"/>
      <c r="AK129" s="19"/>
      <c r="AL129" s="18"/>
      <c r="AM129" s="18"/>
      <c r="AN129" s="18"/>
      <c r="AO129" s="127"/>
      <c r="AP129" s="18"/>
      <c r="AQ129" s="18"/>
      <c r="AR129" s="18"/>
      <c r="AS129" s="18"/>
      <c r="AT129" s="127"/>
      <c r="AU129" s="18"/>
      <c r="AV129" s="18"/>
      <c r="AW129" s="18"/>
      <c r="AX129" s="18"/>
      <c r="AY129" s="127"/>
      <c r="AZ129" s="19"/>
      <c r="BA129" s="18"/>
      <c r="BB129" s="18"/>
      <c r="BC129" s="18"/>
      <c r="BD129" s="127"/>
      <c r="BE129" s="19"/>
      <c r="BF129" s="18"/>
      <c r="BG129" s="18"/>
      <c r="BH129" s="18"/>
      <c r="BI129" s="127"/>
      <c r="BJ129" s="18"/>
      <c r="BK129" s="18"/>
      <c r="BL129" s="18"/>
      <c r="BM129" s="18"/>
      <c r="BN129" s="127"/>
      <c r="BO129" s="19"/>
      <c r="BP129" s="18"/>
      <c r="BQ129" s="18"/>
      <c r="BR129" s="18"/>
      <c r="BS129" s="127"/>
      <c r="BT129" s="19"/>
      <c r="BU129" s="18"/>
      <c r="BV129" s="18"/>
      <c r="BW129" s="18"/>
      <c r="BX129" s="127"/>
      <c r="BY129" s="19"/>
      <c r="BZ129" s="18"/>
      <c r="CA129" s="18"/>
      <c r="CB129" s="18"/>
      <c r="CC129" s="127"/>
      <c r="CD129" s="19"/>
      <c r="CE129" s="18"/>
      <c r="CF129" s="18"/>
      <c r="CG129" s="18"/>
      <c r="CH129" s="127"/>
      <c r="CI129" s="19"/>
      <c r="CJ129" s="18"/>
      <c r="CK129" s="18"/>
      <c r="CL129" s="18"/>
      <c r="CM129" s="127"/>
      <c r="CN129" s="19"/>
      <c r="CO129" s="18"/>
      <c r="CP129" s="18"/>
      <c r="CQ129" s="18"/>
      <c r="CR129" s="127"/>
      <c r="CS129" s="19"/>
      <c r="CT129" s="18"/>
      <c r="CU129" s="18"/>
      <c r="CV129" s="18"/>
      <c r="CW129" s="127"/>
      <c r="CX129" s="19"/>
      <c r="CY129" s="18"/>
      <c r="CZ129" s="18"/>
      <c r="DA129" s="18"/>
      <c r="DB129" s="127"/>
      <c r="DC129" s="18"/>
      <c r="DD129" s="18"/>
      <c r="DE129" s="18"/>
      <c r="DF129" s="18"/>
      <c r="DG129" s="18"/>
      <c r="DH129" s="18"/>
      <c r="DI129" s="18"/>
      <c r="DJ129" s="18"/>
      <c r="DK129" s="61"/>
      <c r="DL129" s="61"/>
      <c r="DM129" s="18"/>
    </row>
    <row r="130" spans="1:117">
      <c r="A130" s="16" t="s">
        <v>357</v>
      </c>
      <c r="B130" s="37"/>
      <c r="C130" s="38"/>
      <c r="D130" s="38"/>
      <c r="E130" s="38" t="s">
        <v>653</v>
      </c>
      <c r="F130" s="133" t="s">
        <v>653</v>
      </c>
      <c r="G130" s="37"/>
      <c r="H130" s="38"/>
      <c r="I130" s="38"/>
      <c r="J130" s="38" t="s">
        <v>653</v>
      </c>
      <c r="K130" s="133" t="s">
        <v>653</v>
      </c>
      <c r="L130" s="37"/>
      <c r="M130" s="38"/>
      <c r="N130" s="38"/>
      <c r="O130" s="38" t="s">
        <v>653</v>
      </c>
      <c r="P130" s="133" t="s">
        <v>653</v>
      </c>
      <c r="Q130" s="37"/>
      <c r="R130" s="38"/>
      <c r="S130" s="38"/>
      <c r="T130" s="38" t="s">
        <v>653</v>
      </c>
      <c r="U130" s="133" t="s">
        <v>653</v>
      </c>
      <c r="V130" s="37"/>
      <c r="W130" s="38"/>
      <c r="X130" s="38"/>
      <c r="Y130" s="38" t="s">
        <v>653</v>
      </c>
      <c r="Z130" s="133" t="s">
        <v>653</v>
      </c>
      <c r="AA130" s="37"/>
      <c r="AB130" s="38"/>
      <c r="AC130" s="38"/>
      <c r="AD130" s="38"/>
      <c r="AE130" s="133" t="s">
        <v>653</v>
      </c>
      <c r="AF130" s="19"/>
      <c r="AG130" s="18"/>
      <c r="AH130" s="18"/>
      <c r="AI130" s="18"/>
      <c r="AJ130" s="127"/>
      <c r="AK130" s="19"/>
      <c r="AL130" s="18"/>
      <c r="AM130" s="18"/>
      <c r="AN130" s="18"/>
      <c r="AO130" s="127"/>
      <c r="AP130" s="18"/>
      <c r="AQ130" s="18"/>
      <c r="AR130" s="18"/>
      <c r="AS130" s="18"/>
      <c r="AT130" s="127"/>
      <c r="AU130" s="18"/>
      <c r="AV130" s="18"/>
      <c r="AW130" s="18"/>
      <c r="AX130" s="18"/>
      <c r="AY130" s="127"/>
      <c r="AZ130" s="19"/>
      <c r="BA130" s="18"/>
      <c r="BB130" s="18"/>
      <c r="BC130" s="18"/>
      <c r="BD130" s="127"/>
      <c r="BE130" s="19"/>
      <c r="BF130" s="18"/>
      <c r="BG130" s="18"/>
      <c r="BH130" s="18"/>
      <c r="BI130" s="127"/>
      <c r="BJ130" s="18"/>
      <c r="BK130" s="18"/>
      <c r="BL130" s="18"/>
      <c r="BM130" s="18"/>
      <c r="BN130" s="127"/>
      <c r="BO130" s="19"/>
      <c r="BP130" s="18"/>
      <c r="BQ130" s="18"/>
      <c r="BR130" s="18"/>
      <c r="BS130" s="127"/>
      <c r="BT130" s="19"/>
      <c r="BU130" s="18"/>
      <c r="BV130" s="18"/>
      <c r="BW130" s="18"/>
      <c r="BX130" s="127"/>
      <c r="BY130" s="19"/>
      <c r="BZ130" s="18"/>
      <c r="CA130" s="18"/>
      <c r="CB130" s="18"/>
      <c r="CC130" s="127"/>
      <c r="CD130" s="19"/>
      <c r="CE130" s="18"/>
      <c r="CF130" s="18"/>
      <c r="CG130" s="18"/>
      <c r="CH130" s="127"/>
      <c r="CI130" s="19"/>
      <c r="CJ130" s="18"/>
      <c r="CK130" s="18"/>
      <c r="CL130" s="18"/>
      <c r="CM130" s="127"/>
      <c r="CN130" s="19"/>
      <c r="CO130" s="18"/>
      <c r="CP130" s="18"/>
      <c r="CQ130" s="18"/>
      <c r="CR130" s="127"/>
      <c r="CS130" s="19"/>
      <c r="CT130" s="18"/>
      <c r="CU130" s="18"/>
      <c r="CV130" s="18"/>
      <c r="CW130" s="127"/>
      <c r="CX130" s="19"/>
      <c r="CY130" s="18"/>
      <c r="CZ130" s="18"/>
      <c r="DA130" s="18"/>
      <c r="DB130" s="127"/>
      <c r="DC130" s="18"/>
      <c r="DD130" s="18"/>
      <c r="DE130" s="18"/>
      <c r="DF130" s="18"/>
      <c r="DG130" s="18"/>
      <c r="DH130" s="18"/>
      <c r="DI130" s="18"/>
      <c r="DJ130" s="18"/>
      <c r="DK130" s="61"/>
      <c r="DL130" s="61"/>
      <c r="DM130" s="18"/>
    </row>
    <row r="131" spans="1:117">
      <c r="A131" s="15" t="s">
        <v>631</v>
      </c>
      <c r="B131" s="37">
        <v>1056</v>
      </c>
      <c r="C131" s="38">
        <v>1060</v>
      </c>
      <c r="D131" s="38">
        <v>1064</v>
      </c>
      <c r="E131" s="48">
        <f>F131</f>
        <v>1071</v>
      </c>
      <c r="F131" s="133">
        <v>1071</v>
      </c>
      <c r="G131" s="37">
        <v>1074</v>
      </c>
      <c r="H131" s="38">
        <v>1076</v>
      </c>
      <c r="I131" s="38">
        <v>1079</v>
      </c>
      <c r="J131" s="48">
        <f>K131</f>
        <v>1080</v>
      </c>
      <c r="K131" s="133">
        <v>1080</v>
      </c>
      <c r="L131" s="37">
        <v>1194</v>
      </c>
      <c r="M131" s="38">
        <v>1197</v>
      </c>
      <c r="N131" s="38">
        <v>1198</v>
      </c>
      <c r="O131" s="48">
        <f>P131</f>
        <v>1203</v>
      </c>
      <c r="P131" s="133">
        <v>1203</v>
      </c>
      <c r="Q131" s="37">
        <v>1206</v>
      </c>
      <c r="R131" s="38">
        <v>1210</v>
      </c>
      <c r="S131" s="38">
        <v>1210</v>
      </c>
      <c r="T131" s="48">
        <f>U131</f>
        <v>1211</v>
      </c>
      <c r="U131" s="133">
        <v>1211</v>
      </c>
      <c r="V131" s="37">
        <v>1214</v>
      </c>
      <c r="W131" s="38">
        <v>1215</v>
      </c>
      <c r="X131" s="38">
        <v>1216</v>
      </c>
      <c r="Y131" s="48">
        <f>Z131</f>
        <v>1216</v>
      </c>
      <c r="Z131" s="133">
        <v>1216</v>
      </c>
      <c r="AA131" s="37">
        <v>1221</v>
      </c>
      <c r="AB131" s="38">
        <v>1222</v>
      </c>
      <c r="AC131" s="38">
        <v>1223</v>
      </c>
      <c r="AD131" s="48">
        <f>AE131</f>
        <v>1224</v>
      </c>
      <c r="AE131" s="133">
        <v>1224</v>
      </c>
      <c r="AF131" s="37">
        <v>1225</v>
      </c>
      <c r="AG131" s="38">
        <v>1227</v>
      </c>
      <c r="AH131" s="38">
        <v>1227</v>
      </c>
      <c r="AI131" s="38">
        <v>1228</v>
      </c>
      <c r="AJ131" s="104">
        <f>AI131</f>
        <v>1228</v>
      </c>
      <c r="AK131" s="37">
        <v>1228</v>
      </c>
      <c r="AL131" s="38">
        <v>1229</v>
      </c>
      <c r="AM131" s="38">
        <v>1229</v>
      </c>
      <c r="AN131" s="38">
        <v>1229</v>
      </c>
      <c r="AO131" s="104">
        <f>AN131</f>
        <v>1229</v>
      </c>
      <c r="AP131" s="38">
        <v>1229</v>
      </c>
      <c r="AQ131" s="38">
        <v>2458</v>
      </c>
      <c r="AR131" s="38">
        <v>2458</v>
      </c>
      <c r="AS131" s="38">
        <v>2458</v>
      </c>
      <c r="AT131" s="104">
        <f>AS131</f>
        <v>2458</v>
      </c>
      <c r="AU131" s="38">
        <v>2458</v>
      </c>
      <c r="AV131" s="38">
        <v>2458</v>
      </c>
      <c r="AW131" s="38">
        <v>2458</v>
      </c>
      <c r="AX131" s="38">
        <v>2458</v>
      </c>
      <c r="AY131" s="104">
        <f>AX131</f>
        <v>2458</v>
      </c>
      <c r="AZ131" s="38">
        <v>2458</v>
      </c>
      <c r="BA131" s="38">
        <v>2458</v>
      </c>
      <c r="BB131" s="38">
        <v>2458</v>
      </c>
      <c r="BC131" s="38">
        <v>2458</v>
      </c>
      <c r="BD131" s="104">
        <f>BC131</f>
        <v>2458</v>
      </c>
      <c r="BE131" s="38">
        <v>2458</v>
      </c>
      <c r="BF131" s="38">
        <v>2458</v>
      </c>
      <c r="BG131" s="567">
        <v>2458</v>
      </c>
      <c r="BH131" s="38">
        <v>2458</v>
      </c>
      <c r="BI131" s="104">
        <f t="shared" ref="BI131:BS131" si="306">BH131</f>
        <v>2458</v>
      </c>
      <c r="BJ131" s="38">
        <v>2458</v>
      </c>
      <c r="BK131" s="38">
        <v>2458</v>
      </c>
      <c r="BL131" s="38">
        <v>2458</v>
      </c>
      <c r="BM131" s="38">
        <v>2458</v>
      </c>
      <c r="BN131" s="104">
        <f t="shared" si="306"/>
        <v>2458</v>
      </c>
      <c r="BO131" s="38">
        <v>2458</v>
      </c>
      <c r="BP131" s="567">
        <v>4147</v>
      </c>
      <c r="BQ131" s="567">
        <v>4159</v>
      </c>
      <c r="BR131" s="38">
        <v>4232</v>
      </c>
      <c r="BS131" s="104">
        <f t="shared" si="306"/>
        <v>4232</v>
      </c>
      <c r="BT131" s="94">
        <f t="shared" ref="BT131:DB131" si="307">BS131</f>
        <v>4232</v>
      </c>
      <c r="BU131" s="48">
        <f t="shared" si="307"/>
        <v>4232</v>
      </c>
      <c r="BV131" s="48">
        <f t="shared" si="307"/>
        <v>4232</v>
      </c>
      <c r="BW131" s="48">
        <f t="shared" si="307"/>
        <v>4232</v>
      </c>
      <c r="BX131" s="104">
        <f t="shared" si="307"/>
        <v>4232</v>
      </c>
      <c r="BY131" s="94">
        <f t="shared" si="307"/>
        <v>4232</v>
      </c>
      <c r="BZ131" s="48">
        <f t="shared" si="307"/>
        <v>4232</v>
      </c>
      <c r="CA131" s="48">
        <f t="shared" si="307"/>
        <v>4232</v>
      </c>
      <c r="CB131" s="48">
        <f t="shared" si="307"/>
        <v>4232</v>
      </c>
      <c r="CC131" s="104">
        <f t="shared" si="307"/>
        <v>4232</v>
      </c>
      <c r="CD131" s="94">
        <f t="shared" si="307"/>
        <v>4232</v>
      </c>
      <c r="CE131" s="48">
        <f t="shared" si="307"/>
        <v>4232</v>
      </c>
      <c r="CF131" s="48">
        <f t="shared" si="307"/>
        <v>4232</v>
      </c>
      <c r="CG131" s="48">
        <f t="shared" si="307"/>
        <v>4232</v>
      </c>
      <c r="CH131" s="104">
        <f t="shared" si="307"/>
        <v>4232</v>
      </c>
      <c r="CI131" s="94">
        <f t="shared" si="307"/>
        <v>4232</v>
      </c>
      <c r="CJ131" s="48">
        <f t="shared" si="307"/>
        <v>4232</v>
      </c>
      <c r="CK131" s="48">
        <f t="shared" si="307"/>
        <v>4232</v>
      </c>
      <c r="CL131" s="48">
        <f t="shared" si="307"/>
        <v>4232</v>
      </c>
      <c r="CM131" s="104">
        <f t="shared" si="307"/>
        <v>4232</v>
      </c>
      <c r="CN131" s="94">
        <f t="shared" si="307"/>
        <v>4232</v>
      </c>
      <c r="CO131" s="48">
        <f t="shared" si="307"/>
        <v>4232</v>
      </c>
      <c r="CP131" s="48">
        <f t="shared" si="307"/>
        <v>4232</v>
      </c>
      <c r="CQ131" s="48">
        <f t="shared" si="307"/>
        <v>4232</v>
      </c>
      <c r="CR131" s="104">
        <f t="shared" si="307"/>
        <v>4232</v>
      </c>
      <c r="CS131" s="94">
        <f t="shared" si="307"/>
        <v>4232</v>
      </c>
      <c r="CT131" s="48">
        <f t="shared" si="307"/>
        <v>4232</v>
      </c>
      <c r="CU131" s="48">
        <f t="shared" si="307"/>
        <v>4232</v>
      </c>
      <c r="CV131" s="48">
        <f t="shared" si="307"/>
        <v>4232</v>
      </c>
      <c r="CW131" s="104">
        <f t="shared" si="307"/>
        <v>4232</v>
      </c>
      <c r="CX131" s="94">
        <f t="shared" si="307"/>
        <v>4232</v>
      </c>
      <c r="CY131" s="48">
        <f t="shared" si="307"/>
        <v>4232</v>
      </c>
      <c r="CZ131" s="48">
        <f t="shared" si="307"/>
        <v>4232</v>
      </c>
      <c r="DA131" s="48">
        <f t="shared" si="307"/>
        <v>4232</v>
      </c>
      <c r="DB131" s="104">
        <f t="shared" si="307"/>
        <v>4232</v>
      </c>
      <c r="DC131" s="48"/>
      <c r="DD131" s="48"/>
      <c r="DE131" s="48"/>
      <c r="DF131" s="48"/>
      <c r="DG131" s="48"/>
      <c r="DH131" s="48"/>
      <c r="DI131" s="48"/>
      <c r="DJ131" s="48"/>
      <c r="DK131" s="99"/>
      <c r="DL131" s="99"/>
      <c r="DM131" s="18"/>
    </row>
    <row r="132" spans="1:117">
      <c r="A132" s="15" t="s">
        <v>906</v>
      </c>
      <c r="B132" s="37">
        <v>977955</v>
      </c>
      <c r="C132" s="38">
        <v>987816</v>
      </c>
      <c r="D132" s="38">
        <v>996855</v>
      </c>
      <c r="E132" s="48">
        <f>F132</f>
        <v>1017603</v>
      </c>
      <c r="F132" s="133">
        <v>1017603</v>
      </c>
      <c r="G132" s="37">
        <v>1024699</v>
      </c>
      <c r="H132" s="38">
        <v>1030693</v>
      </c>
      <c r="I132" s="38">
        <v>1036621</v>
      </c>
      <c r="J132" s="48">
        <f>K132</f>
        <v>1044283</v>
      </c>
      <c r="K132" s="133">
        <v>1044283</v>
      </c>
      <c r="L132" s="37">
        <v>1225134</v>
      </c>
      <c r="M132" s="38">
        <v>1236695</v>
      </c>
      <c r="N132" s="38">
        <v>1243981</v>
      </c>
      <c r="O132" s="48">
        <f>P132</f>
        <v>1258717</v>
      </c>
      <c r="P132" s="133">
        <v>1258717</v>
      </c>
      <c r="Q132" s="37">
        <v>1263112</v>
      </c>
      <c r="R132" s="38">
        <v>1278866</v>
      </c>
      <c r="S132" s="38">
        <v>1275226</v>
      </c>
      <c r="T132" s="48">
        <f>U132</f>
        <v>1273800</v>
      </c>
      <c r="U132" s="133">
        <v>1273800</v>
      </c>
      <c r="V132" s="37">
        <v>1275103</v>
      </c>
      <c r="W132" s="38">
        <v>1286461</v>
      </c>
      <c r="X132" s="38">
        <v>1300286</v>
      </c>
      <c r="Y132" s="48">
        <f>Z132</f>
        <v>1301153</v>
      </c>
      <c r="Z132" s="133">
        <v>1301153</v>
      </c>
      <c r="AA132" s="37">
        <v>1301849</v>
      </c>
      <c r="AB132" s="38">
        <v>1308141</v>
      </c>
      <c r="AC132" s="38">
        <v>1317167</v>
      </c>
      <c r="AD132" s="48">
        <f>AE132</f>
        <v>1322340</v>
      </c>
      <c r="AE132" s="133">
        <v>1322340</v>
      </c>
      <c r="AF132" s="37">
        <v>1365591</v>
      </c>
      <c r="AG132" s="38">
        <v>1375090</v>
      </c>
      <c r="AH132" s="38">
        <v>1382657</v>
      </c>
      <c r="AI132" s="38">
        <v>1392671</v>
      </c>
      <c r="AJ132" s="104">
        <f>AI132</f>
        <v>1392671</v>
      </c>
      <c r="AK132" s="37">
        <v>1384287</v>
      </c>
      <c r="AL132" s="38">
        <v>1396042</v>
      </c>
      <c r="AM132" s="38">
        <v>1404087</v>
      </c>
      <c r="AN132" s="38">
        <v>1418414</v>
      </c>
      <c r="AO132" s="104">
        <f>AN132</f>
        <v>1418414</v>
      </c>
      <c r="AP132" s="38">
        <v>1317489</v>
      </c>
      <c r="AQ132" s="38">
        <v>1326204</v>
      </c>
      <c r="AR132" s="38">
        <v>1337045</v>
      </c>
      <c r="AS132" s="38">
        <v>1324698</v>
      </c>
      <c r="AT132" s="104">
        <f>AS132</f>
        <v>1324698</v>
      </c>
      <c r="AU132" s="38">
        <v>1267735</v>
      </c>
      <c r="AV132" s="38">
        <v>1278213</v>
      </c>
      <c r="AW132" s="38">
        <v>1404086</v>
      </c>
      <c r="AX132" s="38">
        <v>1433600</v>
      </c>
      <c r="AY132" s="104">
        <f>AX132</f>
        <v>1433600</v>
      </c>
      <c r="AZ132" s="38">
        <v>1377023</v>
      </c>
      <c r="BA132" s="38">
        <v>1503582</v>
      </c>
      <c r="BB132" s="38">
        <v>1515158</v>
      </c>
      <c r="BC132" s="38">
        <v>1541583</v>
      </c>
      <c r="BD132" s="104">
        <f>BC132</f>
        <v>1541583</v>
      </c>
      <c r="BE132" s="38">
        <v>1537166</v>
      </c>
      <c r="BF132" s="38">
        <v>1564316</v>
      </c>
      <c r="BG132" s="567">
        <v>1477631</v>
      </c>
      <c r="BH132" s="38">
        <v>1378444</v>
      </c>
      <c r="BI132" s="104">
        <f>BH132</f>
        <v>1378444</v>
      </c>
      <c r="BJ132" s="38">
        <v>1327551</v>
      </c>
      <c r="BK132" s="38">
        <v>1294583</v>
      </c>
      <c r="BL132" s="38">
        <v>1264041</v>
      </c>
      <c r="BM132" s="38">
        <v>1234314</v>
      </c>
      <c r="BN132" s="104">
        <f>BM132</f>
        <v>1234314</v>
      </c>
      <c r="BO132" s="38">
        <v>1232069</v>
      </c>
      <c r="BP132" s="567">
        <v>6463130</v>
      </c>
      <c r="BQ132" s="567">
        <v>6418038</v>
      </c>
      <c r="BR132" s="38">
        <v>6588878</v>
      </c>
      <c r="BS132" s="104">
        <f>BR132</f>
        <v>6588878</v>
      </c>
      <c r="BT132" s="94">
        <f>BS132+BT208+BT209+BT210</f>
        <v>7623878</v>
      </c>
      <c r="BU132" s="48">
        <f>BT132+BU208+BU209+BU210</f>
        <v>7623878</v>
      </c>
      <c r="BV132" s="48">
        <f>BU132+BV208+BV209+BV210</f>
        <v>7623878</v>
      </c>
      <c r="BW132" s="48">
        <f>BV132+BW208+BW209+BW210</f>
        <v>7623878</v>
      </c>
      <c r="BX132" s="104">
        <f>BW132</f>
        <v>7623878</v>
      </c>
      <c r="BY132" s="94">
        <f>BX132+BY208+BY209+BY210</f>
        <v>7623878</v>
      </c>
      <c r="BZ132" s="48">
        <f>BY132+BZ208+BZ209+BZ210</f>
        <v>7623878</v>
      </c>
      <c r="CA132" s="48">
        <f>BZ132+CA208+CA209+CA210</f>
        <v>7623878</v>
      </c>
      <c r="CB132" s="48">
        <f>CA132+CB208+CB209+CB210</f>
        <v>7623878</v>
      </c>
      <c r="CC132" s="104">
        <f>CB132</f>
        <v>7623878</v>
      </c>
      <c r="CD132" s="94">
        <f>CC132+CD208+CD209+CD210</f>
        <v>7623878</v>
      </c>
      <c r="CE132" s="48">
        <f>CD132+CE208+CE209+CE210</f>
        <v>7623878</v>
      </c>
      <c r="CF132" s="48">
        <f>CE132+CF208+CF209+CF210</f>
        <v>7623878</v>
      </c>
      <c r="CG132" s="48">
        <f>CF132+CG208+CG209+CG210</f>
        <v>7623878</v>
      </c>
      <c r="CH132" s="104">
        <f>CG132</f>
        <v>7623878</v>
      </c>
      <c r="CI132" s="94">
        <f>CH132+CI208+CI209+CI210</f>
        <v>7623878</v>
      </c>
      <c r="CJ132" s="48">
        <f>CI132+CJ208+CJ209+CJ210</f>
        <v>7623878</v>
      </c>
      <c r="CK132" s="48">
        <f>CJ132+CK208+CK209+CK210</f>
        <v>7623878</v>
      </c>
      <c r="CL132" s="48">
        <f>CK132+CL208+CL209+CL210</f>
        <v>7623878</v>
      </c>
      <c r="CM132" s="104">
        <f>CL132</f>
        <v>7623878</v>
      </c>
      <c r="CN132" s="94">
        <f>CM132+CN208+CN209+CN210</f>
        <v>7623878</v>
      </c>
      <c r="CO132" s="48">
        <f>CN132+CO208+CO209+CO210</f>
        <v>7623878</v>
      </c>
      <c r="CP132" s="48">
        <f>CO132+CP208+CP209+CP210</f>
        <v>7623878</v>
      </c>
      <c r="CQ132" s="48">
        <f>CP132+CQ208+CQ209+CQ210</f>
        <v>7623878</v>
      </c>
      <c r="CR132" s="104">
        <f>CQ132</f>
        <v>7623878</v>
      </c>
      <c r="CS132" s="94">
        <f>CR132+CS208+CS209+CS210</f>
        <v>7623878</v>
      </c>
      <c r="CT132" s="48">
        <f>CS132+CT208+CT209+CT210</f>
        <v>7623878</v>
      </c>
      <c r="CU132" s="48">
        <f>CT132+CU208+CU209+CU210</f>
        <v>7623878</v>
      </c>
      <c r="CV132" s="48">
        <f>CU132+CV208+CV209+CV210</f>
        <v>7623878</v>
      </c>
      <c r="CW132" s="104">
        <f>CV132</f>
        <v>7623878</v>
      </c>
      <c r="CX132" s="94">
        <f>CW132+CX208+CX209+CX210</f>
        <v>7623878</v>
      </c>
      <c r="CY132" s="48">
        <f>CX132+CY208+CY209+CY210</f>
        <v>7623878</v>
      </c>
      <c r="CZ132" s="48">
        <f>CY132+CZ208+CZ209+CZ210</f>
        <v>7623878</v>
      </c>
      <c r="DA132" s="48">
        <f>CZ132+DA208+DA209+DA210</f>
        <v>7623878</v>
      </c>
      <c r="DB132" s="104">
        <f>DA132</f>
        <v>7623878</v>
      </c>
      <c r="DC132" s="48"/>
      <c r="DD132" s="48"/>
      <c r="DE132" s="48"/>
      <c r="DF132" s="48"/>
      <c r="DG132" s="48"/>
      <c r="DH132" s="48"/>
      <c r="DI132" s="48"/>
      <c r="DJ132" s="48"/>
      <c r="DK132" s="99"/>
      <c r="DL132" s="99"/>
      <c r="DM132" s="18"/>
    </row>
    <row r="133" spans="1:117">
      <c r="A133" s="15" t="s">
        <v>945</v>
      </c>
      <c r="B133" s="94">
        <f>-24318-2871</f>
        <v>-27189</v>
      </c>
      <c r="C133" s="48">
        <f>-2489-34603</f>
        <v>-37092</v>
      </c>
      <c r="D133" s="48">
        <f>-2007-96183</f>
        <v>-98190</v>
      </c>
      <c r="E133" s="48">
        <f>F133</f>
        <v>-11004</v>
      </c>
      <c r="F133" s="104">
        <f>-1413-9591</f>
        <v>-11004</v>
      </c>
      <c r="G133" s="94">
        <f>-1054-67031</f>
        <v>-68085</v>
      </c>
      <c r="H133" s="48">
        <f>-833-67963</f>
        <v>-68796</v>
      </c>
      <c r="I133" s="48">
        <f>-549-266099</f>
        <v>-266648</v>
      </c>
      <c r="J133" s="48">
        <f>K133</f>
        <v>-57096</v>
      </c>
      <c r="K133" s="104">
        <f>-105-56991</f>
        <v>-57096</v>
      </c>
      <c r="L133" s="37">
        <v>-505</v>
      </c>
      <c r="M133" s="38">
        <v>-43701</v>
      </c>
      <c r="N133" s="38">
        <v>33251</v>
      </c>
      <c r="O133" s="48">
        <f>P133</f>
        <v>39532</v>
      </c>
      <c r="P133" s="133">
        <v>39532</v>
      </c>
      <c r="Q133" s="37">
        <v>-65373</v>
      </c>
      <c r="R133" s="38">
        <v>-57709</v>
      </c>
      <c r="S133" s="38">
        <v>-27724</v>
      </c>
      <c r="T133" s="48">
        <f>U133</f>
        <v>-7069</v>
      </c>
      <c r="U133" s="133">
        <v>-7069</v>
      </c>
      <c r="V133" s="37">
        <v>-75177</v>
      </c>
      <c r="W133" s="38">
        <v>-113396</v>
      </c>
      <c r="X133" s="38">
        <v>-68763</v>
      </c>
      <c r="Y133" s="48">
        <f>Z133</f>
        <v>-70616</v>
      </c>
      <c r="Z133" s="133">
        <v>-70616</v>
      </c>
      <c r="AA133" s="37">
        <v>-56152</v>
      </c>
      <c r="AB133" s="38">
        <v>-82960</v>
      </c>
      <c r="AC133" s="38">
        <v>-118540</v>
      </c>
      <c r="AD133" s="48">
        <f>AE133</f>
        <v>-118613</v>
      </c>
      <c r="AE133" s="133">
        <v>-118613</v>
      </c>
      <c r="AF133" s="37">
        <v>-105564</v>
      </c>
      <c r="AG133" s="38">
        <v>-103486</v>
      </c>
      <c r="AH133" s="38">
        <v>-90268</v>
      </c>
      <c r="AI133" s="38">
        <v>-108802</v>
      </c>
      <c r="AJ133" s="104">
        <f>AI133</f>
        <v>-108802</v>
      </c>
      <c r="AK133" s="37">
        <v>-135137</v>
      </c>
      <c r="AL133" s="38">
        <v>-131266</v>
      </c>
      <c r="AM133" s="38">
        <v>-174573</v>
      </c>
      <c r="AN133" s="38">
        <v>-206121</v>
      </c>
      <c r="AO133" s="104">
        <f>AN133</f>
        <v>-206121</v>
      </c>
      <c r="AP133" s="38">
        <v>-178845</v>
      </c>
      <c r="AQ133" s="38">
        <v>-205640</v>
      </c>
      <c r="AR133" s="38">
        <v>-240476</v>
      </c>
      <c r="AS133" s="38">
        <v>-216798</v>
      </c>
      <c r="AT133" s="104">
        <f>AS133</f>
        <v>-216798</v>
      </c>
      <c r="AU133" s="38">
        <v>-223153</v>
      </c>
      <c r="AV133" s="38">
        <v>-211970</v>
      </c>
      <c r="AW133" s="38">
        <v>-219492</v>
      </c>
      <c r="AX133" s="38">
        <v>-121987</v>
      </c>
      <c r="AY133" s="104">
        <f>AX133</f>
        <v>-121987</v>
      </c>
      <c r="AZ133" s="38">
        <v>-109913</v>
      </c>
      <c r="BA133" s="38">
        <v>-113127</v>
      </c>
      <c r="BB133" s="38">
        <v>-107656</v>
      </c>
      <c r="BC133" s="38">
        <v>-136353</v>
      </c>
      <c r="BD133" s="104">
        <f>BC133</f>
        <v>-136353</v>
      </c>
      <c r="BE133" s="38">
        <v>-139892</v>
      </c>
      <c r="BF133" s="38">
        <v>-135334</v>
      </c>
      <c r="BG133" s="48">
        <v>-136112</v>
      </c>
      <c r="BH133" s="38">
        <v>-127242</v>
      </c>
      <c r="BI133" s="104">
        <f>BH133</f>
        <v>-127242</v>
      </c>
      <c r="BJ133" s="38">
        <v>-134614</v>
      </c>
      <c r="BK133" s="38">
        <v>-159246</v>
      </c>
      <c r="BL133" s="38">
        <v>-154351</v>
      </c>
      <c r="BM133" s="38">
        <v>-154350</v>
      </c>
      <c r="BN133" s="104">
        <f>BM133</f>
        <v>-154350</v>
      </c>
      <c r="BO133" s="38">
        <v>-139062</v>
      </c>
      <c r="BP133" s="567">
        <v>-176085</v>
      </c>
      <c r="BQ133" s="567">
        <f>+-181771</f>
        <v>-181771</v>
      </c>
      <c r="BR133" s="38">
        <v>-188530</v>
      </c>
      <c r="BS133" s="104">
        <f>BR133</f>
        <v>-188530</v>
      </c>
      <c r="BT133" s="94">
        <f>BS133</f>
        <v>-188530</v>
      </c>
      <c r="BU133" s="48">
        <f>BT133</f>
        <v>-188530</v>
      </c>
      <c r="BV133" s="48">
        <f>BU133</f>
        <v>-188530</v>
      </c>
      <c r="BW133" s="48">
        <f>BV133</f>
        <v>-188530</v>
      </c>
      <c r="BX133" s="104">
        <f>BW133</f>
        <v>-188530</v>
      </c>
      <c r="BY133" s="94">
        <f>BX133</f>
        <v>-188530</v>
      </c>
      <c r="BZ133" s="48">
        <f>BY133</f>
        <v>-188530</v>
      </c>
      <c r="CA133" s="48">
        <f>BZ133</f>
        <v>-188530</v>
      </c>
      <c r="CB133" s="48">
        <f>CA133</f>
        <v>-188530</v>
      </c>
      <c r="CC133" s="104">
        <f>CB133</f>
        <v>-188530</v>
      </c>
      <c r="CD133" s="94">
        <f>CC133</f>
        <v>-188530</v>
      </c>
      <c r="CE133" s="48">
        <f>CD133</f>
        <v>-188530</v>
      </c>
      <c r="CF133" s="48">
        <f>CE133</f>
        <v>-188530</v>
      </c>
      <c r="CG133" s="48">
        <f>CF133</f>
        <v>-188530</v>
      </c>
      <c r="CH133" s="104">
        <f>CG133</f>
        <v>-188530</v>
      </c>
      <c r="CI133" s="94">
        <f>CH133</f>
        <v>-188530</v>
      </c>
      <c r="CJ133" s="48">
        <f>CI133</f>
        <v>-188530</v>
      </c>
      <c r="CK133" s="48">
        <f>CJ133</f>
        <v>-188530</v>
      </c>
      <c r="CL133" s="48">
        <f>CK133</f>
        <v>-188530</v>
      </c>
      <c r="CM133" s="104">
        <f>CL133</f>
        <v>-188530</v>
      </c>
      <c r="CN133" s="94">
        <f>CM133</f>
        <v>-188530</v>
      </c>
      <c r="CO133" s="48">
        <f>CN133</f>
        <v>-188530</v>
      </c>
      <c r="CP133" s="48">
        <f>CO133</f>
        <v>-188530</v>
      </c>
      <c r="CQ133" s="48">
        <f>CP133</f>
        <v>-188530</v>
      </c>
      <c r="CR133" s="104">
        <f>CQ133</f>
        <v>-188530</v>
      </c>
      <c r="CS133" s="94">
        <f>CR133</f>
        <v>-188530</v>
      </c>
      <c r="CT133" s="48">
        <f>CS133</f>
        <v>-188530</v>
      </c>
      <c r="CU133" s="48">
        <f>CT133</f>
        <v>-188530</v>
      </c>
      <c r="CV133" s="48">
        <f>CU133</f>
        <v>-188530</v>
      </c>
      <c r="CW133" s="104">
        <f>CV133</f>
        <v>-188530</v>
      </c>
      <c r="CX133" s="94">
        <f>CW133</f>
        <v>-188530</v>
      </c>
      <c r="CY133" s="48">
        <f>CX133</f>
        <v>-188530</v>
      </c>
      <c r="CZ133" s="48">
        <f>CY133</f>
        <v>-188530</v>
      </c>
      <c r="DA133" s="48">
        <f>CZ133</f>
        <v>-188530</v>
      </c>
      <c r="DB133" s="104">
        <f>DA133</f>
        <v>-188530</v>
      </c>
      <c r="DC133" s="48"/>
      <c r="DD133" s="48"/>
      <c r="DE133" s="48"/>
      <c r="DF133" s="48"/>
      <c r="DG133" s="48"/>
      <c r="DH133" s="48"/>
      <c r="DI133" s="48"/>
      <c r="DJ133" s="48"/>
      <c r="DK133" s="99"/>
      <c r="DL133" s="99"/>
      <c r="DM133" s="18"/>
    </row>
    <row r="134" spans="1:117">
      <c r="A134" s="15" t="s">
        <v>904</v>
      </c>
      <c r="B134" s="37">
        <v>583083</v>
      </c>
      <c r="C134" s="38">
        <v>555783</v>
      </c>
      <c r="D134" s="38">
        <v>550858</v>
      </c>
      <c r="E134" s="48">
        <f>F134</f>
        <v>649240</v>
      </c>
      <c r="F134" s="133">
        <v>649240</v>
      </c>
      <c r="G134" s="37">
        <v>730933</v>
      </c>
      <c r="H134" s="38">
        <v>699110</v>
      </c>
      <c r="I134" s="38">
        <v>856029</v>
      </c>
      <c r="J134" s="48">
        <f>K134</f>
        <v>1085845</v>
      </c>
      <c r="K134" s="133">
        <v>1085845</v>
      </c>
      <c r="L134" s="37">
        <v>1188046</v>
      </c>
      <c r="M134" s="38">
        <v>1230621</v>
      </c>
      <c r="N134" s="38">
        <v>1217404</v>
      </c>
      <c r="O134" s="48">
        <f>P134</f>
        <v>1256759</v>
      </c>
      <c r="P134" s="133">
        <v>1256759</v>
      </c>
      <c r="Q134" s="37">
        <v>1371948</v>
      </c>
      <c r="R134" s="38">
        <v>1369398</v>
      </c>
      <c r="S134" s="38">
        <v>1345914</v>
      </c>
      <c r="T134" s="48">
        <f>U134</f>
        <v>1411492</v>
      </c>
      <c r="U134" s="133">
        <v>1411492</v>
      </c>
      <c r="V134" s="37">
        <v>1515793</v>
      </c>
      <c r="W134" s="38">
        <v>1517982</v>
      </c>
      <c r="X134" s="38">
        <v>1534241</v>
      </c>
      <c r="Y134" s="48">
        <f>Z134</f>
        <v>1553033</v>
      </c>
      <c r="Z134" s="133">
        <v>1553033</v>
      </c>
      <c r="AA134" s="37">
        <v>1633238</v>
      </c>
      <c r="AB134" s="38">
        <v>1632795</v>
      </c>
      <c r="AC134" s="38">
        <v>1636572</v>
      </c>
      <c r="AD134" s="48">
        <f>AE134</f>
        <v>1685710</v>
      </c>
      <c r="AE134" s="133">
        <v>1685710</v>
      </c>
      <c r="AF134" s="37">
        <v>1793548</v>
      </c>
      <c r="AG134" s="38">
        <v>1788501</v>
      </c>
      <c r="AH134" s="38">
        <v>1794842</v>
      </c>
      <c r="AI134" s="38">
        <v>1826800</v>
      </c>
      <c r="AJ134" s="104">
        <f>AI134</f>
        <v>1826800</v>
      </c>
      <c r="AK134" s="37">
        <v>1901279</v>
      </c>
      <c r="AL134" s="38">
        <v>1900716</v>
      </c>
      <c r="AM134" s="38">
        <v>1903056</v>
      </c>
      <c r="AN134" s="38">
        <v>1960374</v>
      </c>
      <c r="AO134" s="104">
        <f>AN134</f>
        <v>1960374</v>
      </c>
      <c r="AP134" s="38">
        <v>2019864</v>
      </c>
      <c r="AQ134" s="38">
        <v>2017460</v>
      </c>
      <c r="AR134" s="38">
        <v>2015008</v>
      </c>
      <c r="AS134" s="38">
        <v>2059024</v>
      </c>
      <c r="AT134" s="104">
        <f>AS134</f>
        <v>2059024</v>
      </c>
      <c r="AU134" s="38">
        <v>2097764</v>
      </c>
      <c r="AV134" s="38">
        <v>2024482</v>
      </c>
      <c r="AW134" s="38">
        <v>2008471</v>
      </c>
      <c r="AX134" s="38">
        <v>2020815</v>
      </c>
      <c r="AY134" s="104">
        <f>AX134</f>
        <v>2020815</v>
      </c>
      <c r="AZ134" s="38">
        <v>280242</v>
      </c>
      <c r="BA134" s="38">
        <v>225423</v>
      </c>
      <c r="BB134" s="38">
        <v>170249</v>
      </c>
      <c r="BC134" s="38">
        <v>138128</v>
      </c>
      <c r="BD134" s="104">
        <f>BC134</f>
        <v>138128</v>
      </c>
      <c r="BE134" s="38">
        <v>72976</v>
      </c>
      <c r="BF134" s="38">
        <v>23119</v>
      </c>
      <c r="BG134" s="567">
        <v>0</v>
      </c>
      <c r="BH134" s="38">
        <v>0</v>
      </c>
      <c r="BI134" s="104">
        <f>BH134</f>
        <v>0</v>
      </c>
      <c r="BJ134" s="38">
        <v>0</v>
      </c>
      <c r="BK134" s="38">
        <v>0</v>
      </c>
      <c r="BL134" s="38">
        <v>0</v>
      </c>
      <c r="BM134" s="38">
        <v>0</v>
      </c>
      <c r="BN134" s="104">
        <f>BM134</f>
        <v>0</v>
      </c>
      <c r="BO134" s="38">
        <v>30887</v>
      </c>
      <c r="BP134" s="567">
        <v>0</v>
      </c>
      <c r="BQ134" s="48">
        <v>0</v>
      </c>
      <c r="BR134" s="38">
        <v>0</v>
      </c>
      <c r="BS134" s="104">
        <f>BR134</f>
        <v>0</v>
      </c>
      <c r="BT134" s="94">
        <f>BT161+BS134+BT206+BT207+BT211+BT212+BT213+BT215+BT216</f>
        <v>-15479.99161399767</v>
      </c>
      <c r="BU134" s="48">
        <f>BU161+BT134+BU206+BU207+BU211+BU212+BU213+BU215+BU216</f>
        <v>-68582.627617192979</v>
      </c>
      <c r="BV134" s="48">
        <f>BV161+BU134+BV206+BV207+BV211+BV212+BV213+BV215+BV216</f>
        <v>-141830.06805415603</v>
      </c>
      <c r="BW134" s="48">
        <f>BW161+BV134+BW206+BW207+BW211+BW212+BW213+BW215+BW216</f>
        <v>-220621.31874885323</v>
      </c>
      <c r="BX134" s="104">
        <f>BW134</f>
        <v>-220621.31874885323</v>
      </c>
      <c r="BY134" s="94">
        <f>BY161+BX134+BY206+BY207+BY211+BY212+BY213+BY215+BY216</f>
        <v>-256943.9591111475</v>
      </c>
      <c r="BZ134" s="48">
        <f>BZ161+BY134+BZ206+BZ207+BZ211+BZ212+BZ213+BZ215+BZ216</f>
        <v>-309904.11657473532</v>
      </c>
      <c r="CA134" s="48">
        <f>CA161+BZ134+CA206+CA207+CA211+CA212+CA213+CA215+CA216</f>
        <v>-388616.97316244553</v>
      </c>
      <c r="CB134" s="48">
        <f>CB161+CA134+CB206+CB207+CB211+CB212+CB213+CB215+CB216</f>
        <v>-473426.47661404352</v>
      </c>
      <c r="CC134" s="104">
        <f>CB134</f>
        <v>-473426.47661404352</v>
      </c>
      <c r="CD134" s="94">
        <f>CD161+CC134+CD206+CD207+CD211+CD212+CD213+CD215+CD216</f>
        <v>-539118.30179383792</v>
      </c>
      <c r="CE134" s="48">
        <f>CE161+CD134+CE206+CE207+CE211+CE212+CE213+CE215+CE216</f>
        <v>-612606.57256652007</v>
      </c>
      <c r="CF134" s="48">
        <f>CF161+CE134+CF206+CF207+CF211+CF212+CF213+CF215+CF216</f>
        <v>-706176.47125798021</v>
      </c>
      <c r="CG134" s="48">
        <f>CG161+CF134+CG206+CG207+CG211+CG212+CG213+CG215+CG216</f>
        <v>-776395.15310433565</v>
      </c>
      <c r="CH134" s="104">
        <f>CG134</f>
        <v>-776395.15310433565</v>
      </c>
      <c r="CI134" s="94">
        <f>CI161+CH134+CI206+CI207+CI211+CI212+CI213+CI215+CI216</f>
        <v>-855883.14072402986</v>
      </c>
      <c r="CJ134" s="48">
        <f>CJ161+CI134+CJ206+CJ207+CJ211+CJ212+CJ213+CJ215+CJ216</f>
        <v>-934476.25488528761</v>
      </c>
      <c r="CK134" s="48">
        <f>CK161+CJ134+CK206+CK207+CK211+CK212+CK213+CK215+CK216</f>
        <v>-1036002.7523092735</v>
      </c>
      <c r="CL134" s="48">
        <f>CL161+CK134+CL206+CL207+CL211+CL212+CL213+CL215+CL216</f>
        <v>-1100498.8070805974</v>
      </c>
      <c r="CM134" s="104">
        <f>CL134</f>
        <v>-1100498.8070805974</v>
      </c>
      <c r="CN134" s="94">
        <f>CN161+CM134+CN206+CN207+CN211+CN212+CN213+CN215+CN216</f>
        <v>-1203451.1807168962</v>
      </c>
      <c r="CO134" s="48">
        <f>CO161+CN134+CO206+CO207+CO211+CO212+CO213+CO215+CO216</f>
        <v>-1302597.6302322361</v>
      </c>
      <c r="CP134" s="48">
        <f>CP161+CO134+CP206+CP207+CP211+CP212+CP213+CP215+CP216</f>
        <v>-1421382.7190204286</v>
      </c>
      <c r="CQ134" s="48">
        <f>CQ161+CP134+CQ206+CQ207+CQ211+CQ212+CQ213+CQ215+CQ216</f>
        <v>-1489594.7500200218</v>
      </c>
      <c r="CR134" s="104">
        <f>CQ134</f>
        <v>-1489594.7500200218</v>
      </c>
      <c r="CS134" s="94">
        <f>CS161+CR134+CS206+CS207+CS211+CS212+CS213+CS215+CS216</f>
        <v>-1609341.5285273867</v>
      </c>
      <c r="CT134" s="48">
        <f>CT161+CS134+CT206+CT207+CT211+CT212+CT213+CT215+CT216</f>
        <v>-1725149.9876458095</v>
      </c>
      <c r="CU134" s="48">
        <f>CU161+CT134+CU206+CU207+CU211+CU212+CU213+CU215+CU216</f>
        <v>-1860405.5860649967</v>
      </c>
      <c r="CV134" s="48">
        <f>CV161+CU134+CV206+CV207+CV211+CV212+CV213+CV215+CV216</f>
        <v>-1930634.1070404747</v>
      </c>
      <c r="CW134" s="104">
        <f>CV134</f>
        <v>-1930634.1070404747</v>
      </c>
      <c r="CX134" s="94">
        <f>CX161+CW134+CX206+CX207+CX211+CX212+CX213+CX215+CX216</f>
        <v>-2060599.6524539064</v>
      </c>
      <c r="CY134" s="48">
        <f>CY161+CX134+CY206+CY207+CY211+CY212+CY213+CY215+CY216</f>
        <v>-2186378.0495762159</v>
      </c>
      <c r="CZ134" s="48">
        <f>CZ161+CY134+CZ206+CZ207+CZ211+CZ212+CZ213+CZ215+CZ216</f>
        <v>-2331356.1391737554</v>
      </c>
      <c r="DA134" s="48">
        <f>DA161+CZ134+DA206+DA207+DA211+DA212+DA213+DA215+DA216</f>
        <v>-2405207.9931840706</v>
      </c>
      <c r="DB134" s="104">
        <f>DA134</f>
        <v>-2405207.9931840706</v>
      </c>
      <c r="DC134" s="48"/>
      <c r="DD134" s="48"/>
      <c r="DE134" s="48"/>
      <c r="DF134" s="48"/>
      <c r="DG134" s="48"/>
      <c r="DH134" s="48"/>
      <c r="DI134" s="48"/>
      <c r="DJ134" s="48"/>
      <c r="DK134" s="99"/>
      <c r="DL134" s="99"/>
      <c r="DM134" s="18"/>
    </row>
    <row r="135" spans="1:117">
      <c r="A135" s="15" t="s">
        <v>318</v>
      </c>
      <c r="B135" s="37">
        <v>-51183</v>
      </c>
      <c r="C135" s="38">
        <v>-51181</v>
      </c>
      <c r="D135" s="38">
        <v>-51199</v>
      </c>
      <c r="E135" s="48">
        <f>F135</f>
        <v>-51206</v>
      </c>
      <c r="F135" s="133">
        <v>-51206</v>
      </c>
      <c r="G135" s="37">
        <v>-116488</v>
      </c>
      <c r="H135" s="38">
        <v>-163713</v>
      </c>
      <c r="I135" s="38">
        <v>-241587</v>
      </c>
      <c r="J135" s="48">
        <f>K135</f>
        <v>-279355</v>
      </c>
      <c r="K135" s="133">
        <v>-279355</v>
      </c>
      <c r="L135" s="37">
        <v>-58819</v>
      </c>
      <c r="M135" s="38">
        <v>-58820</v>
      </c>
      <c r="N135" s="38">
        <v>-340237</v>
      </c>
      <c r="O135" s="48">
        <f>P135</f>
        <v>-340253</v>
      </c>
      <c r="P135" s="133">
        <v>-340253</v>
      </c>
      <c r="Q135" s="37">
        <v>-360117</v>
      </c>
      <c r="R135" s="38">
        <v>-730180</v>
      </c>
      <c r="S135" s="38">
        <v>-719118</v>
      </c>
      <c r="T135" s="48">
        <f>U135</f>
        <v>-710126</v>
      </c>
      <c r="U135" s="133">
        <v>-710126</v>
      </c>
      <c r="V135" s="37">
        <v>-710141</v>
      </c>
      <c r="W135" s="38">
        <v>-708964</v>
      </c>
      <c r="X135" s="38">
        <v>-708965</v>
      </c>
      <c r="Y135" s="48">
        <f>Z135</f>
        <v>-696616</v>
      </c>
      <c r="Z135" s="133">
        <v>-696616</v>
      </c>
      <c r="AA135" s="37">
        <v>-696863</v>
      </c>
      <c r="AB135" s="38">
        <v>-696805</v>
      </c>
      <c r="AC135" s="38">
        <v>-696807</v>
      </c>
      <c r="AD135" s="48">
        <f>AE135</f>
        <v>-683467</v>
      </c>
      <c r="AE135" s="133">
        <v>-683467</v>
      </c>
      <c r="AF135" s="37">
        <v>-674103</v>
      </c>
      <c r="AG135" s="38">
        <v>-674103</v>
      </c>
      <c r="AH135" s="38">
        <v>-673979</v>
      </c>
      <c r="AI135" s="38">
        <v>-663274</v>
      </c>
      <c r="AJ135" s="104">
        <f>AI135</f>
        <v>-663274</v>
      </c>
      <c r="AK135" s="37">
        <v>-652573</v>
      </c>
      <c r="AL135" s="38">
        <v>-949632</v>
      </c>
      <c r="AM135" s="38">
        <v>-947839</v>
      </c>
      <c r="AN135" s="38">
        <v>-935323</v>
      </c>
      <c r="AO135" s="104">
        <f>AN135</f>
        <v>-935323</v>
      </c>
      <c r="AP135" s="38">
        <v>-903585</v>
      </c>
      <c r="AQ135" s="38">
        <v>-1050942</v>
      </c>
      <c r="AR135" s="38">
        <v>-1048329</v>
      </c>
      <c r="AS135" s="38">
        <v>-1039773</v>
      </c>
      <c r="AT135" s="104">
        <f>AS135</f>
        <v>-1039773</v>
      </c>
      <c r="AU135" s="38">
        <v>-1010450</v>
      </c>
      <c r="AV135" s="38">
        <v>-1007834</v>
      </c>
      <c r="AW135" s="38">
        <v>-1005829</v>
      </c>
      <c r="AX135" s="38">
        <v>-997035</v>
      </c>
      <c r="AY135" s="104">
        <f>AX135</f>
        <v>-997035</v>
      </c>
      <c r="AZ135" s="38">
        <v>-965310</v>
      </c>
      <c r="BA135" s="38">
        <v>-961911</v>
      </c>
      <c r="BB135" s="38">
        <v>-956977</v>
      </c>
      <c r="BC135" s="38">
        <v>-953701</v>
      </c>
      <c r="BD135" s="104">
        <f>BC135</f>
        <v>-953701</v>
      </c>
      <c r="BE135" s="38">
        <v>-942550</v>
      </c>
      <c r="BF135" s="38">
        <v>-937051</v>
      </c>
      <c r="BG135" s="567">
        <v>-929505</v>
      </c>
      <c r="BH135" s="38">
        <v>-917862</v>
      </c>
      <c r="BI135" s="104">
        <f>BH135</f>
        <v>-917862</v>
      </c>
      <c r="BJ135" s="38">
        <v>-908507</v>
      </c>
      <c r="BK135" s="38">
        <v>-900366</v>
      </c>
      <c r="BL135" s="38">
        <v>-897852</v>
      </c>
      <c r="BM135" s="38">
        <v>-893677</v>
      </c>
      <c r="BN135" s="104">
        <f>BM135</f>
        <v>-893677</v>
      </c>
      <c r="BO135" s="38">
        <v>-887970</v>
      </c>
      <c r="BP135" s="567">
        <v>-883445</v>
      </c>
      <c r="BQ135" s="567">
        <f>+-880931</f>
        <v>-880931</v>
      </c>
      <c r="BR135" s="38">
        <v>-876713</v>
      </c>
      <c r="BS135" s="104">
        <f>BR135</f>
        <v>-876713</v>
      </c>
      <c r="BT135" s="94">
        <f>BS135</f>
        <v>-876713</v>
      </c>
      <c r="BU135" s="48">
        <f>BT135</f>
        <v>-876713</v>
      </c>
      <c r="BV135" s="48">
        <f>BU135</f>
        <v>-876713</v>
      </c>
      <c r="BW135" s="48">
        <f>BV135</f>
        <v>-876713</v>
      </c>
      <c r="BX135" s="104">
        <f>BW135</f>
        <v>-876713</v>
      </c>
      <c r="BY135" s="94">
        <f>BX135</f>
        <v>-876713</v>
      </c>
      <c r="BZ135" s="48">
        <f>BY135</f>
        <v>-876713</v>
      </c>
      <c r="CA135" s="48">
        <f>BZ135</f>
        <v>-876713</v>
      </c>
      <c r="CB135" s="48">
        <f>CA135</f>
        <v>-876713</v>
      </c>
      <c r="CC135" s="104">
        <f>CB135</f>
        <v>-876713</v>
      </c>
      <c r="CD135" s="94">
        <f>CC135</f>
        <v>-876713</v>
      </c>
      <c r="CE135" s="48">
        <f>CD135</f>
        <v>-876713</v>
      </c>
      <c r="CF135" s="48">
        <f>CE135</f>
        <v>-876713</v>
      </c>
      <c r="CG135" s="48">
        <f>CF135</f>
        <v>-876713</v>
      </c>
      <c r="CH135" s="104">
        <f>CG135</f>
        <v>-876713</v>
      </c>
      <c r="CI135" s="94">
        <f>CH135</f>
        <v>-876713</v>
      </c>
      <c r="CJ135" s="48">
        <f>CI135</f>
        <v>-876713</v>
      </c>
      <c r="CK135" s="48">
        <f>CJ135</f>
        <v>-876713</v>
      </c>
      <c r="CL135" s="48">
        <f>CK135</f>
        <v>-876713</v>
      </c>
      <c r="CM135" s="104">
        <f>CL135</f>
        <v>-876713</v>
      </c>
      <c r="CN135" s="94">
        <f>CM135</f>
        <v>-876713</v>
      </c>
      <c r="CO135" s="48">
        <f>CN135</f>
        <v>-876713</v>
      </c>
      <c r="CP135" s="48">
        <f>CO135</f>
        <v>-876713</v>
      </c>
      <c r="CQ135" s="48">
        <f>CP135</f>
        <v>-876713</v>
      </c>
      <c r="CR135" s="104">
        <f>CQ135</f>
        <v>-876713</v>
      </c>
      <c r="CS135" s="94">
        <f>CR135</f>
        <v>-876713</v>
      </c>
      <c r="CT135" s="48">
        <f>CS135</f>
        <v>-876713</v>
      </c>
      <c r="CU135" s="48">
        <f>CT135</f>
        <v>-876713</v>
      </c>
      <c r="CV135" s="48">
        <f>CU135</f>
        <v>-876713</v>
      </c>
      <c r="CW135" s="104">
        <f>CV135</f>
        <v>-876713</v>
      </c>
      <c r="CX135" s="94">
        <f>CW135</f>
        <v>-876713</v>
      </c>
      <c r="CY135" s="48">
        <f>CX135</f>
        <v>-876713</v>
      </c>
      <c r="CZ135" s="48">
        <f>CY135</f>
        <v>-876713</v>
      </c>
      <c r="DA135" s="48">
        <f>CZ135</f>
        <v>-876713</v>
      </c>
      <c r="DB135" s="104">
        <f>DA135</f>
        <v>-876713</v>
      </c>
      <c r="DC135" s="48"/>
      <c r="DD135" s="48"/>
      <c r="DE135" s="48"/>
      <c r="DF135" s="48"/>
      <c r="DG135" s="48"/>
      <c r="DH135" s="48"/>
      <c r="DI135" s="48"/>
      <c r="DJ135" s="48"/>
      <c r="DK135" s="99"/>
      <c r="DL135" s="99"/>
      <c r="DM135" s="18"/>
    </row>
    <row r="136" spans="1:117">
      <c r="A136" s="28" t="s">
        <v>946</v>
      </c>
      <c r="B136" s="160">
        <f t="shared" ref="B136:Z136" si="308">SUM(B131:B135)</f>
        <v>1483722</v>
      </c>
      <c r="C136" s="168">
        <f t="shared" si="308"/>
        <v>1456386</v>
      </c>
      <c r="D136" s="168">
        <f t="shared" si="308"/>
        <v>1399388</v>
      </c>
      <c r="E136" s="168">
        <f t="shared" si="308"/>
        <v>1605704</v>
      </c>
      <c r="F136" s="235">
        <f t="shared" si="308"/>
        <v>1605704</v>
      </c>
      <c r="G136" s="160">
        <f t="shared" si="308"/>
        <v>1572133</v>
      </c>
      <c r="H136" s="168">
        <f t="shared" si="308"/>
        <v>1498370</v>
      </c>
      <c r="I136" s="168">
        <f t="shared" si="308"/>
        <v>1385494</v>
      </c>
      <c r="J136" s="168">
        <f t="shared" si="308"/>
        <v>1794757</v>
      </c>
      <c r="K136" s="235">
        <f t="shared" si="308"/>
        <v>1794757</v>
      </c>
      <c r="L136" s="160">
        <f t="shared" si="308"/>
        <v>2355050</v>
      </c>
      <c r="M136" s="168">
        <f t="shared" si="308"/>
        <v>2365992</v>
      </c>
      <c r="N136" s="168">
        <f t="shared" si="308"/>
        <v>2155597</v>
      </c>
      <c r="O136" s="168">
        <f t="shared" si="308"/>
        <v>2215958</v>
      </c>
      <c r="P136" s="235">
        <f t="shared" si="308"/>
        <v>2215958</v>
      </c>
      <c r="Q136" s="160">
        <f t="shared" si="308"/>
        <v>2210776</v>
      </c>
      <c r="R136" s="168">
        <f t="shared" si="308"/>
        <v>1861585</v>
      </c>
      <c r="S136" s="168">
        <f t="shared" si="308"/>
        <v>1875508</v>
      </c>
      <c r="T136" s="168">
        <f t="shared" si="308"/>
        <v>1969308</v>
      </c>
      <c r="U136" s="235">
        <f t="shared" si="308"/>
        <v>1969308</v>
      </c>
      <c r="V136" s="160">
        <f t="shared" si="308"/>
        <v>2006792</v>
      </c>
      <c r="W136" s="168">
        <f t="shared" si="308"/>
        <v>1983298</v>
      </c>
      <c r="X136" s="168">
        <f t="shared" si="308"/>
        <v>2058015</v>
      </c>
      <c r="Y136" s="168">
        <f t="shared" si="308"/>
        <v>2088170</v>
      </c>
      <c r="Z136" s="235">
        <f t="shared" si="308"/>
        <v>2088170</v>
      </c>
      <c r="AA136" s="160">
        <f t="shared" ref="AA136:AW136" si="309">SUM(AA131:AA135)</f>
        <v>2183293</v>
      </c>
      <c r="AB136" s="168">
        <f>SUM(AB131:AB135)</f>
        <v>2162393</v>
      </c>
      <c r="AC136" s="168">
        <f>SUM(AC131:AC135)</f>
        <v>2139615</v>
      </c>
      <c r="AD136" s="168">
        <f>SUM(AD131:AD135)</f>
        <v>2207194</v>
      </c>
      <c r="AE136" s="235">
        <f>SUM(AE131:AE135)</f>
        <v>2207194</v>
      </c>
      <c r="AF136" s="160">
        <f t="shared" si="309"/>
        <v>2380697</v>
      </c>
      <c r="AG136" s="168">
        <f t="shared" si="309"/>
        <v>2387229</v>
      </c>
      <c r="AH136" s="168">
        <f t="shared" si="309"/>
        <v>2414479</v>
      </c>
      <c r="AI136" s="168">
        <f t="shared" si="309"/>
        <v>2448623</v>
      </c>
      <c r="AJ136" s="235">
        <f t="shared" si="309"/>
        <v>2448623</v>
      </c>
      <c r="AK136" s="160">
        <f t="shared" si="309"/>
        <v>2499084</v>
      </c>
      <c r="AL136" s="76">
        <f t="shared" si="309"/>
        <v>2217089</v>
      </c>
      <c r="AM136" s="168">
        <f t="shared" si="309"/>
        <v>2185960</v>
      </c>
      <c r="AN136" s="168">
        <f t="shared" si="309"/>
        <v>2238573</v>
      </c>
      <c r="AO136" s="235">
        <f t="shared" si="309"/>
        <v>2238573</v>
      </c>
      <c r="AP136" s="168">
        <f t="shared" si="309"/>
        <v>2256152</v>
      </c>
      <c r="AQ136" s="168">
        <f t="shared" si="309"/>
        <v>2089540</v>
      </c>
      <c r="AR136" s="168">
        <f t="shared" si="309"/>
        <v>2065706</v>
      </c>
      <c r="AS136" s="168">
        <f>SUM(AS131:AS135)</f>
        <v>2129609</v>
      </c>
      <c r="AT136" s="235">
        <f>SUM(AT131:AT135)</f>
        <v>2129609</v>
      </c>
      <c r="AU136" s="160">
        <f t="shared" si="309"/>
        <v>2134354</v>
      </c>
      <c r="AV136" s="168">
        <f>SUM(AV131:AV135)</f>
        <v>2085349</v>
      </c>
      <c r="AW136" s="168">
        <f t="shared" si="309"/>
        <v>2189694</v>
      </c>
      <c r="AX136" s="168">
        <f t="shared" ref="AX136:BD136" si="310">SUM(AX131:AX135)</f>
        <v>2337851</v>
      </c>
      <c r="AY136" s="235">
        <f t="shared" si="310"/>
        <v>2337851</v>
      </c>
      <c r="AZ136" s="168">
        <f t="shared" si="310"/>
        <v>584500</v>
      </c>
      <c r="BA136" s="168">
        <f t="shared" si="310"/>
        <v>656425</v>
      </c>
      <c r="BB136" s="168">
        <f t="shared" si="310"/>
        <v>623232</v>
      </c>
      <c r="BC136" s="168">
        <f t="shared" si="310"/>
        <v>592115</v>
      </c>
      <c r="BD136" s="235">
        <f t="shared" si="310"/>
        <v>592115</v>
      </c>
      <c r="BE136" s="168">
        <f>SUM(BE131:BE135)</f>
        <v>530158</v>
      </c>
      <c r="BF136" s="388">
        <f>SUM(BF131:BF135)</f>
        <v>517508</v>
      </c>
      <c r="BG136" s="168">
        <f t="shared" ref="BG136:BS136" si="311">SUM(BG131:BG135)</f>
        <v>414472</v>
      </c>
      <c r="BH136" s="388">
        <f t="shared" si="311"/>
        <v>335798</v>
      </c>
      <c r="BI136" s="521">
        <f t="shared" si="311"/>
        <v>335798</v>
      </c>
      <c r="BJ136" s="160">
        <f t="shared" si="311"/>
        <v>286888</v>
      </c>
      <c r="BK136" s="388">
        <f>SUM(BK131:BK135)</f>
        <v>237429</v>
      </c>
      <c r="BL136" s="388">
        <f>SUM(BL131:BL135)</f>
        <v>214296</v>
      </c>
      <c r="BM136" s="388">
        <f t="shared" si="311"/>
        <v>188745</v>
      </c>
      <c r="BN136" s="521">
        <f t="shared" si="311"/>
        <v>188745</v>
      </c>
      <c r="BO136" s="160">
        <f t="shared" si="311"/>
        <v>238382</v>
      </c>
      <c r="BP136" s="168">
        <f t="shared" si="311"/>
        <v>5407747</v>
      </c>
      <c r="BQ136" s="168">
        <f t="shared" si="311"/>
        <v>5359495</v>
      </c>
      <c r="BR136" s="388">
        <f t="shared" ref="BR136" si="312">SUM(BR131:BR135)</f>
        <v>5527867</v>
      </c>
      <c r="BS136" s="235">
        <f t="shared" si="311"/>
        <v>5527867</v>
      </c>
      <c r="BT136" s="160">
        <f t="shared" ref="BT136:DB136" si="313">SUM(BT131:BT135)</f>
        <v>6547387.0083860019</v>
      </c>
      <c r="BU136" s="168">
        <f t="shared" si="313"/>
        <v>6494284.3723828066</v>
      </c>
      <c r="BV136" s="168">
        <f t="shared" si="313"/>
        <v>6421036.9319458436</v>
      </c>
      <c r="BW136" s="168">
        <f t="shared" si="313"/>
        <v>6342245.6812511468</v>
      </c>
      <c r="BX136" s="235">
        <f t="shared" si="313"/>
        <v>6342245.6812511468</v>
      </c>
      <c r="BY136" s="160">
        <f t="shared" si="313"/>
        <v>6305923.0408888524</v>
      </c>
      <c r="BZ136" s="168">
        <f t="shared" si="313"/>
        <v>6252962.8834252646</v>
      </c>
      <c r="CA136" s="168">
        <f t="shared" si="313"/>
        <v>6174250.0268375548</v>
      </c>
      <c r="CB136" s="168">
        <f t="shared" si="313"/>
        <v>6089440.5233859569</v>
      </c>
      <c r="CC136" s="235">
        <f t="shared" si="313"/>
        <v>6089440.5233859569</v>
      </c>
      <c r="CD136" s="160">
        <f t="shared" si="313"/>
        <v>6023748.6982061621</v>
      </c>
      <c r="CE136" s="168">
        <f t="shared" si="313"/>
        <v>5950260.4274334796</v>
      </c>
      <c r="CF136" s="168">
        <f t="shared" si="313"/>
        <v>5856690.52874202</v>
      </c>
      <c r="CG136" s="168">
        <f t="shared" si="313"/>
        <v>5786471.846895664</v>
      </c>
      <c r="CH136" s="235">
        <f t="shared" si="313"/>
        <v>5786471.846895664</v>
      </c>
      <c r="CI136" s="160">
        <f t="shared" si="313"/>
        <v>5706983.8592759706</v>
      </c>
      <c r="CJ136" s="168">
        <f t="shared" si="313"/>
        <v>5628390.745114712</v>
      </c>
      <c r="CK136" s="168">
        <f t="shared" si="313"/>
        <v>5526864.2476907261</v>
      </c>
      <c r="CL136" s="168">
        <f t="shared" si="313"/>
        <v>5462368.1929194024</v>
      </c>
      <c r="CM136" s="235">
        <f t="shared" si="313"/>
        <v>5462368.1929194024</v>
      </c>
      <c r="CN136" s="160">
        <f t="shared" si="313"/>
        <v>5359415.8192831036</v>
      </c>
      <c r="CO136" s="168">
        <f t="shared" si="313"/>
        <v>5260269.3697677637</v>
      </c>
      <c r="CP136" s="168">
        <f t="shared" si="313"/>
        <v>5141484.2809795719</v>
      </c>
      <c r="CQ136" s="168">
        <f t="shared" si="313"/>
        <v>5073272.2499799784</v>
      </c>
      <c r="CR136" s="235">
        <f t="shared" si="313"/>
        <v>5073272.2499799784</v>
      </c>
      <c r="CS136" s="160">
        <f t="shared" si="313"/>
        <v>4953525.4714726135</v>
      </c>
      <c r="CT136" s="168">
        <f t="shared" si="313"/>
        <v>4837717.0123541905</v>
      </c>
      <c r="CU136" s="168">
        <f t="shared" si="313"/>
        <v>4702461.4139350038</v>
      </c>
      <c r="CV136" s="168">
        <f t="shared" si="313"/>
        <v>4632232.8929595258</v>
      </c>
      <c r="CW136" s="235">
        <f t="shared" si="313"/>
        <v>4632232.8929595258</v>
      </c>
      <c r="CX136" s="160">
        <f t="shared" si="313"/>
        <v>4502267.3475460932</v>
      </c>
      <c r="CY136" s="168">
        <f t="shared" si="313"/>
        <v>4376488.9504237846</v>
      </c>
      <c r="CZ136" s="168">
        <f t="shared" si="313"/>
        <v>4231510.8608262446</v>
      </c>
      <c r="DA136" s="168">
        <f t="shared" si="313"/>
        <v>4157659.006815929</v>
      </c>
      <c r="DB136" s="235">
        <f t="shared" si="313"/>
        <v>4157659.006815929</v>
      </c>
      <c r="DC136" s="168"/>
      <c r="DD136" s="168"/>
      <c r="DE136" s="168"/>
      <c r="DF136" s="168"/>
      <c r="DG136" s="168"/>
      <c r="DH136" s="168"/>
      <c r="DI136" s="168"/>
      <c r="DJ136" s="168"/>
      <c r="DK136" s="406"/>
      <c r="DL136" s="406"/>
      <c r="DM136" s="25"/>
    </row>
    <row r="137" spans="1:117">
      <c r="A137" s="10" t="s">
        <v>653</v>
      </c>
      <c r="B137" s="37"/>
      <c r="C137" s="38"/>
      <c r="D137" s="38"/>
      <c r="E137" s="38"/>
      <c r="F137" s="133"/>
      <c r="G137" s="37"/>
      <c r="H137" s="38"/>
      <c r="I137" s="38"/>
      <c r="J137" s="38"/>
      <c r="K137" s="133"/>
      <c r="L137" s="37"/>
      <c r="M137" s="38"/>
      <c r="N137" s="38"/>
      <c r="O137" s="38"/>
      <c r="P137" s="133"/>
      <c r="Q137" s="37"/>
      <c r="R137" s="38"/>
      <c r="S137" s="38"/>
      <c r="T137" s="38"/>
      <c r="U137" s="133"/>
      <c r="V137" s="37"/>
      <c r="W137" s="38"/>
      <c r="X137" s="38"/>
      <c r="Y137" s="38"/>
      <c r="Z137" s="133"/>
      <c r="AA137" s="37"/>
      <c r="AB137" s="38"/>
      <c r="AC137" s="38"/>
      <c r="AD137" s="38"/>
      <c r="AE137" s="133"/>
      <c r="AF137" s="37"/>
      <c r="AG137" s="38"/>
      <c r="AH137" s="38"/>
      <c r="AI137" s="38"/>
      <c r="AJ137" s="133"/>
      <c r="AK137" s="37"/>
      <c r="AL137" s="38"/>
      <c r="AM137" s="38"/>
      <c r="AN137" s="38"/>
      <c r="AO137" s="133"/>
      <c r="AP137" s="38"/>
      <c r="AQ137" s="38"/>
      <c r="AR137" s="38"/>
      <c r="AS137" s="38"/>
      <c r="AT137" s="133"/>
      <c r="AU137" s="37"/>
      <c r="AV137" s="38"/>
      <c r="AW137" s="38"/>
      <c r="AX137" s="38"/>
      <c r="AY137" s="133"/>
      <c r="AZ137" s="38"/>
      <c r="BA137" s="38"/>
      <c r="BB137" s="38"/>
      <c r="BC137" s="38"/>
      <c r="BD137" s="133"/>
      <c r="BE137" s="38"/>
      <c r="BF137" s="38"/>
      <c r="BG137" s="38"/>
      <c r="BH137" s="38"/>
      <c r="BI137" s="133"/>
      <c r="BJ137" s="37"/>
      <c r="BK137" s="38"/>
      <c r="BL137" s="38"/>
      <c r="BM137" s="38"/>
      <c r="BN137" s="133"/>
      <c r="BO137" s="37"/>
      <c r="BP137" s="38"/>
      <c r="BQ137" s="38"/>
      <c r="BR137" s="38"/>
      <c r="BS137" s="133"/>
      <c r="BT137" s="37"/>
      <c r="BU137" s="38"/>
      <c r="BV137" s="38"/>
      <c r="BW137" s="38"/>
      <c r="BX137" s="133"/>
      <c r="BY137" s="37"/>
      <c r="BZ137" s="38"/>
      <c r="CA137" s="38"/>
      <c r="CB137" s="38"/>
      <c r="CC137" s="133"/>
      <c r="CD137" s="37"/>
      <c r="CE137" s="38"/>
      <c r="CF137" s="38"/>
      <c r="CG137" s="38"/>
      <c r="CH137" s="133"/>
      <c r="CI137" s="37"/>
      <c r="CJ137" s="38"/>
      <c r="CK137" s="38"/>
      <c r="CL137" s="38"/>
      <c r="CM137" s="133"/>
      <c r="CN137" s="37"/>
      <c r="CO137" s="38"/>
      <c r="CP137" s="38"/>
      <c r="CQ137" s="38"/>
      <c r="CR137" s="133"/>
      <c r="CS137" s="37"/>
      <c r="CT137" s="38"/>
      <c r="CU137" s="38"/>
      <c r="CV137" s="38"/>
      <c r="CW137" s="133"/>
      <c r="CX137" s="37"/>
      <c r="CY137" s="38"/>
      <c r="CZ137" s="38"/>
      <c r="DA137" s="38"/>
      <c r="DB137" s="133"/>
      <c r="DC137" s="38"/>
      <c r="DD137" s="38"/>
      <c r="DE137" s="38"/>
      <c r="DF137" s="38"/>
      <c r="DG137" s="38"/>
      <c r="DH137" s="38"/>
      <c r="DI137" s="38"/>
      <c r="DJ137" s="38"/>
      <c r="DK137" s="65"/>
      <c r="DL137" s="65"/>
      <c r="DM137" s="18"/>
    </row>
    <row r="138" spans="1:117">
      <c r="A138" s="28" t="s">
        <v>947</v>
      </c>
      <c r="B138" s="160">
        <f t="shared" ref="B138:Z138" si="314">B126+B128+B136</f>
        <v>5957908</v>
      </c>
      <c r="C138" s="168">
        <f t="shared" si="314"/>
        <v>6068855</v>
      </c>
      <c r="D138" s="168">
        <f t="shared" si="314"/>
        <v>6424336</v>
      </c>
      <c r="E138" s="168">
        <f t="shared" si="314"/>
        <v>7199152</v>
      </c>
      <c r="F138" s="235">
        <f t="shared" si="314"/>
        <v>7199152</v>
      </c>
      <c r="G138" s="160">
        <f t="shared" si="314"/>
        <v>6849919</v>
      </c>
      <c r="H138" s="168">
        <f t="shared" si="314"/>
        <v>6696870</v>
      </c>
      <c r="I138" s="168">
        <f t="shared" si="314"/>
        <v>10362455</v>
      </c>
      <c r="J138" s="168">
        <f t="shared" si="314"/>
        <v>9311748</v>
      </c>
      <c r="K138" s="235">
        <f t="shared" si="314"/>
        <v>9311748</v>
      </c>
      <c r="L138" s="160">
        <f t="shared" si="314"/>
        <v>10731432</v>
      </c>
      <c r="M138" s="168">
        <f t="shared" si="314"/>
        <v>10176104</v>
      </c>
      <c r="N138" s="168">
        <f t="shared" si="314"/>
        <v>10188518</v>
      </c>
      <c r="O138" s="168">
        <f t="shared" si="314"/>
        <v>10391082</v>
      </c>
      <c r="P138" s="235">
        <f t="shared" si="314"/>
        <v>10391082</v>
      </c>
      <c r="Q138" s="160">
        <f t="shared" si="314"/>
        <v>10348911</v>
      </c>
      <c r="R138" s="168">
        <f t="shared" si="314"/>
        <v>9988530</v>
      </c>
      <c r="S138" s="168">
        <f t="shared" si="314"/>
        <v>10922384</v>
      </c>
      <c r="T138" s="168">
        <f t="shared" si="314"/>
        <v>11062034</v>
      </c>
      <c r="U138" s="235">
        <f t="shared" si="314"/>
        <v>11062034</v>
      </c>
      <c r="V138" s="160">
        <f t="shared" si="314"/>
        <v>11239834</v>
      </c>
      <c r="W138" s="168">
        <f t="shared" si="314"/>
        <v>12169072</v>
      </c>
      <c r="X138" s="168">
        <f t="shared" si="314"/>
        <v>12222063</v>
      </c>
      <c r="Y138" s="168">
        <f t="shared" si="314"/>
        <v>13126062</v>
      </c>
      <c r="Z138" s="235">
        <f t="shared" si="314"/>
        <v>13126062</v>
      </c>
      <c r="AA138" s="160">
        <f t="shared" ref="AA138:AJ138" si="315">AA126+AA128+AA136</f>
        <v>11939964</v>
      </c>
      <c r="AB138" s="168">
        <f t="shared" si="315"/>
        <v>11833723</v>
      </c>
      <c r="AC138" s="168">
        <f>AC126+AC128+AC136</f>
        <v>12029470</v>
      </c>
      <c r="AD138" s="168">
        <f>AD126+AD128+AD136</f>
        <v>12827683</v>
      </c>
      <c r="AE138" s="235">
        <f>AE126+AE128+AE136</f>
        <v>12827683</v>
      </c>
      <c r="AF138" s="160">
        <f t="shared" si="315"/>
        <v>12329192</v>
      </c>
      <c r="AG138" s="168">
        <f t="shared" si="315"/>
        <v>12119911</v>
      </c>
      <c r="AH138" s="168">
        <f t="shared" si="315"/>
        <v>11929753</v>
      </c>
      <c r="AI138" s="168">
        <f>AI126+AI128+AI136</f>
        <v>12499175</v>
      </c>
      <c r="AJ138" s="235">
        <f t="shared" si="315"/>
        <v>12499175</v>
      </c>
      <c r="AK138" s="160">
        <f>AK126+AK128+AK136</f>
        <v>13039596</v>
      </c>
      <c r="AL138" s="76">
        <f>AL126+AL128+AL136</f>
        <v>13036333</v>
      </c>
      <c r="AM138" s="168">
        <f t="shared" ref="AM138:BS138" si="316">AM126+AM128+AM136</f>
        <v>13171124</v>
      </c>
      <c r="AN138" s="168">
        <f t="shared" si="316"/>
        <v>13696635</v>
      </c>
      <c r="AO138" s="235">
        <f t="shared" si="316"/>
        <v>13696635</v>
      </c>
      <c r="AP138" s="168">
        <f>AP126+AP128+AP136</f>
        <v>14252076</v>
      </c>
      <c r="AQ138" s="168">
        <f t="shared" si="316"/>
        <v>13817191</v>
      </c>
      <c r="AR138" s="168">
        <f>AR126+AR128+AR136</f>
        <v>15364307</v>
      </c>
      <c r="AS138" s="168">
        <f>AS126+AS128+AS136</f>
        <v>15855275</v>
      </c>
      <c r="AT138" s="235">
        <f>AT126+AT128+AT136</f>
        <v>15855275</v>
      </c>
      <c r="AU138" s="160">
        <f t="shared" si="316"/>
        <v>15446219</v>
      </c>
      <c r="AV138" s="168">
        <f>AV126+AV128+AV136</f>
        <v>15842274</v>
      </c>
      <c r="AW138" s="168">
        <f t="shared" si="316"/>
        <v>17610343</v>
      </c>
      <c r="AX138" s="168">
        <f t="shared" ref="AX138:BD138" si="317">AX126+AX128+AX136</f>
        <v>17707558</v>
      </c>
      <c r="AY138" s="235">
        <f t="shared" si="317"/>
        <v>17707558</v>
      </c>
      <c r="AZ138" s="168">
        <f t="shared" si="317"/>
        <v>13653134</v>
      </c>
      <c r="BA138" s="168">
        <f t="shared" si="317"/>
        <v>14384538</v>
      </c>
      <c r="BB138" s="168">
        <f t="shared" si="317"/>
        <v>14312196</v>
      </c>
      <c r="BC138" s="168">
        <f t="shared" si="317"/>
        <v>15304560</v>
      </c>
      <c r="BD138" s="235">
        <f t="shared" si="317"/>
        <v>15304560</v>
      </c>
      <c r="BE138" s="168">
        <f>BE126+BE128+BE136</f>
        <v>15533073</v>
      </c>
      <c r="BF138" s="388">
        <f>BF126+BF128+BF136</f>
        <v>15651180</v>
      </c>
      <c r="BG138" s="168">
        <f t="shared" si="316"/>
        <v>15508298</v>
      </c>
      <c r="BH138" s="388">
        <f t="shared" si="316"/>
        <v>15446111</v>
      </c>
      <c r="BI138" s="521">
        <f t="shared" si="316"/>
        <v>15446111</v>
      </c>
      <c r="BJ138" s="160">
        <f t="shared" si="316"/>
        <v>15501149</v>
      </c>
      <c r="BK138" s="388">
        <f t="shared" si="316"/>
        <v>15822900</v>
      </c>
      <c r="BL138" s="388">
        <f>BL126+BL128+BL136</f>
        <v>15982035</v>
      </c>
      <c r="BM138" s="388">
        <f t="shared" si="316"/>
        <v>16138751</v>
      </c>
      <c r="BN138" s="521">
        <f t="shared" si="316"/>
        <v>16138751</v>
      </c>
      <c r="BO138" s="160">
        <f t="shared" si="316"/>
        <v>16067558</v>
      </c>
      <c r="BP138" s="168">
        <f t="shared" si="316"/>
        <v>16672923</v>
      </c>
      <c r="BQ138" s="168">
        <f t="shared" si="316"/>
        <v>16764841</v>
      </c>
      <c r="BR138" s="388">
        <f t="shared" ref="BR138" si="318">BR126+BR128+BR136</f>
        <v>16845937</v>
      </c>
      <c r="BS138" s="235">
        <f t="shared" si="316"/>
        <v>16845937</v>
      </c>
      <c r="BT138" s="160">
        <f t="shared" ref="BT138:DB138" si="319">BT126+BT128+BT136</f>
        <v>18196339.992431335</v>
      </c>
      <c r="BU138" s="168">
        <f t="shared" si="319"/>
        <v>18461692.521879159</v>
      </c>
      <c r="BV138" s="168">
        <f t="shared" si="319"/>
        <v>18709402.125265051</v>
      </c>
      <c r="BW138" s="168">
        <f t="shared" si="319"/>
        <v>18949834.177964643</v>
      </c>
      <c r="BX138" s="235">
        <f t="shared" si="319"/>
        <v>18949834.177964643</v>
      </c>
      <c r="BY138" s="160">
        <f t="shared" si="319"/>
        <v>19287265.657121908</v>
      </c>
      <c r="BZ138" s="168">
        <f t="shared" si="319"/>
        <v>19602605.346557718</v>
      </c>
      <c r="CA138" s="168">
        <f t="shared" si="319"/>
        <v>19893477.623073693</v>
      </c>
      <c r="CB138" s="168">
        <f t="shared" si="319"/>
        <v>20176313.521471385</v>
      </c>
      <c r="CC138" s="235">
        <f t="shared" si="319"/>
        <v>20176313.521471385</v>
      </c>
      <c r="CD138" s="160">
        <f t="shared" si="319"/>
        <v>20339834.155839995</v>
      </c>
      <c r="CE138" s="168">
        <f t="shared" si="319"/>
        <v>20493040.874372974</v>
      </c>
      <c r="CF138" s="168">
        <f t="shared" si="319"/>
        <v>20630342.800693914</v>
      </c>
      <c r="CG138" s="168">
        <f t="shared" si="319"/>
        <v>20798861.843246393</v>
      </c>
      <c r="CH138" s="235">
        <f t="shared" si="319"/>
        <v>20798861.843246393</v>
      </c>
      <c r="CI138" s="160">
        <f t="shared" si="319"/>
        <v>20890744.322042823</v>
      </c>
      <c r="CJ138" s="168">
        <f t="shared" si="319"/>
        <v>20983902.949546956</v>
      </c>
      <c r="CK138" s="168">
        <f t="shared" si="319"/>
        <v>21056681.781717718</v>
      </c>
      <c r="CL138" s="168">
        <f t="shared" si="319"/>
        <v>21178918.353437386</v>
      </c>
      <c r="CM138" s="235">
        <f t="shared" si="319"/>
        <v>21178918.353437386</v>
      </c>
      <c r="CN138" s="160">
        <f t="shared" si="319"/>
        <v>21233557.046557039</v>
      </c>
      <c r="CO138" s="168">
        <f t="shared" si="319"/>
        <v>21293228.097301476</v>
      </c>
      <c r="CP138" s="168">
        <f t="shared" si="319"/>
        <v>21335343.423540086</v>
      </c>
      <c r="CQ138" s="168">
        <f t="shared" si="319"/>
        <v>21443289.229850501</v>
      </c>
      <c r="CR138" s="235">
        <f t="shared" si="319"/>
        <v>21443289.229850501</v>
      </c>
      <c r="CS138" s="160">
        <f t="shared" si="319"/>
        <v>21473313.875816062</v>
      </c>
      <c r="CT138" s="168">
        <f t="shared" si="319"/>
        <v>21508413.421807997</v>
      </c>
      <c r="CU138" s="168">
        <f t="shared" si="319"/>
        <v>21525979.542630017</v>
      </c>
      <c r="CV138" s="168">
        <f t="shared" si="319"/>
        <v>21626000.522794835</v>
      </c>
      <c r="CW138" s="235">
        <f t="shared" si="319"/>
        <v>21626000.522794835</v>
      </c>
      <c r="CX138" s="160">
        <f t="shared" si="319"/>
        <v>21651550.940158967</v>
      </c>
      <c r="CY138" s="168">
        <f t="shared" si="319"/>
        <v>21682423.395260949</v>
      </c>
      <c r="CZ138" s="168">
        <f t="shared" si="319"/>
        <v>21695959.300154708</v>
      </c>
      <c r="DA138" s="168">
        <f t="shared" si="319"/>
        <v>21798491.985132735</v>
      </c>
      <c r="DB138" s="235">
        <f t="shared" si="319"/>
        <v>21798491.985132735</v>
      </c>
      <c r="DC138" s="168"/>
      <c r="DD138" s="168"/>
      <c r="DE138" s="168"/>
      <c r="DF138" s="168"/>
      <c r="DG138" s="168"/>
      <c r="DH138" s="168"/>
      <c r="DI138" s="168"/>
      <c r="DJ138" s="168"/>
      <c r="DK138" s="406"/>
      <c r="DL138" s="406"/>
      <c r="DM138" s="62"/>
    </row>
    <row r="139" spans="1:117">
      <c r="A139" s="73" t="s">
        <v>319</v>
      </c>
      <c r="B139" s="70">
        <f t="shared" ref="B139:AG139" si="320">B138-B107</f>
        <v>0</v>
      </c>
      <c r="C139" s="71">
        <f t="shared" si="320"/>
        <v>0</v>
      </c>
      <c r="D139" s="71">
        <f t="shared" si="320"/>
        <v>0</v>
      </c>
      <c r="E139" s="71">
        <f t="shared" si="320"/>
        <v>0</v>
      </c>
      <c r="F139" s="120">
        <f t="shared" si="320"/>
        <v>0</v>
      </c>
      <c r="G139" s="70">
        <f t="shared" si="320"/>
        <v>0</v>
      </c>
      <c r="H139" s="71">
        <f t="shared" si="320"/>
        <v>0</v>
      </c>
      <c r="I139" s="71">
        <f t="shared" si="320"/>
        <v>0</v>
      </c>
      <c r="J139" s="71">
        <f t="shared" si="320"/>
        <v>0</v>
      </c>
      <c r="K139" s="120">
        <f t="shared" si="320"/>
        <v>0</v>
      </c>
      <c r="L139" s="70">
        <f t="shared" si="320"/>
        <v>0</v>
      </c>
      <c r="M139" s="71">
        <f t="shared" si="320"/>
        <v>0</v>
      </c>
      <c r="N139" s="71">
        <f t="shared" si="320"/>
        <v>0</v>
      </c>
      <c r="O139" s="71">
        <f t="shared" si="320"/>
        <v>0</v>
      </c>
      <c r="P139" s="120">
        <f t="shared" si="320"/>
        <v>0</v>
      </c>
      <c r="Q139" s="70">
        <f t="shared" si="320"/>
        <v>0</v>
      </c>
      <c r="R139" s="71">
        <f t="shared" si="320"/>
        <v>0</v>
      </c>
      <c r="S139" s="71">
        <f t="shared" si="320"/>
        <v>0</v>
      </c>
      <c r="T139" s="71">
        <f t="shared" si="320"/>
        <v>0</v>
      </c>
      <c r="U139" s="120">
        <f t="shared" si="320"/>
        <v>0</v>
      </c>
      <c r="V139" s="70">
        <f t="shared" si="320"/>
        <v>0</v>
      </c>
      <c r="W139" s="71">
        <f t="shared" si="320"/>
        <v>0</v>
      </c>
      <c r="X139" s="71">
        <f t="shared" si="320"/>
        <v>0</v>
      </c>
      <c r="Y139" s="71">
        <f t="shared" si="320"/>
        <v>0</v>
      </c>
      <c r="Z139" s="120">
        <f t="shared" si="320"/>
        <v>0</v>
      </c>
      <c r="AA139" s="70">
        <f t="shared" si="320"/>
        <v>0</v>
      </c>
      <c r="AB139" s="71">
        <f t="shared" si="320"/>
        <v>0</v>
      </c>
      <c r="AC139" s="71">
        <f t="shared" si="320"/>
        <v>0</v>
      </c>
      <c r="AD139" s="71">
        <f>AD138-AD107</f>
        <v>0</v>
      </c>
      <c r="AE139" s="120">
        <f>AE138-AE107</f>
        <v>0</v>
      </c>
      <c r="AF139" s="70">
        <f t="shared" si="320"/>
        <v>0</v>
      </c>
      <c r="AG139" s="71">
        <f t="shared" si="320"/>
        <v>0</v>
      </c>
      <c r="AH139" s="71">
        <f t="shared" ref="AH139:BM139" si="321">AH138-AH107</f>
        <v>0</v>
      </c>
      <c r="AI139" s="71">
        <f t="shared" si="321"/>
        <v>0</v>
      </c>
      <c r="AJ139" s="120">
        <f t="shared" si="321"/>
        <v>0</v>
      </c>
      <c r="AK139" s="70">
        <f t="shared" si="321"/>
        <v>0</v>
      </c>
      <c r="AL139" s="71">
        <f>AL138-AL107</f>
        <v>0</v>
      </c>
      <c r="AM139" s="71">
        <f t="shared" si="321"/>
        <v>0</v>
      </c>
      <c r="AN139" s="71">
        <f t="shared" si="321"/>
        <v>0</v>
      </c>
      <c r="AO139" s="120">
        <f t="shared" si="321"/>
        <v>0</v>
      </c>
      <c r="AP139" s="71">
        <f t="shared" si="321"/>
        <v>0</v>
      </c>
      <c r="AQ139" s="71">
        <f t="shared" si="321"/>
        <v>0</v>
      </c>
      <c r="AR139" s="71">
        <f t="shared" si="321"/>
        <v>0</v>
      </c>
      <c r="AS139" s="71">
        <f>AS138-AS107</f>
        <v>0</v>
      </c>
      <c r="AT139" s="120">
        <f>AT138-AT107</f>
        <v>0</v>
      </c>
      <c r="AU139" s="70">
        <f t="shared" si="321"/>
        <v>0</v>
      </c>
      <c r="AV139" s="71">
        <f t="shared" si="321"/>
        <v>0</v>
      </c>
      <c r="AW139" s="71">
        <f t="shared" si="321"/>
        <v>0</v>
      </c>
      <c r="AX139" s="71">
        <f>AX138-AX107</f>
        <v>0</v>
      </c>
      <c r="AY139" s="120">
        <f>AY138-AY107</f>
        <v>0</v>
      </c>
      <c r="AZ139" s="70">
        <f t="shared" si="321"/>
        <v>0</v>
      </c>
      <c r="BA139" s="71">
        <f>BA138-BA107</f>
        <v>0</v>
      </c>
      <c r="BB139" s="71">
        <f t="shared" si="321"/>
        <v>0</v>
      </c>
      <c r="BC139" s="71">
        <f>BC138-BC107</f>
        <v>0</v>
      </c>
      <c r="BD139" s="120">
        <f>BD138-BD107</f>
        <v>0</v>
      </c>
      <c r="BE139" s="554">
        <f>BE138-BE107</f>
        <v>0</v>
      </c>
      <c r="BF139" s="390">
        <f>BF138-BF107</f>
        <v>0</v>
      </c>
      <c r="BG139" s="71">
        <f t="shared" si="321"/>
        <v>0</v>
      </c>
      <c r="BH139" s="390">
        <f t="shared" si="321"/>
        <v>0</v>
      </c>
      <c r="BI139" s="542">
        <f t="shared" si="321"/>
        <v>0</v>
      </c>
      <c r="BJ139" s="70">
        <f t="shared" si="321"/>
        <v>0</v>
      </c>
      <c r="BK139" s="390">
        <f t="shared" si="321"/>
        <v>0</v>
      </c>
      <c r="BL139" s="390">
        <f>BL138-BL107</f>
        <v>0</v>
      </c>
      <c r="BM139" s="390">
        <f t="shared" si="321"/>
        <v>0</v>
      </c>
      <c r="BN139" s="542">
        <f t="shared" ref="BN139:BS139" si="322">BN138-BN107</f>
        <v>0</v>
      </c>
      <c r="BO139" s="70">
        <f t="shared" si="322"/>
        <v>0</v>
      </c>
      <c r="BP139" s="71">
        <f>BP138-BP107</f>
        <v>0</v>
      </c>
      <c r="BQ139" s="71">
        <f t="shared" si="322"/>
        <v>0</v>
      </c>
      <c r="BR139" s="390">
        <f t="shared" si="322"/>
        <v>0</v>
      </c>
      <c r="BS139" s="120">
        <f t="shared" si="322"/>
        <v>0</v>
      </c>
      <c r="BT139" s="70">
        <f t="shared" ref="BT139:DB139" si="323">BT138-BT107</f>
        <v>0</v>
      </c>
      <c r="BU139" s="71">
        <f t="shared" si="323"/>
        <v>0</v>
      </c>
      <c r="BV139" s="71">
        <f t="shared" si="323"/>
        <v>0</v>
      </c>
      <c r="BW139" s="71">
        <f t="shared" si="323"/>
        <v>0</v>
      </c>
      <c r="BX139" s="120">
        <f t="shared" si="323"/>
        <v>0</v>
      </c>
      <c r="BY139" s="70">
        <f t="shared" si="323"/>
        <v>0</v>
      </c>
      <c r="BZ139" s="71">
        <f t="shared" si="323"/>
        <v>0</v>
      </c>
      <c r="CA139" s="71">
        <f t="shared" si="323"/>
        <v>0</v>
      </c>
      <c r="CB139" s="71">
        <f t="shared" si="323"/>
        <v>0</v>
      </c>
      <c r="CC139" s="120">
        <f t="shared" si="323"/>
        <v>0</v>
      </c>
      <c r="CD139" s="70">
        <f t="shared" si="323"/>
        <v>0</v>
      </c>
      <c r="CE139" s="71">
        <f t="shared" si="323"/>
        <v>0</v>
      </c>
      <c r="CF139" s="71">
        <f t="shared" si="323"/>
        <v>0</v>
      </c>
      <c r="CG139" s="71">
        <f t="shared" si="323"/>
        <v>0</v>
      </c>
      <c r="CH139" s="120">
        <f t="shared" si="323"/>
        <v>0</v>
      </c>
      <c r="CI139" s="70">
        <f t="shared" si="323"/>
        <v>0</v>
      </c>
      <c r="CJ139" s="71">
        <f t="shared" si="323"/>
        <v>0</v>
      </c>
      <c r="CK139" s="71">
        <f t="shared" si="323"/>
        <v>0</v>
      </c>
      <c r="CL139" s="71">
        <f t="shared" si="323"/>
        <v>0</v>
      </c>
      <c r="CM139" s="120">
        <f t="shared" si="323"/>
        <v>0</v>
      </c>
      <c r="CN139" s="70">
        <f t="shared" si="323"/>
        <v>0</v>
      </c>
      <c r="CO139" s="71">
        <f t="shared" si="323"/>
        <v>0</v>
      </c>
      <c r="CP139" s="71">
        <f t="shared" si="323"/>
        <v>0</v>
      </c>
      <c r="CQ139" s="71">
        <f t="shared" si="323"/>
        <v>0</v>
      </c>
      <c r="CR139" s="120">
        <f t="shared" si="323"/>
        <v>0</v>
      </c>
      <c r="CS139" s="70">
        <f t="shared" si="323"/>
        <v>0</v>
      </c>
      <c r="CT139" s="71">
        <f t="shared" si="323"/>
        <v>0</v>
      </c>
      <c r="CU139" s="71">
        <f t="shared" si="323"/>
        <v>0</v>
      </c>
      <c r="CV139" s="71">
        <f t="shared" si="323"/>
        <v>0</v>
      </c>
      <c r="CW139" s="120">
        <f t="shared" si="323"/>
        <v>0</v>
      </c>
      <c r="CX139" s="70">
        <f t="shared" si="323"/>
        <v>0</v>
      </c>
      <c r="CY139" s="71">
        <f t="shared" si="323"/>
        <v>0</v>
      </c>
      <c r="CZ139" s="71">
        <f t="shared" si="323"/>
        <v>0</v>
      </c>
      <c r="DA139" s="71">
        <f t="shared" si="323"/>
        <v>0</v>
      </c>
      <c r="DB139" s="120">
        <f t="shared" si="323"/>
        <v>0</v>
      </c>
      <c r="DC139" s="71"/>
      <c r="DD139" s="71"/>
      <c r="DE139" s="71"/>
      <c r="DF139" s="71"/>
      <c r="DG139" s="71"/>
      <c r="DH139" s="71"/>
      <c r="DI139" s="71"/>
      <c r="DJ139" s="71"/>
      <c r="DK139" s="72"/>
      <c r="DL139" s="72"/>
      <c r="DM139" s="74"/>
    </row>
    <row r="140" spans="1:117">
      <c r="A140" s="28"/>
      <c r="B140" s="78"/>
      <c r="C140" s="76"/>
      <c r="D140" s="76"/>
      <c r="E140" s="76"/>
      <c r="F140" s="119"/>
      <c r="G140" s="78"/>
      <c r="H140" s="76"/>
      <c r="I140" s="76"/>
      <c r="J140" s="76"/>
      <c r="K140" s="119"/>
      <c r="L140" s="78"/>
      <c r="M140" s="76"/>
      <c r="N140" s="76"/>
      <c r="O140" s="76"/>
      <c r="P140" s="119"/>
      <c r="Q140" s="78"/>
      <c r="R140" s="76"/>
      <c r="S140" s="76"/>
      <c r="T140" s="76"/>
      <c r="U140" s="119"/>
      <c r="V140" s="78"/>
      <c r="W140" s="76"/>
      <c r="X140" s="76"/>
      <c r="Y140" s="76"/>
      <c r="Z140" s="119"/>
      <c r="AA140" s="78"/>
      <c r="AB140" s="76"/>
      <c r="AC140" s="76"/>
      <c r="AD140" s="76"/>
      <c r="AE140" s="119"/>
      <c r="AF140" s="78"/>
      <c r="AG140" s="76"/>
      <c r="AH140" s="76"/>
      <c r="AI140" s="76"/>
      <c r="AJ140" s="119"/>
      <c r="AK140" s="78"/>
      <c r="AL140" s="76"/>
      <c r="AM140" s="76"/>
      <c r="AN140" s="76"/>
      <c r="AO140" s="119"/>
      <c r="AP140" s="76"/>
      <c r="AQ140" s="76"/>
      <c r="AR140" s="76"/>
      <c r="AS140" s="76"/>
      <c r="AT140" s="119"/>
      <c r="AU140" s="78"/>
      <c r="AV140" s="76"/>
      <c r="AW140" s="76"/>
      <c r="AX140" s="76"/>
      <c r="AY140" s="119"/>
      <c r="AZ140" s="78"/>
      <c r="BA140" s="76"/>
      <c r="BB140" s="76"/>
      <c r="BC140" s="76"/>
      <c r="BD140" s="119"/>
      <c r="BE140" s="78"/>
      <c r="BF140" s="389"/>
      <c r="BG140" s="76"/>
      <c r="BH140" s="389"/>
      <c r="BI140" s="599"/>
      <c r="BJ140" s="78"/>
      <c r="BK140" s="389"/>
      <c r="BL140" s="389"/>
      <c r="BM140" s="76"/>
      <c r="BN140" s="119"/>
      <c r="BO140" s="78"/>
      <c r="BP140" s="76"/>
      <c r="BQ140" s="76"/>
      <c r="BR140" s="76"/>
      <c r="BS140" s="119"/>
      <c r="BT140" s="78"/>
      <c r="BU140" s="76"/>
      <c r="BV140" s="76"/>
      <c r="BW140" s="76"/>
      <c r="BX140" s="119"/>
      <c r="BY140" s="78"/>
      <c r="BZ140" s="76"/>
      <c r="CA140" s="76"/>
      <c r="CB140" s="76"/>
      <c r="CC140" s="119"/>
      <c r="CD140" s="78"/>
      <c r="CE140" s="76"/>
      <c r="CF140" s="76"/>
      <c r="CG140" s="76"/>
      <c r="CH140" s="119"/>
      <c r="CI140" s="78"/>
      <c r="CJ140" s="76"/>
      <c r="CK140" s="76"/>
      <c r="CL140" s="76"/>
      <c r="CM140" s="119"/>
      <c r="CN140" s="78"/>
      <c r="CO140" s="76"/>
      <c r="CP140" s="76"/>
      <c r="CQ140" s="76"/>
      <c r="CR140" s="119"/>
      <c r="CS140" s="78"/>
      <c r="CT140" s="76"/>
      <c r="CU140" s="76"/>
      <c r="CV140" s="76"/>
      <c r="CW140" s="119"/>
      <c r="CX140" s="78"/>
      <c r="CY140" s="76"/>
      <c r="CZ140" s="76"/>
      <c r="DA140" s="76"/>
      <c r="DB140" s="119"/>
      <c r="DC140" s="76"/>
      <c r="DD140" s="76"/>
      <c r="DE140" s="76"/>
      <c r="DF140" s="76"/>
      <c r="DG140" s="76"/>
      <c r="DH140" s="76"/>
      <c r="DI140" s="76"/>
      <c r="DJ140" s="76"/>
      <c r="DK140" s="371"/>
      <c r="DL140" s="371"/>
      <c r="DM140" s="62"/>
    </row>
    <row r="141" spans="1:117">
      <c r="A141" s="28" t="s">
        <v>176</v>
      </c>
      <c r="B141" s="78"/>
      <c r="C141" s="76"/>
      <c r="D141" s="76"/>
      <c r="E141" s="76"/>
      <c r="F141" s="119"/>
      <c r="G141" s="78"/>
      <c r="H141" s="76"/>
      <c r="I141" s="76"/>
      <c r="J141" s="76"/>
      <c r="K141" s="119"/>
      <c r="L141" s="78"/>
      <c r="M141" s="76"/>
      <c r="N141" s="76"/>
      <c r="O141" s="76"/>
      <c r="P141" s="119"/>
      <c r="Q141" s="78"/>
      <c r="R141" s="76"/>
      <c r="S141" s="76"/>
      <c r="T141" s="76"/>
      <c r="U141" s="119"/>
      <c r="V141" s="78"/>
      <c r="W141" s="76"/>
      <c r="X141" s="76"/>
      <c r="Y141" s="76"/>
      <c r="Z141" s="119"/>
      <c r="AA141" s="78"/>
      <c r="AB141" s="76"/>
      <c r="AC141" s="76"/>
      <c r="AD141" s="76"/>
      <c r="AE141" s="119"/>
      <c r="AF141" s="78"/>
      <c r="AG141" s="76"/>
      <c r="AH141" s="76"/>
      <c r="AI141" s="76"/>
      <c r="AJ141" s="119"/>
      <c r="AK141" s="78"/>
      <c r="AL141" s="76"/>
      <c r="AM141" s="76"/>
      <c r="AN141" s="76"/>
      <c r="AO141" s="119"/>
      <c r="AP141" s="76"/>
      <c r="AQ141" s="76"/>
      <c r="AR141" s="76"/>
      <c r="AS141" s="76"/>
      <c r="AT141" s="119"/>
      <c r="AU141" s="78"/>
      <c r="AV141" s="76"/>
      <c r="AW141" s="76"/>
      <c r="AX141" s="76"/>
      <c r="AY141" s="119"/>
      <c r="AZ141" s="78"/>
      <c r="BA141" s="76"/>
      <c r="BB141" s="76"/>
      <c r="BC141" s="76"/>
      <c r="BD141" s="119"/>
      <c r="BE141" s="78"/>
      <c r="BF141" s="389"/>
      <c r="BG141" s="76"/>
      <c r="BH141" s="389"/>
      <c r="BI141" s="599"/>
      <c r="BJ141" s="78"/>
      <c r="BK141" s="389"/>
      <c r="BL141" s="389"/>
      <c r="BM141" s="76"/>
      <c r="BN141" s="119"/>
      <c r="BO141" s="78"/>
      <c r="BP141" s="76"/>
      <c r="BQ141" s="76"/>
      <c r="BR141" s="76"/>
      <c r="BS141" s="119"/>
      <c r="BT141" s="78"/>
      <c r="BU141" s="76"/>
      <c r="BV141" s="76"/>
      <c r="BW141" s="76"/>
      <c r="BX141" s="119"/>
      <c r="BY141" s="78"/>
      <c r="BZ141" s="76"/>
      <c r="CA141" s="76"/>
      <c r="CB141" s="76"/>
      <c r="CC141" s="119"/>
      <c r="CD141" s="78"/>
      <c r="CE141" s="76"/>
      <c r="CF141" s="76"/>
      <c r="CG141" s="76"/>
      <c r="CH141" s="119"/>
      <c r="CI141" s="78"/>
      <c r="CJ141" s="76"/>
      <c r="CK141" s="76"/>
      <c r="CL141" s="76"/>
      <c r="CM141" s="119"/>
      <c r="CN141" s="78"/>
      <c r="CO141" s="76"/>
      <c r="CP141" s="76"/>
      <c r="CQ141" s="76"/>
      <c r="CR141" s="119"/>
      <c r="CS141" s="78"/>
      <c r="CT141" s="76"/>
      <c r="CU141" s="76"/>
      <c r="CV141" s="76"/>
      <c r="CW141" s="119"/>
      <c r="CX141" s="78"/>
      <c r="CY141" s="76"/>
      <c r="CZ141" s="76"/>
      <c r="DA141" s="76"/>
      <c r="DB141" s="119"/>
      <c r="DC141" s="76"/>
      <c r="DD141" s="76"/>
      <c r="DE141" s="76"/>
      <c r="DF141" s="76"/>
      <c r="DG141" s="76"/>
      <c r="DH141" s="76"/>
      <c r="DI141" s="76"/>
      <c r="DJ141" s="76"/>
      <c r="DK141" s="371"/>
      <c r="DL141" s="371"/>
      <c r="DM141" s="62"/>
    </row>
    <row r="142" spans="1:117">
      <c r="A142" s="36" t="s">
        <v>860</v>
      </c>
      <c r="B142" s="212"/>
      <c r="C142" s="38"/>
      <c r="D142" s="38"/>
      <c r="E142" s="38"/>
      <c r="F142" s="213"/>
      <c r="G142" s="94">
        <f>(E111+G111+E112+G112+E119+G119)/2</f>
        <v>2376238.5</v>
      </c>
      <c r="H142" s="48">
        <f>(G111+H111+G112+H112+G119+H119)/2</f>
        <v>2340016</v>
      </c>
      <c r="I142" s="48">
        <f>(H111+I111+H112+I112+H119+I119)/2</f>
        <v>2996526.5</v>
      </c>
      <c r="J142" s="48">
        <f>(I111+J111+I112+J112+I119+J119)/2</f>
        <v>3554440</v>
      </c>
      <c r="K142" s="104">
        <f>(F111+K111+F112+K112+F119+K119)/2</f>
        <v>3050425</v>
      </c>
      <c r="L142" s="94">
        <f>(J111+L111+J112+L112+J119+L119)/2</f>
        <v>3713860.5</v>
      </c>
      <c r="M142" s="48">
        <f>(L111+M111+L112+M112+L119+M119)/2</f>
        <v>3934205</v>
      </c>
      <c r="N142" s="48">
        <f>(M111+N111+M112+N112+M119+N119)/2</f>
        <v>4035807.5</v>
      </c>
      <c r="O142" s="48">
        <f>(N111+O111+N112+O112+N119+O119)/2</f>
        <v>4056912</v>
      </c>
      <c r="P142" s="104">
        <f>(K111+P111+K112+P112+K119+P119)/2</f>
        <v>3813565</v>
      </c>
      <c r="Q142" s="94">
        <f>(O111+Q111+O112+Q112+O119+Q119)/2</f>
        <v>4051261.5</v>
      </c>
      <c r="R142" s="48">
        <f>(Q111+R111+Q112+R112+Q119+R119)/2</f>
        <v>4090909.5</v>
      </c>
      <c r="S142" s="48">
        <f>(R111+S111+R112+S112+R119+S119)/2</f>
        <v>4565163</v>
      </c>
      <c r="T142" s="48">
        <f>(S111+T111+S112+T112+S119+T119)/2</f>
        <v>4917070.5</v>
      </c>
      <c r="U142" s="104">
        <f>(P111+U111+P112+U112+P119+U119)/2</f>
        <v>4446569.5</v>
      </c>
      <c r="V142" s="94">
        <f>(T111+V111+T112+V112+T119+V119)/2</f>
        <v>4670150</v>
      </c>
      <c r="W142" s="48">
        <f>(V111+W111+V112+W112+V119+W119)/2</f>
        <v>4763424</v>
      </c>
      <c r="X142" s="48">
        <f>(W111+X111+W112+X112+W119+X119)/2</f>
        <v>5283663.5</v>
      </c>
      <c r="Y142" s="48">
        <f>(X111+Y111+X112+Y112+X119+Y119)/2</f>
        <v>6021715</v>
      </c>
      <c r="Z142" s="104">
        <f>(U111+Z111+U112+Z112+U119+Z119)/2</f>
        <v>5669450.5</v>
      </c>
      <c r="AA142" s="94">
        <f>(Y111+AA111+Y112+AA112+Y119+AA119)/2</f>
        <v>6054216</v>
      </c>
      <c r="AB142" s="48">
        <f>(AA111+AB111+AA112+AB112+AA119+AB119)/2</f>
        <v>5456028</v>
      </c>
      <c r="AC142" s="48">
        <f>(AB111+AC111+AB112+AC112+AB119+AC119)/2</f>
        <v>5368410.5</v>
      </c>
      <c r="AD142" s="48">
        <f>(AC111+AD111+AC112+AD112+AC119+AD119)/2</f>
        <v>5458355</v>
      </c>
      <c r="AE142" s="104">
        <f>(Z111+AE111+Z112+AE112+Z119+AE119)/2</f>
        <v>5992532.5</v>
      </c>
      <c r="AF142" s="94">
        <f>(AD111+AF111+AD112+AF112+AD119+AF119)/2</f>
        <v>5195421</v>
      </c>
      <c r="AG142" s="48">
        <f>(AF111+AG111+AF112+AG112+AF119+AG119)/2</f>
        <v>4963681.5</v>
      </c>
      <c r="AH142" s="48">
        <f>(AG111+AH111+AG112+AH112+AG119+AH119)/2</f>
        <v>4841234.5</v>
      </c>
      <c r="AI142" s="48">
        <f>(AH111+AI111+AH112+AI112+AH119+AI119)/2</f>
        <v>4774146</v>
      </c>
      <c r="AJ142" s="104">
        <f>(AE111+AJ111+AE112+AJ112+AE119+AJ119)/2</f>
        <v>5185461</v>
      </c>
      <c r="AK142" s="94">
        <f>(AI111+AK111+AI112+AK112+AI119+AK119)/2</f>
        <v>5140666.5</v>
      </c>
      <c r="AL142" s="48">
        <f>(AJ111+AL111+AJ112+AL112+AJ119+AL119)/2</f>
        <v>5202065</v>
      </c>
      <c r="AM142" s="48">
        <f>(AL111+AM111+AL112+AM112+AL119+AM119)/2</f>
        <v>5532401.5</v>
      </c>
      <c r="AN142" s="48">
        <f>(AM111+AN111+AM112+AN112+AM119+AN119)/2</f>
        <v>5641615</v>
      </c>
      <c r="AO142" s="104">
        <f>(AJ111+AO111+AJ112+AO112+AJ119+AO119)/2</f>
        <v>5311278.5</v>
      </c>
      <c r="AP142" s="48">
        <f>(AO111+AP111+AO112+AP112+AO119+AP119)/2</f>
        <v>5872963.5</v>
      </c>
      <c r="AQ142" s="48">
        <f>(AO111+AQ111+AO112+AQ112+AO119+AQ119)/2</f>
        <v>5784370</v>
      </c>
      <c r="AR142" s="48">
        <f>(AQ111+AR111+AQ112+AR112+AQ119+AR119)/2</f>
        <v>6519083.5</v>
      </c>
      <c r="AS142" s="48">
        <f>(AR111+AS111+AR112+AS112+AR119+AS119)/2</f>
        <v>7274374</v>
      </c>
      <c r="AT142" s="104">
        <f>(AO111+AT111+AO112+AT112+AO119+AT119)/2</f>
        <v>6539660.5</v>
      </c>
      <c r="AU142" s="48">
        <f>(AT111+AU111+AT112+AU112+AT119+AU119)/2</f>
        <v>7209372.5</v>
      </c>
      <c r="AV142" s="48">
        <f>(AT111+AV111+AT112+AV112+AT119+AV119)/2</f>
        <v>7349720.5</v>
      </c>
      <c r="AW142" s="48">
        <f>(AU111+AW111+AU112+AW112+AU119+AW119)/2</f>
        <v>7702746</v>
      </c>
      <c r="AX142" s="48">
        <f>(AW111+AX111+AW112+AX112+AW119+AX119)/2</f>
        <v>8330118.5</v>
      </c>
      <c r="AY142" s="104">
        <f>(AT111+AY111+AT112+AY112+AT119+AY119)/2</f>
        <v>7836745</v>
      </c>
      <c r="AZ142" s="48">
        <f>(AY111+AZ111+AY112+AZ112+AY119+AZ119)/2</f>
        <v>7832386</v>
      </c>
      <c r="BA142" s="48">
        <f>(AZ111+BA111+AZ112+BA112+AZ119+BA119)/2</f>
        <v>7271158.5</v>
      </c>
      <c r="BB142" s="48">
        <f>(BA111+BB111+BA112+BB112+BA119+BB119)/2</f>
        <v>7206622.5</v>
      </c>
      <c r="BC142" s="48">
        <f>(BB111+BC111+BB112+BC112+BB119+BC119)/2</f>
        <v>7732241</v>
      </c>
      <c r="BD142" s="104">
        <f>(AY111+BD111+AY112+BD112+AY119+BD119)/2</f>
        <v>8294484</v>
      </c>
      <c r="BE142" s="94">
        <f>(BC111+BE111+BC112+BE112+BC119+BE119)/2</f>
        <v>8542383</v>
      </c>
      <c r="BF142" s="48">
        <f>(BE111+BF111+BE112+BF112+BE119+BF119)/2</f>
        <v>8824212.5</v>
      </c>
      <c r="BG142" s="48">
        <f>(BF111+BG111+BF112+BG112+BF119+BG119)/2</f>
        <v>8772106</v>
      </c>
      <c r="BH142" s="48">
        <f>(BG111+BH111+BG112+BH112+BG119+BH119)/2</f>
        <v>8851125</v>
      </c>
      <c r="BI142" s="104">
        <f>(BD111+BI111+BD112+BI112+BD119+BI119)/2</f>
        <v>8619723.5</v>
      </c>
      <c r="BJ142" s="94">
        <f>(BH111+BJ111+BH112+BJ112+BH119+BJ119)/2</f>
        <v>9103120</v>
      </c>
      <c r="BK142" s="48">
        <f>(BJ111+BK111+BJ112+BK112+BJ119+BK119)/2</f>
        <v>9291451</v>
      </c>
      <c r="BL142" s="48">
        <f>(BK111+BL111+BK112+BL112+BK119+BL119)/2</f>
        <v>9415764</v>
      </c>
      <c r="BM142" s="48">
        <f>(BL111+BM111+BL112+BM112+BL119+BM119)/2</f>
        <v>9457608.5</v>
      </c>
      <c r="BN142" s="104">
        <f>(BI111+BN111+BI112+BN112+BI119+BN119)/2</f>
        <v>9210747.5</v>
      </c>
      <c r="BO142" s="94">
        <f>(BM111+BO111+BM112+BO112+BM119+BO119)/2</f>
        <v>9531064</v>
      </c>
      <c r="BP142" s="48">
        <f>(BN111+BP111+BN112+BP112+BN119+BP119)/2</f>
        <v>9522819.5</v>
      </c>
      <c r="BQ142" s="48">
        <f>(BP111+BQ111+BP112+BQ112+BP119+BQ119)/2</f>
        <v>9530808</v>
      </c>
      <c r="BR142" s="48">
        <f>(BQ111+BR111+BQ112+BR112+BQ119+BR119)/2</f>
        <v>9297926</v>
      </c>
      <c r="BS142" s="104">
        <f>(BN111+BS111+BN112+BS112+BN119+BS119)/2</f>
        <v>9289937.5</v>
      </c>
      <c r="BT142" s="94">
        <f>(BR111+BT111+BR112+BT112+BR119+BT119)/2</f>
        <v>9246570.307500001</v>
      </c>
      <c r="BU142" s="48">
        <f>(BT111+BU111+BT112+BU112+BT119+BU119)/2</f>
        <v>9461820.0140375011</v>
      </c>
      <c r="BV142" s="48">
        <f>(BU111+BV111+BU112+BV112+BU119+BV119)/2</f>
        <v>9677095.9691076875</v>
      </c>
      <c r="BW142" s="48">
        <f>(BV111+BW111+BV112+BW112+BV119+BW119)/2</f>
        <v>9892398.3039532267</v>
      </c>
      <c r="BX142" s="104">
        <f>(BS111+BX111+BS112+BX112+BS119+BX119)/2</f>
        <v>9569504.0413830392</v>
      </c>
      <c r="BY142" s="94">
        <f>(BW111+BY111+BW112+BY112+BW119+BY119)/2</f>
        <v>10130227.150472991</v>
      </c>
      <c r="BZ142" s="48">
        <f>(BY111+BZ111+BY112+BZ112+BY119+BZ119)/2</f>
        <v>10390582.641225357</v>
      </c>
      <c r="CA142" s="48">
        <f>(BZ111+CA111+BZ112+CA112+BZ119+CA119)/2</f>
        <v>10650964.909431484</v>
      </c>
      <c r="CB142" s="48">
        <f>(CA111+CB111+CA112+CB112+CA119+CB119)/2</f>
        <v>10911374.088978641</v>
      </c>
      <c r="CC142" s="104">
        <f>(BX111+CC111+BX112+CC112+BX119+CC119)/2</f>
        <v>10520820.753065599</v>
      </c>
      <c r="CD142" s="94">
        <f>(CB111+CD111+CB112+CD112+CB119+CD119)/2</f>
        <v>11100560.314423533</v>
      </c>
      <c r="CE142" s="48">
        <f>(CD111+CE111+CD112+CE112+CD119+CE119)/2</f>
        <v>11218523.720995652</v>
      </c>
      <c r="CF142" s="48">
        <f>(CE111+CF111+CE112+CF112+CE119+CF119)/2</f>
        <v>11336514.444600629</v>
      </c>
      <c r="CG142" s="48">
        <f>(CF111+CG111+CF112+CG112+CF119+CG119)/2</f>
        <v>11454532.621823631</v>
      </c>
      <c r="CH142" s="104">
        <f>(CC111+CH111+CC112+CH112+CC119+CH119)/2</f>
        <v>11277567.007160241</v>
      </c>
      <c r="CI142" s="94">
        <f>(CG111+CI111+CG112+CI112+CG119+CI119)/2</f>
        <v>11540390.88993275</v>
      </c>
      <c r="CJ142" s="48">
        <f>(CI111+CJ111+CI112+CJ112+CI119+CJ119)/2</f>
        <v>11594089.386882413</v>
      </c>
      <c r="CK142" s="48">
        <f>(CJ111+CK111+CJ112+CK112+CJ119+CK119)/2</f>
        <v>11647815.751316827</v>
      </c>
      <c r="CL142" s="48">
        <f>(CK111+CL111+CK112+CL112+CK119+CL119)/2</f>
        <v>11701570.122573409</v>
      </c>
      <c r="CM142" s="104">
        <f>(CH111+CM111+CH112+CM112+CH119+CM119)/2</f>
        <v>11621001.459161609</v>
      </c>
      <c r="CN142" s="94">
        <f>(CL111+CN111+CL112+CN112+CL119+CN119)/2</f>
        <v>11751915.140686277</v>
      </c>
      <c r="CO142" s="48">
        <f>(CN111+CO111+CN112+CO112+CN119+CO119)/2</f>
        <v>11798850.946389709</v>
      </c>
      <c r="CP142" s="48">
        <f>(CO111+CP111+CO112+CP112+CO119+CP119)/2</f>
        <v>11845815.181121657</v>
      </c>
      <c r="CQ142" s="48">
        <f>(CP111+CQ111+CP112+CQ112+CP119+CQ119)/2</f>
        <v>11892807.987027265</v>
      </c>
      <c r="CR142" s="104">
        <f>(CM111+CR111+CM112+CR112+CM119+CR119)/2</f>
        <v>11822382.938976897</v>
      </c>
      <c r="CS142" s="94">
        <f>(CQ111+CS111+CQ112+CS112+CQ119+CS119)/2</f>
        <v>11939829.5069624</v>
      </c>
      <c r="CT142" s="48">
        <f>(CS111+CT111+CS112+CT112+CS119+CT119)/2</f>
        <v>11986879.884497214</v>
      </c>
      <c r="CU142" s="48">
        <f>(CT111+CU111+CT112+CU112+CT119+CU119)/2</f>
        <v>12033959.2639197</v>
      </c>
      <c r="CV142" s="48">
        <f>(CU111+CV111+CU112+CV112+CU119+CV119)/2</f>
        <v>12081067.790239297</v>
      </c>
      <c r="CW142" s="104">
        <f>(CR111+CW111+CR112+CW112+CR119+CW119)/2</f>
        <v>12010470.454440346</v>
      </c>
      <c r="CX142" s="94">
        <f>(CV111+CX111+CV112+CX112+CV119+CX119)/2</f>
        <v>12131643.109190494</v>
      </c>
      <c r="CY142" s="48">
        <f>(CX111+CY111+CX112+CY112+CX119+CY119)/2</f>
        <v>12185685.367236447</v>
      </c>
      <c r="CZ142" s="48">
        <f>(CY111+CZ111+CY112+CZ112+CY119+CZ119)/2</f>
        <v>12239757.211572628</v>
      </c>
      <c r="DA142" s="48">
        <f>(CZ111+DA111+CZ112+DA112+CZ119+DA119)/2</f>
        <v>12293858.790130492</v>
      </c>
      <c r="DB142" s="104">
        <f>(CW111+DB111+CW112+DB112+CW119+DB119)/2</f>
        <v>12212773.194898572</v>
      </c>
      <c r="DC142" s="48"/>
      <c r="DD142" s="48"/>
      <c r="DE142" s="48"/>
      <c r="DF142" s="48"/>
      <c r="DG142" s="48"/>
      <c r="DH142" s="48"/>
      <c r="DI142" s="48"/>
      <c r="DJ142" s="48"/>
      <c r="DK142" s="99"/>
      <c r="DL142" s="99"/>
      <c r="DM142" s="62"/>
    </row>
    <row r="143" spans="1:117">
      <c r="A143" s="36" t="s">
        <v>861</v>
      </c>
      <c r="B143" s="212"/>
      <c r="C143" s="176"/>
      <c r="D143" s="176"/>
      <c r="E143" s="176"/>
      <c r="F143" s="213"/>
      <c r="G143" s="94">
        <f>(E111+G111+E112+G112+E119+G119-E84-G84)/2</f>
        <v>2353762</v>
      </c>
      <c r="H143" s="48">
        <f>(G111+H111+G112+H112+G119+H119-G84-H84)/2</f>
        <v>2313967</v>
      </c>
      <c r="I143" s="48">
        <f>(H111+I111+H112+I112+H119+I119-H84-I84)/2</f>
        <v>2945145</v>
      </c>
      <c r="J143" s="48">
        <f>(I111+J111+I112+J112+I119+J119-I84-J84)/2</f>
        <v>3507402.5</v>
      </c>
      <c r="K143" s="104">
        <f>(F111+K111+F112+K112+F119+K119-F84-K84)/2</f>
        <v>3041738.5</v>
      </c>
      <c r="L143" s="94">
        <f>(J111+L111+J112+L112+J119+L119-J84-L84)/2</f>
        <v>3691503</v>
      </c>
      <c r="M143" s="48">
        <f>(L111+M111+L112+M112+L119+M119-L84-M84)/2</f>
        <v>3593130.5</v>
      </c>
      <c r="N143" s="48">
        <f>(M111+N111+M112+N112+M119+N119-M84-N84)/2</f>
        <v>3589395.5</v>
      </c>
      <c r="O143" s="48">
        <f>(N111+O111+N112+O112+N119+O119-N84-O84)/2</f>
        <v>3899040.5</v>
      </c>
      <c r="P143" s="104">
        <f>(K111+P111+K112+P112+K119+P119-K84-P84)/2</f>
        <v>3775473.5</v>
      </c>
      <c r="Q143" s="94">
        <f>(O111+Q111+O112+Q112+O119+Q119-O84-Q84)/2</f>
        <v>3904372.5</v>
      </c>
      <c r="R143" s="48">
        <f>(Q111+R111+Q112+R112+Q119+R119-Q84-R84)/2</f>
        <v>3826510.5</v>
      </c>
      <c r="S143" s="48">
        <f>(R111+S111+R112+S112+R119+S119-R84-S84)/2</f>
        <v>3996646.5</v>
      </c>
      <c r="T143" s="48">
        <f>(S111+T111+S112+T112+S119+T119-S84-T84)/2</f>
        <v>4490645.5</v>
      </c>
      <c r="U143" s="104">
        <f>(P111+U111+P112+U112+P119+U119-P84-U84)/2</f>
        <v>4402883</v>
      </c>
      <c r="V143" s="94">
        <f>(T111+V111+T112+V112+T119+V119-T84-V84)/2</f>
        <v>4526227.5</v>
      </c>
      <c r="W143" s="48">
        <f>(V111+W111+V112+W112+V119+W119-V84-W84)/2</f>
        <v>4579682</v>
      </c>
      <c r="X143" s="48">
        <f>(W111+X111+W112+X112+W119+X119-W84-X84)/2</f>
        <v>5197819.5</v>
      </c>
      <c r="Y143" s="48">
        <f>(X111+Y111+X112+Y112+X119+Y119-X84-Y84)/2</f>
        <v>5730214</v>
      </c>
      <c r="Z143" s="104">
        <f>(U111+Z111+U112+Z112+U119+Z119-U84-Z84)/2</f>
        <v>5404869</v>
      </c>
      <c r="AA143" s="94">
        <f>(Y111+AA111+Y112+AA112+Y119+AA119-Y84-AA84)/2</f>
        <v>5760810.5</v>
      </c>
      <c r="AB143" s="48">
        <f>(AA111+AB111+AA112+AB112+AA119+AB119-AA84-AB84)/2</f>
        <v>5394132.5</v>
      </c>
      <c r="AC143" s="48">
        <f>(AB111+AC111+AB112+AC112+AB119+AC119-AB84-AC84)/2</f>
        <v>5318801.5</v>
      </c>
      <c r="AD143" s="48">
        <f>(AC111+AD111+AC112+AD112+AC119+AD119-AC84-AD84)/2</f>
        <v>5417565.5</v>
      </c>
      <c r="AE143" s="104">
        <f>(Z111+AE111+Z112+AE112+Z119+AE119-Z84-AE84)/2</f>
        <v>5722804</v>
      </c>
      <c r="AF143" s="94">
        <f>(AD111+AF111+AD112+AF112+AD119+AF119-AD84-AF84)/2</f>
        <v>5097005</v>
      </c>
      <c r="AG143" s="48">
        <f>(AF111+AG111+AF112+AG112+AF119+AG119-AF84-AG84)/2</f>
        <v>4828339.5</v>
      </c>
      <c r="AH143" s="48">
        <f>(AG111+AH111+AG112+AH112+AG119+AH119-AG84-AH84)/2</f>
        <v>4764367.5</v>
      </c>
      <c r="AI143" s="48">
        <f>(AH111+AI111+AH112+AI112+AH119+AI119-AH84-AI84)/2</f>
        <v>4733387.5</v>
      </c>
      <c r="AJ143" s="104">
        <f>(AE111+AJ111+AE112+AJ112+AE119+AJ119-AE84-AJ84)/2</f>
        <v>5155244.5</v>
      </c>
      <c r="AK143" s="94">
        <f>(AI111+AK111+AI112+AK112+AI119+AK119-AI84-AK84)/2</f>
        <v>4690106.5</v>
      </c>
      <c r="AL143" s="48">
        <f>(AJ111+AL111+AJ112+AL112+AJ119+AL119-AJ84-AL84)/2</f>
        <v>4947761.5</v>
      </c>
      <c r="AM143" s="48">
        <f>(AL111+AM111+AL112+AM112+AL119+AM119-AL84-AM84)/2</f>
        <v>5219411.5</v>
      </c>
      <c r="AN143" s="48">
        <f>(AM111+AN111+AM112+AN112+AM119+AN119-AM84-AN84)/2</f>
        <v>5534435</v>
      </c>
      <c r="AO143" s="104">
        <f>(AJ111+AO111+AJ112+AO112+AJ119+AO119-AJ84-AO84)/2</f>
        <v>5262785</v>
      </c>
      <c r="AP143" s="48">
        <f>(AO111+AP111+AO112+AP112+AO119+AP119-AO84-AP84)/2</f>
        <v>5449391</v>
      </c>
      <c r="AQ143" s="48">
        <f>(AO111+AQ111+AO112+AQ112+AO119+AQ119-AO84-AQ84)/2</f>
        <v>5693933.5</v>
      </c>
      <c r="AR143" s="48">
        <f>(AQ111+AR111+AQ112+AR112+AQ119+AR119-AQ84-AR84)/2</f>
        <v>5972211</v>
      </c>
      <c r="AS143" s="48">
        <f>(AR111+AS111+AR112+AS112+AR119+AS119-AR84-AS84)/2</f>
        <v>6493152.5</v>
      </c>
      <c r="AT143" s="104">
        <f>(AO111+AT111+AO112+AT112+AO119+AT119-AO84-AT84)/2</f>
        <v>6214875</v>
      </c>
      <c r="AU143" s="48">
        <f>(AT111+AU111+AT112+AU112+AT119+AU119-AT84-AU84)/2</f>
        <v>6845590</v>
      </c>
      <c r="AV143" s="48">
        <f>(AT111+AV111+AT112+AV112+AT119+AV119-AT84-AV84)/2</f>
        <v>7041071</v>
      </c>
      <c r="AW143" s="48">
        <f>(AU111+AW111+AU112+AW112+AU119+AW119-AU84-AW84)/2</f>
        <v>7241010.5</v>
      </c>
      <c r="AX143" s="48">
        <f>(AW111+AX111+AW112+AX112+AW119+AX119-AW84-AX84)/2</f>
        <v>7865700</v>
      </c>
      <c r="AY143" s="104">
        <f>(AT111+AY111+AT112+AY112+AT119+AY119-AT84-AY84)/2</f>
        <v>7470279.5</v>
      </c>
      <c r="AZ143" s="48">
        <f>(AY111+AZ111+AY112+AZ112+AY119+AZ119-AY84-AZ84)/2</f>
        <v>7652616</v>
      </c>
      <c r="BA143" s="48">
        <f>(AZ111+BA111+AZ112+BA112+AZ119+BA119-AZ84-BA84)/2</f>
        <v>6986765</v>
      </c>
      <c r="BB143" s="48">
        <f>(BA111+BB111+BA112+BB112+BA119+BB119-BA84-BB84)/2</f>
        <v>6951641</v>
      </c>
      <c r="BC143" s="48">
        <f>(BB111+BC111+BB112+BC112+BB119+BC119-BB84-BC84)/2</f>
        <v>7570133.5</v>
      </c>
      <c r="BD143" s="104">
        <f>(AY111+BD111+AY112+BD112+AY119+BD119-AY84-BD84)/2</f>
        <v>8133421.5</v>
      </c>
      <c r="BE143" s="94">
        <f>(BC111+BE111+BC112+BE112+BC119+BE119-BC84-BE84)/2</f>
        <v>8336271.5</v>
      </c>
      <c r="BF143" s="48">
        <f>(BE111+BF111+BE112+BF112+BE119+BF119-BE84-BF84)/2</f>
        <v>8591410.5</v>
      </c>
      <c r="BG143" s="48">
        <f>(BF111+BG111+BF112+BG112+BF119+BG119-BF84-BG84)/2</f>
        <v>8639824</v>
      </c>
      <c r="BH143" s="48">
        <f>(BG111+BH111+BG112+BH112+BG119+BH119-BG84-BH84)/2</f>
        <v>8783130</v>
      </c>
      <c r="BI143" s="104">
        <f>(BD111+BI111+BD112+BI112+BD119+BI119-BD84-BI84)/2</f>
        <v>8484508</v>
      </c>
      <c r="BJ143" s="94">
        <f>(BH111+BJ111+BH112+BJ112+BH119+BJ119-BH84-BJ84)/2</f>
        <v>8985701</v>
      </c>
      <c r="BK143" s="48">
        <f>(BJ111+BK111+BJ112+BK112+BJ119+BK119-BJ84-BK84)/2</f>
        <v>9132414.5</v>
      </c>
      <c r="BL143" s="48">
        <f>(BK111+BL111+BK112+BL112+BK119+BL119-BK84-BL84)/2</f>
        <v>9206632</v>
      </c>
      <c r="BM143" s="48">
        <f>(BL111+BM111+BL112+BM112+BL119+BM119-BL84-BM84)/2</f>
        <v>9214466</v>
      </c>
      <c r="BN143" s="104">
        <f>(BI111+BN111+BI112+BN112+BI119+BN119-BI84-BN84)/2</f>
        <v>9037500.5</v>
      </c>
      <c r="BO143" s="94">
        <f>(BM111+BO111+BM112+BO112+BM119+BO119-BM84-BO84)/2</f>
        <v>9251222.5</v>
      </c>
      <c r="BP143" s="48">
        <f>(BN111+BP111+BN112+BP112+BN119+BP119-BN84-BP84)/2</f>
        <v>9232196.5</v>
      </c>
      <c r="BQ143" s="48">
        <f>(BP111+BQ111+BP112+BQ112+BP119+BQ119-BP84-BQ84)/2</f>
        <v>9358784.5</v>
      </c>
      <c r="BR143" s="48">
        <f>(BQ111+BR111+BQ112+BR112+BQ119+BR119-BQ84-BR84)/2</f>
        <v>9273491.5</v>
      </c>
      <c r="BS143" s="104">
        <f>(BN111+BS111+BN112+BS112+BN119+BS119-BN84-BS84)/2</f>
        <v>9146903.5</v>
      </c>
      <c r="BT143" s="94">
        <f>(BR111+BT111+BR112+BT112+BR119+BT119-BR84-BT84)/2</f>
        <v>8765077.4437843338</v>
      </c>
      <c r="BU143" s="48">
        <f>(BT111+BU111+BT112+BU112+BT119+BU119-BT84-BU84)/2</f>
        <v>8633511.6501947548</v>
      </c>
      <c r="BV143" s="48">
        <f>(BU111+BV111+BU112+BV112+BU119+BV119-BU84-BV84)/2</f>
        <v>9051740.2442396451</v>
      </c>
      <c r="BW143" s="48">
        <f>(BV111+BW111+BV112+BW112+BV119+BW119-BV84-BW84)/2</f>
        <v>9480502.0930609629</v>
      </c>
      <c r="BX143" s="104">
        <f>(BS111+BX111+BS112+BX112+BS119+BX119-BS84-BX84)/2</f>
        <v>9398955.0552317388</v>
      </c>
      <c r="BY143" s="94">
        <f>(BW111+BY111+BW112+BY112+BW119+BY119-BW84-BY84)/2</f>
        <v>9839663.8816279098</v>
      </c>
      <c r="BZ143" s="48">
        <f>(BY111+BZ111+BY112+BZ112+BY119+BZ119-BY84-BZ84)/2</f>
        <v>10136979.100384226</v>
      </c>
      <c r="CA143" s="48">
        <f>(BZ111+CA111+BZ112+CA112+BZ119+CA119-BZ84-CA84)/2</f>
        <v>10455994.445650704</v>
      </c>
      <c r="CB143" s="48">
        <f>(CA111+CB111+CA112+CB112+CA119+CB119-CA84-CB84)/2</f>
        <v>10789331.207368454</v>
      </c>
      <c r="CC143" s="104">
        <f>(BX111+CC111+BX112+CC112+BX119+CC119-BX84-CC84)/2</f>
        <v>10326803.090937542</v>
      </c>
      <c r="CD143" s="94">
        <f>(CB111+CD111+CB112+CD112+CB119+CD119-CB84-CD84)/2</f>
        <v>11014963.249495531</v>
      </c>
      <c r="CE143" s="48">
        <f>(CD111+CE111+CD112+CE112+CD119+CE119-CD84-CE84)/2</f>
        <v>11134335.707356635</v>
      </c>
      <c r="CF143" s="48">
        <f>(CE111+CF111+CE112+CF112+CE119+CF119-CE84-CF84)/2</f>
        <v>11265153.145356292</v>
      </c>
      <c r="CG143" s="48">
        <f>(CF111+CG111+CF112+CG112+CF119+CG119-CF84-CG84)/2</f>
        <v>11386315.830879757</v>
      </c>
      <c r="CH143" s="104">
        <f>(CC111+CH111+CC112+CH112+CC119+CH119-CC84-CH84)/2</f>
        <v>11197990.214796176</v>
      </c>
      <c r="CI143" s="94">
        <f>(CG111+CI111+CG112+CI112+CG119+CI119-CG84-CI84)/2</f>
        <v>11454613.083827723</v>
      </c>
      <c r="CJ143" s="48">
        <f>(CI111+CJ111+CI112+CJ112+CI119+CJ119-CI84-CJ84)/2</f>
        <v>11485299.04405845</v>
      </c>
      <c r="CK143" s="48">
        <f>(CJ111+CK111+CJ112+CK112+CJ119+CK119-CJ84-CK84)/2</f>
        <v>11523779.652284265</v>
      </c>
      <c r="CL143" s="48">
        <f>(CK111+CL111+CK112+CL112+CK119+CL119-CK84-CL84)/2</f>
        <v>11545652.186891282</v>
      </c>
      <c r="CM143" s="104">
        <f>(CH111+CM111+CH112+CM112+CH119+CM119-CH84-CM84)/2</f>
        <v>11491083.853018492</v>
      </c>
      <c r="CN143" s="94">
        <f>(CL111+CN111+CL112+CN112+CL119+CN119-CL84-CN84)/2</f>
        <v>11573502.300057165</v>
      </c>
      <c r="CO143" s="48">
        <f>(CN111+CO111+CN112+CO112+CN119+CO119-CN84-CO84)/2</f>
        <v>11629800.346608033</v>
      </c>
      <c r="CP143" s="48">
        <f>(CO111+CP111+CO112+CP112+CO119+CP119-CO84-CP84)/2</f>
        <v>11690503.483665613</v>
      </c>
      <c r="CQ143" s="48">
        <f>(CP111+CQ111+CP112+CQ112+CP119+CQ119-CP84-CQ84)/2</f>
        <v>11724925.287119972</v>
      </c>
      <c r="CR143" s="104">
        <f>(CM111+CR111+CM112+CR112+CM119+CR119-CM84-CR84)/2</f>
        <v>11634362.197861465</v>
      </c>
      <c r="CS143" s="94">
        <f>(CQ111+CS111+CQ112+CS112+CQ119+CS119-CQ84-CS84)/2</f>
        <v>11765717.274492532</v>
      </c>
      <c r="CT143" s="48">
        <f>(CS111+CT111+CS112+CT112+CS119+CT119-CS84-CT84)/2</f>
        <v>11843486.357703265</v>
      </c>
      <c r="CU143" s="48">
        <f>(CT111+CU111+CT112+CU112+CT119+CU119-CT84-CU84)/2</f>
        <v>11925521.584610647</v>
      </c>
      <c r="CV143" s="48">
        <f>(CU111+CV111+CU112+CV112+CU119+CV119-CU84-CV84)/2</f>
        <v>11972872.62799398</v>
      </c>
      <c r="CW143" s="104">
        <f>(CR111+CW111+CR112+CW112+CR119+CW119-CR84-CW84)/2</f>
        <v>11850202.174460756</v>
      </c>
      <c r="CX143" s="94">
        <f>(CV111+CX111+CV112+CX112+CV119+CX119-CV84-CX84)/2</f>
        <v>12019970.590062998</v>
      </c>
      <c r="CY143" s="48">
        <f>(CX111+CY111+CX112+CY112+CX119+CY119-CX84-CY84)/2</f>
        <v>12105579.711963462</v>
      </c>
      <c r="CZ143" s="48">
        <f>(CY111+CZ111+CY112+CZ112+CY119+CZ119-CY84-CZ84)/2</f>
        <v>12195118.807959225</v>
      </c>
      <c r="DA143" s="48">
        <f>(CZ111+DA111+CZ112+DA112+CZ119+DA119-CZ84-DA84)/2</f>
        <v>12246519.819325106</v>
      </c>
      <c r="DB143" s="104">
        <f>(CW111+DB111+CW112+DB112+CW119+DB119-CW84-DB84)/2</f>
        <v>12112332.434321165</v>
      </c>
      <c r="DC143" s="48"/>
      <c r="DD143" s="48"/>
      <c r="DE143" s="48"/>
      <c r="DF143" s="48"/>
      <c r="DG143" s="48"/>
      <c r="DH143" s="48"/>
      <c r="DI143" s="48"/>
      <c r="DJ143" s="48"/>
      <c r="DK143" s="99"/>
      <c r="DL143" s="99"/>
      <c r="DM143" s="62"/>
    </row>
    <row r="144" spans="1:117">
      <c r="A144" s="36" t="s">
        <v>862</v>
      </c>
      <c r="B144" s="212"/>
      <c r="C144" s="176"/>
      <c r="D144" s="176"/>
      <c r="E144" s="176"/>
      <c r="F144" s="213"/>
      <c r="G144" s="247">
        <f>G143/(G143+((E136+G136)/2))</f>
        <v>0.596995369013543</v>
      </c>
      <c r="H144" s="248">
        <f>H143/(H143+((G136+H136)/2))</f>
        <v>0.60115241574361133</v>
      </c>
      <c r="I144" s="248">
        <f>I143/(I143+((H136+I136)/2))</f>
        <v>0.67132284206545723</v>
      </c>
      <c r="J144" s="248">
        <f>J143/(J143+((I136+J136)/2))</f>
        <v>0.6880594868728529</v>
      </c>
      <c r="K144" s="249">
        <f>K143/(K143+((F136+K136)/2))</f>
        <v>0.64145052403337099</v>
      </c>
      <c r="L144" s="247">
        <f>L143/(L143+((J136+L136)/2))</f>
        <v>0.64017391073626184</v>
      </c>
      <c r="M144" s="248">
        <f>M143/(M143+((L136+M136)/2))</f>
        <v>0.60351710206752951</v>
      </c>
      <c r="N144" s="248">
        <f>N143/(N143+((M136+N136)/2))</f>
        <v>0.61355195301349186</v>
      </c>
      <c r="O144" s="248">
        <f>O143/(O143+((N136+O136)/2))</f>
        <v>0.64078177851827289</v>
      </c>
      <c r="P144" s="249">
        <f>P143/(P143+((K136+P136)/2))</f>
        <v>0.65310220969960897</v>
      </c>
      <c r="Q144" s="247">
        <f>Q143/(Q143+((O136+Q136)/2))</f>
        <v>0.6382050919297888</v>
      </c>
      <c r="R144" s="248">
        <f>R143/(R143+((Q136+R136)/2))</f>
        <v>0.65268841560982827</v>
      </c>
      <c r="S144" s="248">
        <f>S143/(S143+((R136+S136)/2))</f>
        <v>0.68141772998774297</v>
      </c>
      <c r="T144" s="248">
        <f>T143/(T143+((S136+T136)/2))</f>
        <v>0.70023515319184537</v>
      </c>
      <c r="U144" s="249">
        <f>U143/(U143+((P136+U136)/2))</f>
        <v>0.67783421671195943</v>
      </c>
      <c r="V144" s="247">
        <f>V143/(V143+((T136+V136)/2))</f>
        <v>0.69481650113922844</v>
      </c>
      <c r="W144" s="248">
        <f>W143/(W143+((V136+W136)/2))</f>
        <v>0.69655850349375725</v>
      </c>
      <c r="X144" s="248">
        <f>X143/(X143+((W136+X136)/2))</f>
        <v>0.72007159128879838</v>
      </c>
      <c r="Y144" s="248">
        <f>Y143/(Y143+((X136+Y136)/2))</f>
        <v>0.73433152984571348</v>
      </c>
      <c r="Z144" s="249">
        <f>Z143/(Z143+((U136+Z136)/2))</f>
        <v>0.72708555522432716</v>
      </c>
      <c r="AA144" s="247">
        <f>AA143/(AA143+((Y136+AA136)/2))</f>
        <v>0.72953585252886644</v>
      </c>
      <c r="AB144" s="248">
        <f>AB143/(AB143+((AA136+AB136)/2))</f>
        <v>0.71285185210392188</v>
      </c>
      <c r="AC144" s="248">
        <f>AC143/(AC143+((AB136+AC136)/2))</f>
        <v>0.71204015954632283</v>
      </c>
      <c r="AD144" s="248">
        <f>AD143/(AD143+((AC136+AD136)/2))</f>
        <v>0.71368553689449443</v>
      </c>
      <c r="AE144" s="249">
        <f>AE143/(AE143+((Z136+AE136)/2))</f>
        <v>0.72712206082318165</v>
      </c>
      <c r="AF144" s="247">
        <f>AF143/(AF143+((AD136+AF136)/2))</f>
        <v>0.68962780903484611</v>
      </c>
      <c r="AG144" s="248">
        <f>AG143/(AG143+((AF136+AG136)/2))</f>
        <v>0.66945881706986088</v>
      </c>
      <c r="AH144" s="248">
        <f>AH143/(AH143+((AG136+AH136)/2))</f>
        <v>0.66492954893299527</v>
      </c>
      <c r="AI144" s="248">
        <f>AI143/(AI143+((AH136+AI136)/2))</f>
        <v>0.66063197890672753</v>
      </c>
      <c r="AJ144" s="249">
        <f>AJ143/(AJ143+((AE136+AJ136)/2))</f>
        <v>0.68891341657721017</v>
      </c>
      <c r="AK144" s="247">
        <f>AK143/(AK143+((AI136+AK136)/2))</f>
        <v>0.65468072127705901</v>
      </c>
      <c r="AL144" s="248">
        <f>AL143/(AL143+((AJ136+AL136)/2))</f>
        <v>0.67957992574118886</v>
      </c>
      <c r="AM144" s="248">
        <f>AM143/(AM143+((AL136+AM136)/2))</f>
        <v>0.70333600774888771</v>
      </c>
      <c r="AN144" s="248">
        <f>AN143/(AN143+((AM136+AN136)/2))</f>
        <v>0.71442471353775538</v>
      </c>
      <c r="AO144" s="249">
        <f>AO143/(AO143+((AJ136+AO136)/2))</f>
        <v>0.69189061344925706</v>
      </c>
      <c r="AP144" s="248">
        <f>AP143/(AP143+((AO136+AP136)/2))</f>
        <v>0.70801163113772581</v>
      </c>
      <c r="AQ144" s="248">
        <f>AQ143/(AQ143+((AO136+AQ136)/2))</f>
        <v>0.72460431993423258</v>
      </c>
      <c r="AR144" s="248">
        <f>AR143/(AR143+((AQ136+AR136)/2))</f>
        <v>0.74190486412514844</v>
      </c>
      <c r="AS144" s="248">
        <f>AS143/(AS143+((AR136+AS136)/2))</f>
        <v>0.75582541110791646</v>
      </c>
      <c r="AT144" s="249">
        <f>AT143/(AT143+((AO136+AT136)/2))</f>
        <v>0.73995715663094719</v>
      </c>
      <c r="AU144" s="248">
        <f>AU143/(AU143+((AT136+AU136)/2))</f>
        <v>0.76252135669429089</v>
      </c>
      <c r="AV144" s="248">
        <f>AV143/(AV143+((AT136+AV136)/2))</f>
        <v>0.76963792076339965</v>
      </c>
      <c r="AW144" s="248">
        <f>AW143/(AW143+((AU136+AW136)/2))</f>
        <v>0.77007167207564753</v>
      </c>
      <c r="AX144" s="248">
        <f>AX143/(AX143+((AW136+AX136)/2))</f>
        <v>0.7765162499824152</v>
      </c>
      <c r="AY144" s="249">
        <f>AY143/(AY143+((AT136+AY136)/2))</f>
        <v>0.76981370432500096</v>
      </c>
      <c r="AZ144" s="248">
        <f>AZ143/(AZ143+((AY136+AZ136)/2))</f>
        <v>0.83967424534563906</v>
      </c>
      <c r="BA144" s="248">
        <f>BA143/(BA143+((AZ136+BA136)/2))</f>
        <v>0.91843776198358729</v>
      </c>
      <c r="BB144" s="248">
        <f>BB143/(BB143+((BA136+BB136)/2))</f>
        <v>0.91571743784256787</v>
      </c>
      <c r="BC144" s="248">
        <f>BC143/(BC143+((BB136+BC136)/2))</f>
        <v>0.92569236471342498</v>
      </c>
      <c r="BD144" s="249">
        <f>BD143/(BD143+((AY136+BD136)/2))</f>
        <v>0.84737223775055537</v>
      </c>
      <c r="BE144" s="247">
        <f>BE143/(BE143+((BC136+BE136)/2))</f>
        <v>0.93693258755808428</v>
      </c>
      <c r="BF144" s="248">
        <f>BF143/(BF143+((BE136+BF136)/2))</f>
        <v>0.94253219894783946</v>
      </c>
      <c r="BG144" s="248">
        <f>BG143/(BG143+((BF136+BG136)/2))</f>
        <v>0.94882500345383725</v>
      </c>
      <c r="BH144" s="248">
        <f>BH143/(BH143+((BG136+BH136)/2))</f>
        <v>0.95903863886882501</v>
      </c>
      <c r="BI144" s="249">
        <f>BI143/(BI143+((BD136+BI136)/2))</f>
        <v>0.94815238972004634</v>
      </c>
      <c r="BJ144" s="247">
        <f>BJ143/(BJ143+((BH136+BJ136)/2))</f>
        <v>0.96651161379896666</v>
      </c>
      <c r="BK144" s="248">
        <f>BK143/(BK143+((BJ136+BK136)/2))</f>
        <v>0.97209468700706247</v>
      </c>
      <c r="BL144" s="248">
        <f>BL143/(BL143+((BK136+BL136)/2))</f>
        <v>0.97605484954165622</v>
      </c>
      <c r="BM144" s="248">
        <f>BM143/(BM143+((BL136+BM136)/2))</f>
        <v>0.97859804705539877</v>
      </c>
      <c r="BN144" s="249">
        <f>BN143/(BN143+((BI136+BN136)/2))</f>
        <v>0.97179807203875535</v>
      </c>
      <c r="BO144" s="247">
        <f>BO143/(BO143+((BM136+BO136)/2))</f>
        <v>0.97743599274193838</v>
      </c>
      <c r="BP144" s="248">
        <f>BP143/(BP143+((BN136+BP136)/2))</f>
        <v>0.76740290309354786</v>
      </c>
      <c r="BQ144" s="248">
        <f>BQ143/(BQ143+((BP136+BQ136)/2))</f>
        <v>0.63482072176077375</v>
      </c>
      <c r="BR144" s="248">
        <f>BR143/(BR143+((BQ136+BR136)/2))</f>
        <v>0.63011366483609543</v>
      </c>
      <c r="BS144" s="249">
        <f>BS143/(BS143+((BN136+BS136)/2))</f>
        <v>0.76191119363639592</v>
      </c>
      <c r="BT144" s="247">
        <f>BT143/(BT143+((BR136+BT136)/2))</f>
        <v>0.59212676133529152</v>
      </c>
      <c r="BU144" s="248">
        <f>BU143/(BU143+((BT136+BU136)/2))</f>
        <v>0.56970527705119922</v>
      </c>
      <c r="BV144" s="248">
        <f>BV143/(BV143+((BU136+BV136)/2))</f>
        <v>0.58362926490206291</v>
      </c>
      <c r="BW144" s="248">
        <f>BW143/(BW143+((BV136+BW136)/2))</f>
        <v>0.59768102293568337</v>
      </c>
      <c r="BX144" s="249">
        <f>BX143/(BX143+((BS136+BX136)/2))</f>
        <v>0.61294822421815809</v>
      </c>
      <c r="BY144" s="247">
        <f>BY143/(BY143+((BW136+BY136)/2))</f>
        <v>0.60874889498931961</v>
      </c>
      <c r="BZ144" s="248">
        <f>BZ143/(BZ143+((BY136+BZ136)/2))</f>
        <v>0.61749016087461683</v>
      </c>
      <c r="CA144" s="248">
        <f>CA143/(CA143+((BZ136+CA136)/2))</f>
        <v>0.6272492369724415</v>
      </c>
      <c r="CB144" s="248">
        <f>CB143/(CB143+((CA136+CB136)/2))</f>
        <v>0.63762299379948406</v>
      </c>
      <c r="CC144" s="249">
        <f>CC143/(CC143+((BX136+CC136)/2))</f>
        <v>0.62425339756993947</v>
      </c>
      <c r="CD144" s="247">
        <f>CD143/(CD143+((CB136+CD136)/2))</f>
        <v>0.64522308623727387</v>
      </c>
      <c r="CE144" s="248">
        <f>CE143/(CE143+((CD136+CE136)/2))</f>
        <v>0.65031916495179165</v>
      </c>
      <c r="CF144" s="248">
        <f>CF143/(CF143+((CE136+CF136)/2))</f>
        <v>0.65614752304523272</v>
      </c>
      <c r="CG144" s="248">
        <f>CG143/(CG143+((CF136+CG136)/2))</f>
        <v>0.66169130478332461</v>
      </c>
      <c r="CH144" s="249">
        <f>CH143/(CH143+((CC136+CH136)/2))</f>
        <v>0.65347953089053501</v>
      </c>
      <c r="CI144" s="247">
        <f>CI143/(CI143+((CG136+CI136)/2))</f>
        <v>0.66591396134975034</v>
      </c>
      <c r="CJ144" s="248">
        <f>CJ143/(CJ143+((CI136+CJ136)/2))</f>
        <v>0.66958014261853815</v>
      </c>
      <c r="CK144" s="248">
        <f>CK143/(CK143+((CJ136+CK136)/2))</f>
        <v>0.67384979213064589</v>
      </c>
      <c r="CL144" s="248">
        <f>CL143/(CL143+((CK136+CL136)/2))</f>
        <v>0.67755107554616856</v>
      </c>
      <c r="CM144" s="249">
        <f>CM143/(CM143+((CH136+CM136)/2))</f>
        <v>0.67138449082971718</v>
      </c>
      <c r="CN144" s="247">
        <f>CN143/(CN143+((CL136+CN136)/2))</f>
        <v>0.68141978403437675</v>
      </c>
      <c r="CO144" s="248">
        <f>CO143/(CO143+((CN136+CO136)/2))</f>
        <v>0.68654341694346588</v>
      </c>
      <c r="CP144" s="248">
        <f>CP143/(CP143+((CO136+CP136)/2))</f>
        <v>0.69209876693200367</v>
      </c>
      <c r="CQ144" s="248">
        <f>CQ143/(CQ143+((CP136+CQ136)/2))</f>
        <v>0.69657282798402587</v>
      </c>
      <c r="CR144" s="249">
        <f>CR143/(CR143+((CM136+CR136)/2))</f>
        <v>0.6883349090215074</v>
      </c>
      <c r="CS144" s="247">
        <f>CS143/(CS143+((CQ136+CS136)/2))</f>
        <v>0.70121198158922493</v>
      </c>
      <c r="CT144" s="248">
        <f>CT143/(CT143+((CS136+CT136)/2))</f>
        <v>0.70753391644214569</v>
      </c>
      <c r="CU144" s="248">
        <f>CU143/(CU143+((CT136+CU136)/2))</f>
        <v>0.71429082344289285</v>
      </c>
      <c r="CV144" s="248">
        <f>CV143/(CV143+((CU136+CV136)/2))</f>
        <v>0.71951409207631178</v>
      </c>
      <c r="CW144" s="249">
        <f>CW143/(CW143+((CR136+CW136)/2))</f>
        <v>0.70946741787394996</v>
      </c>
      <c r="CX144" s="247">
        <f>CX143/(CX143+((CV136+CX136)/2))</f>
        <v>0.72465247795175369</v>
      </c>
      <c r="CY144" s="248">
        <f>CY143/(CY143+((CX136+CY136)/2))</f>
        <v>0.73167788118316412</v>
      </c>
      <c r="CZ144" s="248">
        <f>CZ143/(CZ143+((CY136+CZ136)/2))</f>
        <v>0.73913758787119954</v>
      </c>
      <c r="DA144" s="248">
        <f>DA143/(DA143+((CZ136+DA136)/2))</f>
        <v>0.74487207539880151</v>
      </c>
      <c r="DB144" s="249">
        <f>DB143/(DB143+((CW136+DB136)/2))</f>
        <v>0.73375708293064246</v>
      </c>
      <c r="DC144" s="248"/>
      <c r="DD144" s="248"/>
      <c r="DE144" s="248"/>
      <c r="DF144" s="248"/>
      <c r="DG144" s="248"/>
      <c r="DH144" s="248"/>
      <c r="DI144" s="248"/>
      <c r="DJ144" s="248"/>
      <c r="DK144" s="396"/>
      <c r="DL144" s="396"/>
      <c r="DM144" s="62"/>
    </row>
    <row r="145" spans="1:117">
      <c r="A145" s="692" t="s">
        <v>1615</v>
      </c>
      <c r="B145" s="212"/>
      <c r="C145" s="176"/>
      <c r="D145" s="176"/>
      <c r="E145" s="176"/>
      <c r="F145" s="213"/>
      <c r="G145" s="512">
        <f>G143/(G36*4)</f>
        <v>2.5629499771336484</v>
      </c>
      <c r="H145" s="250">
        <f>H143/(H36*4)</f>
        <v>6.0350712012936203</v>
      </c>
      <c r="I145" s="250">
        <f>I143/(I36*4)</f>
        <v>4.5726668902427665</v>
      </c>
      <c r="J145" s="250">
        <f>J143/(J36*4)</f>
        <v>3.6488160134159484</v>
      </c>
      <c r="K145" s="251">
        <f>K143/K36</f>
        <v>4.1852259280662647</v>
      </c>
      <c r="L145" s="512">
        <f t="shared" ref="L145:BQ145" si="324">L143/(L36*4)</f>
        <v>2.5848182401263733</v>
      </c>
      <c r="M145" s="250">
        <f t="shared" si="324"/>
        <v>3.7444356559871279</v>
      </c>
      <c r="N145" s="250">
        <f t="shared" si="324"/>
        <v>4.5368309891198839</v>
      </c>
      <c r="O145" s="250">
        <f t="shared" si="324"/>
        <v>3.4520302047292057</v>
      </c>
      <c r="P145" s="251">
        <f>P143/P36</f>
        <v>3.5052209636988207</v>
      </c>
      <c r="Q145" s="512">
        <f>Q143/(Q36*4)</f>
        <v>2.4006048282968893</v>
      </c>
      <c r="R145" s="250">
        <f t="shared" si="324"/>
        <v>4.5442038847403525</v>
      </c>
      <c r="S145" s="250">
        <f t="shared" si="324"/>
        <v>5.5130112780502873</v>
      </c>
      <c r="T145" s="250">
        <f t="shared" si="324"/>
        <v>3.3004891224459798</v>
      </c>
      <c r="U145" s="251">
        <f>U143/U36</f>
        <v>3.8672461980876691</v>
      </c>
      <c r="V145" s="512">
        <f>V143/(V36*4)</f>
        <v>2.6917988709999716</v>
      </c>
      <c r="W145" s="250">
        <f t="shared" si="324"/>
        <v>4.5736996009219943</v>
      </c>
      <c r="X145" s="250">
        <f t="shared" si="324"/>
        <v>4.6321422842476743</v>
      </c>
      <c r="Y145" s="250">
        <f t="shared" si="324"/>
        <v>4.6388277237725779</v>
      </c>
      <c r="Z145" s="251">
        <f>Z143/Z36</f>
        <v>4.289418569307335</v>
      </c>
      <c r="AA145" s="512">
        <f>AA143/(AA36*4)</f>
        <v>3.7341228120211465</v>
      </c>
      <c r="AB145" s="250">
        <f t="shared" si="324"/>
        <v>5.7025491692708448</v>
      </c>
      <c r="AC145" s="250">
        <f t="shared" si="324"/>
        <v>4.9740035723637455</v>
      </c>
      <c r="AD145" s="250">
        <f t="shared" si="324"/>
        <v>3.740885607276323</v>
      </c>
      <c r="AE145" s="251">
        <f>AE143/AE36</f>
        <v>4.5725841698314165</v>
      </c>
      <c r="AF145" s="512">
        <f>AF143/(AF36*4)</f>
        <v>2.9153063442311651</v>
      </c>
      <c r="AG145" s="250">
        <f t="shared" si="324"/>
        <v>4.3866558915878073</v>
      </c>
      <c r="AH145" s="250">
        <f t="shared" si="324"/>
        <v>4.2937393205528442</v>
      </c>
      <c r="AI145" s="250">
        <f t="shared" si="324"/>
        <v>3.4311644997419406</v>
      </c>
      <c r="AJ145" s="251">
        <f>AJ143/AJ36</f>
        <v>3.8629200492152389</v>
      </c>
      <c r="AK145" s="512">
        <f>AK143/(AK36*4)</f>
        <v>2.6526011302425858</v>
      </c>
      <c r="AL145" s="250">
        <f t="shared" si="324"/>
        <v>3.8001590644460626</v>
      </c>
      <c r="AM145" s="250">
        <f t="shared" si="324"/>
        <v>3.6554084434048155</v>
      </c>
      <c r="AN145" s="250">
        <f t="shared" si="324"/>
        <v>2.9016631608970016</v>
      </c>
      <c r="AO145" s="251">
        <f>AO143/AO36</f>
        <v>3.286521028848628</v>
      </c>
      <c r="AP145" s="512">
        <f>AP143/(AP36*4)</f>
        <v>2.999781459388879</v>
      </c>
      <c r="AQ145" s="250">
        <f t="shared" si="324"/>
        <v>4.1038186716560769</v>
      </c>
      <c r="AR145" s="250">
        <f t="shared" si="324"/>
        <v>4.2253260149763125</v>
      </c>
      <c r="AS145" s="250">
        <f t="shared" si="324"/>
        <v>3.9543012749931794</v>
      </c>
      <c r="AT145" s="251">
        <f>AT143/AT36</f>
        <v>3.9714528908477096</v>
      </c>
      <c r="AU145" s="512">
        <f>AU143/(AU36*4)</f>
        <v>4.3895043141036822</v>
      </c>
      <c r="AV145" s="250">
        <f t="shared" si="324"/>
        <v>4.8899043002389018</v>
      </c>
      <c r="AW145" s="250">
        <f t="shared" si="324"/>
        <v>4.9165728528982005</v>
      </c>
      <c r="AX145" s="250">
        <f>AX143/(AX36*4)</f>
        <v>4.3119303736136807</v>
      </c>
      <c r="AY145" s="251">
        <f>AY143/AY36</f>
        <v>4.7457439072298717</v>
      </c>
      <c r="AZ145" s="250">
        <f>AZ143/(AZ36*4)</f>
        <v>4.8412829758967542</v>
      </c>
      <c r="BA145" s="250">
        <f>BA143/(BA36*4)</f>
        <v>5.0063808961486762</v>
      </c>
      <c r="BB145" s="250">
        <f>BB143/(BB36*4)</f>
        <v>4.473396971420776</v>
      </c>
      <c r="BC145" s="250">
        <f>BC143/(BC36*4)</f>
        <v>4.5439849384862132</v>
      </c>
      <c r="BD145" s="251">
        <f>BD143/BD36</f>
        <v>5.2505563054731939</v>
      </c>
      <c r="BE145" s="512">
        <f>BE143/(BE36*4)</f>
        <v>6.6510328072890905</v>
      </c>
      <c r="BF145" s="250">
        <f>BF143/(BF36*4)</f>
        <v>5.5122754710008239</v>
      </c>
      <c r="BG145" s="250">
        <f t="shared" si="324"/>
        <v>5.3174168644326496</v>
      </c>
      <c r="BH145" s="250">
        <f t="shared" si="324"/>
        <v>4.9351744676068998</v>
      </c>
      <c r="BI145" s="251">
        <f>BI143/BI36</f>
        <v>5.4593542467359404</v>
      </c>
      <c r="BJ145" s="512">
        <f>BJ143/(BJ36*4)</f>
        <v>5.1687111729786936</v>
      </c>
      <c r="BK145" s="250">
        <f>BK143/(BK36*4)</f>
        <v>5.1039947621038326</v>
      </c>
      <c r="BL145" s="250">
        <f>BL143/(BL45*4)</f>
        <v>22.549357316404105</v>
      </c>
      <c r="BM145" s="250">
        <f t="shared" si="324"/>
        <v>4.9216159859505488</v>
      </c>
      <c r="BN145" s="251">
        <f>BN143/BN36</f>
        <v>5.0005093187909582</v>
      </c>
      <c r="BO145" s="512">
        <f>BO143/(BO36*4)</f>
        <v>5.1009144593193794</v>
      </c>
      <c r="BP145" s="250">
        <f>BP143/(BP36*4)</f>
        <v>5.0580948065780129</v>
      </c>
      <c r="BQ145" s="693">
        <f t="shared" si="324"/>
        <v>4.5880172975029314</v>
      </c>
      <c r="BR145" s="250">
        <f>BR143/(SUM(BO79:BR79))</f>
        <v>4.6674270819230212</v>
      </c>
      <c r="BS145" s="251">
        <f>BS143/(SUM(BO79:BR79))</f>
        <v>4.6037142657257482</v>
      </c>
      <c r="BT145" s="693">
        <f>BT143/(SUM(BT79,BP79:BR79))</f>
        <v>4.0999611311769382</v>
      </c>
      <c r="BU145" s="250">
        <f>BU143/(SUM(BT79:BU79,BQ79:BR79))</f>
        <v>3.8537974349342172</v>
      </c>
      <c r="BV145" s="250">
        <f>BV143/(SUM(BT79:BV79,BR79))</f>
        <v>3.9324937208661002</v>
      </c>
      <c r="BW145" s="250">
        <f>BW143/(SUM(BT79:BW79))</f>
        <v>4.0681660298966742</v>
      </c>
      <c r="BX145" s="251">
        <f>BX143/(SUM(BT79:BW79))</f>
        <v>4.0331734856327621</v>
      </c>
      <c r="BY145" s="512">
        <f>BY143/(SUM(BY79,BU79:BW79))</f>
        <v>4.1781513327813871</v>
      </c>
      <c r="BZ145" s="250">
        <f>BZ143/(SUM(BY79:BZ79,BV79:BW79))</f>
        <v>4.2091743692701531</v>
      </c>
      <c r="CA145" s="250">
        <f>CA143/(SUM(BY79:CA79,BW79))</f>
        <v>4.2547788816086483</v>
      </c>
      <c r="CB145" s="250">
        <f>CB143/(SUM(BY79:CB79))</f>
        <v>4.304466645060848</v>
      </c>
      <c r="CC145" s="251">
        <f>CC143/(SUM(BY79:CB79))</f>
        <v>4.1199383539819721</v>
      </c>
      <c r="CD145" s="512">
        <f>CD143/(SUM(CD79,BZ79:CB79))</f>
        <v>4.3522764288493816</v>
      </c>
      <c r="CE145" s="250">
        <f>CE143/(SUM(CD79:CE79,CA79:CB79))</f>
        <v>4.3404528375937801</v>
      </c>
      <c r="CF145" s="250">
        <f>CF143/(SUM(CD79:CF79,CB79))</f>
        <v>4.3169175946734475</v>
      </c>
      <c r="CG145" s="250">
        <f>CG143/(SUM(CD79:CG79))</f>
        <v>4.2307096028151108</v>
      </c>
      <c r="CH145" s="251">
        <f>CH143/(SUM(CD79:CG79))</f>
        <v>4.1607351699735338</v>
      </c>
      <c r="CI145" s="512">
        <f>CI143/(SUM(CI79,CE79:CG79))</f>
        <v>4.2002145116323844</v>
      </c>
      <c r="CJ145" s="250">
        <f>CJ143/(SUM(CI79:CJ79,CF79:CG79))</f>
        <v>4.140700554628248</v>
      </c>
      <c r="CK145" s="250">
        <f>CK143/(SUM(CI79:CK79,CG79))</f>
        <v>4.096516816420352</v>
      </c>
      <c r="CL145" s="250">
        <f>CL143/(SUM(CI79:CL79))</f>
        <v>4.0231677747040884</v>
      </c>
      <c r="CM145" s="251">
        <f>CM143/(SUM(CI79:CL79))</f>
        <v>4.0041530357527835</v>
      </c>
      <c r="CN145" s="512">
        <f>CN143/(SUM(CN79,CJ79:CL79))</f>
        <v>4.0021122878004984</v>
      </c>
      <c r="CO145" s="250">
        <f>CO143/(SUM(CN79:CO79,CK79:CL79))</f>
        <v>3.9858059534361185</v>
      </c>
      <c r="CP145" s="250">
        <f>CP143/(SUM(CN79:CP79,CL79))</f>
        <v>3.9726370684703993</v>
      </c>
      <c r="CQ145" s="250">
        <f>CQ143/(SUM(CN79:CQ79))</f>
        <v>3.9269830731113329</v>
      </c>
      <c r="CR145" s="251">
        <f>CR143/(SUM(CN79:CQ79))</f>
        <v>3.8966511341131795</v>
      </c>
      <c r="CS145" s="512">
        <f>CS143/(SUM(CS79,CO79:CQ79))</f>
        <v>3.9132085444827531</v>
      </c>
      <c r="CT145" s="250">
        <f>CT143/(SUM(CS79:CT79,CP79:CQ79))</f>
        <v>3.9114553429538752</v>
      </c>
      <c r="CU145" s="250">
        <f>CU143/(SUM(CS79:CU79,CQ79))</f>
        <v>3.9106707322126923</v>
      </c>
      <c r="CV145" s="250">
        <f>CV143/(SUM(CS79:CV79))</f>
        <v>3.8742087666782248</v>
      </c>
      <c r="CW145" s="251">
        <f>CW143/(SUM(CS79:CV79))</f>
        <v>3.8345147883609729</v>
      </c>
      <c r="CX145" s="512">
        <f>CX143/(SUM(CX79,CT79:CV79))</f>
        <v>3.8518864668453272</v>
      </c>
      <c r="CY145" s="250">
        <f>CY143/(SUM(CX79:CY79,CU79:CV79))</f>
        <v>3.8415383080555192</v>
      </c>
      <c r="CZ145" s="250">
        <f>CZ143/(SUM(CX79:CZ79,CV79))</f>
        <v>3.8319858203146082</v>
      </c>
      <c r="DA145" s="250">
        <f>DA143/(SUM(CX79:DA79))</f>
        <v>3.8009401303647019</v>
      </c>
      <c r="DB145" s="251">
        <f>DB143/(SUM(CX79:DA79))</f>
        <v>3.7592925256431275</v>
      </c>
      <c r="DC145" s="250"/>
      <c r="DD145" s="250"/>
      <c r="DE145" s="250"/>
      <c r="DF145" s="250"/>
      <c r="DG145" s="250"/>
      <c r="DH145" s="250"/>
      <c r="DI145" s="250"/>
      <c r="DJ145" s="250"/>
      <c r="DK145" s="407"/>
      <c r="DL145" s="407"/>
      <c r="DM145" s="62"/>
    </row>
    <row r="146" spans="1:117">
      <c r="A146" s="36" t="s">
        <v>874</v>
      </c>
      <c r="B146" s="212"/>
      <c r="C146" s="176"/>
      <c r="D146" s="176"/>
      <c r="E146" s="176"/>
      <c r="F146" s="213"/>
      <c r="G146" s="247">
        <f>(-G42*4)/G142</f>
        <v>4.3918150471848681E-2</v>
      </c>
      <c r="H146" s="248">
        <f>(-H42*4)/H142</f>
        <v>4.1009976000164101E-2</v>
      </c>
      <c r="I146" s="248">
        <f>(-I42*4)/I142</f>
        <v>5.5532297144710717E-2</v>
      </c>
      <c r="J146" s="248">
        <f>(-J42*4)/J142</f>
        <v>6.2936496325722194E-2</v>
      </c>
      <c r="K146" s="249">
        <f>-K42/K142</f>
        <v>4.838932279928207E-2</v>
      </c>
      <c r="L146" s="247">
        <f>(-L42*4)/L142</f>
        <v>5.986762292229339E-2</v>
      </c>
      <c r="M146" s="248">
        <f>(-M42*4)/M142</f>
        <v>6.05997908090707E-2</v>
      </c>
      <c r="N146" s="248">
        <f>(-N42*4)/N142</f>
        <v>6.0914699226858562E-2</v>
      </c>
      <c r="O146" s="248">
        <f>(-O42*4)/O142</f>
        <v>6.2192130369108325E-2</v>
      </c>
      <c r="P146" s="249">
        <f>-P42/P142</f>
        <v>6.2861128628986268E-2</v>
      </c>
      <c r="Q146" s="247">
        <f>(-Q42*4)/Q142</f>
        <v>6.1227348567847326E-2</v>
      </c>
      <c r="R146" s="248">
        <f>(-R42*4)/R142</f>
        <v>6.1420082746880614E-2</v>
      </c>
      <c r="S146" s="248">
        <f>(-S42*4)/S142</f>
        <v>5.4915892378870151E-2</v>
      </c>
      <c r="T146" s="248">
        <f>(-T42*4)/T142</f>
        <v>5.5986181202811715E-2</v>
      </c>
      <c r="U146" s="249">
        <f>-U42/U142</f>
        <v>5.7645562494862614E-2</v>
      </c>
      <c r="V146" s="247">
        <f>(-V42*4)/V142</f>
        <v>5.3840668929263515E-2</v>
      </c>
      <c r="W146" s="248">
        <f>(-W42*4)/W142</f>
        <v>4.9593737613951645E-2</v>
      </c>
      <c r="X146" s="248">
        <f>(-X42*4)/X142</f>
        <v>4.6316348495698108E-2</v>
      </c>
      <c r="Y146" s="248">
        <f>(-Y42*4)/Y142</f>
        <v>5.3849775354695463E-2</v>
      </c>
      <c r="Z146" s="249">
        <f>-Z42/Z142</f>
        <v>4.6594815494023625E-2</v>
      </c>
      <c r="AA146" s="247">
        <f>(-AA42*4)/AA142</f>
        <v>5.1508568574362062E-2</v>
      </c>
      <c r="AB146" s="248">
        <f>(-AB42*4)/AB142</f>
        <v>5.3806175481504126E-2</v>
      </c>
      <c r="AC146" s="248">
        <f>(-AC42*4)/AC142</f>
        <v>5.4160537835174861E-2</v>
      </c>
      <c r="AD146" s="248">
        <f>(-AD42*4)/AD142</f>
        <v>5.6266036195886854E-2</v>
      </c>
      <c r="AE146" s="249">
        <f>-AE42/AE142</f>
        <v>5.0199477432955102E-2</v>
      </c>
      <c r="AF146" s="247">
        <f>(-AF42*4)/AF142</f>
        <v>5.8913416256353428E-2</v>
      </c>
      <c r="AG146" s="248">
        <f>(-AG42*4)/AG142</f>
        <v>6.072992394858534E-2</v>
      </c>
      <c r="AH146" s="248">
        <f>(-AH42*4)/AH142</f>
        <v>5.8585883414653844E-2</v>
      </c>
      <c r="AI146" s="248">
        <f>(-AI42*4)/AI142</f>
        <v>5.8189255209203906E-2</v>
      </c>
      <c r="AJ146" s="249">
        <f>-AJ42/AJ142</f>
        <v>5.6357380761324787E-2</v>
      </c>
      <c r="AK146" s="247">
        <f>(-AK42*4)/AK142</f>
        <v>6.1742188488593842E-2</v>
      </c>
      <c r="AL146" s="248">
        <f>(-AL42*4)/AL142</f>
        <v>5.8052331141575507E-2</v>
      </c>
      <c r="AM146" s="248">
        <f>(-AM42*4)/AM142</f>
        <v>5.3388026881273892E-2</v>
      </c>
      <c r="AN146" s="248">
        <f>(-AN42*4)/AN142</f>
        <v>4.8440030026862875E-2</v>
      </c>
      <c r="AO146" s="249">
        <f>-AO42/AO142</f>
        <v>5.5920245944549883E-2</v>
      </c>
      <c r="AP146" s="248">
        <f>(-AP42*4)/AP142</f>
        <v>5.163662263523347E-2</v>
      </c>
      <c r="AQ146" s="248">
        <f>(-AQ42*4)/AQ142</f>
        <v>4.9467789923535323E-2</v>
      </c>
      <c r="AR146" s="248">
        <f>(-AR42*4)/AR142</f>
        <v>4.3787750225932835E-2</v>
      </c>
      <c r="AS146" s="248">
        <f>(-AS42*4)/AS142</f>
        <v>4.5964642455831942E-2</v>
      </c>
      <c r="AT146" s="249">
        <f>-AT42/AT142</f>
        <v>4.622640578971951E-2</v>
      </c>
      <c r="AU146" s="248">
        <f>(-AU42*4)/AU142</f>
        <v>4.4629126876160163E-2</v>
      </c>
      <c r="AV146" s="248">
        <f>(-AV42*4)/AV142</f>
        <v>4.4481147276280782E-2</v>
      </c>
      <c r="AW146" s="248">
        <f>(-AW42*4)/AW142</f>
        <v>4.2534441613419419E-2</v>
      </c>
      <c r="AX146" s="248">
        <f>(-AX42*4)/AX142</f>
        <v>4.3279096209735794E-2</v>
      </c>
      <c r="AY146" s="249">
        <f>-AY42/AY142</f>
        <v>4.264602204103872E-2</v>
      </c>
      <c r="AZ146" s="248">
        <f>(-AZ42*4)/AZ142</f>
        <v>4.8465946392325404E-2</v>
      </c>
      <c r="BA146" s="248">
        <f>(-BA42*4)/BA142</f>
        <v>4.8823581551688082E-2</v>
      </c>
      <c r="BB146" s="248">
        <f>(-BB42*4)/BB142</f>
        <v>4.7762734901127403E-2</v>
      </c>
      <c r="BC146" s="248">
        <f>(-BC42*4)/BC142</f>
        <v>4.4726490030509915E-2</v>
      </c>
      <c r="BD146" s="249">
        <f>-BD42/BD142</f>
        <v>4.2939741640347973E-2</v>
      </c>
      <c r="BE146" s="248">
        <f>(-BE42*4)/BE142</f>
        <v>4.5303517765475983E-2</v>
      </c>
      <c r="BF146" s="248">
        <f>(-BF42*4)/BF142</f>
        <v>4.6410487054793843E-2</v>
      </c>
      <c r="BG146" s="248">
        <f>(-BG42*4)/BG142</f>
        <v>4.8755908786327934E-2</v>
      </c>
      <c r="BH146" s="248">
        <f>(-BH42*4)/BH142</f>
        <v>5.004109647078761E-2</v>
      </c>
      <c r="BI146" s="249">
        <f>-BI42/BI142</f>
        <v>4.8352711081741773E-2</v>
      </c>
      <c r="BJ146" s="247">
        <f>(-BJ42*4)/BJ142</f>
        <v>5.1958888820536259E-2</v>
      </c>
      <c r="BK146" s="248">
        <f>(-BK42*4)/BK142</f>
        <v>5.1219556557958491E-2</v>
      </c>
      <c r="BL146" s="248">
        <f>(-BL52*4)/BL142</f>
        <v>-3.6704403381393164E-2</v>
      </c>
      <c r="BM146" s="248">
        <f>BL146</f>
        <v>-3.6704403381393164E-2</v>
      </c>
      <c r="BN146" s="249">
        <f>-BN42/BN142</f>
        <v>5.0989455524646614E-2</v>
      </c>
      <c r="BO146" s="247">
        <f>(-BO42*4)/BO142</f>
        <v>4.8876809556624531E-2</v>
      </c>
      <c r="BP146" s="248">
        <f>(-BP42*4)/BP142</f>
        <v>4.9763833074857711E-2</v>
      </c>
      <c r="BQ146" s="726">
        <f>(-BQ42*4)/BQ142</f>
        <v>5.3104836441988969E-2</v>
      </c>
      <c r="BR146" s="726">
        <f>(-BR42*4)/BR142</f>
        <v>5.3426968551911466E-2</v>
      </c>
      <c r="BS146" s="249">
        <f>-BS42/BS142</f>
        <v>5.2277854398912804E-2</v>
      </c>
      <c r="BT146" s="247">
        <v>5.2499999999999998E-2</v>
      </c>
      <c r="BU146" s="248">
        <f>BT146</f>
        <v>5.2499999999999998E-2</v>
      </c>
      <c r="BV146" s="248">
        <f>BU146</f>
        <v>5.2499999999999998E-2</v>
      </c>
      <c r="BW146" s="248">
        <f>BV146</f>
        <v>5.2499999999999998E-2</v>
      </c>
      <c r="BX146" s="249">
        <f>-BX42/BX142</f>
        <v>5.2499819544618208E-2</v>
      </c>
      <c r="BY146" s="247">
        <f>BW146+0</f>
        <v>5.2499999999999998E-2</v>
      </c>
      <c r="BZ146" s="248">
        <f>BY146</f>
        <v>5.2499999999999998E-2</v>
      </c>
      <c r="CA146" s="248">
        <f>BZ146</f>
        <v>5.2499999999999998E-2</v>
      </c>
      <c r="CB146" s="248">
        <f>CA146</f>
        <v>5.2499999999999998E-2</v>
      </c>
      <c r="CC146" s="249">
        <f>-CC42/CC142</f>
        <v>5.2499832554340431E-2</v>
      </c>
      <c r="CD146" s="247">
        <f>CB146+0.0025</f>
        <v>5.5E-2</v>
      </c>
      <c r="CE146" s="248">
        <f>CD146</f>
        <v>5.5E-2</v>
      </c>
      <c r="CF146" s="248">
        <f>CE146</f>
        <v>5.5E-2</v>
      </c>
      <c r="CG146" s="248">
        <f>CF146</f>
        <v>5.5E-2</v>
      </c>
      <c r="CH146" s="249">
        <f>-CH42/CH142</f>
        <v>5.4999833054109569E-2</v>
      </c>
      <c r="CI146" s="247">
        <f>CG146</f>
        <v>5.5E-2</v>
      </c>
      <c r="CJ146" s="248">
        <f>CI146</f>
        <v>5.5E-2</v>
      </c>
      <c r="CK146" s="248">
        <f>CJ146</f>
        <v>5.5E-2</v>
      </c>
      <c r="CL146" s="248">
        <f>CK146</f>
        <v>5.5E-2</v>
      </c>
      <c r="CM146" s="249">
        <f>-CM42/CM142</f>
        <v>5.4999834723221057E-2</v>
      </c>
      <c r="CN146" s="247">
        <f>CL146</f>
        <v>5.5E-2</v>
      </c>
      <c r="CO146" s="248">
        <f>CN146</f>
        <v>5.5E-2</v>
      </c>
      <c r="CP146" s="248">
        <f>CO146</f>
        <v>5.5E-2</v>
      </c>
      <c r="CQ146" s="248">
        <f>CP146</f>
        <v>5.5E-2</v>
      </c>
      <c r="CR146" s="249">
        <f>-CR42/CR142</f>
        <v>5.4999834264851936E-2</v>
      </c>
      <c r="CS146" s="247">
        <f>CQ146</f>
        <v>5.5E-2</v>
      </c>
      <c r="CT146" s="248">
        <f>CS146</f>
        <v>5.5E-2</v>
      </c>
      <c r="CU146" s="248">
        <f>CT146</f>
        <v>5.5E-2</v>
      </c>
      <c r="CV146" s="248">
        <f>CU146</f>
        <v>5.5E-2</v>
      </c>
      <c r="CW146" s="249">
        <f>-CW42/CW142</f>
        <v>5.4999833572966957E-2</v>
      </c>
      <c r="CX146" s="247">
        <f>CV146</f>
        <v>5.5E-2</v>
      </c>
      <c r="CY146" s="248">
        <f>CX146</f>
        <v>5.5E-2</v>
      </c>
      <c r="CZ146" s="248">
        <f>CY146</f>
        <v>5.5E-2</v>
      </c>
      <c r="DA146" s="248">
        <f>CZ146</f>
        <v>5.5E-2</v>
      </c>
      <c r="DB146" s="249">
        <f>-DB42/DB142</f>
        <v>5.4999833031769231E-2</v>
      </c>
      <c r="DC146" s="248"/>
      <c r="DD146" s="248"/>
      <c r="DE146" s="248"/>
      <c r="DF146" s="248"/>
      <c r="DG146" s="248"/>
      <c r="DH146" s="248"/>
      <c r="DI146" s="248"/>
      <c r="DJ146" s="248"/>
      <c r="DK146" s="396"/>
      <c r="DL146" s="396"/>
      <c r="DM146" s="62"/>
    </row>
    <row r="147" spans="1:117">
      <c r="A147" s="36"/>
      <c r="B147" s="212"/>
      <c r="C147" s="176"/>
      <c r="D147" s="176"/>
      <c r="E147" s="176"/>
      <c r="F147" s="213"/>
      <c r="G147" s="237"/>
      <c r="H147" s="238"/>
      <c r="I147" s="238"/>
      <c r="J147" s="238"/>
      <c r="K147" s="239"/>
      <c r="L147" s="237"/>
      <c r="M147" s="238"/>
      <c r="N147" s="238"/>
      <c r="O147" s="238"/>
      <c r="P147" s="239"/>
      <c r="Q147" s="237"/>
      <c r="R147" s="238"/>
      <c r="S147" s="238"/>
      <c r="T147" s="238"/>
      <c r="U147" s="239"/>
      <c r="V147" s="237"/>
      <c r="W147" s="238"/>
      <c r="X147" s="238"/>
      <c r="Y147" s="238"/>
      <c r="Z147" s="239"/>
      <c r="AA147" s="237"/>
      <c r="AB147" s="238"/>
      <c r="AC147" s="238"/>
      <c r="AD147" s="238"/>
      <c r="AE147" s="239"/>
      <c r="AF147" s="237"/>
      <c r="AG147" s="238"/>
      <c r="AH147" s="238"/>
      <c r="AI147" s="238"/>
      <c r="AJ147" s="239"/>
      <c r="AK147" s="237"/>
      <c r="AL147" s="238"/>
      <c r="AM147" s="238"/>
      <c r="AN147" s="238"/>
      <c r="AO147" s="239"/>
      <c r="AP147" s="237"/>
      <c r="AQ147" s="238"/>
      <c r="AR147" s="238"/>
      <c r="AS147" s="238"/>
      <c r="AT147" s="239"/>
      <c r="AU147" s="237"/>
      <c r="AV147" s="238"/>
      <c r="AW147" s="238"/>
      <c r="AX147" s="238"/>
      <c r="AY147" s="239"/>
      <c r="AZ147" s="237"/>
      <c r="BA147" s="238"/>
      <c r="BB147" s="238"/>
      <c r="BC147" s="238"/>
      <c r="BD147" s="239"/>
      <c r="BE147" s="237"/>
      <c r="BF147" s="238"/>
      <c r="BG147" s="238"/>
      <c r="BH147" s="238"/>
      <c r="BI147" s="239"/>
      <c r="BJ147" s="237"/>
      <c r="BK147" s="238"/>
      <c r="BL147" s="238"/>
      <c r="BM147" s="238"/>
      <c r="BN147" s="239"/>
      <c r="BO147" s="237"/>
      <c r="BP147" s="238"/>
      <c r="BQ147" s="238"/>
      <c r="BR147" s="238"/>
      <c r="BS147" s="239"/>
      <c r="BT147" s="237"/>
      <c r="BU147" s="238"/>
      <c r="BV147" s="238"/>
      <c r="BW147" s="238"/>
      <c r="BX147" s="239"/>
      <c r="BY147" s="237"/>
      <c r="BZ147" s="238"/>
      <c r="CA147" s="238"/>
      <c r="CB147" s="238"/>
      <c r="CC147" s="239"/>
      <c r="CD147" s="237"/>
      <c r="CE147" s="238"/>
      <c r="CF147" s="238"/>
      <c r="CG147" s="238"/>
      <c r="CH147" s="239"/>
      <c r="CI147" s="237"/>
      <c r="CJ147" s="238"/>
      <c r="CK147" s="238"/>
      <c r="CL147" s="238"/>
      <c r="CM147" s="239"/>
      <c r="CN147" s="237"/>
      <c r="CO147" s="238"/>
      <c r="CP147" s="238"/>
      <c r="CQ147" s="238"/>
      <c r="CR147" s="239"/>
      <c r="CS147" s="237"/>
      <c r="CT147" s="238"/>
      <c r="CU147" s="238"/>
      <c r="CV147" s="238"/>
      <c r="CW147" s="239"/>
      <c r="CX147" s="237"/>
      <c r="CY147" s="238"/>
      <c r="CZ147" s="238"/>
      <c r="DA147" s="238"/>
      <c r="DB147" s="239"/>
      <c r="DC147" s="238"/>
      <c r="DD147" s="238"/>
      <c r="DE147" s="238"/>
      <c r="DF147" s="238"/>
      <c r="DG147" s="238"/>
      <c r="DH147" s="238"/>
      <c r="DI147" s="238"/>
      <c r="DJ147" s="238"/>
      <c r="DK147" s="66"/>
      <c r="DL147" s="66"/>
      <c r="DM147" s="62"/>
    </row>
    <row r="148" spans="1:117" outlineLevel="1">
      <c r="A148" s="28" t="s">
        <v>177</v>
      </c>
      <c r="B148" s="212"/>
      <c r="C148" s="176"/>
      <c r="D148" s="176"/>
      <c r="E148" s="176"/>
      <c r="F148" s="213"/>
      <c r="G148" s="237"/>
      <c r="H148" s="238"/>
      <c r="I148" s="238"/>
      <c r="J148" s="238"/>
      <c r="K148" s="239"/>
      <c r="L148" s="237"/>
      <c r="M148" s="238"/>
      <c r="N148" s="238"/>
      <c r="O148" s="238"/>
      <c r="P148" s="239"/>
      <c r="Q148" s="237"/>
      <c r="R148" s="238"/>
      <c r="S148" s="238"/>
      <c r="T148" s="238"/>
      <c r="U148" s="239"/>
      <c r="V148" s="237"/>
      <c r="W148" s="238"/>
      <c r="X148" s="238"/>
      <c r="Y148" s="238"/>
      <c r="Z148" s="239"/>
      <c r="AA148" s="237"/>
      <c r="AB148" s="238"/>
      <c r="AC148" s="238"/>
      <c r="AD148" s="238"/>
      <c r="AE148" s="239"/>
      <c r="AF148" s="237"/>
      <c r="AG148" s="238"/>
      <c r="AH148" s="238"/>
      <c r="AI148" s="238"/>
      <c r="AJ148" s="239"/>
      <c r="AK148" s="237"/>
      <c r="AL148" s="238"/>
      <c r="AM148" s="238"/>
      <c r="AN148" s="238"/>
      <c r="AO148" s="239"/>
      <c r="AP148" s="237"/>
      <c r="AQ148" s="238"/>
      <c r="AR148" s="238"/>
      <c r="AS148" s="238"/>
      <c r="AT148" s="239"/>
      <c r="AU148" s="237"/>
      <c r="AV148" s="238"/>
      <c r="AW148" s="238"/>
      <c r="AX148" s="238"/>
      <c r="AY148" s="239"/>
      <c r="AZ148" s="237"/>
      <c r="BA148" s="238"/>
      <c r="BB148" s="238"/>
      <c r="BC148" s="238"/>
      <c r="BD148" s="239"/>
      <c r="BE148" s="237"/>
      <c r="BF148" s="238"/>
      <c r="BG148" s="238"/>
      <c r="BH148" s="238"/>
      <c r="BI148" s="239"/>
      <c r="BJ148" s="237"/>
      <c r="BK148" s="238"/>
      <c r="BL148" s="238"/>
      <c r="BM148" s="238"/>
      <c r="BN148" s="239"/>
      <c r="BO148" s="237"/>
      <c r="BP148" s="238"/>
      <c r="BQ148" s="238"/>
      <c r="BR148" s="238"/>
      <c r="BS148" s="239"/>
      <c r="BT148" s="237"/>
      <c r="BU148" s="238"/>
      <c r="BV148" s="238"/>
      <c r="BW148" s="238"/>
      <c r="BX148" s="239"/>
      <c r="BY148" s="237"/>
      <c r="BZ148" s="238"/>
      <c r="CA148" s="238"/>
      <c r="CB148" s="238"/>
      <c r="CC148" s="239"/>
      <c r="CD148" s="237"/>
      <c r="CE148" s="238"/>
      <c r="CF148" s="238"/>
      <c r="CG148" s="238"/>
      <c r="CH148" s="239"/>
      <c r="CI148" s="237"/>
      <c r="CJ148" s="238"/>
      <c r="CK148" s="238"/>
      <c r="CL148" s="238"/>
      <c r="CM148" s="239"/>
      <c r="CN148" s="237"/>
      <c r="CO148" s="238"/>
      <c r="CP148" s="238"/>
      <c r="CQ148" s="238"/>
      <c r="CR148" s="239"/>
      <c r="CS148" s="237"/>
      <c r="CT148" s="238"/>
      <c r="CU148" s="238"/>
      <c r="CV148" s="238"/>
      <c r="CW148" s="239"/>
      <c r="CX148" s="237"/>
      <c r="CY148" s="238"/>
      <c r="CZ148" s="238"/>
      <c r="DA148" s="238"/>
      <c r="DB148" s="239"/>
      <c r="DC148" s="238"/>
      <c r="DD148" s="238"/>
      <c r="DE148" s="238"/>
      <c r="DF148" s="238"/>
      <c r="DG148" s="238"/>
      <c r="DH148" s="238"/>
      <c r="DI148" s="238"/>
      <c r="DJ148" s="238"/>
      <c r="DK148" s="66"/>
      <c r="DL148" s="66"/>
      <c r="DM148" s="62"/>
    </row>
    <row r="149" spans="1:117" outlineLevel="1">
      <c r="A149" s="36" t="s">
        <v>115</v>
      </c>
      <c r="B149" s="212"/>
      <c r="C149" s="176"/>
      <c r="D149" s="176"/>
      <c r="E149" s="176"/>
      <c r="F149" s="213"/>
      <c r="G149" s="37"/>
      <c r="H149" s="238"/>
      <c r="I149" s="238"/>
      <c r="J149" s="238"/>
      <c r="K149" s="239"/>
      <c r="L149" s="37"/>
      <c r="M149" s="38"/>
      <c r="N149" s="38"/>
      <c r="O149" s="38"/>
      <c r="P149" s="133"/>
      <c r="Q149" s="37"/>
      <c r="R149" s="38"/>
      <c r="S149" s="38"/>
      <c r="T149" s="38"/>
      <c r="U149" s="133"/>
      <c r="V149" s="37"/>
      <c r="W149" s="38"/>
      <c r="X149" s="38"/>
      <c r="Y149" s="38"/>
      <c r="Z149" s="133"/>
      <c r="AA149" s="94"/>
      <c r="AB149" s="48"/>
      <c r="AC149" s="48"/>
      <c r="AD149" s="48"/>
      <c r="AE149" s="104"/>
      <c r="AF149" s="474">
        <v>3498552.5</v>
      </c>
      <c r="AG149" s="475">
        <v>3448123</v>
      </c>
      <c r="AH149" s="475">
        <v>3327436.5</v>
      </c>
      <c r="AI149" s="475">
        <v>3198536.5</v>
      </c>
      <c r="AJ149" s="476">
        <v>3427687.5</v>
      </c>
      <c r="AK149" s="474">
        <v>3566761.5</v>
      </c>
      <c r="AL149" s="477">
        <v>3883742</v>
      </c>
      <c r="AM149" s="477">
        <v>3880896.5</v>
      </c>
      <c r="AN149" s="477">
        <v>3878051</v>
      </c>
      <c r="AO149" s="476">
        <v>3562493</v>
      </c>
      <c r="AP149" s="474">
        <v>3875205.5</v>
      </c>
      <c r="AQ149" s="477">
        <v>3709358.5</v>
      </c>
      <c r="AR149" s="477">
        <v>4179043</v>
      </c>
      <c r="AS149" s="477">
        <v>4812215.5</v>
      </c>
      <c r="AT149" s="476">
        <v>4343953.5</v>
      </c>
      <c r="AU149" s="474">
        <v>4810447.5</v>
      </c>
      <c r="AV149" s="477">
        <v>5023291.5</v>
      </c>
      <c r="AW149" s="477">
        <v>5669055.5</v>
      </c>
      <c r="AX149" s="477">
        <v>6076830.5</v>
      </c>
      <c r="AY149" s="476">
        <v>5431898</v>
      </c>
      <c r="AZ149" s="473">
        <v>5492753</v>
      </c>
      <c r="BA149" s="472">
        <v>6112579</v>
      </c>
      <c r="BB149" s="472">
        <v>6074395.5</v>
      </c>
      <c r="BC149" s="472">
        <v>6574486</v>
      </c>
      <c r="BD149" s="472">
        <v>6576921</v>
      </c>
      <c r="BE149" s="473">
        <v>7385055</v>
      </c>
      <c r="BF149" s="583">
        <v>7671445.5</v>
      </c>
      <c r="BG149" s="472">
        <v>7382315.5</v>
      </c>
      <c r="BH149" s="583">
        <v>7219913.5</v>
      </c>
      <c r="BI149" s="600">
        <v>7225313.5</v>
      </c>
      <c r="BJ149" s="473">
        <v>7471878.5</v>
      </c>
      <c r="BK149" s="583">
        <v>7660181</v>
      </c>
      <c r="BL149" s="583">
        <v>7755657</v>
      </c>
      <c r="BM149" s="472">
        <v>7815157</v>
      </c>
      <c r="BN149" s="478">
        <v>7597104.5</v>
      </c>
      <c r="BO149" s="473">
        <v>7898032</v>
      </c>
      <c r="BP149" s="472">
        <v>8004282</v>
      </c>
      <c r="BQ149" s="472">
        <v>8110532</v>
      </c>
      <c r="BR149" s="472">
        <v>8216782</v>
      </c>
      <c r="BS149" s="478">
        <v>8057407</v>
      </c>
      <c r="BT149" s="688">
        <v>8301157</v>
      </c>
      <c r="BU149" s="686">
        <v>8363657</v>
      </c>
      <c r="BV149" s="686">
        <v>8426157</v>
      </c>
      <c r="BW149" s="686">
        <v>8488657</v>
      </c>
      <c r="BX149" s="689">
        <v>8394907</v>
      </c>
      <c r="BY149" s="688">
        <v>8564907</v>
      </c>
      <c r="BZ149" s="686">
        <v>8654907</v>
      </c>
      <c r="CA149" s="686">
        <v>8744907</v>
      </c>
      <c r="CB149" s="686">
        <v>8834907</v>
      </c>
      <c r="CC149" s="689">
        <v>8699907</v>
      </c>
      <c r="CD149" s="473">
        <v>8917407</v>
      </c>
      <c r="CE149" s="472">
        <v>8992407</v>
      </c>
      <c r="CF149" s="472">
        <v>9067407</v>
      </c>
      <c r="CG149" s="472">
        <v>9142407</v>
      </c>
      <c r="CH149" s="478">
        <v>9029907</v>
      </c>
      <c r="CI149" s="473">
        <v>9228657</v>
      </c>
      <c r="CJ149" s="472">
        <v>9326157.0000000019</v>
      </c>
      <c r="CK149" s="472">
        <v>9423657</v>
      </c>
      <c r="CL149" s="472">
        <v>9521157</v>
      </c>
      <c r="CM149" s="478">
        <v>9374907</v>
      </c>
      <c r="CN149" s="473">
        <v>9618657</v>
      </c>
      <c r="CO149" s="472">
        <v>9716157</v>
      </c>
      <c r="CP149" s="472">
        <v>9813657</v>
      </c>
      <c r="CQ149" s="472">
        <v>9911157</v>
      </c>
      <c r="CR149" s="478">
        <v>9764907</v>
      </c>
      <c r="CS149" s="473">
        <v>9813657</v>
      </c>
      <c r="CT149" s="472">
        <v>9716157</v>
      </c>
      <c r="CU149" s="472">
        <v>9813657</v>
      </c>
      <c r="CV149" s="472">
        <v>9911157</v>
      </c>
      <c r="CW149" s="478">
        <v>9959907</v>
      </c>
      <c r="CX149" s="473">
        <v>9813657</v>
      </c>
      <c r="CY149" s="472">
        <v>9716157</v>
      </c>
      <c r="CZ149" s="472">
        <v>9813657</v>
      </c>
      <c r="DA149" s="472">
        <v>9911157</v>
      </c>
      <c r="DB149" s="478">
        <v>9959907</v>
      </c>
      <c r="DC149" s="472"/>
      <c r="DD149" s="472"/>
      <c r="DE149" s="472"/>
      <c r="DF149" s="472"/>
      <c r="DG149" s="472"/>
      <c r="DH149" s="472"/>
      <c r="DI149" s="472"/>
      <c r="DJ149" s="472"/>
      <c r="DK149" s="99"/>
      <c r="DL149" s="99"/>
      <c r="DM149" s="62"/>
    </row>
    <row r="150" spans="1:117" outlineLevel="1">
      <c r="A150" s="36" t="s">
        <v>116</v>
      </c>
      <c r="B150" s="212"/>
      <c r="C150" s="176"/>
      <c r="D150" s="176"/>
      <c r="E150" s="176"/>
      <c r="F150" s="213"/>
      <c r="G150" s="237"/>
      <c r="H150" s="238"/>
      <c r="I150" s="238"/>
      <c r="J150" s="238"/>
      <c r="K150" s="239"/>
      <c r="L150" s="237"/>
      <c r="M150" s="238"/>
      <c r="N150" s="238"/>
      <c r="O150" s="238"/>
      <c r="P150" s="239"/>
      <c r="Q150" s="237"/>
      <c r="R150" s="238"/>
      <c r="S150" s="238"/>
      <c r="T150" s="238"/>
      <c r="U150" s="239"/>
      <c r="V150" s="237"/>
      <c r="W150" s="238"/>
      <c r="X150" s="238"/>
      <c r="Y150" s="238"/>
      <c r="Z150" s="239"/>
      <c r="AA150" s="94"/>
      <c r="AB150" s="48"/>
      <c r="AC150" s="48"/>
      <c r="AD150" s="48"/>
      <c r="AE150" s="104"/>
      <c r="AF150" s="474">
        <v>3494287.5</v>
      </c>
      <c r="AG150" s="475">
        <v>3443906.5</v>
      </c>
      <c r="AH150" s="475">
        <v>3323414</v>
      </c>
      <c r="AI150" s="475">
        <v>3195592</v>
      </c>
      <c r="AJ150" s="476">
        <v>3425663</v>
      </c>
      <c r="AK150" s="474">
        <v>3257611</v>
      </c>
      <c r="AL150" s="477">
        <v>3358922.5</v>
      </c>
      <c r="AM150" s="477">
        <v>3600837.5</v>
      </c>
      <c r="AN150" s="477">
        <v>3796564.5</v>
      </c>
      <c r="AO150" s="476">
        <v>3544498.5</v>
      </c>
      <c r="AP150" s="474">
        <v>3484312</v>
      </c>
      <c r="AQ150" s="477">
        <v>3289933</v>
      </c>
      <c r="AR150" s="477">
        <v>3651141.5</v>
      </c>
      <c r="AS150" s="477">
        <v>4061854.5</v>
      </c>
      <c r="AT150" s="476">
        <v>4057871</v>
      </c>
      <c r="AU150" s="474">
        <v>4507449</v>
      </c>
      <c r="AV150" s="477">
        <v>4985715</v>
      </c>
      <c r="AW150" s="477">
        <v>5304425.5</v>
      </c>
      <c r="AX150" s="477">
        <v>5648050.5</v>
      </c>
      <c r="AY150" s="476">
        <v>5096096</v>
      </c>
      <c r="AZ150" s="473">
        <v>5400598.5</v>
      </c>
      <c r="BA150" s="472">
        <v>5915871.5</v>
      </c>
      <c r="BB150" s="472">
        <v>5685866</v>
      </c>
      <c r="BC150" s="472">
        <v>6526206.5</v>
      </c>
      <c r="BD150" s="472">
        <v>6488391</v>
      </c>
      <c r="BE150" s="473">
        <v>7318524.5</v>
      </c>
      <c r="BF150" s="583">
        <v>7599617.5</v>
      </c>
      <c r="BG150" s="472">
        <v>7352121.5</v>
      </c>
      <c r="BH150" s="583">
        <v>7213742.5</v>
      </c>
      <c r="BI150" s="600">
        <v>7201509</v>
      </c>
      <c r="BJ150" s="473">
        <v>7464398</v>
      </c>
      <c r="BK150" s="583">
        <v>7653367.5</v>
      </c>
      <c r="BL150" s="583">
        <v>7744446.8100562766</v>
      </c>
      <c r="BM150" s="472">
        <v>7789339.5550597897</v>
      </c>
      <c r="BN150" s="478">
        <v>7578085.2450035131</v>
      </c>
      <c r="BO150" s="473">
        <v>7867735.8248229139</v>
      </c>
      <c r="BP150" s="472">
        <v>7987832.4216308007</v>
      </c>
      <c r="BQ150" s="472">
        <v>8102388.8753198227</v>
      </c>
      <c r="BR150" s="472">
        <v>8195487.2640840067</v>
      </c>
      <c r="BS150" s="478">
        <v>8025142.4755790988</v>
      </c>
      <c r="BT150" s="688">
        <v>8277078.214773898</v>
      </c>
      <c r="BU150" s="686">
        <v>8352862.9841983132</v>
      </c>
      <c r="BV150" s="686">
        <v>8421157</v>
      </c>
      <c r="BW150" s="686">
        <v>8480359.4307745751</v>
      </c>
      <c r="BX150" s="689">
        <v>8373324.6613501608</v>
      </c>
      <c r="BY150" s="688">
        <v>8548301.061613882</v>
      </c>
      <c r="BZ150" s="686">
        <v>8635717.7752342671</v>
      </c>
      <c r="CA150" s="686">
        <v>8717564.1987483036</v>
      </c>
      <c r="CB150" s="686">
        <v>8780319.6553556565</v>
      </c>
      <c r="CC150" s="689">
        <v>8658484.0317768883</v>
      </c>
      <c r="CD150" s="473">
        <v>8849314.470531106</v>
      </c>
      <c r="CE150" s="472">
        <v>8934376.0561901014</v>
      </c>
      <c r="CF150" s="472">
        <v>9010904.1868219431</v>
      </c>
      <c r="CG150" s="472">
        <v>9071092.5887622517</v>
      </c>
      <c r="CH150" s="478">
        <v>8953906.1896039303</v>
      </c>
      <c r="CI150" s="473">
        <v>9148821.2429358754</v>
      </c>
      <c r="CJ150" s="472">
        <v>9252232.2452981956</v>
      </c>
      <c r="CK150" s="472">
        <v>9347580.9732403196</v>
      </c>
      <c r="CL150" s="472">
        <v>9427045.2903475929</v>
      </c>
      <c r="CM150" s="478">
        <v>9282031.496672824</v>
      </c>
      <c r="CN150" s="473">
        <v>9518905.5994807165</v>
      </c>
      <c r="CO150" s="472">
        <v>9629864.0623458326</v>
      </c>
      <c r="CP150" s="472">
        <v>9731837.0181471631</v>
      </c>
      <c r="CQ150" s="472">
        <v>9818859.5799742974</v>
      </c>
      <c r="CR150" s="478">
        <v>9662887.8408346642</v>
      </c>
      <c r="CS150" s="473">
        <v>9716886.6241729651</v>
      </c>
      <c r="CT150" s="472">
        <v>9629864.0623458326</v>
      </c>
      <c r="CU150" s="472">
        <v>9731837.0181471631</v>
      </c>
      <c r="CV150" s="472">
        <v>9818859.5799742974</v>
      </c>
      <c r="CW150" s="478">
        <v>9860868.8655269127</v>
      </c>
      <c r="CX150" s="473">
        <v>9716886.6241729651</v>
      </c>
      <c r="CY150" s="472">
        <v>9629864.0623458326</v>
      </c>
      <c r="CZ150" s="472">
        <v>9731837.0181471631</v>
      </c>
      <c r="DA150" s="472">
        <v>9818859.5799742974</v>
      </c>
      <c r="DB150" s="478">
        <v>9860868.8655269127</v>
      </c>
      <c r="DC150" s="472"/>
      <c r="DD150" s="472"/>
      <c r="DE150" s="472"/>
      <c r="DF150" s="472"/>
      <c r="DG150" s="472"/>
      <c r="DH150" s="472"/>
      <c r="DI150" s="472"/>
      <c r="DJ150" s="472"/>
      <c r="DK150" s="99"/>
      <c r="DL150" s="99"/>
      <c r="DM150" s="62"/>
    </row>
    <row r="151" spans="1:117" outlineLevel="1">
      <c r="A151" s="36" t="s">
        <v>790</v>
      </c>
      <c r="B151" s="212"/>
      <c r="C151" s="176"/>
      <c r="D151" s="176"/>
      <c r="E151" s="176"/>
      <c r="F151" s="213"/>
      <c r="G151" s="237"/>
      <c r="H151" s="238"/>
      <c r="I151" s="238"/>
      <c r="J151" s="238"/>
      <c r="K151" s="239"/>
      <c r="L151" s="237"/>
      <c r="M151" s="238"/>
      <c r="N151" s="238"/>
      <c r="O151" s="238"/>
      <c r="P151" s="239"/>
      <c r="Q151" s="237"/>
      <c r="R151" s="238"/>
      <c r="S151" s="238"/>
      <c r="T151" s="238"/>
      <c r="U151" s="239"/>
      <c r="V151" s="237"/>
      <c r="W151" s="238"/>
      <c r="X151" s="238"/>
      <c r="Y151" s="238"/>
      <c r="Z151" s="239"/>
      <c r="AA151" s="254"/>
      <c r="AB151" s="252"/>
      <c r="AC151" s="252"/>
      <c r="AD151" s="252"/>
      <c r="AE151" s="253"/>
      <c r="AF151" s="479">
        <v>-54153</v>
      </c>
      <c r="AG151" s="477">
        <v>-53330</v>
      </c>
      <c r="AH151" s="477">
        <v>-49131</v>
      </c>
      <c r="AI151" s="477">
        <v>-47694</v>
      </c>
      <c r="AJ151" s="480">
        <v>-204308</v>
      </c>
      <c r="AK151" s="479">
        <v>-57268</v>
      </c>
      <c r="AL151" s="477">
        <v>-57623</v>
      </c>
      <c r="AM151" s="477">
        <v>-55735</v>
      </c>
      <c r="AN151" s="477">
        <v>-52511</v>
      </c>
      <c r="AO151" s="480">
        <v>-223137</v>
      </c>
      <c r="AP151" s="479">
        <v>-53209</v>
      </c>
      <c r="AQ151" s="477">
        <v>-47125</v>
      </c>
      <c r="AR151" s="477">
        <v>-47776</v>
      </c>
      <c r="AS151" s="477">
        <v>-57908</v>
      </c>
      <c r="AT151" s="480">
        <v>-206018</v>
      </c>
      <c r="AU151" s="479">
        <v>-55872</v>
      </c>
      <c r="AV151" s="477">
        <v>-57524</v>
      </c>
      <c r="AW151" s="477">
        <v>-57722</v>
      </c>
      <c r="AX151" s="477">
        <v>-65596</v>
      </c>
      <c r="AY151" s="480">
        <v>-236714</v>
      </c>
      <c r="AZ151" s="487">
        <v>-68276</v>
      </c>
      <c r="BA151" s="481">
        <v>-73008</v>
      </c>
      <c r="BB151" s="481">
        <v>-70060</v>
      </c>
      <c r="BC151" s="481">
        <v>-70564</v>
      </c>
      <c r="BD151" s="481">
        <v>-281908</v>
      </c>
      <c r="BE151" s="487">
        <v>-80709</v>
      </c>
      <c r="BF151" s="481">
        <v>-86492</v>
      </c>
      <c r="BG151" s="481">
        <v>-86666</v>
      </c>
      <c r="BH151" s="481">
        <v>-85044</v>
      </c>
      <c r="BI151" s="486">
        <v>-338911</v>
      </c>
      <c r="BJ151" s="487">
        <v>-92555</v>
      </c>
      <c r="BK151" s="481">
        <v>-93263</v>
      </c>
      <c r="BL151" s="481">
        <v>-92098.426875000005</v>
      </c>
      <c r="BM151" s="481">
        <v>-92804.989375000005</v>
      </c>
      <c r="BN151" s="486">
        <v>-370721.41625000001</v>
      </c>
      <c r="BO151" s="487">
        <v>-108597.93999999999</v>
      </c>
      <c r="BP151" s="481">
        <v>-110058.87749999999</v>
      </c>
      <c r="BQ151" s="481">
        <v>-111519.81499999999</v>
      </c>
      <c r="BR151" s="481">
        <v>-112980.75249999999</v>
      </c>
      <c r="BS151" s="486">
        <v>-443157.38499999995</v>
      </c>
      <c r="BT151" s="690">
        <v>-119329.13187500001</v>
      </c>
      <c r="BU151" s="687">
        <v>-120227.56937500001</v>
      </c>
      <c r="BV151" s="687">
        <v>-121126.00687500001</v>
      </c>
      <c r="BW151" s="687">
        <v>-122024.44437500001</v>
      </c>
      <c r="BX151" s="691">
        <v>-482707.15250000003</v>
      </c>
      <c r="BY151" s="690">
        <v>-123120.53812499999</v>
      </c>
      <c r="BZ151" s="687">
        <v>-124414.28812499999</v>
      </c>
      <c r="CA151" s="687">
        <v>-125708.03812500001</v>
      </c>
      <c r="CB151" s="687">
        <v>-127001.78812500001</v>
      </c>
      <c r="CC151" s="691">
        <v>-500244.65249999997</v>
      </c>
      <c r="CD151" s="487">
        <v>-128187.72562500001</v>
      </c>
      <c r="CE151" s="481">
        <v>-129265.85062500001</v>
      </c>
      <c r="CF151" s="481">
        <v>-130343.97562500001</v>
      </c>
      <c r="CG151" s="481">
        <v>-131422.10062500002</v>
      </c>
      <c r="CH151" s="486">
        <v>-519219.65250000003</v>
      </c>
      <c r="CI151" s="487">
        <v>-132661.94437499999</v>
      </c>
      <c r="CJ151" s="481">
        <v>-134063.50687499999</v>
      </c>
      <c r="CK151" s="481">
        <v>-135465.06937500002</v>
      </c>
      <c r="CL151" s="481">
        <v>-136866.63187499999</v>
      </c>
      <c r="CM151" s="486">
        <v>-539057.15250000008</v>
      </c>
      <c r="CN151" s="487">
        <v>-138268.19437500002</v>
      </c>
      <c r="CO151" s="481">
        <v>-139669.75687499999</v>
      </c>
      <c r="CP151" s="481">
        <v>-141071.31937499999</v>
      </c>
      <c r="CQ151" s="481">
        <v>-142472.88187500002</v>
      </c>
      <c r="CR151" s="486">
        <v>-561482.15249999997</v>
      </c>
      <c r="CS151" s="487">
        <v>-138268.19437500002</v>
      </c>
      <c r="CT151" s="481">
        <v>-139669.75687499999</v>
      </c>
      <c r="CU151" s="481">
        <v>-141071.31937499999</v>
      </c>
      <c r="CV151" s="481">
        <v>-142472.88187500002</v>
      </c>
      <c r="CW151" s="486">
        <v>-561482.15249999997</v>
      </c>
      <c r="CX151" s="487">
        <v>-138268.19437500002</v>
      </c>
      <c r="CY151" s="481">
        <v>-139669.75687499999</v>
      </c>
      <c r="CZ151" s="481">
        <v>-141071.31937499999</v>
      </c>
      <c r="DA151" s="481">
        <v>-142472.88187500002</v>
      </c>
      <c r="DB151" s="486">
        <v>-561482.15249999997</v>
      </c>
      <c r="DC151" s="481"/>
      <c r="DD151" s="481"/>
      <c r="DE151" s="481"/>
      <c r="DF151" s="481"/>
      <c r="DG151" s="481"/>
      <c r="DH151" s="481"/>
      <c r="DI151" s="481"/>
      <c r="DJ151" s="481"/>
      <c r="DK151" s="408"/>
      <c r="DL151" s="408"/>
      <c r="DM151" s="62"/>
    </row>
    <row r="152" spans="1:117" outlineLevel="1">
      <c r="A152" s="28"/>
      <c r="B152" s="212"/>
      <c r="C152" s="176"/>
      <c r="D152" s="176"/>
      <c r="E152" s="176"/>
      <c r="F152" s="213"/>
      <c r="G152" s="237"/>
      <c r="H152" s="238"/>
      <c r="I152" s="238"/>
      <c r="J152" s="238"/>
      <c r="K152" s="239"/>
      <c r="L152" s="237"/>
      <c r="M152" s="238"/>
      <c r="N152" s="238"/>
      <c r="O152" s="238"/>
      <c r="P152" s="239"/>
      <c r="Q152" s="237"/>
      <c r="R152" s="238"/>
      <c r="S152" s="238"/>
      <c r="T152" s="238"/>
      <c r="U152" s="239"/>
      <c r="V152" s="237"/>
      <c r="W152" s="238"/>
      <c r="X152" s="238"/>
      <c r="Y152" s="238"/>
      <c r="Z152" s="239"/>
      <c r="AA152" s="237"/>
      <c r="AB152" s="238"/>
      <c r="AC152" s="238"/>
      <c r="AD152" s="238"/>
      <c r="AE152" s="239"/>
      <c r="AF152" s="237"/>
      <c r="AG152" s="238"/>
      <c r="AH152" s="238"/>
      <c r="AI152" s="238"/>
      <c r="AJ152" s="239"/>
      <c r="AK152" s="237"/>
      <c r="AL152" s="238"/>
      <c r="AM152" s="238"/>
      <c r="AN152" s="238"/>
      <c r="AO152" s="239"/>
      <c r="AP152" s="237"/>
      <c r="AQ152" s="238"/>
      <c r="AR152" s="238"/>
      <c r="AS152" s="238"/>
      <c r="AT152" s="239"/>
      <c r="AU152" s="237"/>
      <c r="AV152" s="238"/>
      <c r="AW152" s="238"/>
      <c r="AX152" s="238"/>
      <c r="AY152" s="239"/>
      <c r="AZ152" s="237"/>
      <c r="BA152" s="238"/>
      <c r="BB152" s="238"/>
      <c r="BC152" s="238"/>
      <c r="BD152" s="239"/>
      <c r="BE152" s="237"/>
      <c r="BF152" s="238"/>
      <c r="BG152" s="238"/>
      <c r="BH152" s="238"/>
      <c r="BI152" s="239"/>
      <c r="BJ152" s="237"/>
      <c r="BK152" s="238"/>
      <c r="BL152" s="238"/>
      <c r="BM152" s="238"/>
      <c r="BN152" s="239"/>
      <c r="BO152" s="237"/>
      <c r="BP152" s="238"/>
      <c r="BQ152" s="238"/>
      <c r="BR152" s="238"/>
      <c r="BS152" s="239"/>
      <c r="BT152" s="237"/>
      <c r="BU152" s="238"/>
      <c r="BV152" s="238"/>
      <c r="BW152" s="238"/>
      <c r="BX152" s="239"/>
      <c r="BY152" s="237"/>
      <c r="BZ152" s="238"/>
      <c r="CA152" s="238"/>
      <c r="CB152" s="238"/>
      <c r="CC152" s="239"/>
      <c r="CD152" s="237"/>
      <c r="CE152" s="238"/>
      <c r="CF152" s="238"/>
      <c r="CG152" s="238"/>
      <c r="CH152" s="239"/>
      <c r="CI152" s="237"/>
      <c r="CJ152" s="238"/>
      <c r="CK152" s="238"/>
      <c r="CL152" s="238"/>
      <c r="CM152" s="239"/>
      <c r="CN152" s="237"/>
      <c r="CO152" s="238"/>
      <c r="CP152" s="238"/>
      <c r="CQ152" s="238"/>
      <c r="CR152" s="239"/>
      <c r="CS152" s="237"/>
      <c r="CT152" s="238"/>
      <c r="CU152" s="238"/>
      <c r="CV152" s="238"/>
      <c r="CW152" s="239"/>
      <c r="CX152" s="237"/>
      <c r="CY152" s="238"/>
      <c r="CZ152" s="238"/>
      <c r="DA152" s="238"/>
      <c r="DB152" s="239"/>
      <c r="DC152" s="238"/>
      <c r="DD152" s="238"/>
      <c r="DE152" s="238"/>
      <c r="DF152" s="238"/>
      <c r="DG152" s="238"/>
      <c r="DH152" s="238"/>
      <c r="DI152" s="238"/>
      <c r="DJ152" s="238"/>
      <c r="DK152" s="66"/>
      <c r="DL152" s="66"/>
      <c r="DM152" s="62"/>
    </row>
    <row r="153" spans="1:117" outlineLevel="1">
      <c r="A153" s="36" t="s">
        <v>313</v>
      </c>
      <c r="B153" s="212"/>
      <c r="C153" s="38"/>
      <c r="D153" s="38"/>
      <c r="E153" s="38"/>
      <c r="F153" s="213"/>
      <c r="G153" s="37"/>
      <c r="H153" s="38"/>
      <c r="I153" s="38"/>
      <c r="J153" s="38"/>
      <c r="K153" s="133"/>
      <c r="L153" s="37"/>
      <c r="M153" s="38"/>
      <c r="N153" s="38"/>
      <c r="O153" s="38"/>
      <c r="P153" s="133"/>
      <c r="Q153" s="37"/>
      <c r="R153" s="38"/>
      <c r="S153" s="38"/>
      <c r="T153" s="38"/>
      <c r="U153" s="133"/>
      <c r="V153" s="37"/>
      <c r="W153" s="38"/>
      <c r="X153" s="38"/>
      <c r="Y153" s="38"/>
      <c r="Z153" s="133"/>
      <c r="AA153" s="94"/>
      <c r="AB153" s="48"/>
      <c r="AC153" s="48"/>
      <c r="AD153" s="48"/>
      <c r="AE153" s="104"/>
      <c r="AF153" s="94">
        <f t="shared" ref="AF153:AJ154" si="325">AF142-AF149</f>
        <v>1696868.5</v>
      </c>
      <c r="AG153" s="48">
        <f t="shared" si="325"/>
        <v>1515558.5</v>
      </c>
      <c r="AH153" s="48">
        <f>AH142-AH149</f>
        <v>1513798</v>
      </c>
      <c r="AI153" s="48">
        <f>AI142-AI149</f>
        <v>1575609.5</v>
      </c>
      <c r="AJ153" s="104">
        <f t="shared" si="325"/>
        <v>1757773.5</v>
      </c>
      <c r="AK153" s="94">
        <f t="shared" ref="AK153:AO154" si="326">AK142-AK149</f>
        <v>1573905</v>
      </c>
      <c r="AL153" s="48">
        <f t="shared" si="326"/>
        <v>1318323</v>
      </c>
      <c r="AM153" s="48">
        <f t="shared" si="326"/>
        <v>1651505</v>
      </c>
      <c r="AN153" s="48">
        <f t="shared" si="326"/>
        <v>1763564</v>
      </c>
      <c r="AO153" s="104">
        <f t="shared" si="326"/>
        <v>1748785.5</v>
      </c>
      <c r="AP153" s="94">
        <f>AP142-AP149</f>
        <v>1997758</v>
      </c>
      <c r="AQ153" s="48">
        <f>AQ142-AQ149</f>
        <v>2075011.5</v>
      </c>
      <c r="AR153" s="48">
        <f>AR142-AR149</f>
        <v>2340040.5</v>
      </c>
      <c r="AS153" s="48">
        <f>AS142-AS149</f>
        <v>2462158.5</v>
      </c>
      <c r="AT153" s="104">
        <f>AT142-AT149</f>
        <v>2195707</v>
      </c>
      <c r="AU153" s="94">
        <f t="shared" ref="AU153:BB153" si="327">AU142-AU149</f>
        <v>2398925</v>
      </c>
      <c r="AV153" s="48">
        <f t="shared" si="327"/>
        <v>2326429</v>
      </c>
      <c r="AW153" s="48">
        <f t="shared" si="327"/>
        <v>2033690.5</v>
      </c>
      <c r="AX153" s="48">
        <f t="shared" si="327"/>
        <v>2253288</v>
      </c>
      <c r="AY153" s="104">
        <f t="shared" si="327"/>
        <v>2404847</v>
      </c>
      <c r="AZ153" s="94">
        <f t="shared" si="327"/>
        <v>2339633</v>
      </c>
      <c r="BA153" s="48">
        <f t="shared" si="327"/>
        <v>1158579.5</v>
      </c>
      <c r="BB153" s="48">
        <f t="shared" si="327"/>
        <v>1132227</v>
      </c>
      <c r="BC153" s="48">
        <f t="shared" ref="BC153:CH154" si="328">BC142-BC149</f>
        <v>1157755</v>
      </c>
      <c r="BD153" s="104">
        <f t="shared" si="328"/>
        <v>1717563</v>
      </c>
      <c r="BE153" s="94">
        <f t="shared" si="328"/>
        <v>1157328</v>
      </c>
      <c r="BF153" s="48">
        <f t="shared" si="328"/>
        <v>1152767</v>
      </c>
      <c r="BG153" s="48">
        <f t="shared" si="328"/>
        <v>1389790.5</v>
      </c>
      <c r="BH153" s="48">
        <f t="shared" si="328"/>
        <v>1631211.5</v>
      </c>
      <c r="BI153" s="104">
        <f t="shared" si="328"/>
        <v>1394410</v>
      </c>
      <c r="BJ153" s="94">
        <f t="shared" si="328"/>
        <v>1631241.5</v>
      </c>
      <c r="BK153" s="48">
        <f t="shared" si="328"/>
        <v>1631270</v>
      </c>
      <c r="BL153" s="48">
        <f>BL142-BL149</f>
        <v>1660107</v>
      </c>
      <c r="BM153" s="48">
        <f t="shared" si="328"/>
        <v>1642451.5</v>
      </c>
      <c r="BN153" s="104">
        <f t="shared" si="328"/>
        <v>1613643</v>
      </c>
      <c r="BO153" s="94">
        <f>BO142-BO149</f>
        <v>1633032</v>
      </c>
      <c r="BP153" s="48">
        <f>BP142-BP149</f>
        <v>1518537.5</v>
      </c>
      <c r="BQ153" s="48">
        <f t="shared" si="328"/>
        <v>1420276</v>
      </c>
      <c r="BR153" s="48">
        <f t="shared" si="328"/>
        <v>1081144</v>
      </c>
      <c r="BS153" s="104">
        <f t="shared" si="328"/>
        <v>1232530.5</v>
      </c>
      <c r="BT153" s="94">
        <f t="shared" si="328"/>
        <v>945413.30750000104</v>
      </c>
      <c r="BU153" s="48">
        <f t="shared" si="328"/>
        <v>1098163.0140375011</v>
      </c>
      <c r="BV153" s="48">
        <f t="shared" si="328"/>
        <v>1250938.9691076875</v>
      </c>
      <c r="BW153" s="48">
        <f t="shared" si="328"/>
        <v>1403741.3039532267</v>
      </c>
      <c r="BX153" s="104">
        <f t="shared" si="328"/>
        <v>1174597.0413830392</v>
      </c>
      <c r="BY153" s="94">
        <f t="shared" si="328"/>
        <v>1565320.1504729912</v>
      </c>
      <c r="BZ153" s="48">
        <f t="shared" si="328"/>
        <v>1735675.6412253566</v>
      </c>
      <c r="CA153" s="48">
        <f t="shared" si="328"/>
        <v>1906057.9094314836</v>
      </c>
      <c r="CB153" s="48">
        <f t="shared" si="328"/>
        <v>2076467.0889786407</v>
      </c>
      <c r="CC153" s="104">
        <f t="shared" si="328"/>
        <v>1820913.7530655991</v>
      </c>
      <c r="CD153" s="94">
        <f t="shared" si="328"/>
        <v>2183153.3144235332</v>
      </c>
      <c r="CE153" s="48">
        <f t="shared" si="328"/>
        <v>2226116.7209956516</v>
      </c>
      <c r="CF153" s="48">
        <f t="shared" si="328"/>
        <v>2269107.4446006287</v>
      </c>
      <c r="CG153" s="48">
        <f t="shared" si="328"/>
        <v>2312125.6218236312</v>
      </c>
      <c r="CH153" s="104">
        <f t="shared" si="328"/>
        <v>2247660.0071602408</v>
      </c>
      <c r="CI153" s="94">
        <f t="shared" ref="CI153:CM154" si="329">CI142-CI149</f>
        <v>2311733.8899327498</v>
      </c>
      <c r="CJ153" s="48">
        <f t="shared" si="329"/>
        <v>2267932.3868824113</v>
      </c>
      <c r="CK153" s="48">
        <f t="shared" si="329"/>
        <v>2224158.7513168268</v>
      </c>
      <c r="CL153" s="48">
        <f t="shared" si="329"/>
        <v>2180413.1225734092</v>
      </c>
      <c r="CM153" s="104">
        <f t="shared" si="329"/>
        <v>2246094.4591616094</v>
      </c>
      <c r="CN153" s="94">
        <f t="shared" ref="CN153:CR154" si="330">CN142-CN149</f>
        <v>2133258.1406862773</v>
      </c>
      <c r="CO153" s="48">
        <f t="shared" si="330"/>
        <v>2082693.9463897087</v>
      </c>
      <c r="CP153" s="48">
        <f t="shared" si="330"/>
        <v>2032158.1811216567</v>
      </c>
      <c r="CQ153" s="48">
        <f t="shared" si="330"/>
        <v>1981650.9870272651</v>
      </c>
      <c r="CR153" s="104">
        <f t="shared" si="330"/>
        <v>2057475.9389768969</v>
      </c>
      <c r="CS153" s="94">
        <f t="shared" ref="CS153:DB153" si="331">CS142-CS149</f>
        <v>2126172.5069623999</v>
      </c>
      <c r="CT153" s="48">
        <f t="shared" si="331"/>
        <v>2270722.8844972141</v>
      </c>
      <c r="CU153" s="48">
        <f t="shared" si="331"/>
        <v>2220302.2639196999</v>
      </c>
      <c r="CV153" s="48">
        <f t="shared" si="331"/>
        <v>2169910.7902392969</v>
      </c>
      <c r="CW153" s="104">
        <f t="shared" si="331"/>
        <v>2050563.454440346</v>
      </c>
      <c r="CX153" s="94">
        <f t="shared" si="331"/>
        <v>2317986.1091904938</v>
      </c>
      <c r="CY153" s="48">
        <f t="shared" si="331"/>
        <v>2469528.3672364466</v>
      </c>
      <c r="CZ153" s="48">
        <f t="shared" si="331"/>
        <v>2426100.2115726285</v>
      </c>
      <c r="DA153" s="48">
        <f t="shared" si="331"/>
        <v>2382701.7901304923</v>
      </c>
      <c r="DB153" s="104">
        <f t="shared" si="331"/>
        <v>2252866.1948985718</v>
      </c>
      <c r="DC153" s="48"/>
      <c r="DD153" s="48"/>
      <c r="DE153" s="48"/>
      <c r="DF153" s="48"/>
      <c r="DG153" s="48"/>
      <c r="DH153" s="48"/>
      <c r="DI153" s="48"/>
      <c r="DJ153" s="48"/>
      <c r="DK153" s="99"/>
      <c r="DL153" s="99"/>
      <c r="DM153" s="62"/>
    </row>
    <row r="154" spans="1:117" outlineLevel="1">
      <c r="A154" s="36" t="s">
        <v>314</v>
      </c>
      <c r="B154" s="212"/>
      <c r="C154" s="176"/>
      <c r="D154" s="176"/>
      <c r="E154" s="176"/>
      <c r="F154" s="213"/>
      <c r="G154" s="37"/>
      <c r="H154" s="38"/>
      <c r="I154" s="38"/>
      <c r="J154" s="38"/>
      <c r="K154" s="133"/>
      <c r="L154" s="37"/>
      <c r="M154" s="38"/>
      <c r="N154" s="38"/>
      <c r="O154" s="38"/>
      <c r="P154" s="133"/>
      <c r="Q154" s="37"/>
      <c r="R154" s="38"/>
      <c r="S154" s="38"/>
      <c r="T154" s="38"/>
      <c r="U154" s="133"/>
      <c r="V154" s="37"/>
      <c r="W154" s="38"/>
      <c r="X154" s="38"/>
      <c r="Y154" s="38"/>
      <c r="Z154" s="133"/>
      <c r="AA154" s="94"/>
      <c r="AB154" s="48"/>
      <c r="AC154" s="48"/>
      <c r="AD154" s="48"/>
      <c r="AE154" s="104"/>
      <c r="AF154" s="94">
        <f t="shared" si="325"/>
        <v>1602717.5</v>
      </c>
      <c r="AG154" s="48">
        <f t="shared" si="325"/>
        <v>1384433</v>
      </c>
      <c r="AH154" s="48">
        <f>AH143-AH150</f>
        <v>1440953.5</v>
      </c>
      <c r="AI154" s="48">
        <f>AI143-AI150</f>
        <v>1537795.5</v>
      </c>
      <c r="AJ154" s="104">
        <f t="shared" si="325"/>
        <v>1729581.5</v>
      </c>
      <c r="AK154" s="94">
        <f t="shared" si="326"/>
        <v>1432495.5</v>
      </c>
      <c r="AL154" s="48">
        <f t="shared" si="326"/>
        <v>1588839</v>
      </c>
      <c r="AM154" s="48">
        <f t="shared" si="326"/>
        <v>1618574</v>
      </c>
      <c r="AN154" s="48">
        <f t="shared" si="326"/>
        <v>1737870.5</v>
      </c>
      <c r="AO154" s="104">
        <f t="shared" si="326"/>
        <v>1718286.5</v>
      </c>
      <c r="AP154" s="94">
        <f t="shared" ref="AP154:CH154" si="332">AP143-AP150</f>
        <v>1965079</v>
      </c>
      <c r="AQ154" s="48">
        <f t="shared" si="332"/>
        <v>2404000.5</v>
      </c>
      <c r="AR154" s="48">
        <f t="shared" si="332"/>
        <v>2321069.5</v>
      </c>
      <c r="AS154" s="48">
        <f t="shared" si="332"/>
        <v>2431298</v>
      </c>
      <c r="AT154" s="104">
        <f t="shared" si="332"/>
        <v>2157004</v>
      </c>
      <c r="AU154" s="94">
        <f t="shared" ref="AU154:BB154" si="333">AU143-AU150</f>
        <v>2338141</v>
      </c>
      <c r="AV154" s="48">
        <f t="shared" si="333"/>
        <v>2055356</v>
      </c>
      <c r="AW154" s="48">
        <f t="shared" si="333"/>
        <v>1936585</v>
      </c>
      <c r="AX154" s="48">
        <f t="shared" si="333"/>
        <v>2217649.5</v>
      </c>
      <c r="AY154" s="104">
        <f t="shared" si="333"/>
        <v>2374183.5</v>
      </c>
      <c r="AZ154" s="94">
        <f t="shared" si="333"/>
        <v>2252017.5</v>
      </c>
      <c r="BA154" s="48">
        <f t="shared" si="333"/>
        <v>1070893.5</v>
      </c>
      <c r="BB154" s="48">
        <f t="shared" si="333"/>
        <v>1265775</v>
      </c>
      <c r="BC154" s="48">
        <f>BC143-BC150</f>
        <v>1043927</v>
      </c>
      <c r="BD154" s="104">
        <f>BD143-BD150</f>
        <v>1645030.5</v>
      </c>
      <c r="BE154" s="94">
        <f t="shared" si="332"/>
        <v>1017747</v>
      </c>
      <c r="BF154" s="48">
        <f>BF143-BF150</f>
        <v>991793</v>
      </c>
      <c r="BG154" s="48">
        <f t="shared" si="332"/>
        <v>1287702.5</v>
      </c>
      <c r="BH154" s="48">
        <f t="shared" si="328"/>
        <v>1569387.5</v>
      </c>
      <c r="BI154" s="104">
        <f t="shared" si="328"/>
        <v>1282999</v>
      </c>
      <c r="BJ154" s="94">
        <f t="shared" si="332"/>
        <v>1521303</v>
      </c>
      <c r="BK154" s="48">
        <f t="shared" si="328"/>
        <v>1479047</v>
      </c>
      <c r="BL154" s="48">
        <f>BL143-BL150</f>
        <v>1462185.1899437234</v>
      </c>
      <c r="BM154" s="48">
        <f t="shared" si="332"/>
        <v>1425126.4449402103</v>
      </c>
      <c r="BN154" s="104">
        <f t="shared" si="332"/>
        <v>1459415.2549964869</v>
      </c>
      <c r="BO154" s="94">
        <f>BO143-BO150</f>
        <v>1383486.6751770861</v>
      </c>
      <c r="BP154" s="48">
        <f>BP143-BP150</f>
        <v>1244364.0783691993</v>
      </c>
      <c r="BQ154" s="48">
        <f t="shared" si="332"/>
        <v>1256395.6246801773</v>
      </c>
      <c r="BR154" s="48">
        <f t="shared" si="332"/>
        <v>1078004.2359159933</v>
      </c>
      <c r="BS154" s="104">
        <f t="shared" si="332"/>
        <v>1121761.0244209012</v>
      </c>
      <c r="BT154" s="94">
        <f t="shared" si="332"/>
        <v>487999.22901043575</v>
      </c>
      <c r="BU154" s="48">
        <f t="shared" si="332"/>
        <v>280648.66599644162</v>
      </c>
      <c r="BV154" s="48">
        <f t="shared" si="332"/>
        <v>630583.24423964508</v>
      </c>
      <c r="BW154" s="48">
        <f t="shared" si="332"/>
        <v>1000142.6622863878</v>
      </c>
      <c r="BX154" s="104">
        <f t="shared" si="332"/>
        <v>1025630.393881578</v>
      </c>
      <c r="BY154" s="94">
        <f t="shared" si="332"/>
        <v>1291362.8200140279</v>
      </c>
      <c r="BZ154" s="48">
        <f t="shared" si="332"/>
        <v>1501261.325149959</v>
      </c>
      <c r="CA154" s="48">
        <f t="shared" si="332"/>
        <v>1738430.2469024006</v>
      </c>
      <c r="CB154" s="48">
        <f t="shared" si="332"/>
        <v>2009011.5520127974</v>
      </c>
      <c r="CC154" s="104">
        <f t="shared" si="332"/>
        <v>1668319.0591606535</v>
      </c>
      <c r="CD154" s="94">
        <f t="shared" si="332"/>
        <v>2165648.7789644245</v>
      </c>
      <c r="CE154" s="48">
        <f t="shared" si="332"/>
        <v>2199959.6511665341</v>
      </c>
      <c r="CF154" s="48">
        <f t="shared" si="332"/>
        <v>2254248.9585343488</v>
      </c>
      <c r="CG154" s="48">
        <f t="shared" si="332"/>
        <v>2315223.2421175055</v>
      </c>
      <c r="CH154" s="104">
        <f t="shared" si="332"/>
        <v>2244084.0251922458</v>
      </c>
      <c r="CI154" s="94">
        <f t="shared" si="329"/>
        <v>2305791.8408918474</v>
      </c>
      <c r="CJ154" s="48">
        <f t="shared" si="329"/>
        <v>2233066.7987602539</v>
      </c>
      <c r="CK154" s="48">
        <f t="shared" si="329"/>
        <v>2176198.6790439449</v>
      </c>
      <c r="CL154" s="48">
        <f t="shared" si="329"/>
        <v>2118606.8965436891</v>
      </c>
      <c r="CM154" s="104">
        <f t="shared" si="329"/>
        <v>2209052.3563456684</v>
      </c>
      <c r="CN154" s="94">
        <f t="shared" si="330"/>
        <v>2054596.7005764488</v>
      </c>
      <c r="CO154" s="48">
        <f t="shared" si="330"/>
        <v>1999936.2842622008</v>
      </c>
      <c r="CP154" s="48">
        <f t="shared" si="330"/>
        <v>1958666.4655184504</v>
      </c>
      <c r="CQ154" s="48">
        <f t="shared" si="330"/>
        <v>1906065.7071456742</v>
      </c>
      <c r="CR154" s="104">
        <f t="shared" si="330"/>
        <v>1971474.3570268005</v>
      </c>
      <c r="CS154" s="94">
        <f t="shared" ref="CS154:DB154" si="334">CS143-CS150</f>
        <v>2048830.650319567</v>
      </c>
      <c r="CT154" s="48">
        <f t="shared" si="334"/>
        <v>2213622.2953574322</v>
      </c>
      <c r="CU154" s="48">
        <f t="shared" si="334"/>
        <v>2193684.5664634835</v>
      </c>
      <c r="CV154" s="48">
        <f t="shared" si="334"/>
        <v>2154013.048019683</v>
      </c>
      <c r="CW154" s="104">
        <f t="shared" si="334"/>
        <v>1989333.3089338429</v>
      </c>
      <c r="CX154" s="94">
        <f t="shared" si="334"/>
        <v>2303083.9658900332</v>
      </c>
      <c r="CY154" s="48">
        <f t="shared" si="334"/>
        <v>2475715.6496176291</v>
      </c>
      <c r="CZ154" s="48">
        <f t="shared" si="334"/>
        <v>2463281.7898120619</v>
      </c>
      <c r="DA154" s="48">
        <f t="shared" si="334"/>
        <v>2427660.2393508088</v>
      </c>
      <c r="DB154" s="104">
        <f t="shared" si="334"/>
        <v>2251463.5687942524</v>
      </c>
      <c r="DC154" s="48"/>
      <c r="DD154" s="48"/>
      <c r="DE154" s="48"/>
      <c r="DF154" s="48"/>
      <c r="DG154" s="48"/>
      <c r="DH154" s="48"/>
      <c r="DI154" s="48"/>
      <c r="DJ154" s="48"/>
      <c r="DK154" s="99"/>
      <c r="DL154" s="99"/>
      <c r="DM154" s="62"/>
    </row>
    <row r="155" spans="1:117" outlineLevel="1">
      <c r="A155" s="36" t="s">
        <v>249</v>
      </c>
      <c r="B155" s="212"/>
      <c r="C155" s="176"/>
      <c r="D155" s="176"/>
      <c r="E155" s="176"/>
      <c r="F155" s="213"/>
      <c r="G155" s="237"/>
      <c r="H155" s="238"/>
      <c r="I155" s="238"/>
      <c r="J155" s="238"/>
      <c r="K155" s="239"/>
      <c r="L155" s="237"/>
      <c r="M155" s="238"/>
      <c r="N155" s="238"/>
      <c r="O155" s="238"/>
      <c r="P155" s="239"/>
      <c r="Q155" s="237"/>
      <c r="R155" s="238"/>
      <c r="S155" s="238"/>
      <c r="T155" s="238"/>
      <c r="U155" s="239"/>
      <c r="V155" s="237"/>
      <c r="W155" s="238"/>
      <c r="X155" s="238"/>
      <c r="Y155" s="238"/>
      <c r="Z155" s="239"/>
      <c r="AA155" s="248"/>
      <c r="AB155" s="248"/>
      <c r="AC155" s="248"/>
      <c r="AD155" s="248"/>
      <c r="AE155" s="249"/>
      <c r="AF155" s="248">
        <f>AF154/(AF154+((AD136+AF136)/2))</f>
        <v>0.41130513467549029</v>
      </c>
      <c r="AG155" s="248">
        <f>AG154/(AG154+((AF136+AG136)/2))</f>
        <v>0.36737991442512941</v>
      </c>
      <c r="AH155" s="248">
        <f>AH154/(AH154+((AG136+AH136)/2))</f>
        <v>0.3750717598422097</v>
      </c>
      <c r="AI155" s="248">
        <f>AI154/(AI154+((AH136+AI136)/2))</f>
        <v>0.38741780290533973</v>
      </c>
      <c r="AJ155" s="249">
        <f>AJ154/(AJ154+((AE136+AJ136)/2))</f>
        <v>0.42626882629408824</v>
      </c>
      <c r="AK155" s="248">
        <f>AK154/(AK154+((AI136+AK136)/2))</f>
        <v>0.36670955411306055</v>
      </c>
      <c r="AL155" s="248">
        <f>AL154/(AL154+((AK136+AL136)/2))</f>
        <v>0.40255104891136151</v>
      </c>
      <c r="AM155" s="248">
        <f>AM154/(AM154+((AL136+AM136)/2))</f>
        <v>0.42369954596720477</v>
      </c>
      <c r="AN155" s="248">
        <f>AN154/(AN154+((AM136+AN136)/2))</f>
        <v>0.43995195609671262</v>
      </c>
      <c r="AO155" s="249">
        <f>AO154/(AO154+((AJ136+AO136)/2))</f>
        <v>0.42302692260205821</v>
      </c>
      <c r="AP155" s="248">
        <f>AP154/(AP154+((AN136+AP136)/2))</f>
        <v>0.46649407475450994</v>
      </c>
      <c r="AQ155" s="248">
        <f>AQ154/(AQ154+((AP136+AQ136)/2))</f>
        <v>0.52525259477240493</v>
      </c>
      <c r="AR155" s="248">
        <f>AR154/(AR154+((AQ136+AR136)/2))</f>
        <v>0.52767259816411349</v>
      </c>
      <c r="AS155" s="248">
        <f>AS154/(AS154+((AR136+AS136)/2))</f>
        <v>0.53683415524837896</v>
      </c>
      <c r="AT155" s="249">
        <f>AT154/(AT154+((AO136+AT136)/2))</f>
        <v>0.49688016502748733</v>
      </c>
      <c r="AU155" s="248"/>
      <c r="AV155" s="248"/>
      <c r="AW155" s="248"/>
      <c r="AX155" s="248"/>
      <c r="AY155" s="249"/>
      <c r="AZ155" s="248"/>
      <c r="BA155" s="248"/>
      <c r="BB155" s="248"/>
      <c r="BC155" s="248"/>
      <c r="BD155" s="249"/>
      <c r="BE155" s="248">
        <f>BE154/(BE154+((BC136+BE136)/2))</f>
        <v>0.64459917403658973</v>
      </c>
      <c r="BF155" s="248">
        <f>BF154/(BF154+((BE136+BF136)/2))</f>
        <v>0.65437845484308133</v>
      </c>
      <c r="BG155" s="248">
        <f>BG154/(BG154+((BF136+BG136)/2))</f>
        <v>0.73428066779096102</v>
      </c>
      <c r="BH155" s="248">
        <f>BH154/(BH154+((BG136+BH136)/2))</f>
        <v>0.80708117288434567</v>
      </c>
      <c r="BI155" s="249">
        <f>BI154/(BI154+((BD136+BI136)/2))</f>
        <v>0.73441996662193165</v>
      </c>
      <c r="BJ155" s="248">
        <f>BJ154/(BJ154+((BH136+BJ136)/2))</f>
        <v>0.83011285321878858</v>
      </c>
      <c r="BK155" s="248">
        <f>BK154/(BK154+((BJ136+BK136)/2))</f>
        <v>0.84943850682759736</v>
      </c>
      <c r="BL155" s="248">
        <f>BL154/(BL154+((BK136+BL136)/2))</f>
        <v>0.86619898161317355</v>
      </c>
      <c r="BM155" s="248">
        <f>BM154/(BM154+((BL136+BM136)/2))</f>
        <v>0.87611294471314605</v>
      </c>
      <c r="BN155" s="249">
        <f>BN154/(BN154+((BI136+BN136)/2))</f>
        <v>0.84766595942097778</v>
      </c>
      <c r="BO155" s="248">
        <f>BO154/(BO154+((BM136+BO136)/2))</f>
        <v>0.86627627402105922</v>
      </c>
      <c r="BP155" s="248">
        <f>BP154/(BP154+((BN136+BP136)/2))</f>
        <v>0.30781204574426319</v>
      </c>
      <c r="BQ155" s="248">
        <f>BQ154/(BQ154+((BP136+BQ136)/2))</f>
        <v>0.18921573479353943</v>
      </c>
      <c r="BR155" s="248">
        <f>BR154/(BR154+((BQ136+BR136)/2))</f>
        <v>0.16529534881248895</v>
      </c>
      <c r="BS155" s="249">
        <f>BS154/(BS154+((BN136+BS136)/2))</f>
        <v>0.28184475727117114</v>
      </c>
      <c r="BT155" s="248">
        <f>BT154/(BT154+((BR136+BT136)/2))</f>
        <v>7.4781976713195308E-2</v>
      </c>
      <c r="BU155" s="248">
        <f>BU154/(BU154+((BT136+BU136)/2))</f>
        <v>4.1262855472592487E-2</v>
      </c>
      <c r="BV155" s="248">
        <f>BV154/(BV154+((BU136+BV136)/2))</f>
        <v>8.8961843505350385E-2</v>
      </c>
      <c r="BW155" s="248">
        <f>BW154/(BW154+((BV136+BW136)/2))</f>
        <v>0.13548793442101673</v>
      </c>
      <c r="BX155" s="249">
        <f>BX154/(BX154+((BS136+BX136)/2))</f>
        <v>0.14734615031546847</v>
      </c>
      <c r="BY155" s="248">
        <f>BY154/(BY154+((BW136+BY136)/2))</f>
        <v>0.16957150240916091</v>
      </c>
      <c r="BZ155" s="248">
        <f>BZ154/(BZ154+((BY136+BZ136)/2))</f>
        <v>0.19294671403963112</v>
      </c>
      <c r="CA155" s="248">
        <f>CA154/(CA154+((BZ136+CA136)/2))</f>
        <v>0.21861446470157517</v>
      </c>
      <c r="CB155" s="248">
        <f>CB154/(CB154+((CA136+CB136)/2))</f>
        <v>0.24678133944316083</v>
      </c>
      <c r="CC155" s="249">
        <f>CC154/(CC154+((BX136+CC136)/2))</f>
        <v>0.21160384895579673</v>
      </c>
      <c r="CD155" s="248">
        <f>CD154/(CD154+((CB136+CD136)/2))</f>
        <v>0.26338903828380961</v>
      </c>
      <c r="CE155" s="248">
        <f>CE154/(CE154+((CD136+CE136)/2))</f>
        <v>0.26871494654980799</v>
      </c>
      <c r="CF155" s="248">
        <f>CF154/(CF154+((CE136+CF136)/2))</f>
        <v>0.27633306028510257</v>
      </c>
      <c r="CG155" s="248">
        <f>CG154/(CG154+((CF136+CG136)/2))</f>
        <v>0.28453716223035941</v>
      </c>
      <c r="CH155" s="249">
        <f>CH154/(CH154+((CC136+CH136)/2))</f>
        <v>0.27426949361092157</v>
      </c>
      <c r="CI155" s="248">
        <f>CI154/(CI154+((CG136+CI136)/2))</f>
        <v>0.2863441417741962</v>
      </c>
      <c r="CJ155" s="248">
        <f>CJ154/(CJ154+((CI136+CJ136)/2))</f>
        <v>0.2826397037834863</v>
      </c>
      <c r="CK155" s="248">
        <f>CK154/(CK154+((CJ136+CK136)/2))</f>
        <v>0.28066126707032912</v>
      </c>
      <c r="CL155" s="248">
        <f>CL154/(CL154+((CK136+CL136)/2))</f>
        <v>0.27827989066221109</v>
      </c>
      <c r="CM155" s="249">
        <f>CM154/(CM154+((CH136+CM136)/2))</f>
        <v>0.28200167821390493</v>
      </c>
      <c r="CN155" s="248">
        <f>CN154/(CN154+((CL136+CN136)/2))</f>
        <v>0.27521261920049001</v>
      </c>
      <c r="CO155" s="248">
        <f>CO154/(CO154+((CN136+CO136)/2))</f>
        <v>0.27359737105945137</v>
      </c>
      <c r="CP155" s="248">
        <f>CP154/(CP154+((CO136+CP136)/2))</f>
        <v>0.27357421918380354</v>
      </c>
      <c r="CQ155" s="248">
        <f>CQ154/(CQ154+((CP136+CQ136)/2))</f>
        <v>0.27177314235136713</v>
      </c>
      <c r="CR155" s="249">
        <f>CR154/(CR154+((CM136+CR136)/2))</f>
        <v>0.27232962212758821</v>
      </c>
      <c r="CS155" s="248">
        <f>CS154/(CS154+((CQ136+CS136)/2))</f>
        <v>0.29011102614479467</v>
      </c>
      <c r="CT155" s="248">
        <f>CT154/(CT154+((CS136+CT136)/2))</f>
        <v>0.31137241026451301</v>
      </c>
      <c r="CU155" s="248">
        <f>CU154/(CU154+((CT136+CU136)/2))</f>
        <v>0.31501376062605868</v>
      </c>
      <c r="CV155" s="248">
        <f>CV154/(CV154+((CU136+CV136)/2))</f>
        <v>0.31577471126014689</v>
      </c>
      <c r="CW155" s="249">
        <f>CW154/(CW154+((CR136+CW136)/2))</f>
        <v>0.29074953803656406</v>
      </c>
      <c r="CX155" s="248">
        <f>CX154/(CX154+((CV136+CX136)/2))</f>
        <v>0.33522153901296459</v>
      </c>
      <c r="CY155" s="248">
        <f>CY154/(CY154+((CX136+CY136)/2))</f>
        <v>0.35801620653619082</v>
      </c>
      <c r="CZ155" s="248">
        <f>CZ154/(CZ154+((CY136+CZ136)/2))</f>
        <v>0.36399870740905615</v>
      </c>
      <c r="DA155" s="248">
        <f>DA154/(DA154+((CZ136+DA136)/2))</f>
        <v>0.36659171864940454</v>
      </c>
      <c r="DB155" s="249">
        <f>DB154/(DB154+((CW136+DB136)/2))</f>
        <v>0.33874884815113382</v>
      </c>
      <c r="DC155" s="248"/>
      <c r="DD155" s="248"/>
      <c r="DE155" s="248"/>
      <c r="DF155" s="248"/>
      <c r="DG155" s="248"/>
      <c r="DH155" s="248"/>
      <c r="DI155" s="248"/>
      <c r="DJ155" s="248"/>
      <c r="DK155" s="396"/>
      <c r="DL155" s="396"/>
      <c r="DM155" s="62"/>
    </row>
    <row r="156" spans="1:117" outlineLevel="1">
      <c r="A156" s="36" t="s">
        <v>758</v>
      </c>
      <c r="B156" s="212"/>
      <c r="C156" s="176"/>
      <c r="D156" s="176"/>
      <c r="E156" s="176"/>
      <c r="F156" s="213"/>
      <c r="G156" s="237"/>
      <c r="H156" s="238"/>
      <c r="I156" s="238"/>
      <c r="J156" s="238"/>
      <c r="K156" s="239"/>
      <c r="L156" s="237"/>
      <c r="M156" s="238"/>
      <c r="N156" s="238"/>
      <c r="O156" s="238"/>
      <c r="P156" s="239"/>
      <c r="Q156" s="237"/>
      <c r="R156" s="238"/>
      <c r="S156" s="238"/>
      <c r="T156" s="238"/>
      <c r="U156" s="239"/>
      <c r="V156" s="237"/>
      <c r="W156" s="238"/>
      <c r="X156" s="238"/>
      <c r="Y156" s="238"/>
      <c r="Z156" s="239"/>
      <c r="AA156" s="250"/>
      <c r="AB156" s="250"/>
      <c r="AC156" s="250"/>
      <c r="AD156" s="250"/>
      <c r="AE156" s="251"/>
      <c r="AF156" s="250">
        <f>AF153/((AF36-((AF304+AF302)*0.55))*4)</f>
        <v>1.2245054728884159</v>
      </c>
      <c r="AG156" s="250">
        <f>AG153/((AG36-((AG304+AG302)*0.55))*4)</f>
        <v>2.2214474043707839</v>
      </c>
      <c r="AH156" s="250">
        <f>AH153/((AH36-((AH304+AH302)*0.55))*4)</f>
        <v>2.1764030327636936</v>
      </c>
      <c r="AI156" s="250">
        <f>AI153/((AI36-((AI304+AI302)*0.55))*4)</f>
        <v>1.6697733632271408</v>
      </c>
      <c r="AJ156" s="251">
        <f>AJ153/(AJ36-((AJ304+AJ302)*0.55))</f>
        <v>1.8966282118366471</v>
      </c>
      <c r="AK156" s="250">
        <f>AK153/((AK36-((AK304+AK302)*0.55))*4)</f>
        <v>1.2273773449274206</v>
      </c>
      <c r="AL156" s="250">
        <f>AL153/((AL36-((AL304+AL302)*0.55))*4)</f>
        <v>1.7326334228001277</v>
      </c>
      <c r="AM156" s="250">
        <f>AM153/((AM36-((AM304+AM302)*0.55))*4)</f>
        <v>2.0775738439088212</v>
      </c>
      <c r="AN156" s="250">
        <f>AN153/((AN36-((AN304+AN302)*0.55))*4)</f>
        <v>1.5924461107258436</v>
      </c>
      <c r="AO156" s="251">
        <f>AO153/(AO36-((AO304+AO302)*0.55))</f>
        <v>1.7729031885251012</v>
      </c>
      <c r="AP156" s="250">
        <f>AP153/((AP36-((AP304+AP302)*0.55))*4)</f>
        <v>1.7445291296556975</v>
      </c>
      <c r="AQ156" s="250">
        <f>AQ153/((AQ36-((AQ304+AQ302)*0.55))*4)</f>
        <v>2.6751835874851091</v>
      </c>
      <c r="AR156" s="250">
        <f>AR153/((AR36-((AR304+AR302)*0.55))*4)</f>
        <v>3.0928460273080365</v>
      </c>
      <c r="AS156" s="250">
        <f>AS153/((AS36-((AS304+AS302)*0.55))*4)</f>
        <v>2.3861607129877678</v>
      </c>
      <c r="AT156" s="251">
        <f>AT153/(AT36-((AT304+AT302)*0.55))</f>
        <v>2.3678144334744076</v>
      </c>
      <c r="AU156" s="250"/>
      <c r="AV156" s="250"/>
      <c r="AW156" s="250"/>
      <c r="AX156" s="250"/>
      <c r="AY156" s="251"/>
      <c r="AZ156" s="250"/>
      <c r="BA156" s="250"/>
      <c r="BB156" s="250"/>
      <c r="BC156" s="250"/>
      <c r="BD156" s="251"/>
      <c r="BE156" s="250">
        <f>BE153/((BE36-((BE304+BE302)*0.55))*4)</f>
        <v>1.9930660270456635</v>
      </c>
      <c r="BF156" s="250">
        <f>BF153/((BF36-((BF304+BF302)*0.55))*4)</f>
        <v>1.494321725996187</v>
      </c>
      <c r="BG156" s="250">
        <f>BG153/((BG36-((BG304+BG302)*0.55))*4)</f>
        <v>1.7401171488227274</v>
      </c>
      <c r="BH156" s="250">
        <f>BH153/((BH36-((BH304+BH302)*0.55))*4)</f>
        <v>1.8668548844142063</v>
      </c>
      <c r="BI156" s="251">
        <f>BI153/(BI36-((BI304+BI302)*0.55))</f>
        <v>1.8441159250779056</v>
      </c>
      <c r="BJ156" s="250">
        <f>BJ153/((BJ36-((BJ304+BJ302)*0.55))*4)</f>
        <v>1.9390442153121161</v>
      </c>
      <c r="BK156" s="250">
        <f>BK153/((BK36-((BK304+BK302)*0.55))*4)</f>
        <v>1.9072591761863797</v>
      </c>
      <c r="BL156" s="250">
        <f>BL153/((BL36-((BL304+BL302)*0.55))*4)</f>
        <v>1.9899260208252982</v>
      </c>
      <c r="BM156" s="250">
        <f>BM153/((BM36-((BM304+BM302)*0.55))*4)</f>
        <v>1.9513327349701275</v>
      </c>
      <c r="BN156" s="251">
        <f>BN153/(BN36-((BN304+BN302)*0.55))</f>
        <v>1.9138725794755309</v>
      </c>
      <c r="BO156" s="250">
        <f>BO153/((BO36-((BO304+BO302)*0.55))*4)</f>
        <v>1.9347625628818343</v>
      </c>
      <c r="BP156" s="250">
        <f>BP153/((BP36-((BP304+BP302)*0.55))*4)</f>
        <v>1.7105197520131266</v>
      </c>
      <c r="BQ156" s="250">
        <f>BQ153/((BQ36-((BQ304+BQ302)*0.55))*4)</f>
        <v>1.3583366660166596</v>
      </c>
      <c r="BR156" s="250">
        <f>BR153/((BR36-((BR304+BR302)*0.55))*4)</f>
        <v>0.95151169428548821</v>
      </c>
      <c r="BS156" s="251">
        <f>BS153/(BS36-((BS304+BS302)*0.55))</f>
        <v>1.2597250623962284</v>
      </c>
      <c r="BT156" s="250">
        <f>BT153/((BT36-((BT304+BT302)*0.55))*4)</f>
        <v>0.69173713121844727</v>
      </c>
      <c r="BU156" s="250">
        <f>BU153/((BU36-((BU304+BU302)*0.55))*4)</f>
        <v>0.91143441399475589</v>
      </c>
      <c r="BV156" s="250">
        <f>BV153/((BV36-((BV304+BV302)*0.55))*4)</f>
        <v>1.0424047021814107</v>
      </c>
      <c r="BW156" s="250">
        <f>BW153/((BW36-((BW304+BW302)*0.55))*4)</f>
        <v>1.2212712405592867</v>
      </c>
      <c r="BX156" s="251">
        <f>BX153/(BX36-((BX304+BX302)*0.55))</f>
        <v>0.95475167255729687</v>
      </c>
      <c r="BY156" s="250">
        <f>BY153/((BY36-((BY304+BY302)*0.55))*4)</f>
        <v>1.1425681849989182</v>
      </c>
      <c r="BZ156" s="250">
        <f>BZ153/((BZ36-((BZ304+BZ302)*0.55))*4)</f>
        <v>1.3169917102778315</v>
      </c>
      <c r="CA156" s="250">
        <f>CA153/((CA36-((CA304+CA302)*0.55))*4)</f>
        <v>1.4720466268144887</v>
      </c>
      <c r="CB156" s="250">
        <f>CB153/((CB36-((CB304+CB302)*0.55))*4)</f>
        <v>1.6703659630527476</v>
      </c>
      <c r="CC156" s="251">
        <f>CC153/(CC36-((CC304+CC302)*0.55))</f>
        <v>1.3937696426655333</v>
      </c>
      <c r="CD156" s="250">
        <f>CD153/((CD36-((CD304+CD302)*0.55))*4)</f>
        <v>1.5492382255258115</v>
      </c>
      <c r="CE156" s="250">
        <f>CE153/((CE36-((CE304+CE302)*0.55))*4)</f>
        <v>1.6113214792642911</v>
      </c>
      <c r="CF156" s="250">
        <f>CF153/((CF36-((CF304+CF302)*0.55))*4)</f>
        <v>1.6187256427828116</v>
      </c>
      <c r="CG156" s="250">
        <f>CG153/((CG36-((CG304+CG302)*0.55))*4)</f>
        <v>1.5317616208593168</v>
      </c>
      <c r="CH156" s="251">
        <f>CH153/(CH36-((CH304+CH302)*0.55))</f>
        <v>1.5767610472765736</v>
      </c>
      <c r="CI156" s="250">
        <f>CI153/((CI36-((CI304+CI302)*0.55))*4)</f>
        <v>1.532077846540709</v>
      </c>
      <c r="CJ156" s="250">
        <f>CJ153/((CJ36-((CJ304+CJ302)*0.55))*4)</f>
        <v>1.4871066493200245</v>
      </c>
      <c r="CK156" s="250">
        <f>CK153/((CK36-((CK304+CK302)*0.55))*4)</f>
        <v>1.4672544022109779</v>
      </c>
      <c r="CL156" s="250">
        <f>CL153/((CL36-((CL304+CL302)*0.55))*4)</f>
        <v>1.2873657194637198</v>
      </c>
      <c r="CM156" s="251">
        <f>CM153/(CM36-((CM304+CM302)*0.55))</f>
        <v>1.438992966686043</v>
      </c>
      <c r="CN156" s="250">
        <f>CN153/((CN36-((CN304+CN302)*0.55))*4)</f>
        <v>1.3748644241801147</v>
      </c>
      <c r="CO156" s="250">
        <f>CO153/((CO36-((CO304+CO302)*0.55))*4)</f>
        <v>1.3194971452859627</v>
      </c>
      <c r="CP156" s="250">
        <f>CP153/((CP36-((CP304+CP302)*0.55))*4)</f>
        <v>1.297628225117561</v>
      </c>
      <c r="CQ156" s="250">
        <f>CQ153/((CQ36-((CQ304+CQ302)*0.55))*4)</f>
        <v>1.0893054570344134</v>
      </c>
      <c r="CR156" s="251">
        <f>CR153/(CR36-((CR304+CR302)*0.55))</f>
        <v>1.2631741601278155</v>
      </c>
      <c r="CS156" s="250">
        <f>CS153/((CS36-((CS304+CS302)*0.55))*4)</f>
        <v>1.3005230686102534</v>
      </c>
      <c r="CT156" s="250">
        <f>CT153/((CT36-((CT304+CT302)*0.55))*4)</f>
        <v>1.3655790338897964</v>
      </c>
      <c r="CU156" s="250">
        <f>CU153/((CU36-((CU304+CU302)*0.55))*4)</f>
        <v>1.3440894458674717</v>
      </c>
      <c r="CV156" s="250">
        <f>CV153/((CV36-((CV304+CV302)*0.55))*4)</f>
        <v>1.0945987807840629</v>
      </c>
      <c r="CW156" s="251">
        <f>CW153/(CW36-((CW304+CW302)*0.55))</f>
        <v>1.1832503670518453</v>
      </c>
      <c r="CX156" s="250">
        <f>CX153/((CX36-((CX304+CX302)*0.55))*4)</f>
        <v>1.3208662133313189</v>
      </c>
      <c r="CY156" s="250">
        <f>CY153/((CY36-((CY304+CY302)*0.55))*4)</f>
        <v>1.3834254143416396</v>
      </c>
      <c r="CZ156" s="250">
        <f>CZ153/((CZ36-((CZ304+CZ302)*0.55))*4)</f>
        <v>1.3658355295456057</v>
      </c>
      <c r="DA156" s="250">
        <f>DA153/((DA36-((DA304+DA302)*0.55))*4)</f>
        <v>1.113446119360177</v>
      </c>
      <c r="DB156" s="251">
        <f>DB153/(DB36-((DB304+DB302)*0.55))</f>
        <v>1.2085882550202078</v>
      </c>
      <c r="DC156" s="250"/>
      <c r="DD156" s="250"/>
      <c r="DE156" s="250"/>
      <c r="DF156" s="250"/>
      <c r="DG156" s="250"/>
      <c r="DH156" s="250"/>
      <c r="DI156" s="250"/>
      <c r="DJ156" s="250"/>
      <c r="DK156" s="407"/>
      <c r="DL156" s="407"/>
      <c r="DM156" s="62"/>
    </row>
    <row r="157" spans="1:117" outlineLevel="1">
      <c r="A157" s="36" t="s">
        <v>757</v>
      </c>
      <c r="B157" s="212"/>
      <c r="C157" s="176"/>
      <c r="D157" s="176"/>
      <c r="E157" s="176"/>
      <c r="F157" s="213"/>
      <c r="G157" s="237"/>
      <c r="H157" s="238"/>
      <c r="I157" s="238"/>
      <c r="J157" s="238"/>
      <c r="K157" s="239"/>
      <c r="L157" s="237"/>
      <c r="M157" s="238"/>
      <c r="N157" s="238"/>
      <c r="O157" s="238"/>
      <c r="P157" s="239"/>
      <c r="Q157" s="237"/>
      <c r="R157" s="238"/>
      <c r="S157" s="238"/>
      <c r="T157" s="238"/>
      <c r="U157" s="239"/>
      <c r="V157" s="237"/>
      <c r="W157" s="238"/>
      <c r="X157" s="238"/>
      <c r="Y157" s="238"/>
      <c r="Z157" s="239"/>
      <c r="AA157" s="248"/>
      <c r="AB157" s="248"/>
      <c r="AC157" s="248"/>
      <c r="AD157" s="248"/>
      <c r="AE157" s="249"/>
      <c r="AF157" s="248">
        <f>-((AF42-AF151)*4)/AF153</f>
        <v>5.2725358505977336E-2</v>
      </c>
      <c r="AG157" s="248">
        <f>-((AG42-AG151)*4)/AG153</f>
        <v>5.8146221343484926E-2</v>
      </c>
      <c r="AH157" s="248">
        <f>-((AH42-AH151)*4)/AH153</f>
        <v>5.7540041670024668E-2</v>
      </c>
      <c r="AI157" s="248">
        <f>-((AI42-AI151)*4)/AI153</f>
        <v>5.5234498141830193E-2</v>
      </c>
      <c r="AJ157" s="249">
        <f>-(AJ42-AJ151)/AJ153</f>
        <v>5.0024078756449562E-2</v>
      </c>
      <c r="AK157" s="248">
        <f>-((AK42-AK151)*4)/AK153</f>
        <v>5.6117745353118517E-2</v>
      </c>
      <c r="AL157" s="248">
        <f>-((AL42-AL151)*4)/AL153</f>
        <v>5.4235570493725738E-2</v>
      </c>
      <c r="AM157" s="248">
        <f>-((AM42-AM151)*4)/AM153</f>
        <v>4.3853333777372758E-2</v>
      </c>
      <c r="AN157" s="248">
        <f>-((AN42-AN151)*4)/AN153</f>
        <v>3.5856935160844747E-2</v>
      </c>
      <c r="AO157" s="249">
        <f>-(AO42-AO151)/AO153</f>
        <v>4.2241315472938218E-2</v>
      </c>
      <c r="AP157" s="248">
        <f>-((AP42-AP151)*4)/AP153</f>
        <v>4.5262739531014264E-2</v>
      </c>
      <c r="AQ157" s="248">
        <f>-((AQ42-AQ151)*4)/AQ153</f>
        <v>4.7055160899108273E-2</v>
      </c>
      <c r="AR157" s="248">
        <f>-((AR42-AR151)*4)/AR153</f>
        <v>4.032066966362334E-2</v>
      </c>
      <c r="AS157" s="248">
        <f>-((AS42-AS151)*4)/AS153</f>
        <v>4.1724365023616476E-2</v>
      </c>
      <c r="AT157" s="249">
        <f>-(AT42-AT151)/AT153</f>
        <v>4.3852390141307561E-2</v>
      </c>
      <c r="AU157" s="248"/>
      <c r="AV157" s="248"/>
      <c r="AW157" s="248"/>
      <c r="AX157" s="248"/>
      <c r="AY157" s="249"/>
      <c r="AZ157" s="248"/>
      <c r="BA157" s="248"/>
      <c r="BB157" s="248"/>
      <c r="BC157" s="248"/>
      <c r="BD157" s="249"/>
      <c r="BE157" s="248">
        <f>-((BE42-BE151)*4)/BE153</f>
        <v>5.5441499730413506E-2</v>
      </c>
      <c r="BF157" s="248">
        <f>-((BF42-BF151)*4)/BF153</f>
        <v>5.5143840862897704E-2</v>
      </c>
      <c r="BG157" s="248">
        <f>-((BG42-BG151)*4)/BG153</f>
        <v>5.8302312470836434E-2</v>
      </c>
      <c r="BH157" s="248">
        <f>-((BH42-BH151)*4)/BH153</f>
        <v>6.2986314159751811E-2</v>
      </c>
      <c r="BI157" s="249">
        <f>-(BI42-BI151)/BI153</f>
        <v>5.5848710207184397E-2</v>
      </c>
      <c r="BJ157" s="248">
        <f>-((BJ42-BJ151)*4)/BJ153</f>
        <v>6.2999868505061937E-2</v>
      </c>
      <c r="BK157" s="248">
        <f>-((BK42-BK151)*4)/BK153</f>
        <v>6.3050261452733153E-2</v>
      </c>
      <c r="BL157" s="248">
        <f>-((BL42-BL151)*4)/BL153</f>
        <v>6.2987682420470481E-2</v>
      </c>
      <c r="BM157" s="248">
        <f>-((BM42-BM151)*4)/BM153</f>
        <v>5.2075840595597486E-2</v>
      </c>
      <c r="BN157" s="249">
        <f>-(BN42-BN151)/BN153</f>
        <v>6.130822229576182E-2</v>
      </c>
      <c r="BO157" s="248">
        <f>-((BO42-BO151)*4)/BO153</f>
        <v>1.9262476179278818E-2</v>
      </c>
      <c r="BP157" s="248">
        <f>-((BP42-BP151)*4)/BP153</f>
        <v>2.2163752953088117E-2</v>
      </c>
      <c r="BQ157" s="248">
        <f>-((BQ42-BQ151)*4)/BQ153</f>
        <v>4.2282443694042604E-2</v>
      </c>
      <c r="BR157" s="248">
        <f>-((BR42-BR151)*4)/BR153</f>
        <v>4.1471802091118344E-2</v>
      </c>
      <c r="BS157" s="249">
        <f>-(BS42-BS151)/BS153</f>
        <v>3.4482404289386794E-2</v>
      </c>
      <c r="BT157" s="248">
        <f>-((BT42-BT151)*4)/BT153</f>
        <v>8.597735592747624E-3</v>
      </c>
      <c r="BU157" s="248">
        <f>-((BU42-BU151)*4)/BU153</f>
        <v>1.4419783797624812E-2</v>
      </c>
      <c r="BV157" s="248">
        <f>-((BV42-BV151)*4)/BV153</f>
        <v>1.8820671079539136E-2</v>
      </c>
      <c r="BW157" s="248">
        <f>-((BW42-BW151)*4)/BW153</f>
        <v>2.2264168881779761E-2</v>
      </c>
      <c r="BX157" s="249">
        <f>-(BX42-BX151)/BX153</f>
        <v>1.6763266133311507E-2</v>
      </c>
      <c r="BY157" s="248">
        <f>-((BY42-BY151)*4)/BY153</f>
        <v>2.5141676536867046E-2</v>
      </c>
      <c r="BZ157" s="248">
        <f>-((BZ42-BZ151)*4)/BZ153</f>
        <v>2.7567614033317374E-2</v>
      </c>
      <c r="CA157" s="248">
        <f>-((CA42-CA151)*4)/CA153</f>
        <v>2.9560227402512799E-2</v>
      </c>
      <c r="CB157" s="248">
        <f>-((CB42-CB151)*4)/CB153</f>
        <v>3.1226108766920887E-2</v>
      </c>
      <c r="CC157" s="249">
        <f>-(CC42-CC151)/CC153</f>
        <v>2.8610182817536751E-2</v>
      </c>
      <c r="CD157" s="248">
        <f>-((CD42-CD151)*4)/CD153</f>
        <v>4.478838666404579E-2</v>
      </c>
      <c r="CE157" s="248">
        <f>-((CE42-CE151)*4)/CE153</f>
        <v>4.4901240448009777E-2</v>
      </c>
      <c r="CF157" s="248">
        <f>-((CF42-CF151)*4)/CF153</f>
        <v>4.5009940889339503E-2</v>
      </c>
      <c r="CG157" s="248">
        <f>-((CG42-CG151)*4)/CG153</f>
        <v>4.5114716395914113E-2</v>
      </c>
      <c r="CH157" s="249">
        <f>-(CH42-CH151)/CH153</f>
        <v>4.4955486963533284E-2</v>
      </c>
      <c r="CI157" s="248">
        <f>-((CI42-CI151)*4)/CI153</f>
        <v>4.5019767153791614E-2</v>
      </c>
      <c r="CJ157" s="248">
        <f>-((CJ42-CJ151)*4)/CJ153</f>
        <v>4.4719538097848614E-2</v>
      </c>
      <c r="CK157" s="248">
        <f>-((CK42-CK151)*4)/CK153</f>
        <v>4.4407616481489103E-2</v>
      </c>
      <c r="CL157" s="248">
        <f>-((CL42-CL151)*4)/CL153</f>
        <v>4.4083310748053606E-2</v>
      </c>
      <c r="CM157" s="249">
        <f>-(CM42-CM151)/CM153</f>
        <v>4.4564469078278018E-2</v>
      </c>
      <c r="CN157" s="248">
        <f>-((CN42-CN151)*4)/CN153</f>
        <v>4.3727739019777424E-2</v>
      </c>
      <c r="CO157" s="248">
        <f>-((CO42-CO151)*4)/CO153</f>
        <v>4.3337032168309364E-2</v>
      </c>
      <c r="CP157" s="248">
        <f>-((CP42-CP151)*4)/CP153</f>
        <v>4.2927050793625618E-2</v>
      </c>
      <c r="CQ157" s="248">
        <f>-((CQ42-CQ151)*4)/CQ153</f>
        <v>4.2496338829487779E-2</v>
      </c>
      <c r="CR157" s="249">
        <f>-(CR42-CR151)/CR153</f>
        <v>4.3133894340204482E-2</v>
      </c>
      <c r="CS157" s="248">
        <f>-((CS42-CS151)*4)/CS153</f>
        <v>4.8734448895196958E-2</v>
      </c>
      <c r="CT157" s="248">
        <f>-((CT42-CT151)*4)/CT153</f>
        <v>4.4302793103536992E-2</v>
      </c>
      <c r="CU157" s="248">
        <f>-((CU42-CU151)*4)/CU153</f>
        <v>4.3950088959199808E-2</v>
      </c>
      <c r="CV157" s="248">
        <f>-((CV42-CV151)*4)/CV153</f>
        <v>4.3581146924815503E-2</v>
      </c>
      <c r="CW157" s="249">
        <f>-(CW42-CW151)/CW153</f>
        <v>4.8324143987195305E-2</v>
      </c>
      <c r="CX157" s="248">
        <f>-((CX42-CX151)*4)/CX153</f>
        <v>4.9252923929448231E-2</v>
      </c>
      <c r="CY157" s="248">
        <f>-((CY42-CY151)*4)/CY153</f>
        <v>4.5163954857832887E-2</v>
      </c>
      <c r="CZ157" s="248">
        <f>-((CZ42-CZ151)*4)/CZ153</f>
        <v>4.4887415868903185E-2</v>
      </c>
      <c r="DA157" s="248">
        <f>-((DA42-DA151)*4)/DA153</f>
        <v>4.4600925888991297E-2</v>
      </c>
      <c r="DB157" s="249">
        <f>-(DB42-DB151)/DB153</f>
        <v>4.8923604217537921E-2</v>
      </c>
      <c r="DC157" s="248"/>
      <c r="DD157" s="248"/>
      <c r="DE157" s="248"/>
      <c r="DF157" s="248"/>
      <c r="DG157" s="248"/>
      <c r="DH157" s="248"/>
      <c r="DI157" s="248"/>
      <c r="DJ157" s="248"/>
      <c r="DK157" s="396"/>
      <c r="DL157" s="396"/>
      <c r="DM157" s="62"/>
    </row>
    <row r="158" spans="1:117" outlineLevel="1">
      <c r="A158" s="12"/>
      <c r="B158" s="19"/>
      <c r="C158" s="18"/>
      <c r="D158" s="18"/>
      <c r="E158" s="18"/>
      <c r="F158" s="127"/>
      <c r="G158" s="19"/>
      <c r="H158" s="18"/>
      <c r="I158" s="18"/>
      <c r="J158" s="18"/>
      <c r="K158" s="127"/>
      <c r="L158" s="19"/>
      <c r="M158" s="18"/>
      <c r="N158" s="18"/>
      <c r="O158" s="18"/>
      <c r="P158" s="127"/>
      <c r="Q158" s="19"/>
      <c r="R158" s="18"/>
      <c r="S158" s="18"/>
      <c r="T158" s="18"/>
      <c r="U158" s="127"/>
      <c r="V158" s="19"/>
      <c r="W158" s="18"/>
      <c r="X158" s="18"/>
      <c r="Y158" s="18"/>
      <c r="Z158" s="127"/>
      <c r="AA158" s="19"/>
      <c r="AB158" s="18"/>
      <c r="AC158" s="18"/>
      <c r="AD158" s="18"/>
      <c r="AE158" s="127"/>
      <c r="AF158" s="19"/>
      <c r="AG158" s="18"/>
      <c r="AH158" s="18"/>
      <c r="AI158" s="18"/>
      <c r="AJ158" s="127"/>
      <c r="AK158" s="19"/>
      <c r="AL158" s="18"/>
      <c r="AM158" s="18"/>
      <c r="AN158" s="18"/>
      <c r="AO158" s="127"/>
      <c r="AP158" s="19"/>
      <c r="AQ158" s="18"/>
      <c r="AR158" s="18"/>
      <c r="AS158" s="18"/>
      <c r="AT158" s="127"/>
      <c r="AU158" s="19"/>
      <c r="AV158" s="18"/>
      <c r="AW158" s="18"/>
      <c r="AX158" s="18"/>
      <c r="AY158" s="127"/>
      <c r="AZ158" s="19"/>
      <c r="BA158" s="18"/>
      <c r="BB158" s="18"/>
      <c r="BC158" s="18"/>
      <c r="BD158" s="127"/>
      <c r="BE158" s="19"/>
      <c r="BF158" s="18"/>
      <c r="BG158" s="18"/>
      <c r="BH158" s="18"/>
      <c r="BI158" s="127"/>
      <c r="BJ158" s="19"/>
      <c r="BK158" s="18"/>
      <c r="BL158" s="18"/>
      <c r="BM158" s="18"/>
      <c r="BN158" s="127"/>
      <c r="BO158" s="19"/>
      <c r="BP158" s="18"/>
      <c r="BQ158" s="18"/>
      <c r="BR158" s="18"/>
      <c r="BS158" s="127"/>
      <c r="BT158" s="19"/>
      <c r="BU158" s="18"/>
      <c r="BV158" s="18"/>
      <c r="BW158" s="18"/>
      <c r="BX158" s="127"/>
      <c r="BY158" s="19"/>
      <c r="BZ158" s="18"/>
      <c r="CA158" s="18"/>
      <c r="CB158" s="18"/>
      <c r="CC158" s="127"/>
      <c r="CD158" s="19"/>
      <c r="CE158" s="18"/>
      <c r="CF158" s="18"/>
      <c r="CG158" s="18"/>
      <c r="CH158" s="127"/>
      <c r="CI158" s="19"/>
      <c r="CJ158" s="18"/>
      <c r="CK158" s="18"/>
      <c r="CL158" s="18"/>
      <c r="CM158" s="127"/>
      <c r="CN158" s="19"/>
      <c r="CO158" s="18"/>
      <c r="CP158" s="18"/>
      <c r="CQ158" s="18"/>
      <c r="CR158" s="127"/>
      <c r="CS158" s="19"/>
      <c r="CT158" s="18"/>
      <c r="CU158" s="18"/>
      <c r="CV158" s="18"/>
      <c r="CW158" s="127"/>
      <c r="CX158" s="19"/>
      <c r="CY158" s="18"/>
      <c r="CZ158" s="18"/>
      <c r="DA158" s="18"/>
      <c r="DB158" s="127"/>
      <c r="DC158" s="18"/>
      <c r="DD158" s="18"/>
      <c r="DE158" s="18"/>
      <c r="DF158" s="18"/>
      <c r="DG158" s="18"/>
      <c r="DH158" s="18"/>
      <c r="DI158" s="18"/>
      <c r="DJ158" s="18"/>
      <c r="DK158" s="61"/>
      <c r="DL158" s="61"/>
      <c r="DM158" s="12"/>
    </row>
    <row r="159" spans="1:117">
      <c r="A159" s="101" t="s">
        <v>53</v>
      </c>
      <c r="B159" s="240"/>
      <c r="C159" s="241"/>
      <c r="D159" s="241"/>
      <c r="E159" s="241"/>
      <c r="F159" s="242"/>
      <c r="G159" s="240"/>
      <c r="H159" s="241"/>
      <c r="I159" s="241"/>
      <c r="J159" s="241"/>
      <c r="K159" s="242"/>
      <c r="L159" s="240"/>
      <c r="M159" s="241"/>
      <c r="N159" s="241"/>
      <c r="O159" s="241"/>
      <c r="P159" s="242"/>
      <c r="Q159" s="240"/>
      <c r="R159" s="241"/>
      <c r="S159" s="241"/>
      <c r="T159" s="241"/>
      <c r="U159" s="242"/>
      <c r="V159" s="240"/>
      <c r="W159" s="241"/>
      <c r="X159" s="241"/>
      <c r="Y159" s="241"/>
      <c r="Z159" s="242"/>
      <c r="AA159" s="240"/>
      <c r="AB159" s="26"/>
      <c r="AC159" s="26"/>
      <c r="AD159" s="26"/>
      <c r="AE159" s="134"/>
      <c r="AF159" s="27"/>
      <c r="AG159" s="26"/>
      <c r="AH159" s="26"/>
      <c r="AI159" s="26"/>
      <c r="AJ159" s="134"/>
      <c r="AK159" s="27"/>
      <c r="AL159" s="26"/>
      <c r="AM159" s="26"/>
      <c r="AN159" s="26"/>
      <c r="AO159" s="134"/>
      <c r="AP159" s="27"/>
      <c r="AQ159" s="26"/>
      <c r="AR159" s="26"/>
      <c r="AS159" s="26"/>
      <c r="AT159" s="134"/>
      <c r="AU159" s="27"/>
      <c r="AV159" s="26"/>
      <c r="AW159" s="26"/>
      <c r="AX159" s="26"/>
      <c r="AY159" s="134"/>
      <c r="AZ159" s="27"/>
      <c r="BA159" s="26"/>
      <c r="BB159" s="26"/>
      <c r="BC159" s="26"/>
      <c r="BD159" s="134"/>
      <c r="BE159" s="27"/>
      <c r="BF159" s="26"/>
      <c r="BG159" s="26"/>
      <c r="BH159" s="26"/>
      <c r="BI159" s="134"/>
      <c r="BJ159" s="27"/>
      <c r="BK159" s="26"/>
      <c r="BL159" s="26"/>
      <c r="BM159" s="26"/>
      <c r="BN159" s="134"/>
      <c r="BO159" s="27"/>
      <c r="BP159" s="26"/>
      <c r="BQ159" s="26"/>
      <c r="BR159" s="26"/>
      <c r="BS159" s="134"/>
      <c r="BT159" s="27"/>
      <c r="BU159" s="26"/>
      <c r="BV159" s="26"/>
      <c r="BW159" s="26"/>
      <c r="BX159" s="134"/>
      <c r="BY159" s="27"/>
      <c r="BZ159" s="26"/>
      <c r="CA159" s="26"/>
      <c r="CB159" s="26"/>
      <c r="CC159" s="134"/>
      <c r="CD159" s="27"/>
      <c r="CE159" s="26"/>
      <c r="CF159" s="26"/>
      <c r="CG159" s="26"/>
      <c r="CH159" s="134"/>
      <c r="CI159" s="27"/>
      <c r="CJ159" s="26"/>
      <c r="CK159" s="26"/>
      <c r="CL159" s="26"/>
      <c r="CM159" s="134"/>
      <c r="CN159" s="27"/>
      <c r="CO159" s="26"/>
      <c r="CP159" s="26"/>
      <c r="CQ159" s="26"/>
      <c r="CR159" s="134"/>
      <c r="CS159" s="27"/>
      <c r="CT159" s="26"/>
      <c r="CU159" s="26"/>
      <c r="CV159" s="26"/>
      <c r="CW159" s="134"/>
      <c r="CX159" s="27"/>
      <c r="CY159" s="26"/>
      <c r="CZ159" s="26"/>
      <c r="DA159" s="26"/>
      <c r="DB159" s="134"/>
      <c r="DC159" s="23"/>
      <c r="DD159" s="23"/>
      <c r="DE159" s="23"/>
      <c r="DF159" s="23"/>
      <c r="DG159" s="23"/>
      <c r="DH159" s="23"/>
      <c r="DI159" s="23"/>
      <c r="DJ159" s="23"/>
      <c r="DK159" s="61"/>
      <c r="DL159" s="61"/>
      <c r="DM159" s="61"/>
    </row>
    <row r="160" spans="1:117">
      <c r="A160" s="16" t="s">
        <v>948</v>
      </c>
      <c r="B160" s="41"/>
      <c r="C160" s="38"/>
      <c r="D160" s="38"/>
      <c r="E160" s="38"/>
      <c r="F160" s="133"/>
      <c r="G160" s="41"/>
      <c r="H160" s="38"/>
      <c r="I160" s="38"/>
      <c r="J160" s="38"/>
      <c r="K160" s="133"/>
      <c r="L160" s="41"/>
      <c r="M160" s="38"/>
      <c r="N160" s="38"/>
      <c r="O160" s="38"/>
      <c r="P160" s="133"/>
      <c r="Q160" s="41"/>
      <c r="R160" s="38"/>
      <c r="S160" s="38"/>
      <c r="T160" s="38"/>
      <c r="U160" s="133"/>
      <c r="V160" s="41"/>
      <c r="W160" s="38"/>
      <c r="X160" s="38"/>
      <c r="Y160" s="38"/>
      <c r="Z160" s="133"/>
      <c r="AA160" s="41"/>
      <c r="AB160" s="18"/>
      <c r="AC160" s="18"/>
      <c r="AD160" s="18"/>
      <c r="AE160" s="127"/>
      <c r="AF160" s="19"/>
      <c r="AG160" s="18"/>
      <c r="AH160" s="18"/>
      <c r="AI160" s="18"/>
      <c r="AJ160" s="127"/>
      <c r="AK160" s="19"/>
      <c r="AL160" s="18"/>
      <c r="AM160" s="18"/>
      <c r="AN160" s="18"/>
      <c r="AO160" s="127"/>
      <c r="AP160" s="19"/>
      <c r="AQ160" s="18"/>
      <c r="AR160" s="18"/>
      <c r="AS160" s="18"/>
      <c r="AT160" s="127"/>
      <c r="AU160" s="19"/>
      <c r="AV160" s="18"/>
      <c r="AW160" s="18"/>
      <c r="AX160" s="18"/>
      <c r="AY160" s="127"/>
      <c r="AZ160" s="19"/>
      <c r="BA160" s="18"/>
      <c r="BB160" s="18"/>
      <c r="BC160" s="18"/>
      <c r="BD160" s="127"/>
      <c r="BE160" s="19"/>
      <c r="BF160" s="18"/>
      <c r="BG160" s="18"/>
      <c r="BH160" s="18"/>
      <c r="BI160" s="127"/>
      <c r="BJ160" s="19"/>
      <c r="BK160" s="18"/>
      <c r="BL160" s="18"/>
      <c r="BM160" s="18"/>
      <c r="BN160" s="127"/>
      <c r="BO160" s="19"/>
      <c r="BP160" s="18"/>
      <c r="BQ160" s="18"/>
      <c r="BR160" s="18"/>
      <c r="BS160" s="127"/>
      <c r="BT160" s="19"/>
      <c r="BU160" s="18"/>
      <c r="BV160" s="18"/>
      <c r="BW160" s="18"/>
      <c r="BX160" s="127"/>
      <c r="BY160" s="19"/>
      <c r="BZ160" s="18"/>
      <c r="CA160" s="18"/>
      <c r="CB160" s="18"/>
      <c r="CC160" s="127"/>
      <c r="CD160" s="19"/>
      <c r="CE160" s="18"/>
      <c r="CF160" s="18"/>
      <c r="CG160" s="18"/>
      <c r="CH160" s="127"/>
      <c r="CI160" s="19"/>
      <c r="CJ160" s="18"/>
      <c r="CK160" s="18"/>
      <c r="CL160" s="18"/>
      <c r="CM160" s="127"/>
      <c r="CN160" s="19"/>
      <c r="CO160" s="18"/>
      <c r="CP160" s="18"/>
      <c r="CQ160" s="18"/>
      <c r="CR160" s="127"/>
      <c r="CS160" s="19"/>
      <c r="CT160" s="18"/>
      <c r="CU160" s="18"/>
      <c r="CV160" s="18"/>
      <c r="CW160" s="127"/>
      <c r="CX160" s="19"/>
      <c r="CY160" s="18"/>
      <c r="CZ160" s="18"/>
      <c r="DA160" s="18"/>
      <c r="DB160" s="127"/>
      <c r="DC160" s="18"/>
      <c r="DD160" s="18"/>
      <c r="DE160" s="18"/>
      <c r="DF160" s="18"/>
      <c r="DG160" s="18"/>
      <c r="DH160" s="18"/>
      <c r="DI160" s="18"/>
      <c r="DJ160" s="18"/>
      <c r="DK160" s="61"/>
      <c r="DL160" s="61"/>
      <c r="DM160" s="61"/>
    </row>
    <row r="161" spans="1:117">
      <c r="A161" s="15" t="s">
        <v>949</v>
      </c>
      <c r="B161" s="94">
        <f>B57</f>
        <v>105153</v>
      </c>
      <c r="C161" s="48">
        <f>C57</f>
        <v>17789</v>
      </c>
      <c r="D161" s="3">
        <f>D57</f>
        <v>20839</v>
      </c>
      <c r="E161" s="3">
        <f>E57</f>
        <v>98397</v>
      </c>
      <c r="F161" s="93">
        <f>F57</f>
        <v>242178</v>
      </c>
      <c r="G161" s="94">
        <f t="shared" ref="G161:U161" si="335">G57</f>
        <v>107664</v>
      </c>
      <c r="H161" s="48">
        <f t="shared" si="335"/>
        <v>24852</v>
      </c>
      <c r="I161" s="3">
        <f t="shared" si="335"/>
        <v>176387</v>
      </c>
      <c r="J161" s="3">
        <f t="shared" si="335"/>
        <v>237642</v>
      </c>
      <c r="K161" s="93">
        <f t="shared" si="335"/>
        <v>546545</v>
      </c>
      <c r="L161" s="94">
        <f t="shared" si="335"/>
        <v>129492</v>
      </c>
      <c r="M161" s="48">
        <f t="shared" si="335"/>
        <v>77795</v>
      </c>
      <c r="N161" s="3">
        <f t="shared" si="335"/>
        <v>24400</v>
      </c>
      <c r="O161" s="3">
        <f>O57</f>
        <v>74625</v>
      </c>
      <c r="P161" s="93">
        <f t="shared" si="335"/>
        <v>306312</v>
      </c>
      <c r="Q161" s="94">
        <f t="shared" si="335"/>
        <v>152880</v>
      </c>
      <c r="R161" s="48">
        <f t="shared" si="335"/>
        <v>35203</v>
      </c>
      <c r="S161" s="3">
        <f t="shared" si="335"/>
        <v>13914</v>
      </c>
      <c r="T161" s="3">
        <f t="shared" si="335"/>
        <v>102924</v>
      </c>
      <c r="U161" s="93">
        <f t="shared" si="335"/>
        <v>304921.00000000006</v>
      </c>
      <c r="V161" s="94">
        <f t="shared" ref="V161:AF161" si="336">V57</f>
        <v>143837</v>
      </c>
      <c r="W161" s="48">
        <f t="shared" si="336"/>
        <v>41865</v>
      </c>
      <c r="X161" s="3">
        <f t="shared" si="336"/>
        <v>58033</v>
      </c>
      <c r="Y161" s="3">
        <f t="shared" si="336"/>
        <v>68174.000000000015</v>
      </c>
      <c r="Z161" s="255">
        <f t="shared" si="336"/>
        <v>311909</v>
      </c>
      <c r="AA161" s="94">
        <f t="shared" si="336"/>
        <v>122285</v>
      </c>
      <c r="AB161" s="48">
        <f t="shared" si="336"/>
        <v>41679</v>
      </c>
      <c r="AC161" s="98">
        <f t="shared" si="336"/>
        <v>48042</v>
      </c>
      <c r="AD161" s="3">
        <f>AD57</f>
        <v>93445</v>
      </c>
      <c r="AE161" s="255">
        <f>AE57</f>
        <v>305451</v>
      </c>
      <c r="AF161" s="94">
        <f t="shared" si="336"/>
        <v>154538.99999999997</v>
      </c>
      <c r="AG161" s="3">
        <f>AG57</f>
        <v>41724</v>
      </c>
      <c r="AH161" s="3">
        <f>393395-AG161-AF161-AH167-AG167-AF167</f>
        <v>62551.700000000012</v>
      </c>
      <c r="AI161" s="3">
        <f>AJ161-AH161-AG161-AF161</f>
        <v>84671.950000000041</v>
      </c>
      <c r="AJ161" s="255">
        <f>541330-AJ167</f>
        <v>343486.65</v>
      </c>
      <c r="AK161" s="94">
        <f>AK57</f>
        <v>130130</v>
      </c>
      <c r="AL161" s="48">
        <f>AL57</f>
        <v>55142</v>
      </c>
      <c r="AM161" s="48">
        <f>494992-AL161-AK161-AM167-AL167-AK167</f>
        <v>60321</v>
      </c>
      <c r="AN161" s="3">
        <f>AO161-AM161-AL161-AK161</f>
        <v>115002</v>
      </c>
      <c r="AO161" s="255">
        <f>759744-AO167</f>
        <v>360595</v>
      </c>
      <c r="AP161" s="94">
        <f>AP57</f>
        <v>122865</v>
      </c>
      <c r="AQ161" s="48">
        <f>AQ57</f>
        <v>60993</v>
      </c>
      <c r="AR161" s="48">
        <f>547655-AQ161-AP161-AR167-AQ167-AP167</f>
        <v>65219</v>
      </c>
      <c r="AS161" s="3">
        <f>AT161-AR161-AQ161-AP161</f>
        <v>111542</v>
      </c>
      <c r="AT161" s="255">
        <f>743530-AT167</f>
        <v>360619</v>
      </c>
      <c r="AU161" s="94">
        <f>AU57</f>
        <v>112521</v>
      </c>
      <c r="AV161" s="48">
        <f>AV57</f>
        <v>919.00000000001455</v>
      </c>
      <c r="AW161" s="48">
        <f>392898-AV161-AU161-AW167-AV167-AU167</f>
        <v>62356</v>
      </c>
      <c r="AX161" s="3">
        <f>AY161-AW161-AV161-AU161</f>
        <v>90737</v>
      </c>
      <c r="AY161" s="255">
        <f>576961-AY167</f>
        <v>266533</v>
      </c>
      <c r="AZ161" s="94">
        <f>AZ57</f>
        <v>93515</v>
      </c>
      <c r="BA161" s="48">
        <f>BA57</f>
        <v>61590</v>
      </c>
      <c r="BB161" s="186">
        <f>461543-BA161-AZ161-BB167-BA167-AZ167</f>
        <v>64458</v>
      </c>
      <c r="BC161" s="3">
        <f>BD161-BB161-BA161-AZ161</f>
        <v>94544</v>
      </c>
      <c r="BD161" s="243">
        <f>663108-BD167</f>
        <v>314107</v>
      </c>
      <c r="BE161" s="550">
        <v>95693</v>
      </c>
      <c r="BF161" s="552">
        <f>246573-BE161</f>
        <v>150880</v>
      </c>
      <c r="BG161" s="3">
        <f>407411-BF161-BE161</f>
        <v>160838</v>
      </c>
      <c r="BH161" s="3">
        <f>BI161-BG161-BF161-BE161</f>
        <v>-28216</v>
      </c>
      <c r="BI161" s="243">
        <f>379195</f>
        <v>379195</v>
      </c>
      <c r="BJ161" s="550">
        <v>174959</v>
      </c>
      <c r="BK161" s="3">
        <f>354818-BJ161</f>
        <v>179859</v>
      </c>
      <c r="BL161" s="3">
        <f>549034-BK161-BJ161</f>
        <v>194216</v>
      </c>
      <c r="BM161" s="3">
        <f>BN161-BL161-BK161-BJ161</f>
        <v>194465</v>
      </c>
      <c r="BN161" s="243">
        <v>743499</v>
      </c>
      <c r="BO161" s="550">
        <v>186185</v>
      </c>
      <c r="BP161" s="48">
        <f>362176-BO161</f>
        <v>175991</v>
      </c>
      <c r="BQ161" s="3">
        <f>528707-BP161-BO161</f>
        <v>166531</v>
      </c>
      <c r="BR161" s="3">
        <f>BS161-BQ161-BP161-BO161</f>
        <v>64812</v>
      </c>
      <c r="BS161" s="243">
        <v>593519</v>
      </c>
      <c r="BT161" s="94">
        <f>BT57</f>
        <v>285936.57838600234</v>
      </c>
      <c r="BU161" s="48">
        <f>BU57</f>
        <v>248313.9339968047</v>
      </c>
      <c r="BV161" s="3">
        <f>BV57</f>
        <v>255478.68456303695</v>
      </c>
      <c r="BW161" s="3">
        <f>BW57</f>
        <v>249934.8743053028</v>
      </c>
      <c r="BX161" s="93">
        <f>SUM(BT161:BW161)</f>
        <v>1039664.0712511467</v>
      </c>
      <c r="BY161" s="94">
        <f>BY57</f>
        <v>292403.48463770573</v>
      </c>
      <c r="BZ161" s="48">
        <f>BZ57</f>
        <v>275765.96753641218</v>
      </c>
      <c r="CA161" s="3">
        <f>CA57</f>
        <v>279345.75341228978</v>
      </c>
      <c r="CB161" s="3">
        <f>CB57</f>
        <v>273249.10654840199</v>
      </c>
      <c r="CC161" s="93">
        <f>SUM(BY161:CB161)</f>
        <v>1120764.3121348098</v>
      </c>
      <c r="CD161" s="94">
        <f>CD57</f>
        <v>292366.78482020559</v>
      </c>
      <c r="CE161" s="48">
        <f>CE57</f>
        <v>284570.33922731783</v>
      </c>
      <c r="CF161" s="3">
        <f>CF57</f>
        <v>296855.59130853985</v>
      </c>
      <c r="CG161" s="3">
        <f>CG57</f>
        <v>320206.80815364455</v>
      </c>
      <c r="CH161" s="93">
        <f>SUM(CD161:CG161)</f>
        <v>1193999.5235097078</v>
      </c>
      <c r="CI161" s="94">
        <f>CI57</f>
        <v>310937.50238030578</v>
      </c>
      <c r="CJ161" s="48">
        <f>CJ57</f>
        <v>311832.37583874224</v>
      </c>
      <c r="CK161" s="3">
        <f>CK57</f>
        <v>319242.94257601409</v>
      </c>
      <c r="CL161" s="3">
        <f>CL57</f>
        <v>356273.38522867608</v>
      </c>
      <c r="CM161" s="93">
        <f>SUM(CI161:CL161)</f>
        <v>1298286.2060237383</v>
      </c>
      <c r="CN161" s="94">
        <f>CN57</f>
        <v>321306.62061370112</v>
      </c>
      <c r="CO161" s="48">
        <f>CO57</f>
        <v>325112.54473466007</v>
      </c>
      <c r="CP161" s="3">
        <f>CP57</f>
        <v>331771.99546180753</v>
      </c>
      <c r="CQ161" s="3">
        <f>CQ57</f>
        <v>382345.05325040687</v>
      </c>
      <c r="CR161" s="93">
        <f>SUM(CN161:CQ161)</f>
        <v>1360536.2140605757</v>
      </c>
      <c r="CS161" s="94">
        <f>CS57</f>
        <v>330810.3057426351</v>
      </c>
      <c r="CT161" s="48">
        <f>CT57</f>
        <v>334748.62513157725</v>
      </c>
      <c r="CU161" s="3">
        <f>CU57</f>
        <v>341599.57583081274</v>
      </c>
      <c r="CV161" s="3">
        <f>CV57</f>
        <v>406626.65327452193</v>
      </c>
      <c r="CW161" s="93">
        <f>SUM(CS161:CV161)</f>
        <v>1413785.1599795471</v>
      </c>
      <c r="CX161" s="94">
        <f>CX57</f>
        <v>346889.62883656833</v>
      </c>
      <c r="CY161" s="48">
        <f>CY57</f>
        <v>351076.7771276905</v>
      </c>
      <c r="CZ161" s="3">
        <f>CZ57</f>
        <v>358175.17465246056</v>
      </c>
      <c r="DA161" s="3">
        <f>DA57</f>
        <v>429301.41023968498</v>
      </c>
      <c r="DB161" s="93">
        <f>SUM(CX161:DA161)</f>
        <v>1485442.9908564044</v>
      </c>
      <c r="DC161" s="3"/>
      <c r="DD161" s="3"/>
      <c r="DE161" s="3"/>
      <c r="DF161" s="3"/>
      <c r="DG161" s="3"/>
      <c r="DH161" s="3"/>
      <c r="DI161" s="3"/>
      <c r="DJ161" s="3"/>
      <c r="DK161" s="98"/>
      <c r="DL161" s="98"/>
      <c r="DM161" s="61"/>
    </row>
    <row r="162" spans="1:117">
      <c r="A162" s="10" t="s">
        <v>952</v>
      </c>
      <c r="B162" s="244"/>
      <c r="C162" s="38"/>
      <c r="D162" s="178"/>
      <c r="E162" s="178"/>
      <c r="F162" s="194"/>
      <c r="G162" s="244"/>
      <c r="H162" s="38"/>
      <c r="I162" s="178"/>
      <c r="J162" s="178"/>
      <c r="K162" s="194"/>
      <c r="L162" s="244"/>
      <c r="M162" s="38"/>
      <c r="N162" s="178"/>
      <c r="O162" s="178"/>
      <c r="P162" s="194"/>
      <c r="Q162" s="244"/>
      <c r="R162" s="38"/>
      <c r="S162" s="178"/>
      <c r="T162" s="178"/>
      <c r="U162" s="194"/>
      <c r="V162" s="244"/>
      <c r="W162" s="38"/>
      <c r="X162" s="178"/>
      <c r="Y162" s="178"/>
      <c r="Z162" s="243"/>
      <c r="AA162" s="244"/>
      <c r="AB162" s="38"/>
      <c r="AC162" s="65"/>
      <c r="AD162" s="178"/>
      <c r="AE162" s="243"/>
      <c r="AF162" s="19"/>
      <c r="AG162" s="392"/>
      <c r="AH162" s="392"/>
      <c r="AI162" s="178"/>
      <c r="AJ162" s="243"/>
      <c r="AK162" s="19"/>
      <c r="AL162" s="18"/>
      <c r="AM162" s="18"/>
      <c r="AN162" s="178"/>
      <c r="AO162" s="243"/>
      <c r="AP162" s="19"/>
      <c r="AQ162" s="18"/>
      <c r="AR162" s="18"/>
      <c r="AS162" s="178"/>
      <c r="AT162" s="243"/>
      <c r="AU162" s="19"/>
      <c r="AV162" s="18"/>
      <c r="AW162" s="18"/>
      <c r="AX162" s="178"/>
      <c r="AY162" s="243"/>
      <c r="AZ162" s="19"/>
      <c r="BA162" s="18"/>
      <c r="BB162" s="18"/>
      <c r="BC162" s="178"/>
      <c r="BD162" s="243"/>
      <c r="BE162" s="565"/>
      <c r="BF162" s="575"/>
      <c r="BG162" s="18"/>
      <c r="BH162" s="178"/>
      <c r="BI162" s="243"/>
      <c r="BJ162" s="565"/>
      <c r="BK162" s="18"/>
      <c r="BL162" s="18"/>
      <c r="BM162" s="178"/>
      <c r="BN162" s="243"/>
      <c r="BO162" s="565"/>
      <c r="BP162" s="392"/>
      <c r="BQ162" s="18"/>
      <c r="BR162" s="178"/>
      <c r="BS162" s="243"/>
      <c r="BT162" s="19"/>
      <c r="BU162" s="18"/>
      <c r="BV162" s="18"/>
      <c r="BW162" s="18"/>
      <c r="BX162" s="194"/>
      <c r="BY162" s="19"/>
      <c r="BZ162" s="18"/>
      <c r="CA162" s="18"/>
      <c r="CB162" s="18"/>
      <c r="CC162" s="194"/>
      <c r="CD162" s="19"/>
      <c r="CE162" s="18"/>
      <c r="CF162" s="18"/>
      <c r="CG162" s="18"/>
      <c r="CH162" s="194"/>
      <c r="CI162" s="19"/>
      <c r="CJ162" s="18"/>
      <c r="CK162" s="18"/>
      <c r="CL162" s="18"/>
      <c r="CM162" s="194"/>
      <c r="CN162" s="19"/>
      <c r="CO162" s="18"/>
      <c r="CP162" s="18"/>
      <c r="CQ162" s="18"/>
      <c r="CR162" s="194"/>
      <c r="CS162" s="19"/>
      <c r="CT162" s="18"/>
      <c r="CU162" s="18"/>
      <c r="CV162" s="18"/>
      <c r="CW162" s="194"/>
      <c r="CX162" s="19"/>
      <c r="CY162" s="18"/>
      <c r="CZ162" s="18"/>
      <c r="DA162" s="18"/>
      <c r="DB162" s="194"/>
      <c r="DC162" s="178"/>
      <c r="DD162" s="178"/>
      <c r="DE162" s="178"/>
      <c r="DF162" s="178"/>
      <c r="DG162" s="178"/>
      <c r="DH162" s="178"/>
      <c r="DI162" s="178"/>
      <c r="DJ162" s="178"/>
      <c r="DK162" s="186"/>
      <c r="DL162" s="186"/>
      <c r="DM162" s="18"/>
    </row>
    <row r="163" spans="1:117">
      <c r="A163" s="15" t="s">
        <v>698</v>
      </c>
      <c r="B163" s="244">
        <v>46740</v>
      </c>
      <c r="C163" s="48">
        <f>92966-B163</f>
        <v>46226</v>
      </c>
      <c r="D163" s="3">
        <f>118005-C163-B163</f>
        <v>25039</v>
      </c>
      <c r="E163" s="3">
        <f t="shared" ref="E163:E174" si="337">F163-SUM(B163:D163)</f>
        <v>40048</v>
      </c>
      <c r="F163" s="194">
        <v>158053</v>
      </c>
      <c r="G163" s="244">
        <v>43217</v>
      </c>
      <c r="H163" s="48">
        <f>86889-G163</f>
        <v>43672</v>
      </c>
      <c r="I163" s="3">
        <f>135020-H163-G163</f>
        <v>48131</v>
      </c>
      <c r="J163" s="3">
        <f t="shared" ref="J163:J174" si="338">K163-SUM(G163:I163)</f>
        <v>48374</v>
      </c>
      <c r="K163" s="194">
        <v>183394</v>
      </c>
      <c r="L163" s="244">
        <v>56325</v>
      </c>
      <c r="M163" s="48">
        <f>123420-L163</f>
        <v>67095</v>
      </c>
      <c r="N163" s="3">
        <f>178889-M163-L163</f>
        <v>55469</v>
      </c>
      <c r="O163" s="3">
        <f t="shared" ref="O163:O174" si="339">P163-SUM(L163:N163)</f>
        <v>56654</v>
      </c>
      <c r="P163" s="194">
        <v>235543</v>
      </c>
      <c r="Q163" s="244">
        <v>56450</v>
      </c>
      <c r="R163" s="48">
        <f>112094-Q163</f>
        <v>55644</v>
      </c>
      <c r="S163" s="3">
        <f>168458-R163-Q163</f>
        <v>56364</v>
      </c>
      <c r="T163" s="3">
        <f t="shared" ref="T163:T174" si="340">U163-SUM(Q163:S163)</f>
        <v>59506</v>
      </c>
      <c r="U163" s="194">
        <v>227964</v>
      </c>
      <c r="V163" s="244">
        <v>59479</v>
      </c>
      <c r="W163" s="48">
        <f>119180-V163</f>
        <v>59701</v>
      </c>
      <c r="X163" s="3">
        <f>179429-W163-V163</f>
        <v>60249</v>
      </c>
      <c r="Y163" s="3">
        <f t="shared" ref="Y163:Y186" si="341">Z163-SUM(V163:X163)</f>
        <v>64498</v>
      </c>
      <c r="Z163" s="243">
        <v>243927</v>
      </c>
      <c r="AA163" s="244">
        <v>72126</v>
      </c>
      <c r="AB163" s="48">
        <f>143375-AA163</f>
        <v>71249</v>
      </c>
      <c r="AC163" s="99">
        <f>215693-AB163-AA163</f>
        <v>72318</v>
      </c>
      <c r="AD163" s="3">
        <f>AE163-SUM(AA163:AC163)</f>
        <v>73298</v>
      </c>
      <c r="AE163" s="243">
        <v>288991</v>
      </c>
      <c r="AF163" s="37">
        <v>77856</v>
      </c>
      <c r="AG163" s="48">
        <f>153367-AF163</f>
        <v>75511</v>
      </c>
      <c r="AH163" s="48">
        <f>230600-AG163-AF163</f>
        <v>77233</v>
      </c>
      <c r="AI163" s="3">
        <f>AJ163-SUM(AF163:AH163)</f>
        <v>76717</v>
      </c>
      <c r="AJ163" s="243">
        <v>307317</v>
      </c>
      <c r="AK163" s="37">
        <v>79391</v>
      </c>
      <c r="AL163" s="38">
        <f>158215-AK163</f>
        <v>78824</v>
      </c>
      <c r="AM163" s="38">
        <f>234201-AL163-AK163</f>
        <v>75986</v>
      </c>
      <c r="AN163" s="3">
        <f>AO163-SUM(AK163:AM163)</f>
        <v>78087</v>
      </c>
      <c r="AO163" s="243">
        <v>312288</v>
      </c>
      <c r="AP163" s="37">
        <v>83417</v>
      </c>
      <c r="AQ163" s="38">
        <f>168003-AP163</f>
        <v>84586</v>
      </c>
      <c r="AR163" s="38">
        <f>249437-AQ163-AP163</f>
        <v>81434</v>
      </c>
      <c r="AS163" s="3">
        <f>AT163-SUM(AP163:AR163)</f>
        <v>86415</v>
      </c>
      <c r="AT163" s="243">
        <v>335852</v>
      </c>
      <c r="AU163" s="37">
        <v>90221</v>
      </c>
      <c r="AV163" s="38">
        <f>182076-AU163</f>
        <v>91855</v>
      </c>
      <c r="AW163" s="38">
        <f>276343-AV163-AU163</f>
        <v>94267</v>
      </c>
      <c r="AX163" s="3">
        <f>AY163-SUM(AU163:AW163)</f>
        <v>108034</v>
      </c>
      <c r="AY163" s="243">
        <v>384377</v>
      </c>
      <c r="AZ163" s="37">
        <v>78768</v>
      </c>
      <c r="BA163" s="38">
        <f>150895-AZ163</f>
        <v>72127</v>
      </c>
      <c r="BB163" s="38">
        <f>225483-BA163-AZ163</f>
        <v>74588</v>
      </c>
      <c r="BC163" s="3">
        <f t="shared" ref="BC163:BC168" si="342">BD163-SUM(AZ163:BB163)</f>
        <v>80555</v>
      </c>
      <c r="BD163" s="243">
        <v>306038</v>
      </c>
      <c r="BE163" s="550">
        <v>85955</v>
      </c>
      <c r="BF163" s="576">
        <f>172942-BE163</f>
        <v>86987</v>
      </c>
      <c r="BG163" s="48">
        <f>261241-BF163-BE163</f>
        <v>88299</v>
      </c>
      <c r="BH163" s="3">
        <f t="shared" ref="BH163:BH174" si="343">BI163-SUM(BE163:BG163)</f>
        <v>93379</v>
      </c>
      <c r="BI163" s="243">
        <v>354620</v>
      </c>
      <c r="BJ163" s="550">
        <v>94478</v>
      </c>
      <c r="BK163" s="48">
        <f>193725-BJ163</f>
        <v>99247</v>
      </c>
      <c r="BL163" s="48">
        <f>292275-BK163-BJ163</f>
        <v>98550</v>
      </c>
      <c r="BM163" s="3">
        <f t="shared" ref="BM163:BM174" si="344">BN163-BL163-BK163-BJ163</f>
        <v>99310</v>
      </c>
      <c r="BN163" s="243">
        <v>391585</v>
      </c>
      <c r="BO163" s="550">
        <v>99419</v>
      </c>
      <c r="BP163" s="48">
        <f>200268-BO163</f>
        <v>100849</v>
      </c>
      <c r="BQ163" s="48">
        <f>302566-BP163-BO163</f>
        <v>102298</v>
      </c>
      <c r="BR163" s="3">
        <f t="shared" ref="BR163:BR174" si="345">BS163-BQ163-BP163-BO163</f>
        <v>103769</v>
      </c>
      <c r="BS163" s="243">
        <v>406335</v>
      </c>
      <c r="BT163" s="94">
        <f>BT22</f>
        <v>103784.81000000001</v>
      </c>
      <c r="BU163" s="48">
        <f>BU22</f>
        <v>105266</v>
      </c>
      <c r="BV163" s="48">
        <f>BV22</f>
        <v>106855</v>
      </c>
      <c r="BW163" s="48">
        <f>BW22</f>
        <v>109057.11630000002</v>
      </c>
      <c r="BX163" s="93">
        <f t="shared" ref="BX163:BX175" si="346">SUM(BT163:BW163)</f>
        <v>424962.92630000005</v>
      </c>
      <c r="BY163" s="94">
        <f>BY22</f>
        <v>108165.80870000001</v>
      </c>
      <c r="BZ163" s="48">
        <f>BZ22</f>
        <v>109736.18000000002</v>
      </c>
      <c r="CA163" s="48">
        <f>CA22</f>
        <v>111400.31</v>
      </c>
      <c r="CB163" s="48">
        <f>CB22</f>
        <v>113655.03196300002</v>
      </c>
      <c r="CC163" s="93">
        <f t="shared" ref="CC163:CC175" si="347">SUM(BY163:CB163)</f>
        <v>442957.33066300006</v>
      </c>
      <c r="CD163" s="94">
        <f>CD22</f>
        <v>112834.31705899999</v>
      </c>
      <c r="CE163" s="48">
        <f>CE22</f>
        <v>114500.3072</v>
      </c>
      <c r="CF163" s="48">
        <f>CF22</f>
        <v>116244.6493</v>
      </c>
      <c r="CG163" s="48">
        <f>CG22</f>
        <v>118554.51071013001</v>
      </c>
      <c r="CH163" s="93">
        <f t="shared" ref="CH163:CH175" si="348">SUM(CD163:CG163)</f>
        <v>462133.78426912997</v>
      </c>
      <c r="CI163" s="94">
        <f>CI22</f>
        <v>117811.34691653</v>
      </c>
      <c r="CJ163" s="48">
        <f>CJ22</f>
        <v>119579.87310500001</v>
      </c>
      <c r="CK163" s="48">
        <f>CK22</f>
        <v>121409.882792</v>
      </c>
      <c r="CL163" s="48">
        <f>CL22</f>
        <v>123777.58762859381</v>
      </c>
      <c r="CM163" s="93">
        <f t="shared" ref="CM163:CM175" si="349">SUM(CI163:CL163)</f>
        <v>482578.6904421238</v>
      </c>
      <c r="CN163" s="94">
        <f>CN22</f>
        <v>123119.47767158662</v>
      </c>
      <c r="CO163" s="48">
        <f>CO22</f>
        <v>124997.972710085</v>
      </c>
      <c r="CP163" s="48">
        <f>CP22</f>
        <v>126919.50673952501</v>
      </c>
      <c r="CQ163" s="48">
        <f>CQ22</f>
        <v>129347.94162893045</v>
      </c>
      <c r="CR163" s="93">
        <f>SUM(CN163:CQ163)</f>
        <v>504384.89875012706</v>
      </c>
      <c r="CS163" s="94">
        <f>CS22</f>
        <v>128782.97371001504</v>
      </c>
      <c r="CT163" s="48">
        <f>CT22</f>
        <v>130779.42462190466</v>
      </c>
      <c r="CU163" s="48">
        <f>CU22</f>
        <v>132798.77098808924</v>
      </c>
      <c r="CV163" s="48">
        <f>CV22</f>
        <v>135291.01858394695</v>
      </c>
      <c r="CW163" s="93">
        <f>SUM(CS163:CV163)</f>
        <v>527652.18790395593</v>
      </c>
      <c r="CX163" s="94">
        <f>CX22</f>
        <v>134827.91063642318</v>
      </c>
      <c r="CY163" s="48">
        <f>CY22</f>
        <v>136950.90018673026</v>
      </c>
      <c r="CZ163" s="48">
        <f>CZ22</f>
        <v>139074.81033887225</v>
      </c>
      <c r="DA163" s="48">
        <f>DA22</f>
        <v>141634.16370039835</v>
      </c>
      <c r="DB163" s="93">
        <f>SUM(CX163:DA163)</f>
        <v>552487.78486242401</v>
      </c>
      <c r="DC163" s="3"/>
      <c r="DD163" s="3"/>
      <c r="DE163" s="3"/>
      <c r="DF163" s="3"/>
      <c r="DG163" s="3"/>
      <c r="DH163" s="3"/>
      <c r="DI163" s="3"/>
      <c r="DJ163" s="3"/>
      <c r="DK163" s="98"/>
      <c r="DL163" s="98"/>
      <c r="DM163" s="18"/>
    </row>
    <row r="164" spans="1:117">
      <c r="A164" s="15" t="s">
        <v>251</v>
      </c>
      <c r="B164" s="114">
        <f t="shared" ref="B164:AF164" si="350">-B39</f>
        <v>0</v>
      </c>
      <c r="C164" s="99">
        <f t="shared" si="350"/>
        <v>0</v>
      </c>
      <c r="D164" s="99">
        <f t="shared" si="350"/>
        <v>0</v>
      </c>
      <c r="E164" s="99">
        <f t="shared" si="350"/>
        <v>0</v>
      </c>
      <c r="F164" s="121">
        <f t="shared" si="350"/>
        <v>0</v>
      </c>
      <c r="G164" s="114">
        <f t="shared" si="350"/>
        <v>0</v>
      </c>
      <c r="H164" s="99">
        <f t="shared" si="350"/>
        <v>0</v>
      </c>
      <c r="I164" s="99">
        <f t="shared" si="350"/>
        <v>0</v>
      </c>
      <c r="J164" s="99">
        <f t="shared" si="350"/>
        <v>0</v>
      </c>
      <c r="K164" s="121">
        <f t="shared" si="350"/>
        <v>0</v>
      </c>
      <c r="L164" s="114">
        <f t="shared" si="350"/>
        <v>0</v>
      </c>
      <c r="M164" s="99">
        <f t="shared" si="350"/>
        <v>0</v>
      </c>
      <c r="N164" s="99">
        <f t="shared" si="350"/>
        <v>0</v>
      </c>
      <c r="O164" s="99">
        <f t="shared" si="350"/>
        <v>-2205</v>
      </c>
      <c r="P164" s="121">
        <f t="shared" si="350"/>
        <v>-2205</v>
      </c>
      <c r="Q164" s="114">
        <f t="shared" si="350"/>
        <v>-1337</v>
      </c>
      <c r="R164" s="99">
        <f t="shared" si="350"/>
        <v>-1658</v>
      </c>
      <c r="S164" s="99">
        <f t="shared" si="350"/>
        <v>-3691</v>
      </c>
      <c r="T164" s="99">
        <f t="shared" si="350"/>
        <v>-5852</v>
      </c>
      <c r="U164" s="121">
        <f t="shared" si="350"/>
        <v>-12538</v>
      </c>
      <c r="V164" s="114">
        <f t="shared" si="350"/>
        <v>-8496</v>
      </c>
      <c r="W164" s="99">
        <f t="shared" si="350"/>
        <v>-11676</v>
      </c>
      <c r="X164" s="99">
        <f t="shared" si="350"/>
        <v>-15616</v>
      </c>
      <c r="Y164" s="99">
        <f t="shared" si="350"/>
        <v>-15118</v>
      </c>
      <c r="Z164" s="121">
        <f t="shared" si="350"/>
        <v>-50906</v>
      </c>
      <c r="AA164" s="114">
        <f t="shared" si="350"/>
        <v>-9003</v>
      </c>
      <c r="AB164" s="99">
        <f t="shared" si="350"/>
        <v>-9468</v>
      </c>
      <c r="AC164" s="99">
        <f>-25761-AB164-AA164</f>
        <v>-7290</v>
      </c>
      <c r="AD164" s="99">
        <f>-AD39</f>
        <v>-1107</v>
      </c>
      <c r="AE164" s="121">
        <f>-AE39</f>
        <v>-26868</v>
      </c>
      <c r="AF164" s="114">
        <f t="shared" si="350"/>
        <v>-247</v>
      </c>
      <c r="AG164" s="99">
        <f>-482-AF164</f>
        <v>-235</v>
      </c>
      <c r="AH164" s="99">
        <f>-748-AG164-AF164</f>
        <v>-266</v>
      </c>
      <c r="AI164" s="99">
        <f>-AI39</f>
        <v>-270</v>
      </c>
      <c r="AJ164" s="121">
        <f>-AJ39</f>
        <v>-1018</v>
      </c>
      <c r="AK164" s="114">
        <f>-AK39</f>
        <v>-466</v>
      </c>
      <c r="AL164" s="99">
        <f>-866-AK164</f>
        <v>-400</v>
      </c>
      <c r="AM164" s="99">
        <f>-1625-AL164-AK164</f>
        <v>-759</v>
      </c>
      <c r="AN164" s="3">
        <f>AO164-SUM(AK164:AM164)</f>
        <v>-710</v>
      </c>
      <c r="AO164" s="172">
        <v>-2335</v>
      </c>
      <c r="AP164" s="114">
        <f>-AP39</f>
        <v>-975</v>
      </c>
      <c r="AQ164" s="99">
        <f>-2824-AP164</f>
        <v>-1849</v>
      </c>
      <c r="AR164" s="99">
        <f>-6126-AQ164-AP164</f>
        <v>-3302</v>
      </c>
      <c r="AS164" s="3">
        <f>AT164-SUM(AP164:AR164)</f>
        <v>-7522</v>
      </c>
      <c r="AT164" s="172">
        <v>-13648</v>
      </c>
      <c r="AU164" s="114">
        <f>-AU39</f>
        <v>-9087</v>
      </c>
      <c r="AV164" s="99">
        <f>-14743-AU164</f>
        <v>-5656</v>
      </c>
      <c r="AW164" s="99">
        <f>-21172-AV164-AU164</f>
        <v>-6429</v>
      </c>
      <c r="AX164" s="3">
        <f>AY164-SUM(AU164:AW164)</f>
        <v>-9350</v>
      </c>
      <c r="AY164" s="172">
        <v>-30522</v>
      </c>
      <c r="AZ164" s="114">
        <f>-AZ39</f>
        <v>-10971</v>
      </c>
      <c r="BA164" s="99">
        <f>-12224-AZ164</f>
        <v>-1253</v>
      </c>
      <c r="BB164" s="99">
        <f>-13947-BA164-AZ164</f>
        <v>-1723</v>
      </c>
      <c r="BC164" s="3">
        <f t="shared" si="342"/>
        <v>-990</v>
      </c>
      <c r="BD164" s="172">
        <v>-14937</v>
      </c>
      <c r="BE164" s="574">
        <f>-BE39</f>
        <v>-799</v>
      </c>
      <c r="BF164" s="576">
        <f>+-1541-BE164</f>
        <v>-742</v>
      </c>
      <c r="BG164" s="99">
        <f>+-1718-BF164-BE164</f>
        <v>-177</v>
      </c>
      <c r="BH164" s="3">
        <f t="shared" si="343"/>
        <v>-461</v>
      </c>
      <c r="BI164" s="172">
        <v>-2179</v>
      </c>
      <c r="BJ164" s="574">
        <f>-BJ39</f>
        <v>-208</v>
      </c>
      <c r="BK164" s="99">
        <f>+-208-BJ164</f>
        <v>0</v>
      </c>
      <c r="BL164" s="99">
        <f>+-208-BK164-BJ164</f>
        <v>0</v>
      </c>
      <c r="BM164" s="3">
        <f t="shared" si="344"/>
        <v>-1</v>
      </c>
      <c r="BN164" s="172">
        <v>-209</v>
      </c>
      <c r="BO164" s="574">
        <f>-BO39</f>
        <v>-13</v>
      </c>
      <c r="BP164" s="99">
        <f>-35-BO164</f>
        <v>-22</v>
      </c>
      <c r="BQ164" s="99">
        <f>-75-BP164-BO164</f>
        <v>-40</v>
      </c>
      <c r="BR164" s="3">
        <f t="shared" si="345"/>
        <v>-32</v>
      </c>
      <c r="BS164" s="172">
        <v>-107</v>
      </c>
      <c r="BT164" s="114">
        <f>-BT39</f>
        <v>-1250</v>
      </c>
      <c r="BU164" s="99">
        <f>-BU39</f>
        <v>-1250</v>
      </c>
      <c r="BV164" s="99">
        <f>-BV39</f>
        <v>-1250</v>
      </c>
      <c r="BW164" s="99">
        <f>-BW39</f>
        <v>-1250</v>
      </c>
      <c r="BX164" s="93">
        <f t="shared" si="346"/>
        <v>-5000</v>
      </c>
      <c r="BY164" s="114">
        <f>-BY39</f>
        <v>-1250</v>
      </c>
      <c r="BZ164" s="99">
        <f>-BZ39</f>
        <v>-1250</v>
      </c>
      <c r="CA164" s="99">
        <f>-CA39</f>
        <v>-1250</v>
      </c>
      <c r="CB164" s="99">
        <f>-CB39</f>
        <v>-1250</v>
      </c>
      <c r="CC164" s="93">
        <f t="shared" si="347"/>
        <v>-5000</v>
      </c>
      <c r="CD164" s="114">
        <f>-CD39</f>
        <v>-1250</v>
      </c>
      <c r="CE164" s="99">
        <f>-CE39</f>
        <v>-1250</v>
      </c>
      <c r="CF164" s="99">
        <f>-CF39</f>
        <v>-1250</v>
      </c>
      <c r="CG164" s="99">
        <f>-CG39</f>
        <v>-1250</v>
      </c>
      <c r="CH164" s="93">
        <f t="shared" si="348"/>
        <v>-5000</v>
      </c>
      <c r="CI164" s="114">
        <f>-CI39</f>
        <v>-1250</v>
      </c>
      <c r="CJ164" s="99">
        <f>-CJ39</f>
        <v>-1250</v>
      </c>
      <c r="CK164" s="99">
        <f>-CK39</f>
        <v>-1250</v>
      </c>
      <c r="CL164" s="99">
        <f>-CL39</f>
        <v>-1250</v>
      </c>
      <c r="CM164" s="93">
        <f t="shared" si="349"/>
        <v>-5000</v>
      </c>
      <c r="CN164" s="114">
        <f t="shared" ref="CN164:DB164" si="351">-CN39</f>
        <v>-1250</v>
      </c>
      <c r="CO164" s="99">
        <f t="shared" si="351"/>
        <v>-1250</v>
      </c>
      <c r="CP164" s="99">
        <f t="shared" si="351"/>
        <v>-1250</v>
      </c>
      <c r="CQ164" s="99">
        <f t="shared" si="351"/>
        <v>-1250</v>
      </c>
      <c r="CR164" s="121">
        <f t="shared" si="351"/>
        <v>-5000</v>
      </c>
      <c r="CS164" s="114">
        <f t="shared" si="351"/>
        <v>-1250</v>
      </c>
      <c r="CT164" s="99">
        <f t="shared" si="351"/>
        <v>-1250</v>
      </c>
      <c r="CU164" s="99">
        <f t="shared" si="351"/>
        <v>-1250</v>
      </c>
      <c r="CV164" s="99">
        <f t="shared" si="351"/>
        <v>-1250</v>
      </c>
      <c r="CW164" s="121">
        <f t="shared" si="351"/>
        <v>-5000</v>
      </c>
      <c r="CX164" s="114">
        <f t="shared" si="351"/>
        <v>-1250</v>
      </c>
      <c r="CY164" s="99">
        <f t="shared" si="351"/>
        <v>-1250</v>
      </c>
      <c r="CZ164" s="99">
        <f t="shared" si="351"/>
        <v>-1250</v>
      </c>
      <c r="DA164" s="99">
        <f t="shared" si="351"/>
        <v>-1250</v>
      </c>
      <c r="DB164" s="121">
        <f t="shared" si="351"/>
        <v>-5000</v>
      </c>
      <c r="DC164" s="99"/>
      <c r="DD164" s="99"/>
      <c r="DE164" s="99"/>
      <c r="DF164" s="99"/>
      <c r="DG164" s="99"/>
      <c r="DH164" s="99"/>
      <c r="DI164" s="99"/>
      <c r="DJ164" s="99"/>
      <c r="DK164" s="99"/>
      <c r="DL164" s="99"/>
      <c r="DM164" s="18"/>
    </row>
    <row r="165" spans="1:117">
      <c r="A165" s="15" t="s">
        <v>614</v>
      </c>
      <c r="B165" s="244">
        <v>0</v>
      </c>
      <c r="C165" s="48">
        <f>0-B165</f>
        <v>0</v>
      </c>
      <c r="D165" s="3">
        <f>0-C165-B165</f>
        <v>0</v>
      </c>
      <c r="E165" s="3">
        <f>F165-SUM(B165:D165)</f>
        <v>0</v>
      </c>
      <c r="F165" s="194">
        <v>0</v>
      </c>
      <c r="G165" s="244">
        <v>0</v>
      </c>
      <c r="H165" s="48">
        <f>0-G165</f>
        <v>0</v>
      </c>
      <c r="I165" s="98">
        <f>52226-151355-H165-G165</f>
        <v>-99129</v>
      </c>
      <c r="J165" s="98">
        <f>K165-SUM(G165:I165)</f>
        <v>1778</v>
      </c>
      <c r="K165" s="255">
        <f>52226-149577</f>
        <v>-97351</v>
      </c>
      <c r="L165" s="244">
        <v>0</v>
      </c>
      <c r="M165" s="48">
        <f>0-L165</f>
        <v>0</v>
      </c>
      <c r="N165" s="3">
        <f>0-M165-L165</f>
        <v>0</v>
      </c>
      <c r="O165" s="3">
        <f>P165-SUM(L165:N165)</f>
        <v>0</v>
      </c>
      <c r="P165" s="194">
        <v>0</v>
      </c>
      <c r="Q165" s="244">
        <v>0</v>
      </c>
      <c r="R165" s="48">
        <f>0-Q165</f>
        <v>0</v>
      </c>
      <c r="S165" s="3">
        <f>0-R165-Q165</f>
        <v>0</v>
      </c>
      <c r="T165" s="3">
        <f>U165-SUM(Q165:S165)</f>
        <v>0</v>
      </c>
      <c r="U165" s="194">
        <v>0</v>
      </c>
      <c r="V165" s="244">
        <v>0</v>
      </c>
      <c r="W165" s="48">
        <f>0-V165</f>
        <v>0</v>
      </c>
      <c r="X165" s="3">
        <f>0-W165-V165</f>
        <v>0</v>
      </c>
      <c r="Y165" s="3">
        <f>Z165-SUM(V165:X165)</f>
        <v>0</v>
      </c>
      <c r="Z165" s="194">
        <v>0</v>
      </c>
      <c r="AA165" s="244">
        <v>0</v>
      </c>
      <c r="AB165" s="38">
        <v>0</v>
      </c>
      <c r="AC165" s="65">
        <v>0</v>
      </c>
      <c r="AD165" s="3">
        <f>AE165-SUM(AA165:AC165)</f>
        <v>0</v>
      </c>
      <c r="AE165" s="194">
        <v>0</v>
      </c>
      <c r="AF165" s="94">
        <f>AE165*1.005</f>
        <v>0</v>
      </c>
      <c r="AG165" s="48">
        <f>0-AF165</f>
        <v>0</v>
      </c>
      <c r="AH165" s="48">
        <v>0</v>
      </c>
      <c r="AI165" s="3">
        <f>AJ165-SUM(AF165:AH165)</f>
        <v>0</v>
      </c>
      <c r="AJ165" s="194">
        <v>0</v>
      </c>
      <c r="AK165" s="94">
        <f>AJ165*1.005</f>
        <v>0</v>
      </c>
      <c r="AL165" s="48">
        <v>0</v>
      </c>
      <c r="AM165" s="48">
        <v>0</v>
      </c>
      <c r="AN165" s="3">
        <f>AO165-SUM(AK165:AM165)</f>
        <v>0</v>
      </c>
      <c r="AO165" s="194">
        <v>0</v>
      </c>
      <c r="AP165" s="94">
        <f>-13250+10255</f>
        <v>-2995</v>
      </c>
      <c r="AQ165" s="48">
        <f>-13517-AP165</f>
        <v>-10522</v>
      </c>
      <c r="AR165" s="48">
        <f>-13517-AQ165-AP165</f>
        <v>0</v>
      </c>
      <c r="AS165" s="3">
        <f>AT165-SUM(AP165:AR165)</f>
        <v>0</v>
      </c>
      <c r="AT165" s="194">
        <v>-13517</v>
      </c>
      <c r="AU165" s="94">
        <v>0</v>
      </c>
      <c r="AV165" s="48">
        <v>0</v>
      </c>
      <c r="AW165" s="48">
        <v>0</v>
      </c>
      <c r="AX165" s="3">
        <f>AY165-SUM(AU165:AW165)</f>
        <v>0</v>
      </c>
      <c r="AY165" s="194">
        <v>0</v>
      </c>
      <c r="AZ165" s="94">
        <v>0</v>
      </c>
      <c r="BA165" s="48">
        <v>0</v>
      </c>
      <c r="BB165" s="48">
        <v>0</v>
      </c>
      <c r="BC165" s="3">
        <f t="shared" si="342"/>
        <v>0</v>
      </c>
      <c r="BD165" s="194">
        <v>0</v>
      </c>
      <c r="BE165" s="574">
        <v>0</v>
      </c>
      <c r="BF165" s="576">
        <v>0</v>
      </c>
      <c r="BG165" s="38">
        <v>0</v>
      </c>
      <c r="BH165" s="3">
        <f t="shared" si="343"/>
        <v>0</v>
      </c>
      <c r="BI165" s="194">
        <v>0</v>
      </c>
      <c r="BJ165" s="574">
        <v>0</v>
      </c>
      <c r="BK165" s="38">
        <v>0</v>
      </c>
      <c r="BL165" s="99">
        <f>0-BK165-BJ165</f>
        <v>0</v>
      </c>
      <c r="BM165" s="3">
        <f t="shared" si="344"/>
        <v>0</v>
      </c>
      <c r="BN165" s="194">
        <v>0</v>
      </c>
      <c r="BO165" s="574">
        <v>0</v>
      </c>
      <c r="BP165" s="3">
        <f>0-BO165</f>
        <v>0</v>
      </c>
      <c r="BQ165" s="99">
        <f>0-BP165-BO165</f>
        <v>0</v>
      </c>
      <c r="BR165" s="3">
        <f t="shared" si="345"/>
        <v>0</v>
      </c>
      <c r="BS165" s="194">
        <v>0</v>
      </c>
      <c r="BT165" s="94">
        <f>BS165*1.005</f>
        <v>0</v>
      </c>
      <c r="BU165" s="38">
        <v>0</v>
      </c>
      <c r="BV165" s="38">
        <v>0</v>
      </c>
      <c r="BW165" s="38">
        <v>0</v>
      </c>
      <c r="BX165" s="93">
        <f t="shared" si="346"/>
        <v>0</v>
      </c>
      <c r="BY165" s="94">
        <f>BX165*1.005</f>
        <v>0</v>
      </c>
      <c r="BZ165" s="38">
        <v>0</v>
      </c>
      <c r="CA165" s="38">
        <v>0</v>
      </c>
      <c r="CB165" s="38">
        <v>0</v>
      </c>
      <c r="CC165" s="93">
        <f t="shared" si="347"/>
        <v>0</v>
      </c>
      <c r="CD165" s="94">
        <f>CC165*1.005</f>
        <v>0</v>
      </c>
      <c r="CE165" s="38">
        <v>0</v>
      </c>
      <c r="CF165" s="38">
        <v>0</v>
      </c>
      <c r="CG165" s="38">
        <v>0</v>
      </c>
      <c r="CH165" s="93">
        <f t="shared" si="348"/>
        <v>0</v>
      </c>
      <c r="CI165" s="94">
        <f>CH165*1.005</f>
        <v>0</v>
      </c>
      <c r="CJ165" s="38">
        <v>0</v>
      </c>
      <c r="CK165" s="38">
        <v>0</v>
      </c>
      <c r="CL165" s="38">
        <v>0</v>
      </c>
      <c r="CM165" s="93">
        <f t="shared" si="349"/>
        <v>0</v>
      </c>
      <c r="CN165" s="94">
        <f>CM165*1.005</f>
        <v>0</v>
      </c>
      <c r="CO165" s="38">
        <v>0</v>
      </c>
      <c r="CP165" s="38">
        <v>0</v>
      </c>
      <c r="CQ165" s="38">
        <v>0</v>
      </c>
      <c r="CR165" s="93">
        <f>SUM(CN165:CQ165)</f>
        <v>0</v>
      </c>
      <c r="CS165" s="94">
        <f>CR165*1.005</f>
        <v>0</v>
      </c>
      <c r="CT165" s="38">
        <v>0</v>
      </c>
      <c r="CU165" s="38">
        <v>0</v>
      </c>
      <c r="CV165" s="38">
        <v>0</v>
      </c>
      <c r="CW165" s="93">
        <f>SUM(CS165:CV165)</f>
        <v>0</v>
      </c>
      <c r="CX165" s="94">
        <f>CW165*1.005</f>
        <v>0</v>
      </c>
      <c r="CY165" s="38">
        <v>0</v>
      </c>
      <c r="CZ165" s="38">
        <v>0</v>
      </c>
      <c r="DA165" s="38">
        <v>0</v>
      </c>
      <c r="DB165" s="93">
        <f>SUM(CX165:DA165)</f>
        <v>0</v>
      </c>
      <c r="DC165" s="3"/>
      <c r="DD165" s="3"/>
      <c r="DE165" s="3"/>
      <c r="DF165" s="3"/>
      <c r="DG165" s="3"/>
      <c r="DH165" s="3"/>
      <c r="DI165" s="3"/>
      <c r="DJ165" s="3"/>
      <c r="DK165" s="98"/>
      <c r="DL165" s="98"/>
      <c r="DM165" s="18"/>
    </row>
    <row r="166" spans="1:117">
      <c r="A166" s="15" t="s">
        <v>905</v>
      </c>
      <c r="B166" s="244">
        <v>-6964</v>
      </c>
      <c r="C166" s="48">
        <f>-8606-B166</f>
        <v>-1642</v>
      </c>
      <c r="D166" s="3">
        <f>-9345-C166-B166</f>
        <v>-739</v>
      </c>
      <c r="E166" s="3">
        <f t="shared" si="337"/>
        <v>9345</v>
      </c>
      <c r="F166" s="194">
        <v>0</v>
      </c>
      <c r="G166" s="244">
        <v>-54</v>
      </c>
      <c r="H166" s="48">
        <f>526-G166</f>
        <v>580</v>
      </c>
      <c r="I166" s="3">
        <f>0-H166-G166</f>
        <v>-526</v>
      </c>
      <c r="J166" s="3">
        <f t="shared" si="338"/>
        <v>-269040</v>
      </c>
      <c r="K166" s="194">
        <v>-269040</v>
      </c>
      <c r="L166" s="244">
        <v>-1305</v>
      </c>
      <c r="M166" s="48">
        <f>-116392-L166</f>
        <v>-115087</v>
      </c>
      <c r="N166" s="3">
        <f>-116428-M166-L166</f>
        <v>-36</v>
      </c>
      <c r="O166" s="3">
        <f t="shared" si="339"/>
        <v>-100</v>
      </c>
      <c r="P166" s="194">
        <v>-116528</v>
      </c>
      <c r="Q166" s="244">
        <v>-2203</v>
      </c>
      <c r="R166" s="48">
        <f>-1834-Q166</f>
        <v>369</v>
      </c>
      <c r="S166" s="3">
        <f>-1893-R166-Q166</f>
        <v>-59</v>
      </c>
      <c r="T166" s="3">
        <f t="shared" si="340"/>
        <v>-16</v>
      </c>
      <c r="U166" s="194">
        <v>-1909</v>
      </c>
      <c r="V166" s="244">
        <v>-13</v>
      </c>
      <c r="W166" s="48">
        <f>-9-V166</f>
        <v>4</v>
      </c>
      <c r="X166" s="3">
        <f>-1319-W166-V166</f>
        <v>-1310</v>
      </c>
      <c r="Y166" s="3">
        <f t="shared" si="341"/>
        <v>-997</v>
      </c>
      <c r="Z166" s="243">
        <v>-2316</v>
      </c>
      <c r="AA166" s="244">
        <v>-664</v>
      </c>
      <c r="AB166" s="48">
        <f>-4426-AA166</f>
        <v>-3762</v>
      </c>
      <c r="AC166" s="99">
        <f>-3246-AB166-AA166</f>
        <v>1180</v>
      </c>
      <c r="AD166" s="3">
        <f>AE166-SUM(AA166:AC166)</f>
        <v>-1560</v>
      </c>
      <c r="AE166" s="243">
        <v>-4806</v>
      </c>
      <c r="AF166" s="37">
        <v>786</v>
      </c>
      <c r="AG166" s="48">
        <f>1058-AF166</f>
        <v>272</v>
      </c>
      <c r="AH166" s="48">
        <f>-15068-AG166-AF166</f>
        <v>-16126</v>
      </c>
      <c r="AI166" s="3">
        <f>AJ166-SUM(AF166:AH166)</f>
        <v>-3551</v>
      </c>
      <c r="AJ166" s="243">
        <v>-18619</v>
      </c>
      <c r="AK166" s="37">
        <v>510</v>
      </c>
      <c r="AL166" s="38">
        <f>722-AK166</f>
        <v>212</v>
      </c>
      <c r="AM166" s="38">
        <f>791-AL166-AK166</f>
        <v>69</v>
      </c>
      <c r="AN166" s="3">
        <f>AO166-SUM(AK166:AM166)</f>
        <v>172</v>
      </c>
      <c r="AO166" s="243">
        <v>963</v>
      </c>
      <c r="AP166" s="37">
        <v>-57</v>
      </c>
      <c r="AQ166" s="38">
        <f>-1023-AP166</f>
        <v>-966</v>
      </c>
      <c r="AR166" s="38">
        <f>-603-AQ166-AP166</f>
        <v>420</v>
      </c>
      <c r="AS166" s="3">
        <f>AT166-SUM(AP166:AR166)</f>
        <v>-6133</v>
      </c>
      <c r="AT166" s="243">
        <v>-6736</v>
      </c>
      <c r="AU166" s="37">
        <v>-41</v>
      </c>
      <c r="AV166" s="38">
        <f>-320-AU166</f>
        <v>-279</v>
      </c>
      <c r="AW166" s="38">
        <f>-342-AV166-AU166</f>
        <v>-22</v>
      </c>
      <c r="AX166" s="3">
        <f>AY166-SUM(AU166:AW166)</f>
        <v>-11539</v>
      </c>
      <c r="AY166" s="243">
        <v>-11881</v>
      </c>
      <c r="AZ166" s="37">
        <v>-15</v>
      </c>
      <c r="BA166" s="38">
        <f>1-AZ166</f>
        <v>16</v>
      </c>
      <c r="BB166" s="38">
        <f>-1533-BA166-AZ166</f>
        <v>-1534</v>
      </c>
      <c r="BC166" s="3">
        <f t="shared" si="342"/>
        <v>-5066</v>
      </c>
      <c r="BD166" s="243">
        <v>-6599</v>
      </c>
      <c r="BE166" s="550">
        <v>0</v>
      </c>
      <c r="BF166" s="576">
        <v>0</v>
      </c>
      <c r="BG166" s="38">
        <v>0</v>
      </c>
      <c r="BH166" s="3">
        <f t="shared" si="343"/>
        <v>-5629</v>
      </c>
      <c r="BI166" s="243">
        <v>-5629</v>
      </c>
      <c r="BJ166" s="550">
        <v>-4206</v>
      </c>
      <c r="BK166" s="48">
        <f>-3793-BJ166</f>
        <v>413</v>
      </c>
      <c r="BL166" s="99">
        <f>-9537-BK166-BJ166</f>
        <v>-5744</v>
      </c>
      <c r="BM166" s="3">
        <f t="shared" si="344"/>
        <v>-98</v>
      </c>
      <c r="BN166" s="243">
        <v>-9635</v>
      </c>
      <c r="BO166" s="550">
        <v>7</v>
      </c>
      <c r="BP166" s="48">
        <f>-630-BO166</f>
        <v>-637</v>
      </c>
      <c r="BQ166" s="99">
        <f>-904-BP166-BO166</f>
        <v>-274</v>
      </c>
      <c r="BR166" s="3">
        <f t="shared" si="345"/>
        <v>-20</v>
      </c>
      <c r="BS166" s="243">
        <v>-924</v>
      </c>
      <c r="BT166" s="37">
        <v>0</v>
      </c>
      <c r="BU166" s="38">
        <v>0</v>
      </c>
      <c r="BV166" s="38">
        <v>0</v>
      </c>
      <c r="BW166" s="38">
        <v>0</v>
      </c>
      <c r="BX166" s="93">
        <f t="shared" si="346"/>
        <v>0</v>
      </c>
      <c r="BY166" s="37">
        <v>0</v>
      </c>
      <c r="BZ166" s="38">
        <v>0</v>
      </c>
      <c r="CA166" s="38">
        <v>0</v>
      </c>
      <c r="CB166" s="38">
        <v>0</v>
      </c>
      <c r="CC166" s="93">
        <f t="shared" si="347"/>
        <v>0</v>
      </c>
      <c r="CD166" s="37">
        <v>0</v>
      </c>
      <c r="CE166" s="38">
        <v>0</v>
      </c>
      <c r="CF166" s="38">
        <v>0</v>
      </c>
      <c r="CG166" s="38">
        <v>0</v>
      </c>
      <c r="CH166" s="93">
        <f t="shared" si="348"/>
        <v>0</v>
      </c>
      <c r="CI166" s="37">
        <v>0</v>
      </c>
      <c r="CJ166" s="38">
        <v>0</v>
      </c>
      <c r="CK166" s="38">
        <v>0</v>
      </c>
      <c r="CL166" s="38">
        <v>0</v>
      </c>
      <c r="CM166" s="93">
        <f t="shared" si="349"/>
        <v>0</v>
      </c>
      <c r="CN166" s="37">
        <v>0</v>
      </c>
      <c r="CO166" s="38">
        <v>0</v>
      </c>
      <c r="CP166" s="38">
        <v>0</v>
      </c>
      <c r="CQ166" s="38">
        <v>0</v>
      </c>
      <c r="CR166" s="93">
        <f>SUM(CN166:CQ166)</f>
        <v>0</v>
      </c>
      <c r="CS166" s="37">
        <v>0</v>
      </c>
      <c r="CT166" s="38">
        <v>0</v>
      </c>
      <c r="CU166" s="38">
        <v>0</v>
      </c>
      <c r="CV166" s="38">
        <v>0</v>
      </c>
      <c r="CW166" s="93">
        <f>SUM(CS166:CV166)</f>
        <v>0</v>
      </c>
      <c r="CX166" s="37">
        <v>0</v>
      </c>
      <c r="CY166" s="38">
        <v>0</v>
      </c>
      <c r="CZ166" s="38">
        <v>0</v>
      </c>
      <c r="DA166" s="38">
        <v>0</v>
      </c>
      <c r="DB166" s="93">
        <f>SUM(CX166:DA166)</f>
        <v>0</v>
      </c>
      <c r="DC166" s="3"/>
      <c r="DD166" s="3"/>
      <c r="DE166" s="3"/>
      <c r="DF166" s="3"/>
      <c r="DG166" s="3"/>
      <c r="DH166" s="3"/>
      <c r="DI166" s="3"/>
      <c r="DJ166" s="3"/>
      <c r="DK166" s="98"/>
      <c r="DL166" s="98"/>
      <c r="DM166" s="18"/>
    </row>
    <row r="167" spans="1:117">
      <c r="A167" s="15" t="s">
        <v>856</v>
      </c>
      <c r="B167" s="139">
        <f>B45</f>
        <v>0</v>
      </c>
      <c r="C167" s="3">
        <f>C45</f>
        <v>0</v>
      </c>
      <c r="D167" s="3">
        <f>D45</f>
        <v>0</v>
      </c>
      <c r="E167" s="3">
        <f t="shared" si="337"/>
        <v>0</v>
      </c>
      <c r="F167" s="93">
        <f>F45</f>
        <v>0</v>
      </c>
      <c r="G167" s="139">
        <f>G45</f>
        <v>0</v>
      </c>
      <c r="H167" s="3">
        <f>H45</f>
        <v>0</v>
      </c>
      <c r="I167" s="3">
        <f>I45</f>
        <v>0</v>
      </c>
      <c r="J167" s="3">
        <f t="shared" si="338"/>
        <v>0</v>
      </c>
      <c r="K167" s="93">
        <f>K45</f>
        <v>0</v>
      </c>
      <c r="L167" s="139">
        <f>L45</f>
        <v>35772</v>
      </c>
      <c r="M167" s="3">
        <f>M45</f>
        <v>100567</v>
      </c>
      <c r="N167" s="3">
        <f>N45</f>
        <v>48281</v>
      </c>
      <c r="O167" s="3">
        <f t="shared" si="339"/>
        <v>37380</v>
      </c>
      <c r="P167" s="93">
        <f>P45</f>
        <v>222000</v>
      </c>
      <c r="Q167" s="139">
        <f>Q45</f>
        <v>45313</v>
      </c>
      <c r="R167" s="3">
        <f>R45</f>
        <v>44702</v>
      </c>
      <c r="S167" s="3">
        <f>S45</f>
        <v>44998</v>
      </c>
      <c r="T167" s="3">
        <f t="shared" si="340"/>
        <v>58186</v>
      </c>
      <c r="U167" s="93">
        <f>U45</f>
        <v>193199</v>
      </c>
      <c r="V167" s="139">
        <f>V45</f>
        <v>68960</v>
      </c>
      <c r="W167" s="3">
        <f>W45</f>
        <v>71097</v>
      </c>
      <c r="X167" s="3">
        <f>X45</f>
        <v>95354</v>
      </c>
      <c r="Y167" s="3">
        <f t="shared" si="341"/>
        <v>53147</v>
      </c>
      <c r="Z167" s="255">
        <f>Z45</f>
        <v>288558</v>
      </c>
      <c r="AA167" s="139">
        <f>AA45</f>
        <v>41264</v>
      </c>
      <c r="AB167" s="48">
        <f>AB45</f>
        <v>39671</v>
      </c>
      <c r="AC167" s="48">
        <f>AC45</f>
        <v>54266</v>
      </c>
      <c r="AD167" s="3">
        <f>AE167-SUM(AA167:AC167)</f>
        <v>50552</v>
      </c>
      <c r="AE167" s="255">
        <f>AE45</f>
        <v>185753</v>
      </c>
      <c r="AF167" s="139">
        <f>AF45</f>
        <v>32181</v>
      </c>
      <c r="AG167" s="98">
        <f>AG45</f>
        <v>44650</v>
      </c>
      <c r="AH167" s="98">
        <f>AH45</f>
        <v>57749.3</v>
      </c>
      <c r="AI167" s="3">
        <f>AJ167-SUM(AF167:AH167)</f>
        <v>63263.049999999988</v>
      </c>
      <c r="AJ167" s="255">
        <f>AJ45</f>
        <v>197843.34999999998</v>
      </c>
      <c r="AK167" s="139">
        <f>AK45</f>
        <v>69216</v>
      </c>
      <c r="AL167" s="3">
        <f>AL45</f>
        <v>79624</v>
      </c>
      <c r="AM167" s="3">
        <f>AM45</f>
        <v>100559</v>
      </c>
      <c r="AN167" s="3">
        <f>AO167-SUM(AK167:AM167)</f>
        <v>149750</v>
      </c>
      <c r="AO167" s="255">
        <f>AO45</f>
        <v>399149</v>
      </c>
      <c r="AP167" s="139">
        <f>AP45</f>
        <v>110597</v>
      </c>
      <c r="AQ167" s="3">
        <f>AQ45</f>
        <v>88212</v>
      </c>
      <c r="AR167" s="3">
        <f>AR45</f>
        <v>99769</v>
      </c>
      <c r="AS167" s="3">
        <f>AT167-SUM(AP167:AR167)</f>
        <v>84333</v>
      </c>
      <c r="AT167" s="255">
        <f>AT45</f>
        <v>382911</v>
      </c>
      <c r="AU167" s="139">
        <f>AU45</f>
        <v>53184</v>
      </c>
      <c r="AV167" s="3">
        <f>AV45</f>
        <v>78576</v>
      </c>
      <c r="AW167" s="3">
        <f>AW45</f>
        <v>85342</v>
      </c>
      <c r="AX167" s="3">
        <f>AY167-SUM(AU167:AW167)</f>
        <v>93326</v>
      </c>
      <c r="AY167" s="255">
        <f>AY45</f>
        <v>310428</v>
      </c>
      <c r="AZ167" s="139">
        <f>AZ45</f>
        <v>112996</v>
      </c>
      <c r="BA167" s="3">
        <f>BA45</f>
        <v>79161</v>
      </c>
      <c r="BB167" s="3">
        <f>BB45</f>
        <v>49823</v>
      </c>
      <c r="BC167" s="3">
        <f t="shared" si="342"/>
        <v>107021</v>
      </c>
      <c r="BD167" s="255">
        <f>BD45</f>
        <v>349001</v>
      </c>
      <c r="BE167" s="577"/>
      <c r="BF167" s="578"/>
      <c r="BG167" s="3">
        <v>0</v>
      </c>
      <c r="BH167" s="3">
        <f t="shared" si="343"/>
        <v>0</v>
      </c>
      <c r="BI167" s="255">
        <v>0</v>
      </c>
      <c r="BJ167" s="577"/>
      <c r="BK167" s="3"/>
      <c r="BL167" s="3">
        <v>0</v>
      </c>
      <c r="BM167" s="3">
        <f t="shared" si="344"/>
        <v>0</v>
      </c>
      <c r="BN167" s="255">
        <v>0</v>
      </c>
      <c r="BO167" s="577">
        <v>0</v>
      </c>
      <c r="BP167" s="3">
        <f>0-BO167</f>
        <v>0</v>
      </c>
      <c r="BQ167" s="3">
        <f>0-BO167-BP167</f>
        <v>0</v>
      </c>
      <c r="BR167" s="3">
        <f t="shared" si="345"/>
        <v>0</v>
      </c>
      <c r="BS167" s="255">
        <v>0</v>
      </c>
      <c r="BT167" s="139">
        <f>BT45</f>
        <v>0</v>
      </c>
      <c r="BU167" s="3">
        <f>BU45</f>
        <v>0</v>
      </c>
      <c r="BV167" s="3">
        <f>BV45</f>
        <v>0</v>
      </c>
      <c r="BW167" s="3">
        <f>BW45</f>
        <v>0</v>
      </c>
      <c r="BX167" s="93">
        <f t="shared" si="346"/>
        <v>0</v>
      </c>
      <c r="BY167" s="139">
        <f>BY45</f>
        <v>0</v>
      </c>
      <c r="BZ167" s="3">
        <f>BZ45</f>
        <v>0</v>
      </c>
      <c r="CA167" s="3">
        <f>CA45</f>
        <v>0</v>
      </c>
      <c r="CB167" s="3">
        <f>CB45</f>
        <v>0</v>
      </c>
      <c r="CC167" s="93">
        <f t="shared" si="347"/>
        <v>0</v>
      </c>
      <c r="CD167" s="139">
        <f>CD45</f>
        <v>0</v>
      </c>
      <c r="CE167" s="3">
        <f>CE45</f>
        <v>0</v>
      </c>
      <c r="CF167" s="3">
        <f>CF45</f>
        <v>0</v>
      </c>
      <c r="CG167" s="3">
        <f>CG45</f>
        <v>0</v>
      </c>
      <c r="CH167" s="93">
        <f t="shared" si="348"/>
        <v>0</v>
      </c>
      <c r="CI167" s="139">
        <f>CI45</f>
        <v>0</v>
      </c>
      <c r="CJ167" s="3">
        <f>CJ45</f>
        <v>0</v>
      </c>
      <c r="CK167" s="3">
        <f>CK45</f>
        <v>0</v>
      </c>
      <c r="CL167" s="3">
        <f>CL45</f>
        <v>0</v>
      </c>
      <c r="CM167" s="93">
        <f t="shared" si="349"/>
        <v>0</v>
      </c>
      <c r="CN167" s="139">
        <f>CN45</f>
        <v>0</v>
      </c>
      <c r="CO167" s="3">
        <f>CO45</f>
        <v>0</v>
      </c>
      <c r="CP167" s="3">
        <f>CP45</f>
        <v>0</v>
      </c>
      <c r="CQ167" s="3">
        <f>CQ45</f>
        <v>0</v>
      </c>
      <c r="CR167" s="93">
        <f>SUM(CN167:CQ167)</f>
        <v>0</v>
      </c>
      <c r="CS167" s="139">
        <f>CS45</f>
        <v>0</v>
      </c>
      <c r="CT167" s="3">
        <f>CT45</f>
        <v>0</v>
      </c>
      <c r="CU167" s="3">
        <f>CU45</f>
        <v>0</v>
      </c>
      <c r="CV167" s="3">
        <f>CV45</f>
        <v>0</v>
      </c>
      <c r="CW167" s="93">
        <f>SUM(CS167:CV167)</f>
        <v>0</v>
      </c>
      <c r="CX167" s="139">
        <f>CX45</f>
        <v>0</v>
      </c>
      <c r="CY167" s="3">
        <f>CY45</f>
        <v>0</v>
      </c>
      <c r="CZ167" s="3">
        <f>CZ45</f>
        <v>0</v>
      </c>
      <c r="DA167" s="3">
        <f>DA45</f>
        <v>0</v>
      </c>
      <c r="DB167" s="93">
        <f>SUM(CX167:DA167)</f>
        <v>0</v>
      </c>
      <c r="DC167" s="3"/>
      <c r="DD167" s="3"/>
      <c r="DE167" s="3"/>
      <c r="DF167" s="3"/>
      <c r="DG167" s="3"/>
      <c r="DH167" s="3"/>
      <c r="DI167" s="3"/>
      <c r="DJ167" s="3"/>
      <c r="DK167" s="98"/>
      <c r="DL167" s="98"/>
      <c r="DM167" s="18"/>
    </row>
    <row r="168" spans="1:117">
      <c r="A168" s="15" t="s">
        <v>250</v>
      </c>
      <c r="B168" s="244">
        <v>-324</v>
      </c>
      <c r="C168" s="48">
        <f>-542-B168</f>
        <v>-218</v>
      </c>
      <c r="D168" s="3">
        <f>-40-C168-B168</f>
        <v>502</v>
      </c>
      <c r="E168" s="3">
        <f t="shared" si="337"/>
        <v>-2361</v>
      </c>
      <c r="F168" s="194">
        <v>-2401</v>
      </c>
      <c r="G168" s="244">
        <v>367</v>
      </c>
      <c r="H168" s="48">
        <f>-5649-G168</f>
        <v>-6016</v>
      </c>
      <c r="I168" s="3">
        <f>-8472-H168-G168</f>
        <v>-2823</v>
      </c>
      <c r="J168" s="3">
        <f t="shared" si="338"/>
        <v>-149</v>
      </c>
      <c r="K168" s="194">
        <v>-8621</v>
      </c>
      <c r="L168" s="114">
        <f t="shared" ref="L168:AF168" si="352">-L26</f>
        <v>-31641</v>
      </c>
      <c r="M168" s="99">
        <f t="shared" si="352"/>
        <v>-18321</v>
      </c>
      <c r="N168" s="99">
        <f t="shared" si="352"/>
        <v>-22788</v>
      </c>
      <c r="O168" s="99">
        <f t="shared" si="352"/>
        <v>-23133</v>
      </c>
      <c r="P168" s="121">
        <f t="shared" si="352"/>
        <v>-95883</v>
      </c>
      <c r="Q168" s="114">
        <f t="shared" si="352"/>
        <v>-24055</v>
      </c>
      <c r="R168" s="99">
        <f t="shared" si="352"/>
        <v>-18758</v>
      </c>
      <c r="S168" s="99">
        <f t="shared" si="352"/>
        <v>-22162</v>
      </c>
      <c r="T168" s="99">
        <f t="shared" si="352"/>
        <v>-24933</v>
      </c>
      <c r="U168" s="121">
        <f t="shared" si="352"/>
        <v>-89908</v>
      </c>
      <c r="V168" s="114">
        <f t="shared" si="352"/>
        <v>-27783</v>
      </c>
      <c r="W168" s="99">
        <f t="shared" si="352"/>
        <v>-17610</v>
      </c>
      <c r="X168" s="99">
        <f t="shared" si="352"/>
        <v>-29412</v>
      </c>
      <c r="Y168" s="99">
        <f t="shared" si="352"/>
        <v>-26627</v>
      </c>
      <c r="Z168" s="121">
        <f t="shared" si="352"/>
        <v>-101432</v>
      </c>
      <c r="AA168" s="114">
        <f t="shared" si="352"/>
        <v>-21222</v>
      </c>
      <c r="AB168" s="99">
        <f t="shared" si="352"/>
        <v>-14188</v>
      </c>
      <c r="AC168" s="99">
        <f>-55464-AB168-AA168</f>
        <v>-20054</v>
      </c>
      <c r="AD168" s="99">
        <f>-AD26</f>
        <v>-17258</v>
      </c>
      <c r="AE168" s="121">
        <f>-AE26</f>
        <v>-72722</v>
      </c>
      <c r="AF168" s="114">
        <f t="shared" si="352"/>
        <v>-21116</v>
      </c>
      <c r="AG168" s="99">
        <f>-41792-AF168</f>
        <v>-20676</v>
      </c>
      <c r="AH168" s="99">
        <f>-71182-AG168-AF168</f>
        <v>-29390</v>
      </c>
      <c r="AI168" s="99">
        <f>-AI26</f>
        <v>-30698</v>
      </c>
      <c r="AJ168" s="121">
        <f>-AJ26</f>
        <v>-101880</v>
      </c>
      <c r="AK168" s="114">
        <f>-AK26</f>
        <v>-32092</v>
      </c>
      <c r="AL168" s="99">
        <f>-61636-AK168</f>
        <v>-29544</v>
      </c>
      <c r="AM168" s="99">
        <f>-93665-AL168-AK168</f>
        <v>-32029</v>
      </c>
      <c r="AN168" s="99">
        <f>-AN26</f>
        <v>-33581</v>
      </c>
      <c r="AO168" s="121">
        <f>-AO26</f>
        <v>-127246</v>
      </c>
      <c r="AP168" s="114">
        <f>-AP26</f>
        <v>-34620</v>
      </c>
      <c r="AQ168" s="99">
        <f>-63789-AP168</f>
        <v>-29169</v>
      </c>
      <c r="AR168" s="99">
        <f>-92380-AQ168-AP168</f>
        <v>-28591</v>
      </c>
      <c r="AS168" s="99">
        <f>-AS26</f>
        <v>-30644</v>
      </c>
      <c r="AT168" s="121">
        <f>-AT26</f>
        <v>-123024</v>
      </c>
      <c r="AU168" s="114">
        <f>-AU26</f>
        <v>-25855</v>
      </c>
      <c r="AV168" s="99">
        <f>-52276-AU168</f>
        <v>-26421</v>
      </c>
      <c r="AW168" s="99">
        <f>-79744-AV168-AU168</f>
        <v>-27468</v>
      </c>
      <c r="AX168" s="99">
        <f>-AX26</f>
        <v>-30773</v>
      </c>
      <c r="AY168" s="121">
        <f>-AY26</f>
        <v>-110517</v>
      </c>
      <c r="AZ168" s="114">
        <f>-AZ26</f>
        <v>-33659</v>
      </c>
      <c r="BA168" s="99">
        <f>-59094-AZ168</f>
        <v>-25435</v>
      </c>
      <c r="BB168" s="99">
        <f>-6747-BA168-AZ168</f>
        <v>52347</v>
      </c>
      <c r="BC168" s="3">
        <f t="shared" si="342"/>
        <v>-34256</v>
      </c>
      <c r="BD168" s="243">
        <v>-41003</v>
      </c>
      <c r="BE168" s="574">
        <v>-30921</v>
      </c>
      <c r="BF168" s="552">
        <f>+-60961-BE168</f>
        <v>-30040</v>
      </c>
      <c r="BG168" s="99">
        <f>+-93205-BF168-BE168</f>
        <v>-32244</v>
      </c>
      <c r="BH168" s="3">
        <f t="shared" si="343"/>
        <v>-32095</v>
      </c>
      <c r="BI168" s="243">
        <v>-125300</v>
      </c>
      <c r="BJ168" s="550">
        <v>-32914</v>
      </c>
      <c r="BK168" s="99">
        <f>+-65286-BJ168</f>
        <v>-32372</v>
      </c>
      <c r="BL168" s="99">
        <f>+-100441-BK168-BJ168</f>
        <v>-35155</v>
      </c>
      <c r="BM168" s="3">
        <f t="shared" si="344"/>
        <v>-39249</v>
      </c>
      <c r="BN168" s="243">
        <v>-139690</v>
      </c>
      <c r="BO168" s="550">
        <v>-39564</v>
      </c>
      <c r="BP168" s="48">
        <f>-78927-BO168</f>
        <v>-39363</v>
      </c>
      <c r="BQ168" s="99">
        <f>-118985-BP168-BO168</f>
        <v>-40058</v>
      </c>
      <c r="BR168" s="3">
        <f t="shared" si="345"/>
        <v>-40293</v>
      </c>
      <c r="BS168" s="243">
        <v>-159278</v>
      </c>
      <c r="BT168" s="114">
        <f>-BT26</f>
        <v>-37193</v>
      </c>
      <c r="BU168" s="99">
        <f>-BU26</f>
        <v>-37369</v>
      </c>
      <c r="BV168" s="99">
        <f>-BV26</f>
        <v>-37887</v>
      </c>
      <c r="BW168" s="99">
        <f>-BW26</f>
        <v>-38179.49</v>
      </c>
      <c r="BX168" s="93">
        <f t="shared" si="346"/>
        <v>-150628.49</v>
      </c>
      <c r="BY168" s="114">
        <f>-BY26</f>
        <v>-37796.564999999995</v>
      </c>
      <c r="BZ168" s="99">
        <f>-BZ26</f>
        <v>-37924.845000000001</v>
      </c>
      <c r="CA168" s="99">
        <f>-CA26</f>
        <v>-38459.834999999999</v>
      </c>
      <c r="CB168" s="99">
        <f>-CB26</f>
        <v>-38771.787449999996</v>
      </c>
      <c r="CC168" s="93">
        <f t="shared" si="347"/>
        <v>-152953.03245</v>
      </c>
      <c r="CD168" s="114">
        <f>-CD26</f>
        <v>-38413.587824999995</v>
      </c>
      <c r="CE168" s="99">
        <f>-CE26</f>
        <v>-38492.694224999999</v>
      </c>
      <c r="CF168" s="99">
        <f>-CF26</f>
        <v>-39045.119174999993</v>
      </c>
      <c r="CG168" s="99">
        <f>-CG26</f>
        <v>-39377.081387249993</v>
      </c>
      <c r="CH168" s="93">
        <f t="shared" si="348"/>
        <v>-155328.48261224997</v>
      </c>
      <c r="CI168" s="114">
        <f>-CI26</f>
        <v>-38605.655764124989</v>
      </c>
      <c r="CJ168" s="99">
        <f>-CJ26</f>
        <v>-38685.157696124996</v>
      </c>
      <c r="CK168" s="99">
        <f>-CK26</f>
        <v>-39240.344770874988</v>
      </c>
      <c r="CL168" s="99">
        <f>-CL26</f>
        <v>-39573.966794186243</v>
      </c>
      <c r="CM168" s="93">
        <f t="shared" si="349"/>
        <v>-156105.12502531119</v>
      </c>
      <c r="CN168" s="114">
        <f t="shared" ref="CN168:DB168" si="353">-CN26</f>
        <v>-38798.684042945606</v>
      </c>
      <c r="CO168" s="99">
        <f t="shared" si="353"/>
        <v>-38878.58348460561</v>
      </c>
      <c r="CP168" s="99">
        <f t="shared" si="353"/>
        <v>-39436.546494729359</v>
      </c>
      <c r="CQ168" s="99">
        <f t="shared" si="353"/>
        <v>-39771.836628157165</v>
      </c>
      <c r="CR168" s="121">
        <f t="shared" si="353"/>
        <v>-156885.65065043775</v>
      </c>
      <c r="CS168" s="114">
        <f t="shared" si="353"/>
        <v>-38992.677463160333</v>
      </c>
      <c r="CT168" s="99">
        <f t="shared" si="353"/>
        <v>-39072.976402028638</v>
      </c>
      <c r="CU168" s="99">
        <f t="shared" si="353"/>
        <v>-39633.729227203003</v>
      </c>
      <c r="CV168" s="99">
        <f t="shared" si="353"/>
        <v>-39970.695811297948</v>
      </c>
      <c r="CW168" s="121">
        <f t="shared" si="353"/>
        <v>-157670.07890368992</v>
      </c>
      <c r="CX168" s="114">
        <f t="shared" si="353"/>
        <v>-39187.640850476135</v>
      </c>
      <c r="CY168" s="99">
        <f t="shared" si="353"/>
        <v>-39268.341284038775</v>
      </c>
      <c r="CZ168" s="99">
        <f t="shared" si="353"/>
        <v>-39831.89787333901</v>
      </c>
      <c r="DA168" s="99">
        <f t="shared" si="353"/>
        <v>-40170.549290354429</v>
      </c>
      <c r="DB168" s="121">
        <f t="shared" si="353"/>
        <v>-158458.42929820836</v>
      </c>
      <c r="DC168" s="99"/>
      <c r="DD168" s="99"/>
      <c r="DE168" s="99"/>
      <c r="DF168" s="99"/>
      <c r="DG168" s="99"/>
      <c r="DH168" s="99"/>
      <c r="DI168" s="99"/>
      <c r="DJ168" s="99"/>
      <c r="DK168" s="99"/>
      <c r="DL168" s="99"/>
      <c r="DM168" s="18"/>
    </row>
    <row r="169" spans="1:117">
      <c r="A169" s="15" t="s">
        <v>591</v>
      </c>
      <c r="B169" s="244">
        <v>0</v>
      </c>
      <c r="C169" s="48">
        <f>0-B169</f>
        <v>0</v>
      </c>
      <c r="D169" s="3">
        <f>0-C169-B169</f>
        <v>0</v>
      </c>
      <c r="E169" s="3">
        <f t="shared" si="337"/>
        <v>1190</v>
      </c>
      <c r="F169" s="194">
        <v>1190</v>
      </c>
      <c r="G169" s="244">
        <v>0</v>
      </c>
      <c r="H169" s="48">
        <f>570-G169</f>
        <v>570</v>
      </c>
      <c r="I169" s="3">
        <f>8135-H169-G169</f>
        <v>7565</v>
      </c>
      <c r="J169" s="3">
        <f t="shared" si="338"/>
        <v>2848</v>
      </c>
      <c r="K169" s="194">
        <v>10983</v>
      </c>
      <c r="L169" s="244">
        <v>40708</v>
      </c>
      <c r="M169" s="48">
        <f>69819-L169</f>
        <v>29111</v>
      </c>
      <c r="N169" s="3">
        <f>93209-M169-L169</f>
        <v>23390</v>
      </c>
      <c r="O169" s="3">
        <f t="shared" si="339"/>
        <v>30218</v>
      </c>
      <c r="P169" s="194">
        <v>123427</v>
      </c>
      <c r="Q169" s="244">
        <v>26455</v>
      </c>
      <c r="R169" s="48">
        <f>57066-Q169</f>
        <v>30611</v>
      </c>
      <c r="S169" s="3">
        <f>77144-R169-Q169</f>
        <v>20078</v>
      </c>
      <c r="T169" s="3">
        <f t="shared" si="340"/>
        <v>26641</v>
      </c>
      <c r="U169" s="194">
        <v>103785</v>
      </c>
      <c r="V169" s="244">
        <v>24040</v>
      </c>
      <c r="W169" s="48">
        <f>39904-V169</f>
        <v>15864</v>
      </c>
      <c r="X169" s="3">
        <f>67812-W169-V169</f>
        <v>27908</v>
      </c>
      <c r="Y169" s="3">
        <f t="shared" si="341"/>
        <v>25449</v>
      </c>
      <c r="Z169" s="243">
        <v>93261</v>
      </c>
      <c r="AA169" s="244">
        <v>25187</v>
      </c>
      <c r="AB169" s="48">
        <f>38233-AA169</f>
        <v>13046</v>
      </c>
      <c r="AC169" s="99">
        <f>56896-AB169-AA169</f>
        <v>18663</v>
      </c>
      <c r="AD169" s="3">
        <f t="shared" ref="AD169:AD174" si="354">AE169-SUM(AA169:AC169)</f>
        <v>18481</v>
      </c>
      <c r="AE169" s="243">
        <v>75377</v>
      </c>
      <c r="AF169" s="37">
        <v>21998</v>
      </c>
      <c r="AG169" s="48">
        <f>39034-AF169</f>
        <v>17036</v>
      </c>
      <c r="AH169" s="48">
        <f>69889-AG169-AF169</f>
        <v>30855</v>
      </c>
      <c r="AI169" s="3">
        <f t="shared" ref="AI169:AI174" si="355">AJ169-SUM(AF169:AH169)</f>
        <v>27069</v>
      </c>
      <c r="AJ169" s="243">
        <v>96958</v>
      </c>
      <c r="AK169" s="37">
        <v>27607</v>
      </c>
      <c r="AL169" s="38">
        <f>55302-AK169</f>
        <v>27695</v>
      </c>
      <c r="AM169" s="38">
        <f>87151-AL169-AK169</f>
        <v>31849</v>
      </c>
      <c r="AN169" s="3">
        <f t="shared" ref="AN169:AN174" si="356">AO169-SUM(AK169:AM169)</f>
        <v>45590</v>
      </c>
      <c r="AO169" s="243">
        <v>132741</v>
      </c>
      <c r="AP169" s="37">
        <v>36879</v>
      </c>
      <c r="AQ169" s="38">
        <f>69490-AP169</f>
        <v>32611</v>
      </c>
      <c r="AR169" s="38">
        <f>92996-AQ169-AP169</f>
        <v>23506</v>
      </c>
      <c r="AS169" s="3">
        <f t="shared" ref="AS169:AS174" si="357">AT169-SUM(AP169:AR169)</f>
        <v>27446</v>
      </c>
      <c r="AT169" s="243">
        <v>120442</v>
      </c>
      <c r="AU169" s="37">
        <v>23495</v>
      </c>
      <c r="AV169" s="38">
        <f>51546-AU169</f>
        <v>28051</v>
      </c>
      <c r="AW169" s="38">
        <f>79022-AV169-AU169</f>
        <v>27476</v>
      </c>
      <c r="AX169" s="3">
        <f t="shared" ref="AX169:AX174" si="358">AY169-SUM(AU169:AW169)</f>
        <v>27342</v>
      </c>
      <c r="AY169" s="243">
        <v>106364</v>
      </c>
      <c r="AZ169" s="37">
        <v>30345</v>
      </c>
      <c r="BA169" s="38">
        <f>61200-AZ169</f>
        <v>30855</v>
      </c>
      <c r="BB169" s="38">
        <f>84298-BA169-AZ169</f>
        <v>23098</v>
      </c>
      <c r="BC169" s="3">
        <f t="shared" ref="BC169:BC174" si="359">BD169-SUM(AZ169:BB169)</f>
        <v>33614</v>
      </c>
      <c r="BD169" s="243">
        <v>117912</v>
      </c>
      <c r="BE169" s="550">
        <v>29475</v>
      </c>
      <c r="BF169" s="576">
        <f>61969-BE169</f>
        <v>32494</v>
      </c>
      <c r="BG169" s="48">
        <f>92042-BF169-BE169</f>
        <v>30073</v>
      </c>
      <c r="BH169" s="3">
        <f t="shared" si="343"/>
        <v>29961</v>
      </c>
      <c r="BI169" s="243">
        <v>122003</v>
      </c>
      <c r="BJ169" s="550">
        <v>34789</v>
      </c>
      <c r="BK169" s="48">
        <f>72204-BJ169</f>
        <v>37415</v>
      </c>
      <c r="BL169" s="48">
        <f>106381-BK169-BJ169</f>
        <v>34177</v>
      </c>
      <c r="BM169" s="3">
        <f t="shared" si="344"/>
        <v>38292</v>
      </c>
      <c r="BN169" s="243">
        <v>144673</v>
      </c>
      <c r="BO169" s="550">
        <v>39520</v>
      </c>
      <c r="BP169" s="48">
        <f>81744-BO169</f>
        <v>42224</v>
      </c>
      <c r="BQ169" s="48">
        <f>124517-BP169-BO169</f>
        <v>42773</v>
      </c>
      <c r="BR169" s="3">
        <f t="shared" si="345"/>
        <v>42855</v>
      </c>
      <c r="BS169" s="243">
        <v>167372</v>
      </c>
      <c r="BT169" s="94">
        <f>+-BT168*1.25</f>
        <v>46491.25</v>
      </c>
      <c r="BU169" s="48">
        <f t="shared" ref="BU169:BW169" si="360">+-BU168*1.25</f>
        <v>46711.25</v>
      </c>
      <c r="BV169" s="48">
        <f t="shared" si="360"/>
        <v>47358.75</v>
      </c>
      <c r="BW169" s="48">
        <f t="shared" si="360"/>
        <v>47724.362499999996</v>
      </c>
      <c r="BX169" s="93">
        <f t="shared" si="346"/>
        <v>188285.61249999999</v>
      </c>
      <c r="BY169" s="94">
        <f>+-BY168*1.1</f>
        <v>41576.2215</v>
      </c>
      <c r="BZ169" s="48">
        <f t="shared" ref="BZ169" si="361">+-BZ168*1.1</f>
        <v>41717.329500000007</v>
      </c>
      <c r="CA169" s="48">
        <f t="shared" ref="CA169" si="362">+-CA168*1.1</f>
        <v>42305.818500000001</v>
      </c>
      <c r="CB169" s="48">
        <f t="shared" ref="CB169" si="363">+-CB168*1.1</f>
        <v>42648.966195000001</v>
      </c>
      <c r="CC169" s="93">
        <f t="shared" ref="CC169" si="364">SUM(BY169:CB169)</f>
        <v>168248.33569500002</v>
      </c>
      <c r="CD169" s="94">
        <f>+-CD168*1.1</f>
        <v>42254.946607499995</v>
      </c>
      <c r="CE169" s="48">
        <f t="shared" ref="CE169" si="365">+-CE168*1.1</f>
        <v>42341.963647500001</v>
      </c>
      <c r="CF169" s="48">
        <f t="shared" ref="CF169" si="366">+-CF168*1.1</f>
        <v>42949.631092499993</v>
      </c>
      <c r="CG169" s="48">
        <f t="shared" ref="CG169" si="367">+-CG168*1.1</f>
        <v>43314.789525974993</v>
      </c>
      <c r="CH169" s="93">
        <f t="shared" ref="CH169" si="368">SUM(CD169:CG169)</f>
        <v>170861.330873475</v>
      </c>
      <c r="CI169" s="94">
        <f>+-CI168*1.1</f>
        <v>42466.221340537493</v>
      </c>
      <c r="CJ169" s="48">
        <f t="shared" ref="CJ169" si="369">+-CJ168*1.1</f>
        <v>42553.673465737498</v>
      </c>
      <c r="CK169" s="48">
        <f t="shared" ref="CK169" si="370">+-CK168*1.1</f>
        <v>43164.37924796249</v>
      </c>
      <c r="CL169" s="48">
        <f t="shared" ref="CL169" si="371">+-CL168*1.1</f>
        <v>43531.36347360487</v>
      </c>
      <c r="CM169" s="93">
        <f t="shared" ref="CM169" si="372">SUM(CI169:CL169)</f>
        <v>171715.63752784237</v>
      </c>
      <c r="CN169" s="94">
        <f>+-CN168*1.1</f>
        <v>42678.552447240167</v>
      </c>
      <c r="CO169" s="48">
        <f t="shared" ref="CO169:CQ169" si="373">+-CO168*1.1</f>
        <v>42766.441833066172</v>
      </c>
      <c r="CP169" s="48">
        <f t="shared" si="373"/>
        <v>43380.201144202299</v>
      </c>
      <c r="CQ169" s="48">
        <f t="shared" si="373"/>
        <v>43749.020290972883</v>
      </c>
      <c r="CR169" s="93">
        <f t="shared" ref="CR169:CR174" si="374">SUM(CN169:CQ169)</f>
        <v>172574.21571548149</v>
      </c>
      <c r="CS169" s="94">
        <f>+-CS168*1.1</f>
        <v>42891.945209476369</v>
      </c>
      <c r="CT169" s="48">
        <f t="shared" ref="CT169" si="375">+-CT168*1.1</f>
        <v>42980.274042231504</v>
      </c>
      <c r="CU169" s="48">
        <f t="shared" ref="CU169" si="376">+-CU168*1.1</f>
        <v>43597.102149923303</v>
      </c>
      <c r="CV169" s="48">
        <f t="shared" ref="CV169" si="377">+-CV168*1.1</f>
        <v>43967.765392427747</v>
      </c>
      <c r="CW169" s="93">
        <f t="shared" ref="CW169" si="378">SUM(CS169:CV169)</f>
        <v>173437.08679405891</v>
      </c>
      <c r="CX169" s="94">
        <f>+-CX168*1.1</f>
        <v>43106.404935523751</v>
      </c>
      <c r="CY169" s="48">
        <f t="shared" ref="CY169" si="379">+-CY168*1.1</f>
        <v>43195.175412442659</v>
      </c>
      <c r="CZ169" s="48">
        <f t="shared" ref="CZ169" si="380">+-CZ168*1.1</f>
        <v>43815.087660672914</v>
      </c>
      <c r="DA169" s="48">
        <f t="shared" ref="DA169" si="381">+-DA168*1.1</f>
        <v>44187.604219389876</v>
      </c>
      <c r="DB169" s="93">
        <f t="shared" ref="DB169" si="382">SUM(CX169:DA169)</f>
        <v>174304.27222802921</v>
      </c>
      <c r="DC169" s="3"/>
      <c r="DD169" s="3"/>
      <c r="DE169" s="3"/>
      <c r="DF169" s="3"/>
      <c r="DG169" s="3"/>
      <c r="DH169" s="3"/>
      <c r="DI169" s="3"/>
      <c r="DJ169" s="3"/>
      <c r="DK169" s="98"/>
      <c r="DL169" s="98"/>
      <c r="DM169" s="18"/>
    </row>
    <row r="170" spans="1:117">
      <c r="A170" s="15" t="s">
        <v>843</v>
      </c>
      <c r="B170" s="244">
        <v>19305</v>
      </c>
      <c r="C170" s="48">
        <f>52772-B170</f>
        <v>33467</v>
      </c>
      <c r="D170" s="3">
        <f>77906-C170-B170</f>
        <v>25134</v>
      </c>
      <c r="E170" s="3">
        <f t="shared" si="337"/>
        <v>13332</v>
      </c>
      <c r="F170" s="194">
        <v>91238</v>
      </c>
      <c r="G170" s="244">
        <v>13545</v>
      </c>
      <c r="H170" s="48">
        <f>17471-G170</f>
        <v>3926</v>
      </c>
      <c r="I170" s="3">
        <f>40128-H170-G170</f>
        <v>22657</v>
      </c>
      <c r="J170" s="3">
        <f t="shared" si="338"/>
        <v>-23756</v>
      </c>
      <c r="K170" s="194">
        <v>16372</v>
      </c>
      <c r="L170" s="244">
        <v>38623</v>
      </c>
      <c r="M170" s="48">
        <f>9982-L170</f>
        <v>-28641</v>
      </c>
      <c r="N170" s="3">
        <f>18056-M170-L170</f>
        <v>8074</v>
      </c>
      <c r="O170" s="3">
        <f t="shared" si="339"/>
        <v>97328</v>
      </c>
      <c r="P170" s="194">
        <v>115384</v>
      </c>
      <c r="Q170" s="244">
        <v>19499</v>
      </c>
      <c r="R170" s="48">
        <f>34731-Q170</f>
        <v>15232</v>
      </c>
      <c r="S170" s="3">
        <f>61919-R170-Q170</f>
        <v>27188</v>
      </c>
      <c r="T170" s="3">
        <f t="shared" si="340"/>
        <v>3098</v>
      </c>
      <c r="U170" s="194">
        <v>65017</v>
      </c>
      <c r="V170" s="244">
        <v>29362</v>
      </c>
      <c r="W170" s="48">
        <f>65374-V170</f>
        <v>36012</v>
      </c>
      <c r="X170" s="3">
        <f>72884-W170-V170</f>
        <v>7510</v>
      </c>
      <c r="Y170" s="3">
        <f t="shared" si="341"/>
        <v>92307</v>
      </c>
      <c r="Z170" s="243">
        <v>165191</v>
      </c>
      <c r="AA170" s="244">
        <v>23624</v>
      </c>
      <c r="AB170" s="48">
        <f>40865-AA170</f>
        <v>17241</v>
      </c>
      <c r="AC170" s="99">
        <f>72199-AB170-AA170</f>
        <v>31334</v>
      </c>
      <c r="AD170" s="3">
        <f t="shared" si="354"/>
        <v>126514</v>
      </c>
      <c r="AE170" s="243">
        <v>198713</v>
      </c>
      <c r="AF170" s="37">
        <v>19542</v>
      </c>
      <c r="AG170" s="48">
        <f>42794-AF170</f>
        <v>23252</v>
      </c>
      <c r="AH170" s="48">
        <f>94997-AG170-AF170</f>
        <v>52203</v>
      </c>
      <c r="AI170" s="3">
        <f t="shared" si="355"/>
        <v>47306</v>
      </c>
      <c r="AJ170" s="243">
        <v>142303</v>
      </c>
      <c r="AK170" s="37">
        <v>52044</v>
      </c>
      <c r="AL170" s="38">
        <f>108504-AK170</f>
        <v>56460</v>
      </c>
      <c r="AM170" s="38">
        <f>200961-AL170-AK170</f>
        <v>92457</v>
      </c>
      <c r="AN170" s="3">
        <f t="shared" si="356"/>
        <v>55727</v>
      </c>
      <c r="AO170" s="243">
        <v>256688</v>
      </c>
      <c r="AP170" s="37">
        <v>51411</v>
      </c>
      <c r="AQ170" s="38">
        <f>111172-AP170</f>
        <v>59761</v>
      </c>
      <c r="AR170" s="38">
        <f>170657-AQ170-AP170</f>
        <v>59485</v>
      </c>
      <c r="AS170" s="3">
        <f t="shared" si="357"/>
        <v>58741</v>
      </c>
      <c r="AT170" s="243">
        <v>229398</v>
      </c>
      <c r="AU170" s="37">
        <v>68107</v>
      </c>
      <c r="AV170" s="38">
        <f>68468-AU170</f>
        <v>361</v>
      </c>
      <c r="AW170" s="38">
        <f>107575-AV170-AU170</f>
        <v>39107</v>
      </c>
      <c r="AX170" s="3">
        <f t="shared" si="358"/>
        <v>43940</v>
      </c>
      <c r="AY170" s="243">
        <v>151515</v>
      </c>
      <c r="AZ170" s="37">
        <v>16301</v>
      </c>
      <c r="BA170" s="38">
        <f>57191-AZ170</f>
        <v>40890</v>
      </c>
      <c r="BB170" s="38">
        <f>96044-BA170-AZ170</f>
        <v>38853</v>
      </c>
      <c r="BC170" s="3">
        <f t="shared" si="359"/>
        <v>60684</v>
      </c>
      <c r="BD170" s="243">
        <v>156728</v>
      </c>
      <c r="BE170" s="550">
        <v>36712</v>
      </c>
      <c r="BF170" s="576">
        <f>84306-BE170</f>
        <v>47594</v>
      </c>
      <c r="BG170" s="48">
        <f>124615-BF170-BE170</f>
        <v>40309</v>
      </c>
      <c r="BH170" s="3">
        <f t="shared" si="343"/>
        <v>13122</v>
      </c>
      <c r="BI170" s="243">
        <v>137737</v>
      </c>
      <c r="BJ170" s="550">
        <v>53725</v>
      </c>
      <c r="BK170" s="48">
        <f>105567-BJ170</f>
        <v>51842</v>
      </c>
      <c r="BL170" s="48">
        <f>157819-BK170-BJ170</f>
        <v>52252</v>
      </c>
      <c r="BM170" s="3">
        <f t="shared" si="344"/>
        <v>53819</v>
      </c>
      <c r="BN170" s="243">
        <v>211638</v>
      </c>
      <c r="BO170" s="550">
        <v>53397</v>
      </c>
      <c r="BP170" s="48">
        <f>90685-BO170</f>
        <v>37288</v>
      </c>
      <c r="BQ170" s="48">
        <f>186584-BP170-BO170</f>
        <v>95899</v>
      </c>
      <c r="BR170" s="3">
        <f t="shared" si="345"/>
        <v>251333</v>
      </c>
      <c r="BS170" s="243">
        <v>437917</v>
      </c>
      <c r="BT170" s="94">
        <f t="shared" ref="BT170:CL170" si="383">+BT49</f>
        <v>95312.192795334107</v>
      </c>
      <c r="BU170" s="48">
        <f t="shared" si="383"/>
        <v>82771.311332268233</v>
      </c>
      <c r="BV170" s="48">
        <f t="shared" si="383"/>
        <v>85159.561521012321</v>
      </c>
      <c r="BW170" s="48">
        <f t="shared" si="383"/>
        <v>83311.624768434267</v>
      </c>
      <c r="BX170" s="93">
        <f t="shared" si="346"/>
        <v>346554.69041704893</v>
      </c>
      <c r="BY170" s="94">
        <f t="shared" si="383"/>
        <v>97467.82821256858</v>
      </c>
      <c r="BZ170" s="48">
        <f t="shared" si="383"/>
        <v>91921.98917880407</v>
      </c>
      <c r="CA170" s="48">
        <f t="shared" si="383"/>
        <v>93115.251137429921</v>
      </c>
      <c r="CB170" s="48">
        <f t="shared" si="383"/>
        <v>91083.035516133998</v>
      </c>
      <c r="CC170" s="93">
        <f t="shared" si="347"/>
        <v>373588.10404493654</v>
      </c>
      <c r="CD170" s="94">
        <f t="shared" si="383"/>
        <v>97455.594940068535</v>
      </c>
      <c r="CE170" s="48">
        <f t="shared" si="383"/>
        <v>94856.779742439277</v>
      </c>
      <c r="CF170" s="48">
        <f t="shared" si="383"/>
        <v>98951.863769513278</v>
      </c>
      <c r="CG170" s="48">
        <f t="shared" si="383"/>
        <v>106735.60271788153</v>
      </c>
      <c r="CH170" s="93">
        <f t="shared" si="348"/>
        <v>397999.84116990259</v>
      </c>
      <c r="CI170" s="94">
        <f t="shared" si="383"/>
        <v>103645.83412676859</v>
      </c>
      <c r="CJ170" s="48">
        <f t="shared" si="383"/>
        <v>103944.12527958074</v>
      </c>
      <c r="CK170" s="48">
        <f t="shared" si="383"/>
        <v>106414.31419200471</v>
      </c>
      <c r="CL170" s="48">
        <f t="shared" si="383"/>
        <v>118757.79507622536</v>
      </c>
      <c r="CM170" s="93">
        <f t="shared" si="349"/>
        <v>432762.06867457944</v>
      </c>
      <c r="CN170" s="94">
        <f>+CN49*0.95+CN237</f>
        <v>96391.986184110327</v>
      </c>
      <c r="CO170" s="48">
        <f t="shared" ref="CO170:CQ170" si="384">+CO49*0.95+CO237</f>
        <v>97533.763420398012</v>
      </c>
      <c r="CP170" s="48">
        <f t="shared" si="384"/>
        <v>99531.598638542258</v>
      </c>
      <c r="CQ170" s="48">
        <f t="shared" si="384"/>
        <v>114703.51597512206</v>
      </c>
      <c r="CR170" s="93">
        <f t="shared" ref="CR170:CR171" si="385">SUM(CN170:CQ170)</f>
        <v>408160.86421817268</v>
      </c>
      <c r="CS170" s="94">
        <f>+CS49*0.95+CS237</f>
        <v>88216.08153136936</v>
      </c>
      <c r="CT170" s="48">
        <f t="shared" ref="CT170:CV170" si="386">+CT49*0.95+CT237</f>
        <v>89266.300035087275</v>
      </c>
      <c r="CU170" s="48">
        <f t="shared" si="386"/>
        <v>91093.220221550058</v>
      </c>
      <c r="CV170" s="48">
        <f t="shared" si="386"/>
        <v>108433.77420653916</v>
      </c>
      <c r="CW170" s="93">
        <f t="shared" ref="CW170:CW171" si="387">SUM(CS170:CV170)</f>
        <v>377009.37599454587</v>
      </c>
      <c r="CX170" s="94">
        <f>+CX49*0.95+CX237</f>
        <v>86722.407209142068</v>
      </c>
      <c r="CY170" s="48">
        <f t="shared" ref="CY170:DA170" si="388">+CY49*0.95+CY237</f>
        <v>87769.194281922624</v>
      </c>
      <c r="CZ170" s="48">
        <f t="shared" si="388"/>
        <v>89543.793663115139</v>
      </c>
      <c r="DA170" s="48">
        <f t="shared" si="388"/>
        <v>107325.35255992124</v>
      </c>
      <c r="DB170" s="93">
        <f t="shared" ref="DB170:DB171" si="389">SUM(CX170:DA170)</f>
        <v>371360.7477141011</v>
      </c>
      <c r="DC170" s="3"/>
      <c r="DD170" s="3"/>
      <c r="DE170" s="3"/>
      <c r="DF170" s="3"/>
      <c r="DG170" s="3"/>
      <c r="DH170" s="3"/>
      <c r="DI170" s="3"/>
      <c r="DJ170" s="3"/>
      <c r="DK170" s="98"/>
      <c r="DL170" s="98"/>
      <c r="DM170" s="18"/>
    </row>
    <row r="171" spans="1:117">
      <c r="A171" s="15" t="s">
        <v>229</v>
      </c>
      <c r="B171" s="244">
        <v>3044</v>
      </c>
      <c r="C171" s="48">
        <f>4640-B171</f>
        <v>1596</v>
      </c>
      <c r="D171" s="3">
        <f>6695-C171-B171</f>
        <v>2055</v>
      </c>
      <c r="E171" s="3">
        <f t="shared" si="337"/>
        <v>7635</v>
      </c>
      <c r="F171" s="194">
        <v>14330</v>
      </c>
      <c r="G171" s="244">
        <v>2633</v>
      </c>
      <c r="H171" s="48">
        <f>5983-G171</f>
        <v>3350</v>
      </c>
      <c r="I171" s="3">
        <f>9903-H171-G171</f>
        <v>3920</v>
      </c>
      <c r="J171" s="3">
        <f t="shared" si="338"/>
        <v>1939</v>
      </c>
      <c r="K171" s="194">
        <v>11842</v>
      </c>
      <c r="L171" s="244">
        <v>1510</v>
      </c>
      <c r="M171" s="48">
        <f>8495-L171</f>
        <v>6985</v>
      </c>
      <c r="N171" s="3">
        <f>13052-M171-L171</f>
        <v>4557</v>
      </c>
      <c r="O171" s="3">
        <f t="shared" si="339"/>
        <v>3447</v>
      </c>
      <c r="P171" s="194">
        <v>16499</v>
      </c>
      <c r="Q171" s="244">
        <v>8641</v>
      </c>
      <c r="R171" s="48">
        <f>17491-Q171</f>
        <v>8850</v>
      </c>
      <c r="S171" s="3">
        <f>22448-R171-Q171</f>
        <v>4957</v>
      </c>
      <c r="T171" s="3">
        <f t="shared" si="340"/>
        <v>-1539</v>
      </c>
      <c r="U171" s="194">
        <v>20909</v>
      </c>
      <c r="V171" s="244">
        <v>7982</v>
      </c>
      <c r="W171" s="48">
        <f>14416-V171</f>
        <v>6434</v>
      </c>
      <c r="X171" s="3">
        <f>26776-W171-V171</f>
        <v>12360</v>
      </c>
      <c r="Y171" s="3">
        <f t="shared" si="341"/>
        <v>4015</v>
      </c>
      <c r="Z171" s="243">
        <v>30791</v>
      </c>
      <c r="AA171" s="244">
        <v>4173</v>
      </c>
      <c r="AB171" s="48">
        <f>8551-AA171</f>
        <v>4378</v>
      </c>
      <c r="AC171" s="99">
        <f>15233-AB171-AA171</f>
        <v>6682</v>
      </c>
      <c r="AD171" s="3">
        <f t="shared" si="354"/>
        <v>7915</v>
      </c>
      <c r="AE171" s="243">
        <v>23148</v>
      </c>
      <c r="AF171" s="37">
        <v>4566</v>
      </c>
      <c r="AG171" s="48">
        <f>10205-AF171</f>
        <v>5639</v>
      </c>
      <c r="AH171" s="48">
        <f>15949-AG171-AF171</f>
        <v>5744</v>
      </c>
      <c r="AI171" s="3">
        <f t="shared" si="355"/>
        <v>8423</v>
      </c>
      <c r="AJ171" s="243">
        <v>24372</v>
      </c>
      <c r="AK171" s="37">
        <v>7902</v>
      </c>
      <c r="AL171" s="38">
        <f>29615-AK171</f>
        <v>21713</v>
      </c>
      <c r="AM171" s="38">
        <f>39297-AL171-AK171</f>
        <v>9682</v>
      </c>
      <c r="AN171" s="3">
        <f t="shared" si="356"/>
        <v>27074</v>
      </c>
      <c r="AO171" s="243">
        <v>66371</v>
      </c>
      <c r="AP171" s="37">
        <v>5008</v>
      </c>
      <c r="AQ171" s="38">
        <f>16928-AP171</f>
        <v>11920</v>
      </c>
      <c r="AR171" s="38">
        <f>35970-AQ171-AP171</f>
        <v>19042</v>
      </c>
      <c r="AS171" s="3">
        <f t="shared" si="357"/>
        <v>722</v>
      </c>
      <c r="AT171" s="243">
        <v>36692</v>
      </c>
      <c r="AU171" s="37">
        <v>16756</v>
      </c>
      <c r="AV171" s="38">
        <f>19018-AU171</f>
        <v>2262</v>
      </c>
      <c r="AW171" s="38">
        <f>27634-AV171-AU171</f>
        <v>8616</v>
      </c>
      <c r="AX171" s="3">
        <f t="shared" si="358"/>
        <v>18560</v>
      </c>
      <c r="AY171" s="243">
        <v>46194</v>
      </c>
      <c r="AZ171" s="37">
        <v>4450</v>
      </c>
      <c r="BA171" s="38">
        <f>17288-AZ171</f>
        <v>12838</v>
      </c>
      <c r="BB171" s="38">
        <f>23359-BA171-AZ171</f>
        <v>6071</v>
      </c>
      <c r="BC171" s="3">
        <f t="shared" si="359"/>
        <v>2867</v>
      </c>
      <c r="BD171" s="243">
        <v>26226</v>
      </c>
      <c r="BE171" s="550">
        <v>5643</v>
      </c>
      <c r="BF171" s="576">
        <f>7884-BE171</f>
        <v>2241</v>
      </c>
      <c r="BG171" s="48">
        <f>13732-BF171-BE171</f>
        <v>5848</v>
      </c>
      <c r="BH171" s="3">
        <f t="shared" si="343"/>
        <v>2703</v>
      </c>
      <c r="BI171" s="243">
        <v>16435</v>
      </c>
      <c r="BJ171" s="550">
        <v>8232</v>
      </c>
      <c r="BK171" s="48">
        <f>23194-BJ171</f>
        <v>14962</v>
      </c>
      <c r="BL171" s="48">
        <f>31112-BK171-BJ171</f>
        <v>7918</v>
      </c>
      <c r="BM171" s="3">
        <f t="shared" si="344"/>
        <v>9451</v>
      </c>
      <c r="BN171" s="243">
        <v>40563</v>
      </c>
      <c r="BO171" s="550">
        <v>5907</v>
      </c>
      <c r="BP171" s="48">
        <f>13477-BO171</f>
        <v>7570</v>
      </c>
      <c r="BQ171" s="48">
        <f>19688-BP171-BO171</f>
        <v>6211</v>
      </c>
      <c r="BR171" s="3">
        <f t="shared" si="345"/>
        <v>6574</v>
      </c>
      <c r="BS171" s="243">
        <v>26262</v>
      </c>
      <c r="BT171" s="94">
        <f t="shared" ref="BT171:DA171" si="390">+BT77</f>
        <v>2958.2174999999997</v>
      </c>
      <c r="BU171" s="48">
        <f t="shared" si="390"/>
        <v>2958.2174999999997</v>
      </c>
      <c r="BV171" s="48">
        <f t="shared" si="390"/>
        <v>2958.2174999999997</v>
      </c>
      <c r="BW171" s="48">
        <f t="shared" si="390"/>
        <v>2958.2174999999997</v>
      </c>
      <c r="BX171" s="93">
        <f t="shared" si="346"/>
        <v>11832.869999999999</v>
      </c>
      <c r="BY171" s="94">
        <f t="shared" si="390"/>
        <v>2973.0085874999995</v>
      </c>
      <c r="BZ171" s="48">
        <f t="shared" si="390"/>
        <v>2973.0085874999995</v>
      </c>
      <c r="CA171" s="48">
        <f t="shared" si="390"/>
        <v>2973.0085874999995</v>
      </c>
      <c r="CB171" s="48">
        <f t="shared" si="390"/>
        <v>2973.0085874999995</v>
      </c>
      <c r="CC171" s="93">
        <f t="shared" si="347"/>
        <v>11892.034349999998</v>
      </c>
      <c r="CD171" s="94">
        <f t="shared" si="390"/>
        <v>2987.8736304374993</v>
      </c>
      <c r="CE171" s="48">
        <f t="shared" si="390"/>
        <v>2987.8736304374993</v>
      </c>
      <c r="CF171" s="48">
        <f t="shared" si="390"/>
        <v>2987.8736304374993</v>
      </c>
      <c r="CG171" s="48">
        <f t="shared" si="390"/>
        <v>2987.8736304374993</v>
      </c>
      <c r="CH171" s="93">
        <f t="shared" si="348"/>
        <v>11951.494521749997</v>
      </c>
      <c r="CI171" s="94">
        <f t="shared" si="390"/>
        <v>3002.8129985896867</v>
      </c>
      <c r="CJ171" s="48">
        <f t="shared" si="390"/>
        <v>3002.8129985896867</v>
      </c>
      <c r="CK171" s="48">
        <f t="shared" si="390"/>
        <v>3002.8129985896867</v>
      </c>
      <c r="CL171" s="48">
        <f t="shared" si="390"/>
        <v>3002.8129985896867</v>
      </c>
      <c r="CM171" s="93">
        <f t="shared" si="349"/>
        <v>12011.251994358747</v>
      </c>
      <c r="CN171" s="94">
        <f t="shared" si="390"/>
        <v>3017.8270635826348</v>
      </c>
      <c r="CO171" s="48">
        <f t="shared" si="390"/>
        <v>3017.8270635826348</v>
      </c>
      <c r="CP171" s="48">
        <f t="shared" si="390"/>
        <v>3017.8270635826348</v>
      </c>
      <c r="CQ171" s="48">
        <f t="shared" si="390"/>
        <v>3017.8270635826348</v>
      </c>
      <c r="CR171" s="93">
        <f t="shared" si="385"/>
        <v>12071.308254330539</v>
      </c>
      <c r="CS171" s="94">
        <f t="shared" si="390"/>
        <v>3032.9161989005474</v>
      </c>
      <c r="CT171" s="48">
        <f t="shared" si="390"/>
        <v>3032.9161989005474</v>
      </c>
      <c r="CU171" s="48">
        <f t="shared" si="390"/>
        <v>3032.9161989005474</v>
      </c>
      <c r="CV171" s="48">
        <f t="shared" si="390"/>
        <v>3032.9161989005474</v>
      </c>
      <c r="CW171" s="93">
        <f t="shared" si="387"/>
        <v>12131.66479560219</v>
      </c>
      <c r="CX171" s="94">
        <f t="shared" si="390"/>
        <v>3048.08077989505</v>
      </c>
      <c r="CY171" s="48">
        <f t="shared" si="390"/>
        <v>3048.08077989505</v>
      </c>
      <c r="CZ171" s="48">
        <f t="shared" si="390"/>
        <v>3048.08077989505</v>
      </c>
      <c r="DA171" s="48">
        <f t="shared" si="390"/>
        <v>3048.08077989505</v>
      </c>
      <c r="DB171" s="93">
        <f t="shared" si="389"/>
        <v>12192.3231195802</v>
      </c>
      <c r="DC171" s="3"/>
      <c r="DD171" s="3"/>
      <c r="DE171" s="3"/>
      <c r="DF171" s="3"/>
      <c r="DG171" s="3"/>
      <c r="DH171" s="3"/>
      <c r="DI171" s="3"/>
      <c r="DJ171" s="3"/>
      <c r="DK171" s="98"/>
      <c r="DL171" s="98"/>
      <c r="DM171" s="18"/>
    </row>
    <row r="172" spans="1:117">
      <c r="A172" s="15" t="s">
        <v>944</v>
      </c>
      <c r="B172" s="244">
        <v>8297</v>
      </c>
      <c r="C172" s="48">
        <f>10005-B172</f>
        <v>1708</v>
      </c>
      <c r="D172" s="3">
        <f>10238-C172-B172</f>
        <v>233</v>
      </c>
      <c r="E172" s="3">
        <f t="shared" si="337"/>
        <v>3071</v>
      </c>
      <c r="F172" s="194">
        <v>13309</v>
      </c>
      <c r="G172" s="244">
        <v>6040</v>
      </c>
      <c r="H172" s="48">
        <f>8188-G172</f>
        <v>2148</v>
      </c>
      <c r="I172" s="3">
        <f>9723-H172-G172</f>
        <v>1535</v>
      </c>
      <c r="J172" s="3">
        <f t="shared" si="338"/>
        <v>6606</v>
      </c>
      <c r="K172" s="194">
        <v>16329</v>
      </c>
      <c r="L172" s="244">
        <v>4182</v>
      </c>
      <c r="M172" s="48">
        <f>6575-L172</f>
        <v>2393</v>
      </c>
      <c r="N172" s="3">
        <f>8220-M172-L172</f>
        <v>1645</v>
      </c>
      <c r="O172" s="3">
        <f t="shared" si="339"/>
        <v>836</v>
      </c>
      <c r="P172" s="194">
        <v>9056</v>
      </c>
      <c r="Q172" s="244">
        <v>1974</v>
      </c>
      <c r="R172" s="48">
        <f>8301-Q172</f>
        <v>6327</v>
      </c>
      <c r="S172" s="3">
        <f>12574-R172-Q172</f>
        <v>4273</v>
      </c>
      <c r="T172" s="3">
        <f t="shared" si="340"/>
        <v>2004</v>
      </c>
      <c r="U172" s="194">
        <v>14578</v>
      </c>
      <c r="V172" s="244">
        <v>2035</v>
      </c>
      <c r="W172" s="48">
        <f>6965-V172</f>
        <v>4930</v>
      </c>
      <c r="X172" s="3">
        <f>11668-W172-V172</f>
        <v>4703</v>
      </c>
      <c r="Y172" s="3">
        <f t="shared" si="341"/>
        <v>1808</v>
      </c>
      <c r="Z172" s="243">
        <v>13476</v>
      </c>
      <c r="AA172" s="244">
        <v>-822</v>
      </c>
      <c r="AB172" s="48">
        <f>1663-AA172</f>
        <v>2485</v>
      </c>
      <c r="AC172" s="48">
        <f>3062-AB172-AA172</f>
        <v>1399</v>
      </c>
      <c r="AD172" s="3">
        <f t="shared" si="354"/>
        <v>1170</v>
      </c>
      <c r="AE172" s="243">
        <v>4232</v>
      </c>
      <c r="AF172" s="37">
        <v>-221</v>
      </c>
      <c r="AG172" s="48">
        <f>3416-AF172</f>
        <v>3637</v>
      </c>
      <c r="AH172" s="48">
        <f>3853-AG172-AF172</f>
        <v>437</v>
      </c>
      <c r="AI172" s="3">
        <f t="shared" si="355"/>
        <v>300</v>
      </c>
      <c r="AJ172" s="243">
        <v>4153</v>
      </c>
      <c r="AK172" s="37">
        <v>-333</v>
      </c>
      <c r="AL172" s="38">
        <f>-1013-AK172</f>
        <v>-680</v>
      </c>
      <c r="AM172" s="38">
        <f>-1260-AL172-AK172</f>
        <v>-247</v>
      </c>
      <c r="AN172" s="3">
        <f t="shared" si="356"/>
        <v>-211</v>
      </c>
      <c r="AO172" s="243">
        <v>-1471</v>
      </c>
      <c r="AP172" s="37">
        <v>-1360</v>
      </c>
      <c r="AQ172" s="38">
        <f>-1308-AP172</f>
        <v>52</v>
      </c>
      <c r="AR172" s="38">
        <f>-1770-AQ172-AP172</f>
        <v>-462</v>
      </c>
      <c r="AS172" s="3">
        <f t="shared" si="357"/>
        <v>29752</v>
      </c>
      <c r="AT172" s="243">
        <v>27982</v>
      </c>
      <c r="AU172" s="37">
        <v>-2227</v>
      </c>
      <c r="AV172" s="38">
        <f>113780-3658-AU172</f>
        <v>112349</v>
      </c>
      <c r="AW172" s="38">
        <f>-4047-AV172-AU172</f>
        <v>-114169</v>
      </c>
      <c r="AX172" s="3">
        <f t="shared" si="358"/>
        <v>-1609</v>
      </c>
      <c r="AY172" s="243">
        <v>-5656</v>
      </c>
      <c r="AZ172" s="37">
        <v>0</v>
      </c>
      <c r="BA172" s="38">
        <v>0</v>
      </c>
      <c r="BB172" s="38">
        <v>0</v>
      </c>
      <c r="BC172" s="3">
        <f t="shared" si="359"/>
        <v>0</v>
      </c>
      <c r="BD172" s="243">
        <v>0</v>
      </c>
      <c r="BE172" s="550">
        <v>0</v>
      </c>
      <c r="BF172" s="576">
        <v>0</v>
      </c>
      <c r="BG172" s="48">
        <v>0</v>
      </c>
      <c r="BH172" s="3">
        <f t="shared" si="343"/>
        <v>0</v>
      </c>
      <c r="BI172" s="243">
        <v>0</v>
      </c>
      <c r="BJ172" s="550">
        <v>0</v>
      </c>
      <c r="BK172" s="48">
        <v>0</v>
      </c>
      <c r="BL172" s="48">
        <v>0</v>
      </c>
      <c r="BM172" s="3">
        <f t="shared" si="344"/>
        <v>0</v>
      </c>
      <c r="BN172" s="243">
        <v>0</v>
      </c>
      <c r="BO172" s="550">
        <v>0</v>
      </c>
      <c r="BP172" s="48">
        <f>0-BO172</f>
        <v>0</v>
      </c>
      <c r="BQ172" s="48">
        <f>0-BO172-BP172</f>
        <v>0</v>
      </c>
      <c r="BR172" s="3">
        <f t="shared" si="345"/>
        <v>0</v>
      </c>
      <c r="BS172" s="243">
        <v>0</v>
      </c>
      <c r="BT172" s="94">
        <f>BR172*1.025</f>
        <v>0</v>
      </c>
      <c r="BU172" s="48">
        <f t="shared" ref="BU172:BW172" si="391">BT172*1.005</f>
        <v>0</v>
      </c>
      <c r="BV172" s="48">
        <f t="shared" si="391"/>
        <v>0</v>
      </c>
      <c r="BW172" s="48">
        <f t="shared" si="391"/>
        <v>0</v>
      </c>
      <c r="BX172" s="93">
        <f t="shared" si="346"/>
        <v>0</v>
      </c>
      <c r="BY172" s="94">
        <f>BW172*1.025</f>
        <v>0</v>
      </c>
      <c r="BZ172" s="48">
        <f t="shared" ref="BZ172:CB172" si="392">BY172*1.005</f>
        <v>0</v>
      </c>
      <c r="CA172" s="48">
        <f t="shared" si="392"/>
        <v>0</v>
      </c>
      <c r="CB172" s="48">
        <f t="shared" si="392"/>
        <v>0</v>
      </c>
      <c r="CC172" s="93">
        <f t="shared" si="347"/>
        <v>0</v>
      </c>
      <c r="CD172" s="94">
        <f>CB172*1.025</f>
        <v>0</v>
      </c>
      <c r="CE172" s="48">
        <f t="shared" ref="CE172:CG172" si="393">CD172*1.005</f>
        <v>0</v>
      </c>
      <c r="CF172" s="48">
        <f t="shared" si="393"/>
        <v>0</v>
      </c>
      <c r="CG172" s="48">
        <f t="shared" si="393"/>
        <v>0</v>
      </c>
      <c r="CH172" s="93">
        <f t="shared" si="348"/>
        <v>0</v>
      </c>
      <c r="CI172" s="94">
        <f>CG172*1.025</f>
        <v>0</v>
      </c>
      <c r="CJ172" s="48">
        <f t="shared" ref="CJ172:CL172" si="394">CI172*1.005</f>
        <v>0</v>
      </c>
      <c r="CK172" s="48">
        <f t="shared" si="394"/>
        <v>0</v>
      </c>
      <c r="CL172" s="48">
        <f t="shared" si="394"/>
        <v>0</v>
      </c>
      <c r="CM172" s="93">
        <f t="shared" si="349"/>
        <v>0</v>
      </c>
      <c r="CN172" s="94">
        <f>CL172*1.025</f>
        <v>0</v>
      </c>
      <c r="CO172" s="48">
        <f t="shared" ref="CO172:CQ172" si="395">CN172*1.005</f>
        <v>0</v>
      </c>
      <c r="CP172" s="48">
        <f t="shared" si="395"/>
        <v>0</v>
      </c>
      <c r="CQ172" s="48">
        <f t="shared" si="395"/>
        <v>0</v>
      </c>
      <c r="CR172" s="93">
        <f t="shared" si="374"/>
        <v>0</v>
      </c>
      <c r="CS172" s="94">
        <f>CQ172*1.025</f>
        <v>0</v>
      </c>
      <c r="CT172" s="48">
        <f t="shared" ref="CT172:CV172" si="396">CS172*1.005</f>
        <v>0</v>
      </c>
      <c r="CU172" s="48">
        <f t="shared" si="396"/>
        <v>0</v>
      </c>
      <c r="CV172" s="48">
        <f t="shared" si="396"/>
        <v>0</v>
      </c>
      <c r="CW172" s="93">
        <f t="shared" ref="CW172:CW174" si="397">SUM(CS172:CV172)</f>
        <v>0</v>
      </c>
      <c r="CX172" s="94">
        <f>CV172*1.025</f>
        <v>0</v>
      </c>
      <c r="CY172" s="48">
        <f t="shared" ref="CY172:DA172" si="398">CX172*1.005</f>
        <v>0</v>
      </c>
      <c r="CZ172" s="48">
        <f t="shared" si="398"/>
        <v>0</v>
      </c>
      <c r="DA172" s="48">
        <f t="shared" si="398"/>
        <v>0</v>
      </c>
      <c r="DB172" s="93">
        <f t="shared" ref="DB172:DB174" si="399">SUM(CX172:DA172)</f>
        <v>0</v>
      </c>
      <c r="DC172" s="3"/>
      <c r="DD172" s="3"/>
      <c r="DE172" s="3"/>
      <c r="DF172" s="3"/>
      <c r="DG172" s="3"/>
      <c r="DH172" s="3"/>
      <c r="DI172" s="3"/>
      <c r="DJ172" s="3"/>
      <c r="DK172" s="98"/>
      <c r="DL172" s="98"/>
      <c r="DM172" s="18"/>
    </row>
    <row r="173" spans="1:117">
      <c r="A173" s="15" t="s">
        <v>230</v>
      </c>
      <c r="B173" s="244">
        <v>0</v>
      </c>
      <c r="C173" s="48">
        <f>0-B173</f>
        <v>0</v>
      </c>
      <c r="D173" s="3">
        <f>0-C173-B173</f>
        <v>0</v>
      </c>
      <c r="E173" s="3">
        <f t="shared" si="337"/>
        <v>0</v>
      </c>
      <c r="F173" s="194">
        <v>0</v>
      </c>
      <c r="G173" s="244">
        <v>0</v>
      </c>
      <c r="H173" s="48">
        <f>0-G173</f>
        <v>0</v>
      </c>
      <c r="I173" s="3">
        <f>0-H173-G173</f>
        <v>0</v>
      </c>
      <c r="J173" s="3">
        <f t="shared" si="338"/>
        <v>0</v>
      </c>
      <c r="K173" s="194">
        <v>0</v>
      </c>
      <c r="L173" s="244">
        <v>0</v>
      </c>
      <c r="M173" s="48">
        <f>0-L173</f>
        <v>0</v>
      </c>
      <c r="N173" s="3">
        <f>0-M173-L173</f>
        <v>0</v>
      </c>
      <c r="O173" s="3">
        <f t="shared" si="339"/>
        <v>0</v>
      </c>
      <c r="P173" s="194">
        <v>0</v>
      </c>
      <c r="Q173" s="244">
        <v>0</v>
      </c>
      <c r="R173" s="48">
        <f>0-Q173</f>
        <v>0</v>
      </c>
      <c r="S173" s="3">
        <f>0-R173-Q173</f>
        <v>0</v>
      </c>
      <c r="T173" s="3">
        <f t="shared" si="340"/>
        <v>0</v>
      </c>
      <c r="U173" s="194">
        <v>0</v>
      </c>
      <c r="V173" s="244">
        <v>0</v>
      </c>
      <c r="W173" s="48">
        <f>0-V173</f>
        <v>0</v>
      </c>
      <c r="X173" s="3">
        <f>9659-W173-V173</f>
        <v>9659</v>
      </c>
      <c r="Y173" s="3">
        <f t="shared" si="341"/>
        <v>-1</v>
      </c>
      <c r="Z173" s="243">
        <v>9658</v>
      </c>
      <c r="AA173" s="244">
        <v>0</v>
      </c>
      <c r="AB173" s="38">
        <v>0</v>
      </c>
      <c r="AC173" s="38">
        <v>0</v>
      </c>
      <c r="AD173" s="3">
        <f t="shared" si="354"/>
        <v>0</v>
      </c>
      <c r="AE173" s="243">
        <v>0</v>
      </c>
      <c r="AF173" s="37">
        <v>0</v>
      </c>
      <c r="AG173" s="48">
        <v>0</v>
      </c>
      <c r="AH173" s="48">
        <v>0</v>
      </c>
      <c r="AI173" s="3">
        <f t="shared" si="355"/>
        <v>0</v>
      </c>
      <c r="AJ173" s="243">
        <v>0</v>
      </c>
      <c r="AK173" s="37">
        <v>0</v>
      </c>
      <c r="AL173" s="38">
        <v>0</v>
      </c>
      <c r="AM173" s="38">
        <v>0</v>
      </c>
      <c r="AN173" s="3">
        <f t="shared" si="356"/>
        <v>0</v>
      </c>
      <c r="AO173" s="243">
        <v>0</v>
      </c>
      <c r="AP173" s="37">
        <v>29861</v>
      </c>
      <c r="AQ173" s="38">
        <v>0</v>
      </c>
      <c r="AR173" s="38">
        <v>0</v>
      </c>
      <c r="AS173" s="3">
        <f t="shared" si="357"/>
        <v>-29861</v>
      </c>
      <c r="AT173" s="243">
        <v>0</v>
      </c>
      <c r="AU173" s="37">
        <v>0</v>
      </c>
      <c r="AV173" s="38">
        <v>0</v>
      </c>
      <c r="AW173" s="38">
        <v>0</v>
      </c>
      <c r="AX173" s="3">
        <f t="shared" si="358"/>
        <v>0</v>
      </c>
      <c r="AY173" s="243">
        <v>0</v>
      </c>
      <c r="AZ173" s="37">
        <v>0</v>
      </c>
      <c r="BA173" s="38">
        <v>0</v>
      </c>
      <c r="BB173" s="38">
        <v>0</v>
      </c>
      <c r="BC173" s="3">
        <f t="shared" si="359"/>
        <v>0</v>
      </c>
      <c r="BD173" s="243">
        <v>0</v>
      </c>
      <c r="BE173" s="550">
        <v>0</v>
      </c>
      <c r="BF173" s="576">
        <v>0</v>
      </c>
      <c r="BG173" s="38">
        <v>0</v>
      </c>
      <c r="BH173" s="3">
        <f t="shared" si="343"/>
        <v>0</v>
      </c>
      <c r="BI173" s="243">
        <v>0</v>
      </c>
      <c r="BJ173" s="550">
        <v>0</v>
      </c>
      <c r="BK173" s="38">
        <v>0</v>
      </c>
      <c r="BL173" s="38">
        <v>0</v>
      </c>
      <c r="BM173" s="3">
        <f t="shared" si="344"/>
        <v>0</v>
      </c>
      <c r="BN173" s="243">
        <v>0</v>
      </c>
      <c r="BO173" s="550">
        <v>0</v>
      </c>
      <c r="BP173" s="48">
        <f>0-BO173</f>
        <v>0</v>
      </c>
      <c r="BQ173" s="48">
        <f>0-BO173-BP173</f>
        <v>0</v>
      </c>
      <c r="BR173" s="3">
        <f t="shared" si="345"/>
        <v>0</v>
      </c>
      <c r="BS173" s="243">
        <v>0</v>
      </c>
      <c r="BT173" s="37">
        <v>0</v>
      </c>
      <c r="BU173" s="38">
        <v>0</v>
      </c>
      <c r="BV173" s="38">
        <v>0</v>
      </c>
      <c r="BW173" s="38">
        <v>0</v>
      </c>
      <c r="BX173" s="93">
        <f t="shared" si="346"/>
        <v>0</v>
      </c>
      <c r="BY173" s="37">
        <v>0</v>
      </c>
      <c r="BZ173" s="38">
        <v>0</v>
      </c>
      <c r="CA173" s="38">
        <v>0</v>
      </c>
      <c r="CB173" s="38">
        <v>0</v>
      </c>
      <c r="CC173" s="93">
        <f t="shared" si="347"/>
        <v>0</v>
      </c>
      <c r="CD173" s="37">
        <v>0</v>
      </c>
      <c r="CE173" s="38">
        <v>0</v>
      </c>
      <c r="CF173" s="38">
        <v>0</v>
      </c>
      <c r="CG173" s="38">
        <v>0</v>
      </c>
      <c r="CH173" s="93">
        <f t="shared" si="348"/>
        <v>0</v>
      </c>
      <c r="CI173" s="37">
        <v>0</v>
      </c>
      <c r="CJ173" s="38">
        <v>0</v>
      </c>
      <c r="CK173" s="38">
        <v>0</v>
      </c>
      <c r="CL173" s="38">
        <v>0</v>
      </c>
      <c r="CM173" s="93">
        <f t="shared" si="349"/>
        <v>0</v>
      </c>
      <c r="CN173" s="37">
        <v>0</v>
      </c>
      <c r="CO173" s="38">
        <v>0</v>
      </c>
      <c r="CP173" s="38">
        <v>0</v>
      </c>
      <c r="CQ173" s="38">
        <v>0</v>
      </c>
      <c r="CR173" s="93">
        <f t="shared" si="374"/>
        <v>0</v>
      </c>
      <c r="CS173" s="37">
        <v>0</v>
      </c>
      <c r="CT173" s="38">
        <v>0</v>
      </c>
      <c r="CU173" s="38">
        <v>0</v>
      </c>
      <c r="CV173" s="38">
        <v>0</v>
      </c>
      <c r="CW173" s="93">
        <f t="shared" si="397"/>
        <v>0</v>
      </c>
      <c r="CX173" s="37">
        <v>0</v>
      </c>
      <c r="CY173" s="38">
        <v>0</v>
      </c>
      <c r="CZ173" s="38">
        <v>0</v>
      </c>
      <c r="DA173" s="38">
        <v>0</v>
      </c>
      <c r="DB173" s="93">
        <f t="shared" si="399"/>
        <v>0</v>
      </c>
      <c r="DC173" s="3"/>
      <c r="DD173" s="3"/>
      <c r="DE173" s="3"/>
      <c r="DF173" s="3"/>
      <c r="DG173" s="3"/>
      <c r="DH173" s="3"/>
      <c r="DI173" s="3"/>
      <c r="DJ173" s="3"/>
      <c r="DK173" s="98"/>
      <c r="DL173" s="98"/>
      <c r="DM173" s="18"/>
    </row>
    <row r="174" spans="1:117">
      <c r="A174" s="15" t="s">
        <v>811</v>
      </c>
      <c r="B174" s="244">
        <v>0</v>
      </c>
      <c r="C174" s="48">
        <f>0-B174</f>
        <v>0</v>
      </c>
      <c r="D174" s="3">
        <f>0-C174-B174</f>
        <v>0</v>
      </c>
      <c r="E174" s="3">
        <f t="shared" si="337"/>
        <v>0</v>
      </c>
      <c r="F174" s="194">
        <v>0</v>
      </c>
      <c r="G174" s="245">
        <v>0</v>
      </c>
      <c r="H174" s="99">
        <f>0-G174</f>
        <v>0</v>
      </c>
      <c r="I174" s="98">
        <f>0-H174-G174</f>
        <v>0</v>
      </c>
      <c r="J174" s="98">
        <f t="shared" si="338"/>
        <v>0</v>
      </c>
      <c r="K174" s="243">
        <v>0</v>
      </c>
      <c r="L174" s="244">
        <v>0</v>
      </c>
      <c r="M174" s="48">
        <f>0-L174</f>
        <v>0</v>
      </c>
      <c r="N174" s="3">
        <f>0-M174-L174</f>
        <v>0</v>
      </c>
      <c r="O174" s="3">
        <f t="shared" si="339"/>
        <v>0</v>
      </c>
      <c r="P174" s="194">
        <v>0</v>
      </c>
      <c r="Q174" s="244">
        <v>0</v>
      </c>
      <c r="R174" s="48">
        <f>0-Q174</f>
        <v>0</v>
      </c>
      <c r="S174" s="3">
        <f>0-R174-Q174</f>
        <v>0</v>
      </c>
      <c r="T174" s="3">
        <f t="shared" si="340"/>
        <v>0</v>
      </c>
      <c r="U174" s="194">
        <v>0</v>
      </c>
      <c r="V174" s="244">
        <v>0</v>
      </c>
      <c r="W174" s="48">
        <f>0-V174</f>
        <v>0</v>
      </c>
      <c r="X174" s="3">
        <f>-11142-W174-V174</f>
        <v>-11142</v>
      </c>
      <c r="Y174" s="3">
        <f t="shared" si="341"/>
        <v>0</v>
      </c>
      <c r="Z174" s="243">
        <v>-11142</v>
      </c>
      <c r="AA174" s="244">
        <v>0</v>
      </c>
      <c r="AB174" s="38">
        <v>0</v>
      </c>
      <c r="AC174" s="48">
        <f>-2361-AB174-AA174</f>
        <v>-2361</v>
      </c>
      <c r="AD174" s="3">
        <f t="shared" si="354"/>
        <v>-655</v>
      </c>
      <c r="AE174" s="243">
        <v>-3016</v>
      </c>
      <c r="AF174" s="37">
        <v>0</v>
      </c>
      <c r="AG174" s="48">
        <v>0</v>
      </c>
      <c r="AH174" s="48">
        <v>0</v>
      </c>
      <c r="AI174" s="3">
        <f t="shared" si="355"/>
        <v>0</v>
      </c>
      <c r="AJ174" s="243">
        <v>0</v>
      </c>
      <c r="AK174" s="37">
        <v>0</v>
      </c>
      <c r="AL174" s="38">
        <v>0</v>
      </c>
      <c r="AM174" s="38">
        <v>0</v>
      </c>
      <c r="AN174" s="3">
        <f t="shared" si="356"/>
        <v>0</v>
      </c>
      <c r="AO174" s="243">
        <v>0</v>
      </c>
      <c r="AP174" s="37">
        <v>0</v>
      </c>
      <c r="AQ174" s="38">
        <f>10255-AP174</f>
        <v>10255</v>
      </c>
      <c r="AR174" s="38">
        <f>10255-AQ174-AP174</f>
        <v>0</v>
      </c>
      <c r="AS174" s="3">
        <f t="shared" si="357"/>
        <v>0</v>
      </c>
      <c r="AT174" s="243">
        <v>10255</v>
      </c>
      <c r="AU174" s="37">
        <v>0</v>
      </c>
      <c r="AV174" s="38">
        <v>0</v>
      </c>
      <c r="AW174" s="38">
        <f>124610-AV174-AU174</f>
        <v>124610</v>
      </c>
      <c r="AX174" s="3">
        <f t="shared" si="358"/>
        <v>-124610</v>
      </c>
      <c r="AY174" s="243">
        <v>0</v>
      </c>
      <c r="AZ174" s="37">
        <f>1739+8502</f>
        <v>10241</v>
      </c>
      <c r="BA174" s="38">
        <f>1739+12729-AZ174</f>
        <v>4227</v>
      </c>
      <c r="BB174" s="38">
        <f>1739+14282-BA174-AZ174</f>
        <v>1553</v>
      </c>
      <c r="BC174" s="3">
        <f t="shared" si="359"/>
        <v>3811</v>
      </c>
      <c r="BD174" s="243">
        <f>1739+18093</f>
        <v>19832</v>
      </c>
      <c r="BE174" s="550">
        <v>4310</v>
      </c>
      <c r="BF174" s="576">
        <f>7372-BE174</f>
        <v>3062</v>
      </c>
      <c r="BG174" s="48">
        <f>10145-BF174-BE174</f>
        <v>2773</v>
      </c>
      <c r="BH174" s="3">
        <f t="shared" si="343"/>
        <v>268925</v>
      </c>
      <c r="BI174" s="243">
        <f>14814+264256</f>
        <v>279070</v>
      </c>
      <c r="BJ174" s="550">
        <v>3039</v>
      </c>
      <c r="BK174" s="48">
        <f>6172-BJ174</f>
        <v>3133</v>
      </c>
      <c r="BL174" s="48">
        <f>8270-BK174-BJ174</f>
        <v>2098</v>
      </c>
      <c r="BM174" s="3">
        <f t="shared" si="344"/>
        <v>3373</v>
      </c>
      <c r="BN174" s="243">
        <v>11643</v>
      </c>
      <c r="BO174" s="550">
        <v>-5018</v>
      </c>
      <c r="BP174" s="48">
        <f>12600-1576-BO174</f>
        <v>16042</v>
      </c>
      <c r="BQ174" s="48">
        <f>818+12600+20240-BP174-BO174</f>
        <v>22634</v>
      </c>
      <c r="BR174" s="3">
        <f t="shared" si="345"/>
        <v>3261</v>
      </c>
      <c r="BS174" s="243">
        <f>4079+20240+12600</f>
        <v>36919</v>
      </c>
      <c r="BT174" s="94">
        <f>BS174/4*1.005</f>
        <v>9275.8987499999985</v>
      </c>
      <c r="BU174" s="48">
        <f>BT174*1.005</f>
        <v>9322.2782437499973</v>
      </c>
      <c r="BV174" s="48">
        <f>BU174*1.005</f>
        <v>9368.8896349687457</v>
      </c>
      <c r="BW174" s="48">
        <f>BV174*1.005</f>
        <v>9415.7340831435886</v>
      </c>
      <c r="BX174" s="93">
        <f t="shared" si="346"/>
        <v>37382.800711862328</v>
      </c>
      <c r="BY174" s="94">
        <f>BW174*0.5</f>
        <v>4707.8670415717943</v>
      </c>
      <c r="BZ174" s="48">
        <f>BY174*1.005</f>
        <v>4731.4063767796524</v>
      </c>
      <c r="CA174" s="48">
        <f>BZ174*1.005</f>
        <v>4755.06340866355</v>
      </c>
      <c r="CB174" s="48">
        <f>CA174*1.005</f>
        <v>4778.8387257068671</v>
      </c>
      <c r="CC174" s="93">
        <f t="shared" si="347"/>
        <v>18973.175552721867</v>
      </c>
      <c r="CD174" s="94">
        <f>CB174*0.5</f>
        <v>2389.4193628534335</v>
      </c>
      <c r="CE174" s="48">
        <f>CD174*1.005</f>
        <v>2401.3664596677004</v>
      </c>
      <c r="CF174" s="48">
        <f>CE174*1.005</f>
        <v>2413.3732919660388</v>
      </c>
      <c r="CG174" s="48">
        <f>CF174*1.005</f>
        <v>2425.4401584258685</v>
      </c>
      <c r="CH174" s="93">
        <f t="shared" si="348"/>
        <v>9629.5992729130412</v>
      </c>
      <c r="CI174" s="94">
        <f>CG174*1.005</f>
        <v>2437.5673592179974</v>
      </c>
      <c r="CJ174" s="48">
        <f>CI174*1.005</f>
        <v>2449.7551960140872</v>
      </c>
      <c r="CK174" s="48">
        <f>CJ174*1.005</f>
        <v>2462.0039719941574</v>
      </c>
      <c r="CL174" s="48">
        <f>CK174*1.005</f>
        <v>2474.3139918541278</v>
      </c>
      <c r="CM174" s="93">
        <f t="shared" si="349"/>
        <v>9823.6405190803689</v>
      </c>
      <c r="CN174" s="94">
        <f>CL174*1.005</f>
        <v>2486.6855618133982</v>
      </c>
      <c r="CO174" s="48">
        <f>CN174*1.005</f>
        <v>2499.1189896224651</v>
      </c>
      <c r="CP174" s="48">
        <f>CO174*1.005</f>
        <v>2511.6145845705773</v>
      </c>
      <c r="CQ174" s="48">
        <f>CP174*1.005</f>
        <v>2524.1726574934301</v>
      </c>
      <c r="CR174" s="93">
        <f t="shared" si="374"/>
        <v>10021.591793499872</v>
      </c>
      <c r="CS174" s="94">
        <f>CQ174*1.005</f>
        <v>2536.7935207808969</v>
      </c>
      <c r="CT174" s="48">
        <f>CS174*1.005</f>
        <v>2549.4774883848013</v>
      </c>
      <c r="CU174" s="48">
        <f>CT174*1.005</f>
        <v>2562.2248758267251</v>
      </c>
      <c r="CV174" s="48">
        <f>CU174*1.005</f>
        <v>2575.0360002058583</v>
      </c>
      <c r="CW174" s="93">
        <f t="shared" si="397"/>
        <v>10223.531885198281</v>
      </c>
      <c r="CX174" s="94">
        <f>CV174*1.005</f>
        <v>2587.9111802068874</v>
      </c>
      <c r="CY174" s="48">
        <f>CX174*1.005</f>
        <v>2600.8507361079214</v>
      </c>
      <c r="CZ174" s="48">
        <f>CY174*1.005</f>
        <v>2613.8549897884609</v>
      </c>
      <c r="DA174" s="48">
        <f>CZ174*1.005</f>
        <v>2626.9242647374031</v>
      </c>
      <c r="DB174" s="93">
        <f t="shared" si="399"/>
        <v>10429.541170840672</v>
      </c>
      <c r="DC174" s="3"/>
      <c r="DD174" s="3"/>
      <c r="DE174" s="3"/>
      <c r="DF174" s="3"/>
      <c r="DG174" s="3"/>
      <c r="DH174" s="3"/>
      <c r="DI174" s="3"/>
      <c r="DJ174" s="3"/>
      <c r="DK174" s="98"/>
      <c r="DL174" s="98"/>
      <c r="DM174" s="18"/>
    </row>
    <row r="175" spans="1:117">
      <c r="A175" s="31" t="s">
        <v>48</v>
      </c>
      <c r="B175" s="139">
        <f t="shared" ref="B175:Z175" si="400">SUM(B176:B186)</f>
        <v>274531</v>
      </c>
      <c r="C175" s="3">
        <f t="shared" si="400"/>
        <v>-70957</v>
      </c>
      <c r="D175" s="3">
        <f t="shared" si="400"/>
        <v>-263814</v>
      </c>
      <c r="E175" s="3">
        <f t="shared" si="400"/>
        <v>-217421</v>
      </c>
      <c r="F175" s="93">
        <f t="shared" si="400"/>
        <v>-277661</v>
      </c>
      <c r="G175" s="139">
        <f t="shared" si="400"/>
        <v>346184</v>
      </c>
      <c r="H175" s="3">
        <f t="shared" si="400"/>
        <v>-169632</v>
      </c>
      <c r="I175" s="3">
        <f t="shared" si="400"/>
        <v>-337890</v>
      </c>
      <c r="J175" s="3">
        <f t="shared" si="400"/>
        <v>-419492</v>
      </c>
      <c r="K175" s="93">
        <f t="shared" si="400"/>
        <v>-580830</v>
      </c>
      <c r="L175" s="139">
        <f t="shared" si="400"/>
        <v>523984</v>
      </c>
      <c r="M175" s="3">
        <f t="shared" si="400"/>
        <v>-134469</v>
      </c>
      <c r="N175" s="3">
        <f t="shared" si="400"/>
        <v>-87529</v>
      </c>
      <c r="O175" s="3">
        <f t="shared" si="400"/>
        <v>-242315</v>
      </c>
      <c r="P175" s="93">
        <f t="shared" si="400"/>
        <v>59671</v>
      </c>
      <c r="Q175" s="139">
        <f t="shared" si="400"/>
        <v>585676</v>
      </c>
      <c r="R175" s="3">
        <f t="shared" si="400"/>
        <v>-78666</v>
      </c>
      <c r="S175" s="3">
        <f t="shared" si="400"/>
        <v>-163052</v>
      </c>
      <c r="T175" s="3">
        <f t="shared" si="400"/>
        <v>-140316</v>
      </c>
      <c r="U175" s="93">
        <f t="shared" si="400"/>
        <v>203642</v>
      </c>
      <c r="V175" s="139">
        <f t="shared" si="400"/>
        <v>571112</v>
      </c>
      <c r="W175" s="3">
        <f t="shared" si="400"/>
        <v>-542331</v>
      </c>
      <c r="X175" s="3">
        <f t="shared" si="400"/>
        <v>-274703</v>
      </c>
      <c r="Y175" s="3">
        <f t="shared" si="400"/>
        <v>-269376</v>
      </c>
      <c r="Z175" s="255">
        <f t="shared" si="400"/>
        <v>-515298</v>
      </c>
      <c r="AA175" s="139">
        <f t="shared" ref="AA175:AH175" si="401">SUM(AA176:AA186)</f>
        <v>533910</v>
      </c>
      <c r="AB175" s="3">
        <f t="shared" si="401"/>
        <v>122663</v>
      </c>
      <c r="AC175" s="3">
        <f t="shared" si="401"/>
        <v>-9094</v>
      </c>
      <c r="AD175" s="3">
        <f t="shared" si="401"/>
        <v>-169038</v>
      </c>
      <c r="AE175" s="255">
        <f t="shared" si="401"/>
        <v>478441</v>
      </c>
      <c r="AF175" s="139">
        <f t="shared" si="401"/>
        <v>268833</v>
      </c>
      <c r="AG175" s="3">
        <f t="shared" si="401"/>
        <v>-158400</v>
      </c>
      <c r="AH175" s="3">
        <f t="shared" si="401"/>
        <v>-72087</v>
      </c>
      <c r="AI175" s="3">
        <f t="shared" ref="AI175:AO175" si="402">SUM(AI176:AI186)</f>
        <v>-199220</v>
      </c>
      <c r="AJ175" s="255">
        <f t="shared" si="402"/>
        <v>-160874</v>
      </c>
      <c r="AK175" s="139">
        <f t="shared" si="402"/>
        <v>313872</v>
      </c>
      <c r="AL175" s="3">
        <f t="shared" si="402"/>
        <v>-61228</v>
      </c>
      <c r="AM175" s="3">
        <f t="shared" si="402"/>
        <v>-183868</v>
      </c>
      <c r="AN175" s="3">
        <f t="shared" si="402"/>
        <v>-106547</v>
      </c>
      <c r="AO175" s="255">
        <f t="shared" si="402"/>
        <v>-37771</v>
      </c>
      <c r="AP175" s="139">
        <f t="shared" ref="AP175:AU175" si="403">SUM(AP176:AP186)</f>
        <v>26054</v>
      </c>
      <c r="AQ175" s="3">
        <f t="shared" si="403"/>
        <v>-79359</v>
      </c>
      <c r="AR175" s="3">
        <f t="shared" si="403"/>
        <v>-206271</v>
      </c>
      <c r="AS175" s="3">
        <f t="shared" si="403"/>
        <v>-96707</v>
      </c>
      <c r="AT175" s="255">
        <f t="shared" si="403"/>
        <v>-356283</v>
      </c>
      <c r="AU175" s="139">
        <f t="shared" si="403"/>
        <v>144424</v>
      </c>
      <c r="AV175" s="3">
        <f t="shared" ref="AV175:BA175" si="404">SUM(AV176:AV186)</f>
        <v>34766</v>
      </c>
      <c r="AW175" s="3">
        <f t="shared" si="404"/>
        <v>-60421</v>
      </c>
      <c r="AX175" s="3">
        <f t="shared" si="404"/>
        <v>69163</v>
      </c>
      <c r="AY175" s="255">
        <f t="shared" si="404"/>
        <v>187932</v>
      </c>
      <c r="AZ175" s="139">
        <f t="shared" si="404"/>
        <v>188412</v>
      </c>
      <c r="BA175" s="3">
        <f t="shared" si="404"/>
        <v>-229092</v>
      </c>
      <c r="BB175" s="3">
        <f t="shared" ref="BB175:BG175" si="405">SUM(BB176:BB186)</f>
        <v>26698</v>
      </c>
      <c r="BC175" s="3">
        <f t="shared" si="405"/>
        <v>72287</v>
      </c>
      <c r="BD175" s="255">
        <f t="shared" si="405"/>
        <v>58305</v>
      </c>
      <c r="BE175" s="577">
        <f t="shared" si="405"/>
        <v>-186798</v>
      </c>
      <c r="BF175" s="578">
        <f t="shared" si="405"/>
        <v>2174</v>
      </c>
      <c r="BG175" s="578">
        <f t="shared" si="405"/>
        <v>65438</v>
      </c>
      <c r="BH175" s="3">
        <f t="shared" ref="BH175:BQ175" si="406">SUM(BH176:BH186)</f>
        <v>-29786</v>
      </c>
      <c r="BI175" s="255">
        <f t="shared" si="406"/>
        <v>-148972</v>
      </c>
      <c r="BJ175" s="577">
        <f t="shared" si="406"/>
        <v>-102416</v>
      </c>
      <c r="BK175" s="578">
        <f t="shared" si="406"/>
        <v>-52371</v>
      </c>
      <c r="BL175" s="578">
        <f t="shared" si="406"/>
        <v>42110</v>
      </c>
      <c r="BM175" s="3">
        <f t="shared" si="406"/>
        <v>70224</v>
      </c>
      <c r="BN175" s="255">
        <f>SUM(BJ175:BM175)</f>
        <v>-42453</v>
      </c>
      <c r="BO175" s="577">
        <f t="shared" si="406"/>
        <v>-70750</v>
      </c>
      <c r="BP175" s="48">
        <f t="shared" si="406"/>
        <v>33859</v>
      </c>
      <c r="BQ175" s="578">
        <f t="shared" si="406"/>
        <v>-102869</v>
      </c>
      <c r="BR175" s="3">
        <f t="shared" ref="BR175" si="407">SUM(BR176:BR186)</f>
        <v>-52843</v>
      </c>
      <c r="BS175" s="255">
        <f>SUM(BO175:BR175)</f>
        <v>-192603</v>
      </c>
      <c r="BT175" s="99">
        <f>SUM(BS85:BS91)-SUM(BT85:BT91)+SUM(BT111:BT116)-SUM(BS111:BS116)</f>
        <v>4700.3500000000931</v>
      </c>
      <c r="BU175" s="99">
        <f>SUM(BT85:BT91)-SUM(BU85:BU91)+SUM(BU111:BU116)-SUM(BT111:BT116)</f>
        <v>4723.8517499999143</v>
      </c>
      <c r="BV175" s="99">
        <f>SUM(BU85:BU91)-SUM(BV85:BV91)+SUM(BV111:BV116)-SUM(BU111:BU116)</f>
        <v>4747.4710087496787</v>
      </c>
      <c r="BW175" s="99">
        <f>SUM(BV85:BV91)-SUM(BW85:BW91)+SUM(BW111:BW116)-SUM(BV111:BV116)</f>
        <v>4771.2083637937903</v>
      </c>
      <c r="BX175" s="93">
        <f t="shared" si="346"/>
        <v>18942.881122543477</v>
      </c>
      <c r="BY175" s="99">
        <f>SUM(BX85:BX91)-SUM(BY85:BY91)+SUM(BY111:BY116)-SUM(BX111:BX116)</f>
        <v>4795.0644056126475</v>
      </c>
      <c r="BZ175" s="99">
        <f>SUM(BY85:BY91)-SUM(BZ85:BZ91)+SUM(BZ111:BZ116)-SUM(BY111:BY116)</f>
        <v>4819.0397276412696</v>
      </c>
      <c r="CA175" s="99">
        <f>SUM(BZ85:BZ91)-SUM(CA85:CA91)+SUM(CA111:CA116)-SUM(BZ111:BZ116)</f>
        <v>4843.1349262786098</v>
      </c>
      <c r="CB175" s="99">
        <f>SUM(CA85:CA91)-SUM(CB85:CB91)+SUM(CB111:CB116)-SUM(CA111:CA116)</f>
        <v>4867.3506009108387</v>
      </c>
      <c r="CC175" s="93">
        <f t="shared" si="347"/>
        <v>19324.589660443366</v>
      </c>
      <c r="CD175" s="99">
        <f>SUM(CC85:CC91)-SUM(CD85:CD91)+SUM(CD111:CD116)-SUM(CC111:CC116)</f>
        <v>4891.6873539146036</v>
      </c>
      <c r="CE175" s="99">
        <f>SUM(CD85:CD91)-SUM(CE85:CE91)+SUM(CE111:CE116)-SUM(CD111:CD116)</f>
        <v>4916.1457906840369</v>
      </c>
      <c r="CF175" s="99">
        <f>SUM(CE85:CE91)-SUM(CF85:CF91)+SUM(CF111:CF116)-SUM(CE111:CE116)</f>
        <v>4940.7265196377411</v>
      </c>
      <c r="CG175" s="99">
        <f>SUM(CF85:CF91)-SUM(CG85:CG91)+SUM(CG111:CG116)-SUM(CF111:CF116)</f>
        <v>4965.430152236484</v>
      </c>
      <c r="CH175" s="93">
        <f t="shared" si="348"/>
        <v>19713.989816472866</v>
      </c>
      <c r="CI175" s="99">
        <f>SUM(CH85:CH91)-SUM(CI85:CI91)+SUM(CI111:CI116)-SUM(CH111:CH116)</f>
        <v>4990.2573029980995</v>
      </c>
      <c r="CJ175" s="99">
        <f>SUM(CI85:CI91)-SUM(CJ85:CJ91)+SUM(CJ111:CJ116)-SUM(CI111:CI116)</f>
        <v>5015.2085895119235</v>
      </c>
      <c r="CK175" s="99">
        <f>SUM(CJ85:CJ91)-SUM(CK85:CK91)+SUM(CK111:CK116)-SUM(CJ111:CJ116)</f>
        <v>5040.2846324592829</v>
      </c>
      <c r="CL175" s="99">
        <f>SUM(CK85:CK91)-SUM(CL85:CL91)+SUM(CL111:CL116)-SUM(CK111:CK116)</f>
        <v>5065.4860556218773</v>
      </c>
      <c r="CM175" s="93">
        <f t="shared" si="349"/>
        <v>20111.236580591183</v>
      </c>
      <c r="CN175" s="99">
        <f>SUM(CM85:CM91)-SUM(CN85:CN91)+SUM(CN111:CN116)-SUM(CM111:CM116)</f>
        <v>5090.8134859004058</v>
      </c>
      <c r="CO175" s="99">
        <f>SUM(CN85:CN91)-SUM(CO85:CO91)+SUM(CO111:CO116)-SUM(CN111:CN116)</f>
        <v>5116.2675533290021</v>
      </c>
      <c r="CP175" s="99">
        <f>SUM(CO85:CO91)-SUM(CP85:CP91)+SUM(CP111:CP116)-SUM(CO111:CO116)</f>
        <v>5141.8488910971209</v>
      </c>
      <c r="CQ175" s="99">
        <f>SUM(CP85:CP91)-SUM(CQ85:CQ91)+SUM(CQ111:CQ116)-SUM(CP111:CP116)</f>
        <v>5167.5581355518661</v>
      </c>
      <c r="CR175" s="93">
        <f>SUM(CN175:CQ175)</f>
        <v>20516.488065878395</v>
      </c>
      <c r="CS175" s="99">
        <f>SUM(CR85:CR91)-SUM(CS85:CS91)+SUM(CS111:CS116)-SUM(CR111:CR116)</f>
        <v>5193.3959262291901</v>
      </c>
      <c r="CT175" s="99">
        <f>SUM(CS85:CS91)-SUM(CT85:CT91)+SUM(CT111:CT116)-SUM(CS111:CS116)</f>
        <v>5219.3629058604129</v>
      </c>
      <c r="CU175" s="99">
        <f>SUM(CT85:CT91)-SUM(CU85:CU91)+SUM(CU111:CU116)-SUM(CT111:CT116)</f>
        <v>5245.4597203899175</v>
      </c>
      <c r="CV175" s="99">
        <f>SUM(CU85:CU91)-SUM(CV85:CV91)+SUM(CV111:CV116)-SUM(CU111:CU116)</f>
        <v>5271.6870189919136</v>
      </c>
      <c r="CW175" s="93">
        <f>SUM(CS175:CV175)</f>
        <v>20929.905571471434</v>
      </c>
      <c r="CX175" s="99">
        <f>SUM(CW85:CW91)-SUM(CX85:CX91)+SUM(CX111:CX116)-SUM(CW111:CW116)</f>
        <v>5298.0454540876672</v>
      </c>
      <c r="CY175" s="99">
        <f>SUM(CX85:CX91)-SUM(CY85:CY91)+SUM(CY111:CY116)-SUM(CX111:CX116)</f>
        <v>5324.5356813562103</v>
      </c>
      <c r="CZ175" s="99">
        <f>SUM(CY85:CY91)-SUM(CZ85:CZ91)+SUM(CZ111:CZ116)-SUM(CY111:CY116)</f>
        <v>5351.1583597646095</v>
      </c>
      <c r="DA175" s="99">
        <f>SUM(CZ85:CZ91)-SUM(DA85:DA91)+SUM(DA111:DA116)-SUM(CZ111:CZ116)</f>
        <v>5377.9141515628435</v>
      </c>
      <c r="DB175" s="93">
        <f>SUM(CX175:DA175)</f>
        <v>21351.65364677133</v>
      </c>
      <c r="DC175" s="3"/>
      <c r="DD175" s="3"/>
      <c r="DE175" s="3"/>
      <c r="DF175" s="3"/>
      <c r="DG175" s="3"/>
      <c r="DH175" s="3"/>
      <c r="DI175" s="3"/>
      <c r="DJ175" s="3"/>
      <c r="DK175" s="98"/>
      <c r="DL175" s="98"/>
      <c r="DM175" s="29"/>
    </row>
    <row r="176" spans="1:117">
      <c r="A176" s="15" t="s">
        <v>98</v>
      </c>
      <c r="B176" s="244">
        <v>17503</v>
      </c>
      <c r="C176" s="48">
        <f>144479-B176</f>
        <v>126976</v>
      </c>
      <c r="D176" s="3">
        <f>262659-C176-B176</f>
        <v>118180</v>
      </c>
      <c r="E176" s="3">
        <f t="shared" ref="E176:E186" si="408">F176-SUM(B176:D176)</f>
        <v>-738676</v>
      </c>
      <c r="F176" s="194">
        <v>-476017</v>
      </c>
      <c r="G176" s="244">
        <v>163425</v>
      </c>
      <c r="H176" s="48">
        <f>494362-G176</f>
        <v>330937</v>
      </c>
      <c r="I176" s="3">
        <f>5339-H176-G176</f>
        <v>-489023</v>
      </c>
      <c r="J176" s="3">
        <f t="shared" ref="J176:J186" si="409">K176-SUM(G176:I176)</f>
        <v>-738706</v>
      </c>
      <c r="K176" s="194">
        <v>-733367</v>
      </c>
      <c r="L176" s="244">
        <v>669231</v>
      </c>
      <c r="M176" s="48">
        <f>1270248-L176</f>
        <v>601017</v>
      </c>
      <c r="N176" s="3">
        <f>1295726-M176-L176</f>
        <v>25478</v>
      </c>
      <c r="O176" s="3">
        <f t="shared" ref="O176:O186" si="410">P176-SUM(L176:N176)</f>
        <v>-646311</v>
      </c>
      <c r="P176" s="194">
        <v>649415</v>
      </c>
      <c r="Q176" s="244">
        <v>60072</v>
      </c>
      <c r="R176" s="48">
        <f>311221-Q176</f>
        <v>251149</v>
      </c>
      <c r="S176" s="3">
        <f>412471-R176-Q176</f>
        <v>101250</v>
      </c>
      <c r="T176" s="3">
        <f t="shared" ref="T176:T186" si="411">U176-SUM(Q176:S176)</f>
        <v>-791347</v>
      </c>
      <c r="U176" s="194">
        <v>-378876</v>
      </c>
      <c r="V176" s="244">
        <v>-7065</v>
      </c>
      <c r="W176" s="48">
        <f>194146-V176</f>
        <v>201211</v>
      </c>
      <c r="X176" s="3">
        <f>634361-W176-V176</f>
        <v>440215</v>
      </c>
      <c r="Y176" s="3">
        <f t="shared" si="341"/>
        <v>-200502</v>
      </c>
      <c r="Z176" s="243">
        <v>433859</v>
      </c>
      <c r="AA176" s="244">
        <v>251980</v>
      </c>
      <c r="AB176" s="48">
        <f>492441-AA176</f>
        <v>240461</v>
      </c>
      <c r="AC176" s="48">
        <f>532950-AB176-AA176</f>
        <v>40509</v>
      </c>
      <c r="AD176" s="3">
        <f t="shared" ref="AD176:AD186" si="412">AE176-SUM(AA176:AC176)</f>
        <v>-714376</v>
      </c>
      <c r="AE176" s="243">
        <v>-181426</v>
      </c>
      <c r="AF176" s="244">
        <v>235922</v>
      </c>
      <c r="AG176" s="48">
        <f>531537-AF176</f>
        <v>295615</v>
      </c>
      <c r="AH176" s="48">
        <f>567141-AG176-AF176</f>
        <v>35604</v>
      </c>
      <c r="AI176" s="3">
        <f t="shared" ref="AI176:AI186" si="413">AJ176-SUM(AF176:AH176)</f>
        <v>-474672</v>
      </c>
      <c r="AJ176" s="243">
        <v>92469</v>
      </c>
      <c r="AK176" s="244">
        <v>53410</v>
      </c>
      <c r="AL176" s="178">
        <f>209112-AK176</f>
        <v>155702</v>
      </c>
      <c r="AM176" s="178">
        <f>194631-AL176-AK176</f>
        <v>-14481</v>
      </c>
      <c r="AN176" s="3">
        <f t="shared" ref="AN176:AN186" si="414">AO176-SUM(AK176:AM176)</f>
        <v>-250492</v>
      </c>
      <c r="AO176" s="243">
        <v>-55861</v>
      </c>
      <c r="AP176" s="244">
        <v>180413</v>
      </c>
      <c r="AQ176" s="178">
        <f>541053-AP176</f>
        <v>360640</v>
      </c>
      <c r="AR176" s="178">
        <f>350350-AQ176-AP176</f>
        <v>-190703</v>
      </c>
      <c r="AS176" s="3">
        <f t="shared" ref="AS176:AS186" si="415">AT176-SUM(AP176:AR176)</f>
        <v>-365124</v>
      </c>
      <c r="AT176" s="243">
        <v>-14774</v>
      </c>
      <c r="AU176" s="244">
        <v>90953</v>
      </c>
      <c r="AV176" s="178">
        <f>190633-AU176</f>
        <v>99680</v>
      </c>
      <c r="AW176" s="178">
        <f>182377-AV176-AU176</f>
        <v>-8256</v>
      </c>
      <c r="AX176" s="3">
        <f t="shared" ref="AX176:AX186" si="416">AY176-SUM(AU176:AW176)</f>
        <v>-372186</v>
      </c>
      <c r="AY176" s="243">
        <v>-189809</v>
      </c>
      <c r="AZ176" s="244">
        <v>112780</v>
      </c>
      <c r="BA176" s="178">
        <f>17504-AZ176</f>
        <v>-95276</v>
      </c>
      <c r="BB176" s="178">
        <f>156555-BA176-AZ176</f>
        <v>139051</v>
      </c>
      <c r="BC176" s="3">
        <f t="shared" ref="BC176:BC186" si="417">BD176-SUM(AZ176:BB176)</f>
        <v>224958</v>
      </c>
      <c r="BD176" s="243">
        <v>381513</v>
      </c>
      <c r="BE176" s="579">
        <v>134300</v>
      </c>
      <c r="BF176" s="576">
        <f>59120-BE176</f>
        <v>-75180</v>
      </c>
      <c r="BG176" s="38">
        <f>157742-BF176-BE176</f>
        <v>98622</v>
      </c>
      <c r="BH176" s="3">
        <f t="shared" ref="BH176:BH186" si="418">BI176-SUM(BE176:BG176)</f>
        <v>-691</v>
      </c>
      <c r="BI176" s="243">
        <v>157051</v>
      </c>
      <c r="BJ176" s="579">
        <v>68326</v>
      </c>
      <c r="BK176" s="578">
        <f>-85435-BJ176</f>
        <v>-153761</v>
      </c>
      <c r="BL176" s="48">
        <f>-145430-BK176-BJ176</f>
        <v>-59995</v>
      </c>
      <c r="BM176" s="3">
        <f t="shared" ref="BM176:BM186" si="419">BN176-BL176-BK176-BJ176</f>
        <v>-140376</v>
      </c>
      <c r="BN176" s="243">
        <v>-285806</v>
      </c>
      <c r="BO176" s="579">
        <v>137586</v>
      </c>
      <c r="BP176" s="48">
        <f>123085-BO176</f>
        <v>-14501</v>
      </c>
      <c r="BQ176" s="48">
        <f>-33224-BP176-BO176</f>
        <v>-156309</v>
      </c>
      <c r="BR176" s="3">
        <f t="shared" ref="BR176:BR186" si="420">BS176-BQ176-BP176-BO176</f>
        <v>-297297</v>
      </c>
      <c r="BS176" s="243">
        <v>-330521</v>
      </c>
      <c r="BT176" s="19"/>
      <c r="BU176" s="18"/>
      <c r="BV176" s="18"/>
      <c r="BW176" s="18"/>
      <c r="BX176" s="93">
        <f t="shared" ref="BX176:BX186" si="421">SUM(BT176:BW176)</f>
        <v>0</v>
      </c>
      <c r="BY176" s="19"/>
      <c r="BZ176" s="18"/>
      <c r="CA176" s="18"/>
      <c r="CB176" s="18"/>
      <c r="CC176" s="93">
        <f t="shared" ref="CC176:CC186" si="422">SUM(BY176:CB176)</f>
        <v>0</v>
      </c>
      <c r="CD176" s="19"/>
      <c r="CE176" s="18"/>
      <c r="CF176" s="18"/>
      <c r="CG176" s="18"/>
      <c r="CH176" s="93">
        <f t="shared" ref="CH176:CH186" si="423">SUM(CD176:CG176)</f>
        <v>0</v>
      </c>
      <c r="CI176" s="19"/>
      <c r="CJ176" s="18"/>
      <c r="CK176" s="18"/>
      <c r="CL176" s="18"/>
      <c r="CM176" s="93">
        <f t="shared" ref="CM176:CM186" si="424">SUM(CI176:CL176)</f>
        <v>0</v>
      </c>
      <c r="CN176" s="19"/>
      <c r="CO176" s="18"/>
      <c r="CP176" s="18"/>
      <c r="CQ176" s="18"/>
      <c r="CR176" s="93">
        <f t="shared" ref="CR176:CR185" si="425">SUM(CN176:CQ176)</f>
        <v>0</v>
      </c>
      <c r="CS176" s="19"/>
      <c r="CT176" s="18"/>
      <c r="CU176" s="18"/>
      <c r="CV176" s="18"/>
      <c r="CW176" s="93">
        <f t="shared" ref="CW176:CW185" si="426">SUM(CS176:CV176)</f>
        <v>0</v>
      </c>
      <c r="CX176" s="19"/>
      <c r="CY176" s="18"/>
      <c r="CZ176" s="18"/>
      <c r="DA176" s="18"/>
      <c r="DB176" s="93">
        <f t="shared" ref="DB176:DB185" si="427">SUM(CX176:DA176)</f>
        <v>0</v>
      </c>
      <c r="DC176" s="3"/>
      <c r="DD176" s="3"/>
      <c r="DE176" s="3"/>
      <c r="DF176" s="3"/>
      <c r="DG176" s="3"/>
      <c r="DH176" s="3"/>
      <c r="DI176" s="3"/>
      <c r="DJ176" s="3"/>
      <c r="DK176" s="98"/>
      <c r="DL176" s="98"/>
      <c r="DM176" s="29"/>
    </row>
    <row r="177" spans="1:117">
      <c r="A177" s="15" t="s">
        <v>588</v>
      </c>
      <c r="B177" s="244">
        <v>241912</v>
      </c>
      <c r="C177" s="48">
        <f>53256-B177</f>
        <v>-188656</v>
      </c>
      <c r="D177" s="3">
        <f>-137771-C177-B177</f>
        <v>-191027</v>
      </c>
      <c r="E177" s="3">
        <f t="shared" si="408"/>
        <v>41261</v>
      </c>
      <c r="F177" s="194">
        <v>-96510</v>
      </c>
      <c r="G177" s="244">
        <v>292126</v>
      </c>
      <c r="H177" s="48">
        <f>42347-G177</f>
        <v>-249779</v>
      </c>
      <c r="I177" s="3">
        <f>-284653-H177-G177</f>
        <v>-327000</v>
      </c>
      <c r="J177" s="3">
        <f t="shared" si="409"/>
        <v>-35979</v>
      </c>
      <c r="K177" s="194">
        <v>-320632</v>
      </c>
      <c r="L177" s="244">
        <v>280054</v>
      </c>
      <c r="M177" s="48">
        <f>2141-L177</f>
        <v>-277913</v>
      </c>
      <c r="N177" s="3">
        <f>-121031-M177-L177</f>
        <v>-123172</v>
      </c>
      <c r="O177" s="3">
        <f t="shared" si="410"/>
        <v>107230</v>
      </c>
      <c r="P177" s="194">
        <v>-13801</v>
      </c>
      <c r="Q177" s="244">
        <v>426136</v>
      </c>
      <c r="R177" s="48">
        <f>137544-Q177</f>
        <v>-288592</v>
      </c>
      <c r="S177" s="3">
        <f>-46594-R177-Q177</f>
        <v>-184138</v>
      </c>
      <c r="T177" s="3">
        <f t="shared" si="411"/>
        <v>135531</v>
      </c>
      <c r="U177" s="194">
        <v>88937</v>
      </c>
      <c r="V177" s="244">
        <v>488214</v>
      </c>
      <c r="W177" s="48">
        <f>-85083-V177</f>
        <v>-573297</v>
      </c>
      <c r="X177" s="3">
        <f>-482360-W177-V177</f>
        <v>-397277</v>
      </c>
      <c r="Y177" s="3">
        <f t="shared" si="341"/>
        <v>111698</v>
      </c>
      <c r="Z177" s="243">
        <v>-370662</v>
      </c>
      <c r="AA177" s="244">
        <v>404416</v>
      </c>
      <c r="AB177" s="48">
        <f>285271-AA177</f>
        <v>-119145</v>
      </c>
      <c r="AC177" s="48">
        <f>192398-AB177-AA177</f>
        <v>-92873</v>
      </c>
      <c r="AD177" s="3">
        <f t="shared" si="412"/>
        <v>74276</v>
      </c>
      <c r="AE177" s="243">
        <v>266674</v>
      </c>
      <c r="AF177" s="244">
        <v>177305</v>
      </c>
      <c r="AG177" s="48">
        <f>1618-AF177</f>
        <v>-175687</v>
      </c>
      <c r="AH177" s="48">
        <f>-158873-AG177-AF177</f>
        <v>-160491</v>
      </c>
      <c r="AI177" s="3">
        <f t="shared" si="413"/>
        <v>-5849</v>
      </c>
      <c r="AJ177" s="243">
        <v>-164722</v>
      </c>
      <c r="AK177" s="244">
        <v>301262</v>
      </c>
      <c r="AL177" s="178">
        <f>134760-AK177</f>
        <v>-166502</v>
      </c>
      <c r="AM177" s="178">
        <f>26975-AL177-AK177</f>
        <v>-107785</v>
      </c>
      <c r="AN177" s="3">
        <f t="shared" si="414"/>
        <v>38870</v>
      </c>
      <c r="AO177" s="243">
        <v>65845</v>
      </c>
      <c r="AP177" s="244">
        <v>251227</v>
      </c>
      <c r="AQ177" s="178">
        <f>-11445-AP177</f>
        <v>-262672</v>
      </c>
      <c r="AR177" s="178">
        <f>-94362-AQ177-AP177</f>
        <v>-82917</v>
      </c>
      <c r="AS177" s="3">
        <f t="shared" si="415"/>
        <v>127705</v>
      </c>
      <c r="AT177" s="243">
        <v>33343</v>
      </c>
      <c r="AU177" s="244">
        <v>214541</v>
      </c>
      <c r="AV177" s="178">
        <f>82018-AU177</f>
        <v>-132523</v>
      </c>
      <c r="AW177" s="178">
        <f>-147199-AV177-AU177</f>
        <v>-229217</v>
      </c>
      <c r="AX177" s="3">
        <f t="shared" si="416"/>
        <v>247136</v>
      </c>
      <c r="AY177" s="243">
        <v>99937</v>
      </c>
      <c r="AZ177" s="244">
        <v>63844</v>
      </c>
      <c r="BA177" s="178">
        <f>-40122-AZ177</f>
        <v>-103966</v>
      </c>
      <c r="BB177" s="178">
        <f>-43351-BA177-AZ177</f>
        <v>-3229</v>
      </c>
      <c r="BC177" s="3">
        <f t="shared" si="417"/>
        <v>204211</v>
      </c>
      <c r="BD177" s="243">
        <v>160860</v>
      </c>
      <c r="BE177" s="579">
        <v>-84557</v>
      </c>
      <c r="BF177" s="576">
        <f>+-16003-BE177</f>
        <v>68554</v>
      </c>
      <c r="BG177" s="38">
        <f>+-8174-BF177-BE177</f>
        <v>7829</v>
      </c>
      <c r="BH177" s="3">
        <f t="shared" si="418"/>
        <v>14224</v>
      </c>
      <c r="BI177" s="243">
        <v>6050</v>
      </c>
      <c r="BJ177" s="579">
        <v>-27991</v>
      </c>
      <c r="BK177" s="578">
        <f>+-117862-BJ177</f>
        <v>-89871</v>
      </c>
      <c r="BL177" s="48">
        <f>+-89685-BK177-BJ177</f>
        <v>28177</v>
      </c>
      <c r="BM177" s="3">
        <f t="shared" si="419"/>
        <v>77735</v>
      </c>
      <c r="BN177" s="243">
        <v>-11950</v>
      </c>
      <c r="BO177" s="579">
        <v>-53305</v>
      </c>
      <c r="BP177" s="48">
        <f>+-60099-BO177</f>
        <v>-6794</v>
      </c>
      <c r="BQ177" s="48">
        <f>+-174232-BP177-BO177</f>
        <v>-114133</v>
      </c>
      <c r="BR177" s="3">
        <f t="shared" si="420"/>
        <v>-28027</v>
      </c>
      <c r="BS177" s="243">
        <v>-202259</v>
      </c>
      <c r="BT177" s="19"/>
      <c r="BU177" s="18"/>
      <c r="BV177" s="18"/>
      <c r="BW177" s="18"/>
      <c r="BX177" s="93">
        <f t="shared" si="421"/>
        <v>0</v>
      </c>
      <c r="BY177" s="19"/>
      <c r="BZ177" s="18"/>
      <c r="CA177" s="18"/>
      <c r="CB177" s="18"/>
      <c r="CC177" s="93">
        <f t="shared" si="422"/>
        <v>0</v>
      </c>
      <c r="CD177" s="19"/>
      <c r="CE177" s="18"/>
      <c r="CF177" s="18"/>
      <c r="CG177" s="18"/>
      <c r="CH177" s="93">
        <f t="shared" si="423"/>
        <v>0</v>
      </c>
      <c r="CI177" s="19"/>
      <c r="CJ177" s="18"/>
      <c r="CK177" s="18"/>
      <c r="CL177" s="18"/>
      <c r="CM177" s="93">
        <f t="shared" si="424"/>
        <v>0</v>
      </c>
      <c r="CN177" s="19"/>
      <c r="CO177" s="18"/>
      <c r="CP177" s="18"/>
      <c r="CQ177" s="18"/>
      <c r="CR177" s="93">
        <f t="shared" si="425"/>
        <v>0</v>
      </c>
      <c r="CS177" s="19"/>
      <c r="CT177" s="18"/>
      <c r="CU177" s="18"/>
      <c r="CV177" s="18"/>
      <c r="CW177" s="93">
        <f t="shared" si="426"/>
        <v>0</v>
      </c>
      <c r="CX177" s="19"/>
      <c r="CY177" s="18"/>
      <c r="CZ177" s="18"/>
      <c r="DA177" s="18"/>
      <c r="DB177" s="93">
        <f t="shared" si="427"/>
        <v>0</v>
      </c>
      <c r="DC177" s="3"/>
      <c r="DD177" s="3"/>
      <c r="DE177" s="3"/>
      <c r="DF177" s="3"/>
      <c r="DG177" s="3"/>
      <c r="DH177" s="3"/>
      <c r="DI177" s="3"/>
      <c r="DJ177" s="3"/>
      <c r="DK177" s="98"/>
      <c r="DL177" s="98"/>
      <c r="DM177" s="29"/>
    </row>
    <row r="178" spans="1:117">
      <c r="A178" s="15" t="s">
        <v>769</v>
      </c>
      <c r="B178" s="244">
        <v>16064</v>
      </c>
      <c r="C178" s="48">
        <f>21939-B178</f>
        <v>5875</v>
      </c>
      <c r="D178" s="3">
        <f>22461-C178-B178</f>
        <v>522</v>
      </c>
      <c r="E178" s="3">
        <f t="shared" si="408"/>
        <v>-12431</v>
      </c>
      <c r="F178" s="194">
        <v>10030</v>
      </c>
      <c r="G178" s="244">
        <v>-38412</v>
      </c>
      <c r="H178" s="48">
        <f>-44413-G178</f>
        <v>-6001</v>
      </c>
      <c r="I178" s="3">
        <f>-55227-H178-G178</f>
        <v>-10814</v>
      </c>
      <c r="J178" s="3">
        <f t="shared" si="409"/>
        <v>-62987</v>
      </c>
      <c r="K178" s="194">
        <v>-118214</v>
      </c>
      <c r="L178" s="244">
        <v>48202</v>
      </c>
      <c r="M178" s="48">
        <f>-5652-L178</f>
        <v>-53854</v>
      </c>
      <c r="N178" s="3">
        <f>-10964-M178-L178</f>
        <v>-5312</v>
      </c>
      <c r="O178" s="3">
        <f t="shared" si="410"/>
        <v>10964</v>
      </c>
      <c r="P178" s="194">
        <v>0</v>
      </c>
      <c r="Q178" s="244">
        <v>0</v>
      </c>
      <c r="R178" s="48">
        <f>0-Q178</f>
        <v>0</v>
      </c>
      <c r="S178" s="3">
        <f>0-R178-Q178</f>
        <v>0</v>
      </c>
      <c r="T178" s="3">
        <f t="shared" si="411"/>
        <v>0</v>
      </c>
      <c r="U178" s="194">
        <v>0</v>
      </c>
      <c r="V178" s="244">
        <v>-52052</v>
      </c>
      <c r="W178" s="48">
        <f>0-V178</f>
        <v>52052</v>
      </c>
      <c r="X178" s="3">
        <f>0-W178-V178</f>
        <v>0</v>
      </c>
      <c r="Y178" s="3">
        <f t="shared" si="341"/>
        <v>0</v>
      </c>
      <c r="Z178" s="243">
        <v>0</v>
      </c>
      <c r="AA178" s="244">
        <v>3443</v>
      </c>
      <c r="AB178" s="48">
        <f>0-AA178</f>
        <v>-3443</v>
      </c>
      <c r="AC178" s="38">
        <v>0</v>
      </c>
      <c r="AD178" s="3">
        <f t="shared" si="412"/>
        <v>0</v>
      </c>
      <c r="AE178" s="243">
        <v>0</v>
      </c>
      <c r="AF178" s="244">
        <v>0</v>
      </c>
      <c r="AG178" s="48">
        <v>0</v>
      </c>
      <c r="AH178" s="48">
        <v>0</v>
      </c>
      <c r="AI178" s="3">
        <f t="shared" si="413"/>
        <v>0</v>
      </c>
      <c r="AJ178" s="243">
        <v>0</v>
      </c>
      <c r="AK178" s="244">
        <v>0</v>
      </c>
      <c r="AL178" s="178">
        <f>0-AK178</f>
        <v>0</v>
      </c>
      <c r="AM178" s="178">
        <v>0</v>
      </c>
      <c r="AN178" s="3">
        <f t="shared" si="414"/>
        <v>0</v>
      </c>
      <c r="AO178" s="243">
        <v>0</v>
      </c>
      <c r="AP178" s="244">
        <v>0</v>
      </c>
      <c r="AQ178" s="178">
        <f>0-AP178</f>
        <v>0</v>
      </c>
      <c r="AR178" s="178">
        <v>0</v>
      </c>
      <c r="AS178" s="3">
        <f t="shared" si="415"/>
        <v>0</v>
      </c>
      <c r="AT178" s="243">
        <v>0</v>
      </c>
      <c r="AU178" s="244">
        <v>0</v>
      </c>
      <c r="AV178" s="178">
        <f>0-AU178</f>
        <v>0</v>
      </c>
      <c r="AW178" s="178">
        <v>0</v>
      </c>
      <c r="AX178" s="3">
        <f t="shared" si="416"/>
        <v>0</v>
      </c>
      <c r="AY178" s="243">
        <v>0</v>
      </c>
      <c r="AZ178" s="244">
        <v>0</v>
      </c>
      <c r="BA178" s="178">
        <f>0-AZ178</f>
        <v>0</v>
      </c>
      <c r="BB178" s="178">
        <v>0</v>
      </c>
      <c r="BC178" s="3">
        <f t="shared" si="417"/>
        <v>0</v>
      </c>
      <c r="BD178" s="243">
        <v>0</v>
      </c>
      <c r="BE178" s="579">
        <v>0</v>
      </c>
      <c r="BF178" s="576">
        <v>0</v>
      </c>
      <c r="BG178" s="18">
        <v>0</v>
      </c>
      <c r="BH178" s="3">
        <f t="shared" si="418"/>
        <v>0</v>
      </c>
      <c r="BI178" s="243">
        <v>0</v>
      </c>
      <c r="BJ178" s="579">
        <v>0</v>
      </c>
      <c r="BK178" s="578">
        <v>0</v>
      </c>
      <c r="BL178" s="48">
        <f>0-BK178-BJ178</f>
        <v>0</v>
      </c>
      <c r="BM178" s="3">
        <f t="shared" si="419"/>
        <v>0</v>
      </c>
      <c r="BN178" s="243">
        <v>0</v>
      </c>
      <c r="BO178" s="579">
        <v>0</v>
      </c>
      <c r="BP178" s="3">
        <f>0-BO178</f>
        <v>0</v>
      </c>
      <c r="BQ178" s="48">
        <f>0-BP178-BO178</f>
        <v>0</v>
      </c>
      <c r="BR178" s="3">
        <f t="shared" si="420"/>
        <v>0</v>
      </c>
      <c r="BS178" s="243">
        <v>0</v>
      </c>
      <c r="BT178" s="19"/>
      <c r="BU178" s="18"/>
      <c r="BV178" s="18"/>
      <c r="BW178" s="18"/>
      <c r="BX178" s="93">
        <f t="shared" si="421"/>
        <v>0</v>
      </c>
      <c r="BY178" s="19"/>
      <c r="BZ178" s="18"/>
      <c r="CA178" s="18"/>
      <c r="CB178" s="18"/>
      <c r="CC178" s="93">
        <f t="shared" si="422"/>
        <v>0</v>
      </c>
      <c r="CD178" s="19"/>
      <c r="CE178" s="18"/>
      <c r="CF178" s="18"/>
      <c r="CG178" s="18"/>
      <c r="CH178" s="93">
        <f t="shared" si="423"/>
        <v>0</v>
      </c>
      <c r="CI178" s="19"/>
      <c r="CJ178" s="18"/>
      <c r="CK178" s="18"/>
      <c r="CL178" s="18"/>
      <c r="CM178" s="93">
        <f t="shared" si="424"/>
        <v>0</v>
      </c>
      <c r="CN178" s="19"/>
      <c r="CO178" s="18"/>
      <c r="CP178" s="18"/>
      <c r="CQ178" s="18"/>
      <c r="CR178" s="93">
        <f t="shared" si="425"/>
        <v>0</v>
      </c>
      <c r="CS178" s="19"/>
      <c r="CT178" s="18"/>
      <c r="CU178" s="18"/>
      <c r="CV178" s="18"/>
      <c r="CW178" s="93">
        <f t="shared" si="426"/>
        <v>0</v>
      </c>
      <c r="CX178" s="19"/>
      <c r="CY178" s="18"/>
      <c r="CZ178" s="18"/>
      <c r="DA178" s="18"/>
      <c r="DB178" s="93">
        <f t="shared" si="427"/>
        <v>0</v>
      </c>
      <c r="DC178" s="3"/>
      <c r="DD178" s="3"/>
      <c r="DE178" s="3"/>
      <c r="DF178" s="3"/>
      <c r="DG178" s="3"/>
      <c r="DH178" s="3"/>
      <c r="DI178" s="3"/>
      <c r="DJ178" s="3"/>
      <c r="DK178" s="98"/>
      <c r="DL178" s="98"/>
      <c r="DM178" s="29"/>
    </row>
    <row r="179" spans="1:117">
      <c r="A179" s="15" t="s">
        <v>841</v>
      </c>
      <c r="B179" s="244">
        <v>18336</v>
      </c>
      <c r="C179" s="48">
        <f>26962-B179</f>
        <v>8626</v>
      </c>
      <c r="D179" s="3">
        <f>-123583-C179-B179</f>
        <v>-150545</v>
      </c>
      <c r="E179" s="3">
        <f t="shared" si="408"/>
        <v>445970</v>
      </c>
      <c r="F179" s="194">
        <v>322387</v>
      </c>
      <c r="G179" s="244">
        <v>-36213</v>
      </c>
      <c r="H179" s="48">
        <f>-250332-G179</f>
        <v>-214119</v>
      </c>
      <c r="I179" s="3">
        <f>216008-H179-G179</f>
        <v>466340</v>
      </c>
      <c r="J179" s="3">
        <f t="shared" si="409"/>
        <v>302398</v>
      </c>
      <c r="K179" s="194">
        <v>518406</v>
      </c>
      <c r="L179" s="244">
        <v>-364945</v>
      </c>
      <c r="M179" s="48">
        <f>-841045-L179</f>
        <v>-476100</v>
      </c>
      <c r="N179" s="3">
        <f>-779425-M179-L179</f>
        <v>61620</v>
      </c>
      <c r="O179" s="3">
        <f t="shared" si="410"/>
        <v>353710</v>
      </c>
      <c r="P179" s="194">
        <v>-425715</v>
      </c>
      <c r="Q179" s="244">
        <v>-3020</v>
      </c>
      <c r="R179" s="48">
        <f>11658-Q179</f>
        <v>14678</v>
      </c>
      <c r="S179" s="3">
        <f>-97254-R179-Q179</f>
        <v>-108912</v>
      </c>
      <c r="T179" s="3">
        <f t="shared" si="411"/>
        <v>440398</v>
      </c>
      <c r="U179" s="194">
        <v>343144</v>
      </c>
      <c r="V179" s="244">
        <v>119795</v>
      </c>
      <c r="W179" s="48">
        <f>261530-V179</f>
        <v>141735</v>
      </c>
      <c r="X179" s="3">
        <f>-210768-W179-V179</f>
        <v>-472298</v>
      </c>
      <c r="Y179" s="3">
        <f t="shared" si="341"/>
        <v>-129816</v>
      </c>
      <c r="Z179" s="243">
        <v>-340584</v>
      </c>
      <c r="AA179" s="244">
        <v>-311252</v>
      </c>
      <c r="AB179" s="48">
        <f>-324364-AA179</f>
        <v>-13112</v>
      </c>
      <c r="AC179" s="48">
        <f>-347374-AB179-AA179</f>
        <v>-23010</v>
      </c>
      <c r="AD179" s="3">
        <f t="shared" si="412"/>
        <v>501413</v>
      </c>
      <c r="AE179" s="243">
        <v>154039</v>
      </c>
      <c r="AF179" s="244">
        <v>-268987</v>
      </c>
      <c r="AG179" s="48">
        <f>-407513-AF179</f>
        <v>-138526</v>
      </c>
      <c r="AH179" s="48">
        <f>-363285-AG179-AF179</f>
        <v>44228</v>
      </c>
      <c r="AI179" s="3">
        <f t="shared" si="413"/>
        <v>319402</v>
      </c>
      <c r="AJ179" s="243">
        <v>-43883</v>
      </c>
      <c r="AK179" s="244">
        <v>-77843</v>
      </c>
      <c r="AL179" s="178">
        <f>-20199-AK179</f>
        <v>57644</v>
      </c>
      <c r="AM179" s="178">
        <f>-401-AL179-AK179</f>
        <v>19798</v>
      </c>
      <c r="AN179" s="3">
        <f t="shared" si="414"/>
        <v>103022</v>
      </c>
      <c r="AO179" s="243">
        <v>102621</v>
      </c>
      <c r="AP179" s="244">
        <v>-176674</v>
      </c>
      <c r="AQ179" s="178">
        <f>-404006-AP179</f>
        <v>-227332</v>
      </c>
      <c r="AR179" s="178">
        <f>-156483-AQ179-AP179</f>
        <v>247523</v>
      </c>
      <c r="AS179" s="3">
        <f t="shared" si="415"/>
        <v>125502</v>
      </c>
      <c r="AT179" s="243">
        <v>-30981</v>
      </c>
      <c r="AU179" s="244">
        <v>-103690</v>
      </c>
      <c r="AV179" s="178">
        <f>-63954-AU179</f>
        <v>39736</v>
      </c>
      <c r="AW179" s="178">
        <f>82743-AV179-AU179</f>
        <v>146697</v>
      </c>
      <c r="AX179" s="3">
        <f t="shared" si="416"/>
        <v>82333</v>
      </c>
      <c r="AY179" s="243">
        <v>165076</v>
      </c>
      <c r="AZ179" s="244">
        <v>27817</v>
      </c>
      <c r="BA179" s="178">
        <f>-3426-AZ179</f>
        <v>-31243</v>
      </c>
      <c r="BB179" s="178">
        <f>-111186-BA179-AZ179</f>
        <v>-107760</v>
      </c>
      <c r="BC179" s="3">
        <f t="shared" si="417"/>
        <v>-306807</v>
      </c>
      <c r="BD179" s="243">
        <v>-417993</v>
      </c>
      <c r="BE179" s="579">
        <v>-125898</v>
      </c>
      <c r="BF179" s="576">
        <f>+-136119-BE179</f>
        <v>-10221</v>
      </c>
      <c r="BG179" s="38">
        <f>+-191542-BF179-BE179</f>
        <v>-55423</v>
      </c>
      <c r="BH179" s="3">
        <f t="shared" si="418"/>
        <v>-13601</v>
      </c>
      <c r="BI179" s="243">
        <v>-205143</v>
      </c>
      <c r="BJ179" s="579">
        <v>-64088</v>
      </c>
      <c r="BK179" s="578">
        <f>103976-BJ179</f>
        <v>168064</v>
      </c>
      <c r="BL179" s="48">
        <f>138198-BK179-BJ179</f>
        <v>34222</v>
      </c>
      <c r="BM179" s="3">
        <f t="shared" si="419"/>
        <v>149434</v>
      </c>
      <c r="BN179" s="243">
        <v>287632</v>
      </c>
      <c r="BO179" s="579">
        <v>-122843</v>
      </c>
      <c r="BP179" s="48">
        <f>+-134334-BO179</f>
        <v>-11491</v>
      </c>
      <c r="BQ179" s="48">
        <f>82174-BP179-BO179</f>
        <v>216508</v>
      </c>
      <c r="BR179" s="3">
        <f t="shared" si="420"/>
        <v>179131</v>
      </c>
      <c r="BS179" s="243">
        <v>261305</v>
      </c>
      <c r="BT179" s="19"/>
      <c r="BU179" s="18"/>
      <c r="BV179" s="18"/>
      <c r="BW179" s="18"/>
      <c r="BX179" s="93">
        <f t="shared" si="421"/>
        <v>0</v>
      </c>
      <c r="BY179" s="19"/>
      <c r="BZ179" s="18"/>
      <c r="CA179" s="18"/>
      <c r="CB179" s="18"/>
      <c r="CC179" s="93">
        <f t="shared" si="422"/>
        <v>0</v>
      </c>
      <c r="CD179" s="19"/>
      <c r="CE179" s="18"/>
      <c r="CF179" s="18"/>
      <c r="CG179" s="18"/>
      <c r="CH179" s="93">
        <f t="shared" si="423"/>
        <v>0</v>
      </c>
      <c r="CI179" s="19"/>
      <c r="CJ179" s="18"/>
      <c r="CK179" s="18"/>
      <c r="CL179" s="18"/>
      <c r="CM179" s="93">
        <f t="shared" si="424"/>
        <v>0</v>
      </c>
      <c r="CN179" s="19"/>
      <c r="CO179" s="18"/>
      <c r="CP179" s="18"/>
      <c r="CQ179" s="18"/>
      <c r="CR179" s="93">
        <f t="shared" si="425"/>
        <v>0</v>
      </c>
      <c r="CS179" s="19"/>
      <c r="CT179" s="18"/>
      <c r="CU179" s="18"/>
      <c r="CV179" s="18"/>
      <c r="CW179" s="93">
        <f t="shared" si="426"/>
        <v>0</v>
      </c>
      <c r="CX179" s="19"/>
      <c r="CY179" s="18"/>
      <c r="CZ179" s="18"/>
      <c r="DA179" s="18"/>
      <c r="DB179" s="93">
        <f t="shared" si="427"/>
        <v>0</v>
      </c>
      <c r="DC179" s="3"/>
      <c r="DD179" s="3"/>
      <c r="DE179" s="3"/>
      <c r="DF179" s="3"/>
      <c r="DG179" s="3"/>
      <c r="DH179" s="3"/>
      <c r="DI179" s="3"/>
      <c r="DJ179" s="3"/>
      <c r="DK179" s="98"/>
      <c r="DL179" s="98"/>
      <c r="DM179" s="29"/>
    </row>
    <row r="180" spans="1:117">
      <c r="A180" s="15" t="s">
        <v>478</v>
      </c>
      <c r="B180" s="244">
        <v>0</v>
      </c>
      <c r="C180" s="48">
        <f>0-B180</f>
        <v>0</v>
      </c>
      <c r="D180" s="3">
        <f>-359-C180-B180</f>
        <v>-359</v>
      </c>
      <c r="E180" s="3">
        <f t="shared" si="408"/>
        <v>359</v>
      </c>
      <c r="F180" s="194">
        <v>0</v>
      </c>
      <c r="G180" s="244">
        <v>0</v>
      </c>
      <c r="H180" s="48">
        <f>0-G180</f>
        <v>0</v>
      </c>
      <c r="I180" s="3">
        <f>130260-H180-G180</f>
        <v>130260</v>
      </c>
      <c r="J180" s="3">
        <f t="shared" si="409"/>
        <v>-23485</v>
      </c>
      <c r="K180" s="194">
        <v>106775</v>
      </c>
      <c r="L180" s="244">
        <v>-16554</v>
      </c>
      <c r="M180" s="48">
        <f>29561-L180</f>
        <v>46115</v>
      </c>
      <c r="N180" s="3">
        <f>-5106+-M180-L180</f>
        <v>-34667</v>
      </c>
      <c r="O180" s="3">
        <f t="shared" si="410"/>
        <v>23107</v>
      </c>
      <c r="P180" s="194">
        <v>18001</v>
      </c>
      <c r="Q180" s="244">
        <v>-7468</v>
      </c>
      <c r="R180" s="48">
        <f>15026-Q180</f>
        <v>22494</v>
      </c>
      <c r="S180" s="3">
        <f>19311-R180-Q180</f>
        <v>4285</v>
      </c>
      <c r="T180" s="3">
        <f t="shared" si="411"/>
        <v>21261</v>
      </c>
      <c r="U180" s="194">
        <v>40572</v>
      </c>
      <c r="V180" s="244">
        <v>-24686</v>
      </c>
      <c r="W180" s="48">
        <f>53881-V180</f>
        <v>78567</v>
      </c>
      <c r="X180" s="3">
        <f>-3137-W180-V180</f>
        <v>-57018</v>
      </c>
      <c r="Y180" s="3">
        <f t="shared" si="341"/>
        <v>-34238</v>
      </c>
      <c r="Z180" s="243">
        <v>-37375</v>
      </c>
      <c r="AA180" s="244">
        <v>-51317</v>
      </c>
      <c r="AB180" s="48">
        <f>-18352-AA180</f>
        <v>32965</v>
      </c>
      <c r="AC180" s="48">
        <f>-10388-AB180-AA180</f>
        <v>7964</v>
      </c>
      <c r="AD180" s="3">
        <f t="shared" si="412"/>
        <v>87562</v>
      </c>
      <c r="AE180" s="243">
        <v>77174</v>
      </c>
      <c r="AF180" s="244">
        <v>-58903</v>
      </c>
      <c r="AG180" s="48">
        <f>-74278-AF180</f>
        <v>-15375</v>
      </c>
      <c r="AH180" s="48">
        <f>-71840-AG180-AF180</f>
        <v>2438</v>
      </c>
      <c r="AI180" s="3">
        <f t="shared" si="413"/>
        <v>56524</v>
      </c>
      <c r="AJ180" s="243">
        <v>-15316</v>
      </c>
      <c r="AK180" s="244">
        <v>-18092</v>
      </c>
      <c r="AL180" s="178">
        <f>-12452-AK180</f>
        <v>5640</v>
      </c>
      <c r="AM180" s="178">
        <f>-63159-AL180-AK180</f>
        <v>-50707</v>
      </c>
      <c r="AN180" s="3">
        <f t="shared" si="414"/>
        <v>8273</v>
      </c>
      <c r="AO180" s="243">
        <v>-54886</v>
      </c>
      <c r="AP180" s="244">
        <v>-101604</v>
      </c>
      <c r="AQ180" s="178">
        <f>25045-AP180</f>
        <v>126649</v>
      </c>
      <c r="AR180" s="178">
        <f>17310-AQ180-AP180</f>
        <v>-7735</v>
      </c>
      <c r="AS180" s="3">
        <f t="shared" si="415"/>
        <v>26161</v>
      </c>
      <c r="AT180" s="243">
        <v>43471</v>
      </c>
      <c r="AU180" s="244">
        <v>-56301</v>
      </c>
      <c r="AV180" s="178">
        <f>-57885-AU180</f>
        <v>-1584</v>
      </c>
      <c r="AW180" s="178">
        <f>-49274-AV180-AU180</f>
        <v>8611</v>
      </c>
      <c r="AX180" s="3">
        <f t="shared" si="416"/>
        <v>-2959</v>
      </c>
      <c r="AY180" s="243">
        <v>-52233</v>
      </c>
      <c r="AZ180" s="244">
        <v>3555</v>
      </c>
      <c r="BA180" s="178">
        <f>-15830-AZ180</f>
        <v>-19385</v>
      </c>
      <c r="BB180" s="178">
        <f>-33214-BA180-AZ180</f>
        <v>-17384</v>
      </c>
      <c r="BC180" s="3">
        <f t="shared" si="417"/>
        <v>-57140</v>
      </c>
      <c r="BD180" s="243">
        <v>-90354</v>
      </c>
      <c r="BE180" s="579">
        <v>15057</v>
      </c>
      <c r="BF180" s="576">
        <f>20497-BE180</f>
        <v>5440</v>
      </c>
      <c r="BG180" s="38">
        <f>25728-BF180-BE180</f>
        <v>5231</v>
      </c>
      <c r="BH180" s="3">
        <f t="shared" si="418"/>
        <v>-29811</v>
      </c>
      <c r="BI180" s="243">
        <v>-4083</v>
      </c>
      <c r="BJ180" s="579">
        <v>2968</v>
      </c>
      <c r="BK180" s="578">
        <f>31465-BJ180</f>
        <v>28497</v>
      </c>
      <c r="BL180" s="48">
        <f>55109-BK180-BJ180</f>
        <v>23644</v>
      </c>
      <c r="BM180" s="3">
        <f t="shared" si="419"/>
        <v>-9138</v>
      </c>
      <c r="BN180" s="243">
        <v>45971</v>
      </c>
      <c r="BO180" s="579">
        <v>1888</v>
      </c>
      <c r="BP180" s="48">
        <f>+-6134-BO180</f>
        <v>-8022</v>
      </c>
      <c r="BQ180" s="48">
        <f>-4004-BP180-BO180</f>
        <v>2130</v>
      </c>
      <c r="BR180" s="3">
        <f t="shared" si="420"/>
        <v>47703</v>
      </c>
      <c r="BS180" s="243">
        <v>43699</v>
      </c>
      <c r="BT180" s="19"/>
      <c r="BU180" s="18"/>
      <c r="BV180" s="18"/>
      <c r="BW180" s="18"/>
      <c r="BX180" s="93">
        <f t="shared" si="421"/>
        <v>0</v>
      </c>
      <c r="BY180" s="19"/>
      <c r="BZ180" s="18"/>
      <c r="CA180" s="18"/>
      <c r="CB180" s="18"/>
      <c r="CC180" s="93">
        <f t="shared" si="422"/>
        <v>0</v>
      </c>
      <c r="CD180" s="19"/>
      <c r="CE180" s="18"/>
      <c r="CF180" s="18"/>
      <c r="CG180" s="18"/>
      <c r="CH180" s="93">
        <f t="shared" si="423"/>
        <v>0</v>
      </c>
      <c r="CI180" s="19"/>
      <c r="CJ180" s="18"/>
      <c r="CK180" s="18"/>
      <c r="CL180" s="18"/>
      <c r="CM180" s="93">
        <f t="shared" si="424"/>
        <v>0</v>
      </c>
      <c r="CN180" s="19"/>
      <c r="CO180" s="18"/>
      <c r="CP180" s="18"/>
      <c r="CQ180" s="18"/>
      <c r="CR180" s="93">
        <f t="shared" si="425"/>
        <v>0</v>
      </c>
      <c r="CS180" s="19"/>
      <c r="CT180" s="18"/>
      <c r="CU180" s="18"/>
      <c r="CV180" s="18"/>
      <c r="CW180" s="93">
        <f t="shared" si="426"/>
        <v>0</v>
      </c>
      <c r="CX180" s="19"/>
      <c r="CY180" s="18"/>
      <c r="CZ180" s="18"/>
      <c r="DA180" s="18"/>
      <c r="DB180" s="93">
        <f t="shared" si="427"/>
        <v>0</v>
      </c>
      <c r="DC180" s="3"/>
      <c r="DD180" s="3"/>
      <c r="DE180" s="3"/>
      <c r="DF180" s="3"/>
      <c r="DG180" s="3"/>
      <c r="DH180" s="3"/>
      <c r="DI180" s="3"/>
      <c r="DJ180" s="3"/>
      <c r="DK180" s="98"/>
      <c r="DL180" s="98"/>
      <c r="DM180" s="29"/>
    </row>
    <row r="181" spans="1:117">
      <c r="A181" s="15" t="s">
        <v>479</v>
      </c>
      <c r="B181" s="244">
        <v>-1683</v>
      </c>
      <c r="C181" s="48">
        <f>13793-B181</f>
        <v>15476</v>
      </c>
      <c r="D181" s="3">
        <f>17157-C181-B181</f>
        <v>3364</v>
      </c>
      <c r="E181" s="3">
        <f t="shared" si="408"/>
        <v>-4213</v>
      </c>
      <c r="F181" s="194">
        <v>12944</v>
      </c>
      <c r="G181" s="244">
        <v>-3617</v>
      </c>
      <c r="H181" s="48">
        <f>1326-G181</f>
        <v>4943</v>
      </c>
      <c r="I181" s="3">
        <f>45547-H181-G181</f>
        <v>44221</v>
      </c>
      <c r="J181" s="3">
        <f t="shared" si="409"/>
        <v>-54490</v>
      </c>
      <c r="K181" s="194">
        <v>-8943</v>
      </c>
      <c r="L181" s="244">
        <v>-27081</v>
      </c>
      <c r="M181" s="48">
        <f>-51135-L181</f>
        <v>-24054</v>
      </c>
      <c r="N181" s="3">
        <f>-75227-M181-L181</f>
        <v>-24092</v>
      </c>
      <c r="O181" s="3">
        <f t="shared" si="410"/>
        <v>1693</v>
      </c>
      <c r="P181" s="194">
        <v>-73534</v>
      </c>
      <c r="Q181" s="244">
        <v>0</v>
      </c>
      <c r="R181" s="48">
        <f>0-Q181</f>
        <v>0</v>
      </c>
      <c r="S181" s="3">
        <f>11227-R181-Q181</f>
        <v>11227</v>
      </c>
      <c r="T181" s="3">
        <f t="shared" si="411"/>
        <v>-1697</v>
      </c>
      <c r="U181" s="194">
        <v>9530</v>
      </c>
      <c r="V181" s="244">
        <v>26802</v>
      </c>
      <c r="W181" s="48">
        <f>0-V181</f>
        <v>-26802</v>
      </c>
      <c r="X181" s="3">
        <f>-51959-W181-V181</f>
        <v>-51959</v>
      </c>
      <c r="Y181" s="3">
        <f t="shared" si="341"/>
        <v>16169</v>
      </c>
      <c r="Z181" s="243">
        <v>-35790</v>
      </c>
      <c r="AA181" s="244">
        <v>42445</v>
      </c>
      <c r="AB181" s="48">
        <f>42766-AA181</f>
        <v>321</v>
      </c>
      <c r="AC181" s="48">
        <f>11244-AB181-AA181</f>
        <v>-31522</v>
      </c>
      <c r="AD181" s="3">
        <f t="shared" si="412"/>
        <v>12000</v>
      </c>
      <c r="AE181" s="243">
        <v>23244</v>
      </c>
      <c r="AF181" s="244">
        <v>98783</v>
      </c>
      <c r="AG181" s="48">
        <f>89026-AF181</f>
        <v>-9757</v>
      </c>
      <c r="AH181" s="48">
        <f>0-AG181-AF181</f>
        <v>-89026</v>
      </c>
      <c r="AI181" s="3">
        <f t="shared" si="413"/>
        <v>0</v>
      </c>
      <c r="AJ181" s="243">
        <v>0</v>
      </c>
      <c r="AK181" s="244">
        <v>0</v>
      </c>
      <c r="AL181" s="178">
        <f>-596-AK181</f>
        <v>-596</v>
      </c>
      <c r="AM181" s="178">
        <f>-28676-AL181-AK181</f>
        <v>-28080</v>
      </c>
      <c r="AN181" s="3">
        <f t="shared" si="414"/>
        <v>28676</v>
      </c>
      <c r="AO181" s="243">
        <v>0</v>
      </c>
      <c r="AP181" s="244">
        <v>0</v>
      </c>
      <c r="AQ181" s="178">
        <v>0</v>
      </c>
      <c r="AR181" s="178">
        <v>0</v>
      </c>
      <c r="AS181" s="3">
        <f t="shared" si="415"/>
        <v>0</v>
      </c>
      <c r="AT181" s="243">
        <v>0</v>
      </c>
      <c r="AU181" s="244">
        <v>0</v>
      </c>
      <c r="AV181" s="178">
        <v>0</v>
      </c>
      <c r="AW181" s="178">
        <v>0</v>
      </c>
      <c r="AX181" s="3">
        <f t="shared" si="416"/>
        <v>0</v>
      </c>
      <c r="AY181" s="243">
        <v>0</v>
      </c>
      <c r="AZ181" s="244">
        <v>0</v>
      </c>
      <c r="BA181" s="178">
        <v>0</v>
      </c>
      <c r="BB181" s="178">
        <v>0</v>
      </c>
      <c r="BC181" s="3">
        <f t="shared" si="417"/>
        <v>0</v>
      </c>
      <c r="BD181" s="243">
        <v>0</v>
      </c>
      <c r="BE181" s="579">
        <v>0</v>
      </c>
      <c r="BF181" s="576">
        <v>0</v>
      </c>
      <c r="BG181" s="18">
        <v>0</v>
      </c>
      <c r="BH181" s="3">
        <f t="shared" si="418"/>
        <v>0</v>
      </c>
      <c r="BI181" s="243">
        <v>0</v>
      </c>
      <c r="BJ181" s="579">
        <v>0</v>
      </c>
      <c r="BK181" s="578">
        <v>0</v>
      </c>
      <c r="BL181" s="48">
        <f>0-BK181-BJ181</f>
        <v>0</v>
      </c>
      <c r="BM181" s="3">
        <f t="shared" si="419"/>
        <v>0</v>
      </c>
      <c r="BN181" s="243">
        <v>0</v>
      </c>
      <c r="BO181" s="579">
        <v>0</v>
      </c>
      <c r="BP181" s="3">
        <f>0-BO181</f>
        <v>0</v>
      </c>
      <c r="BQ181" s="48">
        <f>0-BP181-BO181</f>
        <v>0</v>
      </c>
      <c r="BR181" s="3">
        <f t="shared" si="420"/>
        <v>0</v>
      </c>
      <c r="BS181" s="243">
        <v>0</v>
      </c>
      <c r="BT181" s="19"/>
      <c r="BU181" s="18"/>
      <c r="BV181" s="18"/>
      <c r="BW181" s="18"/>
      <c r="BX181" s="93">
        <f t="shared" si="421"/>
        <v>0</v>
      </c>
      <c r="BY181" s="19"/>
      <c r="BZ181" s="18"/>
      <c r="CA181" s="18"/>
      <c r="CB181" s="18"/>
      <c r="CC181" s="93">
        <f t="shared" si="422"/>
        <v>0</v>
      </c>
      <c r="CD181" s="19"/>
      <c r="CE181" s="18"/>
      <c r="CF181" s="18"/>
      <c r="CG181" s="18"/>
      <c r="CH181" s="93">
        <f t="shared" si="423"/>
        <v>0</v>
      </c>
      <c r="CI181" s="19"/>
      <c r="CJ181" s="18"/>
      <c r="CK181" s="18"/>
      <c r="CL181" s="18"/>
      <c r="CM181" s="93">
        <f t="shared" si="424"/>
        <v>0</v>
      </c>
      <c r="CN181" s="19"/>
      <c r="CO181" s="18"/>
      <c r="CP181" s="18"/>
      <c r="CQ181" s="18"/>
      <c r="CR181" s="93">
        <f t="shared" si="425"/>
        <v>0</v>
      </c>
      <c r="CS181" s="19"/>
      <c r="CT181" s="18"/>
      <c r="CU181" s="18"/>
      <c r="CV181" s="18"/>
      <c r="CW181" s="93">
        <f t="shared" si="426"/>
        <v>0</v>
      </c>
      <c r="CX181" s="19"/>
      <c r="CY181" s="18"/>
      <c r="CZ181" s="18"/>
      <c r="DA181" s="18"/>
      <c r="DB181" s="93">
        <f t="shared" si="427"/>
        <v>0</v>
      </c>
      <c r="DC181" s="3"/>
      <c r="DD181" s="3"/>
      <c r="DE181" s="3"/>
      <c r="DF181" s="3"/>
      <c r="DG181" s="3"/>
      <c r="DH181" s="3"/>
      <c r="DI181" s="3"/>
      <c r="DJ181" s="3"/>
      <c r="DK181" s="98"/>
      <c r="DL181" s="98"/>
      <c r="DM181" s="29"/>
    </row>
    <row r="182" spans="1:117">
      <c r="A182" s="15" t="s">
        <v>315</v>
      </c>
      <c r="B182" s="244">
        <v>0</v>
      </c>
      <c r="C182" s="48">
        <f>0-B182</f>
        <v>0</v>
      </c>
      <c r="D182" s="3">
        <f>0-C182-B182</f>
        <v>0</v>
      </c>
      <c r="E182" s="3">
        <f t="shared" si="408"/>
        <v>0</v>
      </c>
      <c r="F182" s="194">
        <v>0</v>
      </c>
      <c r="G182" s="244">
        <v>0</v>
      </c>
      <c r="H182" s="48">
        <f>0-G182</f>
        <v>0</v>
      </c>
      <c r="I182" s="3">
        <f>0-H182-G182</f>
        <v>0</v>
      </c>
      <c r="J182" s="3">
        <f t="shared" si="409"/>
        <v>0</v>
      </c>
      <c r="K182" s="194">
        <v>0</v>
      </c>
      <c r="L182" s="244">
        <v>0</v>
      </c>
      <c r="M182" s="48">
        <f>0-L182</f>
        <v>0</v>
      </c>
      <c r="N182" s="3">
        <f>0-M182-L182</f>
        <v>0</v>
      </c>
      <c r="O182" s="3">
        <f t="shared" si="410"/>
        <v>25329</v>
      </c>
      <c r="P182" s="194">
        <v>25329</v>
      </c>
      <c r="Q182" s="244">
        <v>44756</v>
      </c>
      <c r="R182" s="48">
        <f>0-Q182</f>
        <v>-44756</v>
      </c>
      <c r="S182" s="3">
        <f>42488-R182-Q182</f>
        <v>42488</v>
      </c>
      <c r="T182" s="3">
        <f t="shared" si="411"/>
        <v>-33487</v>
      </c>
      <c r="U182" s="194">
        <v>9001</v>
      </c>
      <c r="V182" s="244">
        <v>50293</v>
      </c>
      <c r="W182" s="48">
        <f>0-V182</f>
        <v>-50293</v>
      </c>
      <c r="X182" s="3">
        <f>48736-W182-V182</f>
        <v>48736</v>
      </c>
      <c r="Y182" s="3">
        <f t="shared" si="341"/>
        <v>-32734</v>
      </c>
      <c r="Z182" s="243">
        <v>16002</v>
      </c>
      <c r="AA182" s="244">
        <v>38623</v>
      </c>
      <c r="AB182" s="48">
        <f>0-AA182</f>
        <v>-38623</v>
      </c>
      <c r="AC182" s="48">
        <f>34649-AB182-AA182</f>
        <v>34649</v>
      </c>
      <c r="AD182" s="3">
        <f t="shared" si="412"/>
        <v>-43447</v>
      </c>
      <c r="AE182" s="243">
        <v>-8798</v>
      </c>
      <c r="AF182" s="244">
        <v>43133</v>
      </c>
      <c r="AG182" s="48">
        <f>0-AF182</f>
        <v>-43133</v>
      </c>
      <c r="AH182" s="48">
        <f>0-AG182-AF182</f>
        <v>0</v>
      </c>
      <c r="AI182" s="3">
        <f t="shared" si="413"/>
        <v>0</v>
      </c>
      <c r="AJ182" s="243">
        <v>0</v>
      </c>
      <c r="AK182" s="244">
        <v>0</v>
      </c>
      <c r="AL182" s="178">
        <f>0-AK182</f>
        <v>0</v>
      </c>
      <c r="AM182" s="178">
        <f>0-AL182-AK182</f>
        <v>0</v>
      </c>
      <c r="AN182" s="3">
        <f t="shared" si="414"/>
        <v>0</v>
      </c>
      <c r="AO182" s="243">
        <v>0</v>
      </c>
      <c r="AP182" s="244">
        <v>0</v>
      </c>
      <c r="AQ182" s="178">
        <v>0</v>
      </c>
      <c r="AR182" s="178">
        <v>0</v>
      </c>
      <c r="AS182" s="3">
        <f t="shared" si="415"/>
        <v>0</v>
      </c>
      <c r="AT182" s="243">
        <v>0</v>
      </c>
      <c r="AU182" s="244">
        <v>0</v>
      </c>
      <c r="AV182" s="178">
        <v>0</v>
      </c>
      <c r="AW182" s="178">
        <v>0</v>
      </c>
      <c r="AX182" s="3">
        <f t="shared" si="416"/>
        <v>0</v>
      </c>
      <c r="AY182" s="243">
        <v>0</v>
      </c>
      <c r="AZ182" s="244">
        <v>0</v>
      </c>
      <c r="BA182" s="178">
        <v>0</v>
      </c>
      <c r="BB182" s="178">
        <v>0</v>
      </c>
      <c r="BC182" s="3">
        <f t="shared" si="417"/>
        <v>0</v>
      </c>
      <c r="BD182" s="243">
        <v>0</v>
      </c>
      <c r="BE182" s="579">
        <v>0</v>
      </c>
      <c r="BF182" s="576">
        <v>0</v>
      </c>
      <c r="BG182" s="18">
        <v>0</v>
      </c>
      <c r="BH182" s="3">
        <f t="shared" si="418"/>
        <v>0</v>
      </c>
      <c r="BI182" s="243">
        <v>0</v>
      </c>
      <c r="BJ182" s="579">
        <v>-24413</v>
      </c>
      <c r="BK182" s="578">
        <f>-9269-BJ182</f>
        <v>15144</v>
      </c>
      <c r="BL182" s="48">
        <f>-24906-BK182-BJ182</f>
        <v>-15637</v>
      </c>
      <c r="BM182" s="3">
        <f t="shared" si="419"/>
        <v>8377</v>
      </c>
      <c r="BN182" s="243">
        <v>-16529</v>
      </c>
      <c r="BO182" s="579">
        <v>-22363</v>
      </c>
      <c r="BP182" s="48">
        <f>+-817-BO182</f>
        <v>21546</v>
      </c>
      <c r="BQ182" s="48">
        <f>-15491-BP182-BO182</f>
        <v>-14674</v>
      </c>
      <c r="BR182" s="3">
        <f t="shared" si="420"/>
        <v>38286</v>
      </c>
      <c r="BS182" s="243">
        <v>22795</v>
      </c>
      <c r="BT182" s="19"/>
      <c r="BU182" s="18"/>
      <c r="BV182" s="18"/>
      <c r="BW182" s="18"/>
      <c r="BX182" s="93">
        <f t="shared" si="421"/>
        <v>0</v>
      </c>
      <c r="BY182" s="19"/>
      <c r="BZ182" s="18"/>
      <c r="CA182" s="18"/>
      <c r="CB182" s="18"/>
      <c r="CC182" s="93">
        <f t="shared" si="422"/>
        <v>0</v>
      </c>
      <c r="CD182" s="19"/>
      <c r="CE182" s="18"/>
      <c r="CF182" s="18"/>
      <c r="CG182" s="18"/>
      <c r="CH182" s="93">
        <f t="shared" si="423"/>
        <v>0</v>
      </c>
      <c r="CI182" s="19"/>
      <c r="CJ182" s="18"/>
      <c r="CK182" s="18"/>
      <c r="CL182" s="18"/>
      <c r="CM182" s="93">
        <f t="shared" si="424"/>
        <v>0</v>
      </c>
      <c r="CN182" s="19"/>
      <c r="CO182" s="18"/>
      <c r="CP182" s="18"/>
      <c r="CQ182" s="18"/>
      <c r="CR182" s="93">
        <f t="shared" si="425"/>
        <v>0</v>
      </c>
      <c r="CS182" s="19"/>
      <c r="CT182" s="18"/>
      <c r="CU182" s="18"/>
      <c r="CV182" s="18"/>
      <c r="CW182" s="93">
        <f t="shared" si="426"/>
        <v>0</v>
      </c>
      <c r="CX182" s="19"/>
      <c r="CY182" s="18"/>
      <c r="CZ182" s="18"/>
      <c r="DA182" s="18"/>
      <c r="DB182" s="93">
        <f t="shared" si="427"/>
        <v>0</v>
      </c>
      <c r="DC182" s="3"/>
      <c r="DD182" s="3"/>
      <c r="DE182" s="3"/>
      <c r="DF182" s="3"/>
      <c r="DG182" s="3"/>
      <c r="DH182" s="3"/>
      <c r="DI182" s="3"/>
      <c r="DJ182" s="3"/>
      <c r="DK182" s="98"/>
      <c r="DL182" s="98"/>
      <c r="DM182" s="29"/>
    </row>
    <row r="183" spans="1:117">
      <c r="A183" s="15" t="s">
        <v>610</v>
      </c>
      <c r="B183" s="244">
        <v>-4860</v>
      </c>
      <c r="C183" s="48">
        <f>-11468-B183</f>
        <v>-6608</v>
      </c>
      <c r="D183" s="3">
        <f>-33780-C183-B183</f>
        <v>-22312</v>
      </c>
      <c r="E183" s="3">
        <f t="shared" si="408"/>
        <v>11747</v>
      </c>
      <c r="F183" s="194">
        <v>-22033</v>
      </c>
      <c r="G183" s="244">
        <v>375</v>
      </c>
      <c r="H183" s="48">
        <f>38782-G183</f>
        <v>38407</v>
      </c>
      <c r="I183" s="3">
        <f>121718-H183-G183</f>
        <v>82936</v>
      </c>
      <c r="J183" s="3">
        <f t="shared" si="409"/>
        <v>102247</v>
      </c>
      <c r="K183" s="194">
        <v>223965</v>
      </c>
      <c r="L183" s="244">
        <v>-62480</v>
      </c>
      <c r="M183" s="48">
        <f>-135401-L183</f>
        <v>-72921</v>
      </c>
      <c r="N183" s="3">
        <f>-194761-M183-L183</f>
        <v>-59360</v>
      </c>
      <c r="O183" s="3">
        <f t="shared" si="410"/>
        <v>131721</v>
      </c>
      <c r="P183" s="194">
        <v>-63040</v>
      </c>
      <c r="Q183" s="244">
        <v>77506</v>
      </c>
      <c r="R183" s="48">
        <f>42110-Q183</f>
        <v>-35396</v>
      </c>
      <c r="S183" s="3">
        <f>70741-R183-Q183</f>
        <v>28631</v>
      </c>
      <c r="T183" s="3">
        <f t="shared" si="411"/>
        <v>-29092</v>
      </c>
      <c r="U183" s="194">
        <v>41649</v>
      </c>
      <c r="V183" s="244">
        <v>33626</v>
      </c>
      <c r="W183" s="48">
        <f>60977-V183</f>
        <v>27351</v>
      </c>
      <c r="X183" s="3">
        <f>49904-W183-V183</f>
        <v>-11073</v>
      </c>
      <c r="Y183" s="3">
        <f t="shared" si="341"/>
        <v>10942</v>
      </c>
      <c r="Z183" s="243">
        <v>60846</v>
      </c>
      <c r="AA183" s="244">
        <v>-32921</v>
      </c>
      <c r="AB183" s="48">
        <f>35373-AA183</f>
        <v>68294</v>
      </c>
      <c r="AC183" s="48">
        <f>84379-AB183-AA183</f>
        <v>49006</v>
      </c>
      <c r="AD183" s="3">
        <f t="shared" si="412"/>
        <v>29161</v>
      </c>
      <c r="AE183" s="243">
        <v>113540</v>
      </c>
      <c r="AF183" s="244">
        <v>24522</v>
      </c>
      <c r="AG183" s="48">
        <f>64050-AF183</f>
        <v>39528</v>
      </c>
      <c r="AH183" s="48">
        <f>118319-AG183-AF183</f>
        <v>54269</v>
      </c>
      <c r="AI183" s="3">
        <f t="shared" si="413"/>
        <v>-5492</v>
      </c>
      <c r="AJ183" s="243">
        <v>112827</v>
      </c>
      <c r="AK183" s="244">
        <v>-12683</v>
      </c>
      <c r="AL183" s="178">
        <f>-4437-AK183</f>
        <v>8246</v>
      </c>
      <c r="AM183" s="178">
        <f>-12705-AL183-AK183</f>
        <v>-8268</v>
      </c>
      <c r="AN183" s="3">
        <f t="shared" si="414"/>
        <v>-19294</v>
      </c>
      <c r="AO183" s="243">
        <v>-31999</v>
      </c>
      <c r="AP183" s="244">
        <v>-122900</v>
      </c>
      <c r="AQ183" s="178">
        <f>-56590-AP183</f>
        <v>66310</v>
      </c>
      <c r="AR183" s="178">
        <f>-205008-AQ183-AP183</f>
        <v>-148418</v>
      </c>
      <c r="AS183" s="3">
        <f t="shared" si="415"/>
        <v>30055</v>
      </c>
      <c r="AT183" s="243">
        <v>-174953</v>
      </c>
      <c r="AU183" s="244">
        <v>21346</v>
      </c>
      <c r="AV183" s="178">
        <f>-28219-AU183</f>
        <v>-49565</v>
      </c>
      <c r="AW183" s="178">
        <f>-15574-AV183-AU183</f>
        <v>12645</v>
      </c>
      <c r="AX183" s="3">
        <f t="shared" si="416"/>
        <v>40646</v>
      </c>
      <c r="AY183" s="243">
        <v>25072</v>
      </c>
      <c r="AZ183" s="244">
        <v>-6397</v>
      </c>
      <c r="BA183" s="178">
        <f>-25728-AZ183</f>
        <v>-19331</v>
      </c>
      <c r="BB183" s="178">
        <f>-38627-BA183-AZ183</f>
        <v>-12899</v>
      </c>
      <c r="BC183" s="3">
        <f t="shared" si="417"/>
        <v>98166</v>
      </c>
      <c r="BD183" s="243">
        <v>59539</v>
      </c>
      <c r="BE183" s="579">
        <v>-60871</v>
      </c>
      <c r="BF183" s="576">
        <f>+-66148-BE183</f>
        <v>-5277</v>
      </c>
      <c r="BG183" s="38">
        <f>+-45240-BF183-BE183</f>
        <v>20908</v>
      </c>
      <c r="BH183" s="3">
        <f t="shared" si="418"/>
        <v>12870</v>
      </c>
      <c r="BI183" s="243">
        <v>-32370</v>
      </c>
      <c r="BJ183" s="579">
        <v>-23813</v>
      </c>
      <c r="BK183" s="578">
        <f>+-60016-BJ183</f>
        <v>-36203</v>
      </c>
      <c r="BL183" s="48">
        <f>+-48695-BK183-BJ183</f>
        <v>11321</v>
      </c>
      <c r="BM183" s="3">
        <f t="shared" si="419"/>
        <v>-29441</v>
      </c>
      <c r="BN183" s="243">
        <v>-78136</v>
      </c>
      <c r="BO183" s="579">
        <v>45977</v>
      </c>
      <c r="BP183" s="48">
        <f>66940-BO183</f>
        <v>20963</v>
      </c>
      <c r="BQ183" s="48">
        <f>34534-BP183-BO183</f>
        <v>-32406</v>
      </c>
      <c r="BR183" s="3">
        <f t="shared" si="420"/>
        <v>3083</v>
      </c>
      <c r="BS183" s="243">
        <v>37617</v>
      </c>
      <c r="BT183" s="19"/>
      <c r="BU183" s="18"/>
      <c r="BV183" s="18"/>
      <c r="BW183" s="18"/>
      <c r="BX183" s="93">
        <f t="shared" si="421"/>
        <v>0</v>
      </c>
      <c r="BY183" s="19"/>
      <c r="BZ183" s="18"/>
      <c r="CA183" s="18"/>
      <c r="CB183" s="18"/>
      <c r="CC183" s="93">
        <f t="shared" si="422"/>
        <v>0</v>
      </c>
      <c r="CD183" s="19"/>
      <c r="CE183" s="18"/>
      <c r="CF183" s="18"/>
      <c r="CG183" s="18"/>
      <c r="CH183" s="93">
        <f t="shared" si="423"/>
        <v>0</v>
      </c>
      <c r="CI183" s="19"/>
      <c r="CJ183" s="18"/>
      <c r="CK183" s="18"/>
      <c r="CL183" s="18"/>
      <c r="CM183" s="93">
        <f t="shared" si="424"/>
        <v>0</v>
      </c>
      <c r="CN183" s="19"/>
      <c r="CO183" s="18"/>
      <c r="CP183" s="18"/>
      <c r="CQ183" s="18"/>
      <c r="CR183" s="93">
        <f t="shared" si="425"/>
        <v>0</v>
      </c>
      <c r="CS183" s="19"/>
      <c r="CT183" s="18"/>
      <c r="CU183" s="18"/>
      <c r="CV183" s="18"/>
      <c r="CW183" s="93">
        <f t="shared" si="426"/>
        <v>0</v>
      </c>
      <c r="CX183" s="19"/>
      <c r="CY183" s="18"/>
      <c r="CZ183" s="18"/>
      <c r="DA183" s="18"/>
      <c r="DB183" s="93">
        <f t="shared" si="427"/>
        <v>0</v>
      </c>
      <c r="DC183" s="3"/>
      <c r="DD183" s="3"/>
      <c r="DE183" s="3"/>
      <c r="DF183" s="3"/>
      <c r="DG183" s="3"/>
      <c r="DH183" s="3"/>
      <c r="DI183" s="3"/>
      <c r="DJ183" s="3"/>
      <c r="DK183" s="98"/>
      <c r="DL183" s="98"/>
      <c r="DM183" s="29"/>
    </row>
    <row r="184" spans="1:117">
      <c r="A184" s="15" t="s">
        <v>611</v>
      </c>
      <c r="B184" s="244">
        <v>0</v>
      </c>
      <c r="C184" s="48">
        <f>0-B184</f>
        <v>0</v>
      </c>
      <c r="D184" s="3">
        <f>0-C184-B184</f>
        <v>0</v>
      </c>
      <c r="E184" s="3">
        <f t="shared" si="408"/>
        <v>0</v>
      </c>
      <c r="F184" s="194">
        <v>0</v>
      </c>
      <c r="G184" s="244">
        <v>0</v>
      </c>
      <c r="H184" s="48">
        <f>0-G184</f>
        <v>0</v>
      </c>
      <c r="I184" s="3">
        <f>0-H184-G184</f>
        <v>0</v>
      </c>
      <c r="J184" s="3">
        <f t="shared" si="409"/>
        <v>0</v>
      </c>
      <c r="K184" s="194">
        <v>0</v>
      </c>
      <c r="L184" s="244">
        <v>0</v>
      </c>
      <c r="M184" s="48">
        <f>0-L184</f>
        <v>0</v>
      </c>
      <c r="N184" s="3">
        <f>0-M184-L184</f>
        <v>0</v>
      </c>
      <c r="O184" s="3">
        <f t="shared" si="410"/>
        <v>190795</v>
      </c>
      <c r="P184" s="194">
        <v>190795</v>
      </c>
      <c r="Q184" s="244">
        <v>0</v>
      </c>
      <c r="R184" s="48">
        <f>-34703-Q184</f>
        <v>-34703</v>
      </c>
      <c r="S184" s="3">
        <f>-38340-R184-Q184</f>
        <v>-3637</v>
      </c>
      <c r="T184" s="3">
        <f t="shared" si="411"/>
        <v>43971</v>
      </c>
      <c r="U184" s="194">
        <v>5631</v>
      </c>
      <c r="V184" s="244">
        <v>-50686</v>
      </c>
      <c r="W184" s="48">
        <f>-350626-V184</f>
        <v>-299940</v>
      </c>
      <c r="X184" s="3">
        <f>-135826-W184-V184</f>
        <v>214800</v>
      </c>
      <c r="Y184" s="3">
        <f t="shared" si="341"/>
        <v>136331</v>
      </c>
      <c r="Z184" s="243">
        <v>505</v>
      </c>
      <c r="AA184" s="244">
        <v>153391</v>
      </c>
      <c r="AB184" s="48">
        <f>179582-AA184</f>
        <v>26191</v>
      </c>
      <c r="AC184" s="48">
        <f>198516-AB184-AA184</f>
        <v>18934</v>
      </c>
      <c r="AD184" s="3">
        <f t="shared" si="412"/>
        <v>-21717</v>
      </c>
      <c r="AE184" s="243">
        <v>176799</v>
      </c>
      <c r="AF184" s="244">
        <v>-23023</v>
      </c>
      <c r="AG184" s="48">
        <f>-68968-AF184</f>
        <v>-45945</v>
      </c>
      <c r="AH184" s="48">
        <f>-91575-AG184-AF184</f>
        <v>-22607</v>
      </c>
      <c r="AI184" s="3">
        <f t="shared" si="413"/>
        <v>-13509</v>
      </c>
      <c r="AJ184" s="243">
        <v>-105084</v>
      </c>
      <c r="AK184" s="244">
        <v>0</v>
      </c>
      <c r="AL184" s="178">
        <f>-8323-AK184</f>
        <v>-8323</v>
      </c>
      <c r="AM184" s="178">
        <f>-18204-AL184-AK184</f>
        <v>-9881</v>
      </c>
      <c r="AN184" s="3">
        <f t="shared" si="414"/>
        <v>-4048</v>
      </c>
      <c r="AO184" s="243">
        <v>-22252</v>
      </c>
      <c r="AP184" s="244">
        <v>0</v>
      </c>
      <c r="AQ184" s="178">
        <v>0</v>
      </c>
      <c r="AR184" s="178">
        <v>0</v>
      </c>
      <c r="AS184" s="3">
        <f t="shared" si="415"/>
        <v>-6003</v>
      </c>
      <c r="AT184" s="243">
        <v>-6003</v>
      </c>
      <c r="AU184" s="244">
        <v>0</v>
      </c>
      <c r="AV184" s="178">
        <v>0</v>
      </c>
      <c r="AW184" s="178">
        <v>0</v>
      </c>
      <c r="AX184" s="3">
        <f t="shared" si="416"/>
        <v>0</v>
      </c>
      <c r="AY184" s="243">
        <v>0</v>
      </c>
      <c r="AZ184" s="244">
        <v>0</v>
      </c>
      <c r="BA184" s="178">
        <v>0</v>
      </c>
      <c r="BB184" s="178">
        <v>0</v>
      </c>
      <c r="BC184" s="3">
        <f t="shared" si="417"/>
        <v>0</v>
      </c>
      <c r="BD184" s="243">
        <v>0</v>
      </c>
      <c r="BE184" s="579">
        <v>0</v>
      </c>
      <c r="BF184" s="576">
        <v>0</v>
      </c>
      <c r="BG184" s="18">
        <v>0</v>
      </c>
      <c r="BH184" s="3">
        <f t="shared" si="418"/>
        <v>0</v>
      </c>
      <c r="BI184" s="243">
        <v>0</v>
      </c>
      <c r="BJ184" s="579">
        <v>0</v>
      </c>
      <c r="BK184" s="578">
        <v>0</v>
      </c>
      <c r="BL184" s="48">
        <f>0-BK184-BJ184</f>
        <v>0</v>
      </c>
      <c r="BM184" s="3">
        <f t="shared" si="419"/>
        <v>0</v>
      </c>
      <c r="BN184" s="243">
        <v>0</v>
      </c>
      <c r="BO184" s="579">
        <v>0</v>
      </c>
      <c r="BP184" s="3">
        <f t="shared" ref="BP184:BP185" si="428">0-BO184</f>
        <v>0</v>
      </c>
      <c r="BQ184" s="48">
        <f>0-BP184-BO184</f>
        <v>0</v>
      </c>
      <c r="BR184" s="3">
        <f t="shared" si="420"/>
        <v>0</v>
      </c>
      <c r="BS184" s="243">
        <v>0</v>
      </c>
      <c r="BT184" s="19"/>
      <c r="BU184" s="18"/>
      <c r="BV184" s="18"/>
      <c r="BW184" s="18"/>
      <c r="BX184" s="93">
        <f t="shared" si="421"/>
        <v>0</v>
      </c>
      <c r="BY184" s="19"/>
      <c r="BZ184" s="18"/>
      <c r="CA184" s="18"/>
      <c r="CB184" s="18"/>
      <c r="CC184" s="93">
        <f t="shared" si="422"/>
        <v>0</v>
      </c>
      <c r="CD184" s="19"/>
      <c r="CE184" s="18"/>
      <c r="CF184" s="18"/>
      <c r="CG184" s="18"/>
      <c r="CH184" s="93">
        <f t="shared" si="423"/>
        <v>0</v>
      </c>
      <c r="CI184" s="19"/>
      <c r="CJ184" s="18"/>
      <c r="CK184" s="18"/>
      <c r="CL184" s="18"/>
      <c r="CM184" s="93">
        <f t="shared" si="424"/>
        <v>0</v>
      </c>
      <c r="CN184" s="19"/>
      <c r="CO184" s="18"/>
      <c r="CP184" s="18"/>
      <c r="CQ184" s="18"/>
      <c r="CR184" s="93">
        <f t="shared" si="425"/>
        <v>0</v>
      </c>
      <c r="CS184" s="19"/>
      <c r="CT184" s="18"/>
      <c r="CU184" s="18"/>
      <c r="CV184" s="18"/>
      <c r="CW184" s="93">
        <f t="shared" si="426"/>
        <v>0</v>
      </c>
      <c r="CX184" s="19"/>
      <c r="CY184" s="18"/>
      <c r="CZ184" s="18"/>
      <c r="DA184" s="18"/>
      <c r="DB184" s="93">
        <f t="shared" si="427"/>
        <v>0</v>
      </c>
      <c r="DC184" s="3"/>
      <c r="DD184" s="3"/>
      <c r="DE184" s="3"/>
      <c r="DF184" s="3"/>
      <c r="DG184" s="3"/>
      <c r="DH184" s="3"/>
      <c r="DI184" s="3"/>
      <c r="DJ184" s="3"/>
      <c r="DK184" s="98"/>
      <c r="DL184" s="98"/>
      <c r="DM184" s="29"/>
    </row>
    <row r="185" spans="1:117">
      <c r="A185" s="15" t="s">
        <v>612</v>
      </c>
      <c r="B185" s="244">
        <v>0</v>
      </c>
      <c r="C185" s="48">
        <f>0-B185</f>
        <v>0</v>
      </c>
      <c r="D185" s="3">
        <f>0-C185-B185</f>
        <v>0</v>
      </c>
      <c r="E185" s="3">
        <f t="shared" si="408"/>
        <v>0</v>
      </c>
      <c r="F185" s="194">
        <v>0</v>
      </c>
      <c r="G185" s="244">
        <v>0</v>
      </c>
      <c r="H185" s="48">
        <f>0-G185</f>
        <v>0</v>
      </c>
      <c r="I185" s="3">
        <f>0-H185-G185</f>
        <v>0</v>
      </c>
      <c r="J185" s="3">
        <f t="shared" si="409"/>
        <v>0</v>
      </c>
      <c r="K185" s="194">
        <v>0</v>
      </c>
      <c r="L185" s="244">
        <v>0</v>
      </c>
      <c r="M185" s="48">
        <f>0-L185</f>
        <v>0</v>
      </c>
      <c r="N185" s="3">
        <f>0-M185-L185</f>
        <v>0</v>
      </c>
      <c r="O185" s="3">
        <f t="shared" si="410"/>
        <v>-14496</v>
      </c>
      <c r="P185" s="194">
        <v>-14496</v>
      </c>
      <c r="Q185" s="244">
        <v>0</v>
      </c>
      <c r="R185" s="48">
        <f>0-Q185</f>
        <v>0</v>
      </c>
      <c r="S185" s="3">
        <f>0-R185-Q185</f>
        <v>0</v>
      </c>
      <c r="T185" s="3">
        <f t="shared" si="411"/>
        <v>28573</v>
      </c>
      <c r="U185" s="194">
        <v>28573</v>
      </c>
      <c r="V185" s="244">
        <v>0</v>
      </c>
      <c r="W185" s="48">
        <f>0-V185</f>
        <v>0</v>
      </c>
      <c r="X185" s="3">
        <f>0-W185-V185</f>
        <v>0</v>
      </c>
      <c r="Y185" s="3">
        <f t="shared" si="341"/>
        <v>-83254</v>
      </c>
      <c r="Z185" s="243">
        <v>-83254</v>
      </c>
      <c r="AA185" s="244">
        <v>0</v>
      </c>
      <c r="AB185" s="38">
        <v>0</v>
      </c>
      <c r="AC185" s="38">
        <v>0</v>
      </c>
      <c r="AD185" s="3">
        <f t="shared" si="412"/>
        <v>-42040</v>
      </c>
      <c r="AE185" s="243">
        <v>-42040</v>
      </c>
      <c r="AF185" s="244">
        <v>0</v>
      </c>
      <c r="AG185" s="48">
        <v>0</v>
      </c>
      <c r="AH185" s="48">
        <v>0</v>
      </c>
      <c r="AI185" s="3">
        <f t="shared" si="413"/>
        <v>-68719</v>
      </c>
      <c r="AJ185" s="243">
        <v>-68719</v>
      </c>
      <c r="AK185" s="244">
        <v>0</v>
      </c>
      <c r="AL185" s="178">
        <f>0-AK185</f>
        <v>0</v>
      </c>
      <c r="AM185" s="178">
        <v>0</v>
      </c>
      <c r="AN185" s="3">
        <f t="shared" si="414"/>
        <v>-29863</v>
      </c>
      <c r="AO185" s="243">
        <v>-29863</v>
      </c>
      <c r="AP185" s="244">
        <v>0</v>
      </c>
      <c r="AQ185" s="178">
        <v>0</v>
      </c>
      <c r="AR185" s="178">
        <v>0</v>
      </c>
      <c r="AS185" s="3">
        <f t="shared" si="415"/>
        <v>-57073</v>
      </c>
      <c r="AT185" s="243">
        <v>-57073</v>
      </c>
      <c r="AU185" s="244">
        <v>0</v>
      </c>
      <c r="AV185" s="178">
        <v>0</v>
      </c>
      <c r="AW185" s="178">
        <v>0</v>
      </c>
      <c r="AX185" s="3">
        <f t="shared" si="416"/>
        <v>56600</v>
      </c>
      <c r="AY185" s="243">
        <v>56600</v>
      </c>
      <c r="AZ185" s="244">
        <v>0</v>
      </c>
      <c r="BA185" s="178">
        <v>0</v>
      </c>
      <c r="BB185" s="178">
        <v>0</v>
      </c>
      <c r="BC185" s="3">
        <f t="shared" si="417"/>
        <v>0</v>
      </c>
      <c r="BD185" s="243">
        <v>0</v>
      </c>
      <c r="BE185" s="579">
        <v>0</v>
      </c>
      <c r="BF185" s="576">
        <v>0</v>
      </c>
      <c r="BG185" s="18">
        <v>0</v>
      </c>
      <c r="BH185" s="3">
        <f t="shared" si="418"/>
        <v>0</v>
      </c>
      <c r="BI185" s="243">
        <v>0</v>
      </c>
      <c r="BJ185" s="579">
        <v>0</v>
      </c>
      <c r="BK185" s="578">
        <v>0</v>
      </c>
      <c r="BL185" s="48">
        <f>0-BK185-BJ185</f>
        <v>0</v>
      </c>
      <c r="BM185" s="3">
        <f t="shared" si="419"/>
        <v>0</v>
      </c>
      <c r="BN185" s="243">
        <v>0</v>
      </c>
      <c r="BO185" s="579">
        <v>0</v>
      </c>
      <c r="BP185" s="3">
        <f t="shared" si="428"/>
        <v>0</v>
      </c>
      <c r="BQ185" s="48">
        <f>0-BP185-BO185</f>
        <v>0</v>
      </c>
      <c r="BR185" s="3">
        <f t="shared" si="420"/>
        <v>0</v>
      </c>
      <c r="BS185" s="243">
        <v>0</v>
      </c>
      <c r="BT185" s="19"/>
      <c r="BU185" s="18"/>
      <c r="BV185" s="18"/>
      <c r="BW185" s="18"/>
      <c r="BX185" s="93">
        <f t="shared" si="421"/>
        <v>0</v>
      </c>
      <c r="BY185" s="19"/>
      <c r="BZ185" s="18"/>
      <c r="CA185" s="18"/>
      <c r="CB185" s="18"/>
      <c r="CC185" s="93">
        <f t="shared" si="422"/>
        <v>0</v>
      </c>
      <c r="CD185" s="19"/>
      <c r="CE185" s="18"/>
      <c r="CF185" s="18"/>
      <c r="CG185" s="18"/>
      <c r="CH185" s="93">
        <f t="shared" si="423"/>
        <v>0</v>
      </c>
      <c r="CI185" s="19"/>
      <c r="CJ185" s="18"/>
      <c r="CK185" s="18"/>
      <c r="CL185" s="18"/>
      <c r="CM185" s="93">
        <f t="shared" si="424"/>
        <v>0</v>
      </c>
      <c r="CN185" s="19"/>
      <c r="CO185" s="18"/>
      <c r="CP185" s="18"/>
      <c r="CQ185" s="18"/>
      <c r="CR185" s="93">
        <f t="shared" si="425"/>
        <v>0</v>
      </c>
      <c r="CS185" s="19"/>
      <c r="CT185" s="18"/>
      <c r="CU185" s="18"/>
      <c r="CV185" s="18"/>
      <c r="CW185" s="93">
        <f t="shared" si="426"/>
        <v>0</v>
      </c>
      <c r="CX185" s="19"/>
      <c r="CY185" s="18"/>
      <c r="CZ185" s="18"/>
      <c r="DA185" s="18"/>
      <c r="DB185" s="93">
        <f t="shared" si="427"/>
        <v>0</v>
      </c>
      <c r="DC185" s="3"/>
      <c r="DD185" s="3"/>
      <c r="DE185" s="3"/>
      <c r="DF185" s="3"/>
      <c r="DG185" s="3"/>
      <c r="DH185" s="3"/>
      <c r="DI185" s="3"/>
      <c r="DJ185" s="3"/>
      <c r="DK185" s="98"/>
      <c r="DL185" s="98"/>
      <c r="DM185" s="29"/>
    </row>
    <row r="186" spans="1:117">
      <c r="A186" s="15" t="s">
        <v>710</v>
      </c>
      <c r="B186" s="139">
        <f>-14539+1798</f>
        <v>-12741</v>
      </c>
      <c r="C186" s="48">
        <f>-48695+3308-B186</f>
        <v>-32646</v>
      </c>
      <c r="D186" s="3">
        <f>-60103-6921-C186-B186</f>
        <v>-21637</v>
      </c>
      <c r="E186" s="3">
        <f t="shared" si="408"/>
        <v>38562</v>
      </c>
      <c r="F186" s="93">
        <f>-13067-15395</f>
        <v>-28462</v>
      </c>
      <c r="G186" s="139">
        <f>-26602-4898</f>
        <v>-31500</v>
      </c>
      <c r="H186" s="48">
        <f>-101085-4435-G186</f>
        <v>-74020</v>
      </c>
      <c r="I186" s="3">
        <f>-334840-5490-H186-G186</f>
        <v>-234810</v>
      </c>
      <c r="J186" s="3">
        <f t="shared" si="409"/>
        <v>91510</v>
      </c>
      <c r="K186" s="93">
        <f>-242463-6357</f>
        <v>-248820</v>
      </c>
      <c r="L186" s="139">
        <f>-10075+7632</f>
        <v>-2443</v>
      </c>
      <c r="M186" s="48">
        <f>108371+12427-L186</f>
        <v>123241</v>
      </c>
      <c r="N186" s="3">
        <f>179852+12922-M186-L186</f>
        <v>71976</v>
      </c>
      <c r="O186" s="3">
        <f t="shared" si="410"/>
        <v>-426057</v>
      </c>
      <c r="P186" s="194">
        <v>-233283</v>
      </c>
      <c r="Q186" s="244">
        <v>-12306</v>
      </c>
      <c r="R186" s="48">
        <f>24154-Q186</f>
        <v>36460</v>
      </c>
      <c r="S186" s="3">
        <f>-30092-R186-Q186</f>
        <v>-54246</v>
      </c>
      <c r="T186" s="3">
        <f t="shared" si="411"/>
        <v>45573</v>
      </c>
      <c r="U186" s="194">
        <v>15481</v>
      </c>
      <c r="V186" s="244">
        <v>-13129</v>
      </c>
      <c r="W186" s="48">
        <f>-106044-V186</f>
        <v>-92915</v>
      </c>
      <c r="X186" s="3">
        <f>-94873-W186-V186</f>
        <v>11171</v>
      </c>
      <c r="Y186" s="3">
        <f t="shared" si="341"/>
        <v>-63972</v>
      </c>
      <c r="Z186" s="243">
        <v>-158845</v>
      </c>
      <c r="AA186" s="244">
        <v>35102</v>
      </c>
      <c r="AB186" s="48">
        <f>-36144-AA186</f>
        <v>-71246</v>
      </c>
      <c r="AC186" s="48">
        <f>-48895-AB186-AA186-AB178-AA178</f>
        <v>-12751</v>
      </c>
      <c r="AD186" s="3">
        <f t="shared" si="412"/>
        <v>-51870</v>
      </c>
      <c r="AE186" s="243">
        <v>-100765</v>
      </c>
      <c r="AF186" s="244">
        <v>40081</v>
      </c>
      <c r="AG186" s="48">
        <f>-25039-AF186</f>
        <v>-65120</v>
      </c>
      <c r="AH186" s="48">
        <f>38459-AG186-AF186</f>
        <v>63498</v>
      </c>
      <c r="AI186" s="3">
        <f t="shared" si="413"/>
        <v>-6905</v>
      </c>
      <c r="AJ186" s="243">
        <v>31554</v>
      </c>
      <c r="AK186" s="244">
        <v>67818</v>
      </c>
      <c r="AL186" s="178">
        <f>-45221-AK186</f>
        <v>-113039</v>
      </c>
      <c r="AM186" s="178">
        <f>-29685-AL186-AK186</f>
        <v>15536</v>
      </c>
      <c r="AN186" s="3">
        <f t="shared" si="414"/>
        <v>18309</v>
      </c>
      <c r="AO186" s="243">
        <v>-11376</v>
      </c>
      <c r="AP186" s="244">
        <v>-4408</v>
      </c>
      <c r="AQ186" s="178">
        <f>-147362-AP186</f>
        <v>-142954</v>
      </c>
      <c r="AR186" s="178">
        <f>-171383-AQ186-AP186</f>
        <v>-24021</v>
      </c>
      <c r="AS186" s="3">
        <f t="shared" si="415"/>
        <v>22070</v>
      </c>
      <c r="AT186" s="243">
        <v>-149313</v>
      </c>
      <c r="AU186" s="244">
        <v>-22425</v>
      </c>
      <c r="AV186" s="178">
        <f>56597-AU186</f>
        <v>79022</v>
      </c>
      <c r="AW186" s="178">
        <f>65696-AV186-AU186</f>
        <v>9099</v>
      </c>
      <c r="AX186" s="3">
        <f t="shared" si="416"/>
        <v>17593</v>
      </c>
      <c r="AY186" s="243">
        <f>121971-38682</f>
        <v>83289</v>
      </c>
      <c r="AZ186" s="244">
        <f>-12176-1011</f>
        <v>-13187</v>
      </c>
      <c r="BA186" s="178">
        <f>-4129+31051-AZ186</f>
        <v>40109</v>
      </c>
      <c r="BB186" s="178">
        <f>-6390+66083-3852-BA186-AZ186</f>
        <v>28919</v>
      </c>
      <c r="BC186" s="3">
        <f t="shared" si="417"/>
        <v>-91101</v>
      </c>
      <c r="BD186" s="243">
        <f>16497-51757</f>
        <v>-35260</v>
      </c>
      <c r="BE186" s="244">
        <f>+-12768-52067+6</f>
        <v>-64829</v>
      </c>
      <c r="BF186" s="178">
        <f>+-23470-22385-116-BE186</f>
        <v>18858</v>
      </c>
      <c r="BG186" s="567">
        <f>+-30680-31207+610+3577-BF186-BE186</f>
        <v>-11729</v>
      </c>
      <c r="BH186" s="3">
        <f t="shared" si="418"/>
        <v>-12777</v>
      </c>
      <c r="BI186" s="243">
        <f>-38536+24166-56107</f>
        <v>-70477</v>
      </c>
      <c r="BJ186" s="244">
        <f>-6186-27219</f>
        <v>-33405</v>
      </c>
      <c r="BK186" s="3">
        <f>+-11590-6056-BJ186</f>
        <v>15759</v>
      </c>
      <c r="BL186" s="48">
        <f>18943-16211-BK186-BJ186</f>
        <v>20378</v>
      </c>
      <c r="BM186" s="3">
        <f t="shared" si="419"/>
        <v>13633</v>
      </c>
      <c r="BN186" s="243">
        <f>-19906+36271</f>
        <v>16365</v>
      </c>
      <c r="BO186" s="244">
        <f>+-4119-53571</f>
        <v>-57690</v>
      </c>
      <c r="BP186" s="3">
        <f>+-18986-6546-BO186</f>
        <v>32158</v>
      </c>
      <c r="BQ186" s="48">
        <f>-21390-8127-BP186-BO186</f>
        <v>-3985</v>
      </c>
      <c r="BR186" s="3">
        <f t="shared" si="420"/>
        <v>4278</v>
      </c>
      <c r="BS186" s="243">
        <f>-15532-9707</f>
        <v>-25239</v>
      </c>
      <c r="BT186" s="94">
        <f>BR186*1.005</f>
        <v>4299.3899999999994</v>
      </c>
      <c r="BU186" s="48">
        <f>BT186*1.005</f>
        <v>4320.8869499999992</v>
      </c>
      <c r="BV186" s="48">
        <f>BU186*1.005</f>
        <v>4342.4913847499984</v>
      </c>
      <c r="BW186" s="48">
        <f>BV186*1.005</f>
        <v>4364.2038416737478</v>
      </c>
      <c r="BX186" s="93">
        <f t="shared" si="421"/>
        <v>17326.972176423747</v>
      </c>
      <c r="BY186" s="94">
        <f>BW186*1.005</f>
        <v>4386.0248608821157</v>
      </c>
      <c r="BZ186" s="48">
        <f>BY186*1.005</f>
        <v>4407.9549851865258</v>
      </c>
      <c r="CA186" s="48">
        <f>BZ186*1.005</f>
        <v>4429.9947601124577</v>
      </c>
      <c r="CB186" s="48">
        <f>CA186*1.005</f>
        <v>4452.1447339130191</v>
      </c>
      <c r="CC186" s="93">
        <f t="shared" si="422"/>
        <v>17676.119340094119</v>
      </c>
      <c r="CD186" s="94">
        <f>CB186*1.005</f>
        <v>4474.4054575825839</v>
      </c>
      <c r="CE186" s="48">
        <f>CD186*1.005</f>
        <v>4496.7774848704967</v>
      </c>
      <c r="CF186" s="48">
        <f>CE186*1.005</f>
        <v>4519.261372294849</v>
      </c>
      <c r="CG186" s="48">
        <f>CF186*1.005</f>
        <v>4541.8576791563228</v>
      </c>
      <c r="CH186" s="93">
        <f t="shared" si="423"/>
        <v>18032.30199390425</v>
      </c>
      <c r="CI186" s="94">
        <f>CG186*1.005</f>
        <v>4564.566967552104</v>
      </c>
      <c r="CJ186" s="48">
        <f>CI186*1.005</f>
        <v>4587.3898023898637</v>
      </c>
      <c r="CK186" s="48">
        <f>CJ186*1.005</f>
        <v>4610.3267514018125</v>
      </c>
      <c r="CL186" s="48">
        <f>CK186*1.005</f>
        <v>4633.3783851588214</v>
      </c>
      <c r="CM186" s="93">
        <f t="shared" si="424"/>
        <v>18395.661906502603</v>
      </c>
      <c r="CN186" s="94">
        <f>CL186*1.005</f>
        <v>4656.545277084615</v>
      </c>
      <c r="CO186" s="48">
        <f>CN186*1.005</f>
        <v>4679.8280034700374</v>
      </c>
      <c r="CP186" s="48">
        <f>CO186*1.005</f>
        <v>4703.2271434873874</v>
      </c>
      <c r="CQ186" s="48">
        <f>CP186*1.005</f>
        <v>4726.7432792048239</v>
      </c>
      <c r="CR186" s="93">
        <f>SUM(CN186:CQ186)</f>
        <v>18766.343703246865</v>
      </c>
      <c r="CS186" s="94">
        <f>CQ186*1.005</f>
        <v>4750.3769956008473</v>
      </c>
      <c r="CT186" s="48">
        <f>CS186*1.005</f>
        <v>4774.1288805788508</v>
      </c>
      <c r="CU186" s="48">
        <f>CT186*1.005</f>
        <v>4797.9995249817448</v>
      </c>
      <c r="CV186" s="48">
        <f>CU186*1.005</f>
        <v>4821.9895226066528</v>
      </c>
      <c r="CW186" s="93">
        <f>SUM(CS186:CV186)</f>
        <v>19144.494923768092</v>
      </c>
      <c r="CX186" s="94">
        <f>CV186*1.005</f>
        <v>4846.0994702196858</v>
      </c>
      <c r="CY186" s="48">
        <f>CX186*1.005</f>
        <v>4870.329967570784</v>
      </c>
      <c r="CZ186" s="48">
        <f>CY186*1.005</f>
        <v>4894.6816174086371</v>
      </c>
      <c r="DA186" s="48">
        <f>CZ186*1.005</f>
        <v>4919.1550254956801</v>
      </c>
      <c r="DB186" s="93">
        <f>SUM(CX186:DA186)</f>
        <v>19530.26608069479</v>
      </c>
      <c r="DC186" s="3"/>
      <c r="DD186" s="3"/>
      <c r="DE186" s="3"/>
      <c r="DF186" s="3"/>
      <c r="DG186" s="3"/>
      <c r="DH186" s="3"/>
      <c r="DI186" s="3"/>
      <c r="DJ186" s="3"/>
      <c r="DK186" s="98"/>
      <c r="DL186" s="98"/>
      <c r="DM186" s="29"/>
    </row>
    <row r="187" spans="1:117" collapsed="1">
      <c r="A187" s="28" t="s">
        <v>51</v>
      </c>
      <c r="B187" s="161">
        <f t="shared" ref="B187:AH187" si="429">SUM(B161:B175)</f>
        <v>449782</v>
      </c>
      <c r="C187" s="4">
        <f t="shared" si="429"/>
        <v>27969</v>
      </c>
      <c r="D187" s="4">
        <f t="shared" si="429"/>
        <v>-190751</v>
      </c>
      <c r="E187" s="4">
        <f t="shared" si="429"/>
        <v>-46764</v>
      </c>
      <c r="F187" s="256">
        <f t="shared" si="429"/>
        <v>240236</v>
      </c>
      <c r="G187" s="161">
        <f t="shared" si="429"/>
        <v>519596</v>
      </c>
      <c r="H187" s="4">
        <f t="shared" si="429"/>
        <v>-96550</v>
      </c>
      <c r="I187" s="4">
        <f t="shared" si="429"/>
        <v>-180173</v>
      </c>
      <c r="J187" s="4">
        <f t="shared" si="429"/>
        <v>-413250</v>
      </c>
      <c r="K187" s="256">
        <f t="shared" si="429"/>
        <v>-170377</v>
      </c>
      <c r="L187" s="161">
        <f t="shared" si="429"/>
        <v>797650</v>
      </c>
      <c r="M187" s="4">
        <f t="shared" si="429"/>
        <v>-12572</v>
      </c>
      <c r="N187" s="4">
        <f t="shared" si="429"/>
        <v>55463</v>
      </c>
      <c r="O187" s="4">
        <f t="shared" si="429"/>
        <v>32735</v>
      </c>
      <c r="P187" s="256">
        <f t="shared" si="429"/>
        <v>873276</v>
      </c>
      <c r="Q187" s="161">
        <f t="shared" si="429"/>
        <v>869293</v>
      </c>
      <c r="R187" s="4">
        <f t="shared" si="429"/>
        <v>97856</v>
      </c>
      <c r="S187" s="4">
        <f t="shared" si="429"/>
        <v>-17192</v>
      </c>
      <c r="T187" s="4">
        <f t="shared" si="429"/>
        <v>79703</v>
      </c>
      <c r="U187" s="256">
        <f t="shared" si="429"/>
        <v>1029660</v>
      </c>
      <c r="V187" s="161">
        <f t="shared" si="429"/>
        <v>870515</v>
      </c>
      <c r="W187" s="4">
        <f t="shared" si="429"/>
        <v>-335710</v>
      </c>
      <c r="X187" s="4">
        <f t="shared" si="429"/>
        <v>-56407</v>
      </c>
      <c r="Y187" s="4">
        <f t="shared" si="429"/>
        <v>-2721</v>
      </c>
      <c r="Z187" s="135">
        <f t="shared" si="429"/>
        <v>475677</v>
      </c>
      <c r="AA187" s="161">
        <f>SUM(AA161:AA175)</f>
        <v>790858</v>
      </c>
      <c r="AB187" s="4">
        <f>SUM(AB161:AB175)</f>
        <v>284994</v>
      </c>
      <c r="AC187" s="4">
        <f t="shared" si="429"/>
        <v>195085</v>
      </c>
      <c r="AD187" s="4">
        <f>SUM(AD161:AD175)</f>
        <v>181757</v>
      </c>
      <c r="AE187" s="135">
        <f>SUM(AE161:AE175)</f>
        <v>1452694</v>
      </c>
      <c r="AF187" s="161">
        <f>SUM(AF161:AF175)</f>
        <v>558717</v>
      </c>
      <c r="AG187" s="4">
        <f t="shared" si="429"/>
        <v>32410</v>
      </c>
      <c r="AH187" s="4">
        <f t="shared" si="429"/>
        <v>168904</v>
      </c>
      <c r="AI187" s="4">
        <f t="shared" ref="AI187:AO187" si="430">SUM(AI161:AI175)</f>
        <v>74011</v>
      </c>
      <c r="AJ187" s="135">
        <f t="shared" si="430"/>
        <v>834042</v>
      </c>
      <c r="AK187" s="161">
        <f t="shared" si="430"/>
        <v>647781</v>
      </c>
      <c r="AL187" s="4">
        <f t="shared" si="430"/>
        <v>227818</v>
      </c>
      <c r="AM187" s="4">
        <f t="shared" si="430"/>
        <v>154020</v>
      </c>
      <c r="AN187" s="4">
        <f t="shared" si="430"/>
        <v>330353</v>
      </c>
      <c r="AO187" s="135">
        <f t="shared" si="430"/>
        <v>1359972</v>
      </c>
      <c r="AP187" s="161">
        <f t="shared" ref="AP187:AU187" si="431">SUM(AP161:AP175)</f>
        <v>426085</v>
      </c>
      <c r="AQ187" s="4">
        <f t="shared" si="431"/>
        <v>226525</v>
      </c>
      <c r="AR187" s="4">
        <f t="shared" si="431"/>
        <v>110249</v>
      </c>
      <c r="AS187" s="4">
        <f t="shared" si="431"/>
        <v>228084</v>
      </c>
      <c r="AT187" s="135">
        <f t="shared" si="431"/>
        <v>990943</v>
      </c>
      <c r="AU187" s="161">
        <f t="shared" si="431"/>
        <v>471498</v>
      </c>
      <c r="AV187" s="4">
        <f t="shared" ref="AV187:BA187" si="432">SUM(AV161:AV175)</f>
        <v>316783</v>
      </c>
      <c r="AW187" s="4">
        <f t="shared" si="432"/>
        <v>233265</v>
      </c>
      <c r="AX187" s="4">
        <f t="shared" si="432"/>
        <v>273221</v>
      </c>
      <c r="AY187" s="135">
        <f t="shared" si="432"/>
        <v>1294767</v>
      </c>
      <c r="AZ187" s="161">
        <f t="shared" si="432"/>
        <v>490383</v>
      </c>
      <c r="BA187" s="4">
        <f t="shared" si="432"/>
        <v>45924</v>
      </c>
      <c r="BB187" s="4">
        <f>SUM(BB161:BB175)</f>
        <v>334232</v>
      </c>
      <c r="BC187" s="4">
        <f>SUM(BC161:BC175)</f>
        <v>415071</v>
      </c>
      <c r="BD187" s="135">
        <f>SUM(BD161:BD175)</f>
        <v>1285610</v>
      </c>
      <c r="BE187" s="551">
        <f>SUM(BE161:BE175)</f>
        <v>39270</v>
      </c>
      <c r="BF187" s="391">
        <f>SUM(BF161:BF175)</f>
        <v>294650</v>
      </c>
      <c r="BG187" s="4">
        <f t="shared" ref="BG187:BX187" si="433">SUM(BG161:BG175)</f>
        <v>361157</v>
      </c>
      <c r="BH187" s="391">
        <f t="shared" ref="BH187:BM187" si="434">SUM(BH161:BH175)</f>
        <v>311903</v>
      </c>
      <c r="BI187" s="601">
        <f t="shared" si="434"/>
        <v>1006980</v>
      </c>
      <c r="BJ187" s="551">
        <f t="shared" si="434"/>
        <v>229478</v>
      </c>
      <c r="BK187" s="391">
        <f t="shared" si="434"/>
        <v>302128</v>
      </c>
      <c r="BL187" s="391">
        <f t="shared" si="434"/>
        <v>390422</v>
      </c>
      <c r="BM187" s="391">
        <f t="shared" si="434"/>
        <v>429586</v>
      </c>
      <c r="BN187" s="601">
        <f t="shared" si="433"/>
        <v>1351614</v>
      </c>
      <c r="BO187" s="161">
        <f>SUM(BO161:BO175)</f>
        <v>269090</v>
      </c>
      <c r="BP187" s="4">
        <f t="shared" si="433"/>
        <v>373801</v>
      </c>
      <c r="BQ187" s="391">
        <f t="shared" si="433"/>
        <v>293105</v>
      </c>
      <c r="BR187" s="391">
        <f t="shared" si="433"/>
        <v>379416</v>
      </c>
      <c r="BS187" s="601">
        <f t="shared" ref="BS187" si="435">SUM(BS161:BS175)</f>
        <v>1315412</v>
      </c>
      <c r="BT187" s="161">
        <f t="shared" si="433"/>
        <v>510016.29743133654</v>
      </c>
      <c r="BU187" s="4">
        <f t="shared" si="433"/>
        <v>461447.84282282286</v>
      </c>
      <c r="BV187" s="4">
        <f t="shared" si="433"/>
        <v>472789.57422776776</v>
      </c>
      <c r="BW187" s="4">
        <f t="shared" si="433"/>
        <v>467743.64782067452</v>
      </c>
      <c r="BX187" s="135">
        <f t="shared" si="433"/>
        <v>1911997.3623026018</v>
      </c>
      <c r="BY187" s="161">
        <f t="shared" ref="BY187:CH187" si="436">SUM(BY161:BY175)</f>
        <v>513042.71808495879</v>
      </c>
      <c r="BZ187" s="4">
        <f t="shared" si="436"/>
        <v>492490.0759071373</v>
      </c>
      <c r="CA187" s="4">
        <f t="shared" si="436"/>
        <v>499028.50497216184</v>
      </c>
      <c r="CB187" s="4">
        <f t="shared" si="436"/>
        <v>493233.5506866537</v>
      </c>
      <c r="CC187" s="135">
        <f t="shared" si="436"/>
        <v>1997794.8496509115</v>
      </c>
      <c r="CD187" s="161">
        <f t="shared" si="436"/>
        <v>515517.03594897967</v>
      </c>
      <c r="CE187" s="4">
        <f t="shared" si="436"/>
        <v>506832.08147304627</v>
      </c>
      <c r="CF187" s="4">
        <f t="shared" si="436"/>
        <v>525048.58973759436</v>
      </c>
      <c r="CG187" s="4">
        <f t="shared" si="436"/>
        <v>558563.37366148096</v>
      </c>
      <c r="CH187" s="135">
        <f t="shared" si="436"/>
        <v>2105961.0808211011</v>
      </c>
      <c r="CI187" s="161">
        <f t="shared" ref="CI187:CR187" si="437">SUM(CI161:CI175)</f>
        <v>545435.88666082267</v>
      </c>
      <c r="CJ187" s="4">
        <f t="shared" si="437"/>
        <v>548442.66677705117</v>
      </c>
      <c r="CK187" s="4">
        <f t="shared" si="437"/>
        <v>560246.27564014948</v>
      </c>
      <c r="CL187" s="4">
        <f t="shared" si="437"/>
        <v>612058.77765897964</v>
      </c>
      <c r="CM187" s="135">
        <f t="shared" si="437"/>
        <v>2266183.6067370027</v>
      </c>
      <c r="CN187" s="161">
        <f t="shared" si="437"/>
        <v>554043.27898498904</v>
      </c>
      <c r="CO187" s="4">
        <f t="shared" si="437"/>
        <v>560915.35282013775</v>
      </c>
      <c r="CP187" s="4">
        <f t="shared" si="437"/>
        <v>571588.0460285981</v>
      </c>
      <c r="CQ187" s="4">
        <f t="shared" si="437"/>
        <v>639833.25237390294</v>
      </c>
      <c r="CR187" s="135">
        <f t="shared" si="437"/>
        <v>2326379.9302076278</v>
      </c>
      <c r="CS187" s="161">
        <f t="shared" ref="CS187:DB187" si="438">SUM(CS161:CS175)</f>
        <v>561221.73437624611</v>
      </c>
      <c r="CT187" s="4">
        <f t="shared" si="438"/>
        <v>568253.40402191784</v>
      </c>
      <c r="CU187" s="4">
        <f t="shared" si="438"/>
        <v>579045.54075828951</v>
      </c>
      <c r="CV187" s="4">
        <f t="shared" si="438"/>
        <v>663978.15486423625</v>
      </c>
      <c r="CW187" s="135">
        <f t="shared" si="438"/>
        <v>2372498.8340206896</v>
      </c>
      <c r="CX187" s="161">
        <f t="shared" si="438"/>
        <v>582042.7481813709</v>
      </c>
      <c r="CY187" s="4">
        <f t="shared" si="438"/>
        <v>589447.17292210646</v>
      </c>
      <c r="CZ187" s="4">
        <f t="shared" si="438"/>
        <v>600540.06257123</v>
      </c>
      <c r="DA187" s="4">
        <f t="shared" si="438"/>
        <v>692080.90062523528</v>
      </c>
      <c r="DB187" s="135">
        <f t="shared" si="438"/>
        <v>2464110.8842999428</v>
      </c>
      <c r="DC187" s="218"/>
      <c r="DD187" s="218"/>
      <c r="DE187" s="218"/>
      <c r="DF187" s="218"/>
      <c r="DG187" s="218"/>
      <c r="DH187" s="218"/>
      <c r="DI187" s="218"/>
      <c r="DJ187" s="218"/>
      <c r="DK187" s="218"/>
      <c r="DL187" s="218"/>
      <c r="DM187" s="25"/>
    </row>
    <row r="188" spans="1:117">
      <c r="A188" s="10"/>
      <c r="B188" s="244"/>
      <c r="C188" s="38"/>
      <c r="D188" s="178"/>
      <c r="E188" s="178"/>
      <c r="F188" s="194"/>
      <c r="G188" s="244"/>
      <c r="H188" s="38"/>
      <c r="I188" s="178"/>
      <c r="J188" s="178"/>
      <c r="K188" s="194"/>
      <c r="L188" s="244"/>
      <c r="M188" s="38"/>
      <c r="N188" s="178"/>
      <c r="O188" s="178"/>
      <c r="P188" s="194"/>
      <c r="Q188" s="244"/>
      <c r="R188" s="38"/>
      <c r="S188" s="178"/>
      <c r="T188" s="178"/>
      <c r="U188" s="194"/>
      <c r="V188" s="244"/>
      <c r="W188" s="38"/>
      <c r="X188" s="178"/>
      <c r="Y188" s="178"/>
      <c r="Z188" s="243"/>
      <c r="AA188" s="244"/>
      <c r="AB188" s="38"/>
      <c r="AC188" s="38"/>
      <c r="AD188" s="38"/>
      <c r="AE188" s="194"/>
      <c r="AF188" s="19"/>
      <c r="AG188" s="392"/>
      <c r="AH188" s="392"/>
      <c r="AI188" s="38"/>
      <c r="AJ188" s="194"/>
      <c r="AK188" s="19"/>
      <c r="AL188" s="18"/>
      <c r="AM188" s="392"/>
      <c r="AN188" s="38"/>
      <c r="AO188" s="194"/>
      <c r="AP188" s="37"/>
      <c r="AQ188" s="18"/>
      <c r="AR188" s="392"/>
      <c r="AS188" s="38"/>
      <c r="AT188" s="194"/>
      <c r="AU188" s="37"/>
      <c r="AV188" s="18"/>
      <c r="AW188" s="392"/>
      <c r="AX188" s="38"/>
      <c r="AY188" s="194"/>
      <c r="AZ188" s="37"/>
      <c r="BA188" s="18"/>
      <c r="BB188" s="18"/>
      <c r="BC188" s="18"/>
      <c r="BD188" s="194"/>
      <c r="BE188" s="37"/>
      <c r="BF188" s="38"/>
      <c r="BG188" s="18"/>
      <c r="BH188" s="18"/>
      <c r="BI188" s="194"/>
      <c r="BJ188" s="37"/>
      <c r="BK188" s="38"/>
      <c r="BL188" s="38"/>
      <c r="BM188" s="18"/>
      <c r="BN188" s="194"/>
      <c r="BO188" s="19"/>
      <c r="BP188" s="18"/>
      <c r="BQ188" s="18"/>
      <c r="BR188" s="18"/>
      <c r="BS188" s="194"/>
      <c r="BT188" s="19"/>
      <c r="BU188" s="18"/>
      <c r="BV188" s="18"/>
      <c r="BW188" s="18"/>
      <c r="BX188" s="194"/>
      <c r="BY188" s="19"/>
      <c r="BZ188" s="18"/>
      <c r="CA188" s="18"/>
      <c r="CB188" s="18"/>
      <c r="CC188" s="194"/>
      <c r="CD188" s="19"/>
      <c r="CE188" s="18"/>
      <c r="CF188" s="18"/>
      <c r="CG188" s="18"/>
      <c r="CH188" s="194"/>
      <c r="CI188" s="19"/>
      <c r="CJ188" s="18"/>
      <c r="CK188" s="18"/>
      <c r="CL188" s="18"/>
      <c r="CM188" s="194"/>
      <c r="CN188" s="19"/>
      <c r="CO188" s="18"/>
      <c r="CP188" s="18"/>
      <c r="CQ188" s="18"/>
      <c r="CR188" s="194"/>
      <c r="CS188" s="19"/>
      <c r="CT188" s="18"/>
      <c r="CU188" s="18"/>
      <c r="CV188" s="18"/>
      <c r="CW188" s="194"/>
      <c r="CX188" s="19"/>
      <c r="CY188" s="18"/>
      <c r="CZ188" s="18"/>
      <c r="DA188" s="18"/>
      <c r="DB188" s="194"/>
      <c r="DC188" s="178"/>
      <c r="DD188" s="178"/>
      <c r="DE188" s="178"/>
      <c r="DF188" s="178"/>
      <c r="DG188" s="178"/>
      <c r="DH188" s="178"/>
      <c r="DI188" s="178"/>
      <c r="DJ188" s="178"/>
      <c r="DK188" s="186"/>
      <c r="DL188" s="186"/>
      <c r="DM188" s="18"/>
    </row>
    <row r="189" spans="1:117">
      <c r="A189" s="16" t="s">
        <v>52</v>
      </c>
      <c r="B189" s="244"/>
      <c r="C189" s="38"/>
      <c r="D189" s="178"/>
      <c r="E189" s="178"/>
      <c r="F189" s="194"/>
      <c r="G189" s="244"/>
      <c r="H189" s="38"/>
      <c r="I189" s="178"/>
      <c r="J189" s="178"/>
      <c r="K189" s="194"/>
      <c r="L189" s="244"/>
      <c r="M189" s="38"/>
      <c r="N189" s="178"/>
      <c r="O189" s="178"/>
      <c r="P189" s="194"/>
      <c r="Q189" s="244"/>
      <c r="R189" s="38"/>
      <c r="S189" s="178"/>
      <c r="T189" s="178"/>
      <c r="U189" s="194"/>
      <c r="V189" s="244"/>
      <c r="W189" s="38"/>
      <c r="X189" s="178"/>
      <c r="Y189" s="178"/>
      <c r="Z189" s="243"/>
      <c r="AA189" s="244"/>
      <c r="AB189" s="38"/>
      <c r="AC189" s="38"/>
      <c r="AD189" s="38"/>
      <c r="AE189" s="194"/>
      <c r="AF189" s="19"/>
      <c r="AG189" s="392"/>
      <c r="AH189" s="392"/>
      <c r="AI189" s="38"/>
      <c r="AJ189" s="194"/>
      <c r="AK189" s="19"/>
      <c r="AL189" s="18"/>
      <c r="AM189" s="392"/>
      <c r="AN189" s="38"/>
      <c r="AO189" s="194"/>
      <c r="AP189" s="19"/>
      <c r="AQ189" s="18"/>
      <c r="AR189" s="392"/>
      <c r="AS189" s="38"/>
      <c r="AT189" s="194"/>
      <c r="AU189" s="19"/>
      <c r="AV189" s="18"/>
      <c r="AW189" s="392"/>
      <c r="AX189" s="38"/>
      <c r="AY189" s="194"/>
      <c r="AZ189" s="19"/>
      <c r="BA189" s="18"/>
      <c r="BB189" s="18"/>
      <c r="BC189" s="18"/>
      <c r="BD189" s="194"/>
      <c r="BE189" s="19"/>
      <c r="BF189" s="38"/>
      <c r="BG189" s="38"/>
      <c r="BH189" s="18"/>
      <c r="BI189" s="194"/>
      <c r="BJ189" s="19"/>
      <c r="BK189" s="38"/>
      <c r="BL189" s="38"/>
      <c r="BM189" s="18"/>
      <c r="BN189" s="194"/>
      <c r="BO189" s="19"/>
      <c r="BP189" s="18"/>
      <c r="BQ189" s="18"/>
      <c r="BR189" s="18"/>
      <c r="BS189" s="194"/>
      <c r="BT189" s="19"/>
      <c r="BU189" s="18"/>
      <c r="BV189" s="18"/>
      <c r="BW189" s="18"/>
      <c r="BX189" s="194"/>
      <c r="BY189" s="19"/>
      <c r="BZ189" s="18"/>
      <c r="CA189" s="18"/>
      <c r="CB189" s="18"/>
      <c r="CC189" s="194"/>
      <c r="CD189" s="19"/>
      <c r="CE189" s="18"/>
      <c r="CF189" s="18"/>
      <c r="CG189" s="18"/>
      <c r="CH189" s="194"/>
      <c r="CI189" s="19"/>
      <c r="CJ189" s="18"/>
      <c r="CK189" s="18"/>
      <c r="CL189" s="18"/>
      <c r="CM189" s="194"/>
      <c r="CN189" s="19"/>
      <c r="CO189" s="18"/>
      <c r="CP189" s="18"/>
      <c r="CQ189" s="18"/>
      <c r="CR189" s="194"/>
      <c r="CS189" s="19"/>
      <c r="CT189" s="18"/>
      <c r="CU189" s="18"/>
      <c r="CV189" s="18"/>
      <c r="CW189" s="194"/>
      <c r="CX189" s="19"/>
      <c r="CY189" s="18"/>
      <c r="CZ189" s="18"/>
      <c r="DA189" s="18"/>
      <c r="DB189" s="194"/>
      <c r="DC189" s="178"/>
      <c r="DD189" s="178"/>
      <c r="DE189" s="178"/>
      <c r="DF189" s="178"/>
      <c r="DG189" s="178"/>
      <c r="DH189" s="178"/>
      <c r="DI189" s="178"/>
      <c r="DJ189" s="178"/>
      <c r="DK189" s="186"/>
      <c r="DL189" s="186"/>
      <c r="DM189" s="18"/>
    </row>
    <row r="190" spans="1:117">
      <c r="A190" s="15" t="s">
        <v>593</v>
      </c>
      <c r="B190" s="244">
        <v>0</v>
      </c>
      <c r="C190" s="48">
        <f t="shared" ref="C190:C199" si="439">0-B190</f>
        <v>0</v>
      </c>
      <c r="D190" s="3">
        <f t="shared" ref="D190:D199" si="440">0-C190-B190</f>
        <v>0</v>
      </c>
      <c r="E190" s="3">
        <f>F190-SUM(B190:D190)</f>
        <v>0</v>
      </c>
      <c r="F190" s="194">
        <v>0</v>
      </c>
      <c r="G190" s="244">
        <v>0</v>
      </c>
      <c r="H190" s="48">
        <f t="shared" ref="H190:H199" si="441">0-G190</f>
        <v>0</v>
      </c>
      <c r="I190" s="3">
        <f>0-H190-G190</f>
        <v>0</v>
      </c>
      <c r="J190" s="3">
        <f>K190-SUM(G190:I190)</f>
        <v>6209</v>
      </c>
      <c r="K190" s="194">
        <v>6209</v>
      </c>
      <c r="L190" s="244">
        <v>-5711</v>
      </c>
      <c r="M190" s="48">
        <f>-6077-L190</f>
        <v>-366</v>
      </c>
      <c r="N190" s="3">
        <f>-6458-M190-L190</f>
        <v>-381</v>
      </c>
      <c r="O190" s="3">
        <f>P190-SUM(L190:N190)</f>
        <v>-150</v>
      </c>
      <c r="P190" s="194">
        <v>-6608</v>
      </c>
      <c r="Q190" s="244">
        <v>-141</v>
      </c>
      <c r="R190" s="48">
        <f>-7653-Q190</f>
        <v>-7512</v>
      </c>
      <c r="S190" s="3">
        <f>-5546-R190-Q190</f>
        <v>2107</v>
      </c>
      <c r="T190" s="3">
        <f>U190-SUM(Q190:S190)</f>
        <v>1878</v>
      </c>
      <c r="U190" s="194">
        <v>-3668</v>
      </c>
      <c r="V190" s="244">
        <v>3311</v>
      </c>
      <c r="W190" s="48">
        <f>6480-V190</f>
        <v>3169</v>
      </c>
      <c r="X190" s="3">
        <f>3063-W190-V190</f>
        <v>-3417</v>
      </c>
      <c r="Y190" s="3">
        <f>Z190-SUM(V190:X190)</f>
        <v>900</v>
      </c>
      <c r="Z190" s="243">
        <v>3963</v>
      </c>
      <c r="AA190" s="244">
        <v>3362</v>
      </c>
      <c r="AB190" s="48">
        <f>17393-AA190</f>
        <v>14031</v>
      </c>
      <c r="AC190" s="48">
        <f>-19878-AB190-AA190</f>
        <v>-37271</v>
      </c>
      <c r="AD190" s="3">
        <f>AE190-SUM(AA190:AC190)</f>
        <v>7847</v>
      </c>
      <c r="AE190" s="243">
        <v>-12031</v>
      </c>
      <c r="AF190" s="244">
        <v>1334</v>
      </c>
      <c r="AG190" s="48">
        <f>9448-AF190</f>
        <v>8114</v>
      </c>
      <c r="AH190" s="48">
        <f>-1313+9342-AG190-AF190</f>
        <v>-1419</v>
      </c>
      <c r="AI190" s="3">
        <f>AJ190-SUM(AF190:AH190)</f>
        <v>8487</v>
      </c>
      <c r="AJ190" s="243">
        <f>-1331+17847</f>
        <v>16516</v>
      </c>
      <c r="AK190" s="244">
        <f>-250+4904</f>
        <v>4654</v>
      </c>
      <c r="AL190" s="178">
        <f>15750-1655-AK190</f>
        <v>9441</v>
      </c>
      <c r="AM190" s="178">
        <f>-51686+16158-AL190-AK190</f>
        <v>-49623</v>
      </c>
      <c r="AN190" s="3">
        <f>AO190-SUM(AK190:AM190)</f>
        <v>-5319</v>
      </c>
      <c r="AO190" s="243">
        <f>-64491+23644</f>
        <v>-40847</v>
      </c>
      <c r="AP190" s="244">
        <f>-2577+4062</f>
        <v>1485</v>
      </c>
      <c r="AQ190" s="38">
        <f>-7237+14705-AP190</f>
        <v>5983</v>
      </c>
      <c r="AR190" s="178">
        <f>-21284+25756-AQ190-AP190</f>
        <v>-2996</v>
      </c>
      <c r="AS190" s="3">
        <f>AT190-SUM(AP190:AR190)</f>
        <v>59</v>
      </c>
      <c r="AT190" s="243">
        <f>-30768+35299</f>
        <v>4531</v>
      </c>
      <c r="AU190" s="244">
        <f>-3036+6698</f>
        <v>3662</v>
      </c>
      <c r="AV190" s="38">
        <f>-4558+17958-AU190</f>
        <v>9738</v>
      </c>
      <c r="AW190" s="178">
        <f>-4558+24891-AV190-AU190</f>
        <v>6933</v>
      </c>
      <c r="AX190" s="3">
        <f>AY190-SUM(AU190:AW190)</f>
        <v>-24507</v>
      </c>
      <c r="AY190" s="243">
        <f>-35308+31134</f>
        <v>-4174</v>
      </c>
      <c r="AZ190" s="244">
        <f>-627+4725</f>
        <v>4098</v>
      </c>
      <c r="BA190" s="38">
        <f>-1063+16449-AZ190</f>
        <v>11288</v>
      </c>
      <c r="BB190" s="38">
        <f>-1063+24925-BA190-AZ190</f>
        <v>8476</v>
      </c>
      <c r="BC190" s="3">
        <f>BD190-SUM(AZ190:BB190)</f>
        <v>-3818</v>
      </c>
      <c r="BD190" s="243">
        <f>-1063+21107</f>
        <v>20044</v>
      </c>
      <c r="BE190" s="244">
        <v>0</v>
      </c>
      <c r="BF190" s="38">
        <v>0</v>
      </c>
      <c r="BG190" s="38">
        <v>0</v>
      </c>
      <c r="BH190" s="3">
        <f>BI190-SUM(BE190:BG190)</f>
        <v>0</v>
      </c>
      <c r="BI190" s="243">
        <v>0</v>
      </c>
      <c r="BJ190" s="244">
        <v>0</v>
      </c>
      <c r="BK190" s="38">
        <v>0</v>
      </c>
      <c r="BL190" s="38">
        <v>0</v>
      </c>
      <c r="BM190" s="3">
        <f t="shared" ref="BM190:BM200" si="442">BN190-SUM(BJ190:BL190)</f>
        <v>0</v>
      </c>
      <c r="BN190" s="243">
        <v>0</v>
      </c>
      <c r="BO190" s="37">
        <v>0</v>
      </c>
      <c r="BP190" s="3">
        <f t="shared" ref="BP190:BP191" si="443">0-BO190</f>
        <v>0</v>
      </c>
      <c r="BQ190" s="38">
        <f>0-BO190-BP190</f>
        <v>0</v>
      </c>
      <c r="BR190" s="3">
        <f t="shared" ref="BR190:BR200" si="444">BS190-SUM(BO190:BQ190)</f>
        <v>0</v>
      </c>
      <c r="BS190" s="243">
        <v>0</v>
      </c>
      <c r="BT190" s="37">
        <v>0</v>
      </c>
      <c r="BU190" s="38">
        <v>0</v>
      </c>
      <c r="BV190" s="38">
        <v>0</v>
      </c>
      <c r="BW190" s="38">
        <v>0</v>
      </c>
      <c r="BX190" s="93">
        <f t="shared" ref="BX190:BX200" si="445">SUM(BT190:BW190)</f>
        <v>0</v>
      </c>
      <c r="BY190" s="37">
        <v>0</v>
      </c>
      <c r="BZ190" s="38">
        <v>0</v>
      </c>
      <c r="CA190" s="38">
        <v>0</v>
      </c>
      <c r="CB190" s="38">
        <v>0</v>
      </c>
      <c r="CC190" s="93">
        <f t="shared" ref="CC190:CC200" si="446">SUM(BY190:CB190)</f>
        <v>0</v>
      </c>
      <c r="CD190" s="37">
        <v>0</v>
      </c>
      <c r="CE190" s="38">
        <v>0</v>
      </c>
      <c r="CF190" s="38">
        <v>0</v>
      </c>
      <c r="CG190" s="38">
        <v>0</v>
      </c>
      <c r="CH190" s="93">
        <f t="shared" ref="CH190:CH200" si="447">SUM(CD190:CG190)</f>
        <v>0</v>
      </c>
      <c r="CI190" s="37">
        <v>0</v>
      </c>
      <c r="CJ190" s="38">
        <v>0</v>
      </c>
      <c r="CK190" s="38">
        <v>0</v>
      </c>
      <c r="CL190" s="38">
        <v>0</v>
      </c>
      <c r="CM190" s="93">
        <f t="shared" ref="CM190:CM200" si="448">SUM(CI190:CL190)</f>
        <v>0</v>
      </c>
      <c r="CN190" s="37">
        <v>0</v>
      </c>
      <c r="CO190" s="38">
        <v>0</v>
      </c>
      <c r="CP190" s="38">
        <v>0</v>
      </c>
      <c r="CQ190" s="38">
        <v>0</v>
      </c>
      <c r="CR190" s="93">
        <f t="shared" ref="CR190:CR200" si="449">SUM(CN190:CQ190)</f>
        <v>0</v>
      </c>
      <c r="CS190" s="37">
        <v>0</v>
      </c>
      <c r="CT190" s="38">
        <v>0</v>
      </c>
      <c r="CU190" s="38">
        <v>0</v>
      </c>
      <c r="CV190" s="38">
        <v>0</v>
      </c>
      <c r="CW190" s="93">
        <f t="shared" ref="CW190:CW200" si="450">SUM(CS190:CV190)</f>
        <v>0</v>
      </c>
      <c r="CX190" s="37">
        <v>0</v>
      </c>
      <c r="CY190" s="38">
        <v>0</v>
      </c>
      <c r="CZ190" s="38">
        <v>0</v>
      </c>
      <c r="DA190" s="38">
        <v>0</v>
      </c>
      <c r="DB190" s="93">
        <f t="shared" ref="DB190:DB200" si="451">SUM(CX190:DA190)</f>
        <v>0</v>
      </c>
      <c r="DC190" s="3"/>
      <c r="DD190" s="3"/>
      <c r="DE190" s="3"/>
      <c r="DF190" s="3"/>
      <c r="DG190" s="3"/>
      <c r="DH190" s="3"/>
      <c r="DI190" s="3"/>
      <c r="DJ190" s="3"/>
      <c r="DK190" s="98"/>
      <c r="DL190" s="98"/>
      <c r="DM190" s="18"/>
    </row>
    <row r="191" spans="1:117">
      <c r="A191" s="15" t="s">
        <v>951</v>
      </c>
      <c r="B191" s="244">
        <v>0</v>
      </c>
      <c r="C191" s="48">
        <f t="shared" si="439"/>
        <v>0</v>
      </c>
      <c r="D191" s="3">
        <f t="shared" si="440"/>
        <v>0</v>
      </c>
      <c r="E191" s="3">
        <f t="shared" ref="E191:E200" si="452">F191-SUM(B191:D191)</f>
        <v>-176709</v>
      </c>
      <c r="F191" s="194">
        <v>-176709</v>
      </c>
      <c r="G191" s="244">
        <v>0</v>
      </c>
      <c r="H191" s="48">
        <f t="shared" si="441"/>
        <v>0</v>
      </c>
      <c r="I191" s="3">
        <f>-1328572-H191-G191</f>
        <v>-1328572</v>
      </c>
      <c r="J191" s="3">
        <f t="shared" ref="J191:J200" si="453">K191-SUM(G191:I191)</f>
        <v>665</v>
      </c>
      <c r="K191" s="194">
        <v>-1327907</v>
      </c>
      <c r="L191" s="244">
        <v>0</v>
      </c>
      <c r="M191" s="48">
        <f>-128485-L191</f>
        <v>-128485</v>
      </c>
      <c r="N191" s="3">
        <f>-128485-M191-L191</f>
        <v>0</v>
      </c>
      <c r="O191" s="3">
        <f t="shared" ref="O191:O200" si="454">P191-SUM(L191:N191)</f>
        <v>-20407</v>
      </c>
      <c r="P191" s="194">
        <v>-148892</v>
      </c>
      <c r="Q191" s="244">
        <v>0</v>
      </c>
      <c r="R191" s="48">
        <f t="shared" ref="R191:R200" si="455">0-Q191</f>
        <v>0</v>
      </c>
      <c r="S191" s="3">
        <f t="shared" ref="S191:S200" si="456">0-R191-Q191</f>
        <v>0</v>
      </c>
      <c r="T191" s="3">
        <f t="shared" ref="T191:T200" si="457">U191-SUM(Q191:S191)</f>
        <v>-299560</v>
      </c>
      <c r="U191" s="194">
        <v>-299560</v>
      </c>
      <c r="V191" s="244">
        <v>2450</v>
      </c>
      <c r="W191" s="48">
        <f t="shared" ref="W191:W199" si="458">0-V191</f>
        <v>-2450</v>
      </c>
      <c r="X191" s="3">
        <f t="shared" ref="X191:X199" si="459">0-W191-V191</f>
        <v>0</v>
      </c>
      <c r="Y191" s="3">
        <f t="shared" ref="Y191:Y200" si="460">Z191-SUM(V191:X191)</f>
        <v>2450</v>
      </c>
      <c r="Z191" s="243">
        <v>2450</v>
      </c>
      <c r="AA191" s="244">
        <v>0</v>
      </c>
      <c r="AB191" s="38">
        <v>0</v>
      </c>
      <c r="AC191" s="65">
        <v>0</v>
      </c>
      <c r="AD191" s="3">
        <f t="shared" ref="AD191:AD200" si="461">AE191-SUM(AA191:AC191)</f>
        <v>0</v>
      </c>
      <c r="AE191" s="243">
        <v>0</v>
      </c>
      <c r="AF191" s="244">
        <v>0</v>
      </c>
      <c r="AG191" s="48">
        <v>0</v>
      </c>
      <c r="AH191" s="48">
        <v>0</v>
      </c>
      <c r="AI191" s="3">
        <f t="shared" ref="AI191:AI200" si="462">AJ191-SUM(AF191:AH191)</f>
        <v>0</v>
      </c>
      <c r="AJ191" s="243">
        <v>0</v>
      </c>
      <c r="AK191" s="244">
        <v>0</v>
      </c>
      <c r="AL191" s="178">
        <v>0</v>
      </c>
      <c r="AM191" s="178">
        <v>0</v>
      </c>
      <c r="AN191" s="3">
        <f t="shared" ref="AN191:AN200" si="463">AO191-SUM(AK191:AM191)</f>
        <v>0</v>
      </c>
      <c r="AO191" s="243">
        <v>0</v>
      </c>
      <c r="AP191" s="244">
        <v>0</v>
      </c>
      <c r="AQ191" s="38">
        <v>0</v>
      </c>
      <c r="AR191" s="178">
        <v>0</v>
      </c>
      <c r="AS191" s="3">
        <f t="shared" ref="AS191:AS200" si="464">AT191-SUM(AP191:AR191)</f>
        <v>0</v>
      </c>
      <c r="AT191" s="243">
        <v>0</v>
      </c>
      <c r="AU191" s="244">
        <v>0</v>
      </c>
      <c r="AV191" s="38">
        <v>0</v>
      </c>
      <c r="AW191" s="178">
        <f>-304889-AV191-AU191</f>
        <v>-304889</v>
      </c>
      <c r="AX191" s="3">
        <f t="shared" ref="AX191:AX200" si="465">AY191-SUM(AU191:AW191)</f>
        <v>-90000</v>
      </c>
      <c r="AY191" s="243">
        <v>-394889</v>
      </c>
      <c r="AZ191" s="244">
        <v>-14000</v>
      </c>
      <c r="BA191" s="38">
        <f>-14000-AZ191</f>
        <v>0</v>
      </c>
      <c r="BB191" s="38">
        <f>-14000-BA191-AZ191</f>
        <v>0</v>
      </c>
      <c r="BC191" s="3">
        <f t="shared" ref="BC191:BC200" si="466">BD191-SUM(AZ191:BB191)</f>
        <v>-800934</v>
      </c>
      <c r="BD191" s="243">
        <v>-814934</v>
      </c>
      <c r="BE191" s="244">
        <v>0</v>
      </c>
      <c r="BF191" s="38">
        <v>0</v>
      </c>
      <c r="BG191" s="38">
        <v>0</v>
      </c>
      <c r="BH191" s="3">
        <f t="shared" ref="BH191:BH200" si="467">BI191-SUM(BE191:BG191)</f>
        <v>0</v>
      </c>
      <c r="BI191" s="243">
        <v>0</v>
      </c>
      <c r="BJ191" s="244">
        <v>0</v>
      </c>
      <c r="BK191" s="38">
        <v>0</v>
      </c>
      <c r="BL191" s="38">
        <v>0</v>
      </c>
      <c r="BM191" s="3">
        <f t="shared" si="442"/>
        <v>0</v>
      </c>
      <c r="BN191" s="243">
        <v>0</v>
      </c>
      <c r="BO191" s="244">
        <v>0</v>
      </c>
      <c r="BP191" s="3">
        <f t="shared" si="443"/>
        <v>0</v>
      </c>
      <c r="BQ191" s="38">
        <f>0-BO191-BP191</f>
        <v>0</v>
      </c>
      <c r="BR191" s="3">
        <f t="shared" si="444"/>
        <v>0</v>
      </c>
      <c r="BS191" s="243">
        <v>0</v>
      </c>
      <c r="BT191" s="37">
        <v>0</v>
      </c>
      <c r="BU191" s="38">
        <v>0</v>
      </c>
      <c r="BV191" s="38">
        <v>0</v>
      </c>
      <c r="BW191" s="38">
        <v>0</v>
      </c>
      <c r="BX191" s="93">
        <f t="shared" si="445"/>
        <v>0</v>
      </c>
      <c r="BY191" s="37">
        <v>0</v>
      </c>
      <c r="BZ191" s="38">
        <v>0</v>
      </c>
      <c r="CA191" s="38">
        <v>0</v>
      </c>
      <c r="CB191" s="38">
        <v>0</v>
      </c>
      <c r="CC191" s="93">
        <f t="shared" si="446"/>
        <v>0</v>
      </c>
      <c r="CD191" s="37">
        <v>0</v>
      </c>
      <c r="CE191" s="38">
        <v>0</v>
      </c>
      <c r="CF191" s="38">
        <v>0</v>
      </c>
      <c r="CG191" s="38">
        <v>0</v>
      </c>
      <c r="CH191" s="93">
        <f t="shared" si="447"/>
        <v>0</v>
      </c>
      <c r="CI191" s="37">
        <v>0</v>
      </c>
      <c r="CJ191" s="38">
        <v>0</v>
      </c>
      <c r="CK191" s="38">
        <v>0</v>
      </c>
      <c r="CL191" s="38">
        <v>0</v>
      </c>
      <c r="CM191" s="93">
        <f t="shared" si="448"/>
        <v>0</v>
      </c>
      <c r="CN191" s="37">
        <v>0</v>
      </c>
      <c r="CO191" s="38">
        <v>0</v>
      </c>
      <c r="CP191" s="38">
        <v>0</v>
      </c>
      <c r="CQ191" s="38">
        <v>0</v>
      </c>
      <c r="CR191" s="93">
        <f t="shared" si="449"/>
        <v>0</v>
      </c>
      <c r="CS191" s="37">
        <v>0</v>
      </c>
      <c r="CT191" s="38">
        <v>0</v>
      </c>
      <c r="CU191" s="38">
        <v>0</v>
      </c>
      <c r="CV191" s="38">
        <v>0</v>
      </c>
      <c r="CW191" s="93">
        <f t="shared" si="450"/>
        <v>0</v>
      </c>
      <c r="CX191" s="37">
        <v>0</v>
      </c>
      <c r="CY191" s="38">
        <v>0</v>
      </c>
      <c r="CZ191" s="38">
        <v>0</v>
      </c>
      <c r="DA191" s="38">
        <v>0</v>
      </c>
      <c r="DB191" s="93">
        <f t="shared" si="451"/>
        <v>0</v>
      </c>
      <c r="DC191" s="3"/>
      <c r="DD191" s="3"/>
      <c r="DE191" s="3"/>
      <c r="DF191" s="3"/>
      <c r="DG191" s="3"/>
      <c r="DH191" s="3"/>
      <c r="DI191" s="3"/>
      <c r="DJ191" s="3"/>
      <c r="DK191" s="98"/>
      <c r="DL191" s="98"/>
      <c r="DM191" s="18"/>
    </row>
    <row r="192" spans="1:117">
      <c r="A192" s="15" t="s">
        <v>1605</v>
      </c>
      <c r="B192" s="244">
        <v>-48902</v>
      </c>
      <c r="C192" s="48">
        <f>-114402-B192</f>
        <v>-65500</v>
      </c>
      <c r="D192" s="3">
        <f>-192335-C192-B192</f>
        <v>-77933</v>
      </c>
      <c r="E192" s="3">
        <f t="shared" si="452"/>
        <v>-71775</v>
      </c>
      <c r="F192" s="194">
        <v>-264110</v>
      </c>
      <c r="G192" s="244">
        <v>-58312</v>
      </c>
      <c r="H192" s="48">
        <f>-122687-G192</f>
        <v>-64375</v>
      </c>
      <c r="I192" s="3">
        <f>-189930-H192-G192</f>
        <v>-67243</v>
      </c>
      <c r="J192" s="3">
        <f t="shared" si="453"/>
        <v>-60563</v>
      </c>
      <c r="K192" s="194">
        <v>-250493</v>
      </c>
      <c r="L192" s="244">
        <v>-54552</v>
      </c>
      <c r="M192" s="48">
        <f>-132593-L192</f>
        <v>-78041</v>
      </c>
      <c r="N192" s="3">
        <f>-243968-M192-L192</f>
        <v>-111375</v>
      </c>
      <c r="O192" s="3">
        <f t="shared" si="454"/>
        <v>-132338</v>
      </c>
      <c r="P192" s="194">
        <v>-376306</v>
      </c>
      <c r="Q192" s="244">
        <v>-102135</v>
      </c>
      <c r="R192" s="48">
        <f>-281434-Q192</f>
        <v>-179299</v>
      </c>
      <c r="S192" s="3">
        <f>-527497-R192-Q192</f>
        <v>-246063</v>
      </c>
      <c r="T192" s="3">
        <f t="shared" si="457"/>
        <v>-356206</v>
      </c>
      <c r="U192" s="194">
        <v>-883703</v>
      </c>
      <c r="V192" s="244">
        <v>-339531</v>
      </c>
      <c r="W192" s="48">
        <f>-640048-V192</f>
        <v>-300517</v>
      </c>
      <c r="X192" s="3">
        <f>-1033063-W192-V192</f>
        <v>-393015</v>
      </c>
      <c r="Y192" s="3">
        <f t="shared" si="460"/>
        <v>-440073</v>
      </c>
      <c r="Z192" s="243">
        <v>-1473136</v>
      </c>
      <c r="AA192" s="244">
        <v>-243027</v>
      </c>
      <c r="AB192" s="48">
        <f>-407600-AA192</f>
        <v>-164573</v>
      </c>
      <c r="AC192" s="99">
        <f>-614757-AB192-AA192</f>
        <v>-207157</v>
      </c>
      <c r="AD192" s="3">
        <f t="shared" si="461"/>
        <v>-176488</v>
      </c>
      <c r="AE192" s="243">
        <v>-791245</v>
      </c>
      <c r="AF192" s="244">
        <v>-68273</v>
      </c>
      <c r="AG192" s="99">
        <f>-179704-AF192</f>
        <v>-111431</v>
      </c>
      <c r="AH192" s="99">
        <f>-356289-AG192-AF192</f>
        <v>-176585</v>
      </c>
      <c r="AI192" s="3">
        <f t="shared" si="462"/>
        <v>-226459</v>
      </c>
      <c r="AJ192" s="243">
        <v>-582748</v>
      </c>
      <c r="AK192" s="244">
        <v>-194679</v>
      </c>
      <c r="AL192" s="178">
        <f>-523772-AK192</f>
        <v>-329093</v>
      </c>
      <c r="AM192" s="178">
        <f>-862310-AL192-AK192</f>
        <v>-338538</v>
      </c>
      <c r="AN192" s="3">
        <f t="shared" si="463"/>
        <v>-473757</v>
      </c>
      <c r="AO192" s="243">
        <v>-1336067</v>
      </c>
      <c r="AP192" s="244">
        <v>-348437</v>
      </c>
      <c r="AQ192" s="99">
        <f>-780697-AP192</f>
        <v>-432260</v>
      </c>
      <c r="AR192" s="178">
        <f>-1238908-AQ192-AP192</f>
        <v>-458211</v>
      </c>
      <c r="AS192" s="3">
        <f t="shared" si="464"/>
        <v>-627245</v>
      </c>
      <c r="AT192" s="243">
        <v>-1866153</v>
      </c>
      <c r="AU192" s="244">
        <v>-501065</v>
      </c>
      <c r="AV192" s="99">
        <f>-1060333-AU192</f>
        <v>-559268</v>
      </c>
      <c r="AW192" s="178">
        <f>-1597820-AV192-AU192</f>
        <v>-537487</v>
      </c>
      <c r="AX192" s="3">
        <f t="shared" si="465"/>
        <v>-658765</v>
      </c>
      <c r="AY192" s="243">
        <v>-2256585</v>
      </c>
      <c r="AZ192" s="244">
        <v>-429525</v>
      </c>
      <c r="BA192" s="99">
        <f>-822201-AZ192</f>
        <v>-392676</v>
      </c>
      <c r="BB192" s="99">
        <f>-1204386-BA192-AZ192</f>
        <v>-382185</v>
      </c>
      <c r="BC192" s="3">
        <f t="shared" si="466"/>
        <v>-574764</v>
      </c>
      <c r="BD192" s="243">
        <v>-1779150</v>
      </c>
      <c r="BE192" s="244">
        <v>-343847</v>
      </c>
      <c r="BF192" s="99">
        <f>+-629448-33222-BE192</f>
        <v>-318823</v>
      </c>
      <c r="BG192" s="99">
        <f>+-930316-27540-BF192-BE192</f>
        <v>-295186</v>
      </c>
      <c r="BH192" s="3">
        <f t="shared" si="467"/>
        <v>-230456</v>
      </c>
      <c r="BI192" s="243">
        <v>-1188312</v>
      </c>
      <c r="BJ192" s="244">
        <v>-196411</v>
      </c>
      <c r="BK192" s="99">
        <f>+-333254-BJ192</f>
        <v>-136843</v>
      </c>
      <c r="BL192" s="99">
        <f>-491528-55177-BK192-BJ192</f>
        <v>-213451</v>
      </c>
      <c r="BM192" s="3">
        <f t="shared" si="442"/>
        <v>-77929</v>
      </c>
      <c r="BN192" s="243">
        <v>-624634</v>
      </c>
      <c r="BO192" s="244">
        <f>-112737-BO193</f>
        <v>-88348</v>
      </c>
      <c r="BP192" s="48">
        <f>+-195232-BO192-BO193-BP193</f>
        <v>-59425</v>
      </c>
      <c r="BQ192" s="99">
        <f>+-330431-BQ193-BP192-BP193-BO192-BO193</f>
        <v>-102685</v>
      </c>
      <c r="BR192" s="3">
        <f t="shared" si="444"/>
        <v>-114778</v>
      </c>
      <c r="BS192" s="243">
        <f>-512393-BS193</f>
        <v>-365236</v>
      </c>
      <c r="BT192" s="99">
        <f>+-2100000/4</f>
        <v>-525000</v>
      </c>
      <c r="BU192" s="99">
        <f>+BT192</f>
        <v>-525000</v>
      </c>
      <c r="BV192" s="99">
        <f>+BU192</f>
        <v>-525000</v>
      </c>
      <c r="BW192" s="99">
        <f>+BV192</f>
        <v>-525000</v>
      </c>
      <c r="BX192" s="93">
        <f t="shared" si="445"/>
        <v>-2100000</v>
      </c>
      <c r="BY192" s="99">
        <f>+-1700000/4</f>
        <v>-425000</v>
      </c>
      <c r="BZ192" s="99">
        <f>+BY192</f>
        <v>-425000</v>
      </c>
      <c r="CA192" s="99">
        <f>+BZ192</f>
        <v>-425000</v>
      </c>
      <c r="CB192" s="99">
        <f>+CA192</f>
        <v>-425000</v>
      </c>
      <c r="CC192" s="93">
        <f t="shared" si="446"/>
        <v>-1700000</v>
      </c>
      <c r="CD192" s="99">
        <f>+-900000/4</f>
        <v>-225000</v>
      </c>
      <c r="CE192" s="99">
        <f>+CD192</f>
        <v>-225000</v>
      </c>
      <c r="CF192" s="99">
        <f>+CE192</f>
        <v>-225000</v>
      </c>
      <c r="CG192" s="99">
        <f>+CF192</f>
        <v>-225000</v>
      </c>
      <c r="CH192" s="93">
        <f t="shared" si="447"/>
        <v>-900000</v>
      </c>
      <c r="CI192" s="99">
        <f>+-550000/4</f>
        <v>-137500</v>
      </c>
      <c r="CJ192" s="99">
        <f>+CI192</f>
        <v>-137500</v>
      </c>
      <c r="CK192" s="99">
        <f>+CJ192</f>
        <v>-137500</v>
      </c>
      <c r="CL192" s="99">
        <f>+CK192</f>
        <v>-137500</v>
      </c>
      <c r="CM192" s="93">
        <f t="shared" si="448"/>
        <v>-550000</v>
      </c>
      <c r="CN192" s="99">
        <f>+-550000/4</f>
        <v>-137500</v>
      </c>
      <c r="CO192" s="99">
        <f>+CN192</f>
        <v>-137500</v>
      </c>
      <c r="CP192" s="99">
        <f>+CO192</f>
        <v>-137500</v>
      </c>
      <c r="CQ192" s="99">
        <f>+CP192</f>
        <v>-137500</v>
      </c>
      <c r="CR192" s="93">
        <f t="shared" si="449"/>
        <v>-550000</v>
      </c>
      <c r="CS192" s="99">
        <f>+-550000/4</f>
        <v>-137500</v>
      </c>
      <c r="CT192" s="99">
        <f>+CS192</f>
        <v>-137500</v>
      </c>
      <c r="CU192" s="99">
        <f>+CT192</f>
        <v>-137500</v>
      </c>
      <c r="CV192" s="99">
        <f>+CU192</f>
        <v>-137500</v>
      </c>
      <c r="CW192" s="93">
        <f t="shared" si="450"/>
        <v>-550000</v>
      </c>
      <c r="CX192" s="99">
        <f>+-550000/4</f>
        <v>-137500</v>
      </c>
      <c r="CY192" s="99">
        <f>+CX192</f>
        <v>-137500</v>
      </c>
      <c r="CZ192" s="99">
        <f>+CY192</f>
        <v>-137500</v>
      </c>
      <c r="DA192" s="99">
        <f>+CZ192</f>
        <v>-137500</v>
      </c>
      <c r="DB192" s="93">
        <f t="shared" si="451"/>
        <v>-550000</v>
      </c>
      <c r="DC192" s="3"/>
      <c r="DD192" s="3"/>
      <c r="DE192" s="3"/>
      <c r="DF192" s="3"/>
      <c r="DG192" s="3"/>
      <c r="DH192" s="3"/>
      <c r="DI192" s="3"/>
      <c r="DJ192" s="3"/>
      <c r="DK192" s="98"/>
      <c r="DL192" s="98"/>
      <c r="DM192" s="18"/>
    </row>
    <row r="193" spans="1:117">
      <c r="A193" s="15" t="s">
        <v>1606</v>
      </c>
      <c r="B193" s="244"/>
      <c r="C193" s="48"/>
      <c r="D193" s="3"/>
      <c r="E193" s="3"/>
      <c r="F193" s="194"/>
      <c r="G193" s="244"/>
      <c r="H193" s="48"/>
      <c r="I193" s="3"/>
      <c r="J193" s="3"/>
      <c r="K193" s="194"/>
      <c r="L193" s="244"/>
      <c r="M193" s="48"/>
      <c r="N193" s="3"/>
      <c r="O193" s="3"/>
      <c r="P193" s="194"/>
      <c r="Q193" s="244"/>
      <c r="R193" s="48"/>
      <c r="S193" s="3"/>
      <c r="T193" s="3"/>
      <c r="U193" s="194"/>
      <c r="V193" s="244"/>
      <c r="W193" s="48"/>
      <c r="X193" s="3"/>
      <c r="Y193" s="3"/>
      <c r="Z193" s="243"/>
      <c r="AA193" s="244"/>
      <c r="AB193" s="48"/>
      <c r="AC193" s="99"/>
      <c r="AD193" s="3"/>
      <c r="AE193" s="243"/>
      <c r="AF193" s="244"/>
      <c r="AG193" s="99"/>
      <c r="AH193" s="99"/>
      <c r="AI193" s="3"/>
      <c r="AJ193" s="243"/>
      <c r="AK193" s="244"/>
      <c r="AL193" s="178"/>
      <c r="AM193" s="178"/>
      <c r="AN193" s="3"/>
      <c r="AO193" s="243"/>
      <c r="AP193" s="244"/>
      <c r="AQ193" s="99"/>
      <c r="AR193" s="178"/>
      <c r="AS193" s="3"/>
      <c r="AT193" s="243"/>
      <c r="AU193" s="244"/>
      <c r="AV193" s="99"/>
      <c r="AW193" s="178"/>
      <c r="AX193" s="3"/>
      <c r="AY193" s="243">
        <v>0</v>
      </c>
      <c r="AZ193" s="244">
        <v>0</v>
      </c>
      <c r="BA193" s="38">
        <v>0</v>
      </c>
      <c r="BB193" s="38">
        <v>0</v>
      </c>
      <c r="BC193" s="3">
        <f>BD193-SUM(AZ193:BB193)</f>
        <v>0</v>
      </c>
      <c r="BD193" s="243">
        <v>0</v>
      </c>
      <c r="BE193" s="244">
        <v>0</v>
      </c>
      <c r="BF193" s="38">
        <v>0</v>
      </c>
      <c r="BG193" s="38">
        <v>0</v>
      </c>
      <c r="BH193" s="3">
        <f>BI193-SUM(BE193:BG193)</f>
        <v>0</v>
      </c>
      <c r="BI193" s="243">
        <v>0</v>
      </c>
      <c r="BJ193" s="244">
        <v>0</v>
      </c>
      <c r="BK193" s="48">
        <v>0</v>
      </c>
      <c r="BL193" s="48">
        <f>0-BK193-BJ193</f>
        <v>0</v>
      </c>
      <c r="BM193" s="3">
        <f t="shared" si="442"/>
        <v>0</v>
      </c>
      <c r="BN193" s="243">
        <v>0</v>
      </c>
      <c r="BO193" s="244">
        <f>+BO233</f>
        <v>-24389</v>
      </c>
      <c r="BP193" s="48">
        <f>+BP233</f>
        <v>-23070</v>
      </c>
      <c r="BQ193" s="99">
        <f>+BQ233</f>
        <v>-32514</v>
      </c>
      <c r="BR193" s="3">
        <f t="shared" si="444"/>
        <v>-67184</v>
      </c>
      <c r="BS193" s="243">
        <v>-147157</v>
      </c>
      <c r="BT193" s="99">
        <f>+BT233</f>
        <v>-40000</v>
      </c>
      <c r="BU193" s="99">
        <f>+BU233</f>
        <v>-40000</v>
      </c>
      <c r="BV193" s="99">
        <f>+BV233</f>
        <v>-40000</v>
      </c>
      <c r="BW193" s="99">
        <f>+BW233</f>
        <v>-40000</v>
      </c>
      <c r="BX193" s="93">
        <f t="shared" si="445"/>
        <v>-160000</v>
      </c>
      <c r="BY193" s="99">
        <f>+BY233</f>
        <v>-41000</v>
      </c>
      <c r="BZ193" s="99">
        <f>+BZ233</f>
        <v>-41000</v>
      </c>
      <c r="CA193" s="99">
        <f>+CA233</f>
        <v>-41000</v>
      </c>
      <c r="CB193" s="99">
        <f>+CB233</f>
        <v>-41000</v>
      </c>
      <c r="CC193" s="93">
        <f t="shared" si="446"/>
        <v>-164000</v>
      </c>
      <c r="CD193" s="99">
        <f>+CD233</f>
        <v>-42024.999999999993</v>
      </c>
      <c r="CE193" s="99">
        <f>+CE233</f>
        <v>-42024.999999999993</v>
      </c>
      <c r="CF193" s="99">
        <f>+CF233</f>
        <v>-42024.999999999993</v>
      </c>
      <c r="CG193" s="99">
        <f>+CG233</f>
        <v>-42024.999999999993</v>
      </c>
      <c r="CH193" s="93">
        <f t="shared" si="447"/>
        <v>-168099.99999999997</v>
      </c>
      <c r="CI193" s="99">
        <f>+CI233</f>
        <v>-44126.249999999993</v>
      </c>
      <c r="CJ193" s="99">
        <f>+CJ233</f>
        <v>-44126.249999999993</v>
      </c>
      <c r="CK193" s="99">
        <f>+CK233</f>
        <v>-44126.249999999993</v>
      </c>
      <c r="CL193" s="99">
        <f>+CL233</f>
        <v>-44126.249999999993</v>
      </c>
      <c r="CM193" s="93">
        <f t="shared" si="448"/>
        <v>-176504.99999999997</v>
      </c>
      <c r="CN193" s="99">
        <f>+CN233</f>
        <v>-46332.562499999993</v>
      </c>
      <c r="CO193" s="99">
        <f>+CO233</f>
        <v>-46332.562499999993</v>
      </c>
      <c r="CP193" s="99">
        <f>+CP233</f>
        <v>-46332.562499999993</v>
      </c>
      <c r="CQ193" s="99">
        <f>+CQ233</f>
        <v>-46332.562499999993</v>
      </c>
      <c r="CR193" s="93">
        <f t="shared" si="449"/>
        <v>-185330.24999999997</v>
      </c>
      <c r="CS193" s="99">
        <f>+CS233</f>
        <v>-48649.190624999996</v>
      </c>
      <c r="CT193" s="99">
        <f>+CT233</f>
        <v>-48649.190624999996</v>
      </c>
      <c r="CU193" s="99">
        <f>+CU233</f>
        <v>-48649.190624999996</v>
      </c>
      <c r="CV193" s="99">
        <f>+CV233</f>
        <v>-48649.190624999996</v>
      </c>
      <c r="CW193" s="93">
        <f t="shared" si="450"/>
        <v>-194596.76249999998</v>
      </c>
      <c r="CX193" s="99">
        <f>+CX233</f>
        <v>-51081.650156249998</v>
      </c>
      <c r="CY193" s="99">
        <f>+CY233</f>
        <v>-51081.650156249998</v>
      </c>
      <c r="CZ193" s="99">
        <f>+CZ233</f>
        <v>-51081.650156249998</v>
      </c>
      <c r="DA193" s="99">
        <f>+DA233</f>
        <v>-51081.650156249998</v>
      </c>
      <c r="DB193" s="93">
        <f t="shared" si="451"/>
        <v>-204326.60062499999</v>
      </c>
      <c r="DC193" s="3"/>
      <c r="DD193" s="3"/>
      <c r="DE193" s="3"/>
      <c r="DF193" s="3"/>
      <c r="DG193" s="3"/>
      <c r="DH193" s="3"/>
      <c r="DI193" s="3"/>
      <c r="DJ193" s="3"/>
      <c r="DK193" s="98"/>
      <c r="DL193" s="98"/>
      <c r="DM193" s="18"/>
    </row>
    <row r="194" spans="1:117">
      <c r="A194" s="15" t="s">
        <v>486</v>
      </c>
      <c r="B194" s="244">
        <v>0</v>
      </c>
      <c r="C194" s="48">
        <f t="shared" si="439"/>
        <v>0</v>
      </c>
      <c r="D194" s="3">
        <f t="shared" si="440"/>
        <v>0</v>
      </c>
      <c r="E194" s="3">
        <f t="shared" si="452"/>
        <v>0</v>
      </c>
      <c r="F194" s="194">
        <v>0</v>
      </c>
      <c r="G194" s="244">
        <v>0</v>
      </c>
      <c r="H194" s="48">
        <f t="shared" si="441"/>
        <v>0</v>
      </c>
      <c r="I194" s="3">
        <f>630214-H194-G194</f>
        <v>630214</v>
      </c>
      <c r="J194" s="3">
        <f t="shared" si="453"/>
        <v>-110935</v>
      </c>
      <c r="K194" s="194">
        <v>519279</v>
      </c>
      <c r="L194" s="244">
        <v>0</v>
      </c>
      <c r="M194" s="48">
        <f>0-L194</f>
        <v>0</v>
      </c>
      <c r="N194" s="3">
        <f>0-M194-L194</f>
        <v>0</v>
      </c>
      <c r="O194" s="3">
        <f t="shared" si="454"/>
        <v>53000</v>
      </c>
      <c r="P194" s="194">
        <v>53000</v>
      </c>
      <c r="Q194" s="244">
        <v>0</v>
      </c>
      <c r="R194" s="48">
        <f t="shared" si="455"/>
        <v>0</v>
      </c>
      <c r="S194" s="3">
        <f t="shared" si="456"/>
        <v>0</v>
      </c>
      <c r="T194" s="3">
        <f t="shared" si="457"/>
        <v>0</v>
      </c>
      <c r="U194" s="194">
        <v>0</v>
      </c>
      <c r="V194" s="244">
        <v>0</v>
      </c>
      <c r="W194" s="48">
        <f t="shared" si="458"/>
        <v>0</v>
      </c>
      <c r="X194" s="3">
        <f t="shared" si="459"/>
        <v>0</v>
      </c>
      <c r="Y194" s="3">
        <f t="shared" si="460"/>
        <v>0</v>
      </c>
      <c r="Z194" s="243">
        <v>0</v>
      </c>
      <c r="AA194" s="244">
        <v>0</v>
      </c>
      <c r="AB194" s="38">
        <v>0</v>
      </c>
      <c r="AC194" s="65">
        <v>0</v>
      </c>
      <c r="AD194" s="3">
        <f t="shared" si="461"/>
        <v>0</v>
      </c>
      <c r="AE194" s="243">
        <v>0</v>
      </c>
      <c r="AF194" s="244">
        <v>0</v>
      </c>
      <c r="AG194" s="48">
        <v>0</v>
      </c>
      <c r="AH194" s="48">
        <v>0</v>
      </c>
      <c r="AI194" s="3">
        <f t="shared" si="462"/>
        <v>0</v>
      </c>
      <c r="AJ194" s="243">
        <v>0</v>
      </c>
      <c r="AK194" s="244">
        <v>0</v>
      </c>
      <c r="AL194" s="178">
        <v>0</v>
      </c>
      <c r="AM194" s="178">
        <v>0</v>
      </c>
      <c r="AN194" s="3">
        <f t="shared" si="463"/>
        <v>0</v>
      </c>
      <c r="AO194" s="243">
        <v>0</v>
      </c>
      <c r="AP194" s="244">
        <v>32008</v>
      </c>
      <c r="AQ194" s="38">
        <f>32008-AP194</f>
        <v>0</v>
      </c>
      <c r="AR194" s="178">
        <f>32946-AQ194-AP194</f>
        <v>938</v>
      </c>
      <c r="AS194" s="3">
        <f t="shared" si="464"/>
        <v>0</v>
      </c>
      <c r="AT194" s="243">
        <v>32946</v>
      </c>
      <c r="AU194" s="244">
        <v>0</v>
      </c>
      <c r="AV194" s="38">
        <v>0</v>
      </c>
      <c r="AW194" s="178">
        <v>0</v>
      </c>
      <c r="AX194" s="3">
        <f t="shared" si="465"/>
        <v>0</v>
      </c>
      <c r="AY194" s="243">
        <v>0</v>
      </c>
      <c r="AZ194" s="244">
        <v>0</v>
      </c>
      <c r="BA194" s="38">
        <v>0</v>
      </c>
      <c r="BB194" s="38">
        <v>0</v>
      </c>
      <c r="BC194" s="3">
        <f t="shared" si="466"/>
        <v>0</v>
      </c>
      <c r="BD194" s="243">
        <v>0</v>
      </c>
      <c r="BE194" s="244">
        <v>0</v>
      </c>
      <c r="BF194" s="38">
        <v>0</v>
      </c>
      <c r="BG194" s="38">
        <v>0</v>
      </c>
      <c r="BH194" s="3">
        <f t="shared" si="467"/>
        <v>0</v>
      </c>
      <c r="BI194" s="243">
        <v>0</v>
      </c>
      <c r="BJ194" s="244">
        <v>0</v>
      </c>
      <c r="BK194" s="48">
        <v>0</v>
      </c>
      <c r="BL194" s="48">
        <v>0</v>
      </c>
      <c r="BM194" s="3">
        <f t="shared" si="442"/>
        <v>0</v>
      </c>
      <c r="BN194" s="243">
        <v>0</v>
      </c>
      <c r="BO194" s="37">
        <v>0</v>
      </c>
      <c r="BP194" s="3">
        <f t="shared" ref="BP194" si="468">0-BO194</f>
        <v>0</v>
      </c>
      <c r="BQ194" s="38">
        <f>0-BO194-BP194</f>
        <v>0</v>
      </c>
      <c r="BR194" s="3">
        <f t="shared" si="444"/>
        <v>0</v>
      </c>
      <c r="BS194" s="243">
        <v>0</v>
      </c>
      <c r="BT194" s="37">
        <v>0</v>
      </c>
      <c r="BU194" s="38">
        <v>0</v>
      </c>
      <c r="BV194" s="38">
        <v>0</v>
      </c>
      <c r="BW194" s="38">
        <v>0</v>
      </c>
      <c r="BX194" s="93">
        <f t="shared" si="445"/>
        <v>0</v>
      </c>
      <c r="BY194" s="37">
        <v>0</v>
      </c>
      <c r="BZ194" s="38">
        <v>0</v>
      </c>
      <c r="CA194" s="38">
        <v>0</v>
      </c>
      <c r="CB194" s="38">
        <v>0</v>
      </c>
      <c r="CC194" s="93">
        <f t="shared" si="446"/>
        <v>0</v>
      </c>
      <c r="CD194" s="37">
        <v>0</v>
      </c>
      <c r="CE194" s="38">
        <v>0</v>
      </c>
      <c r="CF194" s="38">
        <v>0</v>
      </c>
      <c r="CG194" s="38">
        <v>0</v>
      </c>
      <c r="CH194" s="93">
        <f t="shared" si="447"/>
        <v>0</v>
      </c>
      <c r="CI194" s="37">
        <v>0</v>
      </c>
      <c r="CJ194" s="38">
        <v>0</v>
      </c>
      <c r="CK194" s="38">
        <v>0</v>
      </c>
      <c r="CL194" s="38">
        <v>0</v>
      </c>
      <c r="CM194" s="93">
        <f t="shared" si="448"/>
        <v>0</v>
      </c>
      <c r="CN194" s="37">
        <v>0</v>
      </c>
      <c r="CO194" s="38">
        <v>0</v>
      </c>
      <c r="CP194" s="38">
        <v>0</v>
      </c>
      <c r="CQ194" s="38">
        <v>0</v>
      </c>
      <c r="CR194" s="93">
        <f t="shared" si="449"/>
        <v>0</v>
      </c>
      <c r="CS194" s="37">
        <v>0</v>
      </c>
      <c r="CT194" s="38">
        <v>0</v>
      </c>
      <c r="CU194" s="38">
        <v>0</v>
      </c>
      <c r="CV194" s="38">
        <v>0</v>
      </c>
      <c r="CW194" s="93">
        <f t="shared" si="450"/>
        <v>0</v>
      </c>
      <c r="CX194" s="37">
        <v>0</v>
      </c>
      <c r="CY194" s="38">
        <v>0</v>
      </c>
      <c r="CZ194" s="38">
        <v>0</v>
      </c>
      <c r="DA194" s="38">
        <v>0</v>
      </c>
      <c r="DB194" s="93">
        <f t="shared" si="451"/>
        <v>0</v>
      </c>
      <c r="DC194" s="3"/>
      <c r="DD194" s="3"/>
      <c r="DE194" s="3"/>
      <c r="DF194" s="3"/>
      <c r="DG194" s="3"/>
      <c r="DH194" s="3"/>
      <c r="DI194" s="3"/>
      <c r="DJ194" s="3"/>
      <c r="DK194" s="98"/>
      <c r="DL194" s="98"/>
      <c r="DM194" s="18"/>
    </row>
    <row r="195" spans="1:117">
      <c r="A195" s="15" t="s">
        <v>487</v>
      </c>
      <c r="B195" s="244">
        <v>13073</v>
      </c>
      <c r="C195" s="48">
        <f>15073-B195</f>
        <v>2000</v>
      </c>
      <c r="D195" s="3">
        <f>17249-C195-B195</f>
        <v>2176</v>
      </c>
      <c r="E195" s="3">
        <f t="shared" si="452"/>
        <v>3992</v>
      </c>
      <c r="F195" s="194">
        <v>21241</v>
      </c>
      <c r="G195" s="244">
        <v>0</v>
      </c>
      <c r="H195" s="48">
        <f>-334-G195</f>
        <v>-334</v>
      </c>
      <c r="I195" s="3">
        <f>27520-H195-G195</f>
        <v>27854</v>
      </c>
      <c r="J195" s="3">
        <f t="shared" si="453"/>
        <v>528914</v>
      </c>
      <c r="K195" s="194">
        <v>556434</v>
      </c>
      <c r="L195" s="244">
        <v>0</v>
      </c>
      <c r="M195" s="48">
        <f>298802-L195</f>
        <v>298802</v>
      </c>
      <c r="N195" s="3">
        <f>298838-M195-L195</f>
        <v>36</v>
      </c>
      <c r="O195" s="3">
        <f t="shared" si="454"/>
        <v>126</v>
      </c>
      <c r="P195" s="194">
        <v>298964</v>
      </c>
      <c r="Q195" s="244">
        <v>3707</v>
      </c>
      <c r="R195" s="48">
        <f>3763-Q195</f>
        <v>56</v>
      </c>
      <c r="S195" s="3">
        <f>3999-R195-Q195</f>
        <v>236</v>
      </c>
      <c r="T195" s="3">
        <f t="shared" si="457"/>
        <v>23</v>
      </c>
      <c r="U195" s="194">
        <v>4022</v>
      </c>
      <c r="V195" s="244">
        <v>161</v>
      </c>
      <c r="W195" s="48">
        <f>201-V195</f>
        <v>40</v>
      </c>
      <c r="X195" s="3">
        <f>1774-W195-V195</f>
        <v>1573</v>
      </c>
      <c r="Y195" s="3">
        <f t="shared" si="460"/>
        <v>856</v>
      </c>
      <c r="Z195" s="243">
        <v>2630</v>
      </c>
      <c r="AA195" s="244">
        <v>1083</v>
      </c>
      <c r="AB195" s="48">
        <f>10029-AA195</f>
        <v>8946</v>
      </c>
      <c r="AC195" s="99">
        <f>10507-AB195-AA195</f>
        <v>478</v>
      </c>
      <c r="AD195" s="3">
        <f t="shared" si="461"/>
        <v>475</v>
      </c>
      <c r="AE195" s="243">
        <v>10982</v>
      </c>
      <c r="AF195" s="244">
        <v>563</v>
      </c>
      <c r="AG195" s="48">
        <f>371-AF195</f>
        <v>-192</v>
      </c>
      <c r="AH195" s="48">
        <f>424740-AG195-AF195</f>
        <v>424369</v>
      </c>
      <c r="AI195" s="3">
        <f t="shared" si="462"/>
        <v>4168</v>
      </c>
      <c r="AJ195" s="243">
        <v>428908</v>
      </c>
      <c r="AK195" s="244">
        <v>540</v>
      </c>
      <c r="AL195" s="178">
        <f>788-AK195</f>
        <v>248</v>
      </c>
      <c r="AM195" s="178">
        <f>951-AL195-AK195</f>
        <v>163</v>
      </c>
      <c r="AN195" s="3">
        <f t="shared" si="463"/>
        <v>337</v>
      </c>
      <c r="AO195" s="243">
        <v>1288</v>
      </c>
      <c r="AP195" s="244">
        <v>521</v>
      </c>
      <c r="AQ195" s="38">
        <f>1828-AP195</f>
        <v>1307</v>
      </c>
      <c r="AR195" s="178">
        <f>1918-AQ195-AP195</f>
        <v>90</v>
      </c>
      <c r="AS195" s="3">
        <f t="shared" si="464"/>
        <v>10322</v>
      </c>
      <c r="AT195" s="243">
        <v>12240</v>
      </c>
      <c r="AU195" s="244">
        <v>2596</v>
      </c>
      <c r="AV195" s="38">
        <f>3333-AU195</f>
        <v>737</v>
      </c>
      <c r="AW195" s="178">
        <f>1685-AV195-AU195</f>
        <v>-1648</v>
      </c>
      <c r="AX195" s="3">
        <f t="shared" si="465"/>
        <v>11932</v>
      </c>
      <c r="AY195" s="243">
        <v>13617</v>
      </c>
      <c r="AZ195" s="244">
        <v>93</v>
      </c>
      <c r="BA195" s="38">
        <f>319-AZ195</f>
        <v>226</v>
      </c>
      <c r="BB195" s="38">
        <f>2388-BA195-AZ195</f>
        <v>2069</v>
      </c>
      <c r="BC195" s="3">
        <f t="shared" si="466"/>
        <v>5429</v>
      </c>
      <c r="BD195" s="243">
        <v>7817</v>
      </c>
      <c r="BE195" s="244">
        <v>118</v>
      </c>
      <c r="BF195" s="38">
        <f>691-BE195</f>
        <v>573</v>
      </c>
      <c r="BG195" s="38">
        <f>3171-BF195-BE195</f>
        <v>2480</v>
      </c>
      <c r="BH195" s="3">
        <f t="shared" si="467"/>
        <v>654</v>
      </c>
      <c r="BI195" s="243">
        <v>3825</v>
      </c>
      <c r="BJ195" s="244">
        <v>14858</v>
      </c>
      <c r="BK195" s="48">
        <f>18232-BJ195</f>
        <v>3374</v>
      </c>
      <c r="BL195" s="48">
        <f>19099-BK195-BJ195</f>
        <v>867</v>
      </c>
      <c r="BM195" s="3">
        <f t="shared" si="442"/>
        <v>6321</v>
      </c>
      <c r="BN195" s="243">
        <v>25420</v>
      </c>
      <c r="BO195" s="244">
        <v>296</v>
      </c>
      <c r="BP195" s="48">
        <f>1218-BO195</f>
        <v>922</v>
      </c>
      <c r="BQ195" s="48">
        <f>1910-BO195-BP195</f>
        <v>692</v>
      </c>
      <c r="BR195" s="3">
        <f t="shared" si="444"/>
        <v>1969</v>
      </c>
      <c r="BS195" s="243">
        <v>3879</v>
      </c>
      <c r="BT195" s="37">
        <v>0</v>
      </c>
      <c r="BU195" s="38">
        <v>0</v>
      </c>
      <c r="BV195" s="38">
        <v>0</v>
      </c>
      <c r="BW195" s="38">
        <v>0</v>
      </c>
      <c r="BX195" s="93">
        <f t="shared" si="445"/>
        <v>0</v>
      </c>
      <c r="BY195" s="37">
        <v>0</v>
      </c>
      <c r="BZ195" s="38">
        <v>0</v>
      </c>
      <c r="CA195" s="38">
        <v>0</v>
      </c>
      <c r="CB195" s="38">
        <v>0</v>
      </c>
      <c r="CC195" s="93">
        <f t="shared" si="446"/>
        <v>0</v>
      </c>
      <c r="CD195" s="37">
        <v>0</v>
      </c>
      <c r="CE195" s="38">
        <v>0</v>
      </c>
      <c r="CF195" s="38">
        <v>0</v>
      </c>
      <c r="CG195" s="38">
        <v>0</v>
      </c>
      <c r="CH195" s="93">
        <f t="shared" si="447"/>
        <v>0</v>
      </c>
      <c r="CI195" s="37">
        <v>0</v>
      </c>
      <c r="CJ195" s="38">
        <v>0</v>
      </c>
      <c r="CK195" s="38">
        <v>0</v>
      </c>
      <c r="CL195" s="38">
        <v>0</v>
      </c>
      <c r="CM195" s="93">
        <f t="shared" si="448"/>
        <v>0</v>
      </c>
      <c r="CN195" s="37">
        <v>0</v>
      </c>
      <c r="CO195" s="38">
        <v>0</v>
      </c>
      <c r="CP195" s="38">
        <v>0</v>
      </c>
      <c r="CQ195" s="38">
        <v>0</v>
      </c>
      <c r="CR195" s="93">
        <f t="shared" si="449"/>
        <v>0</v>
      </c>
      <c r="CS195" s="37">
        <v>0</v>
      </c>
      <c r="CT195" s="38">
        <v>0</v>
      </c>
      <c r="CU195" s="38">
        <v>0</v>
      </c>
      <c r="CV195" s="38">
        <v>0</v>
      </c>
      <c r="CW195" s="93">
        <f t="shared" si="450"/>
        <v>0</v>
      </c>
      <c r="CX195" s="37">
        <v>0</v>
      </c>
      <c r="CY195" s="38">
        <v>0</v>
      </c>
      <c r="CZ195" s="38">
        <v>0</v>
      </c>
      <c r="DA195" s="38">
        <v>0</v>
      </c>
      <c r="DB195" s="93">
        <f t="shared" si="451"/>
        <v>0</v>
      </c>
      <c r="DC195" s="3"/>
      <c r="DD195" s="3"/>
      <c r="DE195" s="3"/>
      <c r="DF195" s="3"/>
      <c r="DG195" s="3"/>
      <c r="DH195" s="3"/>
      <c r="DI195" s="3"/>
      <c r="DJ195" s="3"/>
      <c r="DK195" s="98"/>
      <c r="DL195" s="98"/>
      <c r="DM195" s="18"/>
    </row>
    <row r="196" spans="1:117">
      <c r="A196" s="15" t="s">
        <v>488</v>
      </c>
      <c r="B196" s="244">
        <v>0</v>
      </c>
      <c r="C196" s="48">
        <f t="shared" si="439"/>
        <v>0</v>
      </c>
      <c r="D196" s="3">
        <f t="shared" si="440"/>
        <v>0</v>
      </c>
      <c r="E196" s="3">
        <f t="shared" si="452"/>
        <v>0</v>
      </c>
      <c r="F196" s="194">
        <v>0</v>
      </c>
      <c r="G196" s="244">
        <v>0</v>
      </c>
      <c r="H196" s="48">
        <f t="shared" si="441"/>
        <v>0</v>
      </c>
      <c r="I196" s="3">
        <f>0-H196-G196</f>
        <v>0</v>
      </c>
      <c r="J196" s="3">
        <f t="shared" si="453"/>
        <v>0</v>
      </c>
      <c r="K196" s="194">
        <v>0</v>
      </c>
      <c r="L196" s="244">
        <v>0</v>
      </c>
      <c r="M196" s="48">
        <f>0-L196</f>
        <v>0</v>
      </c>
      <c r="N196" s="3">
        <f>0-M196-L196</f>
        <v>0</v>
      </c>
      <c r="O196" s="3">
        <f t="shared" si="454"/>
        <v>0</v>
      </c>
      <c r="P196" s="194">
        <v>0</v>
      </c>
      <c r="Q196" s="244">
        <v>0</v>
      </c>
      <c r="R196" s="48">
        <f t="shared" si="455"/>
        <v>0</v>
      </c>
      <c r="S196" s="3">
        <f t="shared" si="456"/>
        <v>0</v>
      </c>
      <c r="T196" s="3">
        <f t="shared" si="457"/>
        <v>0</v>
      </c>
      <c r="U196" s="194">
        <v>0</v>
      </c>
      <c r="V196" s="244">
        <v>0</v>
      </c>
      <c r="W196" s="48">
        <f>9792-V196</f>
        <v>9792</v>
      </c>
      <c r="X196" s="3">
        <f>9792-W196-V196</f>
        <v>0</v>
      </c>
      <c r="Y196" s="3">
        <f t="shared" si="460"/>
        <v>0</v>
      </c>
      <c r="Z196" s="243">
        <v>9792</v>
      </c>
      <c r="AA196" s="244">
        <v>0</v>
      </c>
      <c r="AB196" s="38">
        <v>0</v>
      </c>
      <c r="AC196" s="48">
        <f>2569-AB196-AA196</f>
        <v>2569</v>
      </c>
      <c r="AD196" s="3">
        <f t="shared" si="461"/>
        <v>1931</v>
      </c>
      <c r="AE196" s="243">
        <v>4500</v>
      </c>
      <c r="AF196" s="244">
        <v>0</v>
      </c>
      <c r="AG196" s="48">
        <v>0</v>
      </c>
      <c r="AH196" s="48">
        <f>2968-AG196-AF196</f>
        <v>2968</v>
      </c>
      <c r="AI196" s="3">
        <f t="shared" si="462"/>
        <v>-2968</v>
      </c>
      <c r="AJ196" s="243">
        <v>0</v>
      </c>
      <c r="AK196" s="244">
        <v>0</v>
      </c>
      <c r="AL196" s="178">
        <v>0</v>
      </c>
      <c r="AM196" s="178">
        <v>0</v>
      </c>
      <c r="AN196" s="3">
        <f t="shared" si="463"/>
        <v>0</v>
      </c>
      <c r="AO196" s="243">
        <v>0</v>
      </c>
      <c r="AP196" s="244">
        <v>0</v>
      </c>
      <c r="AQ196" s="38">
        <v>0</v>
      </c>
      <c r="AR196" s="178">
        <v>0</v>
      </c>
      <c r="AS196" s="3">
        <f t="shared" si="464"/>
        <v>0</v>
      </c>
      <c r="AT196" s="243">
        <v>0</v>
      </c>
      <c r="AU196" s="244">
        <v>0</v>
      </c>
      <c r="AV196" s="38">
        <v>0</v>
      </c>
      <c r="AW196" s="178">
        <v>0</v>
      </c>
      <c r="AX196" s="3">
        <f t="shared" si="465"/>
        <v>0</v>
      </c>
      <c r="AY196" s="243">
        <v>0</v>
      </c>
      <c r="AZ196" s="244">
        <v>0</v>
      </c>
      <c r="BA196" s="38">
        <v>0</v>
      </c>
      <c r="BB196" s="38">
        <v>0</v>
      </c>
      <c r="BC196" s="3">
        <f t="shared" si="466"/>
        <v>0</v>
      </c>
      <c r="BD196" s="243">
        <v>0</v>
      </c>
      <c r="BE196" s="244">
        <v>0</v>
      </c>
      <c r="BF196" s="38">
        <v>0</v>
      </c>
      <c r="BG196" s="38">
        <v>0</v>
      </c>
      <c r="BH196" s="3">
        <f t="shared" si="467"/>
        <v>0</v>
      </c>
      <c r="BI196" s="243">
        <v>0</v>
      </c>
      <c r="BJ196" s="244">
        <v>0</v>
      </c>
      <c r="BK196" s="48">
        <v>0</v>
      </c>
      <c r="BL196" s="48">
        <f>0-BK196-BJ196</f>
        <v>0</v>
      </c>
      <c r="BM196" s="3">
        <f t="shared" si="442"/>
        <v>0</v>
      </c>
      <c r="BN196" s="243">
        <v>0</v>
      </c>
      <c r="BO196" s="37">
        <v>0</v>
      </c>
      <c r="BP196" s="3">
        <f t="shared" ref="BP196:BP199" si="469">0-BO196</f>
        <v>0</v>
      </c>
      <c r="BQ196" s="38">
        <f t="shared" ref="BQ196:BQ199" si="470">0-BO196-BP196</f>
        <v>0</v>
      </c>
      <c r="BR196" s="3">
        <f t="shared" si="444"/>
        <v>0</v>
      </c>
      <c r="BS196" s="243">
        <v>0</v>
      </c>
      <c r="BT196" s="37">
        <v>0</v>
      </c>
      <c r="BU196" s="38">
        <v>0</v>
      </c>
      <c r="BV196" s="38">
        <v>0</v>
      </c>
      <c r="BW196" s="38">
        <v>0</v>
      </c>
      <c r="BX196" s="93">
        <f t="shared" si="445"/>
        <v>0</v>
      </c>
      <c r="BY196" s="37">
        <v>0</v>
      </c>
      <c r="BZ196" s="38">
        <v>0</v>
      </c>
      <c r="CA196" s="38">
        <v>0</v>
      </c>
      <c r="CB196" s="38">
        <v>0</v>
      </c>
      <c r="CC196" s="93">
        <f t="shared" si="446"/>
        <v>0</v>
      </c>
      <c r="CD196" s="37">
        <v>0</v>
      </c>
      <c r="CE196" s="38">
        <v>0</v>
      </c>
      <c r="CF196" s="38">
        <v>0</v>
      </c>
      <c r="CG196" s="38">
        <v>0</v>
      </c>
      <c r="CH196" s="93">
        <f t="shared" si="447"/>
        <v>0</v>
      </c>
      <c r="CI196" s="37">
        <v>0</v>
      </c>
      <c r="CJ196" s="38">
        <v>0</v>
      </c>
      <c r="CK196" s="38">
        <v>0</v>
      </c>
      <c r="CL196" s="38">
        <v>0</v>
      </c>
      <c r="CM196" s="93">
        <f t="shared" si="448"/>
        <v>0</v>
      </c>
      <c r="CN196" s="37">
        <v>0</v>
      </c>
      <c r="CO196" s="38">
        <v>0</v>
      </c>
      <c r="CP196" s="38">
        <v>0</v>
      </c>
      <c r="CQ196" s="38">
        <v>0</v>
      </c>
      <c r="CR196" s="93">
        <f t="shared" si="449"/>
        <v>0</v>
      </c>
      <c r="CS196" s="37">
        <v>0</v>
      </c>
      <c r="CT196" s="38">
        <v>0</v>
      </c>
      <c r="CU196" s="38">
        <v>0</v>
      </c>
      <c r="CV196" s="38">
        <v>0</v>
      </c>
      <c r="CW196" s="93">
        <f t="shared" si="450"/>
        <v>0</v>
      </c>
      <c r="CX196" s="37">
        <v>0</v>
      </c>
      <c r="CY196" s="38">
        <v>0</v>
      </c>
      <c r="CZ196" s="38">
        <v>0</v>
      </c>
      <c r="DA196" s="38">
        <v>0</v>
      </c>
      <c r="DB196" s="93">
        <f t="shared" si="451"/>
        <v>0</v>
      </c>
      <c r="DC196" s="3"/>
      <c r="DD196" s="3"/>
      <c r="DE196" s="3"/>
      <c r="DF196" s="3"/>
      <c r="DG196" s="3"/>
      <c r="DH196" s="3"/>
      <c r="DI196" s="3"/>
      <c r="DJ196" s="3"/>
      <c r="DK196" s="98"/>
      <c r="DL196" s="98"/>
      <c r="DM196" s="18"/>
    </row>
    <row r="197" spans="1:117">
      <c r="A197" s="15" t="s">
        <v>489</v>
      </c>
      <c r="B197" s="244">
        <v>-82</v>
      </c>
      <c r="C197" s="48">
        <f>888-B197</f>
        <v>970</v>
      </c>
      <c r="D197" s="3">
        <f>610-C197-B197</f>
        <v>-278</v>
      </c>
      <c r="E197" s="3">
        <f t="shared" si="452"/>
        <v>1281</v>
      </c>
      <c r="F197" s="194">
        <v>1891</v>
      </c>
      <c r="G197" s="244">
        <v>-23805</v>
      </c>
      <c r="H197" s="48">
        <f>-30779-G197</f>
        <v>-6974</v>
      </c>
      <c r="I197" s="3">
        <f>-20800-H197-G197</f>
        <v>9979</v>
      </c>
      <c r="J197" s="3">
        <f t="shared" si="453"/>
        <v>20800</v>
      </c>
      <c r="K197" s="194">
        <v>0</v>
      </c>
      <c r="L197" s="244">
        <v>0</v>
      </c>
      <c r="M197" s="48">
        <f>-496526-L197</f>
        <v>-496526</v>
      </c>
      <c r="N197" s="3">
        <f>-162294-M197-L197</f>
        <v>334232</v>
      </c>
      <c r="O197" s="3">
        <f t="shared" si="454"/>
        <v>131169</v>
      </c>
      <c r="P197" s="194">
        <v>-31125</v>
      </c>
      <c r="Q197" s="244">
        <v>-506905</v>
      </c>
      <c r="R197" s="48">
        <f>5088-Q197</f>
        <v>511993</v>
      </c>
      <c r="S197" s="3">
        <f>31125-R197-Q197</f>
        <v>26037</v>
      </c>
      <c r="T197" s="3">
        <f t="shared" si="457"/>
        <v>0</v>
      </c>
      <c r="U197" s="194">
        <v>31125</v>
      </c>
      <c r="V197" s="244">
        <v>0</v>
      </c>
      <c r="W197" s="48">
        <f t="shared" si="458"/>
        <v>0</v>
      </c>
      <c r="X197" s="3">
        <f t="shared" si="459"/>
        <v>0</v>
      </c>
      <c r="Y197" s="3">
        <f t="shared" si="460"/>
        <v>0</v>
      </c>
      <c r="Z197" s="243">
        <v>0</v>
      </c>
      <c r="AA197" s="244">
        <v>0</v>
      </c>
      <c r="AB197" s="38">
        <v>0</v>
      </c>
      <c r="AC197" s="38">
        <v>0</v>
      </c>
      <c r="AD197" s="3">
        <f t="shared" si="461"/>
        <v>0</v>
      </c>
      <c r="AE197" s="243">
        <v>0</v>
      </c>
      <c r="AF197" s="244">
        <v>0</v>
      </c>
      <c r="AG197" s="48">
        <v>0</v>
      </c>
      <c r="AH197" s="48">
        <v>0</v>
      </c>
      <c r="AI197" s="3">
        <f t="shared" si="462"/>
        <v>0</v>
      </c>
      <c r="AJ197" s="243">
        <v>0</v>
      </c>
      <c r="AK197" s="244">
        <v>0</v>
      </c>
      <c r="AL197" s="178">
        <v>0</v>
      </c>
      <c r="AM197" s="178">
        <v>0</v>
      </c>
      <c r="AN197" s="3">
        <f t="shared" si="463"/>
        <v>0</v>
      </c>
      <c r="AO197" s="243">
        <v>0</v>
      </c>
      <c r="AP197" s="244">
        <v>0</v>
      </c>
      <c r="AQ197" s="38">
        <v>0</v>
      </c>
      <c r="AR197" s="178">
        <v>0</v>
      </c>
      <c r="AS197" s="3">
        <f t="shared" si="464"/>
        <v>0</v>
      </c>
      <c r="AT197" s="243">
        <v>0</v>
      </c>
      <c r="AU197" s="244">
        <v>0</v>
      </c>
      <c r="AV197" s="38">
        <v>0</v>
      </c>
      <c r="AW197" s="178">
        <v>0</v>
      </c>
      <c r="AX197" s="3">
        <f t="shared" si="465"/>
        <v>0</v>
      </c>
      <c r="AY197" s="243">
        <v>0</v>
      </c>
      <c r="AZ197" s="244">
        <v>0</v>
      </c>
      <c r="BA197" s="38">
        <v>0</v>
      </c>
      <c r="BB197" s="38">
        <v>0</v>
      </c>
      <c r="BC197" s="3">
        <f t="shared" si="466"/>
        <v>0</v>
      </c>
      <c r="BD197" s="243">
        <v>0</v>
      </c>
      <c r="BE197" s="244">
        <v>0</v>
      </c>
      <c r="BF197" s="38">
        <v>0</v>
      </c>
      <c r="BG197" s="38">
        <v>0</v>
      </c>
      <c r="BH197" s="3">
        <f t="shared" si="467"/>
        <v>0</v>
      </c>
      <c r="BI197" s="243">
        <v>0</v>
      </c>
      <c r="BJ197" s="244">
        <v>0</v>
      </c>
      <c r="BK197" s="48">
        <v>0</v>
      </c>
      <c r="BL197" s="48">
        <f>0-BK197-BJ197</f>
        <v>0</v>
      </c>
      <c r="BM197" s="3">
        <f t="shared" si="442"/>
        <v>0</v>
      </c>
      <c r="BN197" s="243">
        <v>0</v>
      </c>
      <c r="BO197" s="37">
        <v>0</v>
      </c>
      <c r="BP197" s="3">
        <f t="shared" si="469"/>
        <v>0</v>
      </c>
      <c r="BQ197" s="38">
        <f t="shared" si="470"/>
        <v>0</v>
      </c>
      <c r="BR197" s="3">
        <f t="shared" si="444"/>
        <v>0</v>
      </c>
      <c r="BS197" s="243">
        <v>0</v>
      </c>
      <c r="BT197" s="37">
        <v>0</v>
      </c>
      <c r="BU197" s="38">
        <v>0</v>
      </c>
      <c r="BV197" s="38">
        <v>0</v>
      </c>
      <c r="BW197" s="38">
        <v>0</v>
      </c>
      <c r="BX197" s="93">
        <f t="shared" si="445"/>
        <v>0</v>
      </c>
      <c r="BY197" s="37">
        <v>0</v>
      </c>
      <c r="BZ197" s="38">
        <v>0</v>
      </c>
      <c r="CA197" s="38">
        <v>0</v>
      </c>
      <c r="CB197" s="38">
        <v>0</v>
      </c>
      <c r="CC197" s="93">
        <f t="shared" si="446"/>
        <v>0</v>
      </c>
      <c r="CD197" s="37">
        <v>0</v>
      </c>
      <c r="CE197" s="38">
        <v>0</v>
      </c>
      <c r="CF197" s="38">
        <v>0</v>
      </c>
      <c r="CG197" s="38">
        <v>0</v>
      </c>
      <c r="CH197" s="93">
        <f t="shared" si="447"/>
        <v>0</v>
      </c>
      <c r="CI197" s="37">
        <v>0</v>
      </c>
      <c r="CJ197" s="38">
        <v>0</v>
      </c>
      <c r="CK197" s="38">
        <v>0</v>
      </c>
      <c r="CL197" s="38">
        <v>0</v>
      </c>
      <c r="CM197" s="93">
        <f t="shared" si="448"/>
        <v>0</v>
      </c>
      <c r="CN197" s="37">
        <v>0</v>
      </c>
      <c r="CO197" s="38">
        <v>0</v>
      </c>
      <c r="CP197" s="38">
        <v>0</v>
      </c>
      <c r="CQ197" s="38">
        <v>0</v>
      </c>
      <c r="CR197" s="93">
        <f t="shared" si="449"/>
        <v>0</v>
      </c>
      <c r="CS197" s="37">
        <v>0</v>
      </c>
      <c r="CT197" s="38">
        <v>0</v>
      </c>
      <c r="CU197" s="38">
        <v>0</v>
      </c>
      <c r="CV197" s="38">
        <v>0</v>
      </c>
      <c r="CW197" s="93">
        <f t="shared" si="450"/>
        <v>0</v>
      </c>
      <c r="CX197" s="37">
        <v>0</v>
      </c>
      <c r="CY197" s="38">
        <v>0</v>
      </c>
      <c r="CZ197" s="38">
        <v>0</v>
      </c>
      <c r="DA197" s="38">
        <v>0</v>
      </c>
      <c r="DB197" s="93">
        <f t="shared" si="451"/>
        <v>0</v>
      </c>
      <c r="DC197" s="3"/>
      <c r="DD197" s="3"/>
      <c r="DE197" s="3"/>
      <c r="DF197" s="3"/>
      <c r="DG197" s="3"/>
      <c r="DH197" s="3"/>
      <c r="DI197" s="3"/>
      <c r="DJ197" s="3"/>
      <c r="DK197" s="98"/>
      <c r="DL197" s="98"/>
      <c r="DM197" s="18"/>
    </row>
    <row r="198" spans="1:117">
      <c r="A198" s="15" t="s">
        <v>444</v>
      </c>
      <c r="B198" s="244">
        <v>0</v>
      </c>
      <c r="C198" s="48">
        <f t="shared" si="439"/>
        <v>0</v>
      </c>
      <c r="D198" s="3">
        <f t="shared" si="440"/>
        <v>0</v>
      </c>
      <c r="E198" s="3">
        <f t="shared" si="452"/>
        <v>0</v>
      </c>
      <c r="F198" s="194">
        <v>0</v>
      </c>
      <c r="G198" s="244">
        <v>0</v>
      </c>
      <c r="H198" s="48">
        <f t="shared" si="441"/>
        <v>0</v>
      </c>
      <c r="I198" s="3">
        <f>0-H198-G198</f>
        <v>0</v>
      </c>
      <c r="J198" s="3">
        <f t="shared" si="453"/>
        <v>0</v>
      </c>
      <c r="K198" s="194">
        <v>0</v>
      </c>
      <c r="L198" s="244">
        <v>1334</v>
      </c>
      <c r="M198" s="48">
        <f>1334-L198</f>
        <v>0</v>
      </c>
      <c r="N198" s="3">
        <f>1334-M198-L198</f>
        <v>0</v>
      </c>
      <c r="O198" s="3">
        <f t="shared" si="454"/>
        <v>0</v>
      </c>
      <c r="P198" s="194">
        <v>1334</v>
      </c>
      <c r="Q198" s="244">
        <v>0</v>
      </c>
      <c r="R198" s="48">
        <f t="shared" si="455"/>
        <v>0</v>
      </c>
      <c r="S198" s="3">
        <f t="shared" si="456"/>
        <v>0</v>
      </c>
      <c r="T198" s="3">
        <f t="shared" si="457"/>
        <v>0</v>
      </c>
      <c r="U198" s="194">
        <v>0</v>
      </c>
      <c r="V198" s="244">
        <v>0</v>
      </c>
      <c r="W198" s="48">
        <f t="shared" si="458"/>
        <v>0</v>
      </c>
      <c r="X198" s="3">
        <f t="shared" si="459"/>
        <v>0</v>
      </c>
      <c r="Y198" s="3">
        <f t="shared" si="460"/>
        <v>0</v>
      </c>
      <c r="Z198" s="243">
        <v>0</v>
      </c>
      <c r="AA198" s="244">
        <v>0</v>
      </c>
      <c r="AB198" s="38">
        <v>0</v>
      </c>
      <c r="AC198" s="38">
        <v>0</v>
      </c>
      <c r="AD198" s="3">
        <f t="shared" si="461"/>
        <v>0</v>
      </c>
      <c r="AE198" s="243">
        <v>0</v>
      </c>
      <c r="AF198" s="244">
        <v>0</v>
      </c>
      <c r="AG198" s="48">
        <v>0</v>
      </c>
      <c r="AH198" s="48">
        <v>0</v>
      </c>
      <c r="AI198" s="3">
        <f t="shared" si="462"/>
        <v>0</v>
      </c>
      <c r="AJ198" s="243">
        <v>0</v>
      </c>
      <c r="AK198" s="244">
        <v>0</v>
      </c>
      <c r="AL198" s="178">
        <v>0</v>
      </c>
      <c r="AM198" s="178">
        <v>0</v>
      </c>
      <c r="AN198" s="3">
        <f t="shared" si="463"/>
        <v>0</v>
      </c>
      <c r="AO198" s="243">
        <v>0</v>
      </c>
      <c r="AP198" s="244">
        <v>0</v>
      </c>
      <c r="AQ198" s="38">
        <v>0</v>
      </c>
      <c r="AR198" s="178">
        <v>0</v>
      </c>
      <c r="AS198" s="3">
        <f t="shared" si="464"/>
        <v>0</v>
      </c>
      <c r="AT198" s="243">
        <v>0</v>
      </c>
      <c r="AU198" s="244">
        <v>0</v>
      </c>
      <c r="AV198" s="38">
        <v>0</v>
      </c>
      <c r="AW198" s="178">
        <v>0</v>
      </c>
      <c r="AX198" s="3">
        <f t="shared" si="465"/>
        <v>0</v>
      </c>
      <c r="AY198" s="243">
        <v>0</v>
      </c>
      <c r="AZ198" s="244">
        <v>0</v>
      </c>
      <c r="BA198" s="38">
        <v>0</v>
      </c>
      <c r="BB198" s="38">
        <v>0</v>
      </c>
      <c r="BC198" s="3">
        <f t="shared" si="466"/>
        <v>0</v>
      </c>
      <c r="BD198" s="243">
        <v>0</v>
      </c>
      <c r="BE198" s="244">
        <v>0</v>
      </c>
      <c r="BF198" s="38">
        <v>0</v>
      </c>
      <c r="BG198" s="38">
        <v>0</v>
      </c>
      <c r="BH198" s="3">
        <f t="shared" si="467"/>
        <v>0</v>
      </c>
      <c r="BI198" s="243">
        <v>0</v>
      </c>
      <c r="BJ198" s="244">
        <v>0</v>
      </c>
      <c r="BK198" s="48">
        <v>0</v>
      </c>
      <c r="BL198" s="48">
        <f>0-BK198-BJ198</f>
        <v>0</v>
      </c>
      <c r="BM198" s="3">
        <f t="shared" si="442"/>
        <v>0</v>
      </c>
      <c r="BN198" s="243">
        <v>0</v>
      </c>
      <c r="BO198" s="37">
        <v>0</v>
      </c>
      <c r="BP198" s="3">
        <f t="shared" si="469"/>
        <v>0</v>
      </c>
      <c r="BQ198" s="38">
        <f t="shared" si="470"/>
        <v>0</v>
      </c>
      <c r="BR198" s="3">
        <f t="shared" si="444"/>
        <v>0</v>
      </c>
      <c r="BS198" s="243">
        <v>0</v>
      </c>
      <c r="BT198" s="37">
        <v>0</v>
      </c>
      <c r="BU198" s="38">
        <v>0</v>
      </c>
      <c r="BV198" s="38">
        <v>0</v>
      </c>
      <c r="BW198" s="38">
        <v>0</v>
      </c>
      <c r="BX198" s="93">
        <f t="shared" si="445"/>
        <v>0</v>
      </c>
      <c r="BY198" s="37">
        <v>0</v>
      </c>
      <c r="BZ198" s="38">
        <v>0</v>
      </c>
      <c r="CA198" s="38">
        <v>0</v>
      </c>
      <c r="CB198" s="38">
        <v>0</v>
      </c>
      <c r="CC198" s="93">
        <f t="shared" si="446"/>
        <v>0</v>
      </c>
      <c r="CD198" s="37">
        <v>0</v>
      </c>
      <c r="CE198" s="38">
        <v>0</v>
      </c>
      <c r="CF198" s="38">
        <v>0</v>
      </c>
      <c r="CG198" s="38">
        <v>0</v>
      </c>
      <c r="CH198" s="93">
        <f t="shared" si="447"/>
        <v>0</v>
      </c>
      <c r="CI198" s="37">
        <v>0</v>
      </c>
      <c r="CJ198" s="38">
        <v>0</v>
      </c>
      <c r="CK198" s="38">
        <v>0</v>
      </c>
      <c r="CL198" s="38">
        <v>0</v>
      </c>
      <c r="CM198" s="93">
        <f t="shared" si="448"/>
        <v>0</v>
      </c>
      <c r="CN198" s="37">
        <v>0</v>
      </c>
      <c r="CO198" s="38">
        <v>0</v>
      </c>
      <c r="CP198" s="38">
        <v>0</v>
      </c>
      <c r="CQ198" s="38">
        <v>0</v>
      </c>
      <c r="CR198" s="93">
        <f t="shared" si="449"/>
        <v>0</v>
      </c>
      <c r="CS198" s="37">
        <v>0</v>
      </c>
      <c r="CT198" s="38">
        <v>0</v>
      </c>
      <c r="CU198" s="38">
        <v>0</v>
      </c>
      <c r="CV198" s="38">
        <v>0</v>
      </c>
      <c r="CW198" s="93">
        <f t="shared" si="450"/>
        <v>0</v>
      </c>
      <c r="CX198" s="37">
        <v>0</v>
      </c>
      <c r="CY198" s="38">
        <v>0</v>
      </c>
      <c r="CZ198" s="38">
        <v>0</v>
      </c>
      <c r="DA198" s="38">
        <v>0</v>
      </c>
      <c r="DB198" s="93">
        <f t="shared" si="451"/>
        <v>0</v>
      </c>
      <c r="DC198" s="3"/>
      <c r="DD198" s="3"/>
      <c r="DE198" s="3"/>
      <c r="DF198" s="3"/>
      <c r="DG198" s="3"/>
      <c r="DH198" s="3"/>
      <c r="DI198" s="3"/>
      <c r="DJ198" s="3"/>
      <c r="DK198" s="98"/>
      <c r="DL198" s="98"/>
      <c r="DM198" s="18"/>
    </row>
    <row r="199" spans="1:117">
      <c r="A199" s="15" t="s">
        <v>953</v>
      </c>
      <c r="B199" s="244">
        <v>0</v>
      </c>
      <c r="C199" s="48">
        <f t="shared" si="439"/>
        <v>0</v>
      </c>
      <c r="D199" s="3">
        <f t="shared" si="440"/>
        <v>0</v>
      </c>
      <c r="E199" s="3">
        <f t="shared" si="452"/>
        <v>0</v>
      </c>
      <c r="F199" s="194">
        <v>0</v>
      </c>
      <c r="G199" s="244">
        <v>0</v>
      </c>
      <c r="H199" s="48">
        <f t="shared" si="441"/>
        <v>0</v>
      </c>
      <c r="I199" s="3">
        <f>0-H199-G199</f>
        <v>0</v>
      </c>
      <c r="J199" s="3">
        <f t="shared" si="453"/>
        <v>0</v>
      </c>
      <c r="K199" s="194">
        <v>0</v>
      </c>
      <c r="L199" s="244">
        <v>-22039</v>
      </c>
      <c r="M199" s="48">
        <f>-22039-L199</f>
        <v>0</v>
      </c>
      <c r="N199" s="3">
        <f>-22039-M199-L199</f>
        <v>0</v>
      </c>
      <c r="O199" s="3">
        <f t="shared" si="454"/>
        <v>0</v>
      </c>
      <c r="P199" s="194">
        <v>-22039</v>
      </c>
      <c r="Q199" s="244">
        <v>0</v>
      </c>
      <c r="R199" s="48">
        <f t="shared" si="455"/>
        <v>0</v>
      </c>
      <c r="S199" s="3">
        <f t="shared" si="456"/>
        <v>0</v>
      </c>
      <c r="T199" s="3">
        <f t="shared" si="457"/>
        <v>0</v>
      </c>
      <c r="U199" s="194">
        <v>0</v>
      </c>
      <c r="V199" s="244">
        <v>0</v>
      </c>
      <c r="W199" s="48">
        <f t="shared" si="458"/>
        <v>0</v>
      </c>
      <c r="X199" s="3">
        <f t="shared" si="459"/>
        <v>0</v>
      </c>
      <c r="Y199" s="3">
        <f t="shared" si="460"/>
        <v>0</v>
      </c>
      <c r="Z199" s="243">
        <v>0</v>
      </c>
      <c r="AA199" s="244">
        <v>0</v>
      </c>
      <c r="AB199" s="38">
        <v>0</v>
      </c>
      <c r="AC199" s="38">
        <v>0</v>
      </c>
      <c r="AD199" s="3">
        <f t="shared" si="461"/>
        <v>0</v>
      </c>
      <c r="AE199" s="243">
        <v>0</v>
      </c>
      <c r="AF199" s="244">
        <v>0</v>
      </c>
      <c r="AG199" s="48">
        <v>0</v>
      </c>
      <c r="AH199" s="48">
        <v>0</v>
      </c>
      <c r="AI199" s="3">
        <f t="shared" si="462"/>
        <v>0</v>
      </c>
      <c r="AJ199" s="243">
        <v>0</v>
      </c>
      <c r="AK199" s="244">
        <v>0</v>
      </c>
      <c r="AL199" s="178">
        <v>0</v>
      </c>
      <c r="AM199" s="178">
        <v>0</v>
      </c>
      <c r="AN199" s="3">
        <f t="shared" si="463"/>
        <v>0</v>
      </c>
      <c r="AO199" s="243">
        <v>0</v>
      </c>
      <c r="AP199" s="244">
        <v>0</v>
      </c>
      <c r="AQ199" s="38">
        <v>0</v>
      </c>
      <c r="AR199" s="178">
        <v>0</v>
      </c>
      <c r="AS199" s="3">
        <f t="shared" si="464"/>
        <v>0</v>
      </c>
      <c r="AT199" s="243">
        <v>0</v>
      </c>
      <c r="AU199" s="244">
        <v>0</v>
      </c>
      <c r="AV199" s="38">
        <v>0</v>
      </c>
      <c r="AW199" s="178">
        <v>0</v>
      </c>
      <c r="AX199" s="3">
        <f t="shared" si="465"/>
        <v>0</v>
      </c>
      <c r="AY199" s="243">
        <v>0</v>
      </c>
      <c r="AZ199" s="244">
        <v>0</v>
      </c>
      <c r="BA199" s="38">
        <v>0</v>
      </c>
      <c r="BB199" s="38">
        <v>0</v>
      </c>
      <c r="BC199" s="3">
        <f t="shared" si="466"/>
        <v>0</v>
      </c>
      <c r="BD199" s="243">
        <v>0</v>
      </c>
      <c r="BE199" s="244">
        <v>0</v>
      </c>
      <c r="BF199" s="38">
        <v>0</v>
      </c>
      <c r="BG199" s="38">
        <v>0</v>
      </c>
      <c r="BH199" s="3">
        <f t="shared" si="467"/>
        <v>0</v>
      </c>
      <c r="BI199" s="243">
        <v>0</v>
      </c>
      <c r="BJ199" s="244">
        <v>0</v>
      </c>
      <c r="BK199" s="48">
        <v>0</v>
      </c>
      <c r="BL199" s="48">
        <f>0-BK199-BJ199</f>
        <v>0</v>
      </c>
      <c r="BM199" s="3">
        <f t="shared" si="442"/>
        <v>0</v>
      </c>
      <c r="BN199" s="243">
        <v>0</v>
      </c>
      <c r="BO199" s="37">
        <v>0</v>
      </c>
      <c r="BP199" s="3">
        <f t="shared" si="469"/>
        <v>0</v>
      </c>
      <c r="BQ199" s="38">
        <f t="shared" si="470"/>
        <v>0</v>
      </c>
      <c r="BR199" s="3">
        <f t="shared" si="444"/>
        <v>0</v>
      </c>
      <c r="BS199" s="243">
        <v>0</v>
      </c>
      <c r="BT199" s="37">
        <v>0</v>
      </c>
      <c r="BU199" s="38">
        <v>0</v>
      </c>
      <c r="BV199" s="38">
        <v>0</v>
      </c>
      <c r="BW199" s="38">
        <v>0</v>
      </c>
      <c r="BX199" s="93">
        <f t="shared" si="445"/>
        <v>0</v>
      </c>
      <c r="BY199" s="37">
        <v>0</v>
      </c>
      <c r="BZ199" s="38">
        <v>0</v>
      </c>
      <c r="CA199" s="38">
        <v>0</v>
      </c>
      <c r="CB199" s="38">
        <v>0</v>
      </c>
      <c r="CC199" s="93">
        <f t="shared" si="446"/>
        <v>0</v>
      </c>
      <c r="CD199" s="37">
        <v>0</v>
      </c>
      <c r="CE199" s="38">
        <v>0</v>
      </c>
      <c r="CF199" s="38">
        <v>0</v>
      </c>
      <c r="CG199" s="38">
        <v>0</v>
      </c>
      <c r="CH199" s="93">
        <f t="shared" si="447"/>
        <v>0</v>
      </c>
      <c r="CI199" s="37">
        <v>0</v>
      </c>
      <c r="CJ199" s="38">
        <v>0</v>
      </c>
      <c r="CK199" s="38">
        <v>0</v>
      </c>
      <c r="CL199" s="38">
        <v>0</v>
      </c>
      <c r="CM199" s="93">
        <f t="shared" si="448"/>
        <v>0</v>
      </c>
      <c r="CN199" s="37">
        <v>0</v>
      </c>
      <c r="CO199" s="38">
        <v>0</v>
      </c>
      <c r="CP199" s="38">
        <v>0</v>
      </c>
      <c r="CQ199" s="38">
        <v>0</v>
      </c>
      <c r="CR199" s="93">
        <f t="shared" si="449"/>
        <v>0</v>
      </c>
      <c r="CS199" s="37">
        <v>0</v>
      </c>
      <c r="CT199" s="38">
        <v>0</v>
      </c>
      <c r="CU199" s="38">
        <v>0</v>
      </c>
      <c r="CV199" s="38">
        <v>0</v>
      </c>
      <c r="CW199" s="93">
        <f t="shared" si="450"/>
        <v>0</v>
      </c>
      <c r="CX199" s="37">
        <v>0</v>
      </c>
      <c r="CY199" s="38">
        <v>0</v>
      </c>
      <c r="CZ199" s="38">
        <v>0</v>
      </c>
      <c r="DA199" s="38">
        <v>0</v>
      </c>
      <c r="DB199" s="93">
        <f t="shared" si="451"/>
        <v>0</v>
      </c>
      <c r="DC199" s="3"/>
      <c r="DD199" s="3"/>
      <c r="DE199" s="3"/>
      <c r="DF199" s="3"/>
      <c r="DG199" s="3"/>
      <c r="DH199" s="3"/>
      <c r="DI199" s="3"/>
      <c r="DJ199" s="3"/>
      <c r="DK199" s="98"/>
      <c r="DL199" s="98"/>
      <c r="DM199" s="18"/>
    </row>
    <row r="200" spans="1:117">
      <c r="A200" s="15" t="s">
        <v>490</v>
      </c>
      <c r="B200" s="244">
        <v>-4663</v>
      </c>
      <c r="C200" s="48">
        <f>-7033-B200</f>
        <v>-2370</v>
      </c>
      <c r="D200" s="3">
        <f>-2990-C200-B200</f>
        <v>4043</v>
      </c>
      <c r="E200" s="3">
        <f t="shared" si="452"/>
        <v>-2613</v>
      </c>
      <c r="F200" s="194">
        <v>-5603</v>
      </c>
      <c r="G200" s="244">
        <v>-567</v>
      </c>
      <c r="H200" s="48">
        <f>-2215-G200</f>
        <v>-1648</v>
      </c>
      <c r="I200" s="3">
        <f>-3866-H200-G200</f>
        <v>-1651</v>
      </c>
      <c r="J200" s="3">
        <f t="shared" si="453"/>
        <v>-25726</v>
      </c>
      <c r="K200" s="194">
        <v>-29592</v>
      </c>
      <c r="L200" s="244">
        <v>1102</v>
      </c>
      <c r="M200" s="48">
        <f>-2376-L200</f>
        <v>-3478</v>
      </c>
      <c r="N200" s="3">
        <f>-3685-M200-L200</f>
        <v>-1309</v>
      </c>
      <c r="O200" s="3">
        <f t="shared" si="454"/>
        <v>-1880</v>
      </c>
      <c r="P200" s="194">
        <v>-5565</v>
      </c>
      <c r="Q200" s="244">
        <v>0</v>
      </c>
      <c r="R200" s="48">
        <f t="shared" si="455"/>
        <v>0</v>
      </c>
      <c r="S200" s="3">
        <f t="shared" si="456"/>
        <v>0</v>
      </c>
      <c r="T200" s="3">
        <f t="shared" si="457"/>
        <v>0</v>
      </c>
      <c r="U200" s="194">
        <v>0</v>
      </c>
      <c r="V200" s="244">
        <v>0</v>
      </c>
      <c r="W200" s="48">
        <f>2450-V200</f>
        <v>2450</v>
      </c>
      <c r="X200" s="3">
        <f>2450-W200-V200</f>
        <v>0</v>
      </c>
      <c r="Y200" s="3">
        <f t="shared" si="460"/>
        <v>-2450</v>
      </c>
      <c r="Z200" s="243">
        <v>0</v>
      </c>
      <c r="AA200" s="244">
        <v>0</v>
      </c>
      <c r="AB200" s="38">
        <v>0</v>
      </c>
      <c r="AC200" s="38">
        <v>0</v>
      </c>
      <c r="AD200" s="3">
        <f t="shared" si="461"/>
        <v>0</v>
      </c>
      <c r="AE200" s="243">
        <v>0</v>
      </c>
      <c r="AF200" s="244">
        <v>0</v>
      </c>
      <c r="AG200" s="48">
        <v>0</v>
      </c>
      <c r="AH200" s="48">
        <v>0</v>
      </c>
      <c r="AI200" s="3">
        <f t="shared" si="462"/>
        <v>2968</v>
      </c>
      <c r="AJ200" s="243">
        <v>2968</v>
      </c>
      <c r="AK200" s="244">
        <v>0</v>
      </c>
      <c r="AL200" s="178">
        <v>0</v>
      </c>
      <c r="AM200" s="178">
        <v>0</v>
      </c>
      <c r="AN200" s="3">
        <f t="shared" si="463"/>
        <v>4000</v>
      </c>
      <c r="AO200" s="243">
        <v>4000</v>
      </c>
      <c r="AP200" s="244">
        <v>24</v>
      </c>
      <c r="AQ200" s="38">
        <f>942-AP200</f>
        <v>918</v>
      </c>
      <c r="AR200" s="178">
        <f>988-AQ200-AP200</f>
        <v>46</v>
      </c>
      <c r="AS200" s="3">
        <f t="shared" si="464"/>
        <v>1249</v>
      </c>
      <c r="AT200" s="243">
        <v>2237</v>
      </c>
      <c r="AU200" s="244">
        <v>0</v>
      </c>
      <c r="AV200" s="38">
        <v>0</v>
      </c>
      <c r="AW200" s="178">
        <v>0</v>
      </c>
      <c r="AX200" s="3">
        <f t="shared" si="465"/>
        <v>0</v>
      </c>
      <c r="AY200" s="243">
        <v>0</v>
      </c>
      <c r="AZ200" s="244">
        <v>0</v>
      </c>
      <c r="BA200" s="38">
        <v>0</v>
      </c>
      <c r="BB200" s="38">
        <v>0</v>
      </c>
      <c r="BC200" s="3">
        <f t="shared" si="466"/>
        <v>0</v>
      </c>
      <c r="BD200" s="243">
        <v>0</v>
      </c>
      <c r="BE200" s="244">
        <v>9954</v>
      </c>
      <c r="BF200" s="38">
        <f>18814-12607-BE200</f>
        <v>-3747</v>
      </c>
      <c r="BG200" s="38">
        <f>25111-12607-BF200-BE200</f>
        <v>6297</v>
      </c>
      <c r="BH200" s="3">
        <f t="shared" si="467"/>
        <v>-18736</v>
      </c>
      <c r="BI200" s="243">
        <f>-27540-12607+33915</f>
        <v>-6232</v>
      </c>
      <c r="BJ200" s="244">
        <f>-158+11764</f>
        <v>11606</v>
      </c>
      <c r="BK200" s="48">
        <f>-19830+36373-BJ200</f>
        <v>4937</v>
      </c>
      <c r="BL200" s="48">
        <f>43018-BK200-BJ200</f>
        <v>26475</v>
      </c>
      <c r="BM200" s="3">
        <f t="shared" si="442"/>
        <v>-59249</v>
      </c>
      <c r="BN200" s="243">
        <f>-68275+52044</f>
        <v>-16231</v>
      </c>
      <c r="BO200" s="244">
        <f>-4422+7400</f>
        <v>2978</v>
      </c>
      <c r="BP200" s="48">
        <f>14936-4653-BO200</f>
        <v>7305</v>
      </c>
      <c r="BQ200" s="48">
        <f>-87653+21577-BO200-BP200</f>
        <v>-76359</v>
      </c>
      <c r="BR200" s="3">
        <f t="shared" si="444"/>
        <v>6957</v>
      </c>
      <c r="BS200" s="243">
        <f>28742-87861</f>
        <v>-59119</v>
      </c>
      <c r="BT200" s="37">
        <v>0</v>
      </c>
      <c r="BU200" s="38">
        <v>0</v>
      </c>
      <c r="BV200" s="38">
        <v>0</v>
      </c>
      <c r="BW200" s="38">
        <v>0</v>
      </c>
      <c r="BX200" s="93">
        <f t="shared" si="445"/>
        <v>0</v>
      </c>
      <c r="BY200" s="37">
        <v>0</v>
      </c>
      <c r="BZ200" s="38">
        <v>0</v>
      </c>
      <c r="CA200" s="38">
        <v>0</v>
      </c>
      <c r="CB200" s="38">
        <v>0</v>
      </c>
      <c r="CC200" s="93">
        <f t="shared" si="446"/>
        <v>0</v>
      </c>
      <c r="CD200" s="37">
        <v>0</v>
      </c>
      <c r="CE200" s="38">
        <v>0</v>
      </c>
      <c r="CF200" s="38">
        <v>0</v>
      </c>
      <c r="CG200" s="38">
        <v>0</v>
      </c>
      <c r="CH200" s="93">
        <f t="shared" si="447"/>
        <v>0</v>
      </c>
      <c r="CI200" s="37">
        <v>0</v>
      </c>
      <c r="CJ200" s="38">
        <v>0</v>
      </c>
      <c r="CK200" s="38">
        <v>0</v>
      </c>
      <c r="CL200" s="38">
        <v>0</v>
      </c>
      <c r="CM200" s="93">
        <f t="shared" si="448"/>
        <v>0</v>
      </c>
      <c r="CN200" s="37">
        <v>0</v>
      </c>
      <c r="CO200" s="38">
        <v>0</v>
      </c>
      <c r="CP200" s="38">
        <v>0</v>
      </c>
      <c r="CQ200" s="38">
        <v>0</v>
      </c>
      <c r="CR200" s="93">
        <f t="shared" si="449"/>
        <v>0</v>
      </c>
      <c r="CS200" s="37">
        <v>0</v>
      </c>
      <c r="CT200" s="38">
        <v>0</v>
      </c>
      <c r="CU200" s="38">
        <v>0</v>
      </c>
      <c r="CV200" s="38">
        <v>0</v>
      </c>
      <c r="CW200" s="93">
        <f t="shared" si="450"/>
        <v>0</v>
      </c>
      <c r="CX200" s="37">
        <v>0</v>
      </c>
      <c r="CY200" s="38">
        <v>0</v>
      </c>
      <c r="CZ200" s="38">
        <v>0</v>
      </c>
      <c r="DA200" s="38">
        <v>0</v>
      </c>
      <c r="DB200" s="93">
        <f t="shared" si="451"/>
        <v>0</v>
      </c>
      <c r="DC200" s="3"/>
      <c r="DD200" s="3"/>
      <c r="DE200" s="3"/>
      <c r="DF200" s="3"/>
      <c r="DG200" s="3"/>
      <c r="DH200" s="3"/>
      <c r="DI200" s="3"/>
      <c r="DJ200" s="3"/>
      <c r="DK200" s="98"/>
      <c r="DL200" s="98"/>
      <c r="DM200" s="18"/>
    </row>
    <row r="201" spans="1:117">
      <c r="A201" s="28" t="s">
        <v>505</v>
      </c>
      <c r="B201" s="161">
        <f t="shared" ref="B201:Z201" si="471">SUM(B190:B200)</f>
        <v>-40574</v>
      </c>
      <c r="C201" s="4">
        <f t="shared" si="471"/>
        <v>-64900</v>
      </c>
      <c r="D201" s="4">
        <f t="shared" si="471"/>
        <v>-71992</v>
      </c>
      <c r="E201" s="4">
        <f t="shared" si="471"/>
        <v>-245824</v>
      </c>
      <c r="F201" s="256">
        <f t="shared" si="471"/>
        <v>-423290</v>
      </c>
      <c r="G201" s="161">
        <f t="shared" si="471"/>
        <v>-82684</v>
      </c>
      <c r="H201" s="4">
        <f t="shared" si="471"/>
        <v>-73331</v>
      </c>
      <c r="I201" s="4">
        <f t="shared" si="471"/>
        <v>-729419</v>
      </c>
      <c r="J201" s="4">
        <f t="shared" si="471"/>
        <v>359364</v>
      </c>
      <c r="K201" s="256">
        <f t="shared" si="471"/>
        <v>-526070</v>
      </c>
      <c r="L201" s="161">
        <f t="shared" si="471"/>
        <v>-79866</v>
      </c>
      <c r="M201" s="4">
        <f t="shared" si="471"/>
        <v>-408094</v>
      </c>
      <c r="N201" s="4">
        <f t="shared" si="471"/>
        <v>221203</v>
      </c>
      <c r="O201" s="4">
        <f t="shared" si="471"/>
        <v>29520</v>
      </c>
      <c r="P201" s="256">
        <f t="shared" si="471"/>
        <v>-237237</v>
      </c>
      <c r="Q201" s="161">
        <f t="shared" si="471"/>
        <v>-605474</v>
      </c>
      <c r="R201" s="4">
        <f t="shared" si="471"/>
        <v>325238</v>
      </c>
      <c r="S201" s="4">
        <f t="shared" si="471"/>
        <v>-217683</v>
      </c>
      <c r="T201" s="4">
        <f t="shared" si="471"/>
        <v>-653865</v>
      </c>
      <c r="U201" s="256">
        <f t="shared" si="471"/>
        <v>-1151784</v>
      </c>
      <c r="V201" s="161">
        <f t="shared" si="471"/>
        <v>-333609</v>
      </c>
      <c r="W201" s="4">
        <f t="shared" si="471"/>
        <v>-287516</v>
      </c>
      <c r="X201" s="4">
        <f t="shared" si="471"/>
        <v>-394859</v>
      </c>
      <c r="Y201" s="4">
        <f t="shared" si="471"/>
        <v>-438317</v>
      </c>
      <c r="Z201" s="135">
        <f t="shared" si="471"/>
        <v>-1454301</v>
      </c>
      <c r="AA201" s="161">
        <f t="shared" ref="AA201:BF201" si="472">SUM(AA190:AA200)</f>
        <v>-238582</v>
      </c>
      <c r="AB201" s="4">
        <f t="shared" si="472"/>
        <v>-141596</v>
      </c>
      <c r="AC201" s="4">
        <f t="shared" si="472"/>
        <v>-241381</v>
      </c>
      <c r="AD201" s="4">
        <f t="shared" si="472"/>
        <v>-166235</v>
      </c>
      <c r="AE201" s="135">
        <f t="shared" si="472"/>
        <v>-787794</v>
      </c>
      <c r="AF201" s="161">
        <f t="shared" si="472"/>
        <v>-66376</v>
      </c>
      <c r="AG201" s="4">
        <f t="shared" si="472"/>
        <v>-103509</v>
      </c>
      <c r="AH201" s="4">
        <f t="shared" si="472"/>
        <v>249333</v>
      </c>
      <c r="AI201" s="4">
        <f t="shared" si="472"/>
        <v>-213804</v>
      </c>
      <c r="AJ201" s="135">
        <f t="shared" si="472"/>
        <v>-134356</v>
      </c>
      <c r="AK201" s="161">
        <f t="shared" si="472"/>
        <v>-189485</v>
      </c>
      <c r="AL201" s="4">
        <f t="shared" si="472"/>
        <v>-319404</v>
      </c>
      <c r="AM201" s="4">
        <f t="shared" si="472"/>
        <v>-387998</v>
      </c>
      <c r="AN201" s="4">
        <f t="shared" si="472"/>
        <v>-474739</v>
      </c>
      <c r="AO201" s="135">
        <f t="shared" si="472"/>
        <v>-1371626</v>
      </c>
      <c r="AP201" s="161">
        <f t="shared" si="472"/>
        <v>-314399</v>
      </c>
      <c r="AQ201" s="4">
        <f t="shared" si="472"/>
        <v>-424052</v>
      </c>
      <c r="AR201" s="4">
        <f t="shared" si="472"/>
        <v>-460133</v>
      </c>
      <c r="AS201" s="4">
        <f t="shared" si="472"/>
        <v>-615615</v>
      </c>
      <c r="AT201" s="135">
        <f t="shared" si="472"/>
        <v>-1814199</v>
      </c>
      <c r="AU201" s="161">
        <f t="shared" si="472"/>
        <v>-494807</v>
      </c>
      <c r="AV201" s="4">
        <f t="shared" si="472"/>
        <v>-548793</v>
      </c>
      <c r="AW201" s="4">
        <f t="shared" si="472"/>
        <v>-837091</v>
      </c>
      <c r="AX201" s="4">
        <f t="shared" si="472"/>
        <v>-761340</v>
      </c>
      <c r="AY201" s="135">
        <f t="shared" si="472"/>
        <v>-2642031</v>
      </c>
      <c r="AZ201" s="161">
        <f t="shared" si="472"/>
        <v>-439334</v>
      </c>
      <c r="BA201" s="4">
        <f t="shared" si="472"/>
        <v>-381162</v>
      </c>
      <c r="BB201" s="4">
        <f t="shared" si="472"/>
        <v>-371640</v>
      </c>
      <c r="BC201" s="4">
        <f t="shared" si="472"/>
        <v>-1374087</v>
      </c>
      <c r="BD201" s="135">
        <f t="shared" si="472"/>
        <v>-2566223</v>
      </c>
      <c r="BE201" s="161">
        <f t="shared" si="472"/>
        <v>-333775</v>
      </c>
      <c r="BF201" s="391">
        <f t="shared" si="472"/>
        <v>-321997</v>
      </c>
      <c r="BG201" s="4">
        <f t="shared" ref="BG201:BX201" si="473">SUM(BG190:BG200)</f>
        <v>-286409</v>
      </c>
      <c r="BH201" s="391">
        <f t="shared" si="473"/>
        <v>-248538</v>
      </c>
      <c r="BI201" s="601">
        <f t="shared" si="473"/>
        <v>-1190719</v>
      </c>
      <c r="BJ201" s="161">
        <f t="shared" si="473"/>
        <v>-169947</v>
      </c>
      <c r="BK201" s="391">
        <f t="shared" si="473"/>
        <v>-128532</v>
      </c>
      <c r="BL201" s="391">
        <f>SUM(BL191:BL200)</f>
        <v>-186109</v>
      </c>
      <c r="BM201" s="391">
        <f t="shared" si="473"/>
        <v>-130857</v>
      </c>
      <c r="BN201" s="601">
        <f t="shared" si="473"/>
        <v>-615445</v>
      </c>
      <c r="BO201" s="161">
        <f t="shared" si="473"/>
        <v>-109463</v>
      </c>
      <c r="BP201" s="391">
        <f t="shared" si="473"/>
        <v>-74268</v>
      </c>
      <c r="BQ201" s="391">
        <f t="shared" si="473"/>
        <v>-210866</v>
      </c>
      <c r="BR201" s="391">
        <f t="shared" ref="BR201:BS201" si="474">SUM(BR190:BR200)</f>
        <v>-173036</v>
      </c>
      <c r="BS201" s="601">
        <f t="shared" si="474"/>
        <v>-567633</v>
      </c>
      <c r="BT201" s="161">
        <f t="shared" si="473"/>
        <v>-565000</v>
      </c>
      <c r="BU201" s="4">
        <f t="shared" si="473"/>
        <v>-565000</v>
      </c>
      <c r="BV201" s="4">
        <f t="shared" si="473"/>
        <v>-565000</v>
      </c>
      <c r="BW201" s="4">
        <f t="shared" si="473"/>
        <v>-565000</v>
      </c>
      <c r="BX201" s="135">
        <f t="shared" si="473"/>
        <v>-2260000</v>
      </c>
      <c r="BY201" s="161">
        <f t="shared" ref="BY201:CH201" si="475">SUM(BY190:BY200)</f>
        <v>-466000</v>
      </c>
      <c r="BZ201" s="4">
        <f t="shared" si="475"/>
        <v>-466000</v>
      </c>
      <c r="CA201" s="4">
        <f t="shared" si="475"/>
        <v>-466000</v>
      </c>
      <c r="CB201" s="4">
        <f t="shared" si="475"/>
        <v>-466000</v>
      </c>
      <c r="CC201" s="135">
        <f t="shared" si="475"/>
        <v>-1864000</v>
      </c>
      <c r="CD201" s="161">
        <f t="shared" si="475"/>
        <v>-267025</v>
      </c>
      <c r="CE201" s="4">
        <f t="shared" si="475"/>
        <v>-267025</v>
      </c>
      <c r="CF201" s="4">
        <f t="shared" si="475"/>
        <v>-267025</v>
      </c>
      <c r="CG201" s="4">
        <f t="shared" si="475"/>
        <v>-267025</v>
      </c>
      <c r="CH201" s="135">
        <f t="shared" si="475"/>
        <v>-1068100</v>
      </c>
      <c r="CI201" s="161">
        <f t="shared" ref="CI201:CR201" si="476">SUM(CI190:CI200)</f>
        <v>-181626.25</v>
      </c>
      <c r="CJ201" s="4">
        <f t="shared" si="476"/>
        <v>-181626.25</v>
      </c>
      <c r="CK201" s="4">
        <f t="shared" si="476"/>
        <v>-181626.25</v>
      </c>
      <c r="CL201" s="4">
        <f t="shared" si="476"/>
        <v>-181626.25</v>
      </c>
      <c r="CM201" s="135">
        <f t="shared" si="476"/>
        <v>-726505</v>
      </c>
      <c r="CN201" s="161">
        <f t="shared" si="476"/>
        <v>-183832.5625</v>
      </c>
      <c r="CO201" s="4">
        <f t="shared" si="476"/>
        <v>-183832.5625</v>
      </c>
      <c r="CP201" s="4">
        <f t="shared" si="476"/>
        <v>-183832.5625</v>
      </c>
      <c r="CQ201" s="4">
        <f t="shared" si="476"/>
        <v>-183832.5625</v>
      </c>
      <c r="CR201" s="135">
        <f t="shared" si="476"/>
        <v>-735330.25</v>
      </c>
      <c r="CS201" s="161">
        <f t="shared" ref="CS201:DB201" si="477">SUM(CS190:CS200)</f>
        <v>-186149.19062499999</v>
      </c>
      <c r="CT201" s="4">
        <f t="shared" si="477"/>
        <v>-186149.19062499999</v>
      </c>
      <c r="CU201" s="4">
        <f t="shared" si="477"/>
        <v>-186149.19062499999</v>
      </c>
      <c r="CV201" s="4">
        <f t="shared" si="477"/>
        <v>-186149.19062499999</v>
      </c>
      <c r="CW201" s="135">
        <f t="shared" si="477"/>
        <v>-744596.76249999995</v>
      </c>
      <c r="CX201" s="161">
        <f t="shared" si="477"/>
        <v>-188581.65015624999</v>
      </c>
      <c r="CY201" s="4">
        <f t="shared" si="477"/>
        <v>-188581.65015624999</v>
      </c>
      <c r="CZ201" s="4">
        <f t="shared" si="477"/>
        <v>-188581.65015624999</v>
      </c>
      <c r="DA201" s="4">
        <f t="shared" si="477"/>
        <v>-188581.65015624999</v>
      </c>
      <c r="DB201" s="135">
        <f t="shared" si="477"/>
        <v>-754326.60062499996</v>
      </c>
      <c r="DC201" s="218"/>
      <c r="DD201" s="218"/>
      <c r="DE201" s="218"/>
      <c r="DF201" s="218"/>
      <c r="DG201" s="218"/>
      <c r="DH201" s="218"/>
      <c r="DI201" s="218"/>
      <c r="DJ201" s="218"/>
      <c r="DK201" s="218"/>
      <c r="DL201" s="218"/>
      <c r="DM201" s="25"/>
    </row>
    <row r="202" spans="1:117">
      <c r="A202" s="10"/>
      <c r="B202" s="244"/>
      <c r="C202" s="38"/>
      <c r="D202" s="178"/>
      <c r="E202" s="178"/>
      <c r="F202" s="194"/>
      <c r="G202" s="244"/>
      <c r="H202" s="38"/>
      <c r="I202" s="178"/>
      <c r="J202" s="178"/>
      <c r="K202" s="194"/>
      <c r="L202" s="244"/>
      <c r="M202" s="38"/>
      <c r="N202" s="178"/>
      <c r="O202" s="178"/>
      <c r="P202" s="194"/>
      <c r="Q202" s="244"/>
      <c r="R202" s="38"/>
      <c r="S202" s="178"/>
      <c r="T202" s="178"/>
      <c r="U202" s="194"/>
      <c r="V202" s="244"/>
      <c r="W202" s="38"/>
      <c r="X202" s="178"/>
      <c r="Y202" s="178"/>
      <c r="Z202" s="243"/>
      <c r="AA202" s="244"/>
      <c r="AB202" s="38"/>
      <c r="AC202" s="38"/>
      <c r="AD202" s="38"/>
      <c r="AE202" s="194"/>
      <c r="AF202" s="19"/>
      <c r="AG202" s="392"/>
      <c r="AH202" s="392"/>
      <c r="AI202" s="38"/>
      <c r="AJ202" s="194"/>
      <c r="AK202" s="19"/>
      <c r="AL202" s="18"/>
      <c r="AM202" s="18"/>
      <c r="AN202" s="38"/>
      <c r="AO202" s="194"/>
      <c r="AP202" s="19"/>
      <c r="AQ202" s="18"/>
      <c r="AR202" s="18"/>
      <c r="AS202" s="38"/>
      <c r="AT202" s="194"/>
      <c r="AU202" s="19"/>
      <c r="AV202" s="18"/>
      <c r="AW202" s="18"/>
      <c r="AX202" s="38"/>
      <c r="AY202" s="194"/>
      <c r="AZ202" s="19"/>
      <c r="BA202" s="18"/>
      <c r="BB202" s="18"/>
      <c r="BC202" s="18"/>
      <c r="BD202" s="194"/>
      <c r="BE202" s="19"/>
      <c r="BF202" s="18"/>
      <c r="BG202" s="18"/>
      <c r="BH202" s="18"/>
      <c r="BI202" s="194"/>
      <c r="BJ202" s="19"/>
      <c r="BK202" s="392"/>
      <c r="BL202" s="392"/>
      <c r="BM202" s="18"/>
      <c r="BN202" s="194"/>
      <c r="BO202" s="19"/>
      <c r="BP202" s="392"/>
      <c r="BQ202" s="392"/>
      <c r="BR202" s="18"/>
      <c r="BS202" s="194"/>
      <c r="BT202" s="19"/>
      <c r="BU202" s="18"/>
      <c r="BV202" s="18"/>
      <c r="BW202" s="18"/>
      <c r="BX202" s="194"/>
      <c r="BY202" s="19"/>
      <c r="BZ202" s="18"/>
      <c r="CA202" s="18"/>
      <c r="CB202" s="18"/>
      <c r="CC202" s="194"/>
      <c r="CD202" s="19"/>
      <c r="CE202" s="18"/>
      <c r="CF202" s="18"/>
      <c r="CG202" s="18"/>
      <c r="CH202" s="194"/>
      <c r="CI202" s="19"/>
      <c r="CJ202" s="18"/>
      <c r="CK202" s="18"/>
      <c r="CL202" s="18"/>
      <c r="CM202" s="194"/>
      <c r="CN202" s="19"/>
      <c r="CO202" s="18"/>
      <c r="CP202" s="18"/>
      <c r="CQ202" s="18"/>
      <c r="CR202" s="194"/>
      <c r="CS202" s="19"/>
      <c r="CT202" s="18"/>
      <c r="CU202" s="18"/>
      <c r="CV202" s="18"/>
      <c r="CW202" s="194"/>
      <c r="CX202" s="19"/>
      <c r="CY202" s="18"/>
      <c r="CZ202" s="18"/>
      <c r="DA202" s="18"/>
      <c r="DB202" s="194"/>
      <c r="DC202" s="178"/>
      <c r="DD202" s="178"/>
      <c r="DE202" s="178"/>
      <c r="DF202" s="178"/>
      <c r="DG202" s="178"/>
      <c r="DH202" s="178"/>
      <c r="DI202" s="178"/>
      <c r="DJ202" s="178"/>
      <c r="DK202" s="186"/>
      <c r="DL202" s="186"/>
      <c r="DM202" s="18"/>
    </row>
    <row r="203" spans="1:117">
      <c r="A203" s="16" t="s">
        <v>506</v>
      </c>
      <c r="B203" s="244"/>
      <c r="C203" s="38"/>
      <c r="D203" s="178"/>
      <c r="E203" s="178"/>
      <c r="F203" s="194"/>
      <c r="G203" s="244"/>
      <c r="H203" s="38"/>
      <c r="I203" s="178"/>
      <c r="J203" s="178"/>
      <c r="K203" s="194"/>
      <c r="L203" s="244"/>
      <c r="M203" s="38"/>
      <c r="N203" s="178"/>
      <c r="O203" s="178"/>
      <c r="P203" s="194"/>
      <c r="Q203" s="244"/>
      <c r="R203" s="38"/>
      <c r="S203" s="178"/>
      <c r="T203" s="178"/>
      <c r="U203" s="194"/>
      <c r="V203" s="244"/>
      <c r="W203" s="38"/>
      <c r="X203" s="178"/>
      <c r="Y203" s="178"/>
      <c r="Z203" s="243"/>
      <c r="AA203" s="244"/>
      <c r="AB203" s="38"/>
      <c r="AC203" s="38"/>
      <c r="AD203" s="38"/>
      <c r="AE203" s="194"/>
      <c r="AF203" s="19"/>
      <c r="AG203" s="392"/>
      <c r="AH203" s="392"/>
      <c r="AI203" s="38"/>
      <c r="AJ203" s="194"/>
      <c r="AK203" s="19"/>
      <c r="AL203" s="18"/>
      <c r="AM203" s="18"/>
      <c r="AN203" s="38"/>
      <c r="AO203" s="194"/>
      <c r="AP203" s="19"/>
      <c r="AQ203" s="18"/>
      <c r="AR203" s="18"/>
      <c r="AS203" s="38"/>
      <c r="AT203" s="194"/>
      <c r="AU203" s="19"/>
      <c r="AV203" s="18"/>
      <c r="AW203" s="18"/>
      <c r="AX203" s="38"/>
      <c r="AY203" s="194"/>
      <c r="AZ203" s="19"/>
      <c r="BA203" s="18"/>
      <c r="BB203" s="18"/>
      <c r="BC203" s="18"/>
      <c r="BD203" s="194"/>
      <c r="BE203" s="19"/>
      <c r="BF203" s="18"/>
      <c r="BG203" s="18"/>
      <c r="BH203" s="18"/>
      <c r="BI203" s="194"/>
      <c r="BJ203" s="19"/>
      <c r="BK203" s="392"/>
      <c r="BL203" s="48"/>
      <c r="BM203" s="18"/>
      <c r="BN203" s="194"/>
      <c r="BO203" s="19"/>
      <c r="BP203" s="392"/>
      <c r="BQ203" s="392"/>
      <c r="BR203" s="18"/>
      <c r="BS203" s="194"/>
      <c r="BT203" s="19"/>
      <c r="BU203" s="18"/>
      <c r="BV203" s="18"/>
      <c r="BW203" s="18"/>
      <c r="BX203" s="194"/>
      <c r="BY203" s="19"/>
      <c r="BZ203" s="18"/>
      <c r="CA203" s="18"/>
      <c r="CB203" s="18"/>
      <c r="CC203" s="194"/>
      <c r="CD203" s="19"/>
      <c r="CE203" s="18"/>
      <c r="CF203" s="18"/>
      <c r="CG203" s="18"/>
      <c r="CH203" s="194"/>
      <c r="CI203" s="19"/>
      <c r="CJ203" s="18"/>
      <c r="CK203" s="18"/>
      <c r="CL203" s="18"/>
      <c r="CM203" s="194"/>
      <c r="CN203" s="19"/>
      <c r="CO203" s="18"/>
      <c r="CP203" s="18"/>
      <c r="CQ203" s="18"/>
      <c r="CR203" s="194"/>
      <c r="CS203" s="19"/>
      <c r="CT203" s="18"/>
      <c r="CU203" s="18"/>
      <c r="CV203" s="18"/>
      <c r="CW203" s="194"/>
      <c r="CX203" s="19"/>
      <c r="CY203" s="18"/>
      <c r="CZ203" s="18"/>
      <c r="DA203" s="18"/>
      <c r="DB203" s="194"/>
      <c r="DC203" s="178"/>
      <c r="DD203" s="178"/>
      <c r="DE203" s="178"/>
      <c r="DF203" s="178"/>
      <c r="DG203" s="178"/>
      <c r="DH203" s="178"/>
      <c r="DI203" s="178"/>
      <c r="DJ203" s="178"/>
      <c r="DK203" s="186"/>
      <c r="DL203" s="186"/>
      <c r="DM203" s="18"/>
    </row>
    <row r="204" spans="1:117">
      <c r="A204" s="15" t="s">
        <v>492</v>
      </c>
      <c r="B204" s="244">
        <v>-600000</v>
      </c>
      <c r="C204" s="48">
        <f>-560000-B204</f>
        <v>40000</v>
      </c>
      <c r="D204" s="3">
        <f>-302000-C204-B204</f>
        <v>258000</v>
      </c>
      <c r="E204" s="3">
        <f t="shared" ref="E204:E213" si="478">F204-SUM(B204:D204)</f>
        <v>346000</v>
      </c>
      <c r="F204" s="194">
        <v>44000</v>
      </c>
      <c r="G204" s="244">
        <v>44500</v>
      </c>
      <c r="H204" s="48">
        <f>-532500-G204</f>
        <v>-577000</v>
      </c>
      <c r="I204" s="3">
        <f>-341500-100000+1000000-H204-G204</f>
        <v>1091000</v>
      </c>
      <c r="J204" s="3">
        <f t="shared" ref="J204:J213" si="479">K204-SUM(G204:I204)</f>
        <v>339000</v>
      </c>
      <c r="K204" s="93">
        <f>-2500-100000+1000000</f>
        <v>897500</v>
      </c>
      <c r="L204" s="139">
        <f>-135500-1110000+237000</f>
        <v>-1008500</v>
      </c>
      <c r="M204" s="48">
        <f>-641500-1175000+1432500-L204</f>
        <v>624500</v>
      </c>
      <c r="N204" s="3">
        <f>-641500-2632000+1530000-M204-L204</f>
        <v>-1359500</v>
      </c>
      <c r="O204" s="3">
        <f t="shared" ref="O204:O213" si="480">P204-SUM(L204:N204)</f>
        <v>1500</v>
      </c>
      <c r="P204" s="93">
        <f>-842000-900000</f>
        <v>-1742000</v>
      </c>
      <c r="Q204" s="244">
        <v>-6000</v>
      </c>
      <c r="R204" s="48">
        <f>99000-Q204</f>
        <v>105000</v>
      </c>
      <c r="S204" s="3">
        <f>359000-R204-Q204</f>
        <v>260000</v>
      </c>
      <c r="T204" s="3">
        <f t="shared" ref="T204:T213" si="481">U204-SUM(Q204:S204)</f>
        <v>-162400</v>
      </c>
      <c r="U204" s="194">
        <v>196600</v>
      </c>
      <c r="V204" s="244">
        <v>63000</v>
      </c>
      <c r="W204" s="48">
        <f>598893-V204</f>
        <v>535893</v>
      </c>
      <c r="X204" s="3">
        <f>1119614-W204-V204</f>
        <v>520721</v>
      </c>
      <c r="Y204" s="3">
        <f t="shared" ref="Y204:Y215" si="482">Z204-SUM(V204:X204)</f>
        <v>947786</v>
      </c>
      <c r="Z204" s="255">
        <f>1197400+870000</f>
        <v>2067400</v>
      </c>
      <c r="AA204" s="139">
        <f>-813300-470000</f>
        <v>-1283300</v>
      </c>
      <c r="AB204" s="48">
        <f>-710090-870000-AA204</f>
        <v>-296790</v>
      </c>
      <c r="AC204" s="48">
        <f>-576000-870000-AB204-AA204</f>
        <v>134090</v>
      </c>
      <c r="AD204" s="3">
        <f t="shared" ref="AD204:AD213" si="483">AE204-SUM(AA204:AC204)</f>
        <v>57870</v>
      </c>
      <c r="AE204" s="255">
        <f>-518130-870000</f>
        <v>-1388130</v>
      </c>
      <c r="AF204" s="244">
        <v>-571870</v>
      </c>
      <c r="AG204" s="48">
        <f>-201870-AF204</f>
        <v>370000</v>
      </c>
      <c r="AH204" s="48">
        <f>-555485-AG204-AF204</f>
        <v>-353615</v>
      </c>
      <c r="AI204" s="3">
        <f t="shared" ref="AI204:AI212" si="484">AJ204-SUM(AF204:AH204)</f>
        <v>230470</v>
      </c>
      <c r="AJ204" s="243">
        <v>-325015</v>
      </c>
      <c r="AK204" s="244">
        <v>-556855</v>
      </c>
      <c r="AL204" s="178">
        <f>-30222-AK204</f>
        <v>526633</v>
      </c>
      <c r="AM204" s="178">
        <f>93145-AL204-AK204</f>
        <v>123367</v>
      </c>
      <c r="AN204" s="3">
        <f t="shared" ref="AN204:AN212" si="485">AO204-SUM(AK204:AM204)</f>
        <v>191982</v>
      </c>
      <c r="AO204" s="243">
        <v>285127</v>
      </c>
      <c r="AP204" s="244">
        <v>-422225</v>
      </c>
      <c r="AQ204" s="38">
        <f>-246051-AP204</f>
        <v>176174</v>
      </c>
      <c r="AR204" s="178">
        <f>-165235-AQ204-AP204</f>
        <v>80816</v>
      </c>
      <c r="AS204" s="3">
        <f t="shared" ref="AS204:AS212" si="486">AT204-SUM(AP204:AR204)</f>
        <v>140423</v>
      </c>
      <c r="AT204" s="243">
        <v>-24812</v>
      </c>
      <c r="AU204" s="244">
        <f>-265920-1975</f>
        <v>-267895</v>
      </c>
      <c r="AV204" s="38">
        <f>16830-AU204</f>
        <v>284725</v>
      </c>
      <c r="AW204" s="178">
        <f>-254841-AV204-AU204</f>
        <v>-271671</v>
      </c>
      <c r="AX204" s="3">
        <f t="shared" ref="AX204:AX212" si="487">AY204-SUM(AU204:AW204)</f>
        <v>2133</v>
      </c>
      <c r="AY204" s="243">
        <v>-252708</v>
      </c>
      <c r="AZ204" s="244">
        <f>-439462-551933</f>
        <v>-991395</v>
      </c>
      <c r="BA204" s="38">
        <f>-564462-AZ204</f>
        <v>426933</v>
      </c>
      <c r="BB204" s="178">
        <f>-564462-BA204-AZ204</f>
        <v>0</v>
      </c>
      <c r="BC204" s="3">
        <f t="shared" ref="BC204:BC212" si="488">BD204-SUM(AZ204:BB204)</f>
        <v>1055296</v>
      </c>
      <c r="BD204" s="243">
        <v>490834</v>
      </c>
      <c r="BE204" s="244">
        <f>-229821+-1948</f>
        <v>-231769</v>
      </c>
      <c r="BF204" s="38">
        <f>+-184812-3875-BE204</f>
        <v>43082</v>
      </c>
      <c r="BG204" s="38">
        <f>+-768024-5795-BF204-BE204</f>
        <v>-585132</v>
      </c>
      <c r="BH204" s="3">
        <f t="shared" ref="BH204:BH212" si="489">BI204-SUM(BE204:BG204)</f>
        <v>257110</v>
      </c>
      <c r="BI204" s="243">
        <f>-508956-7753</f>
        <v>-516709</v>
      </c>
      <c r="BJ204" s="244">
        <f>-101773-652148</f>
        <v>-753921</v>
      </c>
      <c r="BK204" s="48">
        <f>29967-654151-BJ204</f>
        <v>129737</v>
      </c>
      <c r="BL204" s="48">
        <f>147160-656117-BK204-BJ204</f>
        <v>115227</v>
      </c>
      <c r="BM204" s="3">
        <f t="shared" ref="BM204:BM212" si="490">BN204-SUM(BJ204:BL204)</f>
        <v>-35146</v>
      </c>
      <c r="BN204" s="243">
        <f>563937-1108040</f>
        <v>-544103</v>
      </c>
      <c r="BO204" s="244">
        <f>180452-1951</f>
        <v>178501</v>
      </c>
      <c r="BP204" s="48">
        <f>164130-3898-BO204</f>
        <v>-18269</v>
      </c>
      <c r="BQ204" s="48">
        <f>-178027-992864-BP204-BO204</f>
        <v>-1331123</v>
      </c>
      <c r="BR204" s="3">
        <f t="shared" ref="BR204:BR212" si="491">BS204-SUM(BO204:BQ204)</f>
        <v>-319489</v>
      </c>
      <c r="BS204" s="243">
        <f>-495604-994776</f>
        <v>-1490380</v>
      </c>
      <c r="BT204" s="37">
        <v>0</v>
      </c>
      <c r="BU204" s="38">
        <f>+BT204</f>
        <v>0</v>
      </c>
      <c r="BV204" s="38">
        <f>+BU204</f>
        <v>0</v>
      </c>
      <c r="BW204" s="38">
        <f>+BV204</f>
        <v>0</v>
      </c>
      <c r="BX204" s="93">
        <f t="shared" ref="BX204:BX213" si="492">SUM(BT204:BW204)</f>
        <v>0</v>
      </c>
      <c r="BY204" s="37">
        <v>0</v>
      </c>
      <c r="BZ204" s="38">
        <v>0</v>
      </c>
      <c r="CA204" s="38">
        <v>0</v>
      </c>
      <c r="CB204" s="38">
        <v>0</v>
      </c>
      <c r="CC204" s="93">
        <f t="shared" ref="CC204:CC213" si="493">SUM(BY204:CB204)</f>
        <v>0</v>
      </c>
      <c r="CD204" s="37">
        <v>0</v>
      </c>
      <c r="CE204" s="38">
        <v>0</v>
      </c>
      <c r="CF204" s="38">
        <v>0</v>
      </c>
      <c r="CG204" s="38">
        <v>0</v>
      </c>
      <c r="CH204" s="93">
        <f t="shared" ref="CH204:CH213" si="494">SUM(CD204:CG204)</f>
        <v>0</v>
      </c>
      <c r="CI204" s="37">
        <v>0</v>
      </c>
      <c r="CJ204" s="38">
        <v>0</v>
      </c>
      <c r="CK204" s="38">
        <v>0</v>
      </c>
      <c r="CL204" s="38">
        <v>0</v>
      </c>
      <c r="CM204" s="93">
        <f t="shared" ref="CM204:CM213" si="495">SUM(CI204:CL204)</f>
        <v>0</v>
      </c>
      <c r="CN204" s="37">
        <v>0</v>
      </c>
      <c r="CO204" s="38">
        <v>0</v>
      </c>
      <c r="CP204" s="38">
        <v>0</v>
      </c>
      <c r="CQ204" s="38">
        <v>0</v>
      </c>
      <c r="CR204" s="93">
        <f t="shared" ref="CR204:CR213" si="496">SUM(CN204:CQ204)</f>
        <v>0</v>
      </c>
      <c r="CS204" s="37">
        <v>0</v>
      </c>
      <c r="CT204" s="38">
        <v>0</v>
      </c>
      <c r="CU204" s="38">
        <v>0</v>
      </c>
      <c r="CV204" s="38">
        <v>0</v>
      </c>
      <c r="CW204" s="93">
        <f t="shared" ref="CW204:CW213" si="497">SUM(CS204:CV204)</f>
        <v>0</v>
      </c>
      <c r="CX204" s="37">
        <v>0</v>
      </c>
      <c r="CY204" s="38">
        <v>0</v>
      </c>
      <c r="CZ204" s="38">
        <v>0</v>
      </c>
      <c r="DA204" s="38">
        <v>0</v>
      </c>
      <c r="DB204" s="93">
        <f t="shared" ref="DB204:DB213" si="498">SUM(CX204:DA204)</f>
        <v>0</v>
      </c>
      <c r="DC204" s="3"/>
      <c r="DD204" s="3"/>
      <c r="DE204" s="3"/>
      <c r="DF204" s="3"/>
      <c r="DG204" s="3"/>
      <c r="DH204" s="3"/>
      <c r="DI204" s="3"/>
      <c r="DJ204" s="3"/>
      <c r="DK204" s="98"/>
      <c r="DL204" s="98"/>
      <c r="DM204" s="18"/>
    </row>
    <row r="205" spans="1:117">
      <c r="A205" s="15" t="s">
        <v>705</v>
      </c>
      <c r="B205" s="244">
        <v>-270</v>
      </c>
      <c r="C205" s="48">
        <f>-465-B205</f>
        <v>-195</v>
      </c>
      <c r="D205" s="3">
        <f>-1041-C205-B205</f>
        <v>-576</v>
      </c>
      <c r="E205" s="3">
        <f t="shared" si="478"/>
        <v>-323</v>
      </c>
      <c r="F205" s="194">
        <v>-1364</v>
      </c>
      <c r="G205" s="244">
        <v>-335324</v>
      </c>
      <c r="H205" s="48">
        <f>798792-335456-G205</f>
        <v>798660</v>
      </c>
      <c r="I205" s="3">
        <f>798792-335808-H205-G205</f>
        <v>-352</v>
      </c>
      <c r="J205" s="3">
        <f t="shared" si="479"/>
        <v>-300480</v>
      </c>
      <c r="K205" s="93">
        <f>798792-636288</f>
        <v>162504</v>
      </c>
      <c r="L205" s="244">
        <v>-32241</v>
      </c>
      <c r="M205" s="48">
        <f>-31955-L205</f>
        <v>286</v>
      </c>
      <c r="N205" s="3">
        <f>1397328-41214-M205-L205</f>
        <v>1388069</v>
      </c>
      <c r="O205" s="3">
        <f t="shared" si="480"/>
        <v>-3145</v>
      </c>
      <c r="P205" s="93">
        <f>1397328-44359</f>
        <v>1352969</v>
      </c>
      <c r="Q205" s="244">
        <v>-520</v>
      </c>
      <c r="R205" s="48">
        <f>-3887-Q205</f>
        <v>-3367</v>
      </c>
      <c r="S205" s="3">
        <f>598146-10403-R205-Q205</f>
        <v>591630</v>
      </c>
      <c r="T205" s="3">
        <f t="shared" si="481"/>
        <v>-3185</v>
      </c>
      <c r="U205" s="93">
        <f>598146-13588</f>
        <v>584558</v>
      </c>
      <c r="V205" s="244">
        <v>-405504</v>
      </c>
      <c r="W205" s="48">
        <f>-408789-V205</f>
        <v>-3285</v>
      </c>
      <c r="X205" s="3">
        <f>-412219-W205-V205</f>
        <v>-3430</v>
      </c>
      <c r="Y205" s="3">
        <f t="shared" si="482"/>
        <v>-3821</v>
      </c>
      <c r="Z205" s="243">
        <v>-416040</v>
      </c>
      <c r="AA205" s="139">
        <f>498325-104037</f>
        <v>394288</v>
      </c>
      <c r="AB205" s="48">
        <f>498325-107970-AA205</f>
        <v>-3933</v>
      </c>
      <c r="AC205" s="48">
        <f>498325-111506-AB205-AA205</f>
        <v>-3536</v>
      </c>
      <c r="AD205" s="3">
        <f t="shared" si="483"/>
        <v>-3469</v>
      </c>
      <c r="AE205" s="243">
        <f>-114975+498325</f>
        <v>383350</v>
      </c>
      <c r="AF205" s="244">
        <v>-3333</v>
      </c>
      <c r="AG205" s="48">
        <f>-256543-AF205</f>
        <v>-253210</v>
      </c>
      <c r="AH205" s="48">
        <f>-259648-AG205-AF205</f>
        <v>-3105</v>
      </c>
      <c r="AI205" s="3">
        <f t="shared" si="484"/>
        <v>-3067</v>
      </c>
      <c r="AJ205" s="243">
        <v>-262715</v>
      </c>
      <c r="AK205" s="244">
        <f>1295450-228137</f>
        <v>1067313</v>
      </c>
      <c r="AL205" s="178">
        <f>1295450-631316-AK205</f>
        <v>-403179</v>
      </c>
      <c r="AM205" s="178">
        <f>1295450-724405-AL205-AK205</f>
        <v>-93089</v>
      </c>
      <c r="AN205" s="3">
        <f t="shared" si="485"/>
        <v>-3157</v>
      </c>
      <c r="AO205" s="243">
        <f>1295450-727562</f>
        <v>567888</v>
      </c>
      <c r="AP205" s="244">
        <f>699657-3082</f>
        <v>696575</v>
      </c>
      <c r="AQ205" s="178">
        <f>699657-356173-AP205</f>
        <v>-353091</v>
      </c>
      <c r="AR205" s="178">
        <f>1994693-359251-AQ205-AP205</f>
        <v>1291958</v>
      </c>
      <c r="AS205" s="3">
        <f t="shared" si="486"/>
        <v>-2213</v>
      </c>
      <c r="AT205" s="243">
        <f>1994693-361464</f>
        <v>1633229</v>
      </c>
      <c r="AU205" s="244">
        <v>0</v>
      </c>
      <c r="AV205" s="178">
        <f>-3888-AU205</f>
        <v>-3888</v>
      </c>
      <c r="AW205" s="178">
        <f>1247822-5802-AV205-AU205</f>
        <v>1245908</v>
      </c>
      <c r="AX205" s="3">
        <f t="shared" si="487"/>
        <v>-2066</v>
      </c>
      <c r="AY205" s="243">
        <f>1247822-7868</f>
        <v>1239954</v>
      </c>
      <c r="AZ205" s="244">
        <v>0</v>
      </c>
      <c r="BA205" s="178">
        <f>-553855-AZ205</f>
        <v>-553855</v>
      </c>
      <c r="BB205" s="178">
        <f>-555768-BA205-AZ205</f>
        <v>-1913</v>
      </c>
      <c r="BC205" s="3">
        <f t="shared" si="488"/>
        <v>1198083</v>
      </c>
      <c r="BD205" s="243">
        <f>-557679+1199994</f>
        <v>642315</v>
      </c>
      <c r="BE205" s="244">
        <v>798896</v>
      </c>
      <c r="BF205" s="38">
        <f>798896-BE205</f>
        <v>0</v>
      </c>
      <c r="BG205" s="38">
        <f>1291506-BF205-BE205</f>
        <v>492610</v>
      </c>
      <c r="BH205" s="3">
        <f t="shared" si="489"/>
        <v>0</v>
      </c>
      <c r="BI205" s="243">
        <v>1291506</v>
      </c>
      <c r="BJ205" s="244">
        <v>1000000</v>
      </c>
      <c r="BK205" s="48">
        <f>1000000-BJ205</f>
        <v>0</v>
      </c>
      <c r="BL205" s="48">
        <f>1000000-BK205-BJ205</f>
        <v>0</v>
      </c>
      <c r="BM205" s="3">
        <f t="shared" si="490"/>
        <v>0</v>
      </c>
      <c r="BN205" s="243">
        <v>1000000</v>
      </c>
      <c r="BO205" s="244">
        <v>0</v>
      </c>
      <c r="BP205" s="3">
        <f t="shared" ref="BP205:BP208" si="499">0-BO205</f>
        <v>0</v>
      </c>
      <c r="BQ205" s="48">
        <f>1190067-BO205-BP205</f>
        <v>1190067</v>
      </c>
      <c r="BR205" s="3">
        <f t="shared" si="491"/>
        <v>429</v>
      </c>
      <c r="BS205" s="243">
        <v>1190496</v>
      </c>
      <c r="BT205" s="37">
        <f t="shared" ref="BT205:DA205" si="500">+-BT192*BT228</f>
        <v>210000</v>
      </c>
      <c r="BU205" s="38">
        <f t="shared" si="500"/>
        <v>210000</v>
      </c>
      <c r="BV205" s="38">
        <f t="shared" si="500"/>
        <v>210000</v>
      </c>
      <c r="BW205" s="38">
        <f t="shared" si="500"/>
        <v>210000</v>
      </c>
      <c r="BX205" s="93">
        <f>SUM(BT205:BW205)</f>
        <v>840000</v>
      </c>
      <c r="BY205" s="37">
        <f>+-BY192*BY228</f>
        <v>255000</v>
      </c>
      <c r="BZ205" s="38">
        <f t="shared" si="500"/>
        <v>255000</v>
      </c>
      <c r="CA205" s="38">
        <f t="shared" si="500"/>
        <v>255000</v>
      </c>
      <c r="CB205" s="38">
        <f t="shared" si="500"/>
        <v>255000</v>
      </c>
      <c r="CC205" s="93">
        <f>SUM(BY205:CB205)</f>
        <v>1020000</v>
      </c>
      <c r="CD205" s="37">
        <f>+-CD192*CD228</f>
        <v>112500</v>
      </c>
      <c r="CE205" s="38">
        <f t="shared" si="500"/>
        <v>112500</v>
      </c>
      <c r="CF205" s="38">
        <f t="shared" si="500"/>
        <v>112500</v>
      </c>
      <c r="CG205" s="38">
        <f t="shared" si="500"/>
        <v>112500</v>
      </c>
      <c r="CH205" s="93">
        <f>SUM(CD205:CG205)</f>
        <v>450000</v>
      </c>
      <c r="CI205" s="37">
        <f>+-CI192*CI228</f>
        <v>48125</v>
      </c>
      <c r="CJ205" s="38">
        <f t="shared" si="500"/>
        <v>48125</v>
      </c>
      <c r="CK205" s="38">
        <f t="shared" si="500"/>
        <v>48125</v>
      </c>
      <c r="CL205" s="38">
        <f t="shared" si="500"/>
        <v>48125</v>
      </c>
      <c r="CM205" s="93">
        <f>SUM(CI205:CL205)</f>
        <v>192500</v>
      </c>
      <c r="CN205" s="37">
        <f>+-CN192*CN228</f>
        <v>41250</v>
      </c>
      <c r="CO205" s="38">
        <f t="shared" si="500"/>
        <v>41250</v>
      </c>
      <c r="CP205" s="38">
        <f t="shared" si="500"/>
        <v>41250</v>
      </c>
      <c r="CQ205" s="38">
        <f t="shared" si="500"/>
        <v>41250</v>
      </c>
      <c r="CR205" s="93">
        <f>SUM(CN205:CQ205)</f>
        <v>165000</v>
      </c>
      <c r="CS205" s="37">
        <f>+-CS192*CS228</f>
        <v>41250</v>
      </c>
      <c r="CT205" s="38">
        <f t="shared" si="500"/>
        <v>41250</v>
      </c>
      <c r="CU205" s="38">
        <f t="shared" si="500"/>
        <v>41250</v>
      </c>
      <c r="CV205" s="38">
        <f t="shared" si="500"/>
        <v>41250</v>
      </c>
      <c r="CW205" s="93">
        <f>SUM(CS205:CV205)</f>
        <v>165000</v>
      </c>
      <c r="CX205" s="37">
        <f>+-CX192*CX228</f>
        <v>48125</v>
      </c>
      <c r="CY205" s="38">
        <f t="shared" si="500"/>
        <v>48125</v>
      </c>
      <c r="CZ205" s="38">
        <f t="shared" si="500"/>
        <v>48125</v>
      </c>
      <c r="DA205" s="38">
        <f t="shared" si="500"/>
        <v>48125</v>
      </c>
      <c r="DB205" s="93">
        <f>SUM(CX205:DA205)</f>
        <v>192500</v>
      </c>
      <c r="DC205" s="3"/>
      <c r="DD205" s="3"/>
      <c r="DE205" s="3"/>
      <c r="DF205" s="3"/>
      <c r="DG205" s="3"/>
      <c r="DH205" s="3"/>
      <c r="DI205" s="3"/>
      <c r="DJ205" s="3"/>
      <c r="DK205" s="98"/>
      <c r="DL205" s="98"/>
      <c r="DM205" s="18"/>
    </row>
    <row r="206" spans="1:117">
      <c r="A206" s="15" t="s">
        <v>493</v>
      </c>
      <c r="B206" s="244">
        <v>0</v>
      </c>
      <c r="C206" s="48">
        <f>0-B206</f>
        <v>0</v>
      </c>
      <c r="D206" s="3">
        <f t="shared" ref="D206:D212" si="501">0-C206-B206</f>
        <v>0</v>
      </c>
      <c r="E206" s="3">
        <f t="shared" si="478"/>
        <v>0</v>
      </c>
      <c r="F206" s="194">
        <v>0</v>
      </c>
      <c r="G206" s="244">
        <v>0</v>
      </c>
      <c r="H206" s="48">
        <f>0-G206</f>
        <v>0</v>
      </c>
      <c r="I206" s="3">
        <f>0-H206-G206</f>
        <v>0</v>
      </c>
      <c r="J206" s="3">
        <f t="shared" si="479"/>
        <v>0</v>
      </c>
      <c r="K206" s="194">
        <v>0</v>
      </c>
      <c r="L206" s="244">
        <v>0</v>
      </c>
      <c r="M206" s="48">
        <f>0-L206</f>
        <v>0</v>
      </c>
      <c r="N206" s="3">
        <f>-12027-M206-L206</f>
        <v>-12027</v>
      </c>
      <c r="O206" s="3">
        <f t="shared" si="480"/>
        <v>24</v>
      </c>
      <c r="P206" s="194">
        <v>-12003</v>
      </c>
      <c r="Q206" s="244">
        <v>0</v>
      </c>
      <c r="R206" s="48">
        <f>0-Q206</f>
        <v>0</v>
      </c>
      <c r="S206" s="3">
        <f>0-R206-Q206</f>
        <v>0</v>
      </c>
      <c r="T206" s="3">
        <f t="shared" si="481"/>
        <v>-5805</v>
      </c>
      <c r="U206" s="194">
        <v>-5805</v>
      </c>
      <c r="V206" s="244">
        <v>0</v>
      </c>
      <c r="W206" s="48">
        <f>0-V206</f>
        <v>0</v>
      </c>
      <c r="X206" s="3">
        <f>0-W206-V206</f>
        <v>0</v>
      </c>
      <c r="Y206" s="3">
        <f t="shared" si="482"/>
        <v>0</v>
      </c>
      <c r="Z206" s="243">
        <v>0</v>
      </c>
      <c r="AA206" s="244">
        <v>-4000</v>
      </c>
      <c r="AB206" s="48">
        <f>-4000-AA206</f>
        <v>0</v>
      </c>
      <c r="AC206" s="48">
        <f>-4000-AB206-AA206</f>
        <v>0</v>
      </c>
      <c r="AD206" s="3">
        <f t="shared" si="483"/>
        <v>0</v>
      </c>
      <c r="AE206" s="243">
        <v>-4000</v>
      </c>
      <c r="AF206" s="244"/>
      <c r="AG206" s="48">
        <v>0</v>
      </c>
      <c r="AH206" s="48">
        <v>0</v>
      </c>
      <c r="AI206" s="3">
        <f t="shared" si="484"/>
        <v>0</v>
      </c>
      <c r="AJ206" s="243">
        <v>0</v>
      </c>
      <c r="AK206" s="244">
        <v>-10986</v>
      </c>
      <c r="AL206" s="178">
        <f>-10986-AK206</f>
        <v>0</v>
      </c>
      <c r="AM206" s="178">
        <v>0</v>
      </c>
      <c r="AN206" s="3">
        <f t="shared" si="485"/>
        <v>0</v>
      </c>
      <c r="AO206" s="243">
        <v>-10986</v>
      </c>
      <c r="AP206" s="244">
        <v>-5392</v>
      </c>
      <c r="AQ206" s="38">
        <f>-5395-AP206</f>
        <v>-3</v>
      </c>
      <c r="AR206" s="178">
        <f>-15030-AQ206-AP206</f>
        <v>-9635</v>
      </c>
      <c r="AS206" s="3">
        <f t="shared" si="486"/>
        <v>-6</v>
      </c>
      <c r="AT206" s="243">
        <v>-15036</v>
      </c>
      <c r="AU206" s="244">
        <v>0</v>
      </c>
      <c r="AV206" s="38">
        <v>0</v>
      </c>
      <c r="AW206" s="178">
        <f>-10217-AV206-AU206</f>
        <v>-10217</v>
      </c>
      <c r="AX206" s="3">
        <f t="shared" si="487"/>
        <v>-29</v>
      </c>
      <c r="AY206" s="243">
        <v>-10246</v>
      </c>
      <c r="AZ206" s="244">
        <v>-9663</v>
      </c>
      <c r="BA206" s="38">
        <f>-9663-AZ206</f>
        <v>0</v>
      </c>
      <c r="BB206" s="178">
        <f>-9663-BA206-AZ206</f>
        <v>0</v>
      </c>
      <c r="BC206" s="3">
        <f t="shared" si="488"/>
        <v>0</v>
      </c>
      <c r="BD206" s="243">
        <v>-9663</v>
      </c>
      <c r="BE206" s="244">
        <v>-7850</v>
      </c>
      <c r="BF206" s="38">
        <f>+-7850-BE206</f>
        <v>0</v>
      </c>
      <c r="BG206" s="38">
        <f>+-17126-BF206-BE206</f>
        <v>-9276</v>
      </c>
      <c r="BH206" s="3">
        <f t="shared" si="489"/>
        <v>-389</v>
      </c>
      <c r="BI206" s="243">
        <v>-17515</v>
      </c>
      <c r="BJ206" s="244">
        <v>-2770</v>
      </c>
      <c r="BK206" s="48">
        <f>+-2770-BJ206</f>
        <v>0</v>
      </c>
      <c r="BL206" s="48">
        <f>-2770-BK206-BJ206</f>
        <v>0</v>
      </c>
      <c r="BM206" s="3">
        <f t="shared" si="490"/>
        <v>0</v>
      </c>
      <c r="BN206" s="243">
        <v>-2770</v>
      </c>
      <c r="BO206" s="244">
        <v>0</v>
      </c>
      <c r="BP206" s="3">
        <f>-38-BO206</f>
        <v>-38</v>
      </c>
      <c r="BQ206" s="48">
        <f>-11340-BO206-BP206</f>
        <v>-11302</v>
      </c>
      <c r="BR206" s="3">
        <f t="shared" si="491"/>
        <v>-85</v>
      </c>
      <c r="BS206" s="243">
        <v>-11425</v>
      </c>
      <c r="BT206" s="37">
        <v>0</v>
      </c>
      <c r="BU206" s="38">
        <v>0</v>
      </c>
      <c r="BV206" s="38">
        <v>0</v>
      </c>
      <c r="BW206" s="38">
        <v>0</v>
      </c>
      <c r="BX206" s="93">
        <f t="shared" si="492"/>
        <v>0</v>
      </c>
      <c r="BY206" s="37">
        <v>0</v>
      </c>
      <c r="BZ206" s="38">
        <v>0</v>
      </c>
      <c r="CA206" s="38">
        <v>0</v>
      </c>
      <c r="CB206" s="38">
        <v>0</v>
      </c>
      <c r="CC206" s="93">
        <f t="shared" si="493"/>
        <v>0</v>
      </c>
      <c r="CD206" s="37">
        <v>0</v>
      </c>
      <c r="CE206" s="38">
        <v>0</v>
      </c>
      <c r="CF206" s="38">
        <v>0</v>
      </c>
      <c r="CG206" s="38">
        <v>0</v>
      </c>
      <c r="CH206" s="93">
        <f t="shared" si="494"/>
        <v>0</v>
      </c>
      <c r="CI206" s="37">
        <v>0</v>
      </c>
      <c r="CJ206" s="38">
        <v>0</v>
      </c>
      <c r="CK206" s="38">
        <v>0</v>
      </c>
      <c r="CL206" s="38">
        <v>0</v>
      </c>
      <c r="CM206" s="93">
        <f t="shared" si="495"/>
        <v>0</v>
      </c>
      <c r="CN206" s="37">
        <v>0</v>
      </c>
      <c r="CO206" s="38">
        <v>0</v>
      </c>
      <c r="CP206" s="38">
        <v>0</v>
      </c>
      <c r="CQ206" s="38">
        <v>0</v>
      </c>
      <c r="CR206" s="93">
        <f t="shared" si="496"/>
        <v>0</v>
      </c>
      <c r="CS206" s="37">
        <v>0</v>
      </c>
      <c r="CT206" s="38">
        <v>0</v>
      </c>
      <c r="CU206" s="38">
        <v>0</v>
      </c>
      <c r="CV206" s="38">
        <v>0</v>
      </c>
      <c r="CW206" s="93">
        <f t="shared" si="497"/>
        <v>0</v>
      </c>
      <c r="CX206" s="37">
        <v>0</v>
      </c>
      <c r="CY206" s="38">
        <v>0</v>
      </c>
      <c r="CZ206" s="38">
        <v>0</v>
      </c>
      <c r="DA206" s="38">
        <v>0</v>
      </c>
      <c r="DB206" s="93">
        <f t="shared" si="498"/>
        <v>0</v>
      </c>
      <c r="DC206" s="3"/>
      <c r="DD206" s="3"/>
      <c r="DE206" s="3"/>
      <c r="DF206" s="3"/>
      <c r="DG206" s="3"/>
      <c r="DH206" s="3"/>
      <c r="DI206" s="3"/>
      <c r="DJ206" s="3"/>
      <c r="DK206" s="98"/>
      <c r="DL206" s="98"/>
      <c r="DM206" s="18"/>
    </row>
    <row r="207" spans="1:117">
      <c r="A207" s="15" t="s">
        <v>494</v>
      </c>
      <c r="B207" s="244">
        <v>0</v>
      </c>
      <c r="C207" s="48">
        <f>0-B207</f>
        <v>0</v>
      </c>
      <c r="D207" s="3">
        <f t="shared" si="501"/>
        <v>0</v>
      </c>
      <c r="E207" s="3">
        <f t="shared" si="478"/>
        <v>0</v>
      </c>
      <c r="F207" s="194">
        <v>0</v>
      </c>
      <c r="G207" s="244">
        <v>0</v>
      </c>
      <c r="H207" s="48">
        <f>0-G207</f>
        <v>0</v>
      </c>
      <c r="I207" s="3">
        <f>0-H207-G207</f>
        <v>0</v>
      </c>
      <c r="J207" s="3">
        <f t="shared" si="479"/>
        <v>0</v>
      </c>
      <c r="K207" s="194">
        <v>0</v>
      </c>
      <c r="L207" s="244">
        <v>402447</v>
      </c>
      <c r="M207" s="48">
        <f>402448-L207</f>
        <v>1</v>
      </c>
      <c r="N207" s="3">
        <f>402448-M207-L207</f>
        <v>0</v>
      </c>
      <c r="O207" s="3">
        <f t="shared" si="480"/>
        <v>0</v>
      </c>
      <c r="P207" s="194">
        <v>402448</v>
      </c>
      <c r="Q207" s="244">
        <v>0</v>
      </c>
      <c r="R207" s="48">
        <f>0-Q207</f>
        <v>0</v>
      </c>
      <c r="S207" s="3">
        <f>0-R207-Q207</f>
        <v>0</v>
      </c>
      <c r="T207" s="3">
        <f t="shared" si="481"/>
        <v>0</v>
      </c>
      <c r="U207" s="194">
        <v>0</v>
      </c>
      <c r="V207" s="244">
        <v>0</v>
      </c>
      <c r="W207" s="48">
        <f>0-V207</f>
        <v>0</v>
      </c>
      <c r="X207" s="3">
        <f>0-W207-V207</f>
        <v>0</v>
      </c>
      <c r="Y207" s="3">
        <f t="shared" si="482"/>
        <v>0</v>
      </c>
      <c r="Z207" s="243">
        <v>0</v>
      </c>
      <c r="AA207" s="244">
        <v>0</v>
      </c>
      <c r="AB207" s="38">
        <v>0</v>
      </c>
      <c r="AC207" s="38">
        <v>0</v>
      </c>
      <c r="AD207" s="3">
        <f t="shared" si="483"/>
        <v>0</v>
      </c>
      <c r="AE207" s="243">
        <v>0</v>
      </c>
      <c r="AF207" s="244">
        <v>0</v>
      </c>
      <c r="AG207" s="48">
        <v>0</v>
      </c>
      <c r="AH207" s="48">
        <v>0</v>
      </c>
      <c r="AI207" s="3">
        <f t="shared" si="484"/>
        <v>0</v>
      </c>
      <c r="AJ207" s="243">
        <v>0</v>
      </c>
      <c r="AK207" s="244">
        <v>0</v>
      </c>
      <c r="AL207" s="178">
        <f>0-AK207</f>
        <v>0</v>
      </c>
      <c r="AM207" s="178">
        <v>0</v>
      </c>
      <c r="AN207" s="3">
        <f t="shared" si="485"/>
        <v>0</v>
      </c>
      <c r="AO207" s="243">
        <v>0</v>
      </c>
      <c r="AP207" s="244">
        <v>0</v>
      </c>
      <c r="AQ207" s="38">
        <v>0</v>
      </c>
      <c r="AR207" s="178">
        <v>0</v>
      </c>
      <c r="AS207" s="3">
        <f t="shared" si="486"/>
        <v>0</v>
      </c>
      <c r="AT207" s="243">
        <v>0</v>
      </c>
      <c r="AU207" s="244">
        <v>0</v>
      </c>
      <c r="AV207" s="38">
        <v>0</v>
      </c>
      <c r="AW207" s="178">
        <v>0</v>
      </c>
      <c r="AX207" s="3">
        <f t="shared" si="487"/>
        <v>0</v>
      </c>
      <c r="AY207" s="243">
        <v>0</v>
      </c>
      <c r="AZ207" s="244">
        <v>0</v>
      </c>
      <c r="BA207" s="38">
        <v>0</v>
      </c>
      <c r="BB207" s="178">
        <v>0</v>
      </c>
      <c r="BC207" s="3">
        <f t="shared" si="488"/>
        <v>0</v>
      </c>
      <c r="BD207" s="243">
        <v>0</v>
      </c>
      <c r="BE207" s="244">
        <v>0</v>
      </c>
      <c r="BF207" s="38">
        <v>0</v>
      </c>
      <c r="BG207" s="38">
        <v>0</v>
      </c>
      <c r="BH207" s="3">
        <f t="shared" si="489"/>
        <v>0</v>
      </c>
      <c r="BI207" s="243">
        <v>0</v>
      </c>
      <c r="BJ207" s="244">
        <v>0</v>
      </c>
      <c r="BK207" s="48">
        <v>0</v>
      </c>
      <c r="BL207" s="48">
        <f>0-BK207-BJ207</f>
        <v>0</v>
      </c>
      <c r="BM207" s="3">
        <f t="shared" si="490"/>
        <v>0</v>
      </c>
      <c r="BN207" s="243">
        <v>0</v>
      </c>
      <c r="BO207" s="244">
        <v>0</v>
      </c>
      <c r="BP207" s="3">
        <f t="shared" si="499"/>
        <v>0</v>
      </c>
      <c r="BQ207" s="38">
        <f t="shared" ref="BQ207:BQ208" si="502">0-BO207-BP207</f>
        <v>0</v>
      </c>
      <c r="BR207" s="3">
        <f t="shared" si="491"/>
        <v>0</v>
      </c>
      <c r="BS207" s="243">
        <v>0</v>
      </c>
      <c r="BT207" s="37">
        <v>0</v>
      </c>
      <c r="BU207" s="38">
        <v>0</v>
      </c>
      <c r="BV207" s="38">
        <v>0</v>
      </c>
      <c r="BW207" s="38">
        <v>0</v>
      </c>
      <c r="BX207" s="93">
        <f t="shared" si="492"/>
        <v>0</v>
      </c>
      <c r="BY207" s="37">
        <v>0</v>
      </c>
      <c r="BZ207" s="38">
        <v>0</v>
      </c>
      <c r="CA207" s="38">
        <v>0</v>
      </c>
      <c r="CB207" s="38">
        <v>0</v>
      </c>
      <c r="CC207" s="93">
        <f t="shared" si="493"/>
        <v>0</v>
      </c>
      <c r="CD207" s="37">
        <v>0</v>
      </c>
      <c r="CE207" s="38">
        <v>0</v>
      </c>
      <c r="CF207" s="38">
        <v>0</v>
      </c>
      <c r="CG207" s="38">
        <v>0</v>
      </c>
      <c r="CH207" s="93">
        <f t="shared" si="494"/>
        <v>0</v>
      </c>
      <c r="CI207" s="37">
        <v>0</v>
      </c>
      <c r="CJ207" s="38">
        <v>0</v>
      </c>
      <c r="CK207" s="38">
        <v>0</v>
      </c>
      <c r="CL207" s="38">
        <v>0</v>
      </c>
      <c r="CM207" s="93">
        <f t="shared" si="495"/>
        <v>0</v>
      </c>
      <c r="CN207" s="37">
        <v>0</v>
      </c>
      <c r="CO207" s="38">
        <v>0</v>
      </c>
      <c r="CP207" s="38">
        <v>0</v>
      </c>
      <c r="CQ207" s="38">
        <v>0</v>
      </c>
      <c r="CR207" s="93">
        <f t="shared" si="496"/>
        <v>0</v>
      </c>
      <c r="CS207" s="37">
        <v>0</v>
      </c>
      <c r="CT207" s="38">
        <v>0</v>
      </c>
      <c r="CU207" s="38">
        <v>0</v>
      </c>
      <c r="CV207" s="38">
        <v>0</v>
      </c>
      <c r="CW207" s="93">
        <f t="shared" si="497"/>
        <v>0</v>
      </c>
      <c r="CX207" s="37">
        <v>0</v>
      </c>
      <c r="CY207" s="38">
        <v>0</v>
      </c>
      <c r="CZ207" s="38">
        <v>0</v>
      </c>
      <c r="DA207" s="38">
        <v>0</v>
      </c>
      <c r="DB207" s="93">
        <f t="shared" si="498"/>
        <v>0</v>
      </c>
      <c r="DC207" s="3"/>
      <c r="DD207" s="3"/>
      <c r="DE207" s="3"/>
      <c r="DF207" s="3"/>
      <c r="DG207" s="3"/>
      <c r="DH207" s="3"/>
      <c r="DI207" s="3"/>
      <c r="DJ207" s="3"/>
      <c r="DK207" s="98"/>
      <c r="DL207" s="98"/>
      <c r="DM207" s="18"/>
    </row>
    <row r="208" spans="1:117">
      <c r="A208" s="15" t="s">
        <v>233</v>
      </c>
      <c r="B208" s="244">
        <v>-800</v>
      </c>
      <c r="C208" s="99">
        <f>-798-B208</f>
        <v>2</v>
      </c>
      <c r="D208" s="98">
        <f t="shared" si="501"/>
        <v>798</v>
      </c>
      <c r="E208" s="3">
        <f t="shared" si="478"/>
        <v>-823</v>
      </c>
      <c r="F208" s="194">
        <v>-823</v>
      </c>
      <c r="G208" s="244">
        <v>-65282</v>
      </c>
      <c r="H208" s="48">
        <f>-112507-G208</f>
        <v>-47225</v>
      </c>
      <c r="I208" s="3">
        <f>-188770-H208-G208</f>
        <v>-76263</v>
      </c>
      <c r="J208" s="3">
        <f t="shared" si="479"/>
        <v>-44304</v>
      </c>
      <c r="K208" s="194">
        <v>-233074</v>
      </c>
      <c r="L208" s="244">
        <v>-1408</v>
      </c>
      <c r="M208" s="48">
        <f>-2276-L208</f>
        <v>-868</v>
      </c>
      <c r="N208" s="3">
        <f>-281420-M208-L208</f>
        <v>-279144</v>
      </c>
      <c r="O208" s="3">
        <f t="shared" si="480"/>
        <v>-24</v>
      </c>
      <c r="P208" s="194">
        <v>-281444</v>
      </c>
      <c r="Q208" s="244">
        <v>-20089</v>
      </c>
      <c r="R208" s="48">
        <f>-390152-Q208</f>
        <v>-370063</v>
      </c>
      <c r="S208" s="3">
        <f>-390193-R208-Q208</f>
        <v>-41</v>
      </c>
      <c r="T208" s="3">
        <f t="shared" si="481"/>
        <v>-20</v>
      </c>
      <c r="U208" s="194">
        <v>-390213</v>
      </c>
      <c r="V208" s="244">
        <v>-15</v>
      </c>
      <c r="W208" s="48">
        <f>-29-V208</f>
        <v>-14</v>
      </c>
      <c r="X208" s="3">
        <f>-29-W208-V208</f>
        <v>0</v>
      </c>
      <c r="Y208" s="3">
        <f>Z208-SUM(V208:X208)</f>
        <v>0</v>
      </c>
      <c r="Z208" s="243">
        <v>-29</v>
      </c>
      <c r="AA208" s="244">
        <v>-247</v>
      </c>
      <c r="AB208" s="48">
        <f>-250-AA208</f>
        <v>-3</v>
      </c>
      <c r="AC208" s="48">
        <f>-252-AB208-AA208</f>
        <v>-2</v>
      </c>
      <c r="AD208" s="3">
        <f t="shared" si="483"/>
        <v>-2</v>
      </c>
      <c r="AE208" s="243">
        <v>-254</v>
      </c>
      <c r="AF208" s="244">
        <v>-5</v>
      </c>
      <c r="AG208" s="48">
        <f>-5-AF208</f>
        <v>0</v>
      </c>
      <c r="AH208" s="48">
        <f>-5-AG208-AF208</f>
        <v>0</v>
      </c>
      <c r="AI208" s="3">
        <f t="shared" si="484"/>
        <v>-2</v>
      </c>
      <c r="AJ208" s="243">
        <v>-7</v>
      </c>
      <c r="AK208" s="244">
        <v>-48</v>
      </c>
      <c r="AL208" s="178">
        <f>-300105-AK208</f>
        <v>-300057</v>
      </c>
      <c r="AM208" s="178">
        <f>-300108-AL208-AK208</f>
        <v>-3</v>
      </c>
      <c r="AN208" s="3">
        <f t="shared" si="485"/>
        <v>0</v>
      </c>
      <c r="AO208" s="243">
        <v>-300108</v>
      </c>
      <c r="AP208" s="244">
        <v>0</v>
      </c>
      <c r="AQ208" s="38">
        <f>-150000-AP208</f>
        <v>-150000</v>
      </c>
      <c r="AR208" s="178">
        <f>-150000-AQ208-AP208</f>
        <v>0</v>
      </c>
      <c r="AS208" s="3">
        <f t="shared" si="486"/>
        <v>0</v>
      </c>
      <c r="AT208" s="243">
        <v>-150000</v>
      </c>
      <c r="AU208" s="244">
        <v>0</v>
      </c>
      <c r="AV208" s="38">
        <v>0</v>
      </c>
      <c r="AW208" s="178">
        <v>0</v>
      </c>
      <c r="AX208" s="3">
        <f t="shared" si="487"/>
        <v>0</v>
      </c>
      <c r="AY208" s="243">
        <v>0</v>
      </c>
      <c r="AZ208" s="244">
        <v>0</v>
      </c>
      <c r="BA208" s="38">
        <v>0</v>
      </c>
      <c r="BB208" s="178">
        <v>0</v>
      </c>
      <c r="BC208" s="3">
        <f t="shared" si="488"/>
        <v>0</v>
      </c>
      <c r="BD208" s="243">
        <v>0</v>
      </c>
      <c r="BE208" s="244">
        <v>0</v>
      </c>
      <c r="BF208" s="38">
        <v>0</v>
      </c>
      <c r="BG208" s="38">
        <v>0</v>
      </c>
      <c r="BH208" s="3">
        <f t="shared" si="489"/>
        <v>0</v>
      </c>
      <c r="BI208" s="243">
        <v>0</v>
      </c>
      <c r="BJ208" s="244">
        <v>0</v>
      </c>
      <c r="BK208" s="48">
        <v>0</v>
      </c>
      <c r="BL208" s="48">
        <f>0-BK208-BJ208</f>
        <v>0</v>
      </c>
      <c r="BM208" s="3">
        <f t="shared" si="490"/>
        <v>0</v>
      </c>
      <c r="BN208" s="243">
        <v>0</v>
      </c>
      <c r="BO208" s="244">
        <v>0</v>
      </c>
      <c r="BP208" s="3">
        <f t="shared" si="499"/>
        <v>0</v>
      </c>
      <c r="BQ208" s="38">
        <f t="shared" si="502"/>
        <v>0</v>
      </c>
      <c r="BR208" s="3">
        <f t="shared" si="491"/>
        <v>0</v>
      </c>
      <c r="BS208" s="243">
        <v>0</v>
      </c>
      <c r="BT208" s="37">
        <v>0</v>
      </c>
      <c r="BU208" s="38">
        <v>0</v>
      </c>
      <c r="BV208" s="38">
        <v>0</v>
      </c>
      <c r="BW208" s="38">
        <v>0</v>
      </c>
      <c r="BX208" s="93">
        <f t="shared" si="492"/>
        <v>0</v>
      </c>
      <c r="BY208" s="37">
        <v>0</v>
      </c>
      <c r="BZ208" s="38">
        <v>0</v>
      </c>
      <c r="CA208" s="38">
        <v>0</v>
      </c>
      <c r="CB208" s="38">
        <v>0</v>
      </c>
      <c r="CC208" s="93">
        <f t="shared" si="493"/>
        <v>0</v>
      </c>
      <c r="CD208" s="37">
        <v>0</v>
      </c>
      <c r="CE208" s="38">
        <v>0</v>
      </c>
      <c r="CF208" s="38">
        <v>0</v>
      </c>
      <c r="CG208" s="38">
        <v>0</v>
      </c>
      <c r="CH208" s="93">
        <f t="shared" si="494"/>
        <v>0</v>
      </c>
      <c r="CI208" s="37">
        <v>0</v>
      </c>
      <c r="CJ208" s="38">
        <v>0</v>
      </c>
      <c r="CK208" s="38">
        <v>0</v>
      </c>
      <c r="CL208" s="38">
        <v>0</v>
      </c>
      <c r="CM208" s="93">
        <f t="shared" si="495"/>
        <v>0</v>
      </c>
      <c r="CN208" s="37">
        <v>0</v>
      </c>
      <c r="CO208" s="38">
        <v>0</v>
      </c>
      <c r="CP208" s="38">
        <v>0</v>
      </c>
      <c r="CQ208" s="38">
        <v>0</v>
      </c>
      <c r="CR208" s="93">
        <f t="shared" si="496"/>
        <v>0</v>
      </c>
      <c r="CS208" s="37">
        <v>0</v>
      </c>
      <c r="CT208" s="38">
        <v>0</v>
      </c>
      <c r="CU208" s="38">
        <v>0</v>
      </c>
      <c r="CV208" s="38">
        <v>0</v>
      </c>
      <c r="CW208" s="93">
        <f t="shared" si="497"/>
        <v>0</v>
      </c>
      <c r="CX208" s="37">
        <v>0</v>
      </c>
      <c r="CY208" s="38">
        <v>0</v>
      </c>
      <c r="CZ208" s="38">
        <v>0</v>
      </c>
      <c r="DA208" s="38">
        <v>0</v>
      </c>
      <c r="DB208" s="93">
        <f t="shared" si="498"/>
        <v>0</v>
      </c>
      <c r="DC208" s="3"/>
      <c r="DD208" s="3"/>
      <c r="DE208" s="3"/>
      <c r="DF208" s="3"/>
      <c r="DG208" s="3"/>
      <c r="DH208" s="3"/>
      <c r="DI208" s="3"/>
      <c r="DJ208" s="3"/>
      <c r="DK208" s="98"/>
      <c r="DL208" s="98"/>
      <c r="DM208" s="18"/>
    </row>
    <row r="209" spans="1:117">
      <c r="A209" s="15" t="s">
        <v>644</v>
      </c>
      <c r="B209" s="244">
        <v>160720</v>
      </c>
      <c r="C209" s="48">
        <f>168545-B209</f>
        <v>7825</v>
      </c>
      <c r="D209" s="3">
        <f>176107-C209-B209</f>
        <v>7562</v>
      </c>
      <c r="E209" s="3">
        <f t="shared" si="478"/>
        <v>-20862</v>
      </c>
      <c r="F209" s="194">
        <v>155245</v>
      </c>
      <c r="G209" s="244">
        <v>4875</v>
      </c>
      <c r="H209" s="48">
        <f>7857-G209</f>
        <v>2982</v>
      </c>
      <c r="I209" s="3">
        <f>3291-H209-G209</f>
        <v>-4566</v>
      </c>
      <c r="J209" s="3">
        <f t="shared" si="479"/>
        <v>1381</v>
      </c>
      <c r="K209" s="194">
        <v>4672</v>
      </c>
      <c r="L209" s="244">
        <v>1333</v>
      </c>
      <c r="M209" s="48">
        <f>5637-L209</f>
        <v>4304</v>
      </c>
      <c r="N209" s="3">
        <f>8659-M209-L209</f>
        <v>3022</v>
      </c>
      <c r="O209" s="3">
        <f t="shared" si="480"/>
        <v>2170</v>
      </c>
      <c r="P209" s="194">
        <v>10829</v>
      </c>
      <c r="Q209" s="244">
        <v>2702</v>
      </c>
      <c r="R209" s="48">
        <f>9081-Q209</f>
        <v>6379</v>
      </c>
      <c r="S209" s="3">
        <f>11443-R209-Q209</f>
        <v>2362</v>
      </c>
      <c r="T209" s="3">
        <f t="shared" si="481"/>
        <v>9287</v>
      </c>
      <c r="U209" s="194">
        <v>20730</v>
      </c>
      <c r="V209" s="244">
        <v>1533</v>
      </c>
      <c r="W209" s="48">
        <f>5786-V209</f>
        <v>4253</v>
      </c>
      <c r="X209" s="3">
        <f>7249-W209-V209</f>
        <v>1463</v>
      </c>
      <c r="Y209" s="3">
        <f t="shared" si="482"/>
        <v>9246</v>
      </c>
      <c r="Z209" s="243">
        <v>16495</v>
      </c>
      <c r="AA209" s="244">
        <v>2509</v>
      </c>
      <c r="AB209" s="48">
        <f>4342-AA209</f>
        <v>1833</v>
      </c>
      <c r="AC209" s="48">
        <f>6739-AB209-AA209</f>
        <v>2397</v>
      </c>
      <c r="AD209" s="3">
        <f t="shared" si="483"/>
        <v>10578</v>
      </c>
      <c r="AE209" s="243">
        <v>17317</v>
      </c>
      <c r="AF209" s="244">
        <v>4663</v>
      </c>
      <c r="AG209" s="48">
        <f>7884-AF209</f>
        <v>3221</v>
      </c>
      <c r="AH209" s="48">
        <f>9357-AG209-AF209</f>
        <v>1473</v>
      </c>
      <c r="AI209" s="3">
        <f t="shared" si="484"/>
        <v>11555</v>
      </c>
      <c r="AJ209" s="243">
        <v>20912</v>
      </c>
      <c r="AK209" s="244">
        <v>5024</v>
      </c>
      <c r="AL209" s="178">
        <f>4920-AK209</f>
        <v>-104</v>
      </c>
      <c r="AM209" s="178">
        <f>7142-AL209-AK209</f>
        <v>2222</v>
      </c>
      <c r="AN209" s="3">
        <f t="shared" si="485"/>
        <v>10764</v>
      </c>
      <c r="AO209" s="243">
        <v>17906</v>
      </c>
      <c r="AP209" s="244">
        <v>2228</v>
      </c>
      <c r="AQ209" s="178">
        <f>4591-AP209</f>
        <v>2363</v>
      </c>
      <c r="AR209" s="178">
        <f>7068-AQ209-AP209</f>
        <v>2477</v>
      </c>
      <c r="AS209" s="3">
        <f t="shared" si="486"/>
        <v>8901</v>
      </c>
      <c r="AT209" s="243">
        <v>15969</v>
      </c>
      <c r="AU209" s="244">
        <v>2831</v>
      </c>
      <c r="AV209" s="178">
        <f>6002-AU209</f>
        <v>3171</v>
      </c>
      <c r="AW209" s="178">
        <f>8538-AV209-AU209</f>
        <v>2536</v>
      </c>
      <c r="AX209" s="3">
        <f t="shared" si="487"/>
        <v>12064</v>
      </c>
      <c r="AY209" s="243">
        <v>20602</v>
      </c>
      <c r="AZ209" s="244">
        <v>3020</v>
      </c>
      <c r="BA209" s="178">
        <f>9166-AZ209</f>
        <v>6146</v>
      </c>
      <c r="BB209" s="178">
        <f>12908-BA209-AZ209</f>
        <v>3742</v>
      </c>
      <c r="BC209" s="3">
        <f t="shared" si="488"/>
        <v>6242</v>
      </c>
      <c r="BD209" s="243">
        <v>19150</v>
      </c>
      <c r="BE209" s="244">
        <v>3796</v>
      </c>
      <c r="BF209" s="178">
        <f>10298-BE209</f>
        <v>6502</v>
      </c>
      <c r="BG209" s="178">
        <f>13839-BF209-BE209</f>
        <v>3541</v>
      </c>
      <c r="BH209" s="3">
        <f t="shared" si="489"/>
        <v>6830</v>
      </c>
      <c r="BI209" s="243">
        <v>20669</v>
      </c>
      <c r="BJ209" s="244">
        <v>3964</v>
      </c>
      <c r="BK209" s="3">
        <f>11101-BJ209</f>
        <v>7137</v>
      </c>
      <c r="BL209" s="3">
        <f>14948-BK209-BJ209</f>
        <v>3847</v>
      </c>
      <c r="BM209" s="3">
        <f t="shared" si="490"/>
        <v>7023</v>
      </c>
      <c r="BN209" s="243">
        <v>21971</v>
      </c>
      <c r="BO209" s="244">
        <v>3722</v>
      </c>
      <c r="BP209" s="48">
        <f>10845-BO209</f>
        <v>7123</v>
      </c>
      <c r="BQ209" s="48">
        <f>45849-BP209-BO209</f>
        <v>35004</v>
      </c>
      <c r="BR209" s="3">
        <f t="shared" si="491"/>
        <v>425509</v>
      </c>
      <c r="BS209" s="243">
        <v>471358</v>
      </c>
      <c r="BT209" s="567">
        <v>1035000</v>
      </c>
      <c r="BU209" s="48">
        <f>-(BU191+BU192-BU194-BU195)*BU227</f>
        <v>0</v>
      </c>
      <c r="BV209" s="48">
        <f>-(BV191+BV192-BV194-BV195)*BV227</f>
        <v>0</v>
      </c>
      <c r="BW209" s="48">
        <f>-(BW191+BW192-BW194-BW195)*BW227</f>
        <v>0</v>
      </c>
      <c r="BX209" s="93">
        <f t="shared" si="492"/>
        <v>1035000</v>
      </c>
      <c r="BY209" s="48">
        <f>-(BY191+BY192-BY194-BY195)*BY227</f>
        <v>0</v>
      </c>
      <c r="BZ209" s="48">
        <f>-(BZ191+BZ192-BZ194-BZ195)*BZ227</f>
        <v>0</v>
      </c>
      <c r="CA209" s="48">
        <f>-(CA191+CA192-CA194-CA195)*CA227</f>
        <v>0</v>
      </c>
      <c r="CB209" s="48">
        <f>-(CB191+CB192-CB194-CB195)*CB227</f>
        <v>0</v>
      </c>
      <c r="CC209" s="93">
        <f t="shared" si="493"/>
        <v>0</v>
      </c>
      <c r="CD209" s="48">
        <f>-(CD191+CD192-CD194-CD195)*CD227</f>
        <v>0</v>
      </c>
      <c r="CE209" s="48">
        <f>-(CE191+CE192-CE194-CE195)*CE227</f>
        <v>0</v>
      </c>
      <c r="CF209" s="48">
        <f>-(CF191+CF192-CF194-CF195)*CF227</f>
        <v>0</v>
      </c>
      <c r="CG209" s="48">
        <f>-(CG191+CG192-CG194-CG195)*CG227</f>
        <v>0</v>
      </c>
      <c r="CH209" s="93">
        <f t="shared" si="494"/>
        <v>0</v>
      </c>
      <c r="CI209" s="48">
        <f>-(CI191+CI192-CI194-CI195)*CI227</f>
        <v>0</v>
      </c>
      <c r="CJ209" s="48">
        <f>-(CJ191+CJ192-CJ194-CJ195)*CJ227</f>
        <v>0</v>
      </c>
      <c r="CK209" s="48">
        <f>-(CK191+CK192-CK194-CK195)*CK227</f>
        <v>0</v>
      </c>
      <c r="CL209" s="48">
        <f>-(CL191+CL192-CL194-CL195)*CL227</f>
        <v>0</v>
      </c>
      <c r="CM209" s="93">
        <f t="shared" si="495"/>
        <v>0</v>
      </c>
      <c r="CN209" s="48">
        <f>-(CN191+CN192-CN194-CN195)*CN227</f>
        <v>0</v>
      </c>
      <c r="CO209" s="48">
        <f>-(CO191+CO192-CO194-CO195)*CO227</f>
        <v>0</v>
      </c>
      <c r="CP209" s="48">
        <f>-(CP191+CP192-CP194-CP195)*CP227</f>
        <v>0</v>
      </c>
      <c r="CQ209" s="48">
        <f>-(CQ191+CQ192-CQ194-CQ195)*CQ227</f>
        <v>0</v>
      </c>
      <c r="CR209" s="93">
        <f t="shared" si="496"/>
        <v>0</v>
      </c>
      <c r="CS209" s="48">
        <f>-(CS191+CS192-CS194-CS195)*CS227</f>
        <v>0</v>
      </c>
      <c r="CT209" s="48">
        <f>-(CT191+CT192-CT194-CT195)*CT227</f>
        <v>0</v>
      </c>
      <c r="CU209" s="48">
        <f>-(CU191+CU192-CU194-CU195)*CU227</f>
        <v>0</v>
      </c>
      <c r="CV209" s="48">
        <f>-(CV191+CV192-CV194-CV195)*CV227</f>
        <v>0</v>
      </c>
      <c r="CW209" s="93">
        <f t="shared" si="497"/>
        <v>0</v>
      </c>
      <c r="CX209" s="48">
        <f>-(CX191+CX192-CX194-CX195)*CX227</f>
        <v>0</v>
      </c>
      <c r="CY209" s="48">
        <f>-(CY191+CY192-CY194-CY195)*CY227</f>
        <v>0</v>
      </c>
      <c r="CZ209" s="48">
        <f>-(CZ191+CZ192-CZ194-CZ195)*CZ227</f>
        <v>0</v>
      </c>
      <c r="DA209" s="48">
        <f>-(DA191+DA192-DA194-DA195)*DA227</f>
        <v>0</v>
      </c>
      <c r="DB209" s="93">
        <f t="shared" si="498"/>
        <v>0</v>
      </c>
      <c r="DC209" s="3"/>
      <c r="DD209" s="3"/>
      <c r="DE209" s="3"/>
      <c r="DF209" s="3"/>
      <c r="DG209" s="3"/>
      <c r="DH209" s="3"/>
      <c r="DI209" s="3"/>
      <c r="DJ209" s="3"/>
      <c r="DK209" s="98"/>
      <c r="DL209" s="98"/>
      <c r="DM209" s="18"/>
    </row>
    <row r="210" spans="1:117">
      <c r="A210" s="15" t="s">
        <v>645</v>
      </c>
      <c r="B210" s="244">
        <v>0</v>
      </c>
      <c r="C210" s="48">
        <f>0-B210</f>
        <v>0</v>
      </c>
      <c r="D210" s="3">
        <f t="shared" si="501"/>
        <v>0</v>
      </c>
      <c r="E210" s="3">
        <f t="shared" si="478"/>
        <v>0</v>
      </c>
      <c r="F210" s="194">
        <v>0</v>
      </c>
      <c r="G210" s="244">
        <v>0</v>
      </c>
      <c r="H210" s="48">
        <f>0-G210</f>
        <v>0</v>
      </c>
      <c r="I210" s="3">
        <f>0-H210-G210</f>
        <v>0</v>
      </c>
      <c r="J210" s="3">
        <f t="shared" si="479"/>
        <v>0</v>
      </c>
      <c r="K210" s="93">
        <v>0</v>
      </c>
      <c r="L210" s="244">
        <v>0</v>
      </c>
      <c r="M210" s="48">
        <f>0-L210</f>
        <v>0</v>
      </c>
      <c r="N210" s="3">
        <f>0-M210-L210</f>
        <v>0</v>
      </c>
      <c r="O210" s="3">
        <f t="shared" si="480"/>
        <v>0</v>
      </c>
      <c r="P210" s="93">
        <v>0</v>
      </c>
      <c r="Q210" s="244">
        <v>0</v>
      </c>
      <c r="R210" s="48">
        <f>0-Q210</f>
        <v>0</v>
      </c>
      <c r="S210" s="3">
        <f>0-R210-Q210</f>
        <v>0</v>
      </c>
      <c r="T210" s="3">
        <f t="shared" si="481"/>
        <v>0</v>
      </c>
      <c r="U210" s="93">
        <v>0</v>
      </c>
      <c r="V210" s="244">
        <v>140369</v>
      </c>
      <c r="W210" s="48">
        <f>146969-V210</f>
        <v>6600</v>
      </c>
      <c r="X210" s="3">
        <f>146969-W210-V210</f>
        <v>0</v>
      </c>
      <c r="Y210" s="3">
        <f t="shared" si="482"/>
        <v>0</v>
      </c>
      <c r="Z210" s="243">
        <v>146969</v>
      </c>
      <c r="AA210" s="139">
        <v>0</v>
      </c>
      <c r="AB210" s="48">
        <f>220458-AA210</f>
        <v>220458</v>
      </c>
      <c r="AC210" s="48">
        <f>241643-AB210-AA210</f>
        <v>21185</v>
      </c>
      <c r="AD210" s="3">
        <f t="shared" si="483"/>
        <v>-1</v>
      </c>
      <c r="AE210" s="243">
        <v>241642</v>
      </c>
      <c r="AF210" s="244">
        <v>322721</v>
      </c>
      <c r="AG210" s="48">
        <f>322704-AF210</f>
        <v>-17</v>
      </c>
      <c r="AH210" s="393">
        <f>322701-AG210-AF210</f>
        <v>-3</v>
      </c>
      <c r="AI210" s="3">
        <f t="shared" si="484"/>
        <v>0</v>
      </c>
      <c r="AJ210" s="243">
        <v>322701</v>
      </c>
      <c r="AK210" s="244">
        <v>0</v>
      </c>
      <c r="AL210" s="178">
        <f>0-AK210</f>
        <v>0</v>
      </c>
      <c r="AM210" s="178">
        <v>0</v>
      </c>
      <c r="AN210" s="3">
        <f t="shared" si="485"/>
        <v>0</v>
      </c>
      <c r="AO210" s="243">
        <v>0</v>
      </c>
      <c r="AP210" s="244">
        <v>459735</v>
      </c>
      <c r="AQ210" s="178">
        <f>459680-AP210</f>
        <v>-55</v>
      </c>
      <c r="AR210" s="178">
        <f>459680-AQ210-AP210</f>
        <v>0</v>
      </c>
      <c r="AS210" s="3">
        <f t="shared" si="486"/>
        <v>-93</v>
      </c>
      <c r="AT210" s="243">
        <v>459587</v>
      </c>
      <c r="AU210" s="244">
        <v>12819</v>
      </c>
      <c r="AV210" s="178">
        <f>15942-AU210</f>
        <v>3123</v>
      </c>
      <c r="AW210" s="178">
        <f>569246-AV210-AU210</f>
        <v>553304</v>
      </c>
      <c r="AX210" s="3">
        <f t="shared" si="487"/>
        <v>14683</v>
      </c>
      <c r="AY210" s="243">
        <v>583929</v>
      </c>
      <c r="AZ210" s="244">
        <v>52839</v>
      </c>
      <c r="BA210" s="178">
        <f>878765-AZ210</f>
        <v>825926</v>
      </c>
      <c r="BB210" s="178">
        <f>947472-BA210-AZ210</f>
        <v>68707</v>
      </c>
      <c r="BC210" s="3">
        <f t="shared" si="488"/>
        <v>165667</v>
      </c>
      <c r="BD210" s="243">
        <v>1113139</v>
      </c>
      <c r="BE210" s="244">
        <v>53388</v>
      </c>
      <c r="BF210" s="178">
        <f>275098-BE210</f>
        <v>221710</v>
      </c>
      <c r="BG210" s="178">
        <f>375660-BF210-BE210</f>
        <v>100562</v>
      </c>
      <c r="BH210" s="3">
        <f t="shared" si="489"/>
        <v>0</v>
      </c>
      <c r="BI210" s="243">
        <v>375660</v>
      </c>
      <c r="BJ210" s="244">
        <v>0</v>
      </c>
      <c r="BK210" s="3">
        <f>0-BJ210</f>
        <v>0</v>
      </c>
      <c r="BL210" s="3">
        <f>0-BK210-BJ210</f>
        <v>0</v>
      </c>
      <c r="BM210" s="3">
        <f t="shared" si="490"/>
        <v>0</v>
      </c>
      <c r="BN210" s="243">
        <v>0</v>
      </c>
      <c r="BO210" s="244">
        <v>0</v>
      </c>
      <c r="BP210" s="3">
        <f t="shared" ref="BP210" si="503">0-BO210</f>
        <v>0</v>
      </c>
      <c r="BQ210" s="38">
        <f>0-BO210-BP210</f>
        <v>0</v>
      </c>
      <c r="BR210" s="3">
        <f t="shared" si="491"/>
        <v>0</v>
      </c>
      <c r="BS210" s="243">
        <v>0</v>
      </c>
      <c r="BT210" s="48">
        <v>0</v>
      </c>
      <c r="BU210" s="48">
        <v>0</v>
      </c>
      <c r="BV210" s="48">
        <v>0</v>
      </c>
      <c r="BW210" s="48">
        <v>0</v>
      </c>
      <c r="BX210" s="93">
        <f>SUM(BT210:BW210)</f>
        <v>0</v>
      </c>
      <c r="BY210" s="48">
        <v>0</v>
      </c>
      <c r="BZ210" s="48">
        <v>0</v>
      </c>
      <c r="CA210" s="48">
        <v>0</v>
      </c>
      <c r="CB210" s="48">
        <v>0</v>
      </c>
      <c r="CC210" s="93">
        <f>SUM(BY210:CB210)</f>
        <v>0</v>
      </c>
      <c r="CD210" s="48">
        <v>0</v>
      </c>
      <c r="CE210" s="48">
        <v>0</v>
      </c>
      <c r="CF210" s="48">
        <v>0</v>
      </c>
      <c r="CG210" s="48">
        <v>0</v>
      </c>
      <c r="CH210" s="93">
        <f>SUM(CD210:CG210)</f>
        <v>0</v>
      </c>
      <c r="CI210" s="48">
        <v>0</v>
      </c>
      <c r="CJ210" s="48">
        <v>0</v>
      </c>
      <c r="CK210" s="48">
        <v>0</v>
      </c>
      <c r="CL210" s="48">
        <v>0</v>
      </c>
      <c r="CM210" s="93">
        <f>SUM(CI210:CL210)</f>
        <v>0</v>
      </c>
      <c r="CN210" s="48">
        <v>0</v>
      </c>
      <c r="CO210" s="48">
        <v>0</v>
      </c>
      <c r="CP210" s="48">
        <v>0</v>
      </c>
      <c r="CQ210" s="48">
        <v>0</v>
      </c>
      <c r="CR210" s="93">
        <f>SUM(CN210:CQ210)</f>
        <v>0</v>
      </c>
      <c r="CS210" s="48">
        <v>0</v>
      </c>
      <c r="CT210" s="48">
        <v>0</v>
      </c>
      <c r="CU210" s="48">
        <v>0</v>
      </c>
      <c r="CV210" s="48">
        <v>0</v>
      </c>
      <c r="CW210" s="93">
        <f>SUM(CS210:CV210)</f>
        <v>0</v>
      </c>
      <c r="CX210" s="48">
        <v>0</v>
      </c>
      <c r="CY210" s="48">
        <v>0</v>
      </c>
      <c r="CZ210" s="48">
        <v>0</v>
      </c>
      <c r="DA210" s="48">
        <v>0</v>
      </c>
      <c r="DB210" s="93">
        <f>SUM(CX210:DA210)</f>
        <v>0</v>
      </c>
      <c r="DC210" s="3"/>
      <c r="DD210" s="3"/>
      <c r="DE210" s="3"/>
      <c r="DF210" s="3"/>
      <c r="DG210" s="3"/>
      <c r="DH210" s="3"/>
      <c r="DI210" s="3"/>
      <c r="DJ210" s="3"/>
      <c r="DK210" s="98"/>
      <c r="DL210" s="98"/>
      <c r="DM210" s="18"/>
    </row>
    <row r="211" spans="1:117">
      <c r="A211" s="15" t="s">
        <v>448</v>
      </c>
      <c r="B211" s="244">
        <v>-18109</v>
      </c>
      <c r="C211" s="48">
        <f>-39757-B211</f>
        <v>-21648</v>
      </c>
      <c r="D211" s="3">
        <f>-63374-C211-B211</f>
        <v>-23617</v>
      </c>
      <c r="E211" s="3">
        <f t="shared" si="478"/>
        <v>-25855</v>
      </c>
      <c r="F211" s="194">
        <v>-89229</v>
      </c>
      <c r="G211" s="244">
        <v>-26021</v>
      </c>
      <c r="H211" s="48">
        <f>-54576-G211</f>
        <v>-28555</v>
      </c>
      <c r="I211" s="3">
        <f>-82834-H211-G211</f>
        <v>-28258</v>
      </c>
      <c r="J211" s="3">
        <f t="shared" si="479"/>
        <v>-27323</v>
      </c>
      <c r="K211" s="194">
        <v>-110157</v>
      </c>
      <c r="L211" s="244">
        <v>-27344</v>
      </c>
      <c r="M211" s="48">
        <f>-62564-L211</f>
        <v>-35220</v>
      </c>
      <c r="N211" s="3">
        <f>-100181-M211-L211</f>
        <v>-37617</v>
      </c>
      <c r="O211" s="3">
        <f t="shared" si="480"/>
        <v>-35270</v>
      </c>
      <c r="P211" s="194">
        <v>-135451</v>
      </c>
      <c r="Q211" s="244">
        <v>-37691</v>
      </c>
      <c r="R211" s="48">
        <f>-75444-Q211</f>
        <v>-37753</v>
      </c>
      <c r="S211" s="3">
        <f>-112842-R211-Q211</f>
        <v>-37398</v>
      </c>
      <c r="T211" s="3">
        <f t="shared" si="481"/>
        <v>-37346</v>
      </c>
      <c r="U211" s="194">
        <v>-150188</v>
      </c>
      <c r="V211" s="244">
        <v>-39536</v>
      </c>
      <c r="W211" s="48">
        <f>-79212-V211</f>
        <v>-39676</v>
      </c>
      <c r="X211" s="3">
        <f>-120986-W211-V211</f>
        <v>-41774</v>
      </c>
      <c r="Y211" s="3">
        <f t="shared" si="482"/>
        <v>-41799</v>
      </c>
      <c r="Z211" s="243">
        <v>-162785</v>
      </c>
      <c r="AA211" s="244">
        <v>-42080</v>
      </c>
      <c r="AB211" s="48">
        <f>-84202-AA211</f>
        <v>-42122</v>
      </c>
      <c r="AC211" s="48">
        <f>-128467-AB211-AA211</f>
        <v>-44265</v>
      </c>
      <c r="AD211" s="3">
        <f t="shared" si="483"/>
        <v>-44307</v>
      </c>
      <c r="AE211" s="243">
        <v>-172774</v>
      </c>
      <c r="AF211" s="244">
        <v>-46701</v>
      </c>
      <c r="AG211" s="48">
        <f>-93472-AF211</f>
        <v>-46771</v>
      </c>
      <c r="AH211" s="48">
        <f>-142426-AG211-AF211</f>
        <v>-48954</v>
      </c>
      <c r="AI211" s="3">
        <f t="shared" si="484"/>
        <v>-51116</v>
      </c>
      <c r="AJ211" s="243">
        <v>-193542</v>
      </c>
      <c r="AK211" s="244">
        <v>-55651</v>
      </c>
      <c r="AL211" s="178">
        <f>-111356-AK211</f>
        <v>-55705</v>
      </c>
      <c r="AM211" s="178">
        <f>-169337-AL211-AK211</f>
        <v>-57981</v>
      </c>
      <c r="AN211" s="3">
        <f t="shared" si="485"/>
        <v>-57683</v>
      </c>
      <c r="AO211" s="243">
        <v>-227020</v>
      </c>
      <c r="AP211" s="244">
        <v>-63375</v>
      </c>
      <c r="AQ211" s="178">
        <f>-126772-AP211</f>
        <v>-63397</v>
      </c>
      <c r="AR211" s="178">
        <f>-194443-AQ211-AP211</f>
        <v>-67671</v>
      </c>
      <c r="AS211" s="3">
        <f t="shared" si="486"/>
        <v>-67526</v>
      </c>
      <c r="AT211" s="243">
        <v>-261969</v>
      </c>
      <c r="AU211" s="244">
        <v>-73781</v>
      </c>
      <c r="AV211" s="178">
        <f>-147982-AU211</f>
        <v>-74201</v>
      </c>
      <c r="AW211" s="178">
        <f>-226349-AV211-AU211</f>
        <v>-78367</v>
      </c>
      <c r="AX211" s="3">
        <f t="shared" si="487"/>
        <v>-78393</v>
      </c>
      <c r="AY211" s="243">
        <v>-304742</v>
      </c>
      <c r="AZ211" s="244">
        <v>-83275</v>
      </c>
      <c r="BA211" s="178">
        <f>-199684-AZ211</f>
        <v>-116409</v>
      </c>
      <c r="BB211" s="178">
        <f>-321051-BA211-AZ211</f>
        <v>-121367</v>
      </c>
      <c r="BC211" s="3">
        <f t="shared" si="488"/>
        <v>-122766</v>
      </c>
      <c r="BD211" s="243">
        <v>-443817</v>
      </c>
      <c r="BE211" s="244">
        <v>-126053</v>
      </c>
      <c r="BF211" s="567">
        <f>+-252416-BE211</f>
        <v>-126363</v>
      </c>
      <c r="BG211" s="567">
        <f>+-380498-BF211-BE211</f>
        <v>-128082</v>
      </c>
      <c r="BH211" s="3">
        <f t="shared" si="489"/>
        <v>-128699</v>
      </c>
      <c r="BI211" s="243">
        <v>-509197</v>
      </c>
      <c r="BJ211" s="244">
        <v>-129235</v>
      </c>
      <c r="BK211" s="48">
        <f>+-258508-BJ211</f>
        <v>-129273</v>
      </c>
      <c r="BL211" s="48">
        <f>+-388103-BK211-BJ211</f>
        <v>-129595</v>
      </c>
      <c r="BM211" s="3">
        <f t="shared" si="490"/>
        <v>-129498</v>
      </c>
      <c r="BN211" s="243">
        <v>-517601</v>
      </c>
      <c r="BO211" s="244">
        <v>-129842</v>
      </c>
      <c r="BP211" s="48">
        <f>+-259758-BO211</f>
        <v>-129916</v>
      </c>
      <c r="BQ211" s="48">
        <f>+-543445-BP211-BO211</f>
        <v>-283687</v>
      </c>
      <c r="BR211" s="3">
        <f t="shared" si="491"/>
        <v>-285969</v>
      </c>
      <c r="BS211" s="243">
        <v>-829414</v>
      </c>
      <c r="BT211" s="48">
        <f>-BT59*BT69</f>
        <v>-301416.57</v>
      </c>
      <c r="BU211" s="48">
        <f>-BU59*BU69</f>
        <v>-301416.57</v>
      </c>
      <c r="BV211" s="48">
        <f>-BV59*BV69</f>
        <v>-328726.125</v>
      </c>
      <c r="BW211" s="48">
        <f>-BW59*BW69</f>
        <v>-328726.125</v>
      </c>
      <c r="BX211" s="93">
        <f t="shared" si="492"/>
        <v>-1260285.3900000001</v>
      </c>
      <c r="BY211" s="48">
        <f>-BY59*BY69</f>
        <v>-328726.125</v>
      </c>
      <c r="BZ211" s="48">
        <f>-BZ59*BZ69</f>
        <v>-328726.125</v>
      </c>
      <c r="CA211" s="48">
        <f>-CA59*CA69</f>
        <v>-358058.61</v>
      </c>
      <c r="CB211" s="48">
        <f>-CB59*CB69</f>
        <v>-358058.61</v>
      </c>
      <c r="CC211" s="93">
        <f t="shared" si="493"/>
        <v>-1373569.47</v>
      </c>
      <c r="CD211" s="48">
        <f>-CD59*CD69</f>
        <v>-358058.61</v>
      </c>
      <c r="CE211" s="48">
        <f>-CE59*CE69</f>
        <v>-358058.61</v>
      </c>
      <c r="CF211" s="48">
        <f>-CF59*CF69</f>
        <v>-390425.49</v>
      </c>
      <c r="CG211" s="48">
        <f>-CG59*CG69</f>
        <v>-390425.49</v>
      </c>
      <c r="CH211" s="93">
        <f t="shared" si="494"/>
        <v>-1496968.2</v>
      </c>
      <c r="CI211" s="48">
        <f>-CI59*CI69</f>
        <v>-390425.49</v>
      </c>
      <c r="CJ211" s="48">
        <f>-CJ59*CJ69</f>
        <v>-390425.49</v>
      </c>
      <c r="CK211" s="48">
        <f>-CK59*CK69</f>
        <v>-420769.44</v>
      </c>
      <c r="CL211" s="48">
        <f>-CL59*CL69</f>
        <v>-420769.44</v>
      </c>
      <c r="CM211" s="93">
        <f t="shared" si="495"/>
        <v>-1622389.8599999999</v>
      </c>
      <c r="CN211" s="48">
        <f>-CN59*CN69</f>
        <v>-424258.99425000005</v>
      </c>
      <c r="CO211" s="48">
        <f>-CO59*CO69</f>
        <v>-424258.99425000005</v>
      </c>
      <c r="CP211" s="48">
        <f>-CP59*CP69</f>
        <v>-450557.08425000001</v>
      </c>
      <c r="CQ211" s="48">
        <f>-CQ59*CQ69</f>
        <v>-450557.08425000001</v>
      </c>
      <c r="CR211" s="93">
        <f t="shared" si="496"/>
        <v>-1749632.1570000001</v>
      </c>
      <c r="CS211" s="48">
        <f>-CS59*CS69</f>
        <v>-450557.08425000001</v>
      </c>
      <c r="CT211" s="48">
        <f>-CT59*CT69</f>
        <v>-450557.08425000001</v>
      </c>
      <c r="CU211" s="48">
        <f>-CU59*CU69</f>
        <v>-476855.17425000004</v>
      </c>
      <c r="CV211" s="48">
        <f>-CV59*CV69</f>
        <v>-476855.17425000004</v>
      </c>
      <c r="CW211" s="93">
        <f t="shared" si="497"/>
        <v>-1854824.517</v>
      </c>
      <c r="CX211" s="48">
        <f>-CX59*CX69</f>
        <v>-476855.17425000004</v>
      </c>
      <c r="CY211" s="48">
        <f>-CY59*CY69</f>
        <v>-476855.17425000004</v>
      </c>
      <c r="CZ211" s="48">
        <f>-CZ59*CZ69</f>
        <v>-503153.26425000001</v>
      </c>
      <c r="DA211" s="48">
        <f>-DA59*DA69</f>
        <v>-503153.26425000001</v>
      </c>
      <c r="DB211" s="93">
        <f t="shared" si="498"/>
        <v>-1960016.8770000001</v>
      </c>
      <c r="DC211" s="3"/>
      <c r="DD211" s="3"/>
      <c r="DE211" s="3"/>
      <c r="DF211" s="3"/>
      <c r="DG211" s="3"/>
      <c r="DH211" s="3"/>
      <c r="DI211" s="3"/>
      <c r="DJ211" s="3"/>
      <c r="DK211" s="98"/>
      <c r="DL211" s="98"/>
      <c r="DM211" s="18"/>
    </row>
    <row r="212" spans="1:117">
      <c r="A212" s="15" t="s">
        <v>646</v>
      </c>
      <c r="B212" s="244">
        <v>0</v>
      </c>
      <c r="C212" s="48">
        <f>0-B212</f>
        <v>0</v>
      </c>
      <c r="D212" s="3">
        <f t="shared" si="501"/>
        <v>0</v>
      </c>
      <c r="E212" s="3">
        <f t="shared" si="478"/>
        <v>0</v>
      </c>
      <c r="F212" s="194">
        <v>0</v>
      </c>
      <c r="G212" s="244">
        <v>0</v>
      </c>
      <c r="H212" s="48">
        <f>0-G212</f>
        <v>0</v>
      </c>
      <c r="I212" s="3">
        <f>0-H212-G212</f>
        <v>0</v>
      </c>
      <c r="J212" s="3">
        <f t="shared" si="479"/>
        <v>0</v>
      </c>
      <c r="K212" s="194">
        <v>0</v>
      </c>
      <c r="L212" s="244">
        <v>-35711</v>
      </c>
      <c r="M212" s="48">
        <f>-78594-L212</f>
        <v>-42883</v>
      </c>
      <c r="N212" s="3">
        <f>-120803-M212-L212</f>
        <v>-42209</v>
      </c>
      <c r="O212" s="3">
        <f t="shared" si="480"/>
        <v>-44480</v>
      </c>
      <c r="P212" s="194">
        <v>-165283</v>
      </c>
      <c r="Q212" s="244">
        <v>-44979</v>
      </c>
      <c r="R212" s="48">
        <f>-90491-Q212</f>
        <v>-45512</v>
      </c>
      <c r="S212" s="3">
        <f>-136462-R212-Q212</f>
        <v>-45971</v>
      </c>
      <c r="T212" s="3">
        <f t="shared" si="481"/>
        <v>-46429</v>
      </c>
      <c r="U212" s="194">
        <v>-182891</v>
      </c>
      <c r="V212" s="244">
        <v>-47118</v>
      </c>
      <c r="W212" s="48">
        <f>-97659-V212</f>
        <v>-50541</v>
      </c>
      <c r="X212" s="3">
        <f>-149173-W212-V212</f>
        <v>-51514</v>
      </c>
      <c r="Y212" s="3">
        <f t="shared" si="482"/>
        <v>-52485</v>
      </c>
      <c r="Z212" s="243">
        <v>-201658</v>
      </c>
      <c r="AA212" s="244">
        <v>-52751</v>
      </c>
      <c r="AB212" s="48">
        <f>-105307-AA212</f>
        <v>-52556</v>
      </c>
      <c r="AC212" s="48">
        <f>-163738-AB212-AA212</f>
        <v>-58431</v>
      </c>
      <c r="AD212" s="3">
        <f t="shared" si="483"/>
        <v>-58972</v>
      </c>
      <c r="AE212" s="243">
        <v>-222710</v>
      </c>
      <c r="AF212" s="244">
        <v>-59782</v>
      </c>
      <c r="AG212" s="48">
        <f>-126088-AF212</f>
        <v>-66306</v>
      </c>
      <c r="AH212" s="393">
        <f>-192889-AG212-AF212</f>
        <v>-66801</v>
      </c>
      <c r="AI212" s="3">
        <f t="shared" si="484"/>
        <v>-67496</v>
      </c>
      <c r="AJ212" s="243">
        <v>-260385</v>
      </c>
      <c r="AK212" s="244">
        <v>-68041</v>
      </c>
      <c r="AL212" s="178">
        <f>-136556-AK212</f>
        <v>-68515</v>
      </c>
      <c r="AM212" s="178">
        <f>-206260-AL212-AK212</f>
        <v>-69704</v>
      </c>
      <c r="AN212" s="3">
        <f t="shared" si="485"/>
        <v>-71115</v>
      </c>
      <c r="AO212" s="243">
        <v>-277375</v>
      </c>
      <c r="AP212" s="244">
        <v>-72852</v>
      </c>
      <c r="AQ212" s="178">
        <f>-153588-AP212</f>
        <v>-80736</v>
      </c>
      <c r="AR212" s="178">
        <f>-237744-AQ212-AP212</f>
        <v>-84156</v>
      </c>
      <c r="AS212" s="3">
        <f t="shared" si="486"/>
        <v>-87162</v>
      </c>
      <c r="AT212" s="243">
        <v>-324906</v>
      </c>
      <c r="AU212" s="244">
        <v>-90336</v>
      </c>
      <c r="AV212" s="178">
        <f>-181522-AU212</f>
        <v>-91186</v>
      </c>
      <c r="AW212" s="178">
        <f>-273346-AV212-AU212</f>
        <v>-91824</v>
      </c>
      <c r="AX212" s="3">
        <f t="shared" si="487"/>
        <v>-100796</v>
      </c>
      <c r="AY212" s="243">
        <v>-374142</v>
      </c>
      <c r="AZ212" s="244">
        <v>-101655</v>
      </c>
      <c r="BA212" s="178">
        <f>-206342-AZ212</f>
        <v>-104687</v>
      </c>
      <c r="BB212" s="178">
        <f>-325158-BA212-AZ212</f>
        <v>-118816</v>
      </c>
      <c r="BC212" s="3">
        <f t="shared" si="488"/>
        <v>-122301</v>
      </c>
      <c r="BD212" s="243">
        <v>-447459</v>
      </c>
      <c r="BE212" s="244">
        <v>-129457</v>
      </c>
      <c r="BF212" s="567">
        <f>+-260488-BE212</f>
        <v>-131031</v>
      </c>
      <c r="BG212" s="567">
        <f>+-396847-BF212-BE212</f>
        <v>-136359</v>
      </c>
      <c r="BH212" s="3">
        <f t="shared" si="489"/>
        <v>-138978</v>
      </c>
      <c r="BI212" s="243">
        <v>-535825</v>
      </c>
      <c r="BJ212" s="244">
        <v>-137980</v>
      </c>
      <c r="BK212" s="48">
        <f>+-275259-BJ212</f>
        <v>-137279</v>
      </c>
      <c r="BL212" s="48">
        <f>+-412539-BK212-BJ212</f>
        <v>-137280</v>
      </c>
      <c r="BM212" s="3">
        <f t="shared" si="490"/>
        <v>-136880</v>
      </c>
      <c r="BN212" s="243">
        <v>-549419</v>
      </c>
      <c r="BO212" s="244">
        <v>-136680</v>
      </c>
      <c r="BP212" s="48">
        <f>+-273460-BO212</f>
        <v>-136780</v>
      </c>
      <c r="BQ212" s="48">
        <f>+-275060-BP212-BO212</f>
        <v>-1600</v>
      </c>
      <c r="BR212" s="3">
        <f t="shared" si="491"/>
        <v>-1200</v>
      </c>
      <c r="BS212" s="243">
        <v>-276260</v>
      </c>
      <c r="BT212" s="94">
        <v>0</v>
      </c>
      <c r="BU212" s="48">
        <v>0</v>
      </c>
      <c r="BV212" s="48">
        <v>0</v>
      </c>
      <c r="BW212" s="48">
        <v>0</v>
      </c>
      <c r="BX212" s="93">
        <f t="shared" si="492"/>
        <v>0</v>
      </c>
      <c r="BY212" s="94">
        <v>0</v>
      </c>
      <c r="BZ212" s="48">
        <v>0</v>
      </c>
      <c r="CA212" s="48">
        <v>0</v>
      </c>
      <c r="CB212" s="48">
        <v>0</v>
      </c>
      <c r="CC212" s="93">
        <f t="shared" si="493"/>
        <v>0</v>
      </c>
      <c r="CD212" s="94">
        <v>0</v>
      </c>
      <c r="CE212" s="48">
        <v>0</v>
      </c>
      <c r="CF212" s="48">
        <v>0</v>
      </c>
      <c r="CG212" s="48">
        <v>0</v>
      </c>
      <c r="CH212" s="93">
        <f t="shared" si="494"/>
        <v>0</v>
      </c>
      <c r="CI212" s="94">
        <v>0</v>
      </c>
      <c r="CJ212" s="48">
        <v>0</v>
      </c>
      <c r="CK212" s="48">
        <v>0</v>
      </c>
      <c r="CL212" s="48">
        <v>0</v>
      </c>
      <c r="CM212" s="93">
        <f t="shared" si="495"/>
        <v>0</v>
      </c>
      <c r="CN212" s="94">
        <v>0</v>
      </c>
      <c r="CO212" s="48">
        <v>0</v>
      </c>
      <c r="CP212" s="48">
        <v>0</v>
      </c>
      <c r="CQ212" s="48">
        <v>0</v>
      </c>
      <c r="CR212" s="93">
        <f t="shared" si="496"/>
        <v>0</v>
      </c>
      <c r="CS212" s="94">
        <v>0</v>
      </c>
      <c r="CT212" s="48">
        <v>0</v>
      </c>
      <c r="CU212" s="48">
        <v>0</v>
      </c>
      <c r="CV212" s="48">
        <v>0</v>
      </c>
      <c r="CW212" s="93">
        <f t="shared" si="497"/>
        <v>0</v>
      </c>
      <c r="CX212" s="94">
        <v>0</v>
      </c>
      <c r="CY212" s="48">
        <v>0</v>
      </c>
      <c r="CZ212" s="48">
        <v>0</v>
      </c>
      <c r="DA212" s="48">
        <v>0</v>
      </c>
      <c r="DB212" s="93">
        <f t="shared" si="498"/>
        <v>0</v>
      </c>
      <c r="DC212" s="3"/>
      <c r="DD212" s="3"/>
      <c r="DE212" s="3"/>
      <c r="DF212" s="3"/>
      <c r="DG212" s="3"/>
      <c r="DH212" s="3"/>
      <c r="DI212" s="3"/>
      <c r="DJ212" s="3"/>
      <c r="DK212" s="98"/>
      <c r="DL212" s="98"/>
      <c r="DM212" s="18"/>
    </row>
    <row r="213" spans="1:117">
      <c r="A213" s="15" t="s">
        <v>647</v>
      </c>
      <c r="B213" s="139">
        <f>-23599+82915</f>
        <v>59316</v>
      </c>
      <c r="C213" s="48">
        <f>-15929+82915-B213</f>
        <v>7670</v>
      </c>
      <c r="D213" s="3">
        <f>3446+82915-C213-B213</f>
        <v>19375</v>
      </c>
      <c r="E213" s="3">
        <f t="shared" si="478"/>
        <v>-13850</v>
      </c>
      <c r="F213" s="93">
        <f>-10404+82915</f>
        <v>72511</v>
      </c>
      <c r="G213" s="139">
        <f>-13411-20212</f>
        <v>-33623</v>
      </c>
      <c r="H213" s="48">
        <f>-8931-22565-G213</f>
        <v>2127</v>
      </c>
      <c r="I213" s="3">
        <f>-11343-22565-H213-G213</f>
        <v>-2412</v>
      </c>
      <c r="J213" s="3">
        <f t="shared" si="479"/>
        <v>7367</v>
      </c>
      <c r="K213" s="194">
        <v>-26541</v>
      </c>
      <c r="L213" s="244">
        <v>-44895</v>
      </c>
      <c r="M213" s="48">
        <f>-47996-L213</f>
        <v>-3101</v>
      </c>
      <c r="N213" s="3">
        <f>-48898-M213-L213</f>
        <v>-902</v>
      </c>
      <c r="O213" s="3">
        <f t="shared" si="480"/>
        <v>57</v>
      </c>
      <c r="P213" s="194">
        <v>-48841</v>
      </c>
      <c r="Q213" s="244">
        <v>0</v>
      </c>
      <c r="R213" s="48">
        <f>0-Q213</f>
        <v>0</v>
      </c>
      <c r="S213" s="3">
        <f>-5250-R213-Q213</f>
        <v>-5250</v>
      </c>
      <c r="T213" s="3">
        <f t="shared" si="481"/>
        <v>5420</v>
      </c>
      <c r="U213" s="194">
        <v>170</v>
      </c>
      <c r="V213" s="244">
        <v>0</v>
      </c>
      <c r="W213" s="48">
        <f>0-V213</f>
        <v>0</v>
      </c>
      <c r="X213" s="3">
        <f>0-W213-V213</f>
        <v>0</v>
      </c>
      <c r="Y213" s="3">
        <f t="shared" si="482"/>
        <v>19225</v>
      </c>
      <c r="Z213" s="243">
        <v>19225</v>
      </c>
      <c r="AA213" s="244">
        <v>0</v>
      </c>
      <c r="AB213" s="38">
        <v>0</v>
      </c>
      <c r="AC213" s="48">
        <f>IF(SUM(AC219,AC187,AC201,AC204:AC212,AC215:AC216)&gt;=AC222,0,AC222-SUM(AC219,AC187,AC201,AC204:AC212,AC215:AC216))</f>
        <v>0</v>
      </c>
      <c r="AD213" s="3">
        <f t="shared" si="483"/>
        <v>0</v>
      </c>
      <c r="AE213" s="243">
        <v>0</v>
      </c>
      <c r="AF213" s="244">
        <v>0</v>
      </c>
      <c r="AG213" s="48">
        <v>0</v>
      </c>
      <c r="AH213" s="48">
        <v>0</v>
      </c>
      <c r="AI213" s="3">
        <v>0</v>
      </c>
      <c r="AJ213" s="243">
        <v>0</v>
      </c>
      <c r="AK213" s="244">
        <v>0</v>
      </c>
      <c r="AL213" s="178">
        <v>0</v>
      </c>
      <c r="AM213" s="178">
        <v>0</v>
      </c>
      <c r="AN213" s="3">
        <v>0</v>
      </c>
      <c r="AO213" s="243">
        <v>0</v>
      </c>
      <c r="AP213" s="244">
        <v>0</v>
      </c>
      <c r="AQ213" s="48">
        <f>IF(SUM(AQ219,AQ187,AQ201,AQ204:AQ212,AQ215:AQ216)&gt;=AQ222,0,AQ222-SUM(AQ219,AQ187,AQ201,AQ204:AQ212,AQ215:AQ216))</f>
        <v>0</v>
      </c>
      <c r="AR213" s="178">
        <v>0</v>
      </c>
      <c r="AS213" s="3">
        <v>0</v>
      </c>
      <c r="AT213" s="243">
        <v>0</v>
      </c>
      <c r="AU213" s="244">
        <v>0</v>
      </c>
      <c r="AV213" s="48">
        <v>0</v>
      </c>
      <c r="AW213" s="178">
        <v>0</v>
      </c>
      <c r="AX213" s="3">
        <f>AY213-SUM(AU213:AW213)</f>
        <v>10312</v>
      </c>
      <c r="AY213" s="243">
        <v>10312</v>
      </c>
      <c r="AZ213" s="244">
        <f>1199994-60000</f>
        <v>1139994</v>
      </c>
      <c r="BA213" s="178">
        <f>1199994-60000-483-AZ213</f>
        <v>-483</v>
      </c>
      <c r="BB213" s="178">
        <f>1199994-60000-585-BA213-AZ213</f>
        <v>-102</v>
      </c>
      <c r="BC213" s="3">
        <f>BD213-SUM(AZ213:BB213)</f>
        <v>-1196048</v>
      </c>
      <c r="BD213" s="243">
        <f>-60000+3361</f>
        <v>-56639</v>
      </c>
      <c r="BE213" s="244">
        <v>0</v>
      </c>
      <c r="BF213" s="48">
        <f>IF(SUM(BF219,BF187,BF201,BF204:BF212,BF215:BF216)&gt;=BF222,0,BF222-SUM(BF219,BF187,BF201,BF204:BF212,BF215:BF216))</f>
        <v>0</v>
      </c>
      <c r="BG213" s="48">
        <f>IF(SUM(BG219,BG187,BG201,BG204:BG212,BG215:BG216)&gt;=BG222,0,BG222-SUM(BG219,BG187,BG201,BG204:BG212,BG215:BG216))</f>
        <v>0</v>
      </c>
      <c r="BH213" s="3">
        <f>BI213-SUM(BE213:BG213)</f>
        <v>0</v>
      </c>
      <c r="BI213" s="243">
        <v>0</v>
      </c>
      <c r="BJ213" s="244">
        <v>0</v>
      </c>
      <c r="BK213" s="48">
        <f>IF(SUM(BK219,BK187,BK201,BK204:BK212,BK215:BK216)&gt;=BK222,0,BK222-SUM(BK219,BK187,BK201,BK204:BK212,BK215:BK216))</f>
        <v>0</v>
      </c>
      <c r="BL213" s="48">
        <f>IF(SUM(BL219,BL187,BL201,BL204:BL212,BL215:BL216)&gt;=BL222,0,BL222-SUM(BL219,BL187,BL201,BL204:BL212,BL215:BL216))</f>
        <v>0</v>
      </c>
      <c r="BM213" s="3">
        <f>BN213-SUM(BJ213:BL213)</f>
        <v>7130</v>
      </c>
      <c r="BN213" s="243">
        <v>7130</v>
      </c>
      <c r="BO213" s="244">
        <v>-13395</v>
      </c>
      <c r="BP213" s="48">
        <f>+-13485-BO213</f>
        <v>-90</v>
      </c>
      <c r="BQ213" s="48">
        <f>-13778-BO213-BP213</f>
        <v>-293</v>
      </c>
      <c r="BR213" s="3">
        <f>BS213-SUM(BO213:BQ213)</f>
        <v>-58</v>
      </c>
      <c r="BS213" s="243">
        <v>-13836</v>
      </c>
      <c r="BT213" s="94">
        <f>IF(SUM(BT219,BT187,BT201,BT204:BT212,BT215:BT216)&gt;=BT222,0,BT222-SUM(BT219,BT187,BT201,BT204:BT212,BT215:BT216))</f>
        <v>0</v>
      </c>
      <c r="BU213" s="48">
        <f>IF(SUM(BU219,BU187,BU201,BU204:BU212,BU215:BU216)&gt;=BU222,0,BU222-SUM(BU219,BU187,BU201,BU204:BU212,BU215:BU216))</f>
        <v>0</v>
      </c>
      <c r="BV213" s="48">
        <f>IF(SUM(BV219,BV187,BV201,BV204:BV212,BV215:BV216)&gt;=BV222,0,BV222-SUM(BV219,BV187,BV201,BV204:BV212,BV215:BV216))</f>
        <v>0</v>
      </c>
      <c r="BW213" s="48">
        <f>IF(SUM(BW219,BW187,BW201,BW204:BW212,BW215:BW216)&gt;=BW222,0,BW222-SUM(BW219,BW187,BW201,BW204:BW212,BW215:BW216))</f>
        <v>0</v>
      </c>
      <c r="BX213" s="93">
        <f t="shared" si="492"/>
        <v>0</v>
      </c>
      <c r="BY213" s="94">
        <f>IF(SUM(BY219,BY187,BY201,BY204:BY212,BY215:BY216)&gt;=BY222,0,BY222-SUM(BY219,BY187,BY201,BY204:BY212,BY215:BY216))</f>
        <v>0</v>
      </c>
      <c r="BZ213" s="48">
        <f>IF(SUM(BZ219,BZ187,BZ201,BZ204:BZ212,BZ215:BZ216)&gt;=BZ222,0,BZ222-SUM(BZ219,BZ187,BZ201,BZ204:BZ212,BZ215:BZ216))</f>
        <v>0</v>
      </c>
      <c r="CA213" s="48">
        <f>IF(SUM(CA219,CA187,CA201,CA204:CA212,CA215:CA216)&gt;=CA222,0,CA222-SUM(CA219,CA187,CA201,CA204:CA212,CA215:CA216))</f>
        <v>0</v>
      </c>
      <c r="CB213" s="48">
        <f>IF(SUM(CB219,CB187,CB201,CB204:CB212,CB215:CB216)&gt;=CB222,0,CB222-SUM(CB219,CB187,CB201,CB204:CB212,CB215:CB216))</f>
        <v>0</v>
      </c>
      <c r="CC213" s="93">
        <f t="shared" si="493"/>
        <v>0</v>
      </c>
      <c r="CD213" s="94">
        <f>IF(SUM(CD219,CD187,CD201,CD204:CD212,CD215:CD216)&gt;=CD222,0,CD222-SUM(CD219,CD187,CD201,CD204:CD212,CD215:CD216))</f>
        <v>0</v>
      </c>
      <c r="CE213" s="48">
        <f>IF(SUM(CE219,CE187,CE201,CE204:CE212,CE215:CE216)&gt;=CE222,0,CE222-SUM(CE219,CE187,CE201,CE204:CE212,CE215:CE216))</f>
        <v>0</v>
      </c>
      <c r="CF213" s="48">
        <f>IF(SUM(CF219,CF187,CF201,CF204:CF212,CF215:CF216)&gt;=CF222,0,CF222-SUM(CF219,CF187,CF201,CF204:CF212,CF215:CF216))</f>
        <v>0</v>
      </c>
      <c r="CG213" s="48">
        <f>IF(SUM(CG219,CG187,CG201,CG204:CG212,CG215:CG216)&gt;=CG222,0,CG222-SUM(CG219,CG187,CG201,CG204:CG212,CG215:CG216))</f>
        <v>0</v>
      </c>
      <c r="CH213" s="93">
        <f t="shared" si="494"/>
        <v>0</v>
      </c>
      <c r="CI213" s="94">
        <f>IF(SUM(CI219,CI187,CI201,CI204:CI212,CI215:CI216)&gt;=CI222,0,CI222-SUM(CI219,CI187,CI201,CI204:CI212,CI215:CI216))</f>
        <v>0</v>
      </c>
      <c r="CJ213" s="48">
        <f>IF(SUM(CJ219,CJ187,CJ201,CJ204:CJ212,CJ215:CJ216)&gt;=CJ222,0,CJ222-SUM(CJ219,CJ187,CJ201,CJ204:CJ212,CJ215:CJ216))</f>
        <v>0</v>
      </c>
      <c r="CK213" s="48">
        <f>IF(SUM(CK219,CK187,CK201,CK204:CK212,CK215:CK216)&gt;=CK222,0,CK222-SUM(CK219,CK187,CK201,CK204:CK212,CK215:CK216))</f>
        <v>0</v>
      </c>
      <c r="CL213" s="48">
        <f>IF(SUM(CL219,CL187,CL201,CL204:CL212,CL215:CL216)&gt;=CL222,0,CL222-SUM(CL219,CL187,CL201,CL204:CL212,CL215:CL216))</f>
        <v>0</v>
      </c>
      <c r="CM213" s="93">
        <f t="shared" si="495"/>
        <v>0</v>
      </c>
      <c r="CN213" s="94">
        <f>IF(SUM(CN219,CN187,CN201,CN204:CN212,CN215:CN216)&gt;=CN222,0,CN222-SUM(CN219,CN187,CN201,CN204:CN212,CN215:CN216))</f>
        <v>0</v>
      </c>
      <c r="CO213" s="48">
        <f>IF(SUM(CO219,CO187,CO201,CO204:CO212,CO215:CO216)&gt;=CO222,0,CO222-SUM(CO219,CO187,CO201,CO204:CO212,CO215:CO216))</f>
        <v>0</v>
      </c>
      <c r="CP213" s="48">
        <f>IF(SUM(CP219,CP187,CP201,CP204:CP212,CP215:CP216)&gt;=CP222,0,CP222-SUM(CP219,CP187,CP201,CP204:CP212,CP215:CP216))</f>
        <v>0</v>
      </c>
      <c r="CQ213" s="48">
        <f>IF(SUM(CQ219,CQ187,CQ201,CQ204:CQ212,CQ215:CQ216)&gt;=CQ222,0,CQ222-SUM(CQ219,CQ187,CQ201,CQ204:CQ212,CQ215:CQ216))</f>
        <v>0</v>
      </c>
      <c r="CR213" s="93">
        <f t="shared" si="496"/>
        <v>0</v>
      </c>
      <c r="CS213" s="94">
        <f>IF(SUM(CS219,CS187,CS201,CS204:CS212,CS215:CS216)&gt;=CS222,0,CS222-SUM(CS219,CS187,CS201,CS204:CS212,CS215:CS216))</f>
        <v>0</v>
      </c>
      <c r="CT213" s="48">
        <f>IF(SUM(CT219,CT187,CT201,CT204:CT212,CT215:CT216)&gt;=CT222,0,CT222-SUM(CT219,CT187,CT201,CT204:CT212,CT215:CT216))</f>
        <v>0</v>
      </c>
      <c r="CU213" s="48">
        <f>IF(SUM(CU219,CU187,CU201,CU204:CU212,CU215:CU216)&gt;=CU222,0,CU222-SUM(CU219,CU187,CU201,CU204:CU212,CU215:CU216))</f>
        <v>0</v>
      </c>
      <c r="CV213" s="48">
        <f>IF(SUM(CV219,CV187,CV201,CV204:CV212,CV215:CV216)&gt;=CV222,0,CV222-SUM(CV219,CV187,CV201,CV204:CV212,CV215:CV216))</f>
        <v>0</v>
      </c>
      <c r="CW213" s="93">
        <f t="shared" si="497"/>
        <v>0</v>
      </c>
      <c r="CX213" s="94">
        <f>IF(SUM(CX219,CX187,CX201,CX204:CX212,CX215:CX216)&gt;=CX222,0,CX222-SUM(CX219,CX187,CX201,CX204:CX212,CX215:CX216))</f>
        <v>0</v>
      </c>
      <c r="CY213" s="48">
        <f>IF(SUM(CY219,CY187,CY201,CY204:CY212,CY215:CY216)&gt;=CY222,0,CY222-SUM(CY219,CY187,CY201,CY204:CY212,CY215:CY216))</f>
        <v>0</v>
      </c>
      <c r="CZ213" s="48">
        <f>IF(SUM(CZ219,CZ187,CZ201,CZ204:CZ212,CZ215:CZ216)&gt;=CZ222,0,CZ222-SUM(CZ219,CZ187,CZ201,CZ204:CZ212,CZ215:CZ216))</f>
        <v>0</v>
      </c>
      <c r="DA213" s="48">
        <f>IF(SUM(DA219,DA187,DA201,DA204:DA212,DA215:DA216)&gt;=DA222,0,DA222-SUM(DA219,DA187,DA201,DA204:DA212,DA215:DA216))</f>
        <v>0</v>
      </c>
      <c r="DB213" s="93">
        <f t="shared" si="498"/>
        <v>0</v>
      </c>
      <c r="DC213" s="3"/>
      <c r="DD213" s="3"/>
      <c r="DE213" s="3"/>
      <c r="DF213" s="3"/>
      <c r="DG213" s="3"/>
      <c r="DH213" s="3"/>
      <c r="DI213" s="3"/>
      <c r="DJ213" s="3"/>
      <c r="DK213" s="98"/>
      <c r="DL213" s="98"/>
      <c r="DM213" s="18"/>
    </row>
    <row r="214" spans="1:117">
      <c r="A214" s="28" t="s">
        <v>75</v>
      </c>
      <c r="B214" s="161">
        <f t="shared" ref="B214:Z214" si="504">SUM(B204:B213)</f>
        <v>-399143</v>
      </c>
      <c r="C214" s="4">
        <f t="shared" si="504"/>
        <v>33654</v>
      </c>
      <c r="D214" s="4">
        <f t="shared" si="504"/>
        <v>261542</v>
      </c>
      <c r="E214" s="4">
        <f t="shared" si="504"/>
        <v>284287</v>
      </c>
      <c r="F214" s="256">
        <f t="shared" si="504"/>
        <v>180340</v>
      </c>
      <c r="G214" s="161">
        <f t="shared" si="504"/>
        <v>-410875</v>
      </c>
      <c r="H214" s="4">
        <f t="shared" si="504"/>
        <v>150989</v>
      </c>
      <c r="I214" s="4">
        <f t="shared" si="504"/>
        <v>979149</v>
      </c>
      <c r="J214" s="4">
        <f t="shared" si="504"/>
        <v>-24359</v>
      </c>
      <c r="K214" s="256">
        <f t="shared" si="504"/>
        <v>694904</v>
      </c>
      <c r="L214" s="161">
        <f t="shared" si="504"/>
        <v>-746319</v>
      </c>
      <c r="M214" s="4">
        <f t="shared" si="504"/>
        <v>547019</v>
      </c>
      <c r="N214" s="4">
        <f t="shared" si="504"/>
        <v>-340308</v>
      </c>
      <c r="O214" s="4">
        <f t="shared" si="504"/>
        <v>-79168</v>
      </c>
      <c r="P214" s="256">
        <f t="shared" si="504"/>
        <v>-618776</v>
      </c>
      <c r="Q214" s="161">
        <f t="shared" si="504"/>
        <v>-106577</v>
      </c>
      <c r="R214" s="4">
        <f t="shared" si="504"/>
        <v>-345316</v>
      </c>
      <c r="S214" s="4">
        <f t="shared" si="504"/>
        <v>765332</v>
      </c>
      <c r="T214" s="4">
        <f t="shared" si="504"/>
        <v>-240478</v>
      </c>
      <c r="U214" s="256">
        <f t="shared" si="504"/>
        <v>72961</v>
      </c>
      <c r="V214" s="161">
        <f t="shared" si="504"/>
        <v>-287271</v>
      </c>
      <c r="W214" s="4">
        <f t="shared" si="504"/>
        <v>453230</v>
      </c>
      <c r="X214" s="4">
        <f t="shared" si="504"/>
        <v>425466</v>
      </c>
      <c r="Y214" s="4">
        <f t="shared" si="504"/>
        <v>878152</v>
      </c>
      <c r="Z214" s="135">
        <f t="shared" si="504"/>
        <v>1469577</v>
      </c>
      <c r="AA214" s="161">
        <f t="shared" ref="AA214:BF214" si="505">SUM(AA204:AA213)</f>
        <v>-985581</v>
      </c>
      <c r="AB214" s="4">
        <f t="shared" si="505"/>
        <v>-173113</v>
      </c>
      <c r="AC214" s="4">
        <f t="shared" si="505"/>
        <v>51438</v>
      </c>
      <c r="AD214" s="4">
        <f t="shared" si="505"/>
        <v>-38303</v>
      </c>
      <c r="AE214" s="135">
        <f t="shared" si="505"/>
        <v>-1145559</v>
      </c>
      <c r="AF214" s="161">
        <f t="shared" si="505"/>
        <v>-354307</v>
      </c>
      <c r="AG214" s="4">
        <f t="shared" si="505"/>
        <v>6917</v>
      </c>
      <c r="AH214" s="4">
        <f t="shared" si="505"/>
        <v>-471005</v>
      </c>
      <c r="AI214" s="4">
        <f t="shared" si="505"/>
        <v>120344</v>
      </c>
      <c r="AJ214" s="135">
        <f t="shared" si="505"/>
        <v>-698051</v>
      </c>
      <c r="AK214" s="161">
        <f t="shared" si="505"/>
        <v>380756</v>
      </c>
      <c r="AL214" s="4">
        <f t="shared" si="505"/>
        <v>-300927</v>
      </c>
      <c r="AM214" s="4">
        <f t="shared" si="505"/>
        <v>-95188</v>
      </c>
      <c r="AN214" s="4">
        <f t="shared" si="505"/>
        <v>70791</v>
      </c>
      <c r="AO214" s="135">
        <f t="shared" si="505"/>
        <v>55432</v>
      </c>
      <c r="AP214" s="161">
        <f t="shared" si="505"/>
        <v>594694</v>
      </c>
      <c r="AQ214" s="4">
        <f t="shared" si="505"/>
        <v>-468745</v>
      </c>
      <c r="AR214" s="4">
        <f t="shared" si="505"/>
        <v>1213789</v>
      </c>
      <c r="AS214" s="4">
        <f t="shared" si="505"/>
        <v>-7676</v>
      </c>
      <c r="AT214" s="135">
        <f t="shared" si="505"/>
        <v>1332062</v>
      </c>
      <c r="AU214" s="161">
        <f t="shared" si="505"/>
        <v>-416362</v>
      </c>
      <c r="AV214" s="4">
        <f t="shared" si="505"/>
        <v>121744</v>
      </c>
      <c r="AW214" s="4">
        <f t="shared" si="505"/>
        <v>1349669</v>
      </c>
      <c r="AX214" s="4">
        <f t="shared" si="505"/>
        <v>-142092</v>
      </c>
      <c r="AY214" s="135">
        <f t="shared" si="505"/>
        <v>912959</v>
      </c>
      <c r="AZ214" s="161">
        <f t="shared" si="505"/>
        <v>9865</v>
      </c>
      <c r="BA214" s="4">
        <f t="shared" si="505"/>
        <v>483571</v>
      </c>
      <c r="BB214" s="4">
        <f t="shared" si="505"/>
        <v>-169749</v>
      </c>
      <c r="BC214" s="4">
        <f t="shared" si="505"/>
        <v>984173</v>
      </c>
      <c r="BD214" s="135">
        <f t="shared" si="505"/>
        <v>1307860</v>
      </c>
      <c r="BE214" s="161">
        <f t="shared" si="505"/>
        <v>360951</v>
      </c>
      <c r="BF214" s="391">
        <f t="shared" si="505"/>
        <v>13900</v>
      </c>
      <c r="BG214" s="4">
        <f t="shared" ref="BG214:BX214" si="506">SUM(BG204:BG213)</f>
        <v>-262136</v>
      </c>
      <c r="BH214" s="391">
        <f t="shared" si="506"/>
        <v>-4126</v>
      </c>
      <c r="BI214" s="601">
        <f t="shared" si="506"/>
        <v>108589</v>
      </c>
      <c r="BJ214" s="161">
        <f t="shared" si="506"/>
        <v>-19942</v>
      </c>
      <c r="BK214" s="391">
        <f t="shared" si="506"/>
        <v>-129678</v>
      </c>
      <c r="BL214" s="391">
        <f>SUM(BL204:BL213)</f>
        <v>-147801</v>
      </c>
      <c r="BM214" s="391">
        <f t="shared" si="506"/>
        <v>-287371</v>
      </c>
      <c r="BN214" s="601">
        <f t="shared" si="506"/>
        <v>-584792</v>
      </c>
      <c r="BO214" s="161">
        <f t="shared" si="506"/>
        <v>-97694</v>
      </c>
      <c r="BP214" s="4">
        <f t="shared" si="506"/>
        <v>-277970</v>
      </c>
      <c r="BQ214" s="391">
        <f t="shared" si="506"/>
        <v>-402934</v>
      </c>
      <c r="BR214" s="391">
        <f t="shared" ref="BR214:BS214" si="507">SUM(BR204:BR213)</f>
        <v>-180863</v>
      </c>
      <c r="BS214" s="601">
        <f t="shared" si="507"/>
        <v>-959461</v>
      </c>
      <c r="BT214" s="161">
        <f t="shared" si="506"/>
        <v>943583.42999999993</v>
      </c>
      <c r="BU214" s="4">
        <f t="shared" si="506"/>
        <v>-91416.57</v>
      </c>
      <c r="BV214" s="4">
        <f t="shared" si="506"/>
        <v>-118726.125</v>
      </c>
      <c r="BW214" s="4">
        <f t="shared" si="506"/>
        <v>-118726.125</v>
      </c>
      <c r="BX214" s="135">
        <f t="shared" si="506"/>
        <v>614714.60999999987</v>
      </c>
      <c r="BY214" s="161">
        <f t="shared" ref="BY214:CH214" si="508">SUM(BY204:BY213)</f>
        <v>-73726.125</v>
      </c>
      <c r="BZ214" s="4">
        <f t="shared" si="508"/>
        <v>-73726.125</v>
      </c>
      <c r="CA214" s="4">
        <f t="shared" si="508"/>
        <v>-103058.60999999999</v>
      </c>
      <c r="CB214" s="4">
        <f t="shared" si="508"/>
        <v>-103058.60999999999</v>
      </c>
      <c r="CC214" s="135">
        <f t="shared" si="508"/>
        <v>-353569.47</v>
      </c>
      <c r="CD214" s="161">
        <f t="shared" si="508"/>
        <v>-245558.61</v>
      </c>
      <c r="CE214" s="4">
        <f t="shared" si="508"/>
        <v>-245558.61</v>
      </c>
      <c r="CF214" s="4">
        <f t="shared" si="508"/>
        <v>-277925.49</v>
      </c>
      <c r="CG214" s="4">
        <f t="shared" si="508"/>
        <v>-277925.49</v>
      </c>
      <c r="CH214" s="135">
        <f t="shared" si="508"/>
        <v>-1046968.2</v>
      </c>
      <c r="CI214" s="161">
        <f t="shared" ref="CI214:CR214" si="509">SUM(CI204:CI213)</f>
        <v>-342300.49</v>
      </c>
      <c r="CJ214" s="4">
        <f t="shared" si="509"/>
        <v>-342300.49</v>
      </c>
      <c r="CK214" s="4">
        <f t="shared" si="509"/>
        <v>-372644.44</v>
      </c>
      <c r="CL214" s="4">
        <f t="shared" si="509"/>
        <v>-372644.44</v>
      </c>
      <c r="CM214" s="135">
        <f t="shared" si="509"/>
        <v>-1429889.8599999999</v>
      </c>
      <c r="CN214" s="161">
        <f t="shared" si="509"/>
        <v>-383008.99425000005</v>
      </c>
      <c r="CO214" s="4">
        <f t="shared" si="509"/>
        <v>-383008.99425000005</v>
      </c>
      <c r="CP214" s="4">
        <f t="shared" si="509"/>
        <v>-409307.08425000001</v>
      </c>
      <c r="CQ214" s="4">
        <f t="shared" si="509"/>
        <v>-409307.08425000001</v>
      </c>
      <c r="CR214" s="135">
        <f t="shared" si="509"/>
        <v>-1584632.1570000001</v>
      </c>
      <c r="CS214" s="161">
        <f t="shared" ref="CS214:DB214" si="510">SUM(CS204:CS213)</f>
        <v>-409307.08425000001</v>
      </c>
      <c r="CT214" s="4">
        <f t="shared" si="510"/>
        <v>-409307.08425000001</v>
      </c>
      <c r="CU214" s="4">
        <f t="shared" si="510"/>
        <v>-435605.17425000004</v>
      </c>
      <c r="CV214" s="4">
        <f t="shared" si="510"/>
        <v>-435605.17425000004</v>
      </c>
      <c r="CW214" s="135">
        <f t="shared" si="510"/>
        <v>-1689824.517</v>
      </c>
      <c r="CX214" s="161">
        <f t="shared" si="510"/>
        <v>-428730.17425000004</v>
      </c>
      <c r="CY214" s="4">
        <f t="shared" si="510"/>
        <v>-428730.17425000004</v>
      </c>
      <c r="CZ214" s="4">
        <f t="shared" si="510"/>
        <v>-455028.26425000001</v>
      </c>
      <c r="DA214" s="4">
        <f t="shared" si="510"/>
        <v>-455028.26425000001</v>
      </c>
      <c r="DB214" s="135">
        <f t="shared" si="510"/>
        <v>-1767516.8770000001</v>
      </c>
      <c r="DC214" s="218"/>
      <c r="DD214" s="218"/>
      <c r="DE214" s="218"/>
      <c r="DF214" s="218"/>
      <c r="DG214" s="218"/>
      <c r="DH214" s="218"/>
      <c r="DI214" s="218"/>
      <c r="DJ214" s="218"/>
      <c r="DK214" s="218"/>
      <c r="DL214" s="218"/>
      <c r="DM214" s="25"/>
    </row>
    <row r="215" spans="1:117">
      <c r="A215" s="10" t="s">
        <v>491</v>
      </c>
      <c r="B215" s="244">
        <v>0</v>
      </c>
      <c r="C215" s="48">
        <f>0-B215</f>
        <v>0</v>
      </c>
      <c r="D215" s="3">
        <f>0-C215-B215</f>
        <v>0</v>
      </c>
      <c r="E215" s="3">
        <f>F215-SUM(B215:D215)</f>
        <v>0</v>
      </c>
      <c r="F215" s="194">
        <v>0</v>
      </c>
      <c r="G215" s="244">
        <v>0</v>
      </c>
      <c r="H215" s="48">
        <f>0-G215</f>
        <v>0</v>
      </c>
      <c r="I215" s="3">
        <f>0-H215-G215</f>
        <v>0</v>
      </c>
      <c r="J215" s="3">
        <f>K215-SUM(G215:I215)</f>
        <v>0</v>
      </c>
      <c r="K215" s="194">
        <v>0</v>
      </c>
      <c r="L215" s="244">
        <v>43090</v>
      </c>
      <c r="M215" s="48">
        <f>43090-L215</f>
        <v>0</v>
      </c>
      <c r="N215" s="3">
        <f>43090-M215-L215</f>
        <v>0</v>
      </c>
      <c r="O215" s="3">
        <f>P215-SUM(L215:N215)</f>
        <v>0</v>
      </c>
      <c r="P215" s="194">
        <v>43090</v>
      </c>
      <c r="Q215" s="244">
        <v>0</v>
      </c>
      <c r="R215" s="48">
        <f>0-Q215</f>
        <v>0</v>
      </c>
      <c r="S215" s="3">
        <f>0-R215-Q215</f>
        <v>0</v>
      </c>
      <c r="T215" s="3">
        <f>U215-SUM(Q215:S215)</f>
        <v>0</v>
      </c>
      <c r="U215" s="194">
        <v>0</v>
      </c>
      <c r="V215" s="244">
        <v>0</v>
      </c>
      <c r="W215" s="48">
        <f>0-V215</f>
        <v>0</v>
      </c>
      <c r="X215" s="3">
        <f>0-W215-V215</f>
        <v>0</v>
      </c>
      <c r="Y215" s="3">
        <f t="shared" si="482"/>
        <v>0</v>
      </c>
      <c r="Z215" s="243">
        <v>0</v>
      </c>
      <c r="AA215" s="244">
        <v>0</v>
      </c>
      <c r="AB215" s="48">
        <f>0-AA215</f>
        <v>0</v>
      </c>
      <c r="AC215" s="3">
        <f>0-AB215-AA215</f>
        <v>0</v>
      </c>
      <c r="AD215" s="3">
        <f>AE215-SUM(AA215:AC215)</f>
        <v>0</v>
      </c>
      <c r="AE215" s="243">
        <v>0</v>
      </c>
      <c r="AF215" s="244">
        <v>0</v>
      </c>
      <c r="AG215" s="48">
        <f>0-AF215</f>
        <v>0</v>
      </c>
      <c r="AH215" s="3">
        <f>0-AG215-AF215</f>
        <v>0</v>
      </c>
      <c r="AI215" s="3">
        <f>AJ215-SUM(AF215:AH215)</f>
        <v>0</v>
      </c>
      <c r="AJ215" s="243">
        <v>0</v>
      </c>
      <c r="AK215" s="244">
        <v>0</v>
      </c>
      <c r="AL215" s="178">
        <f>0-AK215</f>
        <v>0</v>
      </c>
      <c r="AM215" s="3">
        <f>0-AL215-AK215</f>
        <v>0</v>
      </c>
      <c r="AN215" s="178">
        <v>-8859</v>
      </c>
      <c r="AO215" s="255">
        <f>SUM(AK215:AN215)</f>
        <v>-8859</v>
      </c>
      <c r="AP215" s="244">
        <v>8859</v>
      </c>
      <c r="AQ215" s="48">
        <v>0</v>
      </c>
      <c r="AR215" s="3">
        <f>8859-AQ215-AP215</f>
        <v>0</v>
      </c>
      <c r="AS215" s="178">
        <v>0</v>
      </c>
      <c r="AT215" s="255">
        <f>SUM(AP215:AS215)</f>
        <v>8859</v>
      </c>
      <c r="AU215" s="244">
        <v>0</v>
      </c>
      <c r="AV215" s="48">
        <f>0-AU215</f>
        <v>0</v>
      </c>
      <c r="AW215" s="3">
        <v>0</v>
      </c>
      <c r="AX215" s="178">
        <v>0</v>
      </c>
      <c r="AY215" s="255">
        <f>SUM(AU215:AX215)</f>
        <v>0</v>
      </c>
      <c r="AZ215" s="244">
        <v>0</v>
      </c>
      <c r="BA215" s="48">
        <f>0-AZ215</f>
        <v>0</v>
      </c>
      <c r="BB215" s="3">
        <f>0-BA215-AZ215</f>
        <v>0</v>
      </c>
      <c r="BC215" s="3">
        <f>BD215-SUM(AZ215:BB215)</f>
        <v>0</v>
      </c>
      <c r="BD215" s="243">
        <v>0</v>
      </c>
      <c r="BE215" s="244">
        <v>0</v>
      </c>
      <c r="BF215" s="48">
        <f>0-BE215</f>
        <v>0</v>
      </c>
      <c r="BG215" s="3">
        <f>0-BF215-BE215</f>
        <v>0</v>
      </c>
      <c r="BH215" s="3">
        <f>BI215-SUM(BE215:BG215)</f>
        <v>0</v>
      </c>
      <c r="BI215" s="243">
        <v>0</v>
      </c>
      <c r="BJ215" s="244">
        <v>0</v>
      </c>
      <c r="BK215" s="48">
        <f>0-BJ215</f>
        <v>0</v>
      </c>
      <c r="BL215" s="3">
        <f>0-BK215-BJ215</f>
        <v>0</v>
      </c>
      <c r="BM215" s="3">
        <f>BN215-SUM(BJ215:BL215)</f>
        <v>0</v>
      </c>
      <c r="BN215" s="243">
        <v>0</v>
      </c>
      <c r="BO215" s="244">
        <v>0</v>
      </c>
      <c r="BP215" s="3">
        <f t="shared" ref="BP215:BP216" si="511">0-BO215</f>
        <v>0</v>
      </c>
      <c r="BQ215" s="38">
        <f t="shared" ref="BQ215:BQ216" si="512">0-BO215-BP215</f>
        <v>0</v>
      </c>
      <c r="BR215" s="3">
        <f>BS215-SUM(BO215:BQ215)</f>
        <v>0</v>
      </c>
      <c r="BS215" s="243">
        <v>0</v>
      </c>
      <c r="BT215" s="244">
        <v>0</v>
      </c>
      <c r="BU215" s="48">
        <f>0-BT215</f>
        <v>0</v>
      </c>
      <c r="BV215" s="3">
        <f>0-BU215-BT215</f>
        <v>0</v>
      </c>
      <c r="BW215" s="3">
        <f>BX215-SUM(BT215:BV215)</f>
        <v>0</v>
      </c>
      <c r="BX215" s="243">
        <v>0</v>
      </c>
      <c r="BY215" s="244">
        <v>0</v>
      </c>
      <c r="BZ215" s="48">
        <f>0-BY215</f>
        <v>0</v>
      </c>
      <c r="CA215" s="3">
        <f>0-BZ215-BY215</f>
        <v>0</v>
      </c>
      <c r="CB215" s="3">
        <f>CC215-SUM(BY215:CA215)</f>
        <v>0</v>
      </c>
      <c r="CC215" s="243">
        <v>0</v>
      </c>
      <c r="CD215" s="244">
        <v>0</v>
      </c>
      <c r="CE215" s="48">
        <f>0-CD215</f>
        <v>0</v>
      </c>
      <c r="CF215" s="3">
        <f>0-CE215-CD215</f>
        <v>0</v>
      </c>
      <c r="CG215" s="3">
        <f>CH215-SUM(CD215:CF215)</f>
        <v>0</v>
      </c>
      <c r="CH215" s="243">
        <v>0</v>
      </c>
      <c r="CI215" s="244">
        <v>0</v>
      </c>
      <c r="CJ215" s="48">
        <f>0-CI215</f>
        <v>0</v>
      </c>
      <c r="CK215" s="3">
        <f>0-CJ215-CI215</f>
        <v>0</v>
      </c>
      <c r="CL215" s="3">
        <f>CM215-SUM(CI215:CK215)</f>
        <v>0</v>
      </c>
      <c r="CM215" s="243">
        <v>0</v>
      </c>
      <c r="CN215" s="244">
        <v>0</v>
      </c>
      <c r="CO215" s="48">
        <f>0-CN215</f>
        <v>0</v>
      </c>
      <c r="CP215" s="3">
        <f>0-CO215-CN215</f>
        <v>0</v>
      </c>
      <c r="CQ215" s="3">
        <f>CR215-SUM(CN215:CP215)</f>
        <v>0</v>
      </c>
      <c r="CR215" s="243">
        <v>0</v>
      </c>
      <c r="CS215" s="244">
        <v>0</v>
      </c>
      <c r="CT215" s="48">
        <f>0-CS215</f>
        <v>0</v>
      </c>
      <c r="CU215" s="3">
        <f>0-CT215-CS215</f>
        <v>0</v>
      </c>
      <c r="CV215" s="3">
        <f>CW215-SUM(CS215:CU215)</f>
        <v>0</v>
      </c>
      <c r="CW215" s="243">
        <v>0</v>
      </c>
      <c r="CX215" s="244">
        <v>0</v>
      </c>
      <c r="CY215" s="48">
        <f>0-CX215</f>
        <v>0</v>
      </c>
      <c r="CZ215" s="3">
        <f>0-CY215-CX215</f>
        <v>0</v>
      </c>
      <c r="DA215" s="3">
        <f>DB215-SUM(CX215:CZ215)</f>
        <v>0</v>
      </c>
      <c r="DB215" s="243">
        <v>0</v>
      </c>
      <c r="DC215" s="186"/>
      <c r="DD215" s="186"/>
      <c r="DE215" s="186"/>
      <c r="DF215" s="186"/>
      <c r="DG215" s="186"/>
      <c r="DH215" s="186"/>
      <c r="DI215" s="186"/>
      <c r="DJ215" s="186"/>
      <c r="DK215" s="186"/>
      <c r="DL215" s="186"/>
      <c r="DM215" s="18"/>
    </row>
    <row r="216" spans="1:117">
      <c r="A216" s="10" t="s">
        <v>276</v>
      </c>
      <c r="B216" s="244">
        <v>0</v>
      </c>
      <c r="C216" s="48">
        <f>0-B216</f>
        <v>0</v>
      </c>
      <c r="D216" s="3">
        <f>0-C216-B216</f>
        <v>0</v>
      </c>
      <c r="E216" s="3">
        <f>F216-SUM(B216:D216)</f>
        <v>0</v>
      </c>
      <c r="F216" s="194">
        <v>0</v>
      </c>
      <c r="G216" s="244">
        <v>0</v>
      </c>
      <c r="H216" s="48">
        <f>0-G216</f>
        <v>0</v>
      </c>
      <c r="I216" s="3">
        <f>0-H216-G216</f>
        <v>0</v>
      </c>
      <c r="J216" s="3">
        <f>K216-SUM(G216:I216)</f>
        <v>0</v>
      </c>
      <c r="K216" s="194">
        <v>0</v>
      </c>
      <c r="L216" s="139">
        <f>36800-22470</f>
        <v>14330</v>
      </c>
      <c r="M216" s="48">
        <f>645349-148823-L216</f>
        <v>482196</v>
      </c>
      <c r="N216" s="3">
        <f>247475-85181-M216-L216</f>
        <v>-334232</v>
      </c>
      <c r="O216" s="3">
        <f>P216-SUM(L216:N216)</f>
        <v>-162294</v>
      </c>
      <c r="P216" s="194">
        <v>0</v>
      </c>
      <c r="Q216" s="244">
        <v>0</v>
      </c>
      <c r="R216" s="48">
        <f>0-Q216</f>
        <v>0</v>
      </c>
      <c r="S216" s="3">
        <f>0-R216-Q216</f>
        <v>0</v>
      </c>
      <c r="T216" s="3">
        <f>U216-SUM(Q216:S216)</f>
        <v>0</v>
      </c>
      <c r="U216" s="194">
        <v>0</v>
      </c>
      <c r="V216" s="244">
        <v>0</v>
      </c>
      <c r="W216" s="48">
        <f>0-V216</f>
        <v>0</v>
      </c>
      <c r="X216" s="3">
        <f>0-W216-V216</f>
        <v>0</v>
      </c>
      <c r="Y216" s="3">
        <f>Z216-SUM(V216:X216)</f>
        <v>0</v>
      </c>
      <c r="Z216" s="243">
        <v>0</v>
      </c>
      <c r="AA216" s="244">
        <v>0</v>
      </c>
      <c r="AB216" s="48">
        <f>0-AA216</f>
        <v>0</v>
      </c>
      <c r="AC216" s="3">
        <f>0-AB216-AA216</f>
        <v>0</v>
      </c>
      <c r="AD216" s="3">
        <f>AE216-SUM(AA216:AC216)</f>
        <v>0</v>
      </c>
      <c r="AE216" s="243">
        <v>0</v>
      </c>
      <c r="AF216" s="244">
        <v>0</v>
      </c>
      <c r="AG216" s="48">
        <f>0-AF216</f>
        <v>0</v>
      </c>
      <c r="AH216" s="3">
        <f>0-AG216-AF216</f>
        <v>0</v>
      </c>
      <c r="AI216" s="3">
        <f>AJ216-SUM(AF216:AH216)</f>
        <v>0</v>
      </c>
      <c r="AJ216" s="243">
        <v>0</v>
      </c>
      <c r="AK216" s="244">
        <v>0</v>
      </c>
      <c r="AL216" s="178">
        <f>0-AK216</f>
        <v>0</v>
      </c>
      <c r="AM216" s="3">
        <f>0-AL216-AK216</f>
        <v>0</v>
      </c>
      <c r="AN216" s="3">
        <f>AO216-SUM(AK216:AM216)</f>
        <v>0</v>
      </c>
      <c r="AO216" s="243">
        <v>0</v>
      </c>
      <c r="AP216" s="244">
        <v>0</v>
      </c>
      <c r="AQ216" s="48">
        <f>0-AP216</f>
        <v>0</v>
      </c>
      <c r="AR216" s="3">
        <f>0-AQ216-AP216</f>
        <v>0</v>
      </c>
      <c r="AS216" s="3">
        <f>AT216-SUM(AP216:AR216)</f>
        <v>0</v>
      </c>
      <c r="AT216" s="243">
        <v>0</v>
      </c>
      <c r="AU216" s="244">
        <v>0</v>
      </c>
      <c r="AV216" s="48">
        <f>0-AU216</f>
        <v>0</v>
      </c>
      <c r="AW216" s="3">
        <f>0-AV216-AU216</f>
        <v>0</v>
      </c>
      <c r="AX216" s="3">
        <f>AY216-SUM(AU216:AW216)</f>
        <v>0</v>
      </c>
      <c r="AY216" s="243">
        <v>0</v>
      </c>
      <c r="AZ216" s="244">
        <v>0</v>
      </c>
      <c r="BA216" s="48">
        <f>0-AZ216</f>
        <v>0</v>
      </c>
      <c r="BB216" s="3">
        <f>0-BA216-AZ216</f>
        <v>0</v>
      </c>
      <c r="BC216" s="3">
        <f>BD216-SUM(AZ216:BB216)</f>
        <v>-3748</v>
      </c>
      <c r="BD216" s="243">
        <f>145565-149313</f>
        <v>-3748</v>
      </c>
      <c r="BE216" s="244">
        <v>153</v>
      </c>
      <c r="BF216" s="48">
        <f>382-BE216</f>
        <v>229</v>
      </c>
      <c r="BG216" s="3">
        <f>+-52-BF216-BE216</f>
        <v>-434</v>
      </c>
      <c r="BH216" s="3">
        <f>BI216-SUM(BE216:BG216)</f>
        <v>9</v>
      </c>
      <c r="BI216" s="243">
        <v>-43</v>
      </c>
      <c r="BJ216" s="244">
        <v>11</v>
      </c>
      <c r="BK216" s="48">
        <f>-272-BJ216</f>
        <v>-283</v>
      </c>
      <c r="BL216" s="3">
        <f>+-228-BK216-BJ216</f>
        <v>44</v>
      </c>
      <c r="BM216" s="3">
        <f>BN216-SUM(BJ216:BL216)</f>
        <v>107</v>
      </c>
      <c r="BN216" s="243">
        <v>-121</v>
      </c>
      <c r="BO216" s="244">
        <v>0</v>
      </c>
      <c r="BP216" s="3">
        <f t="shared" si="511"/>
        <v>0</v>
      </c>
      <c r="BQ216" s="38">
        <f t="shared" si="512"/>
        <v>0</v>
      </c>
      <c r="BR216" s="3">
        <f>BS216-SUM(BO216:BQ216)</f>
        <v>0</v>
      </c>
      <c r="BS216" s="243">
        <v>0</v>
      </c>
      <c r="BT216" s="244">
        <v>0</v>
      </c>
      <c r="BU216" s="48">
        <f>0-BT216</f>
        <v>0</v>
      </c>
      <c r="BV216" s="3">
        <f>0-BU216-BT216</f>
        <v>0</v>
      </c>
      <c r="BW216" s="3">
        <f>BX216-SUM(BT216:BV216)</f>
        <v>0</v>
      </c>
      <c r="BX216" s="243">
        <v>0</v>
      </c>
      <c r="BY216" s="244">
        <v>0</v>
      </c>
      <c r="BZ216" s="48">
        <f>0-BY216</f>
        <v>0</v>
      </c>
      <c r="CA216" s="3">
        <f>0-BZ216-BY216</f>
        <v>0</v>
      </c>
      <c r="CB216" s="3">
        <f>CC216-SUM(BY216:CA216)</f>
        <v>0</v>
      </c>
      <c r="CC216" s="243">
        <v>0</v>
      </c>
      <c r="CD216" s="244">
        <v>0</v>
      </c>
      <c r="CE216" s="48">
        <f>0-CD216</f>
        <v>0</v>
      </c>
      <c r="CF216" s="3">
        <f>0-CE216-CD216</f>
        <v>0</v>
      </c>
      <c r="CG216" s="3">
        <f>CH216-SUM(CD216:CF216)</f>
        <v>0</v>
      </c>
      <c r="CH216" s="243">
        <v>0</v>
      </c>
      <c r="CI216" s="244">
        <v>0</v>
      </c>
      <c r="CJ216" s="48">
        <f>0-CI216</f>
        <v>0</v>
      </c>
      <c r="CK216" s="3">
        <f>0-CJ216-CI216</f>
        <v>0</v>
      </c>
      <c r="CL216" s="3">
        <f>CM216-SUM(CI216:CK216)</f>
        <v>0</v>
      </c>
      <c r="CM216" s="243">
        <v>0</v>
      </c>
      <c r="CN216" s="244">
        <v>0</v>
      </c>
      <c r="CO216" s="48">
        <f>0-CN216</f>
        <v>0</v>
      </c>
      <c r="CP216" s="3">
        <f>0-CO216-CN216</f>
        <v>0</v>
      </c>
      <c r="CQ216" s="3">
        <f>CR216-SUM(CN216:CP216)</f>
        <v>0</v>
      </c>
      <c r="CR216" s="243">
        <v>0</v>
      </c>
      <c r="CS216" s="244">
        <v>0</v>
      </c>
      <c r="CT216" s="48">
        <f>0-CS216</f>
        <v>0</v>
      </c>
      <c r="CU216" s="3">
        <f>0-CT216-CS216</f>
        <v>0</v>
      </c>
      <c r="CV216" s="3">
        <f>CW216-SUM(CS216:CU216)</f>
        <v>0</v>
      </c>
      <c r="CW216" s="243">
        <v>0</v>
      </c>
      <c r="CX216" s="244">
        <v>0</v>
      </c>
      <c r="CY216" s="48">
        <f>0-CX216</f>
        <v>0</v>
      </c>
      <c r="CZ216" s="3">
        <f>0-CY216-CX216</f>
        <v>0</v>
      </c>
      <c r="DA216" s="3">
        <f>DB216-SUM(CX216:CZ216)</f>
        <v>0</v>
      </c>
      <c r="DB216" s="243">
        <v>0</v>
      </c>
      <c r="DC216" s="186"/>
      <c r="DD216" s="186"/>
      <c r="DE216" s="186"/>
      <c r="DF216" s="186"/>
      <c r="DG216" s="186"/>
      <c r="DH216" s="186"/>
      <c r="DI216" s="186"/>
      <c r="DJ216" s="186"/>
      <c r="DK216" s="186"/>
      <c r="DL216" s="186"/>
      <c r="DM216" s="18"/>
    </row>
    <row r="217" spans="1:117">
      <c r="A217" s="10"/>
      <c r="B217" s="244"/>
      <c r="C217" s="38"/>
      <c r="D217" s="178"/>
      <c r="E217" s="178"/>
      <c r="F217" s="194"/>
      <c r="G217" s="244"/>
      <c r="H217" s="38"/>
      <c r="I217" s="178"/>
      <c r="J217" s="178"/>
      <c r="K217" s="194"/>
      <c r="L217" s="244"/>
      <c r="M217" s="38"/>
      <c r="N217" s="178"/>
      <c r="O217" s="178"/>
      <c r="P217" s="194"/>
      <c r="Q217" s="244"/>
      <c r="R217" s="38"/>
      <c r="S217" s="178"/>
      <c r="T217" s="178"/>
      <c r="U217" s="194"/>
      <c r="V217" s="244"/>
      <c r="W217" s="38"/>
      <c r="X217" s="178"/>
      <c r="Y217" s="178"/>
      <c r="Z217" s="194"/>
      <c r="AA217" s="244"/>
      <c r="AB217" s="38"/>
      <c r="AC217" s="178"/>
      <c r="AD217" s="178"/>
      <c r="AE217" s="194"/>
      <c r="AF217" s="244"/>
      <c r="AG217" s="38"/>
      <c r="AH217" s="178"/>
      <c r="AI217" s="178"/>
      <c r="AJ217" s="194"/>
      <c r="AK217" s="244"/>
      <c r="AL217" s="178"/>
      <c r="AM217" s="178"/>
      <c r="AN217" s="178"/>
      <c r="AO217" s="194"/>
      <c r="AP217" s="244"/>
      <c r="AQ217" s="38"/>
      <c r="AR217" s="178"/>
      <c r="AS217" s="178"/>
      <c r="AT217" s="194"/>
      <c r="AU217" s="244"/>
      <c r="AV217" s="38"/>
      <c r="AW217" s="178"/>
      <c r="AX217" s="178"/>
      <c r="AY217" s="194"/>
      <c r="AZ217" s="244"/>
      <c r="BA217" s="38"/>
      <c r="BB217" s="178"/>
      <c r="BC217" s="178"/>
      <c r="BD217" s="194"/>
      <c r="BE217" s="244"/>
      <c r="BF217" s="38"/>
      <c r="BG217" s="178"/>
      <c r="BH217" s="178"/>
      <c r="BI217" s="194"/>
      <c r="BJ217" s="244"/>
      <c r="BK217" s="38"/>
      <c r="BL217" s="178"/>
      <c r="BM217" s="178"/>
      <c r="BN217" s="194"/>
      <c r="BO217" s="244"/>
      <c r="BP217" s="38"/>
      <c r="BQ217" s="178"/>
      <c r="BR217" s="178"/>
      <c r="BS217" s="194"/>
      <c r="BT217" s="244"/>
      <c r="BU217" s="38"/>
      <c r="BV217" s="178"/>
      <c r="BW217" s="178"/>
      <c r="BX217" s="194"/>
      <c r="BY217" s="244"/>
      <c r="BZ217" s="38"/>
      <c r="CA217" s="178"/>
      <c r="CB217" s="178"/>
      <c r="CC217" s="194"/>
      <c r="CD217" s="244"/>
      <c r="CE217" s="38"/>
      <c r="CF217" s="178"/>
      <c r="CG217" s="178"/>
      <c r="CH217" s="194"/>
      <c r="CI217" s="244"/>
      <c r="CJ217" s="38"/>
      <c r="CK217" s="178"/>
      <c r="CL217" s="178"/>
      <c r="CM217" s="194"/>
      <c r="CN217" s="244"/>
      <c r="CO217" s="38"/>
      <c r="CP217" s="178"/>
      <c r="CQ217" s="178"/>
      <c r="CR217" s="194"/>
      <c r="CS217" s="244"/>
      <c r="CT217" s="38"/>
      <c r="CU217" s="178"/>
      <c r="CV217" s="178"/>
      <c r="CW217" s="194"/>
      <c r="CX217" s="244"/>
      <c r="CY217" s="38"/>
      <c r="CZ217" s="178"/>
      <c r="DA217" s="178"/>
      <c r="DB217" s="194"/>
      <c r="DC217" s="178"/>
      <c r="DD217" s="178"/>
      <c r="DE217" s="178"/>
      <c r="DF217" s="178"/>
      <c r="DG217" s="178"/>
      <c r="DH217" s="178"/>
      <c r="DI217" s="178"/>
      <c r="DJ217" s="178"/>
      <c r="DK217" s="186"/>
      <c r="DL217" s="186"/>
      <c r="DM217" s="18"/>
    </row>
    <row r="218" spans="1:117">
      <c r="A218" s="28" t="s">
        <v>561</v>
      </c>
      <c r="B218" s="161">
        <f t="shared" ref="B218:L218" si="513">B187+B201+B214+B215+B216</f>
        <v>10065</v>
      </c>
      <c r="C218" s="4">
        <f t="shared" si="513"/>
        <v>-3277</v>
      </c>
      <c r="D218" s="4">
        <f t="shared" si="513"/>
        <v>-1201</v>
      </c>
      <c r="E218" s="4">
        <f t="shared" si="513"/>
        <v>-8301</v>
      </c>
      <c r="F218" s="256">
        <f t="shared" si="513"/>
        <v>-2714</v>
      </c>
      <c r="G218" s="161">
        <f t="shared" si="513"/>
        <v>26037</v>
      </c>
      <c r="H218" s="4">
        <f t="shared" si="513"/>
        <v>-18892</v>
      </c>
      <c r="I218" s="4">
        <f t="shared" si="513"/>
        <v>69557</v>
      </c>
      <c r="J218" s="4">
        <f t="shared" si="513"/>
        <v>-78245</v>
      </c>
      <c r="K218" s="256">
        <f t="shared" si="513"/>
        <v>-1543</v>
      </c>
      <c r="L218" s="161">
        <f t="shared" si="513"/>
        <v>28885</v>
      </c>
      <c r="M218" s="4">
        <f t="shared" ref="M218:Z218" si="514">M187+M201+M214+M215+M216</f>
        <v>608549</v>
      </c>
      <c r="N218" s="4">
        <f t="shared" si="514"/>
        <v>-397874</v>
      </c>
      <c r="O218" s="4">
        <f t="shared" si="514"/>
        <v>-179207</v>
      </c>
      <c r="P218" s="256">
        <f t="shared" si="514"/>
        <v>60353</v>
      </c>
      <c r="Q218" s="161">
        <f t="shared" si="514"/>
        <v>157242</v>
      </c>
      <c r="R218" s="4">
        <f t="shared" si="514"/>
        <v>77778</v>
      </c>
      <c r="S218" s="4">
        <f t="shared" si="514"/>
        <v>530457</v>
      </c>
      <c r="T218" s="4">
        <f t="shared" si="514"/>
        <v>-814640</v>
      </c>
      <c r="U218" s="256">
        <f t="shared" si="514"/>
        <v>-49163</v>
      </c>
      <c r="V218" s="161">
        <f t="shared" si="514"/>
        <v>249635</v>
      </c>
      <c r="W218" s="4">
        <f t="shared" si="514"/>
        <v>-169996</v>
      </c>
      <c r="X218" s="4">
        <f t="shared" si="514"/>
        <v>-25800</v>
      </c>
      <c r="Y218" s="4">
        <f t="shared" si="514"/>
        <v>437114</v>
      </c>
      <c r="Z218" s="256">
        <f t="shared" si="514"/>
        <v>490953</v>
      </c>
      <c r="AA218" s="161">
        <f t="shared" ref="AA218:AH218" si="515">AA187+AA201+AA214+AA215+AA216</f>
        <v>-433305</v>
      </c>
      <c r="AB218" s="4">
        <f t="shared" si="515"/>
        <v>-29715</v>
      </c>
      <c r="AC218" s="4">
        <f t="shared" si="515"/>
        <v>5142</v>
      </c>
      <c r="AD218" s="4">
        <f t="shared" si="515"/>
        <v>-22781</v>
      </c>
      <c r="AE218" s="256">
        <f t="shared" si="515"/>
        <v>-480659</v>
      </c>
      <c r="AF218" s="161">
        <f t="shared" si="515"/>
        <v>138034</v>
      </c>
      <c r="AG218" s="4">
        <f t="shared" si="515"/>
        <v>-64182</v>
      </c>
      <c r="AH218" s="4">
        <f t="shared" si="515"/>
        <v>-52768</v>
      </c>
      <c r="AI218" s="4">
        <f t="shared" ref="AI218:AO218" si="516">AI187+AI201+AI214+AI215+AI216</f>
        <v>-19449</v>
      </c>
      <c r="AJ218" s="256">
        <f t="shared" si="516"/>
        <v>1635</v>
      </c>
      <c r="AK218" s="161">
        <f t="shared" si="516"/>
        <v>839052</v>
      </c>
      <c r="AL218" s="4">
        <f t="shared" si="516"/>
        <v>-392513</v>
      </c>
      <c r="AM218" s="4">
        <f t="shared" si="516"/>
        <v>-329166</v>
      </c>
      <c r="AN218" s="4">
        <f t="shared" si="516"/>
        <v>-82454</v>
      </c>
      <c r="AO218" s="256">
        <f t="shared" si="516"/>
        <v>34919</v>
      </c>
      <c r="AP218" s="161">
        <f t="shared" ref="AP218:BX218" si="517">AP187+AP201+AP214+AP215+AP216</f>
        <v>715239</v>
      </c>
      <c r="AQ218" s="4">
        <f t="shared" si="517"/>
        <v>-666272</v>
      </c>
      <c r="AR218" s="4">
        <f t="shared" si="517"/>
        <v>863905</v>
      </c>
      <c r="AS218" s="4">
        <f t="shared" si="517"/>
        <v>-395207</v>
      </c>
      <c r="AT218" s="256">
        <f t="shared" si="517"/>
        <v>517665</v>
      </c>
      <c r="AU218" s="161">
        <f>AU187+AU201+AU214+AU215+AU216</f>
        <v>-439671</v>
      </c>
      <c r="AV218" s="4">
        <f t="shared" si="517"/>
        <v>-110266</v>
      </c>
      <c r="AW218" s="4">
        <f>AW187+AW201+AW214+AW215+AW216</f>
        <v>745843</v>
      </c>
      <c r="AX218" s="4">
        <f>AX187+AX201+AX214+AX215+AX216</f>
        <v>-630211</v>
      </c>
      <c r="AY218" s="256">
        <f>AY187+AY201+AY214+AY215+AY216</f>
        <v>-434305</v>
      </c>
      <c r="AZ218" s="161">
        <f>AZ187+AZ201+AZ214+AZ215+AZ216</f>
        <v>60914</v>
      </c>
      <c r="BA218" s="4">
        <f t="shared" si="517"/>
        <v>148333</v>
      </c>
      <c r="BB218" s="4">
        <f t="shared" si="517"/>
        <v>-207157</v>
      </c>
      <c r="BC218" s="4">
        <f t="shared" si="517"/>
        <v>21409</v>
      </c>
      <c r="BD218" s="256">
        <f t="shared" si="517"/>
        <v>23499</v>
      </c>
      <c r="BE218" s="161">
        <f>BE187+BE201+BE214+BE215+BE216</f>
        <v>66599</v>
      </c>
      <c r="BF218" s="391">
        <f>BF187+BF201+BF214+BF215+BF216</f>
        <v>-13218</v>
      </c>
      <c r="BG218" s="4">
        <f t="shared" si="517"/>
        <v>-187822</v>
      </c>
      <c r="BH218" s="391">
        <f t="shared" si="517"/>
        <v>59248</v>
      </c>
      <c r="BI218" s="602">
        <f>BI187+BI201+BI214+BI215+BI216</f>
        <v>-75193</v>
      </c>
      <c r="BJ218" s="161">
        <f t="shared" si="517"/>
        <v>39600</v>
      </c>
      <c r="BK218" s="391">
        <f t="shared" si="517"/>
        <v>43635</v>
      </c>
      <c r="BL218" s="391">
        <f>BL187+BL201+BL214+BL215+BL216</f>
        <v>56556</v>
      </c>
      <c r="BM218" s="391">
        <f t="shared" si="517"/>
        <v>11465</v>
      </c>
      <c r="BN218" s="602">
        <f t="shared" si="517"/>
        <v>151256</v>
      </c>
      <c r="BO218" s="161">
        <f t="shared" si="517"/>
        <v>61933</v>
      </c>
      <c r="BP218" s="4">
        <f t="shared" si="517"/>
        <v>21563</v>
      </c>
      <c r="BQ218" s="391">
        <f t="shared" si="517"/>
        <v>-320695</v>
      </c>
      <c r="BR218" s="4">
        <f t="shared" si="517"/>
        <v>25517</v>
      </c>
      <c r="BS218" s="256">
        <f t="shared" si="517"/>
        <v>-211682</v>
      </c>
      <c r="BT218" s="161">
        <f t="shared" si="517"/>
        <v>888599.72743133642</v>
      </c>
      <c r="BU218" s="4">
        <f t="shared" si="517"/>
        <v>-194968.72717717715</v>
      </c>
      <c r="BV218" s="4">
        <f t="shared" si="517"/>
        <v>-210936.55077223224</v>
      </c>
      <c r="BW218" s="4">
        <f t="shared" si="517"/>
        <v>-215982.47717932548</v>
      </c>
      <c r="BX218" s="256">
        <f t="shared" si="517"/>
        <v>266711.97230260167</v>
      </c>
      <c r="BY218" s="161">
        <f t="shared" ref="BY218:CH218" si="518">BY187+BY201+BY214+BY215+BY216</f>
        <v>-26683.406915041211</v>
      </c>
      <c r="BZ218" s="4">
        <f t="shared" si="518"/>
        <v>-47236.049092862697</v>
      </c>
      <c r="CA218" s="4">
        <f t="shared" si="518"/>
        <v>-70030.105027838144</v>
      </c>
      <c r="CB218" s="4">
        <f t="shared" si="518"/>
        <v>-75825.059313346283</v>
      </c>
      <c r="CC218" s="256">
        <f t="shared" si="518"/>
        <v>-219774.62034908845</v>
      </c>
      <c r="CD218" s="161">
        <f t="shared" si="518"/>
        <v>2933.4259489796823</v>
      </c>
      <c r="CE218" s="4">
        <f t="shared" si="518"/>
        <v>-5751.5285269537126</v>
      </c>
      <c r="CF218" s="4">
        <f t="shared" si="518"/>
        <v>-19901.90026240563</v>
      </c>
      <c r="CG218" s="4">
        <f t="shared" si="518"/>
        <v>13612.88366148097</v>
      </c>
      <c r="CH218" s="256">
        <f t="shared" si="518"/>
        <v>-9107.1191788988654</v>
      </c>
      <c r="CI218" s="161">
        <f t="shared" ref="CI218:CR218" si="519">CI187+CI201+CI214+CI215+CI216</f>
        <v>21509.146660822676</v>
      </c>
      <c r="CJ218" s="4">
        <f t="shared" si="519"/>
        <v>24515.92677705118</v>
      </c>
      <c r="CK218" s="4">
        <f t="shared" si="519"/>
        <v>5975.5856401494821</v>
      </c>
      <c r="CL218" s="4">
        <f t="shared" si="519"/>
        <v>57788.087658979639</v>
      </c>
      <c r="CM218" s="256">
        <f t="shared" si="519"/>
        <v>109788.74673700286</v>
      </c>
      <c r="CN218" s="161">
        <f t="shared" si="519"/>
        <v>-12798.277765011007</v>
      </c>
      <c r="CO218" s="4">
        <f t="shared" si="519"/>
        <v>-5926.2039298622985</v>
      </c>
      <c r="CP218" s="4">
        <f t="shared" si="519"/>
        <v>-21551.600721401919</v>
      </c>
      <c r="CQ218" s="4">
        <f t="shared" si="519"/>
        <v>46693.605623902928</v>
      </c>
      <c r="CR218" s="256">
        <f t="shared" si="519"/>
        <v>6417.5232076277025</v>
      </c>
      <c r="CS218" s="161">
        <f t="shared" ref="CS218:DB218" si="520">CS187+CS201+CS214+CS215+CS216</f>
        <v>-34234.540498753893</v>
      </c>
      <c r="CT218" s="4">
        <f t="shared" si="520"/>
        <v>-27202.87085308216</v>
      </c>
      <c r="CU218" s="4">
        <f t="shared" si="520"/>
        <v>-42708.824116710515</v>
      </c>
      <c r="CV218" s="4">
        <f t="shared" si="520"/>
        <v>42223.789989236218</v>
      </c>
      <c r="CW218" s="256">
        <f t="shared" si="520"/>
        <v>-61922.44547931035</v>
      </c>
      <c r="CX218" s="161">
        <f t="shared" si="520"/>
        <v>-35269.076224879129</v>
      </c>
      <c r="CY218" s="4">
        <f t="shared" si="520"/>
        <v>-27864.651484143571</v>
      </c>
      <c r="CZ218" s="4">
        <f t="shared" si="520"/>
        <v>-43069.851835020003</v>
      </c>
      <c r="DA218" s="4">
        <f t="shared" si="520"/>
        <v>48470.986218985287</v>
      </c>
      <c r="DB218" s="256">
        <f t="shared" si="520"/>
        <v>-57732.5933250573</v>
      </c>
      <c r="DC218" s="4"/>
      <c r="DD218" s="4"/>
      <c r="DE218" s="4"/>
      <c r="DF218" s="4"/>
      <c r="DG218" s="4"/>
      <c r="DH218" s="4"/>
      <c r="DI218" s="4"/>
      <c r="DJ218" s="4"/>
      <c r="DK218" s="218"/>
      <c r="DL218" s="218"/>
      <c r="DM218" s="25"/>
    </row>
    <row r="219" spans="1:117">
      <c r="A219" s="28" t="s">
        <v>950</v>
      </c>
      <c r="B219" s="246">
        <v>12172</v>
      </c>
      <c r="C219" s="168">
        <f>B220</f>
        <v>22237</v>
      </c>
      <c r="D219" s="4">
        <f>C220</f>
        <v>18960</v>
      </c>
      <c r="E219" s="4">
        <f>D220</f>
        <v>17759</v>
      </c>
      <c r="F219" s="256">
        <f>B219</f>
        <v>12172</v>
      </c>
      <c r="G219" s="161">
        <f>F220</f>
        <v>9458</v>
      </c>
      <c r="H219" s="168">
        <f>G220</f>
        <v>35495</v>
      </c>
      <c r="I219" s="4">
        <f>H220</f>
        <v>16603</v>
      </c>
      <c r="J219" s="4">
        <f>I220</f>
        <v>86160</v>
      </c>
      <c r="K219" s="256">
        <f>F220</f>
        <v>9458</v>
      </c>
      <c r="L219" s="161">
        <f>K220</f>
        <v>7915</v>
      </c>
      <c r="M219" s="168">
        <f>L220</f>
        <v>36800</v>
      </c>
      <c r="N219" s="4">
        <f>M220</f>
        <v>645349</v>
      </c>
      <c r="O219" s="4">
        <f>N220</f>
        <v>247475</v>
      </c>
      <c r="P219" s="256">
        <f>K220</f>
        <v>7915</v>
      </c>
      <c r="Q219" s="161">
        <f>P220</f>
        <v>68268</v>
      </c>
      <c r="R219" s="168">
        <f>Q220</f>
        <v>225510</v>
      </c>
      <c r="S219" s="4">
        <f>R220</f>
        <v>303288</v>
      </c>
      <c r="T219" s="4">
        <f>S220</f>
        <v>833745</v>
      </c>
      <c r="U219" s="256">
        <f>P220</f>
        <v>68268</v>
      </c>
      <c r="V219" s="161">
        <f>U220</f>
        <v>19105</v>
      </c>
      <c r="W219" s="168">
        <f>V220</f>
        <v>268740</v>
      </c>
      <c r="X219" s="4">
        <f>W220</f>
        <v>98744</v>
      </c>
      <c r="Y219" s="4">
        <f>X220</f>
        <v>72944</v>
      </c>
      <c r="Z219" s="256">
        <f>U220</f>
        <v>19105</v>
      </c>
      <c r="AA219" s="161">
        <f>Z220</f>
        <v>510058</v>
      </c>
      <c r="AB219" s="168">
        <f>AA220</f>
        <v>76753</v>
      </c>
      <c r="AC219" s="4">
        <f>AB220</f>
        <v>47038</v>
      </c>
      <c r="AD219" s="4">
        <f>AC220</f>
        <v>52180</v>
      </c>
      <c r="AE219" s="256">
        <f>Z220</f>
        <v>510058</v>
      </c>
      <c r="AF219" s="161">
        <f t="shared" ref="AF219:BW219" si="521">AE220</f>
        <v>29399</v>
      </c>
      <c r="AG219" s="168">
        <f t="shared" si="521"/>
        <v>167433</v>
      </c>
      <c r="AH219" s="4">
        <f t="shared" si="521"/>
        <v>103251</v>
      </c>
      <c r="AI219" s="4">
        <f>AH220</f>
        <v>50483</v>
      </c>
      <c r="AJ219" s="256">
        <f>AE220</f>
        <v>29399</v>
      </c>
      <c r="AK219" s="161">
        <f>AJ220</f>
        <v>31034</v>
      </c>
      <c r="AL219" s="4">
        <f>AK220</f>
        <v>870086</v>
      </c>
      <c r="AM219" s="4">
        <f t="shared" si="521"/>
        <v>477573</v>
      </c>
      <c r="AN219" s="4">
        <f>AM220</f>
        <v>148407</v>
      </c>
      <c r="AO219" s="256">
        <f>AJ220</f>
        <v>31034</v>
      </c>
      <c r="AP219" s="161">
        <f t="shared" si="521"/>
        <v>65953</v>
      </c>
      <c r="AQ219" s="168">
        <f t="shared" si="521"/>
        <v>781192</v>
      </c>
      <c r="AR219" s="4">
        <f t="shared" si="521"/>
        <v>114920</v>
      </c>
      <c r="AS219" s="4">
        <f>AR220</f>
        <v>978825</v>
      </c>
      <c r="AT219" s="256">
        <f>AO220</f>
        <v>65953</v>
      </c>
      <c r="AU219" s="161">
        <f t="shared" si="521"/>
        <v>583618</v>
      </c>
      <c r="AV219" s="168">
        <f t="shared" si="521"/>
        <v>143947</v>
      </c>
      <c r="AW219" s="4">
        <f t="shared" si="521"/>
        <v>33681</v>
      </c>
      <c r="AX219" s="4">
        <f>AW220</f>
        <v>779524</v>
      </c>
      <c r="AY219" s="256">
        <f>AT220</f>
        <v>583618</v>
      </c>
      <c r="AZ219" s="161">
        <f t="shared" si="521"/>
        <v>149313</v>
      </c>
      <c r="BA219" s="168">
        <f t="shared" si="521"/>
        <v>210227</v>
      </c>
      <c r="BB219" s="4">
        <f t="shared" si="521"/>
        <v>358560</v>
      </c>
      <c r="BC219" s="4">
        <f t="shared" si="521"/>
        <v>151403</v>
      </c>
      <c r="BD219" s="256">
        <f>AY220</f>
        <v>149313</v>
      </c>
      <c r="BE219" s="161">
        <f t="shared" si="521"/>
        <v>172812</v>
      </c>
      <c r="BF219" s="388">
        <f t="shared" si="521"/>
        <v>239411</v>
      </c>
      <c r="BG219" s="4">
        <f t="shared" si="521"/>
        <v>226193</v>
      </c>
      <c r="BH219" s="391">
        <f t="shared" si="521"/>
        <v>38371</v>
      </c>
      <c r="BI219" s="602">
        <f>BD220</f>
        <v>172812</v>
      </c>
      <c r="BJ219" s="161">
        <f>BI220</f>
        <v>97619</v>
      </c>
      <c r="BK219" s="388">
        <f t="shared" si="521"/>
        <v>137219</v>
      </c>
      <c r="BL219" s="391">
        <f t="shared" si="521"/>
        <v>180854</v>
      </c>
      <c r="BM219" s="391">
        <f t="shared" si="521"/>
        <v>237410</v>
      </c>
      <c r="BN219" s="602">
        <f>BI220</f>
        <v>97619</v>
      </c>
      <c r="BO219" s="161">
        <f t="shared" si="521"/>
        <v>248875</v>
      </c>
      <c r="BP219" s="168">
        <f t="shared" si="521"/>
        <v>310808</v>
      </c>
      <c r="BQ219" s="391">
        <f t="shared" si="521"/>
        <v>332371</v>
      </c>
      <c r="BR219" s="4">
        <f t="shared" si="521"/>
        <v>11676</v>
      </c>
      <c r="BS219" s="256">
        <f>BN220</f>
        <v>248875</v>
      </c>
      <c r="BT219" s="161">
        <f t="shared" si="521"/>
        <v>37193</v>
      </c>
      <c r="BU219" s="168">
        <f t="shared" si="521"/>
        <v>925792.72743133642</v>
      </c>
      <c r="BV219" s="4">
        <f t="shared" si="521"/>
        <v>730824.00025415933</v>
      </c>
      <c r="BW219" s="4">
        <f t="shared" si="521"/>
        <v>519887.44948192709</v>
      </c>
      <c r="BX219" s="256">
        <f>BS220</f>
        <v>37193</v>
      </c>
      <c r="BY219" s="161">
        <f>BX220</f>
        <v>303904.97230260167</v>
      </c>
      <c r="BZ219" s="168">
        <f>BY220</f>
        <v>277221.56538756046</v>
      </c>
      <c r="CA219" s="4">
        <f>BZ220</f>
        <v>229985.51629469777</v>
      </c>
      <c r="CB219" s="4">
        <f>CA220</f>
        <v>159955.41126685962</v>
      </c>
      <c r="CC219" s="256">
        <f>BX220</f>
        <v>303904.97230260167</v>
      </c>
      <c r="CD219" s="161">
        <f>CC220</f>
        <v>84130.351953513222</v>
      </c>
      <c r="CE219" s="168">
        <f>CD220</f>
        <v>87063.777902492904</v>
      </c>
      <c r="CF219" s="4">
        <f>CE220</f>
        <v>81312.249375539192</v>
      </c>
      <c r="CG219" s="4">
        <f>CF220</f>
        <v>61410.349113133561</v>
      </c>
      <c r="CH219" s="256">
        <f>CC220</f>
        <v>84130.351953513222</v>
      </c>
      <c r="CI219" s="161">
        <f>CH220</f>
        <v>75023.232774614356</v>
      </c>
      <c r="CJ219" s="168">
        <f>CI220</f>
        <v>96532.379435437033</v>
      </c>
      <c r="CK219" s="4">
        <f>CJ220</f>
        <v>121048.30621248821</v>
      </c>
      <c r="CL219" s="4">
        <f>CK220</f>
        <v>127023.89185263769</v>
      </c>
      <c r="CM219" s="256">
        <f>CH220</f>
        <v>75023.232774614356</v>
      </c>
      <c r="CN219" s="161">
        <f>CM220</f>
        <v>184811.97951161722</v>
      </c>
      <c r="CO219" s="168">
        <f>CN220</f>
        <v>172013.70174660621</v>
      </c>
      <c r="CP219" s="4">
        <f>CO220</f>
        <v>166087.49781674391</v>
      </c>
      <c r="CQ219" s="4">
        <f>CP220</f>
        <v>144535.89709534199</v>
      </c>
      <c r="CR219" s="256">
        <f>CM220</f>
        <v>184811.97951161722</v>
      </c>
      <c r="CS219" s="161">
        <f>CR220</f>
        <v>191229.50271924492</v>
      </c>
      <c r="CT219" s="168">
        <f>CS220</f>
        <v>156994.96222049103</v>
      </c>
      <c r="CU219" s="4">
        <f>CT220</f>
        <v>129792.09136740887</v>
      </c>
      <c r="CV219" s="4">
        <f>CU220</f>
        <v>87083.267250698351</v>
      </c>
      <c r="CW219" s="256">
        <f>CR220</f>
        <v>191229.50271924492</v>
      </c>
      <c r="CX219" s="161">
        <f>CW220</f>
        <v>129307.05723993457</v>
      </c>
      <c r="CY219" s="168">
        <f>CX220</f>
        <v>94037.98101505544</v>
      </c>
      <c r="CZ219" s="4">
        <f>CY220</f>
        <v>66173.329530911869</v>
      </c>
      <c r="DA219" s="4">
        <f>CZ220</f>
        <v>23103.477695891866</v>
      </c>
      <c r="DB219" s="256">
        <f>CW220</f>
        <v>129307.05723993457</v>
      </c>
      <c r="DC219" s="4"/>
      <c r="DD219" s="4"/>
      <c r="DE219" s="4"/>
      <c r="DF219" s="4"/>
      <c r="DG219" s="4"/>
      <c r="DH219" s="4"/>
      <c r="DI219" s="4"/>
      <c r="DJ219" s="4"/>
      <c r="DK219" s="218"/>
      <c r="DL219" s="218"/>
      <c r="DM219" s="25"/>
    </row>
    <row r="220" spans="1:117">
      <c r="A220" s="28" t="s">
        <v>44</v>
      </c>
      <c r="B220" s="161">
        <f t="shared" ref="B220:U220" si="522">B218+B219</f>
        <v>22237</v>
      </c>
      <c r="C220" s="168">
        <f t="shared" si="522"/>
        <v>18960</v>
      </c>
      <c r="D220" s="4">
        <f t="shared" si="522"/>
        <v>17759</v>
      </c>
      <c r="E220" s="4">
        <f t="shared" si="522"/>
        <v>9458</v>
      </c>
      <c r="F220" s="256">
        <f t="shared" si="522"/>
        <v>9458</v>
      </c>
      <c r="G220" s="161">
        <f t="shared" si="522"/>
        <v>35495</v>
      </c>
      <c r="H220" s="168">
        <f t="shared" si="522"/>
        <v>16603</v>
      </c>
      <c r="I220" s="4">
        <f t="shared" si="522"/>
        <v>86160</v>
      </c>
      <c r="J220" s="4">
        <f t="shared" si="522"/>
        <v>7915</v>
      </c>
      <c r="K220" s="256">
        <f t="shared" si="522"/>
        <v>7915</v>
      </c>
      <c r="L220" s="161">
        <f t="shared" si="522"/>
        <v>36800</v>
      </c>
      <c r="M220" s="168">
        <f t="shared" si="522"/>
        <v>645349</v>
      </c>
      <c r="N220" s="4">
        <f t="shared" si="522"/>
        <v>247475</v>
      </c>
      <c r="O220" s="4">
        <f t="shared" si="522"/>
        <v>68268</v>
      </c>
      <c r="P220" s="256">
        <f t="shared" si="522"/>
        <v>68268</v>
      </c>
      <c r="Q220" s="161">
        <f t="shared" si="522"/>
        <v>225510</v>
      </c>
      <c r="R220" s="168">
        <f t="shared" si="522"/>
        <v>303288</v>
      </c>
      <c r="S220" s="4">
        <f t="shared" si="522"/>
        <v>833745</v>
      </c>
      <c r="T220" s="4">
        <f t="shared" si="522"/>
        <v>19105</v>
      </c>
      <c r="U220" s="256">
        <f t="shared" si="522"/>
        <v>19105</v>
      </c>
      <c r="V220" s="161">
        <f>V218+V219</f>
        <v>268740</v>
      </c>
      <c r="W220" s="168">
        <f>W218+W219</f>
        <v>98744</v>
      </c>
      <c r="X220" s="4">
        <f>X218+X219</f>
        <v>72944</v>
      </c>
      <c r="Y220" s="4">
        <f>Y218+Y219</f>
        <v>510058</v>
      </c>
      <c r="Z220" s="256">
        <f>Z218+Z219</f>
        <v>510058</v>
      </c>
      <c r="AA220" s="161">
        <f t="shared" ref="AA220:BD220" si="523">AA218+AA219</f>
        <v>76753</v>
      </c>
      <c r="AB220" s="168">
        <f t="shared" si="523"/>
        <v>47038</v>
      </c>
      <c r="AC220" s="4">
        <f t="shared" si="523"/>
        <v>52180</v>
      </c>
      <c r="AD220" s="4">
        <f>AD218+AD219</f>
        <v>29399</v>
      </c>
      <c r="AE220" s="256">
        <f>AE218+AE219</f>
        <v>29399</v>
      </c>
      <c r="AF220" s="161">
        <f t="shared" si="523"/>
        <v>167433</v>
      </c>
      <c r="AG220" s="168">
        <f t="shared" si="523"/>
        <v>103251</v>
      </c>
      <c r="AH220" s="4">
        <f t="shared" si="523"/>
        <v>50483</v>
      </c>
      <c r="AI220" s="4">
        <f>AI218+AI219</f>
        <v>31034</v>
      </c>
      <c r="AJ220" s="256">
        <f>AJ218+AJ219</f>
        <v>31034</v>
      </c>
      <c r="AK220" s="161">
        <f>AK218+AK219</f>
        <v>870086</v>
      </c>
      <c r="AL220" s="4">
        <f>AL218+AL219</f>
        <v>477573</v>
      </c>
      <c r="AM220" s="4">
        <f t="shared" si="523"/>
        <v>148407</v>
      </c>
      <c r="AN220" s="4">
        <f>AN218+AN219</f>
        <v>65953</v>
      </c>
      <c r="AO220" s="256">
        <f>AO218+AO219</f>
        <v>65953</v>
      </c>
      <c r="AP220" s="161">
        <f t="shared" si="523"/>
        <v>781192</v>
      </c>
      <c r="AQ220" s="168">
        <f t="shared" si="523"/>
        <v>114920</v>
      </c>
      <c r="AR220" s="4">
        <f t="shared" si="523"/>
        <v>978825</v>
      </c>
      <c r="AS220" s="4">
        <f>AS218+AS219</f>
        <v>583618</v>
      </c>
      <c r="AT220" s="256">
        <f>AT218+AT219</f>
        <v>583618</v>
      </c>
      <c r="AU220" s="161">
        <f t="shared" si="523"/>
        <v>143947</v>
      </c>
      <c r="AV220" s="168">
        <f t="shared" si="523"/>
        <v>33681</v>
      </c>
      <c r="AW220" s="4">
        <f t="shared" si="523"/>
        <v>779524</v>
      </c>
      <c r="AX220" s="4">
        <f>AX218+AX219</f>
        <v>149313</v>
      </c>
      <c r="AY220" s="256">
        <f>AY218+AY219</f>
        <v>149313</v>
      </c>
      <c r="AZ220" s="161">
        <f t="shared" si="523"/>
        <v>210227</v>
      </c>
      <c r="BA220" s="168">
        <f t="shared" si="523"/>
        <v>358560</v>
      </c>
      <c r="BB220" s="4">
        <f t="shared" si="523"/>
        <v>151403</v>
      </c>
      <c r="BC220" s="4">
        <f t="shared" si="523"/>
        <v>172812</v>
      </c>
      <c r="BD220" s="256">
        <f t="shared" si="523"/>
        <v>172812</v>
      </c>
      <c r="BE220" s="161">
        <f>BE218+BE219</f>
        <v>239411</v>
      </c>
      <c r="BF220" s="388">
        <f>BF218+BF219</f>
        <v>226193</v>
      </c>
      <c r="BG220" s="4">
        <f t="shared" ref="BG220:BX220" si="524">BG218+BG219</f>
        <v>38371</v>
      </c>
      <c r="BH220" s="391">
        <f t="shared" si="524"/>
        <v>97619</v>
      </c>
      <c r="BI220" s="602">
        <f>BI218+BI219</f>
        <v>97619</v>
      </c>
      <c r="BJ220" s="161">
        <f t="shared" si="524"/>
        <v>137219</v>
      </c>
      <c r="BK220" s="388">
        <f t="shared" si="524"/>
        <v>180854</v>
      </c>
      <c r="BL220" s="391">
        <f>BL218+BL219</f>
        <v>237410</v>
      </c>
      <c r="BM220" s="391">
        <f t="shared" si="524"/>
        <v>248875</v>
      </c>
      <c r="BN220" s="602">
        <f t="shared" si="524"/>
        <v>248875</v>
      </c>
      <c r="BO220" s="161">
        <f t="shared" si="524"/>
        <v>310808</v>
      </c>
      <c r="BP220" s="168">
        <f t="shared" si="524"/>
        <v>332371</v>
      </c>
      <c r="BQ220" s="391">
        <f t="shared" si="524"/>
        <v>11676</v>
      </c>
      <c r="BR220" s="4">
        <f t="shared" si="524"/>
        <v>37193</v>
      </c>
      <c r="BS220" s="256">
        <f t="shared" si="524"/>
        <v>37193</v>
      </c>
      <c r="BT220" s="161">
        <f t="shared" si="524"/>
        <v>925792.72743133642</v>
      </c>
      <c r="BU220" s="168">
        <f t="shared" si="524"/>
        <v>730824.00025415933</v>
      </c>
      <c r="BV220" s="4">
        <f t="shared" si="524"/>
        <v>519887.44948192709</v>
      </c>
      <c r="BW220" s="4">
        <f t="shared" si="524"/>
        <v>303904.97230260161</v>
      </c>
      <c r="BX220" s="256">
        <f t="shared" si="524"/>
        <v>303904.97230260167</v>
      </c>
      <c r="BY220" s="161">
        <f t="shared" ref="BY220:CH220" si="525">BY218+BY219</f>
        <v>277221.56538756046</v>
      </c>
      <c r="BZ220" s="168">
        <f t="shared" si="525"/>
        <v>229985.51629469777</v>
      </c>
      <c r="CA220" s="4">
        <f t="shared" si="525"/>
        <v>159955.41126685962</v>
      </c>
      <c r="CB220" s="4">
        <f t="shared" si="525"/>
        <v>84130.351953513338</v>
      </c>
      <c r="CC220" s="256">
        <f t="shared" si="525"/>
        <v>84130.351953513222</v>
      </c>
      <c r="CD220" s="161">
        <f t="shared" si="525"/>
        <v>87063.777902492904</v>
      </c>
      <c r="CE220" s="168">
        <f t="shared" si="525"/>
        <v>81312.249375539192</v>
      </c>
      <c r="CF220" s="4">
        <f t="shared" si="525"/>
        <v>61410.349113133561</v>
      </c>
      <c r="CG220" s="4">
        <f t="shared" si="525"/>
        <v>75023.232774614531</v>
      </c>
      <c r="CH220" s="256">
        <f t="shared" si="525"/>
        <v>75023.232774614356</v>
      </c>
      <c r="CI220" s="161">
        <f t="shared" ref="CI220:CR220" si="526">CI218+CI219</f>
        <v>96532.379435437033</v>
      </c>
      <c r="CJ220" s="168">
        <f t="shared" si="526"/>
        <v>121048.30621248821</v>
      </c>
      <c r="CK220" s="4">
        <f t="shared" si="526"/>
        <v>127023.89185263769</v>
      </c>
      <c r="CL220" s="4">
        <f t="shared" si="526"/>
        <v>184811.97951161733</v>
      </c>
      <c r="CM220" s="256">
        <f t="shared" si="526"/>
        <v>184811.97951161722</v>
      </c>
      <c r="CN220" s="161">
        <f t="shared" si="526"/>
        <v>172013.70174660621</v>
      </c>
      <c r="CO220" s="168">
        <f t="shared" si="526"/>
        <v>166087.49781674391</v>
      </c>
      <c r="CP220" s="4">
        <f t="shared" si="526"/>
        <v>144535.89709534199</v>
      </c>
      <c r="CQ220" s="4">
        <f t="shared" si="526"/>
        <v>191229.50271924492</v>
      </c>
      <c r="CR220" s="256">
        <f t="shared" si="526"/>
        <v>191229.50271924492</v>
      </c>
      <c r="CS220" s="161">
        <f t="shared" ref="CS220:DB220" si="527">CS218+CS219</f>
        <v>156994.96222049103</v>
      </c>
      <c r="CT220" s="168">
        <f t="shared" si="527"/>
        <v>129792.09136740887</v>
      </c>
      <c r="CU220" s="4">
        <f t="shared" si="527"/>
        <v>87083.267250698351</v>
      </c>
      <c r="CV220" s="4">
        <f t="shared" si="527"/>
        <v>129307.05723993457</v>
      </c>
      <c r="CW220" s="256">
        <f t="shared" si="527"/>
        <v>129307.05723993457</v>
      </c>
      <c r="CX220" s="161">
        <f t="shared" si="527"/>
        <v>94037.98101505544</v>
      </c>
      <c r="CY220" s="168">
        <f t="shared" si="527"/>
        <v>66173.329530911869</v>
      </c>
      <c r="CZ220" s="4">
        <f t="shared" si="527"/>
        <v>23103.477695891866</v>
      </c>
      <c r="DA220" s="4">
        <f t="shared" si="527"/>
        <v>71574.463914877153</v>
      </c>
      <c r="DB220" s="256">
        <f t="shared" si="527"/>
        <v>71574.463914877269</v>
      </c>
      <c r="DC220" s="4"/>
      <c r="DD220" s="4"/>
      <c r="DE220" s="4"/>
      <c r="DF220" s="4"/>
      <c r="DG220" s="4"/>
      <c r="DH220" s="4"/>
      <c r="DI220" s="4"/>
      <c r="DJ220" s="4"/>
      <c r="DK220" s="218"/>
      <c r="DL220" s="218"/>
      <c r="DM220" s="25"/>
    </row>
    <row r="221" spans="1:117">
      <c r="A221" s="36" t="s">
        <v>237</v>
      </c>
      <c r="B221" s="95">
        <f t="shared" ref="B221:AG221" si="528">B220-B84</f>
        <v>0</v>
      </c>
      <c r="C221" s="96">
        <f t="shared" si="528"/>
        <v>0</v>
      </c>
      <c r="D221" s="96">
        <f t="shared" si="528"/>
        <v>0</v>
      </c>
      <c r="E221" s="96">
        <f t="shared" si="528"/>
        <v>0</v>
      </c>
      <c r="F221" s="122">
        <f t="shared" si="528"/>
        <v>0</v>
      </c>
      <c r="G221" s="95">
        <f t="shared" si="528"/>
        <v>0</v>
      </c>
      <c r="H221" s="96">
        <f t="shared" si="528"/>
        <v>0</v>
      </c>
      <c r="I221" s="96">
        <f t="shared" si="528"/>
        <v>0</v>
      </c>
      <c r="J221" s="96">
        <f t="shared" si="528"/>
        <v>0</v>
      </c>
      <c r="K221" s="122">
        <f t="shared" si="528"/>
        <v>0</v>
      </c>
      <c r="L221" s="95">
        <f t="shared" si="528"/>
        <v>0</v>
      </c>
      <c r="M221" s="96">
        <f t="shared" si="528"/>
        <v>0</v>
      </c>
      <c r="N221" s="96">
        <f t="shared" si="528"/>
        <v>0</v>
      </c>
      <c r="O221" s="96">
        <f t="shared" si="528"/>
        <v>0</v>
      </c>
      <c r="P221" s="122">
        <f t="shared" si="528"/>
        <v>0</v>
      </c>
      <c r="Q221" s="95">
        <f t="shared" si="528"/>
        <v>0</v>
      </c>
      <c r="R221" s="96">
        <f t="shared" si="528"/>
        <v>0</v>
      </c>
      <c r="S221" s="96">
        <f t="shared" si="528"/>
        <v>0</v>
      </c>
      <c r="T221" s="96">
        <f t="shared" si="528"/>
        <v>0</v>
      </c>
      <c r="U221" s="122">
        <f t="shared" si="528"/>
        <v>0</v>
      </c>
      <c r="V221" s="95">
        <f t="shared" si="528"/>
        <v>0</v>
      </c>
      <c r="W221" s="96">
        <f t="shared" si="528"/>
        <v>0</v>
      </c>
      <c r="X221" s="96">
        <f t="shared" si="528"/>
        <v>0</v>
      </c>
      <c r="Y221" s="96">
        <f t="shared" si="528"/>
        <v>0</v>
      </c>
      <c r="Z221" s="122">
        <f t="shared" si="528"/>
        <v>0</v>
      </c>
      <c r="AA221" s="95">
        <f t="shared" si="528"/>
        <v>0</v>
      </c>
      <c r="AB221" s="96">
        <f t="shared" si="528"/>
        <v>0</v>
      </c>
      <c r="AC221" s="96">
        <f t="shared" si="528"/>
        <v>0</v>
      </c>
      <c r="AD221" s="96">
        <f>AD220-AD84</f>
        <v>0</v>
      </c>
      <c r="AE221" s="122">
        <f>AE220-AE84</f>
        <v>0</v>
      </c>
      <c r="AF221" s="95">
        <f t="shared" si="528"/>
        <v>0</v>
      </c>
      <c r="AG221" s="96">
        <f t="shared" si="528"/>
        <v>0</v>
      </c>
      <c r="AH221" s="96">
        <f t="shared" ref="AH221:BM221" si="529">AH220-AH84</f>
        <v>0</v>
      </c>
      <c r="AI221" s="96">
        <f t="shared" si="529"/>
        <v>0</v>
      </c>
      <c r="AJ221" s="122">
        <f>AJ220-AJ84</f>
        <v>0</v>
      </c>
      <c r="AK221" s="95">
        <f>AK220-AK84</f>
        <v>0</v>
      </c>
      <c r="AL221" s="96">
        <f>AL220-AL84</f>
        <v>0</v>
      </c>
      <c r="AM221" s="96">
        <f t="shared" si="529"/>
        <v>0</v>
      </c>
      <c r="AN221" s="96">
        <f t="shared" si="529"/>
        <v>0</v>
      </c>
      <c r="AO221" s="122">
        <f t="shared" si="529"/>
        <v>0</v>
      </c>
      <c r="AP221" s="95">
        <f t="shared" si="529"/>
        <v>0</v>
      </c>
      <c r="AQ221" s="96">
        <f t="shared" si="529"/>
        <v>0</v>
      </c>
      <c r="AR221" s="96">
        <f t="shared" si="529"/>
        <v>0</v>
      </c>
      <c r="AS221" s="96">
        <f>AS220-AS84</f>
        <v>0</v>
      </c>
      <c r="AT221" s="122">
        <f>AT220-AT84</f>
        <v>0</v>
      </c>
      <c r="AU221" s="95">
        <f t="shared" si="529"/>
        <v>0</v>
      </c>
      <c r="AV221" s="96">
        <f t="shared" si="529"/>
        <v>0</v>
      </c>
      <c r="AW221" s="96">
        <f t="shared" si="529"/>
        <v>0</v>
      </c>
      <c r="AX221" s="96">
        <f t="shared" si="529"/>
        <v>0</v>
      </c>
      <c r="AY221" s="122">
        <f t="shared" si="529"/>
        <v>0</v>
      </c>
      <c r="AZ221" s="95">
        <f t="shared" si="529"/>
        <v>0</v>
      </c>
      <c r="BA221" s="96">
        <f t="shared" si="529"/>
        <v>0</v>
      </c>
      <c r="BB221" s="96">
        <f t="shared" si="529"/>
        <v>0</v>
      </c>
      <c r="BC221" s="96">
        <f t="shared" si="529"/>
        <v>0</v>
      </c>
      <c r="BD221" s="122">
        <f t="shared" si="529"/>
        <v>0</v>
      </c>
      <c r="BE221" s="95">
        <f>BE220-BE84</f>
        <v>0</v>
      </c>
      <c r="BF221" s="96">
        <f>BF220-BF84</f>
        <v>0</v>
      </c>
      <c r="BG221" s="96">
        <f t="shared" si="529"/>
        <v>0</v>
      </c>
      <c r="BH221" s="96">
        <f t="shared" si="529"/>
        <v>0</v>
      </c>
      <c r="BI221" s="122">
        <f t="shared" si="529"/>
        <v>0</v>
      </c>
      <c r="BJ221" s="95">
        <f t="shared" si="529"/>
        <v>0</v>
      </c>
      <c r="BK221" s="96">
        <f t="shared" si="529"/>
        <v>0</v>
      </c>
      <c r="BL221" s="96">
        <f t="shared" si="529"/>
        <v>0</v>
      </c>
      <c r="BM221" s="96">
        <f t="shared" si="529"/>
        <v>0</v>
      </c>
      <c r="BN221" s="122">
        <f>BN220-BN84</f>
        <v>0</v>
      </c>
      <c r="BO221" s="95">
        <f t="shared" ref="BO221:CH221" si="530">BO220-BO84</f>
        <v>0</v>
      </c>
      <c r="BP221" s="96">
        <f t="shared" si="530"/>
        <v>0</v>
      </c>
      <c r="BQ221" s="96">
        <f t="shared" si="530"/>
        <v>0</v>
      </c>
      <c r="BR221" s="96">
        <f t="shared" si="530"/>
        <v>0</v>
      </c>
      <c r="BS221" s="122">
        <f t="shared" si="530"/>
        <v>0</v>
      </c>
      <c r="BT221" s="95">
        <f t="shared" si="530"/>
        <v>0</v>
      </c>
      <c r="BU221" s="96">
        <f t="shared" si="530"/>
        <v>0</v>
      </c>
      <c r="BV221" s="96">
        <f t="shared" si="530"/>
        <v>0</v>
      </c>
      <c r="BW221" s="96">
        <f t="shared" si="530"/>
        <v>0</v>
      </c>
      <c r="BX221" s="122">
        <f t="shared" si="530"/>
        <v>0</v>
      </c>
      <c r="BY221" s="95">
        <f t="shared" si="530"/>
        <v>0</v>
      </c>
      <c r="BZ221" s="96">
        <f t="shared" si="530"/>
        <v>0</v>
      </c>
      <c r="CA221" s="96">
        <f t="shared" si="530"/>
        <v>0</v>
      </c>
      <c r="CB221" s="96">
        <f t="shared" si="530"/>
        <v>0</v>
      </c>
      <c r="CC221" s="122">
        <f t="shared" si="530"/>
        <v>-1.1641532182693481E-10</v>
      </c>
      <c r="CD221" s="95">
        <f t="shared" si="530"/>
        <v>0</v>
      </c>
      <c r="CE221" s="96">
        <f t="shared" si="530"/>
        <v>0</v>
      </c>
      <c r="CF221" s="96">
        <f t="shared" si="530"/>
        <v>0</v>
      </c>
      <c r="CG221" s="96">
        <f t="shared" si="530"/>
        <v>0</v>
      </c>
      <c r="CH221" s="122">
        <f t="shared" si="530"/>
        <v>-1.7462298274040222E-10</v>
      </c>
      <c r="CI221" s="95">
        <f t="shared" ref="CI221:CR221" si="531">CI220-CI84</f>
        <v>0</v>
      </c>
      <c r="CJ221" s="96">
        <f t="shared" si="531"/>
        <v>0</v>
      </c>
      <c r="CK221" s="96">
        <f t="shared" si="531"/>
        <v>0</v>
      </c>
      <c r="CL221" s="96">
        <f t="shared" si="531"/>
        <v>0</v>
      </c>
      <c r="CM221" s="122">
        <f t="shared" si="531"/>
        <v>0</v>
      </c>
      <c r="CN221" s="95">
        <f t="shared" si="531"/>
        <v>0</v>
      </c>
      <c r="CO221" s="96">
        <f t="shared" si="531"/>
        <v>0</v>
      </c>
      <c r="CP221" s="96">
        <f t="shared" si="531"/>
        <v>0</v>
      </c>
      <c r="CQ221" s="96">
        <f t="shared" si="531"/>
        <v>0</v>
      </c>
      <c r="CR221" s="122">
        <f t="shared" si="531"/>
        <v>0</v>
      </c>
      <c r="CS221" s="95">
        <f t="shared" ref="CS221:DB221" si="532">CS220-CS84</f>
        <v>0</v>
      </c>
      <c r="CT221" s="96">
        <f t="shared" si="532"/>
        <v>0</v>
      </c>
      <c r="CU221" s="96">
        <f t="shared" si="532"/>
        <v>0</v>
      </c>
      <c r="CV221" s="96">
        <f t="shared" si="532"/>
        <v>0</v>
      </c>
      <c r="CW221" s="122">
        <f t="shared" si="532"/>
        <v>0</v>
      </c>
      <c r="CX221" s="95">
        <f t="shared" si="532"/>
        <v>0</v>
      </c>
      <c r="CY221" s="96">
        <f t="shared" si="532"/>
        <v>0</v>
      </c>
      <c r="CZ221" s="96">
        <f t="shared" si="532"/>
        <v>0</v>
      </c>
      <c r="DA221" s="96">
        <f t="shared" si="532"/>
        <v>0</v>
      </c>
      <c r="DB221" s="122">
        <f t="shared" si="532"/>
        <v>1.1641532182693481E-10</v>
      </c>
      <c r="DC221" s="96"/>
      <c r="DD221" s="96"/>
      <c r="DE221" s="96"/>
      <c r="DF221" s="96"/>
      <c r="DG221" s="96"/>
      <c r="DH221" s="96"/>
      <c r="DI221" s="96"/>
      <c r="DJ221" s="96"/>
      <c r="DK221" s="409"/>
      <c r="DL221" s="409"/>
      <c r="DM221" s="25"/>
    </row>
    <row r="222" spans="1:117">
      <c r="A222" s="36" t="s">
        <v>446</v>
      </c>
      <c r="B222" s="92"/>
      <c r="C222" s="77"/>
      <c r="D222" s="80"/>
      <c r="E222" s="80"/>
      <c r="F222" s="91"/>
      <c r="G222" s="92"/>
      <c r="H222" s="77"/>
      <c r="I222" s="80"/>
      <c r="J222" s="80"/>
      <c r="K222" s="91"/>
      <c r="L222" s="92"/>
      <c r="M222" s="77"/>
      <c r="N222" s="80"/>
      <c r="O222" s="80"/>
      <c r="P222" s="91"/>
      <c r="Q222" s="92"/>
      <c r="R222" s="77"/>
      <c r="S222" s="80"/>
      <c r="T222" s="178"/>
      <c r="U222" s="194"/>
      <c r="V222" s="244"/>
      <c r="W222" s="38"/>
      <c r="X222" s="178"/>
      <c r="Y222" s="178"/>
      <c r="Z222" s="194"/>
      <c r="AA222" s="244"/>
      <c r="AB222" s="38"/>
      <c r="AC222" s="38"/>
      <c r="AD222" s="257"/>
      <c r="AE222" s="258"/>
      <c r="AF222" s="336"/>
      <c r="AG222" s="299"/>
      <c r="AH222" s="300"/>
      <c r="AI222" s="300"/>
      <c r="AJ222" s="258"/>
      <c r="AK222" s="298"/>
      <c r="AL222" s="300"/>
      <c r="AM222" s="300"/>
      <c r="AN222" s="300"/>
      <c r="AO222" s="258"/>
      <c r="AP222" s="298"/>
      <c r="AQ222" s="299"/>
      <c r="AR222" s="300"/>
      <c r="AS222" s="300"/>
      <c r="AT222" s="258"/>
      <c r="AU222" s="298"/>
      <c r="AV222" s="257"/>
      <c r="AW222" s="300"/>
      <c r="AX222" s="257"/>
      <c r="AY222" s="258"/>
      <c r="AZ222" s="336"/>
      <c r="BA222" s="257"/>
      <c r="BB222" s="257"/>
      <c r="BC222" s="257"/>
      <c r="BD222" s="258"/>
      <c r="BE222" s="336"/>
      <c r="BF222" s="257"/>
      <c r="BG222" s="257"/>
      <c r="BH222" s="257"/>
      <c r="BI222" s="258"/>
      <c r="BJ222" s="257"/>
      <c r="BK222" s="257"/>
      <c r="BL222" s="300"/>
      <c r="BM222" s="676"/>
      <c r="BN222" s="258"/>
      <c r="BO222" s="680"/>
      <c r="BP222" s="715"/>
      <c r="BQ222" s="300"/>
      <c r="BR222" s="300">
        <f>BQ222</f>
        <v>0</v>
      </c>
      <c r="BS222" s="258"/>
      <c r="BT222" s="298">
        <f>BR222</f>
        <v>0</v>
      </c>
      <c r="BU222" s="299">
        <f>BT222</f>
        <v>0</v>
      </c>
      <c r="BV222" s="300">
        <f>BU222</f>
        <v>0</v>
      </c>
      <c r="BW222" s="300">
        <f>BV222</f>
        <v>0</v>
      </c>
      <c r="BX222" s="258"/>
      <c r="BY222" s="298">
        <f>BW222</f>
        <v>0</v>
      </c>
      <c r="BZ222" s="299">
        <f>BY222</f>
        <v>0</v>
      </c>
      <c r="CA222" s="300">
        <f>BZ222</f>
        <v>0</v>
      </c>
      <c r="CB222" s="300">
        <f>CA222</f>
        <v>0</v>
      </c>
      <c r="CC222" s="258"/>
      <c r="CD222" s="298">
        <f>CB222</f>
        <v>0</v>
      </c>
      <c r="CE222" s="299">
        <f>CD222</f>
        <v>0</v>
      </c>
      <c r="CF222" s="300">
        <f>CE222</f>
        <v>0</v>
      </c>
      <c r="CG222" s="300">
        <f>CF222</f>
        <v>0</v>
      </c>
      <c r="CH222" s="258"/>
      <c r="CI222" s="298">
        <f>CG222</f>
        <v>0</v>
      </c>
      <c r="CJ222" s="299">
        <f>CI222</f>
        <v>0</v>
      </c>
      <c r="CK222" s="300">
        <f>CJ222</f>
        <v>0</v>
      </c>
      <c r="CL222" s="300">
        <f>CK222</f>
        <v>0</v>
      </c>
      <c r="CM222" s="258"/>
      <c r="CN222" s="298">
        <f>CL222</f>
        <v>0</v>
      </c>
      <c r="CO222" s="299">
        <f>CN222</f>
        <v>0</v>
      </c>
      <c r="CP222" s="300">
        <f>CO222</f>
        <v>0</v>
      </c>
      <c r="CQ222" s="300">
        <f>CP222</f>
        <v>0</v>
      </c>
      <c r="CR222" s="258"/>
      <c r="CS222" s="298">
        <f>CQ222</f>
        <v>0</v>
      </c>
      <c r="CT222" s="299">
        <f>CS222</f>
        <v>0</v>
      </c>
      <c r="CU222" s="300">
        <f>CT222</f>
        <v>0</v>
      </c>
      <c r="CV222" s="300">
        <f>CU222</f>
        <v>0</v>
      </c>
      <c r="CW222" s="258"/>
      <c r="CX222" s="298">
        <f>CV222</f>
        <v>0</v>
      </c>
      <c r="CY222" s="299">
        <f>CX222</f>
        <v>0</v>
      </c>
      <c r="CZ222" s="300">
        <f>CY222</f>
        <v>0</v>
      </c>
      <c r="DA222" s="300">
        <f>CZ222</f>
        <v>0</v>
      </c>
      <c r="DB222" s="258"/>
      <c r="DC222" s="257"/>
      <c r="DD222" s="257"/>
      <c r="DE222" s="257"/>
      <c r="DF222" s="257"/>
      <c r="DG222" s="257"/>
      <c r="DH222" s="257"/>
      <c r="DI222" s="257"/>
      <c r="DJ222" s="257"/>
      <c r="DK222" s="410"/>
      <c r="DL222" s="410"/>
      <c r="DM222" s="29"/>
    </row>
    <row r="223" spans="1:117">
      <c r="A223" s="36"/>
      <c r="B223" s="92"/>
      <c r="C223" s="77"/>
      <c r="D223" s="80"/>
      <c r="E223" s="80"/>
      <c r="F223" s="91"/>
      <c r="G223" s="92"/>
      <c r="H223" s="77"/>
      <c r="I223" s="80"/>
      <c r="J223" s="80"/>
      <c r="K223" s="91"/>
      <c r="L223" s="92"/>
      <c r="M223" s="77"/>
      <c r="N223" s="80"/>
      <c r="O223" s="80"/>
      <c r="P223" s="91"/>
      <c r="Q223" s="92"/>
      <c r="R223" s="77"/>
      <c r="S223" s="80"/>
      <c r="T223" s="178"/>
      <c r="U223" s="194"/>
      <c r="V223" s="244"/>
      <c r="W223" s="38"/>
      <c r="X223" s="178"/>
      <c r="Y223" s="178"/>
      <c r="Z223" s="194"/>
      <c r="AA223" s="244"/>
      <c r="AB223" s="38"/>
      <c r="AC223" s="38"/>
      <c r="AD223" s="178"/>
      <c r="AE223" s="194"/>
      <c r="AF223" s="244"/>
      <c r="AG223" s="38"/>
      <c r="AH223" s="178"/>
      <c r="AI223" s="178"/>
      <c r="AJ223" s="194"/>
      <c r="AK223" s="244"/>
      <c r="AL223" s="178"/>
      <c r="AM223" s="178"/>
      <c r="AN223" s="178"/>
      <c r="AO223" s="194"/>
      <c r="AP223" s="244"/>
      <c r="AQ223" s="38"/>
      <c r="AR223" s="178"/>
      <c r="AS223" s="178"/>
      <c r="AT223" s="194"/>
      <c r="AU223" s="244"/>
      <c r="AV223" s="38"/>
      <c r="AW223" s="178"/>
      <c r="AX223" s="178"/>
      <c r="AY223" s="194"/>
      <c r="AZ223" s="244"/>
      <c r="BA223" s="38"/>
      <c r="BB223" s="178"/>
      <c r="BC223" s="178"/>
      <c r="BD223" s="194"/>
      <c r="BE223" s="244"/>
      <c r="BF223" s="38"/>
      <c r="BG223" s="178"/>
      <c r="BH223" s="178"/>
      <c r="BI223" s="194"/>
      <c r="BJ223" s="244"/>
      <c r="BK223" s="38"/>
      <c r="BL223" s="178"/>
      <c r="BM223" s="178"/>
      <c r="BN223" s="194"/>
      <c r="BO223" s="681"/>
      <c r="BP223" s="716"/>
      <c r="BQ223" s="178"/>
      <c r="BR223" s="178"/>
      <c r="BS223" s="194"/>
      <c r="BT223" s="244"/>
      <c r="BU223" s="38"/>
      <c r="BV223" s="178"/>
      <c r="BW223" s="178"/>
      <c r="BX223" s="194"/>
      <c r="BY223" s="244"/>
      <c r="BZ223" s="38"/>
      <c r="CA223" s="178"/>
      <c r="CB223" s="178"/>
      <c r="CC223" s="194"/>
      <c r="CD223" s="244"/>
      <c r="CE223" s="38"/>
      <c r="CF223" s="178"/>
      <c r="CG223" s="178"/>
      <c r="CH223" s="194"/>
      <c r="CI223" s="244"/>
      <c r="CJ223" s="38"/>
      <c r="CK223" s="178"/>
      <c r="CL223" s="178"/>
      <c r="CM223" s="194"/>
      <c r="CN223" s="244"/>
      <c r="CO223" s="38"/>
      <c r="CP223" s="178"/>
      <c r="CQ223" s="178"/>
      <c r="CR223" s="194"/>
      <c r="CS223" s="244"/>
      <c r="CT223" s="38"/>
      <c r="CU223" s="178"/>
      <c r="CV223" s="178"/>
      <c r="CW223" s="194"/>
      <c r="CX223" s="244"/>
      <c r="CY223" s="38"/>
      <c r="CZ223" s="178"/>
      <c r="DA223" s="178"/>
      <c r="DB223" s="194"/>
      <c r="DC223" s="178"/>
      <c r="DD223" s="178"/>
      <c r="DE223" s="178"/>
      <c r="DF223" s="178"/>
      <c r="DG223" s="178"/>
      <c r="DH223" s="178"/>
      <c r="DI223" s="178"/>
      <c r="DJ223" s="178"/>
      <c r="DK223" s="186"/>
      <c r="DL223" s="186"/>
      <c r="DM223" s="29"/>
    </row>
    <row r="224" spans="1:117">
      <c r="A224" s="36" t="s">
        <v>162</v>
      </c>
      <c r="B224" s="92"/>
      <c r="C224" s="77"/>
      <c r="D224" s="80"/>
      <c r="E224" s="80"/>
      <c r="F224" s="91"/>
      <c r="G224" s="92"/>
      <c r="H224" s="77"/>
      <c r="I224" s="80"/>
      <c r="J224" s="80"/>
      <c r="K224" s="91"/>
      <c r="L224" s="92"/>
      <c r="M224" s="77"/>
      <c r="N224" s="80"/>
      <c r="O224" s="80"/>
      <c r="P224" s="91"/>
      <c r="Q224" s="92"/>
      <c r="R224" s="77"/>
      <c r="S224" s="80"/>
      <c r="T224" s="178"/>
      <c r="U224" s="194"/>
      <c r="V224" s="244"/>
      <c r="W224" s="38"/>
      <c r="X224" s="178"/>
      <c r="Y224" s="178"/>
      <c r="Z224" s="194"/>
      <c r="AA224" s="244"/>
      <c r="AB224" s="38"/>
      <c r="AC224" s="38"/>
      <c r="AD224" s="171"/>
      <c r="AE224" s="259"/>
      <c r="AF224" s="335"/>
      <c r="AG224" s="171"/>
      <c r="AH224" s="234"/>
      <c r="AI224" s="208"/>
      <c r="AJ224" s="259"/>
      <c r="AK224" s="335"/>
      <c r="AL224" s="208"/>
      <c r="AM224" s="208"/>
      <c r="AN224" s="208"/>
      <c r="AO224" s="259"/>
      <c r="AP224" s="335"/>
      <c r="AQ224" s="208"/>
      <c r="AR224" s="208"/>
      <c r="AS224" s="208"/>
      <c r="AT224" s="259"/>
      <c r="AU224" s="335"/>
      <c r="AV224" s="208"/>
      <c r="AW224" s="234"/>
      <c r="AX224" s="208"/>
      <c r="AY224" s="259"/>
      <c r="AZ224" s="335"/>
      <c r="BA224" s="234"/>
      <c r="BB224" s="234"/>
      <c r="BC224" s="234"/>
      <c r="BD224" s="259"/>
      <c r="BE224" s="301"/>
      <c r="BF224" s="234"/>
      <c r="BG224" s="234"/>
      <c r="BH224" s="234"/>
      <c r="BI224" s="259"/>
      <c r="BJ224" s="301"/>
      <c r="BK224" s="234"/>
      <c r="BL224" s="234"/>
      <c r="BM224" s="234"/>
      <c r="BN224" s="259"/>
      <c r="BO224" s="335"/>
      <c r="BP224" s="208"/>
      <c r="BQ224" s="208"/>
      <c r="BR224" s="208">
        <v>52.77</v>
      </c>
      <c r="BS224" s="259"/>
      <c r="BT224" s="301">
        <v>56</v>
      </c>
      <c r="BU224" s="234">
        <f>+BT224*1.02</f>
        <v>57.120000000000005</v>
      </c>
      <c r="BV224" s="234">
        <f>+BU224*1.02</f>
        <v>58.262400000000007</v>
      </c>
      <c r="BW224" s="234">
        <f>+BV224*1.02</f>
        <v>59.427648000000005</v>
      </c>
      <c r="BX224" s="259"/>
      <c r="BY224" s="301">
        <f>+BW224*1.02</f>
        <v>60.616200960000008</v>
      </c>
      <c r="BZ224" s="234">
        <f>+BY224*1.02</f>
        <v>61.828524979200012</v>
      </c>
      <c r="CA224" s="234">
        <f>+BZ224*1.02</f>
        <v>63.065095478784016</v>
      </c>
      <c r="CB224" s="234">
        <f>+CA224*1.02</f>
        <v>64.326397388359695</v>
      </c>
      <c r="CC224" s="259"/>
      <c r="CD224" s="301">
        <f>+CB224*1.02</f>
        <v>65.612925336126892</v>
      </c>
      <c r="CE224" s="234">
        <f>+CD224*1.02</f>
        <v>66.925183842849435</v>
      </c>
      <c r="CF224" s="234">
        <f>+CE224*1.02</f>
        <v>68.263687519706423</v>
      </c>
      <c r="CG224" s="234">
        <f>+CF224*1.02</f>
        <v>69.628961270100547</v>
      </c>
      <c r="CH224" s="259"/>
      <c r="CI224" s="301">
        <f>+CG224*1.02</f>
        <v>71.021540495502563</v>
      </c>
      <c r="CJ224" s="234">
        <f>+CI224*1.02</f>
        <v>72.441971305412622</v>
      </c>
      <c r="CK224" s="234">
        <f>+CJ224*1.02</f>
        <v>73.890810731520872</v>
      </c>
      <c r="CL224" s="234">
        <f>+CK224*1.02</f>
        <v>75.368626946151295</v>
      </c>
      <c r="CM224" s="259"/>
      <c r="CN224" s="301">
        <f>+CL224*1.02</f>
        <v>76.875999485074317</v>
      </c>
      <c r="CO224" s="234">
        <f>+CN224*1.02</f>
        <v>78.413519474775811</v>
      </c>
      <c r="CP224" s="234">
        <f>+CO224*1.02</f>
        <v>79.981789864271335</v>
      </c>
      <c r="CQ224" s="234">
        <f>+CP224*1.02</f>
        <v>81.581425661556764</v>
      </c>
      <c r="CR224" s="259"/>
      <c r="CS224" s="301">
        <f>+CQ224*1.02</f>
        <v>83.213054174787899</v>
      </c>
      <c r="CT224" s="234">
        <f>+CS224*1.02</f>
        <v>84.877315258283659</v>
      </c>
      <c r="CU224" s="234">
        <f>+CT224*1.02</f>
        <v>86.574861563449332</v>
      </c>
      <c r="CV224" s="234">
        <f>+CU224*1.02</f>
        <v>88.306358794718321</v>
      </c>
      <c r="CW224" s="259"/>
      <c r="CX224" s="301">
        <f>+CV224*1.02</f>
        <v>90.072485970612689</v>
      </c>
      <c r="CY224" s="234">
        <f>+CX224*1.02</f>
        <v>91.87393569002495</v>
      </c>
      <c r="CZ224" s="234">
        <f>+CY224*1.02</f>
        <v>93.711414403825458</v>
      </c>
      <c r="DA224" s="234">
        <f>+CZ224*1.02</f>
        <v>95.585642691901967</v>
      </c>
      <c r="DB224" s="259"/>
      <c r="DC224" s="208"/>
      <c r="DD224" s="208"/>
      <c r="DE224" s="208"/>
      <c r="DF224" s="208"/>
      <c r="DG224" s="208"/>
      <c r="DH224" s="208"/>
      <c r="DI224" s="208"/>
      <c r="DJ224" s="208"/>
      <c r="DK224" s="411"/>
      <c r="DL224" s="411"/>
      <c r="DM224" s="29"/>
    </row>
    <row r="225" spans="1:123">
      <c r="A225" s="36" t="s">
        <v>399</v>
      </c>
      <c r="B225" s="92"/>
      <c r="C225" s="77"/>
      <c r="D225" s="80"/>
      <c r="E225" s="80"/>
      <c r="F225" s="91"/>
      <c r="G225" s="92"/>
      <c r="H225" s="77"/>
      <c r="I225" s="80"/>
      <c r="J225" s="80"/>
      <c r="K225" s="91"/>
      <c r="L225" s="92"/>
      <c r="M225" s="77"/>
      <c r="N225" s="80"/>
      <c r="O225" s="80"/>
      <c r="P225" s="91"/>
      <c r="Q225" s="92"/>
      <c r="R225" s="77"/>
      <c r="S225" s="80"/>
      <c r="T225" s="178"/>
      <c r="U225" s="194"/>
      <c r="V225" s="244"/>
      <c r="W225" s="38"/>
      <c r="X225" s="178"/>
      <c r="Y225" s="178"/>
      <c r="Z225" s="194"/>
      <c r="AA225" s="244"/>
      <c r="AB225" s="38"/>
      <c r="AC225" s="38"/>
      <c r="AD225" s="48"/>
      <c r="AE225" s="133"/>
      <c r="AF225" s="94"/>
      <c r="AG225" s="48"/>
      <c r="AH225" s="48"/>
      <c r="AI225" s="48"/>
      <c r="AJ225" s="133"/>
      <c r="AK225" s="94"/>
      <c r="AL225" s="48"/>
      <c r="AM225" s="48"/>
      <c r="AN225" s="48"/>
      <c r="AO225" s="133"/>
      <c r="AP225" s="94"/>
      <c r="AQ225" s="48"/>
      <c r="AR225" s="48"/>
      <c r="AS225" s="48"/>
      <c r="AT225" s="133"/>
      <c r="AU225" s="94"/>
      <c r="AV225" s="48"/>
      <c r="AW225" s="48"/>
      <c r="AX225" s="48"/>
      <c r="AY225" s="133"/>
      <c r="AZ225" s="94"/>
      <c r="BA225" s="48"/>
      <c r="BB225" s="48"/>
      <c r="BC225" s="48"/>
      <c r="BD225" s="133"/>
      <c r="BE225" s="94"/>
      <c r="BF225" s="48"/>
      <c r="BG225" s="48"/>
      <c r="BH225" s="48"/>
      <c r="BI225" s="133"/>
      <c r="BJ225" s="94"/>
      <c r="BK225" s="48"/>
      <c r="BL225" s="48"/>
      <c r="BM225" s="48"/>
      <c r="BN225" s="133"/>
      <c r="BO225" s="679"/>
      <c r="BP225" s="717"/>
      <c r="BQ225" s="48"/>
      <c r="BR225" s="48">
        <f>+BR209/BR224</f>
        <v>8063.4640894447602</v>
      </c>
      <c r="BS225" s="133"/>
      <c r="BT225" s="720">
        <v>19000</v>
      </c>
      <c r="BU225" s="48">
        <f>+BU209/BU224</f>
        <v>0</v>
      </c>
      <c r="BV225" s="48">
        <f>+BV209/BV224</f>
        <v>0</v>
      </c>
      <c r="BW225" s="48">
        <f>+BW209/BW224</f>
        <v>0</v>
      </c>
      <c r="BX225" s="133"/>
      <c r="BY225" s="94">
        <f>+BY209/BY224</f>
        <v>0</v>
      </c>
      <c r="BZ225" s="48">
        <f>+BZ209/BZ224</f>
        <v>0</v>
      </c>
      <c r="CA225" s="48">
        <f>+CA209/CA224</f>
        <v>0</v>
      </c>
      <c r="CB225" s="48">
        <f>+CB209/CB224</f>
        <v>0</v>
      </c>
      <c r="CC225" s="133"/>
      <c r="CD225" s="94">
        <f>+CD209/CD224</f>
        <v>0</v>
      </c>
      <c r="CE225" s="48">
        <f>+CE209/CE224</f>
        <v>0</v>
      </c>
      <c r="CF225" s="48">
        <f>+CF209/CF224</f>
        <v>0</v>
      </c>
      <c r="CG225" s="48">
        <f>+CG209/CG224</f>
        <v>0</v>
      </c>
      <c r="CH225" s="133"/>
      <c r="CI225" s="94">
        <f>+CI209/CI224</f>
        <v>0</v>
      </c>
      <c r="CJ225" s="48">
        <f>+CJ209/CJ224</f>
        <v>0</v>
      </c>
      <c r="CK225" s="48">
        <f>+CK209/CK224</f>
        <v>0</v>
      </c>
      <c r="CL225" s="48">
        <f>+CL209/CL224</f>
        <v>0</v>
      </c>
      <c r="CM225" s="133"/>
      <c r="CN225" s="94">
        <f>+CN209/CN224</f>
        <v>0</v>
      </c>
      <c r="CO225" s="48">
        <f>+CO209/CO224</f>
        <v>0</v>
      </c>
      <c r="CP225" s="48">
        <f>+CP209/CP224</f>
        <v>0</v>
      </c>
      <c r="CQ225" s="48">
        <f>+CQ209/CQ224</f>
        <v>0</v>
      </c>
      <c r="CR225" s="133"/>
      <c r="CS225" s="94">
        <f>+CS209/CS224</f>
        <v>0</v>
      </c>
      <c r="CT225" s="48">
        <f>+CT209/CT224</f>
        <v>0</v>
      </c>
      <c r="CU225" s="48">
        <f>+CU209/CU224</f>
        <v>0</v>
      </c>
      <c r="CV225" s="48">
        <f>+CV209/CV224</f>
        <v>0</v>
      </c>
      <c r="CW225" s="133"/>
      <c r="CX225" s="94">
        <f>+CX209/CX224</f>
        <v>0</v>
      </c>
      <c r="CY225" s="48">
        <f>+CY209/CY224</f>
        <v>0</v>
      </c>
      <c r="CZ225" s="48">
        <f>+CZ209/CZ224</f>
        <v>0</v>
      </c>
      <c r="DA225" s="48">
        <f>+DA209/DA224</f>
        <v>0</v>
      </c>
      <c r="DB225" s="133"/>
      <c r="DC225" s="38"/>
      <c r="DD225" s="38"/>
      <c r="DE225" s="38"/>
      <c r="DF225" s="38"/>
      <c r="DG225" s="38"/>
      <c r="DH225" s="38"/>
      <c r="DI225" s="38"/>
      <c r="DJ225" s="38"/>
      <c r="DK225" s="65"/>
      <c r="DL225" s="65"/>
      <c r="DM225" s="29"/>
    </row>
    <row r="226" spans="1:123">
      <c r="A226" s="9" t="s">
        <v>245</v>
      </c>
      <c r="B226" s="92"/>
      <c r="C226" s="77"/>
      <c r="D226" s="80"/>
      <c r="E226" s="80"/>
      <c r="F226" s="91"/>
      <c r="G226" s="92"/>
      <c r="H226" s="77"/>
      <c r="I226" s="80"/>
      <c r="J226" s="80"/>
      <c r="K226" s="91"/>
      <c r="L226" s="92"/>
      <c r="M226" s="77"/>
      <c r="N226" s="80"/>
      <c r="O226" s="80"/>
      <c r="P226" s="91"/>
      <c r="Q226" s="92"/>
      <c r="R226" s="77"/>
      <c r="S226" s="80"/>
      <c r="T226" s="178"/>
      <c r="U226" s="194"/>
      <c r="V226" s="244"/>
      <c r="W226" s="38"/>
      <c r="X226" s="178"/>
      <c r="Y226" s="178"/>
      <c r="Z226" s="194"/>
      <c r="AA226" s="244"/>
      <c r="AB226" s="38"/>
      <c r="AC226" s="38"/>
      <c r="AD226" s="238"/>
      <c r="AE226" s="194"/>
      <c r="AF226" s="237"/>
      <c r="AG226" s="238"/>
      <c r="AH226" s="238"/>
      <c r="AI226" s="238"/>
      <c r="AJ226" s="194"/>
      <c r="AK226" s="237"/>
      <c r="AL226" s="238"/>
      <c r="AM226" s="238"/>
      <c r="AN226" s="238"/>
      <c r="AO226" s="194"/>
      <c r="AP226" s="237"/>
      <c r="AQ226" s="238"/>
      <c r="AR226" s="238"/>
      <c r="AS226" s="238"/>
      <c r="AT226" s="194"/>
      <c r="AU226" s="237"/>
      <c r="AV226" s="238"/>
      <c r="AW226" s="238"/>
      <c r="AX226" s="238"/>
      <c r="AY226" s="194"/>
      <c r="AZ226" s="237"/>
      <c r="BA226" s="238"/>
      <c r="BB226" s="238"/>
      <c r="BC226" s="238"/>
      <c r="BD226" s="194"/>
      <c r="BE226" s="237"/>
      <c r="BF226" s="238"/>
      <c r="BG226" s="238"/>
      <c r="BH226" s="238"/>
      <c r="BI226" s="194"/>
      <c r="BJ226" s="237"/>
      <c r="BK226" s="238"/>
      <c r="BL226" s="238"/>
      <c r="BM226" s="238"/>
      <c r="BN226" s="194"/>
      <c r="BO226" s="682"/>
      <c r="BP226" s="718"/>
      <c r="BQ226" s="248"/>
      <c r="BR226" s="248">
        <f>1-BR227-BR228</f>
        <v>1</v>
      </c>
      <c r="BS226" s="194"/>
      <c r="BT226" s="247">
        <f>1-BT227-BT228</f>
        <v>0.6</v>
      </c>
      <c r="BU226" s="248">
        <f>1-BU227-BU228</f>
        <v>0.6</v>
      </c>
      <c r="BV226" s="248">
        <f>1-BV227-BV228</f>
        <v>0.6</v>
      </c>
      <c r="BW226" s="248">
        <f>1-BW227-BW228</f>
        <v>0.6</v>
      </c>
      <c r="BX226" s="194"/>
      <c r="BY226" s="247">
        <f>1-BY227-BY228</f>
        <v>0.4</v>
      </c>
      <c r="BZ226" s="248">
        <f>1-BZ227-BZ228</f>
        <v>0.4</v>
      </c>
      <c r="CA226" s="248">
        <f>1-CA227-CA228</f>
        <v>0.4</v>
      </c>
      <c r="CB226" s="248">
        <f>1-CB227-CB228</f>
        <v>0.4</v>
      </c>
      <c r="CC226" s="194"/>
      <c r="CD226" s="247">
        <f>1-CD227-CD228</f>
        <v>0.5</v>
      </c>
      <c r="CE226" s="248">
        <f>1-CE227-CE228</f>
        <v>0.5</v>
      </c>
      <c r="CF226" s="248">
        <f>1-CF227-CF228</f>
        <v>0.5</v>
      </c>
      <c r="CG226" s="248">
        <f>1-CG227-CG228</f>
        <v>0.5</v>
      </c>
      <c r="CH226" s="194"/>
      <c r="CI226" s="247">
        <f>1-CI227-CI228</f>
        <v>0.65</v>
      </c>
      <c r="CJ226" s="248">
        <f>1-CJ227-CJ228</f>
        <v>0.65</v>
      </c>
      <c r="CK226" s="248">
        <f>1-CK227-CK228</f>
        <v>0.65</v>
      </c>
      <c r="CL226" s="248">
        <f>1-CL227-CL228</f>
        <v>0.65</v>
      </c>
      <c r="CM226" s="194"/>
      <c r="CN226" s="247">
        <f>1-CN227-CN228</f>
        <v>0.7</v>
      </c>
      <c r="CO226" s="248">
        <f>1-CO227-CO228</f>
        <v>0.7</v>
      </c>
      <c r="CP226" s="248">
        <f>1-CP227-CP228</f>
        <v>0.7</v>
      </c>
      <c r="CQ226" s="248">
        <f>1-CQ227-CQ228</f>
        <v>0.7</v>
      </c>
      <c r="CR226" s="194"/>
      <c r="CS226" s="247">
        <f>1-CS227-CS228</f>
        <v>0.7</v>
      </c>
      <c r="CT226" s="248">
        <f>1-CT227-CT228</f>
        <v>0.7</v>
      </c>
      <c r="CU226" s="248">
        <f>1-CU227-CU228</f>
        <v>0.7</v>
      </c>
      <c r="CV226" s="248">
        <f>1-CV227-CV228</f>
        <v>0.7</v>
      </c>
      <c r="CW226" s="194"/>
      <c r="CX226" s="247">
        <f>1-CX227-CX228</f>
        <v>0.65</v>
      </c>
      <c r="CY226" s="248">
        <f>1-CY227-CY228</f>
        <v>0.65</v>
      </c>
      <c r="CZ226" s="248">
        <f>1-CZ227-CZ228</f>
        <v>0.65</v>
      </c>
      <c r="DA226" s="248">
        <f>1-DA227-DA228</f>
        <v>0.65</v>
      </c>
      <c r="DB226" s="194"/>
      <c r="DC226" s="178"/>
      <c r="DD226" s="178"/>
      <c r="DE226" s="178"/>
      <c r="DF226" s="178"/>
      <c r="DG226" s="178"/>
      <c r="DH226" s="178"/>
      <c r="DI226" s="178"/>
      <c r="DJ226" s="178"/>
      <c r="DK226" s="186"/>
      <c r="DL226" s="186"/>
      <c r="DM226" s="29"/>
    </row>
    <row r="227" spans="1:123">
      <c r="A227" s="9" t="s">
        <v>160</v>
      </c>
      <c r="B227" s="85"/>
      <c r="C227" s="54"/>
      <c r="D227" s="54"/>
      <c r="E227" s="54"/>
      <c r="F227" s="84"/>
      <c r="G227" s="85"/>
      <c r="H227" s="54"/>
      <c r="I227" s="54"/>
      <c r="J227" s="54"/>
      <c r="K227" s="84"/>
      <c r="L227" s="85"/>
      <c r="M227" s="54"/>
      <c r="N227" s="54"/>
      <c r="O227" s="54"/>
      <c r="P227" s="84"/>
      <c r="Q227" s="85"/>
      <c r="R227" s="54"/>
      <c r="S227" s="54"/>
      <c r="T227" s="38"/>
      <c r="U227" s="133"/>
      <c r="V227" s="244"/>
      <c r="W227" s="38"/>
      <c r="X227" s="38"/>
      <c r="Y227" s="38"/>
      <c r="Z227" s="133"/>
      <c r="AA227" s="244"/>
      <c r="AB227" s="18"/>
      <c r="AC227" s="18"/>
      <c r="AD227" s="248"/>
      <c r="AE227" s="127"/>
      <c r="AF227" s="247"/>
      <c r="AG227" s="248"/>
      <c r="AH227" s="248"/>
      <c r="AI227" s="248"/>
      <c r="AJ227" s="127"/>
      <c r="AK227" s="247"/>
      <c r="AL227" s="248"/>
      <c r="AM227" s="248"/>
      <c r="AN227" s="248"/>
      <c r="AO227" s="127"/>
      <c r="AP227" s="247"/>
      <c r="AQ227" s="248"/>
      <c r="AR227" s="248"/>
      <c r="AS227" s="248"/>
      <c r="AT227" s="127"/>
      <c r="AU227" s="247"/>
      <c r="AV227" s="248"/>
      <c r="AW227" s="248"/>
      <c r="AX227" s="248"/>
      <c r="AY227" s="127"/>
      <c r="AZ227" s="247"/>
      <c r="BA227" s="248"/>
      <c r="BB227" s="248"/>
      <c r="BC227" s="248"/>
      <c r="BD227" s="127"/>
      <c r="BE227" s="247"/>
      <c r="BF227" s="248"/>
      <c r="BG227" s="248"/>
      <c r="BH227" s="248"/>
      <c r="BI227" s="127"/>
      <c r="BJ227" s="247"/>
      <c r="BK227" s="248"/>
      <c r="BL227" s="248"/>
      <c r="BM227" s="248"/>
      <c r="BN227" s="127"/>
      <c r="BO227" s="682"/>
      <c r="BP227" s="718"/>
      <c r="BQ227" s="238"/>
      <c r="BR227" s="238">
        <v>0</v>
      </c>
      <c r="BS227" s="127"/>
      <c r="BT227" s="237">
        <v>0</v>
      </c>
      <c r="BU227" s="238">
        <v>0</v>
      </c>
      <c r="BV227" s="238">
        <v>0</v>
      </c>
      <c r="BW227" s="238">
        <v>0</v>
      </c>
      <c r="BX227" s="127"/>
      <c r="BY227" s="237">
        <v>0</v>
      </c>
      <c r="BZ227" s="238">
        <v>0</v>
      </c>
      <c r="CA227" s="238">
        <v>0</v>
      </c>
      <c r="CB227" s="238">
        <v>0</v>
      </c>
      <c r="CC227" s="127"/>
      <c r="CD227" s="237">
        <v>0</v>
      </c>
      <c r="CE227" s="238">
        <v>0</v>
      </c>
      <c r="CF227" s="238">
        <v>0</v>
      </c>
      <c r="CG227" s="238">
        <v>0</v>
      </c>
      <c r="CH227" s="127"/>
      <c r="CI227" s="237">
        <v>0</v>
      </c>
      <c r="CJ227" s="238">
        <v>0</v>
      </c>
      <c r="CK227" s="238">
        <v>0</v>
      </c>
      <c r="CL227" s="238">
        <v>0</v>
      </c>
      <c r="CM227" s="127"/>
      <c r="CN227" s="237">
        <v>0</v>
      </c>
      <c r="CO227" s="238">
        <v>0</v>
      </c>
      <c r="CP227" s="238">
        <v>0</v>
      </c>
      <c r="CQ227" s="238">
        <v>0</v>
      </c>
      <c r="CR227" s="127"/>
      <c r="CS227" s="237">
        <v>0</v>
      </c>
      <c r="CT227" s="238">
        <v>0</v>
      </c>
      <c r="CU227" s="238">
        <v>0</v>
      </c>
      <c r="CV227" s="238">
        <v>0</v>
      </c>
      <c r="CW227" s="127"/>
      <c r="CX227" s="237">
        <v>0</v>
      </c>
      <c r="CY227" s="238">
        <v>0</v>
      </c>
      <c r="CZ227" s="238">
        <v>0</v>
      </c>
      <c r="DA227" s="238">
        <v>0</v>
      </c>
      <c r="DB227" s="127"/>
      <c r="DC227" s="18"/>
      <c r="DD227" s="18"/>
      <c r="DE227" s="18"/>
      <c r="DF227" s="18"/>
      <c r="DG227" s="18"/>
      <c r="DH227" s="18"/>
      <c r="DI227" s="18"/>
      <c r="DJ227" s="18"/>
      <c r="DK227" s="61"/>
      <c r="DL227" s="61"/>
      <c r="DM227" s="18"/>
    </row>
    <row r="228" spans="1:123">
      <c r="A228" s="9" t="s">
        <v>161</v>
      </c>
      <c r="B228" s="86"/>
      <c r="C228" s="83"/>
      <c r="D228" s="83"/>
      <c r="E228" s="83"/>
      <c r="F228" s="123"/>
      <c r="G228" s="86"/>
      <c r="H228" s="83"/>
      <c r="I228" s="83"/>
      <c r="J228" s="83"/>
      <c r="K228" s="123"/>
      <c r="L228" s="86"/>
      <c r="M228" s="83"/>
      <c r="N228" s="83"/>
      <c r="O228" s="83"/>
      <c r="P228" s="123"/>
      <c r="Q228" s="86"/>
      <c r="R228" s="83"/>
      <c r="S228" s="83"/>
      <c r="T228" s="260"/>
      <c r="U228" s="261"/>
      <c r="V228" s="262"/>
      <c r="W228" s="260"/>
      <c r="X228" s="260"/>
      <c r="Y228" s="260"/>
      <c r="Z228" s="261"/>
      <c r="AA228" s="262"/>
      <c r="AB228" s="263"/>
      <c r="AC228" s="263"/>
      <c r="AD228" s="238"/>
      <c r="AE228" s="264"/>
      <c r="AF228" s="237"/>
      <c r="AG228" s="238"/>
      <c r="AH228" s="238"/>
      <c r="AI228" s="238"/>
      <c r="AJ228" s="264"/>
      <c r="AK228" s="237"/>
      <c r="AL228" s="238"/>
      <c r="AM228" s="238"/>
      <c r="AN228" s="238"/>
      <c r="AO228" s="264"/>
      <c r="AP228" s="237"/>
      <c r="AQ228" s="238"/>
      <c r="AR228" s="238"/>
      <c r="AS228" s="238"/>
      <c r="AT228" s="264"/>
      <c r="AU228" s="237"/>
      <c r="AV228" s="238"/>
      <c r="AW228" s="238"/>
      <c r="AX228" s="238"/>
      <c r="AY228" s="264"/>
      <c r="AZ228" s="237"/>
      <c r="BA228" s="238"/>
      <c r="BB228" s="238"/>
      <c r="BC228" s="238"/>
      <c r="BD228" s="264"/>
      <c r="BE228" s="237"/>
      <c r="BF228" s="238"/>
      <c r="BG228" s="238"/>
      <c r="BH228" s="238"/>
      <c r="BI228" s="264"/>
      <c r="BJ228" s="237"/>
      <c r="BK228" s="238"/>
      <c r="BL228" s="238"/>
      <c r="BM228" s="238"/>
      <c r="BN228" s="264"/>
      <c r="BO228" s="682"/>
      <c r="BP228" s="718"/>
      <c r="BQ228" s="238"/>
      <c r="BR228" s="238">
        <v>0</v>
      </c>
      <c r="BS228" s="264"/>
      <c r="BT228" s="237">
        <v>0.4</v>
      </c>
      <c r="BU228" s="238">
        <v>0.4</v>
      </c>
      <c r="BV228" s="238">
        <v>0.4</v>
      </c>
      <c r="BW228" s="238">
        <v>0.4</v>
      </c>
      <c r="BX228" s="264"/>
      <c r="BY228" s="237">
        <v>0.6</v>
      </c>
      <c r="BZ228" s="238">
        <v>0.6</v>
      </c>
      <c r="CA228" s="238">
        <v>0.6</v>
      </c>
      <c r="CB228" s="238">
        <v>0.6</v>
      </c>
      <c r="CC228" s="264"/>
      <c r="CD228" s="237">
        <v>0.5</v>
      </c>
      <c r="CE228" s="238">
        <v>0.5</v>
      </c>
      <c r="CF228" s="238">
        <v>0.5</v>
      </c>
      <c r="CG228" s="238">
        <v>0.5</v>
      </c>
      <c r="CH228" s="264"/>
      <c r="CI228" s="237">
        <v>0.35</v>
      </c>
      <c r="CJ228" s="238">
        <v>0.35</v>
      </c>
      <c r="CK228" s="238">
        <v>0.35</v>
      </c>
      <c r="CL228" s="238">
        <v>0.35</v>
      </c>
      <c r="CM228" s="264"/>
      <c r="CN228" s="237">
        <v>0.3</v>
      </c>
      <c r="CO228" s="238">
        <v>0.3</v>
      </c>
      <c r="CP228" s="238">
        <v>0.3</v>
      </c>
      <c r="CQ228" s="238">
        <v>0.3</v>
      </c>
      <c r="CR228" s="264"/>
      <c r="CS228" s="237">
        <v>0.3</v>
      </c>
      <c r="CT228" s="238">
        <v>0.3</v>
      </c>
      <c r="CU228" s="238">
        <v>0.3</v>
      </c>
      <c r="CV228" s="238">
        <v>0.3</v>
      </c>
      <c r="CW228" s="264"/>
      <c r="CX228" s="237">
        <v>0.35</v>
      </c>
      <c r="CY228" s="238">
        <v>0.35</v>
      </c>
      <c r="CZ228" s="238">
        <v>0.35</v>
      </c>
      <c r="DA228" s="238">
        <v>0.35</v>
      </c>
      <c r="DB228" s="264"/>
      <c r="DC228" s="263"/>
      <c r="DD228" s="263"/>
      <c r="DE228" s="263"/>
      <c r="DF228" s="263"/>
      <c r="DG228" s="263"/>
      <c r="DH228" s="263"/>
      <c r="DI228" s="263"/>
      <c r="DJ228" s="263"/>
      <c r="DK228" s="412"/>
      <c r="DL228" s="412"/>
      <c r="DM228" s="75"/>
    </row>
    <row r="229" spans="1:123">
      <c r="A229" s="9"/>
      <c r="B229" s="86"/>
      <c r="C229" s="83"/>
      <c r="D229" s="83"/>
      <c r="E229" s="83"/>
      <c r="F229" s="123"/>
      <c r="G229" s="86"/>
      <c r="H229" s="83"/>
      <c r="I229" s="83"/>
      <c r="J229" s="83"/>
      <c r="K229" s="123"/>
      <c r="L229" s="86"/>
      <c r="M229" s="83"/>
      <c r="N229" s="83"/>
      <c r="O229" s="83"/>
      <c r="P229" s="123"/>
      <c r="Q229" s="86"/>
      <c r="R229" s="83"/>
      <c r="S229" s="83"/>
      <c r="T229" s="260"/>
      <c r="U229" s="261"/>
      <c r="V229" s="262"/>
      <c r="W229" s="260"/>
      <c r="X229" s="260"/>
      <c r="Y229" s="260"/>
      <c r="Z229" s="261"/>
      <c r="AA229" s="262"/>
      <c r="AB229" s="263"/>
      <c r="AC229" s="263"/>
      <c r="AD229" s="238"/>
      <c r="AE229" s="264"/>
      <c r="AF229" s="237"/>
      <c r="AG229" s="238"/>
      <c r="AH229" s="238"/>
      <c r="AI229" s="238"/>
      <c r="AJ229" s="264"/>
      <c r="AK229" s="237"/>
      <c r="AL229" s="238"/>
      <c r="AM229" s="238"/>
      <c r="AN229" s="238"/>
      <c r="AO229" s="264"/>
      <c r="AP229" s="237"/>
      <c r="AQ229" s="238"/>
      <c r="AR229" s="238"/>
      <c r="AS229" s="238"/>
      <c r="AT229" s="264"/>
      <c r="AU229" s="237"/>
      <c r="AV229" s="238"/>
      <c r="AW229" s="238"/>
      <c r="AX229" s="238"/>
      <c r="AY229" s="264"/>
      <c r="AZ229" s="237"/>
      <c r="BA229" s="238"/>
      <c r="BB229" s="238"/>
      <c r="BC229" s="238"/>
      <c r="BD229" s="264"/>
      <c r="BE229" s="237"/>
      <c r="BF229" s="238"/>
      <c r="BG229" s="238"/>
      <c r="BH229" s="238"/>
      <c r="BI229" s="264"/>
      <c r="BJ229" s="237"/>
      <c r="BK229" s="238"/>
      <c r="BL229" s="238"/>
      <c r="BM229" s="238"/>
      <c r="BN229" s="264"/>
      <c r="BO229" s="682"/>
      <c r="BP229" s="238"/>
      <c r="BQ229" s="238"/>
      <c r="BR229" s="238"/>
      <c r="BS229" s="264"/>
      <c r="BT229" s="237"/>
      <c r="BU229" s="238"/>
      <c r="BV229" s="238"/>
      <c r="BW229" s="238"/>
      <c r="BX229" s="264"/>
      <c r="BY229" s="237"/>
      <c r="BZ229" s="238"/>
      <c r="CA229" s="238"/>
      <c r="CB229" s="238"/>
      <c r="CC229" s="264"/>
      <c r="CD229" s="237"/>
      <c r="CE229" s="238"/>
      <c r="CF229" s="238"/>
      <c r="CG229" s="238"/>
      <c r="CH229" s="264"/>
      <c r="CI229" s="237"/>
      <c r="CJ229" s="238"/>
      <c r="CK229" s="238"/>
      <c r="CL229" s="238"/>
      <c r="CM229" s="264"/>
      <c r="CN229" s="237"/>
      <c r="CO229" s="238"/>
      <c r="CP229" s="238"/>
      <c r="CQ229" s="238"/>
      <c r="CR229" s="264"/>
      <c r="CS229" s="237"/>
      <c r="CT229" s="238"/>
      <c r="CU229" s="238"/>
      <c r="CV229" s="238"/>
      <c r="CW229" s="264"/>
      <c r="CX229" s="237"/>
      <c r="CY229" s="238"/>
      <c r="CZ229" s="238"/>
      <c r="DA229" s="238"/>
      <c r="DB229" s="264"/>
      <c r="DC229" s="263"/>
      <c r="DD229" s="263"/>
      <c r="DE229" s="263"/>
      <c r="DF229" s="263"/>
      <c r="DG229" s="263"/>
      <c r="DH229" s="263"/>
      <c r="DI229" s="263"/>
      <c r="DJ229" s="263"/>
      <c r="DK229" s="412"/>
      <c r="DL229" s="412"/>
      <c r="DM229" s="75"/>
    </row>
    <row r="230" spans="1:123">
      <c r="A230" s="101" t="s">
        <v>817</v>
      </c>
      <c r="B230" s="240"/>
      <c r="C230" s="241"/>
      <c r="D230" s="241"/>
      <c r="E230" s="241"/>
      <c r="F230" s="242"/>
      <c r="G230" s="240"/>
      <c r="H230" s="241"/>
      <c r="I230" s="241"/>
      <c r="J230" s="241"/>
      <c r="K230" s="242"/>
      <c r="L230" s="240"/>
      <c r="M230" s="241"/>
      <c r="N230" s="241"/>
      <c r="O230" s="241"/>
      <c r="P230" s="242"/>
      <c r="Q230" s="240"/>
      <c r="R230" s="241"/>
      <c r="S230" s="241"/>
      <c r="T230" s="241"/>
      <c r="U230" s="242"/>
      <c r="V230" s="240"/>
      <c r="W230" s="241"/>
      <c r="X230" s="241"/>
      <c r="Y230" s="241"/>
      <c r="Z230" s="242"/>
      <c r="AA230" s="240"/>
      <c r="AB230" s="26"/>
      <c r="AC230" s="26"/>
      <c r="AD230" s="26"/>
      <c r="AE230" s="134"/>
      <c r="AF230" s="27"/>
      <c r="AG230" s="26"/>
      <c r="AH230" s="26"/>
      <c r="AI230" s="26"/>
      <c r="AJ230" s="134"/>
      <c r="AK230" s="27"/>
      <c r="AL230" s="26"/>
      <c r="AM230" s="26"/>
      <c r="AN230" s="26"/>
      <c r="AO230" s="134"/>
      <c r="AP230" s="27"/>
      <c r="AQ230" s="26"/>
      <c r="AR230" s="26"/>
      <c r="AS230" s="26"/>
      <c r="AT230" s="134"/>
      <c r="AU230" s="27"/>
      <c r="AV230" s="26"/>
      <c r="AW230" s="26"/>
      <c r="AX230" s="26"/>
      <c r="AY230" s="134"/>
      <c r="AZ230" s="27"/>
      <c r="BA230" s="26"/>
      <c r="BB230" s="26"/>
      <c r="BC230" s="26"/>
      <c r="BD230" s="134"/>
      <c r="BE230" s="27"/>
      <c r="BF230" s="26"/>
      <c r="BG230" s="26"/>
      <c r="BH230" s="26"/>
      <c r="BI230" s="134"/>
      <c r="BJ230" s="27"/>
      <c r="BK230" s="26"/>
      <c r="BL230" s="26"/>
      <c r="BM230" s="26"/>
      <c r="BN230" s="134"/>
      <c r="BO230" s="683"/>
      <c r="BP230" s="26"/>
      <c r="BQ230" s="26"/>
      <c r="BR230" s="26"/>
      <c r="BS230" s="134"/>
      <c r="BT230" s="27"/>
      <c r="BU230" s="26"/>
      <c r="BV230" s="26"/>
      <c r="BW230" s="26"/>
      <c r="BX230" s="134"/>
      <c r="BY230" s="27"/>
      <c r="BZ230" s="26"/>
      <c r="CA230" s="26"/>
      <c r="CB230" s="26"/>
      <c r="CC230" s="134"/>
      <c r="CD230" s="27"/>
      <c r="CE230" s="26"/>
      <c r="CF230" s="26"/>
      <c r="CG230" s="26"/>
      <c r="CH230" s="134"/>
      <c r="CI230" s="27"/>
      <c r="CJ230" s="26"/>
      <c r="CK230" s="26"/>
      <c r="CL230" s="26"/>
      <c r="CM230" s="134"/>
      <c r="CN230" s="27"/>
      <c r="CO230" s="26"/>
      <c r="CP230" s="26"/>
      <c r="CQ230" s="26"/>
      <c r="CR230" s="134"/>
      <c r="CS230" s="27"/>
      <c r="CT230" s="26"/>
      <c r="CU230" s="26"/>
      <c r="CV230" s="26"/>
      <c r="CW230" s="134"/>
      <c r="CX230" s="27"/>
      <c r="CY230" s="26"/>
      <c r="CZ230" s="26"/>
      <c r="DA230" s="26"/>
      <c r="DB230" s="134"/>
      <c r="DC230" s="23"/>
      <c r="DD230" s="23"/>
      <c r="DE230" s="23"/>
      <c r="DF230" s="23"/>
      <c r="DG230" s="23"/>
      <c r="DH230" s="23"/>
      <c r="DI230" s="23"/>
      <c r="DJ230" s="23"/>
      <c r="DK230" s="61"/>
      <c r="DL230" s="61"/>
      <c r="DM230" s="61"/>
    </row>
    <row r="231" spans="1:123">
      <c r="A231" s="397" t="s">
        <v>846</v>
      </c>
      <c r="B231" s="86"/>
      <c r="C231" s="83"/>
      <c r="D231" s="83"/>
      <c r="E231" s="83"/>
      <c r="F231" s="123"/>
      <c r="G231" s="86"/>
      <c r="H231" s="83"/>
      <c r="I231" s="83"/>
      <c r="J231" s="83"/>
      <c r="K231" s="123"/>
      <c r="L231" s="86"/>
      <c r="M231" s="83"/>
      <c r="N231" s="83"/>
      <c r="O231" s="83"/>
      <c r="P231" s="123"/>
      <c r="Q231" s="86"/>
      <c r="R231" s="83"/>
      <c r="S231" s="83"/>
      <c r="T231" s="260"/>
      <c r="U231" s="261"/>
      <c r="V231" s="262"/>
      <c r="W231" s="260"/>
      <c r="X231" s="260"/>
      <c r="Y231" s="260"/>
      <c r="Z231" s="261"/>
      <c r="AA231" s="262"/>
      <c r="AB231" s="263"/>
      <c r="AC231" s="263"/>
      <c r="AD231" s="238"/>
      <c r="AE231" s="264"/>
      <c r="AF231" s="237"/>
      <c r="AG231" s="238"/>
      <c r="AH231" s="238"/>
      <c r="AI231" s="238"/>
      <c r="AJ231" s="264"/>
      <c r="AK231" s="237"/>
      <c r="AL231" s="238"/>
      <c r="AM231" s="238"/>
      <c r="AN231" s="238"/>
      <c r="AO231" s="264"/>
      <c r="AP231" s="237"/>
      <c r="AQ231" s="238"/>
      <c r="AR231" s="238"/>
      <c r="AS231" s="238"/>
      <c r="AT231" s="264"/>
      <c r="AU231" s="237"/>
      <c r="AV231" s="238"/>
      <c r="AW231" s="238"/>
      <c r="AX231" s="238"/>
      <c r="AY231" s="264"/>
      <c r="AZ231" s="237"/>
      <c r="BA231" s="238"/>
      <c r="BB231" s="238"/>
      <c r="BC231" s="238"/>
      <c r="BD231" s="264"/>
      <c r="BE231" s="237"/>
      <c r="BF231" s="238"/>
      <c r="BG231" s="238"/>
      <c r="BH231" s="238"/>
      <c r="BI231" s="264"/>
      <c r="BJ231" s="703">
        <f>+BJ79</f>
        <v>464154</v>
      </c>
      <c r="BK231" s="703">
        <f>+BK79</f>
        <v>460540</v>
      </c>
      <c r="BL231" s="703">
        <f>+BL79</f>
        <v>373946</v>
      </c>
      <c r="BM231" s="703">
        <f>+BM79</f>
        <v>368874</v>
      </c>
      <c r="BN231" s="704">
        <f t="shared" ref="BN231:BN236" si="533">SUM(BJ231:BM231)</f>
        <v>1667514</v>
      </c>
      <c r="BO231" s="485">
        <f>+BO79</f>
        <v>459612</v>
      </c>
      <c r="BP231" s="485">
        <f>+BP79</f>
        <v>462329</v>
      </c>
      <c r="BQ231" s="485">
        <f>+BQ79</f>
        <v>517193</v>
      </c>
      <c r="BR231" s="485">
        <f>+BR79</f>
        <v>547719</v>
      </c>
      <c r="BS231" s="622">
        <f t="shared" ref="BS231:BS236" si="534">SUM(BO231:BR231)</f>
        <v>1986853</v>
      </c>
      <c r="BT231" s="329">
        <f>+BT79</f>
        <v>610603.03396727401</v>
      </c>
      <c r="BU231" s="485">
        <f>+BU79</f>
        <v>564745.85051331518</v>
      </c>
      <c r="BV231" s="485">
        <f>+BV79</f>
        <v>578713.34817858774</v>
      </c>
      <c r="BW231" s="485">
        <f>+BW79</f>
        <v>576349.56061312323</v>
      </c>
      <c r="BX231" s="622">
        <f t="shared" ref="BX231:BX236" si="535">SUM(BT231:BW231)</f>
        <v>2330411.7932723002</v>
      </c>
      <c r="BY231" s="329">
        <f>+BY79</f>
        <v>635219.36148773227</v>
      </c>
      <c r="BZ231" s="485">
        <f>+BZ79</f>
        <v>618023.54246879905</v>
      </c>
      <c r="CA231" s="485">
        <f>+CA79</f>
        <v>627878.23757350794</v>
      </c>
      <c r="CB231" s="485">
        <f>+CB79</f>
        <v>625421.96753288072</v>
      </c>
      <c r="CC231" s="622">
        <f t="shared" ref="CC231:CC236" si="536">SUM(BY231:CB231)</f>
        <v>2506543.1090629199</v>
      </c>
      <c r="CD231" s="329">
        <f>+CD79</f>
        <v>659527.27477303531</v>
      </c>
      <c r="CE231" s="485">
        <f>+CE79</f>
        <v>652420.00096388487</v>
      </c>
      <c r="CF231" s="485">
        <f>+CF79</f>
        <v>672167.05162174942</v>
      </c>
      <c r="CG231" s="485">
        <f>+CG79</f>
        <v>707234.61876216857</v>
      </c>
      <c r="CH231" s="622">
        <f t="shared" ref="CH231:CH236" si="537">SUM(CD231:CG231)</f>
        <v>2691348.9461208382</v>
      </c>
      <c r="CI231" s="329">
        <f>+CI79</f>
        <v>695327.87115876947</v>
      </c>
      <c r="CJ231" s="485">
        <f>+CJ79</f>
        <v>699027.91629154584</v>
      </c>
      <c r="CK231" s="485">
        <f>+CK79</f>
        <v>711477.41913921491</v>
      </c>
      <c r="CL231" s="485">
        <f>+CL79</f>
        <v>763958.17011746939</v>
      </c>
      <c r="CM231" s="622">
        <f t="shared" ref="CM231:CM237" si="538">SUM(CI231:CL231)</f>
        <v>2869791.3767069997</v>
      </c>
      <c r="CN231" s="329">
        <f>+CN79</f>
        <v>717384.9654045403</v>
      </c>
      <c r="CO231" s="485">
        <f>+CO79</f>
        <v>724983.39326607285</v>
      </c>
      <c r="CP231" s="485">
        <f>+CP79</f>
        <v>736429.95315927383</v>
      </c>
      <c r="CQ231" s="485">
        <f>+CQ79</f>
        <v>806935.28284801391</v>
      </c>
      <c r="CR231" s="622">
        <f t="shared" ref="CR231:CR237" si="539">SUM(CN231:CQ231)</f>
        <v>2985733.5946779014</v>
      </c>
      <c r="CS231" s="329">
        <f>+CS79</f>
        <v>738318.95328649541</v>
      </c>
      <c r="CT231" s="485">
        <f>+CT79</f>
        <v>746213.43940807821</v>
      </c>
      <c r="CU231" s="485">
        <f>+CU79</f>
        <v>758014.72817363602</v>
      </c>
      <c r="CV231" s="485">
        <f>+CV79</f>
        <v>847857.48793133372</v>
      </c>
      <c r="CW231" s="622">
        <f t="shared" ref="CW231:CW237" si="540">SUM(CS231:CV231)</f>
        <v>3090404.6087995432</v>
      </c>
      <c r="CX231" s="329">
        <f>+CX79</f>
        <v>768455.58928311197</v>
      </c>
      <c r="CY231" s="485">
        <f>+CY79</f>
        <v>776904.5242697139</v>
      </c>
      <c r="CZ231" s="485">
        <f>+CZ79</f>
        <v>789236.452314505</v>
      </c>
      <c r="DA231" s="485">
        <f>+DA79</f>
        <v>887374.68316416768</v>
      </c>
      <c r="DB231" s="622">
        <f t="shared" ref="DB231:DB237" si="541">SUM(CX231:DA231)</f>
        <v>3221971.2490314986</v>
      </c>
      <c r="DC231" s="263"/>
      <c r="DD231" s="263"/>
      <c r="DE231" s="263"/>
      <c r="DF231" s="263"/>
      <c r="DG231" s="263"/>
      <c r="DH231" s="263"/>
      <c r="DI231" s="263"/>
      <c r="DJ231" s="263"/>
      <c r="DK231" s="412"/>
      <c r="DL231" s="412"/>
      <c r="DM231" s="75"/>
    </row>
    <row r="232" spans="1:123">
      <c r="A232" s="397" t="s">
        <v>351</v>
      </c>
      <c r="B232" s="86"/>
      <c r="C232" s="83"/>
      <c r="D232" s="83"/>
      <c r="E232" s="83"/>
      <c r="F232" s="123"/>
      <c r="G232" s="86"/>
      <c r="H232" s="83"/>
      <c r="I232" s="83"/>
      <c r="J232" s="83"/>
      <c r="K232" s="123"/>
      <c r="L232" s="86"/>
      <c r="M232" s="83"/>
      <c r="N232" s="83"/>
      <c r="O232" s="83"/>
      <c r="P232" s="123"/>
      <c r="Q232" s="86"/>
      <c r="R232" s="83"/>
      <c r="S232" s="83"/>
      <c r="T232" s="260"/>
      <c r="U232" s="261"/>
      <c r="V232" s="262"/>
      <c r="W232" s="260"/>
      <c r="X232" s="260"/>
      <c r="Y232" s="260"/>
      <c r="Z232" s="261"/>
      <c r="AA232" s="262"/>
      <c r="AB232" s="263"/>
      <c r="AC232" s="263"/>
      <c r="AD232" s="238"/>
      <c r="AE232" s="264"/>
      <c r="AF232" s="237"/>
      <c r="AG232" s="238"/>
      <c r="AH232" s="238"/>
      <c r="AI232" s="238"/>
      <c r="AJ232" s="264"/>
      <c r="AK232" s="237"/>
      <c r="AL232" s="238"/>
      <c r="AM232" s="238"/>
      <c r="AN232" s="238"/>
      <c r="AO232" s="264"/>
      <c r="AP232" s="237"/>
      <c r="AQ232" s="238"/>
      <c r="AR232" s="238"/>
      <c r="AS232" s="238"/>
      <c r="AT232" s="264"/>
      <c r="AU232" s="237"/>
      <c r="AV232" s="238"/>
      <c r="AW232" s="238"/>
      <c r="AX232" s="238"/>
      <c r="AY232" s="264"/>
      <c r="AZ232" s="237"/>
      <c r="BA232" s="238"/>
      <c r="BB232" s="238"/>
      <c r="BC232" s="238"/>
      <c r="BD232" s="264"/>
      <c r="BE232" s="237"/>
      <c r="BF232" s="238"/>
      <c r="BG232" s="238"/>
      <c r="BH232" s="238"/>
      <c r="BI232" s="264"/>
      <c r="BJ232" s="703">
        <f>+-BJ74</f>
        <v>-118247</v>
      </c>
      <c r="BK232" s="703">
        <f>+-BK74</f>
        <v>-118976</v>
      </c>
      <c r="BL232" s="703">
        <f>+-BL74</f>
        <v>-118240</v>
      </c>
      <c r="BM232" s="703">
        <f>+-BM74</f>
        <v>-114188</v>
      </c>
      <c r="BN232" s="704">
        <f t="shared" si="533"/>
        <v>-469651</v>
      </c>
      <c r="BO232" s="485">
        <f>+-BO74</f>
        <v>-116462</v>
      </c>
      <c r="BP232" s="485">
        <f>+-BP74</f>
        <v>-118473</v>
      </c>
      <c r="BQ232" s="485">
        <f>+-BQ74</f>
        <v>-126533</v>
      </c>
      <c r="BR232" s="485">
        <f>+-BR74</f>
        <v>-124190</v>
      </c>
      <c r="BS232" s="622">
        <f t="shared" si="534"/>
        <v>-485658</v>
      </c>
      <c r="BT232" s="329">
        <f>+-BT74</f>
        <v>-121361.23528593751</v>
      </c>
      <c r="BU232" s="485">
        <f>+-BU74</f>
        <v>-124186.3876842422</v>
      </c>
      <c r="BV232" s="485">
        <f>+-BV74</f>
        <v>-127011.88459453839</v>
      </c>
      <c r="BW232" s="485">
        <f>+-BW74</f>
        <v>-129837.7277393861</v>
      </c>
      <c r="BX232" s="622">
        <f t="shared" si="535"/>
        <v>-502397.23530410422</v>
      </c>
      <c r="BY232" s="329">
        <f>+-BY74</f>
        <v>-132959.23134995799</v>
      </c>
      <c r="BZ232" s="485">
        <f>+-BZ74</f>
        <v>-136376.39716608281</v>
      </c>
      <c r="CA232" s="485">
        <f>+-CA74</f>
        <v>-139793.91443628821</v>
      </c>
      <c r="CB232" s="485">
        <f>+-CB74</f>
        <v>-143211.78491784466</v>
      </c>
      <c r="CC232" s="622">
        <f t="shared" si="536"/>
        <v>-552341.32787017373</v>
      </c>
      <c r="CD232" s="329">
        <f>+-CD74</f>
        <v>-152632.70432332359</v>
      </c>
      <c r="CE232" s="485">
        <f>+-CE74</f>
        <v>-154254.70116369022</v>
      </c>
      <c r="CF232" s="485">
        <f>+-CF74</f>
        <v>-155877.07361325863</v>
      </c>
      <c r="CG232" s="485">
        <f>+-CG74</f>
        <v>-157499.82355007494</v>
      </c>
      <c r="CH232" s="622">
        <f t="shared" si="537"/>
        <v>-620264.30265034735</v>
      </c>
      <c r="CI232" s="329">
        <f>+-CI74</f>
        <v>-158680.37473657532</v>
      </c>
      <c r="CJ232" s="485">
        <f>+-CJ74</f>
        <v>-159418.72906963318</v>
      </c>
      <c r="CK232" s="485">
        <f>+-CK74</f>
        <v>-160157.46658060636</v>
      </c>
      <c r="CL232" s="485">
        <f>+-CL74</f>
        <v>-160896.58918538436</v>
      </c>
      <c r="CM232" s="622">
        <f t="shared" si="538"/>
        <v>-639153.15957219922</v>
      </c>
      <c r="CN232" s="329">
        <f>+-CN74</f>
        <v>-161588.83318443631</v>
      </c>
      <c r="CO232" s="485">
        <f>+-CO74</f>
        <v>-162234.20051285849</v>
      </c>
      <c r="CP232" s="485">
        <f>+-CP74</f>
        <v>-162879.95874042279</v>
      </c>
      <c r="CQ232" s="485">
        <f>+-CQ74</f>
        <v>-163526.10982162491</v>
      </c>
      <c r="CR232" s="622">
        <f t="shared" si="539"/>
        <v>-650229.10225934244</v>
      </c>
      <c r="CS232" s="329">
        <f>+-CS74</f>
        <v>-164172.65572073299</v>
      </c>
      <c r="CT232" s="485">
        <f>+-CT74</f>
        <v>-164819.59841183669</v>
      </c>
      <c r="CU232" s="485">
        <f>+-CU74</f>
        <v>-165466.93987889588</v>
      </c>
      <c r="CV232" s="485">
        <f>+-CV74</f>
        <v>-166114.68211579035</v>
      </c>
      <c r="CW232" s="622">
        <f t="shared" si="540"/>
        <v>-660573.87612725585</v>
      </c>
      <c r="CX232" s="329">
        <f>+-CX74</f>
        <v>-166810.09275136929</v>
      </c>
      <c r="CY232" s="485">
        <f>+-CY74</f>
        <v>-167553.17379950115</v>
      </c>
      <c r="CZ232" s="485">
        <f>+-CZ74</f>
        <v>-168296.66165912364</v>
      </c>
      <c r="DA232" s="485">
        <f>+-DA74</f>
        <v>-169040.55836429427</v>
      </c>
      <c r="DB232" s="622">
        <f t="shared" si="541"/>
        <v>-671700.48657428834</v>
      </c>
      <c r="DC232" s="263"/>
      <c r="DD232" s="263"/>
      <c r="DE232" s="263"/>
      <c r="DF232" s="263"/>
      <c r="DG232" s="263"/>
      <c r="DH232" s="263"/>
      <c r="DI232" s="263"/>
      <c r="DJ232" s="263"/>
      <c r="DK232" s="412"/>
      <c r="DL232" s="412"/>
      <c r="DM232" s="75"/>
    </row>
    <row r="233" spans="1:123">
      <c r="A233" s="397" t="s">
        <v>1601</v>
      </c>
      <c r="B233" s="86"/>
      <c r="C233" s="83"/>
      <c r="D233" s="83"/>
      <c r="E233" s="83"/>
      <c r="F233" s="123"/>
      <c r="G233" s="86"/>
      <c r="H233" s="83"/>
      <c r="I233" s="83"/>
      <c r="J233" s="83"/>
      <c r="K233" s="123"/>
      <c r="L233" s="86"/>
      <c r="M233" s="83"/>
      <c r="N233" s="83"/>
      <c r="O233" s="83"/>
      <c r="P233" s="123"/>
      <c r="Q233" s="86"/>
      <c r="R233" s="83"/>
      <c r="S233" s="83"/>
      <c r="T233" s="260"/>
      <c r="U233" s="261"/>
      <c r="V233" s="262"/>
      <c r="W233" s="260"/>
      <c r="X233" s="260"/>
      <c r="Y233" s="260"/>
      <c r="Z233" s="261"/>
      <c r="AA233" s="262"/>
      <c r="AB233" s="263"/>
      <c r="AC233" s="263"/>
      <c r="AD233" s="238"/>
      <c r="AE233" s="264"/>
      <c r="AF233" s="237"/>
      <c r="AG233" s="238"/>
      <c r="AH233" s="238"/>
      <c r="AI233" s="238"/>
      <c r="AJ233" s="264"/>
      <c r="AK233" s="237"/>
      <c r="AL233" s="238"/>
      <c r="AM233" s="238"/>
      <c r="AN233" s="238"/>
      <c r="AO233" s="264"/>
      <c r="AP233" s="237"/>
      <c r="AQ233" s="238"/>
      <c r="AR233" s="238"/>
      <c r="AS233" s="238"/>
      <c r="AT233" s="264"/>
      <c r="AU233" s="237"/>
      <c r="AV233" s="238"/>
      <c r="AW233" s="238"/>
      <c r="AX233" s="238"/>
      <c r="AY233" s="264"/>
      <c r="AZ233" s="237"/>
      <c r="BA233" s="238"/>
      <c r="BB233" s="238"/>
      <c r="BC233" s="238"/>
      <c r="BD233" s="264"/>
      <c r="BE233" s="237"/>
      <c r="BF233" s="238"/>
      <c r="BG233" s="238"/>
      <c r="BH233" s="238"/>
      <c r="BI233" s="264"/>
      <c r="BJ233" s="705">
        <v>-24389</v>
      </c>
      <c r="BK233" s="703">
        <f>+(-160000-BJ233)/3</f>
        <v>-45203.666666666664</v>
      </c>
      <c r="BL233" s="703">
        <f>+BK233</f>
        <v>-45203.666666666664</v>
      </c>
      <c r="BM233" s="703">
        <f>+BL233</f>
        <v>-45203.666666666664</v>
      </c>
      <c r="BN233" s="704">
        <f t="shared" si="533"/>
        <v>-159999.99999999997</v>
      </c>
      <c r="BO233" s="244">
        <v>-24389</v>
      </c>
      <c r="BP233" s="712">
        <v>-23070</v>
      </c>
      <c r="BQ233" s="712">
        <f>+-32514</f>
        <v>-32514</v>
      </c>
      <c r="BR233" s="712">
        <v>-67184</v>
      </c>
      <c r="BS233" s="622">
        <f t="shared" si="534"/>
        <v>-147157</v>
      </c>
      <c r="BT233" s="329">
        <f>+-160000/4</f>
        <v>-40000</v>
      </c>
      <c r="BU233" s="485">
        <f>+BT233</f>
        <v>-40000</v>
      </c>
      <c r="BV233" s="485">
        <f>+BU233</f>
        <v>-40000</v>
      </c>
      <c r="BW233" s="485">
        <f>+BV233</f>
        <v>-40000</v>
      </c>
      <c r="BX233" s="622">
        <f>SUM(BT233:BW233)</f>
        <v>-160000</v>
      </c>
      <c r="BY233" s="329">
        <f>+BX233/4*1.025</f>
        <v>-41000</v>
      </c>
      <c r="BZ233" s="485">
        <f>+BY233</f>
        <v>-41000</v>
      </c>
      <c r="CA233" s="485">
        <f>+BZ233</f>
        <v>-41000</v>
      </c>
      <c r="CB233" s="485">
        <f>+CA233</f>
        <v>-41000</v>
      </c>
      <c r="CC233" s="622">
        <f t="shared" si="536"/>
        <v>-164000</v>
      </c>
      <c r="CD233" s="329">
        <f>+CC233/4*1.025</f>
        <v>-42024.999999999993</v>
      </c>
      <c r="CE233" s="485">
        <f>+CD233</f>
        <v>-42024.999999999993</v>
      </c>
      <c r="CF233" s="485">
        <f>+CE233</f>
        <v>-42024.999999999993</v>
      </c>
      <c r="CG233" s="485">
        <f>+CF233</f>
        <v>-42024.999999999993</v>
      </c>
      <c r="CH233" s="622">
        <f t="shared" si="537"/>
        <v>-168099.99999999997</v>
      </c>
      <c r="CI233" s="329">
        <f>+CH233/4*1.05</f>
        <v>-44126.249999999993</v>
      </c>
      <c r="CJ233" s="485">
        <f>+CI233</f>
        <v>-44126.249999999993</v>
      </c>
      <c r="CK233" s="485">
        <f>+CJ233</f>
        <v>-44126.249999999993</v>
      </c>
      <c r="CL233" s="485">
        <f>+CK233</f>
        <v>-44126.249999999993</v>
      </c>
      <c r="CM233" s="622">
        <f t="shared" si="538"/>
        <v>-176504.99999999997</v>
      </c>
      <c r="CN233" s="329">
        <f>+CM233/4*1.05</f>
        <v>-46332.562499999993</v>
      </c>
      <c r="CO233" s="485">
        <f>+CN233</f>
        <v>-46332.562499999993</v>
      </c>
      <c r="CP233" s="485">
        <f>+CO233</f>
        <v>-46332.562499999993</v>
      </c>
      <c r="CQ233" s="485">
        <f>+CP233</f>
        <v>-46332.562499999993</v>
      </c>
      <c r="CR233" s="622">
        <f t="shared" si="539"/>
        <v>-185330.24999999997</v>
      </c>
      <c r="CS233" s="329">
        <f>+CR233/4*1.05</f>
        <v>-48649.190624999996</v>
      </c>
      <c r="CT233" s="485">
        <f>+CS233</f>
        <v>-48649.190624999996</v>
      </c>
      <c r="CU233" s="485">
        <f>+CT233</f>
        <v>-48649.190624999996</v>
      </c>
      <c r="CV233" s="485">
        <f>+CU233</f>
        <v>-48649.190624999996</v>
      </c>
      <c r="CW233" s="622">
        <f t="shared" si="540"/>
        <v>-194596.76249999998</v>
      </c>
      <c r="CX233" s="329">
        <f>+CW233/4*1.05</f>
        <v>-51081.650156249998</v>
      </c>
      <c r="CY233" s="485">
        <f>+CX233</f>
        <v>-51081.650156249998</v>
      </c>
      <c r="CZ233" s="485">
        <f>+CY233</f>
        <v>-51081.650156249998</v>
      </c>
      <c r="DA233" s="485">
        <f>+CZ233</f>
        <v>-51081.650156249998</v>
      </c>
      <c r="DB233" s="622">
        <f t="shared" si="541"/>
        <v>-204326.60062499999</v>
      </c>
      <c r="DC233" s="263"/>
      <c r="DD233" s="263"/>
      <c r="DE233" s="263"/>
      <c r="DF233" s="263"/>
      <c r="DG233" s="263"/>
      <c r="DH233" s="263"/>
      <c r="DI233" s="263"/>
      <c r="DJ233" s="263"/>
      <c r="DK233" s="412"/>
      <c r="DL233" s="412"/>
      <c r="DM233" s="75"/>
    </row>
    <row r="234" spans="1:123">
      <c r="A234" s="397" t="s">
        <v>1602</v>
      </c>
      <c r="B234" s="86"/>
      <c r="C234" s="83"/>
      <c r="D234" s="83"/>
      <c r="E234" s="83"/>
      <c r="F234" s="123"/>
      <c r="G234" s="86"/>
      <c r="H234" s="83"/>
      <c r="I234" s="83"/>
      <c r="J234" s="83"/>
      <c r="K234" s="123"/>
      <c r="L234" s="86"/>
      <c r="M234" s="83"/>
      <c r="N234" s="83"/>
      <c r="O234" s="83"/>
      <c r="P234" s="123"/>
      <c r="Q234" s="86"/>
      <c r="R234" s="83"/>
      <c r="S234" s="83"/>
      <c r="T234" s="260"/>
      <c r="U234" s="261"/>
      <c r="V234" s="262"/>
      <c r="W234" s="260"/>
      <c r="X234" s="260"/>
      <c r="Y234" s="260"/>
      <c r="Z234" s="261"/>
      <c r="AA234" s="262"/>
      <c r="AB234" s="263"/>
      <c r="AC234" s="263"/>
      <c r="AD234" s="238"/>
      <c r="AE234" s="264"/>
      <c r="AF234" s="237"/>
      <c r="AG234" s="238"/>
      <c r="AH234" s="238"/>
      <c r="AI234" s="238"/>
      <c r="AJ234" s="264"/>
      <c r="AK234" s="237"/>
      <c r="AL234" s="238"/>
      <c r="AM234" s="238"/>
      <c r="AN234" s="238"/>
      <c r="AO234" s="264"/>
      <c r="AP234" s="237"/>
      <c r="AQ234" s="238"/>
      <c r="AR234" s="238"/>
      <c r="AS234" s="238"/>
      <c r="AT234" s="264"/>
      <c r="AU234" s="237"/>
      <c r="AV234" s="238"/>
      <c r="AW234" s="238"/>
      <c r="AX234" s="238"/>
      <c r="AY234" s="264"/>
      <c r="AZ234" s="237"/>
      <c r="BA234" s="238"/>
      <c r="BB234" s="238"/>
      <c r="BC234" s="238"/>
      <c r="BD234" s="264"/>
      <c r="BE234" s="237"/>
      <c r="BF234" s="238"/>
      <c r="BG234" s="238"/>
      <c r="BH234" s="238"/>
      <c r="BI234" s="264"/>
      <c r="BJ234" s="703">
        <f>+-BJ26</f>
        <v>-32914</v>
      </c>
      <c r="BK234" s="703">
        <f>+-BK26</f>
        <v>-32372</v>
      </c>
      <c r="BL234" s="703">
        <f>+-BL26</f>
        <v>-35155</v>
      </c>
      <c r="BM234" s="703">
        <f>+-BM26</f>
        <v>-39249</v>
      </c>
      <c r="BN234" s="704">
        <f t="shared" si="533"/>
        <v>-139690</v>
      </c>
      <c r="BO234" s="485">
        <f>+-BO26</f>
        <v>-39564</v>
      </c>
      <c r="BP234" s="485">
        <f>+-BP26</f>
        <v>-39363</v>
      </c>
      <c r="BQ234" s="485">
        <f>+-BQ26</f>
        <v>-40058</v>
      </c>
      <c r="BR234" s="485">
        <f>+-BR26</f>
        <v>-40293</v>
      </c>
      <c r="BS234" s="622">
        <f t="shared" si="534"/>
        <v>-159278</v>
      </c>
      <c r="BT234" s="329">
        <f>+-BT26</f>
        <v>-37193</v>
      </c>
      <c r="BU234" s="485">
        <f>+-BU26</f>
        <v>-37369</v>
      </c>
      <c r="BV234" s="485">
        <f>+-BV26</f>
        <v>-37887</v>
      </c>
      <c r="BW234" s="485">
        <f>+-BW26</f>
        <v>-38179.49</v>
      </c>
      <c r="BX234" s="622">
        <f t="shared" si="535"/>
        <v>-150628.49</v>
      </c>
      <c r="BY234" s="329">
        <f>+-BY26</f>
        <v>-37796.564999999995</v>
      </c>
      <c r="BZ234" s="485">
        <f>+-BZ26</f>
        <v>-37924.845000000001</v>
      </c>
      <c r="CA234" s="485">
        <f>+-CA26</f>
        <v>-38459.834999999999</v>
      </c>
      <c r="CB234" s="485">
        <f>+-CB26</f>
        <v>-38771.787449999996</v>
      </c>
      <c r="CC234" s="622">
        <f t="shared" si="536"/>
        <v>-152953.03245</v>
      </c>
      <c r="CD234" s="329">
        <f>+-CD26</f>
        <v>-38413.587824999995</v>
      </c>
      <c r="CE234" s="485">
        <f>+-CE26</f>
        <v>-38492.694224999999</v>
      </c>
      <c r="CF234" s="485">
        <f>+-CF26</f>
        <v>-39045.119174999993</v>
      </c>
      <c r="CG234" s="485">
        <f>+-CG26</f>
        <v>-39377.081387249993</v>
      </c>
      <c r="CH234" s="622">
        <f t="shared" si="537"/>
        <v>-155328.48261224997</v>
      </c>
      <c r="CI234" s="329">
        <f>+-CI26</f>
        <v>-38605.655764124989</v>
      </c>
      <c r="CJ234" s="485">
        <f>+-CJ26</f>
        <v>-38685.157696124996</v>
      </c>
      <c r="CK234" s="485">
        <f>+-CK26</f>
        <v>-39240.344770874988</v>
      </c>
      <c r="CL234" s="485">
        <f>+-CL26</f>
        <v>-39573.966794186243</v>
      </c>
      <c r="CM234" s="622">
        <f t="shared" si="538"/>
        <v>-156105.12502531119</v>
      </c>
      <c r="CN234" s="329">
        <f>+-CN26</f>
        <v>-38798.684042945606</v>
      </c>
      <c r="CO234" s="485">
        <f>+-CO26</f>
        <v>-38878.58348460561</v>
      </c>
      <c r="CP234" s="485">
        <f>+-CP26</f>
        <v>-39436.546494729359</v>
      </c>
      <c r="CQ234" s="485">
        <f>+-CQ26</f>
        <v>-39771.836628157165</v>
      </c>
      <c r="CR234" s="622">
        <f t="shared" si="539"/>
        <v>-156885.65065043775</v>
      </c>
      <c r="CS234" s="329">
        <f>+-CS26</f>
        <v>-38992.677463160333</v>
      </c>
      <c r="CT234" s="485">
        <f>+-CT26</f>
        <v>-39072.976402028638</v>
      </c>
      <c r="CU234" s="485">
        <f>+-CU26</f>
        <v>-39633.729227203003</v>
      </c>
      <c r="CV234" s="485">
        <f>+-CV26</f>
        <v>-39970.695811297948</v>
      </c>
      <c r="CW234" s="622">
        <f t="shared" si="540"/>
        <v>-157670.07890368992</v>
      </c>
      <c r="CX234" s="329">
        <f>+-CX26</f>
        <v>-39187.640850476135</v>
      </c>
      <c r="CY234" s="485">
        <f>+-CY26</f>
        <v>-39268.341284038775</v>
      </c>
      <c r="CZ234" s="485">
        <f>+-CZ26</f>
        <v>-39831.89787333901</v>
      </c>
      <c r="DA234" s="485">
        <f>+-DA26</f>
        <v>-40170.549290354429</v>
      </c>
      <c r="DB234" s="622">
        <f t="shared" si="541"/>
        <v>-158458.42929820836</v>
      </c>
      <c r="DC234" s="263"/>
      <c r="DD234" s="263"/>
      <c r="DE234" s="263"/>
      <c r="DF234" s="263"/>
      <c r="DG234" s="263"/>
      <c r="DH234" s="263"/>
      <c r="DI234" s="263"/>
      <c r="DJ234" s="263"/>
      <c r="DK234" s="412"/>
      <c r="DL234" s="412"/>
      <c r="DM234" s="75"/>
    </row>
    <row r="235" spans="1:123">
      <c r="A235" s="397" t="s">
        <v>1603</v>
      </c>
      <c r="B235" s="86"/>
      <c r="C235" s="83"/>
      <c r="D235" s="83"/>
      <c r="E235" s="83"/>
      <c r="F235" s="123"/>
      <c r="G235" s="86"/>
      <c r="H235" s="83"/>
      <c r="I235" s="83"/>
      <c r="J235" s="83"/>
      <c r="K235" s="123"/>
      <c r="L235" s="86"/>
      <c r="M235" s="83"/>
      <c r="N235" s="83"/>
      <c r="O235" s="83"/>
      <c r="P235" s="123"/>
      <c r="Q235" s="86"/>
      <c r="R235" s="83"/>
      <c r="S235" s="83"/>
      <c r="T235" s="260"/>
      <c r="U235" s="261"/>
      <c r="V235" s="262"/>
      <c r="W235" s="260"/>
      <c r="X235" s="260"/>
      <c r="Y235" s="260"/>
      <c r="Z235" s="261"/>
      <c r="AA235" s="262"/>
      <c r="AB235" s="263"/>
      <c r="AC235" s="263"/>
      <c r="AD235" s="238"/>
      <c r="AE235" s="264"/>
      <c r="AF235" s="237"/>
      <c r="AG235" s="238"/>
      <c r="AH235" s="238"/>
      <c r="AI235" s="238"/>
      <c r="AJ235" s="264"/>
      <c r="AK235" s="237"/>
      <c r="AL235" s="238"/>
      <c r="AM235" s="238"/>
      <c r="AN235" s="238"/>
      <c r="AO235" s="264"/>
      <c r="AP235" s="237"/>
      <c r="AQ235" s="238"/>
      <c r="AR235" s="238"/>
      <c r="AS235" s="238"/>
      <c r="AT235" s="264"/>
      <c r="AU235" s="237"/>
      <c r="AV235" s="238"/>
      <c r="AW235" s="238"/>
      <c r="AX235" s="238"/>
      <c r="AY235" s="264"/>
      <c r="AZ235" s="237"/>
      <c r="BA235" s="238"/>
      <c r="BB235" s="238"/>
      <c r="BC235" s="238"/>
      <c r="BD235" s="264"/>
      <c r="BE235" s="237"/>
      <c r="BF235" s="238"/>
      <c r="BG235" s="238"/>
      <c r="BH235" s="238"/>
      <c r="BI235" s="264"/>
      <c r="BJ235" s="703">
        <f>+BJ169</f>
        <v>34789</v>
      </c>
      <c r="BK235" s="703">
        <f>+BK169</f>
        <v>37415</v>
      </c>
      <c r="BL235" s="703">
        <f>+BL169</f>
        <v>34177</v>
      </c>
      <c r="BM235" s="703">
        <f>+BM169</f>
        <v>38292</v>
      </c>
      <c r="BN235" s="704">
        <f t="shared" si="533"/>
        <v>144673</v>
      </c>
      <c r="BO235" s="485">
        <v>46920</v>
      </c>
      <c r="BP235" s="485">
        <v>49760</v>
      </c>
      <c r="BQ235" s="485">
        <v>49414</v>
      </c>
      <c r="BR235" s="485">
        <v>50020</v>
      </c>
      <c r="BS235" s="622">
        <f t="shared" si="534"/>
        <v>196114</v>
      </c>
      <c r="BT235" s="329">
        <f>+BT169</f>
        <v>46491.25</v>
      </c>
      <c r="BU235" s="485">
        <f>+BU169</f>
        <v>46711.25</v>
      </c>
      <c r="BV235" s="485">
        <f>+BV169</f>
        <v>47358.75</v>
      </c>
      <c r="BW235" s="485">
        <f>+BW169</f>
        <v>47724.362499999996</v>
      </c>
      <c r="BX235" s="622">
        <f t="shared" si="535"/>
        <v>188285.61249999999</v>
      </c>
      <c r="BY235" s="329">
        <f>+BY169</f>
        <v>41576.2215</v>
      </c>
      <c r="BZ235" s="485">
        <f>+BZ169</f>
        <v>41717.329500000007</v>
      </c>
      <c r="CA235" s="485">
        <f>+CA169</f>
        <v>42305.818500000001</v>
      </c>
      <c r="CB235" s="485">
        <f>+CB169</f>
        <v>42648.966195000001</v>
      </c>
      <c r="CC235" s="622">
        <f t="shared" si="536"/>
        <v>168248.33569500002</v>
      </c>
      <c r="CD235" s="329">
        <f>+CD169</f>
        <v>42254.946607499995</v>
      </c>
      <c r="CE235" s="485">
        <f>+CE169</f>
        <v>42341.963647500001</v>
      </c>
      <c r="CF235" s="485">
        <f>+CF169</f>
        <v>42949.631092499993</v>
      </c>
      <c r="CG235" s="485">
        <f>+CG169</f>
        <v>43314.789525974993</v>
      </c>
      <c r="CH235" s="622">
        <f t="shared" si="537"/>
        <v>170861.330873475</v>
      </c>
      <c r="CI235" s="329">
        <f>+CI169</f>
        <v>42466.221340537493</v>
      </c>
      <c r="CJ235" s="485">
        <f>+CJ169</f>
        <v>42553.673465737498</v>
      </c>
      <c r="CK235" s="485">
        <f>+CK169</f>
        <v>43164.37924796249</v>
      </c>
      <c r="CL235" s="485">
        <f>+CL169</f>
        <v>43531.36347360487</v>
      </c>
      <c r="CM235" s="622">
        <f t="shared" si="538"/>
        <v>171715.63752784237</v>
      </c>
      <c r="CN235" s="329">
        <f>+CN169</f>
        <v>42678.552447240167</v>
      </c>
      <c r="CO235" s="485">
        <f>+CO169</f>
        <v>42766.441833066172</v>
      </c>
      <c r="CP235" s="485">
        <f>+CP169</f>
        <v>43380.201144202299</v>
      </c>
      <c r="CQ235" s="485">
        <f>+CQ169</f>
        <v>43749.020290972883</v>
      </c>
      <c r="CR235" s="622">
        <f t="shared" si="539"/>
        <v>172574.21571548149</v>
      </c>
      <c r="CS235" s="329">
        <f>+CS169</f>
        <v>42891.945209476369</v>
      </c>
      <c r="CT235" s="485">
        <f>+CT169</f>
        <v>42980.274042231504</v>
      </c>
      <c r="CU235" s="485">
        <f>+CU169</f>
        <v>43597.102149923303</v>
      </c>
      <c r="CV235" s="485">
        <f>+CV169</f>
        <v>43967.765392427747</v>
      </c>
      <c r="CW235" s="622">
        <f t="shared" si="540"/>
        <v>173437.08679405891</v>
      </c>
      <c r="CX235" s="329">
        <f>+CX169</f>
        <v>43106.404935523751</v>
      </c>
      <c r="CY235" s="485">
        <f>+CY169</f>
        <v>43195.175412442659</v>
      </c>
      <c r="CZ235" s="485">
        <f>+CZ169</f>
        <v>43815.087660672914</v>
      </c>
      <c r="DA235" s="485">
        <f>+DA169</f>
        <v>44187.604219389876</v>
      </c>
      <c r="DB235" s="622">
        <f t="shared" si="541"/>
        <v>174304.27222802921</v>
      </c>
      <c r="DC235" s="263"/>
      <c r="DD235" s="263"/>
      <c r="DE235" s="263"/>
      <c r="DF235" s="263"/>
      <c r="DG235" s="263"/>
      <c r="DH235" s="263"/>
      <c r="DI235" s="263"/>
      <c r="DJ235" s="263"/>
      <c r="DK235" s="412"/>
      <c r="DL235" s="412"/>
      <c r="DM235" s="75"/>
    </row>
    <row r="236" spans="1:123">
      <c r="A236" s="397" t="s">
        <v>926</v>
      </c>
      <c r="B236" s="86"/>
      <c r="C236" s="83"/>
      <c r="D236" s="83"/>
      <c r="E236" s="83"/>
      <c r="F236" s="123"/>
      <c r="G236" s="86"/>
      <c r="H236" s="83"/>
      <c r="I236" s="83"/>
      <c r="J236" s="83"/>
      <c r="K236" s="123"/>
      <c r="L236" s="86"/>
      <c r="M236" s="83"/>
      <c r="N236" s="83"/>
      <c r="O236" s="83"/>
      <c r="P236" s="123"/>
      <c r="Q236" s="86"/>
      <c r="R236" s="83"/>
      <c r="S236" s="83"/>
      <c r="T236" s="260"/>
      <c r="U236" s="261"/>
      <c r="V236" s="262"/>
      <c r="W236" s="260"/>
      <c r="X236" s="260"/>
      <c r="Y236" s="260"/>
      <c r="Z236" s="261"/>
      <c r="AA236" s="262"/>
      <c r="AB236" s="263"/>
      <c r="AC236" s="263"/>
      <c r="AD236" s="238"/>
      <c r="AE236" s="264"/>
      <c r="AF236" s="237"/>
      <c r="AG236" s="238"/>
      <c r="AH236" s="238"/>
      <c r="AI236" s="238"/>
      <c r="AJ236" s="264"/>
      <c r="AK236" s="237"/>
      <c r="AL236" s="238"/>
      <c r="AM236" s="238"/>
      <c r="AN236" s="238"/>
      <c r="AO236" s="264"/>
      <c r="AP236" s="237"/>
      <c r="AQ236" s="238"/>
      <c r="AR236" s="238"/>
      <c r="AS236" s="238"/>
      <c r="AT236" s="264"/>
      <c r="AU236" s="237"/>
      <c r="AV236" s="238"/>
      <c r="AW236" s="238"/>
      <c r="AX236" s="238"/>
      <c r="AY236" s="264"/>
      <c r="AZ236" s="237"/>
      <c r="BA236" s="238"/>
      <c r="BB236" s="238"/>
      <c r="BC236" s="238"/>
      <c r="BD236" s="264"/>
      <c r="BE236" s="237"/>
      <c r="BF236" s="238"/>
      <c r="BG236" s="238"/>
      <c r="BH236" s="238"/>
      <c r="BI236" s="264"/>
      <c r="BJ236" s="703">
        <f>355364-SUM(BJ231:BJ235)</f>
        <v>31971</v>
      </c>
      <c r="BK236" s="703">
        <v>0</v>
      </c>
      <c r="BL236" s="703">
        <f>+BK236</f>
        <v>0</v>
      </c>
      <c r="BM236" s="703">
        <f>+BL236</f>
        <v>0</v>
      </c>
      <c r="BN236" s="704">
        <f t="shared" si="533"/>
        <v>31971</v>
      </c>
      <c r="BO236" s="485">
        <f>324182-SUM(BO231:BO235)</f>
        <v>-1935</v>
      </c>
      <c r="BP236" s="712">
        <v>-1131</v>
      </c>
      <c r="BQ236" s="712">
        <f>-3089</f>
        <v>-3089</v>
      </c>
      <c r="BR236" s="712">
        <f>-58</f>
        <v>-58</v>
      </c>
      <c r="BS236" s="622">
        <f t="shared" si="534"/>
        <v>-6213</v>
      </c>
      <c r="BT236" s="661">
        <f>+-3750</f>
        <v>-3750</v>
      </c>
      <c r="BU236" s="485">
        <f>+BT236</f>
        <v>-3750</v>
      </c>
      <c r="BV236" s="485">
        <f>+BU236</f>
        <v>-3750</v>
      </c>
      <c r="BW236" s="485">
        <f>+BV236</f>
        <v>-3750</v>
      </c>
      <c r="BX236" s="622">
        <f t="shared" si="535"/>
        <v>-15000</v>
      </c>
      <c r="BY236" s="661">
        <v>-3000</v>
      </c>
      <c r="BZ236" s="485">
        <f>+BY236</f>
        <v>-3000</v>
      </c>
      <c r="CA236" s="485">
        <f>+BZ236</f>
        <v>-3000</v>
      </c>
      <c r="CB236" s="485">
        <f>+CA236</f>
        <v>-3000</v>
      </c>
      <c r="CC236" s="622">
        <f t="shared" si="536"/>
        <v>-12000</v>
      </c>
      <c r="CD236" s="661">
        <v>-3000</v>
      </c>
      <c r="CE236" s="485">
        <f>+CD236</f>
        <v>-3000</v>
      </c>
      <c r="CF236" s="485">
        <f>+CE236</f>
        <v>-3000</v>
      </c>
      <c r="CG236" s="485">
        <f>+CF236</f>
        <v>-3000</v>
      </c>
      <c r="CH236" s="622">
        <f t="shared" si="537"/>
        <v>-12000</v>
      </c>
      <c r="CI236" s="661">
        <v>-3000</v>
      </c>
      <c r="CJ236" s="485">
        <f>+CI236</f>
        <v>-3000</v>
      </c>
      <c r="CK236" s="485">
        <f>+CJ236</f>
        <v>-3000</v>
      </c>
      <c r="CL236" s="485">
        <f>+CK236</f>
        <v>-3000</v>
      </c>
      <c r="CM236" s="622">
        <f t="shared" si="538"/>
        <v>-12000</v>
      </c>
      <c r="CN236" s="661">
        <v>-3000</v>
      </c>
      <c r="CO236" s="485">
        <f>+CN236</f>
        <v>-3000</v>
      </c>
      <c r="CP236" s="485">
        <f>+CO236</f>
        <v>-3000</v>
      </c>
      <c r="CQ236" s="485">
        <f>+CP236</f>
        <v>-3000</v>
      </c>
      <c r="CR236" s="622">
        <f t="shared" si="539"/>
        <v>-12000</v>
      </c>
      <c r="CS236" s="661">
        <v>-3000</v>
      </c>
      <c r="CT236" s="485">
        <f>+CS236</f>
        <v>-3000</v>
      </c>
      <c r="CU236" s="485">
        <f>+CT236</f>
        <v>-3000</v>
      </c>
      <c r="CV236" s="485">
        <f>+CU236</f>
        <v>-3000</v>
      </c>
      <c r="CW236" s="622">
        <f t="shared" si="540"/>
        <v>-12000</v>
      </c>
      <c r="CX236" s="661">
        <v>-3000</v>
      </c>
      <c r="CY236" s="485">
        <f>+CX236</f>
        <v>-3000</v>
      </c>
      <c r="CZ236" s="485">
        <f>+CY236</f>
        <v>-3000</v>
      </c>
      <c r="DA236" s="485">
        <f>+CZ236</f>
        <v>-3000</v>
      </c>
      <c r="DB236" s="622">
        <f t="shared" si="541"/>
        <v>-12000</v>
      </c>
      <c r="DC236" s="263"/>
      <c r="DD236" s="263"/>
      <c r="DE236" s="263"/>
      <c r="DF236" s="263"/>
      <c r="DG236" s="263"/>
      <c r="DH236" s="263"/>
      <c r="DI236" s="263"/>
      <c r="DJ236" s="263"/>
      <c r="DK236" s="412"/>
      <c r="DL236" s="412"/>
      <c r="DM236" s="75"/>
    </row>
    <row r="237" spans="1:123">
      <c r="A237" s="397" t="s">
        <v>1611</v>
      </c>
      <c r="B237" s="86"/>
      <c r="C237" s="83"/>
      <c r="D237" s="83"/>
      <c r="E237" s="83"/>
      <c r="F237" s="123"/>
      <c r="G237" s="86"/>
      <c r="H237" s="83"/>
      <c r="I237" s="83"/>
      <c r="J237" s="83"/>
      <c r="K237" s="123"/>
      <c r="L237" s="86"/>
      <c r="M237" s="83"/>
      <c r="N237" s="83"/>
      <c r="O237" s="83"/>
      <c r="P237" s="123"/>
      <c r="Q237" s="86"/>
      <c r="R237" s="83"/>
      <c r="S237" s="83"/>
      <c r="T237" s="260"/>
      <c r="U237" s="261"/>
      <c r="V237" s="262"/>
      <c r="W237" s="260"/>
      <c r="X237" s="260"/>
      <c r="Y237" s="260"/>
      <c r="Z237" s="261"/>
      <c r="AA237" s="262"/>
      <c r="AB237" s="263"/>
      <c r="AC237" s="263"/>
      <c r="AD237" s="238"/>
      <c r="AE237" s="264"/>
      <c r="AF237" s="237"/>
      <c r="AG237" s="238"/>
      <c r="AH237" s="238"/>
      <c r="AI237" s="238"/>
      <c r="AJ237" s="264"/>
      <c r="AK237" s="237"/>
      <c r="AL237" s="238"/>
      <c r="AM237" s="238"/>
      <c r="AN237" s="238"/>
      <c r="AO237" s="264"/>
      <c r="AP237" s="237"/>
      <c r="AQ237" s="238"/>
      <c r="AR237" s="238"/>
      <c r="AS237" s="238"/>
      <c r="AT237" s="264"/>
      <c r="AU237" s="237"/>
      <c r="AV237" s="238"/>
      <c r="AW237" s="238"/>
      <c r="AX237" s="238"/>
      <c r="AY237" s="264"/>
      <c r="AZ237" s="237"/>
      <c r="BA237" s="238"/>
      <c r="BB237" s="238"/>
      <c r="BC237" s="238"/>
      <c r="BD237" s="264"/>
      <c r="BE237" s="237"/>
      <c r="BF237" s="238"/>
      <c r="BG237" s="238"/>
      <c r="BH237" s="238"/>
      <c r="BI237" s="264"/>
      <c r="BJ237" s="237"/>
      <c r="BK237" s="238"/>
      <c r="BL237" s="238"/>
      <c r="BM237" s="238"/>
      <c r="BN237" s="264"/>
      <c r="BO237" s="485"/>
      <c r="BP237" s="485"/>
      <c r="BQ237" s="485"/>
      <c r="BR237" s="485"/>
      <c r="BS237" s="622"/>
      <c r="BT237" s="661"/>
      <c r="BU237" s="485"/>
      <c r="BV237" s="485"/>
      <c r="BW237" s="485"/>
      <c r="BX237" s="622"/>
      <c r="BY237" s="661"/>
      <c r="BZ237" s="485"/>
      <c r="CA237" s="485"/>
      <c r="CB237" s="485"/>
      <c r="CC237" s="622"/>
      <c r="CD237" s="661"/>
      <c r="CE237" s="485"/>
      <c r="CF237" s="485"/>
      <c r="CG237" s="485"/>
      <c r="CH237" s="622"/>
      <c r="CI237" s="661"/>
      <c r="CJ237" s="485"/>
      <c r="CK237" s="485"/>
      <c r="CL237" s="485"/>
      <c r="CM237" s="622">
        <f t="shared" si="538"/>
        <v>0</v>
      </c>
      <c r="CN237" s="661">
        <f>+-CN49*0.05</f>
        <v>-5355.110343561686</v>
      </c>
      <c r="CO237" s="485">
        <f t="shared" ref="CO237:CQ237" si="542">+-CO49*0.05</f>
        <v>-5418.5424122443346</v>
      </c>
      <c r="CP237" s="485">
        <f t="shared" si="542"/>
        <v>-5529.5332576967921</v>
      </c>
      <c r="CQ237" s="485">
        <f t="shared" si="542"/>
        <v>-6372.4175541734485</v>
      </c>
      <c r="CR237" s="622">
        <f t="shared" si="539"/>
        <v>-22675.603567676262</v>
      </c>
      <c r="CS237" s="661">
        <f>+-CS49*0.15</f>
        <v>-16540.515287131755</v>
      </c>
      <c r="CT237" s="485">
        <f t="shared" ref="CT237:CV237" si="543">+-CT49*0.15</f>
        <v>-16737.431256578864</v>
      </c>
      <c r="CU237" s="485">
        <f t="shared" si="543"/>
        <v>-17079.978791540638</v>
      </c>
      <c r="CV237" s="485">
        <f t="shared" si="543"/>
        <v>-20331.332663726094</v>
      </c>
      <c r="CW237" s="622">
        <f t="shared" si="540"/>
        <v>-70689.257998977351</v>
      </c>
      <c r="CX237" s="661">
        <f>+-CX49*0.2</f>
        <v>-23125.97525577122</v>
      </c>
      <c r="CY237" s="485">
        <f t="shared" ref="CY237:DA237" si="544">+-CY49*0.2</f>
        <v>-23405.11847517937</v>
      </c>
      <c r="CZ237" s="485">
        <f t="shared" si="544"/>
        <v>-23878.344976830704</v>
      </c>
      <c r="DA237" s="485">
        <f t="shared" si="544"/>
        <v>-28620.094015979001</v>
      </c>
      <c r="DB237" s="622">
        <f t="shared" si="541"/>
        <v>-99029.532723760291</v>
      </c>
      <c r="DC237" s="263"/>
      <c r="DD237" s="263"/>
      <c r="DE237" s="263"/>
      <c r="DF237" s="263"/>
      <c r="DG237" s="263"/>
      <c r="DH237" s="263"/>
      <c r="DI237" s="263"/>
      <c r="DJ237" s="263"/>
      <c r="DK237" s="412"/>
      <c r="DL237" s="412"/>
      <c r="DM237" s="75"/>
    </row>
    <row r="238" spans="1:123" s="636" customFormat="1">
      <c r="A238" s="669" t="s">
        <v>1604</v>
      </c>
      <c r="B238" s="626"/>
      <c r="C238" s="627"/>
      <c r="D238" s="627"/>
      <c r="E238" s="627"/>
      <c r="F238" s="628"/>
      <c r="G238" s="626"/>
      <c r="H238" s="627"/>
      <c r="I238" s="627"/>
      <c r="J238" s="627"/>
      <c r="K238" s="628"/>
      <c r="L238" s="626"/>
      <c r="M238" s="627"/>
      <c r="N238" s="627"/>
      <c r="O238" s="627"/>
      <c r="P238" s="628"/>
      <c r="Q238" s="626"/>
      <c r="R238" s="627"/>
      <c r="S238" s="627"/>
      <c r="T238" s="629"/>
      <c r="U238" s="630"/>
      <c r="V238" s="631"/>
      <c r="W238" s="629"/>
      <c r="X238" s="629"/>
      <c r="Y238" s="629"/>
      <c r="Z238" s="630"/>
      <c r="AA238" s="631"/>
      <c r="AB238" s="632"/>
      <c r="AC238" s="632"/>
      <c r="AD238" s="632"/>
      <c r="AE238" s="633"/>
      <c r="AF238" s="634"/>
      <c r="AG238" s="632"/>
      <c r="AH238" s="632"/>
      <c r="AI238" s="632"/>
      <c r="AJ238" s="633"/>
      <c r="AK238" s="634"/>
      <c r="AL238" s="632"/>
      <c r="AM238" s="632"/>
      <c r="AN238" s="632"/>
      <c r="AO238" s="633"/>
      <c r="AP238" s="634"/>
      <c r="AQ238" s="632"/>
      <c r="AR238" s="632"/>
      <c r="AS238" s="632"/>
      <c r="AT238" s="633"/>
      <c r="AU238" s="634"/>
      <c r="AV238" s="632"/>
      <c r="AW238" s="632"/>
      <c r="AX238" s="632"/>
      <c r="AY238" s="633"/>
      <c r="AZ238" s="634"/>
      <c r="BA238" s="632"/>
      <c r="BB238" s="632"/>
      <c r="BC238" s="632"/>
      <c r="BD238" s="633"/>
      <c r="BE238" s="634"/>
      <c r="BF238" s="632"/>
      <c r="BG238" s="632"/>
      <c r="BH238" s="632"/>
      <c r="BI238" s="633"/>
      <c r="BJ238" s="625">
        <f>+SUM(BJ231:BJ237)</f>
        <v>355364</v>
      </c>
      <c r="BK238" s="625">
        <f t="shared" ref="BK238:BN238" si="545">+SUM(BK231:BK237)</f>
        <v>301403.33333333331</v>
      </c>
      <c r="BL238" s="625">
        <f t="shared" si="545"/>
        <v>209524.33333333334</v>
      </c>
      <c r="BM238" s="625">
        <f t="shared" si="545"/>
        <v>208525.33333333334</v>
      </c>
      <c r="BN238" s="671">
        <f t="shared" si="545"/>
        <v>1074817</v>
      </c>
      <c r="BO238" s="625">
        <f>+SUM(BO231:BO237)</f>
        <v>324182</v>
      </c>
      <c r="BP238" s="625">
        <f t="shared" ref="BP238:DB238" si="546">+SUM(BP231:BP237)</f>
        <v>330052</v>
      </c>
      <c r="BQ238" s="625">
        <f t="shared" si="546"/>
        <v>364413</v>
      </c>
      <c r="BR238" s="625">
        <f t="shared" si="546"/>
        <v>366014</v>
      </c>
      <c r="BS238" s="671">
        <f t="shared" si="546"/>
        <v>1384661</v>
      </c>
      <c r="BT238" s="670">
        <f t="shared" si="546"/>
        <v>454790.04868133651</v>
      </c>
      <c r="BU238" s="625">
        <f t="shared" si="546"/>
        <v>406151.71282907296</v>
      </c>
      <c r="BV238" s="625">
        <f t="shared" si="546"/>
        <v>417423.21358404937</v>
      </c>
      <c r="BW238" s="625">
        <f t="shared" si="546"/>
        <v>412306.70537373715</v>
      </c>
      <c r="BX238" s="671">
        <f t="shared" si="546"/>
        <v>1690671.680468196</v>
      </c>
      <c r="BY238" s="670">
        <f t="shared" si="546"/>
        <v>462039.78663777426</v>
      </c>
      <c r="BZ238" s="625">
        <f t="shared" si="546"/>
        <v>441439.6298027162</v>
      </c>
      <c r="CA238" s="625">
        <f t="shared" si="546"/>
        <v>447930.30663721974</v>
      </c>
      <c r="CB238" s="625">
        <f t="shared" si="546"/>
        <v>442087.36136003601</v>
      </c>
      <c r="CC238" s="671">
        <f t="shared" si="546"/>
        <v>1793497.0844377461</v>
      </c>
      <c r="CD238" s="670">
        <f t="shared" si="546"/>
        <v>465710.92923221178</v>
      </c>
      <c r="CE238" s="625">
        <f t="shared" si="546"/>
        <v>456989.56922269473</v>
      </c>
      <c r="CF238" s="625">
        <f t="shared" si="546"/>
        <v>475169.48992599075</v>
      </c>
      <c r="CG238" s="625">
        <f t="shared" si="546"/>
        <v>508647.50335081865</v>
      </c>
      <c r="CH238" s="671">
        <f t="shared" si="546"/>
        <v>1906517.4917317159</v>
      </c>
      <c r="CI238" s="670">
        <f t="shared" si="546"/>
        <v>493381.81199860666</v>
      </c>
      <c r="CJ238" s="625">
        <f t="shared" si="546"/>
        <v>496351.45299152518</v>
      </c>
      <c r="CK238" s="625">
        <f t="shared" si="546"/>
        <v>508117.73703569599</v>
      </c>
      <c r="CL238" s="625">
        <f t="shared" si="546"/>
        <v>559892.72761150368</v>
      </c>
      <c r="CM238" s="671">
        <f t="shared" si="546"/>
        <v>2057743.7296373318</v>
      </c>
      <c r="CN238" s="670">
        <f t="shared" si="546"/>
        <v>504988.32778083684</v>
      </c>
      <c r="CO238" s="625">
        <f t="shared" si="546"/>
        <v>511885.94618943066</v>
      </c>
      <c r="CP238" s="625">
        <f t="shared" si="546"/>
        <v>522631.55331062723</v>
      </c>
      <c r="CQ238" s="625">
        <f t="shared" si="546"/>
        <v>591681.37663503119</v>
      </c>
      <c r="CR238" s="671">
        <f t="shared" si="546"/>
        <v>2131187.2039159266</v>
      </c>
      <c r="CS238" s="670">
        <f t="shared" si="546"/>
        <v>509855.85939994664</v>
      </c>
      <c r="CT238" s="625">
        <f t="shared" si="546"/>
        <v>516914.51675486553</v>
      </c>
      <c r="CU238" s="625">
        <f t="shared" si="546"/>
        <v>527781.99180091976</v>
      </c>
      <c r="CV238" s="625">
        <f t="shared" si="546"/>
        <v>613759.35210794711</v>
      </c>
      <c r="CW238" s="671">
        <f t="shared" si="546"/>
        <v>2168311.7200636785</v>
      </c>
      <c r="CX238" s="670">
        <f t="shared" si="546"/>
        <v>528356.63520476909</v>
      </c>
      <c r="CY238" s="625">
        <f t="shared" si="546"/>
        <v>535791.41596718726</v>
      </c>
      <c r="CZ238" s="625">
        <f t="shared" si="546"/>
        <v>546962.98530963459</v>
      </c>
      <c r="DA238" s="625">
        <f t="shared" si="546"/>
        <v>639649.43555667985</v>
      </c>
      <c r="DB238" s="671">
        <f t="shared" si="546"/>
        <v>2250760.4720382704</v>
      </c>
      <c r="DC238" s="632"/>
      <c r="DD238" s="632"/>
      <c r="DE238" s="632"/>
      <c r="DF238" s="632"/>
      <c r="DG238" s="632"/>
      <c r="DH238" s="632"/>
      <c r="DI238" s="632"/>
      <c r="DJ238" s="632"/>
      <c r="DK238" s="635"/>
      <c r="DL238" s="635"/>
      <c r="DM238" s="635"/>
      <c r="DN238"/>
      <c r="DO238"/>
      <c r="DP238"/>
      <c r="DQ238"/>
      <c r="DR238"/>
      <c r="DS238"/>
    </row>
    <row r="239" spans="1:123" s="624" customFormat="1">
      <c r="A239" s="62" t="s">
        <v>1610</v>
      </c>
      <c r="B239" s="86"/>
      <c r="C239" s="83"/>
      <c r="D239" s="83"/>
      <c r="E239" s="83"/>
      <c r="F239" s="123"/>
      <c r="G239" s="86"/>
      <c r="H239" s="83"/>
      <c r="I239" s="83"/>
      <c r="J239" s="83"/>
      <c r="K239" s="123"/>
      <c r="L239" s="86"/>
      <c r="M239" s="83"/>
      <c r="N239" s="83"/>
      <c r="O239" s="83"/>
      <c r="P239" s="123"/>
      <c r="Q239" s="86"/>
      <c r="R239" s="83"/>
      <c r="S239" s="83"/>
      <c r="T239" s="260"/>
      <c r="U239" s="261"/>
      <c r="V239" s="262"/>
      <c r="W239" s="260"/>
      <c r="X239" s="260"/>
      <c r="Y239" s="260"/>
      <c r="Z239" s="261"/>
      <c r="AA239" s="262"/>
      <c r="AB239" s="263"/>
      <c r="AC239" s="263"/>
      <c r="AD239" s="263"/>
      <c r="AE239" s="264"/>
      <c r="AF239" s="623"/>
      <c r="AG239" s="263"/>
      <c r="AH239" s="263"/>
      <c r="AI239" s="263"/>
      <c r="AJ239" s="264"/>
      <c r="AK239" s="623"/>
      <c r="AL239" s="263"/>
      <c r="AM239" s="263"/>
      <c r="AN239" s="263"/>
      <c r="AO239" s="264"/>
      <c r="AP239" s="623"/>
      <c r="AQ239" s="263"/>
      <c r="AR239" s="263"/>
      <c r="AS239" s="263"/>
      <c r="AT239" s="264"/>
      <c r="AU239" s="623"/>
      <c r="AV239" s="263"/>
      <c r="AW239" s="263"/>
      <c r="AX239" s="263"/>
      <c r="AY239" s="264"/>
      <c r="AZ239" s="623"/>
      <c r="BA239" s="263"/>
      <c r="BB239" s="263"/>
      <c r="BC239" s="263"/>
      <c r="BD239" s="264"/>
      <c r="BE239" s="623"/>
      <c r="BF239" s="263"/>
      <c r="BG239" s="263"/>
      <c r="BH239" s="263"/>
      <c r="BI239" s="264"/>
      <c r="BJ239" s="664">
        <f>+BJ238/BJ246</f>
        <v>1.6836230462735289</v>
      </c>
      <c r="BK239" s="664">
        <f t="shared" ref="BK239:BN239" si="547">+BK238/BK246</f>
        <v>1.4279442536223301</v>
      </c>
      <c r="BL239" s="664">
        <f t="shared" si="547"/>
        <v>0.9842830522541145</v>
      </c>
      <c r="BM239" s="664">
        <f t="shared" si="547"/>
        <v>0.98183627377583582</v>
      </c>
      <c r="BN239" s="665">
        <f t="shared" si="547"/>
        <v>5.0734872238461453</v>
      </c>
      <c r="BO239" s="664">
        <f t="shared" ref="BO239:DB239" si="548">+BO238/BO246</f>
        <v>1.5176917819121545</v>
      </c>
      <c r="BP239" s="664">
        <f t="shared" si="548"/>
        <v>1.542212586210119</v>
      </c>
      <c r="BQ239" s="664">
        <f t="shared" si="548"/>
        <v>0.9504302082056445</v>
      </c>
      <c r="BR239" s="664">
        <f t="shared" si="548"/>
        <v>0.94924089567567282</v>
      </c>
      <c r="BS239" s="665">
        <f t="shared" si="548"/>
        <v>4.6285776842921598</v>
      </c>
      <c r="BT239" s="663">
        <f t="shared" si="548"/>
        <v>1.1240874589860661</v>
      </c>
      <c r="BU239" s="664">
        <f t="shared" si="548"/>
        <v>1.0038699135142417</v>
      </c>
      <c r="BV239" s="664">
        <f t="shared" si="548"/>
        <v>1.031729258016959</v>
      </c>
      <c r="BW239" s="664">
        <f t="shared" si="548"/>
        <v>1.0190829771018699</v>
      </c>
      <c r="BX239" s="665">
        <f t="shared" si="548"/>
        <v>4.1787696076191363</v>
      </c>
      <c r="BY239" s="663">
        <f t="shared" si="548"/>
        <v>1.1420063636353563</v>
      </c>
      <c r="BZ239" s="664">
        <f t="shared" si="548"/>
        <v>1.0910897307438128</v>
      </c>
      <c r="CA239" s="664">
        <f t="shared" si="548"/>
        <v>1.1071324925657826</v>
      </c>
      <c r="CB239" s="664">
        <f t="shared" si="548"/>
        <v>1.0926907044733036</v>
      </c>
      <c r="CC239" s="665">
        <f t="shared" si="548"/>
        <v>4.4329192914182549</v>
      </c>
      <c r="CD239" s="663">
        <f t="shared" si="548"/>
        <v>1.1510801887168902</v>
      </c>
      <c r="CE239" s="664">
        <f t="shared" si="548"/>
        <v>1.1295239311856928</v>
      </c>
      <c r="CF239" s="664">
        <f t="shared" si="548"/>
        <v>1.1744585574537694</v>
      </c>
      <c r="CG239" s="664">
        <f t="shared" si="548"/>
        <v>1.2572049041509559</v>
      </c>
      <c r="CH239" s="665">
        <f t="shared" si="548"/>
        <v>4.7122675815073087</v>
      </c>
      <c r="CI239" s="663">
        <f t="shared" si="548"/>
        <v>1.2194732689678007</v>
      </c>
      <c r="CJ239" s="664">
        <f t="shared" si="548"/>
        <v>1.226813218923851</v>
      </c>
      <c r="CK239" s="664">
        <f t="shared" si="548"/>
        <v>1.2558955006740125</v>
      </c>
      <c r="CL239" s="664">
        <f t="shared" si="548"/>
        <v>1.3838657976586033</v>
      </c>
      <c r="CM239" s="665">
        <f t="shared" si="548"/>
        <v>5.0860477862242686</v>
      </c>
      <c r="CN239" s="663">
        <f t="shared" si="548"/>
        <v>1.2481606575136976</v>
      </c>
      <c r="CO239" s="664">
        <f t="shared" si="548"/>
        <v>1.2652092415195551</v>
      </c>
      <c r="CP239" s="664">
        <f t="shared" si="548"/>
        <v>1.2917687545061549</v>
      </c>
      <c r="CQ239" s="664">
        <f t="shared" si="548"/>
        <v>1.4624366059009239</v>
      </c>
      <c r="CR239" s="665">
        <f t="shared" si="548"/>
        <v>5.2675752594403331</v>
      </c>
      <c r="CS239" s="663">
        <f t="shared" si="548"/>
        <v>1.2601915523521492</v>
      </c>
      <c r="CT239" s="664">
        <f t="shared" si="548"/>
        <v>1.2776381702650748</v>
      </c>
      <c r="CU239" s="664">
        <f t="shared" si="548"/>
        <v>1.304498899618177</v>
      </c>
      <c r="CV239" s="664">
        <f t="shared" si="548"/>
        <v>1.5170059075399225</v>
      </c>
      <c r="CW239" s="665">
        <f t="shared" si="548"/>
        <v>5.3593345297753219</v>
      </c>
      <c r="CX239" s="663">
        <f t="shared" si="548"/>
        <v>1.3059192241075299</v>
      </c>
      <c r="CY239" s="664">
        <f t="shared" si="548"/>
        <v>1.3242954921010299</v>
      </c>
      <c r="CZ239" s="664">
        <f t="shared" si="548"/>
        <v>1.3519078398897504</v>
      </c>
      <c r="DA239" s="664">
        <f t="shared" si="548"/>
        <v>1.5809974530919999</v>
      </c>
      <c r="DB239" s="665">
        <f t="shared" si="548"/>
        <v>5.5631200091903095</v>
      </c>
      <c r="DC239" s="263"/>
      <c r="DD239" s="263"/>
      <c r="DE239" s="263"/>
      <c r="DF239" s="263"/>
      <c r="DG239" s="263"/>
      <c r="DH239" s="263"/>
      <c r="DI239" s="263"/>
      <c r="DJ239" s="263"/>
      <c r="DK239" s="412"/>
      <c r="DL239" s="412"/>
      <c r="DM239" s="412"/>
      <c r="DN239"/>
      <c r="DO239"/>
      <c r="DP239"/>
      <c r="DQ239"/>
      <c r="DR239"/>
      <c r="DS239"/>
    </row>
    <row r="240" spans="1:123" s="624" customFormat="1">
      <c r="A240" s="397"/>
      <c r="B240" s="86"/>
      <c r="C240" s="83"/>
      <c r="D240" s="83"/>
      <c r="E240" s="83"/>
      <c r="F240" s="123"/>
      <c r="G240" s="86"/>
      <c r="H240" s="83"/>
      <c r="I240" s="83"/>
      <c r="J240" s="83"/>
      <c r="K240" s="123"/>
      <c r="L240" s="86"/>
      <c r="M240" s="83"/>
      <c r="N240" s="83"/>
      <c r="O240" s="83"/>
      <c r="P240" s="123"/>
      <c r="Q240" s="86"/>
      <c r="R240" s="83"/>
      <c r="S240" s="83"/>
      <c r="T240" s="260"/>
      <c r="U240" s="261"/>
      <c r="V240" s="262"/>
      <c r="W240" s="260"/>
      <c r="X240" s="260"/>
      <c r="Y240" s="260"/>
      <c r="Z240" s="261"/>
      <c r="AA240" s="262"/>
      <c r="AB240" s="263"/>
      <c r="AC240" s="263"/>
      <c r="AD240" s="263"/>
      <c r="AE240" s="264"/>
      <c r="AF240" s="623"/>
      <c r="AG240" s="263"/>
      <c r="AH240" s="263"/>
      <c r="AI240" s="263"/>
      <c r="AJ240" s="264"/>
      <c r="AK240" s="623"/>
      <c r="AL240" s="263"/>
      <c r="AM240" s="263"/>
      <c r="AN240" s="263"/>
      <c r="AO240" s="264"/>
      <c r="AP240" s="623"/>
      <c r="AQ240" s="263"/>
      <c r="AR240" s="263"/>
      <c r="AS240" s="263"/>
      <c r="AT240" s="264"/>
      <c r="AU240" s="623"/>
      <c r="AV240" s="263"/>
      <c r="AW240" s="263"/>
      <c r="AX240" s="263"/>
      <c r="AY240" s="264"/>
      <c r="AZ240" s="623"/>
      <c r="BA240" s="263"/>
      <c r="BB240" s="263"/>
      <c r="BC240" s="263"/>
      <c r="BD240" s="264"/>
      <c r="BE240" s="623"/>
      <c r="BF240" s="263"/>
      <c r="BG240" s="263"/>
      <c r="BH240" s="263"/>
      <c r="BI240" s="264"/>
      <c r="BJ240" s="623"/>
      <c r="BK240" s="263"/>
      <c r="BL240" s="263"/>
      <c r="BM240" s="263"/>
      <c r="BN240" s="264"/>
      <c r="BO240" s="684"/>
      <c r="BP240" s="263"/>
      <c r="BQ240" s="263"/>
      <c r="BR240" s="263"/>
      <c r="BS240" s="662">
        <f>+(BS238/AVERAGE(1275000,1435000))-1</f>
        <v>2.1890036900368948E-2</v>
      </c>
      <c r="BT240" s="623"/>
      <c r="BU240" s="263"/>
      <c r="BV240" s="263"/>
      <c r="BW240" s="263"/>
      <c r="BX240" s="719">
        <f>BX239/BS239-1</f>
        <v>-9.7180625961949652E-2</v>
      </c>
      <c r="BY240" s="623"/>
      <c r="BZ240" s="263"/>
      <c r="CA240" s="263"/>
      <c r="CB240" s="263"/>
      <c r="CC240" s="719">
        <f>CC239/BX239-1</f>
        <v>6.0819262046830413E-2</v>
      </c>
      <c r="CD240" s="623"/>
      <c r="CE240" s="263"/>
      <c r="CF240" s="263"/>
      <c r="CG240" s="263"/>
      <c r="CH240" s="719">
        <f>CH239/CC239-1</f>
        <v>6.3016777821750081E-2</v>
      </c>
      <c r="CI240" s="623"/>
      <c r="CJ240" s="263"/>
      <c r="CK240" s="263"/>
      <c r="CL240" s="263"/>
      <c r="CM240" s="719">
        <f>CM239/CH239-1</f>
        <v>7.9320666378075E-2</v>
      </c>
      <c r="CN240" s="623"/>
      <c r="CO240" s="263"/>
      <c r="CP240" s="263"/>
      <c r="CQ240" s="263"/>
      <c r="CR240" s="719">
        <f>CR239/CM239-1</f>
        <v>3.569126379577825E-2</v>
      </c>
      <c r="CS240" s="623"/>
      <c r="CT240" s="263"/>
      <c r="CU240" s="263"/>
      <c r="CV240" s="263"/>
      <c r="CW240" s="719">
        <f>CW239/CR239-1</f>
        <v>1.7419641071200864E-2</v>
      </c>
      <c r="CX240" s="623"/>
      <c r="CY240" s="263"/>
      <c r="CZ240" s="263"/>
      <c r="DA240" s="263"/>
      <c r="DB240" s="719">
        <f>DB239/CW239-1</f>
        <v>3.8024399910623119E-2</v>
      </c>
      <c r="DC240" s="263"/>
      <c r="DD240" s="263"/>
      <c r="DE240" s="263"/>
      <c r="DF240" s="263"/>
      <c r="DG240" s="263"/>
      <c r="DH240" s="263"/>
      <c r="DI240" s="263"/>
      <c r="DJ240" s="263"/>
      <c r="DK240" s="412"/>
      <c r="DL240" s="412"/>
      <c r="DM240" s="412"/>
      <c r="DN240"/>
      <c r="DO240"/>
      <c r="DP240"/>
      <c r="DQ240"/>
      <c r="DR240"/>
      <c r="DS240"/>
    </row>
    <row r="241" spans="1:123" s="624" customFormat="1">
      <c r="A241" s="397"/>
      <c r="B241" s="86"/>
      <c r="C241" s="83"/>
      <c r="D241" s="83"/>
      <c r="E241" s="83"/>
      <c r="F241" s="123"/>
      <c r="G241" s="86"/>
      <c r="H241" s="83"/>
      <c r="I241" s="83"/>
      <c r="J241" s="83"/>
      <c r="K241" s="123"/>
      <c r="L241" s="86"/>
      <c r="M241" s="83"/>
      <c r="N241" s="83"/>
      <c r="O241" s="83"/>
      <c r="P241" s="123"/>
      <c r="Q241" s="86"/>
      <c r="R241" s="83"/>
      <c r="S241" s="83"/>
      <c r="T241" s="260"/>
      <c r="U241" s="261"/>
      <c r="V241" s="262"/>
      <c r="W241" s="260"/>
      <c r="X241" s="260"/>
      <c r="Y241" s="260"/>
      <c r="Z241" s="261"/>
      <c r="AA241" s="262"/>
      <c r="AB241" s="263"/>
      <c r="AC241" s="263"/>
      <c r="AD241" s="263"/>
      <c r="AE241" s="264"/>
      <c r="AF241" s="623"/>
      <c r="AG241" s="263"/>
      <c r="AH241" s="263"/>
      <c r="AI241" s="263"/>
      <c r="AJ241" s="264"/>
      <c r="AK241" s="623"/>
      <c r="AL241" s="263"/>
      <c r="AM241" s="263"/>
      <c r="AN241" s="263"/>
      <c r="AO241" s="264"/>
      <c r="AP241" s="623"/>
      <c r="AQ241" s="263"/>
      <c r="AR241" s="263"/>
      <c r="AS241" s="263"/>
      <c r="AT241" s="264"/>
      <c r="AU241" s="623"/>
      <c r="AV241" s="263"/>
      <c r="AW241" s="263"/>
      <c r="AX241" s="263"/>
      <c r="AY241" s="264"/>
      <c r="AZ241" s="623"/>
      <c r="BA241" s="263"/>
      <c r="BB241" s="263"/>
      <c r="BC241" s="263"/>
      <c r="BD241" s="264"/>
      <c r="BE241" s="623"/>
      <c r="BF241" s="263"/>
      <c r="BG241" s="263"/>
      <c r="BH241" s="263"/>
      <c r="BI241" s="264"/>
      <c r="BJ241" s="623"/>
      <c r="BK241" s="263"/>
      <c r="BL241" s="263"/>
      <c r="BM241" s="263"/>
      <c r="BN241" s="264"/>
      <c r="BO241" s="684"/>
      <c r="BP241" s="263"/>
      <c r="BQ241" s="263"/>
      <c r="BR241" s="263"/>
      <c r="BS241" s="662"/>
      <c r="BT241" s="623"/>
      <c r="BU241" s="263"/>
      <c r="BV241" s="263"/>
      <c r="BW241" s="263"/>
      <c r="BX241" s="264"/>
      <c r="BY241" s="623"/>
      <c r="BZ241" s="263"/>
      <c r="CA241" s="263"/>
      <c r="CB241" s="263"/>
      <c r="CC241" s="264"/>
      <c r="CD241" s="623"/>
      <c r="CE241" s="263"/>
      <c r="CF241" s="263"/>
      <c r="CG241" s="263"/>
      <c r="CH241" s="264"/>
      <c r="CI241" s="623"/>
      <c r="CJ241" s="263"/>
      <c r="CK241" s="263"/>
      <c r="CL241" s="263"/>
      <c r="CM241" s="264"/>
      <c r="CN241" s="623"/>
      <c r="CO241" s="263"/>
      <c r="CP241" s="263"/>
      <c r="CQ241" s="263"/>
      <c r="CR241" s="264"/>
      <c r="CS241" s="623"/>
      <c r="CT241" s="263"/>
      <c r="CU241" s="263"/>
      <c r="CV241" s="263"/>
      <c r="CW241" s="264"/>
      <c r="CX241" s="623"/>
      <c r="CY241" s="263"/>
      <c r="CZ241" s="263"/>
      <c r="DA241" s="263"/>
      <c r="DB241" s="264"/>
      <c r="DC241" s="263"/>
      <c r="DD241" s="263"/>
      <c r="DE241" s="263"/>
      <c r="DF241" s="263"/>
      <c r="DG241" s="263"/>
      <c r="DH241" s="263"/>
      <c r="DI241" s="263"/>
      <c r="DJ241" s="263"/>
      <c r="DK241" s="412"/>
      <c r="DL241" s="412"/>
      <c r="DM241" s="412"/>
      <c r="DN241"/>
      <c r="DO241"/>
      <c r="DP241"/>
      <c r="DQ241"/>
      <c r="DR241"/>
      <c r="DS241"/>
    </row>
    <row r="242" spans="1:123" s="624" customFormat="1">
      <c r="A242" s="397" t="s">
        <v>1607</v>
      </c>
      <c r="B242" s="86"/>
      <c r="C242" s="83"/>
      <c r="D242" s="83"/>
      <c r="E242" s="83"/>
      <c r="F242" s="123"/>
      <c r="G242" s="86"/>
      <c r="H242" s="83"/>
      <c r="I242" s="83"/>
      <c r="J242" s="83"/>
      <c r="K242" s="123"/>
      <c r="L242" s="86"/>
      <c r="M242" s="83"/>
      <c r="N242" s="83"/>
      <c r="O242" s="83"/>
      <c r="P242" s="123"/>
      <c r="Q242" s="86"/>
      <c r="R242" s="83"/>
      <c r="S242" s="83"/>
      <c r="T242" s="260"/>
      <c r="U242" s="261"/>
      <c r="V242" s="262"/>
      <c r="W242" s="260"/>
      <c r="X242" s="260"/>
      <c r="Y242" s="260"/>
      <c r="Z242" s="261"/>
      <c r="AA242" s="262"/>
      <c r="AB242" s="263"/>
      <c r="AC242" s="263"/>
      <c r="AD242" s="263"/>
      <c r="AE242" s="264"/>
      <c r="AF242" s="623"/>
      <c r="AG242" s="263"/>
      <c r="AH242" s="263"/>
      <c r="AI242" s="263"/>
      <c r="AJ242" s="264"/>
      <c r="AK242" s="623"/>
      <c r="AL242" s="263"/>
      <c r="AM242" s="263"/>
      <c r="AN242" s="263"/>
      <c r="AO242" s="264"/>
      <c r="AP242" s="623"/>
      <c r="AQ242" s="263"/>
      <c r="AR242" s="263"/>
      <c r="AS242" s="263"/>
      <c r="AT242" s="264"/>
      <c r="AU242" s="623"/>
      <c r="AV242" s="263"/>
      <c r="AW242" s="263"/>
      <c r="AX242" s="263"/>
      <c r="AY242" s="264"/>
      <c r="AZ242" s="623"/>
      <c r="BA242" s="263"/>
      <c r="BB242" s="263"/>
      <c r="BC242" s="263"/>
      <c r="BD242" s="264"/>
      <c r="BE242" s="623"/>
      <c r="BF242" s="263"/>
      <c r="BG242" s="263"/>
      <c r="BH242" s="263"/>
      <c r="BI242" s="264"/>
      <c r="BJ242" s="623"/>
      <c r="BK242" s="263"/>
      <c r="BL242" s="263"/>
      <c r="BM242" s="263"/>
      <c r="BN242" s="264"/>
      <c r="BO242" s="667">
        <f t="shared" ref="BO242:DB242" si="549">+BO69</f>
        <v>0.61499999999999999</v>
      </c>
      <c r="BP242" s="667">
        <f t="shared" si="549"/>
        <v>0.61499999999999999</v>
      </c>
      <c r="BQ242" s="667">
        <f t="shared" si="549"/>
        <v>0.745</v>
      </c>
      <c r="BR242" s="667">
        <f t="shared" si="549"/>
        <v>0.745</v>
      </c>
      <c r="BS242" s="700">
        <f t="shared" si="549"/>
        <v>2.72</v>
      </c>
      <c r="BT242" s="701">
        <f t="shared" si="549"/>
        <v>0.745</v>
      </c>
      <c r="BU242" s="702">
        <f t="shared" si="549"/>
        <v>0.745</v>
      </c>
      <c r="BV242" s="702">
        <f t="shared" si="549"/>
        <v>0.8125</v>
      </c>
      <c r="BW242" s="702">
        <f t="shared" si="549"/>
        <v>0.8125</v>
      </c>
      <c r="BX242" s="700">
        <f t="shared" si="549"/>
        <v>3.1150000000000002</v>
      </c>
      <c r="BY242" s="701">
        <f t="shared" si="549"/>
        <v>0.8125</v>
      </c>
      <c r="BZ242" s="702">
        <f t="shared" si="549"/>
        <v>0.8125</v>
      </c>
      <c r="CA242" s="702">
        <f t="shared" si="549"/>
        <v>0.88500000000000001</v>
      </c>
      <c r="CB242" s="702">
        <f t="shared" si="549"/>
        <v>0.88500000000000001</v>
      </c>
      <c r="CC242" s="700">
        <f t="shared" si="549"/>
        <v>3.3949999999999996</v>
      </c>
      <c r="CD242" s="701">
        <f t="shared" si="549"/>
        <v>0.88500000000000001</v>
      </c>
      <c r="CE242" s="702">
        <f t="shared" si="549"/>
        <v>0.88500000000000001</v>
      </c>
      <c r="CF242" s="702">
        <f t="shared" si="549"/>
        <v>0.96499999999999997</v>
      </c>
      <c r="CG242" s="702">
        <f t="shared" si="549"/>
        <v>0.96499999999999997</v>
      </c>
      <c r="CH242" s="700">
        <f t="shared" si="549"/>
        <v>3.6999999999999997</v>
      </c>
      <c r="CI242" s="701">
        <f t="shared" si="549"/>
        <v>0.96499999999999997</v>
      </c>
      <c r="CJ242" s="702">
        <f t="shared" si="549"/>
        <v>0.96499999999999997</v>
      </c>
      <c r="CK242" s="702">
        <f t="shared" si="549"/>
        <v>1.04</v>
      </c>
      <c r="CL242" s="702">
        <f t="shared" si="549"/>
        <v>1.04</v>
      </c>
      <c r="CM242" s="700">
        <f t="shared" si="549"/>
        <v>4.01</v>
      </c>
      <c r="CN242" s="701">
        <f t="shared" si="549"/>
        <v>1.0486250000000001</v>
      </c>
      <c r="CO242" s="702">
        <f t="shared" si="549"/>
        <v>1.0486250000000001</v>
      </c>
      <c r="CP242" s="702">
        <f t="shared" si="549"/>
        <v>1.1136250000000001</v>
      </c>
      <c r="CQ242" s="702">
        <f t="shared" si="549"/>
        <v>1.1136250000000001</v>
      </c>
      <c r="CR242" s="700">
        <f t="shared" si="549"/>
        <v>4.3245000000000005</v>
      </c>
      <c r="CS242" s="701">
        <f t="shared" si="549"/>
        <v>1.1136250000000001</v>
      </c>
      <c r="CT242" s="702">
        <f t="shared" si="549"/>
        <v>1.1136250000000001</v>
      </c>
      <c r="CU242" s="702">
        <f t="shared" si="549"/>
        <v>1.178625</v>
      </c>
      <c r="CV242" s="702">
        <f t="shared" si="549"/>
        <v>1.178625</v>
      </c>
      <c r="CW242" s="700">
        <f t="shared" si="549"/>
        <v>4.5845000000000002</v>
      </c>
      <c r="CX242" s="701">
        <f t="shared" si="549"/>
        <v>1.178625</v>
      </c>
      <c r="CY242" s="702">
        <f t="shared" si="549"/>
        <v>1.178625</v>
      </c>
      <c r="CZ242" s="702">
        <f t="shared" si="549"/>
        <v>1.243625</v>
      </c>
      <c r="DA242" s="702">
        <f t="shared" si="549"/>
        <v>1.243625</v>
      </c>
      <c r="DB242" s="700">
        <f t="shared" si="549"/>
        <v>4.8445</v>
      </c>
      <c r="DC242" s="263"/>
      <c r="DD242" s="263"/>
      <c r="DE242" s="263"/>
      <c r="DF242" s="263"/>
      <c r="DG242" s="263"/>
      <c r="DH242" s="263"/>
      <c r="DI242" s="263"/>
      <c r="DJ242" s="263"/>
      <c r="DK242" s="412"/>
      <c r="DL242" s="412"/>
      <c r="DM242" s="412"/>
      <c r="DN242"/>
      <c r="DO242"/>
      <c r="DP242"/>
      <c r="DQ242"/>
      <c r="DR242"/>
      <c r="DS242"/>
    </row>
    <row r="243" spans="1:123" s="624" customFormat="1">
      <c r="A243" s="397"/>
      <c r="B243" s="86"/>
      <c r="C243" s="83"/>
      <c r="D243" s="83"/>
      <c r="E243" s="83"/>
      <c r="F243" s="123"/>
      <c r="G243" s="86"/>
      <c r="H243" s="83"/>
      <c r="I243" s="83"/>
      <c r="J243" s="83"/>
      <c r="K243" s="123"/>
      <c r="L243" s="86"/>
      <c r="M243" s="83"/>
      <c r="N243" s="83"/>
      <c r="O243" s="83"/>
      <c r="P243" s="123"/>
      <c r="Q243" s="86"/>
      <c r="R243" s="83"/>
      <c r="S243" s="83"/>
      <c r="T243" s="260"/>
      <c r="U243" s="261"/>
      <c r="V243" s="262"/>
      <c r="W243" s="260"/>
      <c r="X243" s="260"/>
      <c r="Y243" s="260"/>
      <c r="Z243" s="261"/>
      <c r="AA243" s="262"/>
      <c r="AB243" s="263"/>
      <c r="AC243" s="263"/>
      <c r="AD243" s="263"/>
      <c r="AE243" s="264"/>
      <c r="AF243" s="623"/>
      <c r="AG243" s="263"/>
      <c r="AH243" s="263"/>
      <c r="AI243" s="263"/>
      <c r="AJ243" s="264"/>
      <c r="AK243" s="623"/>
      <c r="AL243" s="263"/>
      <c r="AM243" s="263"/>
      <c r="AN243" s="263"/>
      <c r="AO243" s="264"/>
      <c r="AP243" s="623"/>
      <c r="AQ243" s="263"/>
      <c r="AR243" s="263"/>
      <c r="AS243" s="263"/>
      <c r="AT243" s="264"/>
      <c r="AU243" s="623"/>
      <c r="AV243" s="263"/>
      <c r="AW243" s="263"/>
      <c r="AX243" s="263"/>
      <c r="AY243" s="264"/>
      <c r="AZ243" s="623"/>
      <c r="BA243" s="263"/>
      <c r="BB243" s="263"/>
      <c r="BC243" s="263"/>
      <c r="BD243" s="264"/>
      <c r="BE243" s="623"/>
      <c r="BF243" s="263"/>
      <c r="BG243" s="263"/>
      <c r="BH243" s="263"/>
      <c r="BI243" s="264"/>
      <c r="BJ243" s="623"/>
      <c r="BK243" s="263"/>
      <c r="BL243" s="263"/>
      <c r="BM243" s="263"/>
      <c r="BN243" s="264"/>
      <c r="BO243" s="263"/>
      <c r="BP243" s="263"/>
      <c r="BQ243" s="263"/>
      <c r="BR243" s="263"/>
      <c r="BS243" s="697"/>
      <c r="BT243" s="698"/>
      <c r="BU243" s="392"/>
      <c r="BV243" s="392"/>
      <c r="BW243" s="392"/>
      <c r="BX243" s="697">
        <f>+BX242/BS242-1</f>
        <v>0.14522058823529416</v>
      </c>
      <c r="BY243" s="698"/>
      <c r="BZ243" s="392"/>
      <c r="CA243" s="392"/>
      <c r="CB243" s="392"/>
      <c r="CC243" s="697">
        <f>+CC242/BX242-1</f>
        <v>8.9887640449437978E-2</v>
      </c>
      <c r="CD243" s="698"/>
      <c r="CE243" s="392"/>
      <c r="CF243" s="392"/>
      <c r="CG243" s="392"/>
      <c r="CH243" s="697">
        <f>+CH242/CC242-1</f>
        <v>8.9837997054492025E-2</v>
      </c>
      <c r="CI243" s="698"/>
      <c r="CJ243" s="392"/>
      <c r="CK243" s="392"/>
      <c r="CL243" s="392"/>
      <c r="CM243" s="697">
        <f>+CM242/CH242-1</f>
        <v>8.3783783783783816E-2</v>
      </c>
      <c r="CN243" s="698"/>
      <c r="CO243" s="392"/>
      <c r="CP243" s="392"/>
      <c r="CQ243" s="392"/>
      <c r="CR243" s="697">
        <f>+CR242/CM242-1</f>
        <v>7.8428927680798122E-2</v>
      </c>
      <c r="CS243" s="698"/>
      <c r="CT243" s="392"/>
      <c r="CU243" s="392"/>
      <c r="CV243" s="392"/>
      <c r="CW243" s="697">
        <f>+CW242/CR242-1</f>
        <v>6.0122557521100628E-2</v>
      </c>
      <c r="CX243" s="698"/>
      <c r="CY243" s="392"/>
      <c r="CZ243" s="392"/>
      <c r="DA243" s="392"/>
      <c r="DB243" s="697">
        <f>+DB242/CW242-1</f>
        <v>5.6712836732468075E-2</v>
      </c>
      <c r="DC243" s="263"/>
      <c r="DD243" s="263"/>
      <c r="DE243" s="263"/>
      <c r="DF243" s="263"/>
      <c r="DG243" s="263"/>
      <c r="DH243" s="263"/>
      <c r="DI243" s="263"/>
      <c r="DJ243" s="263"/>
      <c r="DK243" s="412"/>
      <c r="DL243" s="412"/>
      <c r="DM243" s="412"/>
      <c r="DN243"/>
      <c r="DO243"/>
      <c r="DP243"/>
      <c r="DQ243"/>
      <c r="DR243"/>
      <c r="DS243"/>
    </row>
    <row r="244" spans="1:123" s="624" customFormat="1">
      <c r="A244" s="397" t="s">
        <v>1608</v>
      </c>
      <c r="B244" s="86"/>
      <c r="C244" s="83"/>
      <c r="D244" s="83"/>
      <c r="E244" s="83"/>
      <c r="F244" s="123"/>
      <c r="G244" s="86"/>
      <c r="H244" s="83"/>
      <c r="I244" s="83"/>
      <c r="J244" s="83"/>
      <c r="K244" s="123"/>
      <c r="L244" s="86"/>
      <c r="M244" s="83"/>
      <c r="N244" s="83"/>
      <c r="O244" s="83"/>
      <c r="P244" s="123"/>
      <c r="Q244" s="86"/>
      <c r="R244" s="83"/>
      <c r="S244" s="83"/>
      <c r="T244" s="260"/>
      <c r="U244" s="261"/>
      <c r="V244" s="262"/>
      <c r="W244" s="260"/>
      <c r="X244" s="260"/>
      <c r="Y244" s="260"/>
      <c r="Z244" s="261"/>
      <c r="AA244" s="262"/>
      <c r="AB244" s="263"/>
      <c r="AC244" s="263"/>
      <c r="AD244" s="263"/>
      <c r="AE244" s="264"/>
      <c r="AF244" s="623"/>
      <c r="AG244" s="263"/>
      <c r="AH244" s="263"/>
      <c r="AI244" s="263"/>
      <c r="AJ244" s="264"/>
      <c r="AK244" s="623"/>
      <c r="AL244" s="263"/>
      <c r="AM244" s="263"/>
      <c r="AN244" s="263"/>
      <c r="AO244" s="264"/>
      <c r="AP244" s="623"/>
      <c r="AQ244" s="263"/>
      <c r="AR244" s="263"/>
      <c r="AS244" s="263"/>
      <c r="AT244" s="264"/>
      <c r="AU244" s="623"/>
      <c r="AV244" s="263"/>
      <c r="AW244" s="263"/>
      <c r="AX244" s="263"/>
      <c r="AY244" s="264"/>
      <c r="AZ244" s="623"/>
      <c r="BA244" s="263"/>
      <c r="BB244" s="263"/>
      <c r="BC244" s="263"/>
      <c r="BD244" s="264"/>
      <c r="BE244" s="623"/>
      <c r="BF244" s="263"/>
      <c r="BG244" s="263"/>
      <c r="BH244" s="263"/>
      <c r="BI244" s="264"/>
      <c r="BJ244" s="623"/>
      <c r="BK244" s="263"/>
      <c r="BL244" s="263"/>
      <c r="BM244" s="263"/>
      <c r="BN244" s="264"/>
      <c r="BO244" s="668">
        <f t="shared" ref="BO244:DB244" si="550">+BO239/BO242</f>
        <v>2.4677915153043162</v>
      </c>
      <c r="BP244" s="668">
        <f t="shared" si="550"/>
        <v>2.5076627418050714</v>
      </c>
      <c r="BQ244" s="668">
        <f t="shared" si="550"/>
        <v>1.2757452459136167</v>
      </c>
      <c r="BR244" s="668">
        <f t="shared" si="550"/>
        <v>1.2741488532559366</v>
      </c>
      <c r="BS244" s="694">
        <f t="shared" si="550"/>
        <v>1.701682972166235</v>
      </c>
      <c r="BT244" s="695">
        <f t="shared" si="550"/>
        <v>1.5088422268269344</v>
      </c>
      <c r="BU244" s="696">
        <f t="shared" si="550"/>
        <v>1.3474763939788479</v>
      </c>
      <c r="BV244" s="696">
        <f t="shared" si="550"/>
        <v>1.269820625251642</v>
      </c>
      <c r="BW244" s="696">
        <f t="shared" si="550"/>
        <v>1.254255971817686</v>
      </c>
      <c r="BX244" s="694">
        <f>+BX239/BX242</f>
        <v>1.3414990714668173</v>
      </c>
      <c r="BY244" s="695">
        <f t="shared" si="550"/>
        <v>1.405546293705054</v>
      </c>
      <c r="BZ244" s="696">
        <f t="shared" si="550"/>
        <v>1.3428796686077695</v>
      </c>
      <c r="CA244" s="696">
        <f t="shared" si="550"/>
        <v>1.2509971667409974</v>
      </c>
      <c r="CB244" s="696">
        <f t="shared" si="550"/>
        <v>1.2346787621167272</v>
      </c>
      <c r="CC244" s="694">
        <f t="shared" si="550"/>
        <v>1.3057199680171592</v>
      </c>
      <c r="CD244" s="695">
        <f t="shared" si="550"/>
        <v>1.3006555804710624</v>
      </c>
      <c r="CE244" s="696">
        <f t="shared" si="550"/>
        <v>1.2762982273284664</v>
      </c>
      <c r="CF244" s="696">
        <f t="shared" si="550"/>
        <v>1.2170554999520926</v>
      </c>
      <c r="CG244" s="696">
        <f t="shared" si="550"/>
        <v>1.3028030094828558</v>
      </c>
      <c r="CH244" s="694">
        <f t="shared" si="550"/>
        <v>1.2735858328398133</v>
      </c>
      <c r="CI244" s="695">
        <f t="shared" si="550"/>
        <v>1.2637028693966847</v>
      </c>
      <c r="CJ244" s="696">
        <f t="shared" si="550"/>
        <v>1.2713090351542498</v>
      </c>
      <c r="CK244" s="696">
        <f t="shared" si="550"/>
        <v>1.2075918275711657</v>
      </c>
      <c r="CL244" s="696">
        <f t="shared" si="550"/>
        <v>1.3306401900563494</v>
      </c>
      <c r="CM244" s="694">
        <f t="shared" si="550"/>
        <v>1.2683410938215134</v>
      </c>
      <c r="CN244" s="695">
        <f t="shared" si="550"/>
        <v>1.1902831398390248</v>
      </c>
      <c r="CO244" s="696">
        <f t="shared" si="550"/>
        <v>1.2065411767977636</v>
      </c>
      <c r="CP244" s="696">
        <f t="shared" si="550"/>
        <v>1.1599674526938195</v>
      </c>
      <c r="CQ244" s="696">
        <f t="shared" si="550"/>
        <v>1.3132217810312483</v>
      </c>
      <c r="CR244" s="694">
        <f t="shared" si="550"/>
        <v>1.2180772943554936</v>
      </c>
      <c r="CS244" s="695">
        <f t="shared" si="550"/>
        <v>1.1316121246848347</v>
      </c>
      <c r="CT244" s="696">
        <f t="shared" si="550"/>
        <v>1.1472786353261417</v>
      </c>
      <c r="CU244" s="696">
        <f t="shared" si="550"/>
        <v>1.1067972422256247</v>
      </c>
      <c r="CV244" s="696">
        <f t="shared" si="550"/>
        <v>1.2870980231540332</v>
      </c>
      <c r="CW244" s="694">
        <f t="shared" si="550"/>
        <v>1.1690117853147173</v>
      </c>
      <c r="CX244" s="695">
        <f t="shared" si="550"/>
        <v>1.1080023112589075</v>
      </c>
      <c r="CY244" s="696">
        <f t="shared" si="550"/>
        <v>1.1235935875287135</v>
      </c>
      <c r="CZ244" s="696">
        <f t="shared" si="550"/>
        <v>1.0870703305978493</v>
      </c>
      <c r="DA244" s="696">
        <f t="shared" si="550"/>
        <v>1.2712814981139813</v>
      </c>
      <c r="DB244" s="694">
        <f t="shared" si="550"/>
        <v>1.1483372916070409</v>
      </c>
      <c r="DC244" s="263"/>
      <c r="DD244" s="263"/>
      <c r="DE244" s="263"/>
      <c r="DF244" s="263"/>
      <c r="DG244" s="263"/>
      <c r="DH244" s="263"/>
      <c r="DI244" s="263"/>
      <c r="DJ244" s="263"/>
      <c r="DK244" s="412"/>
      <c r="DL244" s="412"/>
      <c r="DM244" s="412"/>
      <c r="DN244"/>
      <c r="DO244"/>
      <c r="DP244"/>
      <c r="DQ244"/>
      <c r="DR244"/>
      <c r="DS244"/>
    </row>
    <row r="245" spans="1:123" s="624" customFormat="1">
      <c r="A245" s="397"/>
      <c r="B245" s="86"/>
      <c r="C245" s="83"/>
      <c r="D245" s="83"/>
      <c r="E245" s="83"/>
      <c r="F245" s="123"/>
      <c r="G245" s="86"/>
      <c r="H245" s="83"/>
      <c r="I245" s="83"/>
      <c r="J245" s="83"/>
      <c r="K245" s="123"/>
      <c r="L245" s="86"/>
      <c r="M245" s="83"/>
      <c r="N245" s="83"/>
      <c r="O245" s="83"/>
      <c r="P245" s="123"/>
      <c r="Q245" s="86"/>
      <c r="R245" s="83"/>
      <c r="S245" s="83"/>
      <c r="T245" s="260"/>
      <c r="U245" s="261"/>
      <c r="V245" s="262"/>
      <c r="W245" s="260"/>
      <c r="X245" s="260"/>
      <c r="Y245" s="260"/>
      <c r="Z245" s="261"/>
      <c r="AA245" s="262"/>
      <c r="AB245" s="263"/>
      <c r="AC245" s="263"/>
      <c r="AD245" s="263"/>
      <c r="AE245" s="264"/>
      <c r="AF245" s="623"/>
      <c r="AG245" s="263"/>
      <c r="AH245" s="263"/>
      <c r="AI245" s="263"/>
      <c r="AJ245" s="264"/>
      <c r="AK245" s="623"/>
      <c r="AL245" s="263"/>
      <c r="AM245" s="263"/>
      <c r="AN245" s="263"/>
      <c r="AO245" s="264"/>
      <c r="AP245" s="623"/>
      <c r="AQ245" s="263"/>
      <c r="AR245" s="263"/>
      <c r="AS245" s="263"/>
      <c r="AT245" s="264"/>
      <c r="AU245" s="623"/>
      <c r="AV245" s="263"/>
      <c r="AW245" s="263"/>
      <c r="AX245" s="263"/>
      <c r="AY245" s="264"/>
      <c r="AZ245" s="623"/>
      <c r="BA245" s="263"/>
      <c r="BB245" s="263"/>
      <c r="BC245" s="263"/>
      <c r="BD245" s="264"/>
      <c r="BE245" s="623"/>
      <c r="BF245" s="263"/>
      <c r="BG245" s="263"/>
      <c r="BH245" s="263"/>
      <c r="BI245" s="264"/>
      <c r="BJ245" s="623"/>
      <c r="BK245" s="263"/>
      <c r="BL245" s="263"/>
      <c r="BM245" s="263"/>
      <c r="BN245" s="264"/>
      <c r="BO245" s="263"/>
      <c r="BP245" s="263"/>
      <c r="BQ245" s="263"/>
      <c r="BR245" s="263"/>
      <c r="BS245" s="662"/>
      <c r="BT245" s="623"/>
      <c r="BU245" s="263"/>
      <c r="BV245" s="263"/>
      <c r="BW245" s="263"/>
      <c r="BX245" s="662"/>
      <c r="BY245" s="623"/>
      <c r="BZ245" s="263"/>
      <c r="CA245" s="263"/>
      <c r="CB245" s="263"/>
      <c r="CC245" s="662"/>
      <c r="CD245" s="623"/>
      <c r="CE245" s="263"/>
      <c r="CF245" s="263"/>
      <c r="CG245" s="263"/>
      <c r="CH245" s="662"/>
      <c r="CI245" s="623"/>
      <c r="CJ245" s="263"/>
      <c r="CK245" s="263"/>
      <c r="CL245" s="263"/>
      <c r="CM245" s="662"/>
      <c r="CN245" s="623"/>
      <c r="CO245" s="263"/>
      <c r="CP245" s="263"/>
      <c r="CQ245" s="263"/>
      <c r="CR245" s="662"/>
      <c r="CS245" s="623"/>
      <c r="CT245" s="263"/>
      <c r="CU245" s="263"/>
      <c r="CV245" s="263"/>
      <c r="CW245" s="662"/>
      <c r="CX245" s="623"/>
      <c r="CY245" s="263"/>
      <c r="CZ245" s="263"/>
      <c r="DA245" s="263"/>
      <c r="DB245" s="662"/>
      <c r="DC245" s="263"/>
      <c r="DD245" s="263"/>
      <c r="DE245" s="263"/>
      <c r="DF245" s="263"/>
      <c r="DG245" s="263"/>
      <c r="DH245" s="263"/>
      <c r="DI245" s="263"/>
      <c r="DJ245" s="263"/>
      <c r="DK245" s="412"/>
      <c r="DL245" s="412"/>
      <c r="DM245" s="412"/>
      <c r="DN245"/>
      <c r="DO245"/>
      <c r="DP245"/>
      <c r="DQ245"/>
      <c r="DR245"/>
      <c r="DS245"/>
    </row>
    <row r="246" spans="1:123" s="624" customFormat="1">
      <c r="A246" s="397" t="s">
        <v>1609</v>
      </c>
      <c r="B246" s="86"/>
      <c r="C246" s="83"/>
      <c r="D246" s="83"/>
      <c r="E246" s="83"/>
      <c r="F246" s="123"/>
      <c r="G246" s="86"/>
      <c r="H246" s="83"/>
      <c r="I246" s="83"/>
      <c r="J246" s="83"/>
      <c r="K246" s="123"/>
      <c r="L246" s="86"/>
      <c r="M246" s="83"/>
      <c r="N246" s="83"/>
      <c r="O246" s="83"/>
      <c r="P246" s="123"/>
      <c r="Q246" s="86"/>
      <c r="R246" s="83"/>
      <c r="S246" s="83"/>
      <c r="T246" s="260"/>
      <c r="U246" s="261"/>
      <c r="V246" s="262"/>
      <c r="W246" s="260"/>
      <c r="X246" s="260"/>
      <c r="Y246" s="260"/>
      <c r="Z246" s="261"/>
      <c r="AA246" s="262"/>
      <c r="AB246" s="263"/>
      <c r="AC246" s="263"/>
      <c r="AD246" s="263"/>
      <c r="AE246" s="264"/>
      <c r="AF246" s="623"/>
      <c r="AG246" s="263"/>
      <c r="AH246" s="263"/>
      <c r="AI246" s="263"/>
      <c r="AJ246" s="264"/>
      <c r="AK246" s="623"/>
      <c r="AL246" s="263"/>
      <c r="AM246" s="263"/>
      <c r="AN246" s="263"/>
      <c r="AO246" s="264"/>
      <c r="AP246" s="623"/>
      <c r="AQ246" s="263"/>
      <c r="AR246" s="263"/>
      <c r="AS246" s="263"/>
      <c r="AT246" s="264"/>
      <c r="AU246" s="623"/>
      <c r="AV246" s="263"/>
      <c r="AW246" s="263"/>
      <c r="AX246" s="263"/>
      <c r="AY246" s="264"/>
      <c r="AZ246" s="623"/>
      <c r="BA246" s="263"/>
      <c r="BB246" s="263"/>
      <c r="BC246" s="263"/>
      <c r="BD246" s="264"/>
      <c r="BE246" s="623"/>
      <c r="BF246" s="263"/>
      <c r="BG246" s="263"/>
      <c r="BH246" s="263"/>
      <c r="BI246" s="264"/>
      <c r="BJ246" s="666">
        <f>+BJ59</f>
        <v>211071</v>
      </c>
      <c r="BK246" s="666">
        <f>+BK59</f>
        <v>211075</v>
      </c>
      <c r="BL246" s="666">
        <f>+BL59</f>
        <v>212870</v>
      </c>
      <c r="BM246" s="666">
        <f>+BM59</f>
        <v>212383</v>
      </c>
      <c r="BN246" s="675">
        <f>+AVERAGE(BJ246:BM246)</f>
        <v>211849.75</v>
      </c>
      <c r="BO246" s="666">
        <f>+BO59</f>
        <v>213602</v>
      </c>
      <c r="BP246" s="666">
        <f>+BP59</f>
        <v>214012</v>
      </c>
      <c r="BQ246" s="666">
        <f>+BQ59</f>
        <v>383419</v>
      </c>
      <c r="BR246" s="666">
        <f>+BR59</f>
        <v>385586</v>
      </c>
      <c r="BS246" s="675">
        <f>+AVERAGE(BO246:BR246)</f>
        <v>299154.75</v>
      </c>
      <c r="BT246" s="94">
        <f>+BT59</f>
        <v>404586</v>
      </c>
      <c r="BU246" s="666">
        <f>+BU59</f>
        <v>404586</v>
      </c>
      <c r="BV246" s="666">
        <f>+BV59</f>
        <v>404586</v>
      </c>
      <c r="BW246" s="666">
        <f>+BW59</f>
        <v>404586</v>
      </c>
      <c r="BX246" s="675">
        <f>+AVERAGE(BT246:BW246)</f>
        <v>404586</v>
      </c>
      <c r="BY246" s="94">
        <f>+BY59</f>
        <v>404586</v>
      </c>
      <c r="BZ246" s="666">
        <f>+BZ59</f>
        <v>404586</v>
      </c>
      <c r="CA246" s="666">
        <f>+CA59</f>
        <v>404586</v>
      </c>
      <c r="CB246" s="666">
        <f>+CB59</f>
        <v>404586</v>
      </c>
      <c r="CC246" s="675">
        <f>+AVERAGE(BY246:CB246)</f>
        <v>404586</v>
      </c>
      <c r="CD246" s="94">
        <f>+CD59</f>
        <v>404586</v>
      </c>
      <c r="CE246" s="666">
        <f>+CE59</f>
        <v>404586</v>
      </c>
      <c r="CF246" s="666">
        <f>+CF59</f>
        <v>404586</v>
      </c>
      <c r="CG246" s="666">
        <f>+CG59</f>
        <v>404586</v>
      </c>
      <c r="CH246" s="675">
        <f>+AVERAGE(CD246:CG246)</f>
        <v>404586</v>
      </c>
      <c r="CI246" s="94">
        <f>+CI59</f>
        <v>404586</v>
      </c>
      <c r="CJ246" s="666">
        <f>+CJ59</f>
        <v>404586</v>
      </c>
      <c r="CK246" s="666">
        <f>+CK59</f>
        <v>404586</v>
      </c>
      <c r="CL246" s="666">
        <f>+CL59</f>
        <v>404586</v>
      </c>
      <c r="CM246" s="675">
        <f>+AVERAGE(CI246:CL246)</f>
        <v>404586</v>
      </c>
      <c r="CN246" s="94">
        <f>+CN59</f>
        <v>404586</v>
      </c>
      <c r="CO246" s="666">
        <f>+CO59</f>
        <v>404586</v>
      </c>
      <c r="CP246" s="666">
        <f>+CP59</f>
        <v>404586</v>
      </c>
      <c r="CQ246" s="666">
        <f>+CQ59</f>
        <v>404586</v>
      </c>
      <c r="CR246" s="675">
        <f>+AVERAGE(CN246:CQ246)</f>
        <v>404586</v>
      </c>
      <c r="CS246" s="94">
        <f>+CS59</f>
        <v>404586</v>
      </c>
      <c r="CT246" s="666">
        <f>+CT59</f>
        <v>404586</v>
      </c>
      <c r="CU246" s="666">
        <f>+CU59</f>
        <v>404586</v>
      </c>
      <c r="CV246" s="666">
        <f>+CV59</f>
        <v>404586</v>
      </c>
      <c r="CW246" s="675">
        <f>+AVERAGE(CS246:CV246)</f>
        <v>404586</v>
      </c>
      <c r="CX246" s="94">
        <f>+CX59</f>
        <v>404586</v>
      </c>
      <c r="CY246" s="666">
        <f>+CY59</f>
        <v>404586</v>
      </c>
      <c r="CZ246" s="666">
        <f>+CZ59</f>
        <v>404586</v>
      </c>
      <c r="DA246" s="666">
        <f>+DA59</f>
        <v>404586</v>
      </c>
      <c r="DB246" s="675">
        <f>+AVERAGE(CX246:DA246)</f>
        <v>404586</v>
      </c>
      <c r="DC246" s="263"/>
      <c r="DD246" s="263"/>
      <c r="DE246" s="263"/>
      <c r="DF246" s="263"/>
      <c r="DG246" s="263"/>
      <c r="DH246" s="263"/>
      <c r="DI246" s="263"/>
      <c r="DJ246" s="263"/>
      <c r="DK246" s="412"/>
      <c r="DL246" s="412"/>
      <c r="DM246" s="412"/>
      <c r="DN246"/>
      <c r="DO246"/>
      <c r="DP246"/>
      <c r="DQ246"/>
      <c r="DR246"/>
      <c r="DS246"/>
    </row>
    <row r="247" spans="1:123" s="624" customFormat="1">
      <c r="A247" s="397"/>
      <c r="B247" s="86"/>
      <c r="C247" s="83"/>
      <c r="D247" s="83"/>
      <c r="E247" s="83"/>
      <c r="F247" s="123"/>
      <c r="G247" s="86"/>
      <c r="H247" s="83"/>
      <c r="I247" s="83"/>
      <c r="J247" s="83"/>
      <c r="K247" s="123"/>
      <c r="L247" s="86"/>
      <c r="M247" s="83"/>
      <c r="N247" s="83"/>
      <c r="O247" s="83"/>
      <c r="P247" s="123"/>
      <c r="Q247" s="86"/>
      <c r="R247" s="83"/>
      <c r="S247" s="83"/>
      <c r="T247" s="260"/>
      <c r="U247" s="261"/>
      <c r="V247" s="262"/>
      <c r="W247" s="260"/>
      <c r="X247" s="260"/>
      <c r="Y247" s="260"/>
      <c r="Z247" s="261"/>
      <c r="AA247" s="262"/>
      <c r="AB247" s="263"/>
      <c r="AC247" s="263"/>
      <c r="AD247" s="263"/>
      <c r="AE247" s="264"/>
      <c r="AF247" s="623"/>
      <c r="AG247" s="263"/>
      <c r="AH247" s="263"/>
      <c r="AI247" s="263"/>
      <c r="AJ247" s="264"/>
      <c r="AK247" s="623"/>
      <c r="AL247" s="263"/>
      <c r="AM247" s="263"/>
      <c r="AN247" s="263"/>
      <c r="AO247" s="264"/>
      <c r="AP247" s="623"/>
      <c r="AQ247" s="263"/>
      <c r="AR247" s="263"/>
      <c r="AS247" s="263"/>
      <c r="AT247" s="264"/>
      <c r="AU247" s="623"/>
      <c r="AV247" s="263"/>
      <c r="AW247" s="263"/>
      <c r="AX247" s="263"/>
      <c r="AY247" s="264"/>
      <c r="AZ247" s="623"/>
      <c r="BA247" s="263"/>
      <c r="BB247" s="263"/>
      <c r="BC247" s="263"/>
      <c r="BD247" s="264"/>
      <c r="BE247" s="623"/>
      <c r="BF247" s="263"/>
      <c r="BG247" s="263"/>
      <c r="BH247" s="263"/>
      <c r="BI247" s="264"/>
      <c r="BJ247" s="623"/>
      <c r="BK247" s="263"/>
      <c r="BL247" s="263"/>
      <c r="BM247" s="263"/>
      <c r="BN247" s="264"/>
      <c r="BO247" s="623"/>
      <c r="BP247" s="263"/>
      <c r="BQ247" s="263"/>
      <c r="BR247" s="263"/>
      <c r="BS247" s="662"/>
      <c r="BT247" s="623"/>
      <c r="BU247" s="263"/>
      <c r="BV247" s="263"/>
      <c r="BW247" s="263"/>
      <c r="BX247" s="264"/>
      <c r="BY247" s="623"/>
      <c r="BZ247" s="263"/>
      <c r="CA247" s="263"/>
      <c r="CB247" s="263"/>
      <c r="CC247" s="264"/>
      <c r="CD247" s="623"/>
      <c r="CE247" s="263"/>
      <c r="CF247" s="263"/>
      <c r="CG247" s="263"/>
      <c r="CH247" s="264"/>
      <c r="CI247" s="623"/>
      <c r="CJ247" s="263"/>
      <c r="CK247" s="263"/>
      <c r="CL247" s="263"/>
      <c r="CM247" s="264"/>
      <c r="CN247" s="623"/>
      <c r="CO247" s="263"/>
      <c r="CP247" s="263"/>
      <c r="CQ247" s="263"/>
      <c r="CR247" s="264"/>
      <c r="CS247" s="623"/>
      <c r="CT247" s="263"/>
      <c r="CU247" s="263"/>
      <c r="CV247" s="263"/>
      <c r="CW247" s="264"/>
      <c r="CX247" s="623"/>
      <c r="CY247" s="263"/>
      <c r="CZ247" s="263"/>
      <c r="DA247" s="263"/>
      <c r="DB247" s="264"/>
      <c r="DC247" s="263"/>
      <c r="DD247" s="263"/>
      <c r="DE247" s="263"/>
      <c r="DF247" s="263"/>
      <c r="DG247" s="263"/>
      <c r="DH247" s="263"/>
      <c r="DI247" s="263"/>
      <c r="DJ247" s="263"/>
      <c r="DK247" s="412"/>
      <c r="DL247" s="412"/>
      <c r="DM247" s="412"/>
      <c r="DN247"/>
      <c r="DO247"/>
      <c r="DP247"/>
      <c r="DQ247"/>
      <c r="DR247"/>
      <c r="DS247"/>
    </row>
    <row r="248" spans="1:123">
      <c r="A248" s="397"/>
      <c r="B248" s="85"/>
      <c r="C248" s="54"/>
      <c r="D248" s="54"/>
      <c r="E248" s="54"/>
      <c r="F248" s="84"/>
      <c r="G248" s="85"/>
      <c r="H248" s="54"/>
      <c r="I248" s="54"/>
      <c r="J248" s="54"/>
      <c r="K248" s="84"/>
      <c r="L248" s="85"/>
      <c r="M248" s="54"/>
      <c r="N248" s="54"/>
      <c r="O248" s="54"/>
      <c r="P248" s="84"/>
      <c r="Q248" s="85"/>
      <c r="R248" s="54"/>
      <c r="S248" s="54"/>
      <c r="T248" s="38"/>
      <c r="U248" s="133"/>
      <c r="V248" s="244"/>
      <c r="W248" s="38"/>
      <c r="X248" s="38"/>
      <c r="Y248" s="38"/>
      <c r="Z248" s="133"/>
      <c r="AA248" s="244"/>
      <c r="AB248" s="18"/>
      <c r="AC248" s="18"/>
      <c r="AD248" s="18"/>
      <c r="AE248" s="127"/>
      <c r="AF248" s="19"/>
      <c r="AG248" s="18"/>
      <c r="AH248" s="18"/>
      <c r="AI248" s="18"/>
      <c r="AJ248" s="127"/>
      <c r="AK248" s="19"/>
      <c r="AL248" s="18"/>
      <c r="AM248" s="18"/>
      <c r="AN248" s="18"/>
      <c r="AO248" s="127"/>
      <c r="AP248" s="19"/>
      <c r="AQ248" s="18"/>
      <c r="AR248" s="18"/>
      <c r="AS248" s="18"/>
      <c r="AT248" s="127"/>
      <c r="AU248" s="19"/>
      <c r="AV248" s="18"/>
      <c r="AW248" s="18"/>
      <c r="AX248" s="18"/>
      <c r="AY248" s="127"/>
      <c r="AZ248" s="19"/>
      <c r="BA248" s="18"/>
      <c r="BB248" s="18"/>
      <c r="BC248" s="18"/>
      <c r="BD248" s="127"/>
      <c r="BE248" s="19"/>
      <c r="BF248" s="18"/>
      <c r="BG248" s="18"/>
      <c r="BH248" s="18"/>
      <c r="BI248" s="127"/>
      <c r="BJ248" s="19"/>
      <c r="BK248" s="18"/>
      <c r="BL248" s="18"/>
      <c r="BM248" s="18"/>
      <c r="BN248" s="127"/>
      <c r="BO248" s="19"/>
      <c r="BP248" s="18"/>
      <c r="BQ248" s="18"/>
      <c r="BR248" s="18"/>
      <c r="BS248" s="127"/>
      <c r="BT248" s="19"/>
      <c r="BU248" s="18"/>
      <c r="BV248" s="18"/>
      <c r="BW248" s="18"/>
      <c r="BX248" s="127"/>
      <c r="BY248" s="19"/>
      <c r="BZ248" s="18"/>
      <c r="CA248" s="18"/>
      <c r="CB248" s="18"/>
      <c r="CC248" s="127"/>
      <c r="CD248" s="19"/>
      <c r="CE248" s="18"/>
      <c r="CF248" s="18"/>
      <c r="CG248" s="18"/>
      <c r="CH248" s="127"/>
      <c r="CI248" s="19"/>
      <c r="CJ248" s="18"/>
      <c r="CK248" s="18"/>
      <c r="CL248" s="18"/>
      <c r="CM248" s="127"/>
      <c r="CN248" s="19"/>
      <c r="CO248" s="18"/>
      <c r="CP248" s="18"/>
      <c r="CQ248" s="18"/>
      <c r="CR248" s="127"/>
      <c r="CS248" s="19"/>
      <c r="CT248" s="18"/>
      <c r="CU248" s="18"/>
      <c r="CV248" s="18"/>
      <c r="CW248" s="127"/>
      <c r="CX248" s="19"/>
      <c r="CY248" s="18"/>
      <c r="CZ248" s="18"/>
      <c r="DA248" s="18"/>
      <c r="DB248" s="127"/>
      <c r="DC248" s="18"/>
      <c r="DD248" s="18"/>
      <c r="DE248" s="18"/>
      <c r="DF248" s="18"/>
      <c r="DG248" s="18"/>
      <c r="DH248" s="18"/>
      <c r="DI248" s="18"/>
      <c r="DJ248" s="18"/>
      <c r="DK248" s="61"/>
      <c r="DL248" s="61"/>
      <c r="DM248" s="61"/>
    </row>
    <row r="249" spans="1:123">
      <c r="A249" s="12"/>
      <c r="B249" s="85"/>
      <c r="C249" s="54"/>
      <c r="D249" s="54"/>
      <c r="E249" s="54"/>
      <c r="F249" s="84"/>
      <c r="G249" s="85"/>
      <c r="H249" s="54"/>
      <c r="I249" s="54"/>
      <c r="J249" s="54"/>
      <c r="K249" s="84"/>
      <c r="L249" s="85"/>
      <c r="M249" s="54"/>
      <c r="N249" s="54"/>
      <c r="O249" s="54"/>
      <c r="P249" s="84"/>
      <c r="Q249" s="85"/>
      <c r="R249" s="54"/>
      <c r="S249" s="54"/>
      <c r="T249" s="38"/>
      <c r="U249" s="133"/>
      <c r="V249" s="244"/>
      <c r="W249" s="38"/>
      <c r="X249" s="38"/>
      <c r="Y249" s="38"/>
      <c r="Z249" s="133"/>
      <c r="AA249" s="244"/>
      <c r="AB249" s="18"/>
      <c r="AC249" s="18"/>
      <c r="AD249" s="18"/>
      <c r="AE249" s="127"/>
      <c r="AF249" s="19"/>
      <c r="AG249" s="18"/>
      <c r="AH249" s="18"/>
      <c r="AI249" s="18"/>
      <c r="AJ249" s="127"/>
      <c r="AK249" s="19"/>
      <c r="AL249" s="18"/>
      <c r="AM249" s="18"/>
      <c r="AN249" s="18"/>
      <c r="AO249" s="127"/>
      <c r="AP249" s="19"/>
      <c r="AQ249" s="18"/>
      <c r="AR249" s="18"/>
      <c r="AS249" s="18"/>
      <c r="AT249" s="127"/>
      <c r="AU249" s="19"/>
      <c r="AV249" s="18"/>
      <c r="AW249" s="18"/>
      <c r="AX249" s="18"/>
      <c r="AY249" s="127"/>
      <c r="AZ249" s="19"/>
      <c r="BA249" s="18"/>
      <c r="BB249" s="18"/>
      <c r="BC249" s="18"/>
      <c r="BD249" s="127"/>
      <c r="BE249" s="19"/>
      <c r="BF249" s="18"/>
      <c r="BG249" s="18"/>
      <c r="BH249" s="18"/>
      <c r="BI249" s="127"/>
      <c r="BJ249" s="19"/>
      <c r="BK249" s="18"/>
      <c r="BL249" s="18"/>
      <c r="BM249" s="18"/>
      <c r="BN249" s="127"/>
      <c r="BO249" s="19"/>
      <c r="BP249" s="18"/>
      <c r="BQ249" s="18"/>
      <c r="BR249" s="18"/>
      <c r="BS249" s="127"/>
      <c r="BT249" s="19"/>
      <c r="BU249" s="18"/>
      <c r="BV249" s="18"/>
      <c r="BW249" s="18"/>
      <c r="BX249" s="127"/>
      <c r="BY249" s="19"/>
      <c r="BZ249" s="18"/>
      <c r="CA249" s="18"/>
      <c r="CB249" s="18"/>
      <c r="CC249" s="127"/>
      <c r="CD249" s="19"/>
      <c r="CE249" s="18"/>
      <c r="CF249" s="18"/>
      <c r="CG249" s="18"/>
      <c r="CH249" s="127"/>
      <c r="CI249" s="19"/>
      <c r="CJ249" s="18"/>
      <c r="CK249" s="18"/>
      <c r="CL249" s="18"/>
      <c r="CM249" s="127"/>
      <c r="CN249" s="19"/>
      <c r="CO249" s="18"/>
      <c r="CP249" s="18"/>
      <c r="CQ249" s="18"/>
      <c r="CR249" s="127"/>
      <c r="CS249" s="19"/>
      <c r="CT249" s="18"/>
      <c r="CU249" s="18"/>
      <c r="CV249" s="18"/>
      <c r="CW249" s="127"/>
      <c r="CX249" s="19"/>
      <c r="CY249" s="18"/>
      <c r="CZ249" s="18"/>
      <c r="DA249" s="18"/>
      <c r="DB249" s="127"/>
      <c r="DC249" s="18"/>
      <c r="DD249" s="18"/>
      <c r="DE249" s="18"/>
      <c r="DF249" s="18"/>
      <c r="DG249" s="18"/>
      <c r="DH249" s="18"/>
      <c r="DI249" s="18"/>
      <c r="DJ249" s="18"/>
      <c r="DK249" s="61"/>
      <c r="DL249" s="61"/>
      <c r="DM249" s="61"/>
    </row>
    <row r="250" spans="1:123" outlineLevel="1">
      <c r="A250" s="6" t="s">
        <v>1587</v>
      </c>
      <c r="B250" s="87"/>
      <c r="C250" s="88"/>
      <c r="D250" s="88"/>
      <c r="E250" s="88"/>
      <c r="F250" s="124"/>
      <c r="G250" s="87"/>
      <c r="H250" s="88"/>
      <c r="I250" s="88"/>
      <c r="J250" s="88"/>
      <c r="K250" s="124"/>
      <c r="L250" s="87"/>
      <c r="M250" s="88"/>
      <c r="N250" s="88"/>
      <c r="O250" s="88"/>
      <c r="P250" s="124"/>
      <c r="Q250" s="87"/>
      <c r="R250" s="88"/>
      <c r="S250" s="88"/>
      <c r="T250" s="265"/>
      <c r="U250" s="266"/>
      <c r="V250" s="267"/>
      <c r="W250" s="265"/>
      <c r="X250" s="265"/>
      <c r="Y250" s="265"/>
      <c r="Z250" s="266"/>
      <c r="AA250" s="267"/>
      <c r="AB250" s="23"/>
      <c r="AC250" s="23"/>
      <c r="AD250" s="23"/>
      <c r="AE250" s="136"/>
      <c r="AF250" s="24"/>
      <c r="AG250" s="23"/>
      <c r="AH250" s="23"/>
      <c r="AI250" s="23"/>
      <c r="AJ250" s="136"/>
      <c r="AK250" s="24"/>
      <c r="AL250" s="23"/>
      <c r="AM250" s="23"/>
      <c r="AN250" s="23"/>
      <c r="AO250" s="136"/>
      <c r="AP250" s="24"/>
      <c r="AQ250" s="23"/>
      <c r="AR250" s="23"/>
      <c r="AS250" s="23"/>
      <c r="AT250" s="136"/>
      <c r="AU250" s="24"/>
      <c r="AV250" s="23"/>
      <c r="AW250" s="23"/>
      <c r="AX250" s="23"/>
      <c r="AY250" s="136"/>
      <c r="AZ250" s="24"/>
      <c r="BA250" s="23"/>
      <c r="BB250" s="23"/>
      <c r="BC250" s="23"/>
      <c r="BD250" s="136"/>
      <c r="BE250" s="24"/>
      <c r="BF250" s="23"/>
      <c r="BG250" s="23"/>
      <c r="BH250" s="23"/>
      <c r="BI250" s="136"/>
      <c r="BJ250" s="24"/>
      <c r="BK250" s="23"/>
      <c r="BL250" s="23"/>
      <c r="BM250" s="23"/>
      <c r="BN250" s="136"/>
      <c r="BO250" s="24"/>
      <c r="BP250" s="23"/>
      <c r="BQ250" s="23"/>
      <c r="BR250" s="23"/>
      <c r="BS250" s="136"/>
      <c r="BT250" s="24"/>
      <c r="BU250" s="23"/>
      <c r="BV250" s="23"/>
      <c r="BW250" s="23"/>
      <c r="BX250" s="136"/>
      <c r="BY250" s="24"/>
      <c r="BZ250" s="23"/>
      <c r="CA250" s="23"/>
      <c r="CB250" s="23"/>
      <c r="CC250" s="136"/>
      <c r="CD250" s="24"/>
      <c r="CE250" s="23"/>
      <c r="CF250" s="23"/>
      <c r="CG250" s="23"/>
      <c r="CH250" s="136"/>
      <c r="CI250" s="24"/>
      <c r="CJ250" s="23"/>
      <c r="CK250" s="23"/>
      <c r="CL250" s="23"/>
      <c r="CM250" s="136"/>
      <c r="CN250" s="24"/>
      <c r="CO250" s="23"/>
      <c r="CP250" s="23"/>
      <c r="CQ250" s="23"/>
      <c r="CR250" s="136"/>
      <c r="CS250" s="24"/>
      <c r="CT250" s="23"/>
      <c r="CU250" s="23"/>
      <c r="CV250" s="23"/>
      <c r="CW250" s="136"/>
      <c r="CX250" s="24"/>
      <c r="CY250" s="23"/>
      <c r="CZ250" s="23"/>
      <c r="DA250" s="23"/>
      <c r="DB250" s="136"/>
      <c r="DC250" s="23"/>
      <c r="DD250" s="23"/>
      <c r="DE250" s="23"/>
      <c r="DF250" s="23"/>
      <c r="DG250" s="23"/>
      <c r="DH250" s="23"/>
      <c r="DI250" s="23"/>
      <c r="DJ250" s="23"/>
      <c r="DK250" s="61"/>
      <c r="DL250" s="61"/>
      <c r="DM250" s="61"/>
    </row>
    <row r="251" spans="1:123" outlineLevel="2">
      <c r="A251" s="16" t="s">
        <v>1586</v>
      </c>
      <c r="B251" s="55"/>
      <c r="C251" s="56"/>
      <c r="D251" s="56"/>
      <c r="E251" s="56"/>
      <c r="F251" s="84"/>
      <c r="G251" s="55"/>
      <c r="H251" s="56"/>
      <c r="I251" s="56"/>
      <c r="J251" s="56"/>
      <c r="K251" s="84"/>
      <c r="L251" s="55"/>
      <c r="M251" s="56"/>
      <c r="N251" s="56"/>
      <c r="O251" s="56"/>
      <c r="P251" s="84"/>
      <c r="Q251" s="55"/>
      <c r="R251" s="56"/>
      <c r="S251" s="56"/>
      <c r="T251" s="18"/>
      <c r="U251" s="133"/>
      <c r="V251" s="19"/>
      <c r="W251" s="18"/>
      <c r="X251" s="18"/>
      <c r="Y251" s="18"/>
      <c r="Z251" s="133"/>
      <c r="AA251" s="19"/>
      <c r="AB251" s="18"/>
      <c r="AC251" s="18"/>
      <c r="AD251" s="18"/>
      <c r="AE251" s="133"/>
      <c r="AF251" s="19"/>
      <c r="AG251" s="18"/>
      <c r="AH251" s="18"/>
      <c r="AI251" s="18"/>
      <c r="AJ251" s="133"/>
      <c r="AK251" s="19"/>
      <c r="AL251" s="18"/>
      <c r="AM251" s="18"/>
      <c r="AN251" s="18"/>
      <c r="AO251" s="133"/>
      <c r="AP251" s="19"/>
      <c r="AQ251" s="18"/>
      <c r="AR251" s="18"/>
      <c r="AS251" s="18"/>
      <c r="AT251" s="133"/>
      <c r="AU251" s="19"/>
      <c r="AV251" s="18"/>
      <c r="AW251" s="18"/>
      <c r="AX251" s="18"/>
      <c r="AY251" s="133"/>
      <c r="AZ251" s="19"/>
      <c r="BA251" s="18"/>
      <c r="BB251" s="18"/>
      <c r="BC251" s="18"/>
      <c r="BD251" s="133"/>
      <c r="BE251" s="19"/>
      <c r="BF251" s="18"/>
      <c r="BG251" s="18"/>
      <c r="BH251" s="18"/>
      <c r="BI251" s="133"/>
      <c r="BJ251" s="19"/>
      <c r="BK251" s="18"/>
      <c r="BL251" s="18"/>
      <c r="BM251" s="18"/>
      <c r="BN251" s="133"/>
      <c r="BO251" s="19"/>
      <c r="BP251" s="18"/>
      <c r="BQ251" s="18"/>
      <c r="BR251" s="18"/>
      <c r="BS251" s="133"/>
      <c r="BT251" s="19"/>
      <c r="BU251" s="18"/>
      <c r="BV251" s="18"/>
      <c r="BW251" s="18"/>
      <c r="BX251" s="133"/>
      <c r="BY251" s="19"/>
      <c r="BZ251" s="18"/>
      <c r="CA251" s="18"/>
      <c r="CB251" s="18"/>
      <c r="CC251" s="133"/>
      <c r="CD251" s="19"/>
      <c r="CE251" s="18"/>
      <c r="CF251" s="18"/>
      <c r="CG251" s="18"/>
      <c r="CH251" s="133"/>
      <c r="CI251" s="19"/>
      <c r="CJ251" s="18"/>
      <c r="CK251" s="18"/>
      <c r="CL251" s="18"/>
      <c r="CM251" s="133"/>
      <c r="CN251" s="19"/>
      <c r="CO251" s="18"/>
      <c r="CP251" s="18"/>
      <c r="CQ251" s="18"/>
      <c r="CR251" s="133"/>
      <c r="CS251" s="19"/>
      <c r="CT251" s="18"/>
      <c r="CU251" s="18"/>
      <c r="CV251" s="18"/>
      <c r="CW251" s="133"/>
      <c r="CX251" s="19"/>
      <c r="CY251" s="18"/>
      <c r="CZ251" s="18"/>
      <c r="DA251" s="18"/>
      <c r="DB251" s="133"/>
      <c r="DC251" s="38"/>
      <c r="DD251" s="38"/>
      <c r="DE251" s="38"/>
      <c r="DF251" s="38"/>
      <c r="DG251" s="38"/>
      <c r="DH251" s="38"/>
      <c r="DI251" s="38"/>
      <c r="DJ251" s="38"/>
      <c r="DK251" s="65"/>
      <c r="DL251" s="65"/>
      <c r="DM251" s="61"/>
    </row>
    <row r="252" spans="1:123" outlineLevel="2">
      <c r="A252" s="34" t="s">
        <v>1588</v>
      </c>
      <c r="B252" s="37">
        <v>310750</v>
      </c>
      <c r="C252" s="38">
        <v>342242</v>
      </c>
      <c r="D252" s="38">
        <v>60378</v>
      </c>
      <c r="E252" s="48">
        <f>F252-SUM(B252:D252)</f>
        <v>-457414</v>
      </c>
      <c r="F252" s="133">
        <v>255956</v>
      </c>
      <c r="G252" s="236" t="s">
        <v>277</v>
      </c>
      <c r="H252" s="40" t="s">
        <v>277</v>
      </c>
      <c r="I252" s="39" t="s">
        <v>277</v>
      </c>
      <c r="J252" s="40" t="s">
        <v>277</v>
      </c>
      <c r="K252" s="118" t="s">
        <v>277</v>
      </c>
      <c r="L252" s="236" t="s">
        <v>277</v>
      </c>
      <c r="M252" s="40" t="s">
        <v>277</v>
      </c>
      <c r="N252" s="39" t="s">
        <v>277</v>
      </c>
      <c r="O252" s="40" t="s">
        <v>277</v>
      </c>
      <c r="P252" s="118" t="s">
        <v>277</v>
      </c>
      <c r="Q252" s="236" t="s">
        <v>277</v>
      </c>
      <c r="R252" s="40" t="s">
        <v>277</v>
      </c>
      <c r="S252" s="39" t="s">
        <v>277</v>
      </c>
      <c r="T252" s="40" t="s">
        <v>277</v>
      </c>
      <c r="U252" s="118" t="s">
        <v>277</v>
      </c>
      <c r="V252" s="236" t="s">
        <v>277</v>
      </c>
      <c r="W252" s="40" t="s">
        <v>277</v>
      </c>
      <c r="X252" s="39" t="s">
        <v>277</v>
      </c>
      <c r="Y252" s="40" t="s">
        <v>277</v>
      </c>
      <c r="Z252" s="118" t="s">
        <v>277</v>
      </c>
      <c r="AA252" s="236" t="s">
        <v>277</v>
      </c>
      <c r="AB252" s="40" t="s">
        <v>277</v>
      </c>
      <c r="AC252" s="39" t="s">
        <v>277</v>
      </c>
      <c r="AD252" s="40" t="s">
        <v>277</v>
      </c>
      <c r="AE252" s="118" t="s">
        <v>277</v>
      </c>
      <c r="AF252" s="236" t="s">
        <v>277</v>
      </c>
      <c r="AG252" s="40" t="s">
        <v>277</v>
      </c>
      <c r="AH252" s="39" t="s">
        <v>277</v>
      </c>
      <c r="AI252" s="40" t="s">
        <v>277</v>
      </c>
      <c r="AJ252" s="118" t="s">
        <v>277</v>
      </c>
      <c r="AK252" s="236" t="s">
        <v>277</v>
      </c>
      <c r="AL252" s="40" t="s">
        <v>277</v>
      </c>
      <c r="AM252" s="39" t="s">
        <v>277</v>
      </c>
      <c r="AN252" s="40" t="s">
        <v>277</v>
      </c>
      <c r="AO252" s="118" t="s">
        <v>277</v>
      </c>
      <c r="AP252" s="236" t="s">
        <v>277</v>
      </c>
      <c r="AQ252" s="40" t="s">
        <v>277</v>
      </c>
      <c r="AR252" s="39" t="s">
        <v>277</v>
      </c>
      <c r="AS252" s="40" t="s">
        <v>277</v>
      </c>
      <c r="AT252" s="118" t="s">
        <v>277</v>
      </c>
      <c r="AU252" s="236" t="s">
        <v>277</v>
      </c>
      <c r="AV252" s="40" t="s">
        <v>277</v>
      </c>
      <c r="AW252" s="39" t="s">
        <v>277</v>
      </c>
      <c r="AX252" s="40" t="s">
        <v>277</v>
      </c>
      <c r="AY252" s="118" t="s">
        <v>277</v>
      </c>
      <c r="AZ252" s="236" t="s">
        <v>277</v>
      </c>
      <c r="BA252" s="40" t="s">
        <v>277</v>
      </c>
      <c r="BB252" s="39" t="s">
        <v>277</v>
      </c>
      <c r="BC252" s="40" t="s">
        <v>277</v>
      </c>
      <c r="BD252" s="118" t="s">
        <v>277</v>
      </c>
      <c r="BE252" s="236" t="s">
        <v>277</v>
      </c>
      <c r="BF252" s="40" t="s">
        <v>277</v>
      </c>
      <c r="BG252" s="39" t="s">
        <v>277</v>
      </c>
      <c r="BH252" s="40" t="s">
        <v>277</v>
      </c>
      <c r="BI252" s="118" t="s">
        <v>277</v>
      </c>
      <c r="BJ252" s="236" t="s">
        <v>277</v>
      </c>
      <c r="BK252" s="40" t="s">
        <v>277</v>
      </c>
      <c r="BL252" s="39" t="s">
        <v>277</v>
      </c>
      <c r="BM252" s="40" t="s">
        <v>277</v>
      </c>
      <c r="BN252" s="118" t="s">
        <v>277</v>
      </c>
      <c r="BO252" s="236" t="s">
        <v>277</v>
      </c>
      <c r="BP252" s="40" t="s">
        <v>277</v>
      </c>
      <c r="BQ252" s="39" t="s">
        <v>277</v>
      </c>
      <c r="BR252" s="40" t="s">
        <v>277</v>
      </c>
      <c r="BS252" s="118" t="s">
        <v>277</v>
      </c>
      <c r="BT252" s="236" t="s">
        <v>277</v>
      </c>
      <c r="BU252" s="40" t="s">
        <v>277</v>
      </c>
      <c r="BV252" s="39" t="s">
        <v>277</v>
      </c>
      <c r="BW252" s="40" t="s">
        <v>277</v>
      </c>
      <c r="BX252" s="118" t="s">
        <v>277</v>
      </c>
      <c r="BY252" s="236" t="s">
        <v>277</v>
      </c>
      <c r="BZ252" s="40" t="s">
        <v>277</v>
      </c>
      <c r="CA252" s="39" t="s">
        <v>277</v>
      </c>
      <c r="CB252" s="40" t="s">
        <v>277</v>
      </c>
      <c r="CC252" s="118" t="s">
        <v>277</v>
      </c>
      <c r="CD252" s="236" t="s">
        <v>277</v>
      </c>
      <c r="CE252" s="40" t="s">
        <v>277</v>
      </c>
      <c r="CF252" s="39" t="s">
        <v>277</v>
      </c>
      <c r="CG252" s="40" t="s">
        <v>277</v>
      </c>
      <c r="CH252" s="118" t="s">
        <v>277</v>
      </c>
      <c r="CI252" s="236" t="s">
        <v>277</v>
      </c>
      <c r="CJ252" s="40" t="s">
        <v>277</v>
      </c>
      <c r="CK252" s="39" t="s">
        <v>277</v>
      </c>
      <c r="CL252" s="40" t="s">
        <v>277</v>
      </c>
      <c r="CM252" s="118" t="s">
        <v>277</v>
      </c>
      <c r="CN252" s="236" t="s">
        <v>277</v>
      </c>
      <c r="CO252" s="40" t="s">
        <v>277</v>
      </c>
      <c r="CP252" s="39" t="s">
        <v>277</v>
      </c>
      <c r="CQ252" s="40" t="s">
        <v>277</v>
      </c>
      <c r="CR252" s="118" t="s">
        <v>277</v>
      </c>
      <c r="CS252" s="236" t="s">
        <v>277</v>
      </c>
      <c r="CT252" s="40" t="s">
        <v>277</v>
      </c>
      <c r="CU252" s="39" t="s">
        <v>277</v>
      </c>
      <c r="CV252" s="40" t="s">
        <v>277</v>
      </c>
      <c r="CW252" s="118" t="s">
        <v>277</v>
      </c>
      <c r="CX252" s="236" t="s">
        <v>277</v>
      </c>
      <c r="CY252" s="40" t="s">
        <v>277</v>
      </c>
      <c r="CZ252" s="39" t="s">
        <v>277</v>
      </c>
      <c r="DA252" s="40" t="s">
        <v>277</v>
      </c>
      <c r="DB252" s="118" t="s">
        <v>277</v>
      </c>
      <c r="DC252" s="40"/>
      <c r="DD252" s="40"/>
      <c r="DE252" s="40"/>
      <c r="DF252" s="40"/>
      <c r="DG252" s="40"/>
      <c r="DH252" s="40"/>
      <c r="DI252" s="40"/>
      <c r="DJ252" s="40"/>
      <c r="DK252" s="185"/>
      <c r="DL252" s="185"/>
      <c r="DM252" s="9"/>
    </row>
    <row r="253" spans="1:123" outlineLevel="2">
      <c r="A253" s="34" t="s">
        <v>1589</v>
      </c>
      <c r="B253" s="37">
        <v>140659</v>
      </c>
      <c r="C253" s="38">
        <v>109692</v>
      </c>
      <c r="D253" s="38">
        <v>286413</v>
      </c>
      <c r="E253" s="48">
        <f>F253-SUM(B253:D253)</f>
        <v>546264</v>
      </c>
      <c r="F253" s="133">
        <v>1083028</v>
      </c>
      <c r="G253" s="236" t="s">
        <v>277</v>
      </c>
      <c r="H253" s="40" t="s">
        <v>277</v>
      </c>
      <c r="I253" s="39" t="s">
        <v>277</v>
      </c>
      <c r="J253" s="40" t="s">
        <v>277</v>
      </c>
      <c r="K253" s="118" t="s">
        <v>277</v>
      </c>
      <c r="L253" s="236" t="s">
        <v>277</v>
      </c>
      <c r="M253" s="40" t="s">
        <v>277</v>
      </c>
      <c r="N253" s="39" t="s">
        <v>277</v>
      </c>
      <c r="O253" s="40" t="s">
        <v>277</v>
      </c>
      <c r="P253" s="118" t="s">
        <v>277</v>
      </c>
      <c r="Q253" s="236" t="s">
        <v>277</v>
      </c>
      <c r="R253" s="40" t="s">
        <v>277</v>
      </c>
      <c r="S253" s="39" t="s">
        <v>277</v>
      </c>
      <c r="T253" s="40" t="s">
        <v>277</v>
      </c>
      <c r="U253" s="118" t="s">
        <v>277</v>
      </c>
      <c r="V253" s="236" t="s">
        <v>277</v>
      </c>
      <c r="W253" s="40" t="s">
        <v>277</v>
      </c>
      <c r="X253" s="39" t="s">
        <v>277</v>
      </c>
      <c r="Y253" s="40" t="s">
        <v>277</v>
      </c>
      <c r="Z253" s="118" t="s">
        <v>277</v>
      </c>
      <c r="AA253" s="236" t="s">
        <v>277</v>
      </c>
      <c r="AB253" s="40" t="s">
        <v>277</v>
      </c>
      <c r="AC253" s="39" t="s">
        <v>277</v>
      </c>
      <c r="AD253" s="40" t="s">
        <v>277</v>
      </c>
      <c r="AE253" s="118" t="s">
        <v>277</v>
      </c>
      <c r="AF253" s="236" t="s">
        <v>277</v>
      </c>
      <c r="AG253" s="40" t="s">
        <v>277</v>
      </c>
      <c r="AH253" s="39" t="s">
        <v>277</v>
      </c>
      <c r="AI253" s="40" t="s">
        <v>277</v>
      </c>
      <c r="AJ253" s="118" t="s">
        <v>277</v>
      </c>
      <c r="AK253" s="236" t="s">
        <v>277</v>
      </c>
      <c r="AL253" s="40" t="s">
        <v>277</v>
      </c>
      <c r="AM253" s="39" t="s">
        <v>277</v>
      </c>
      <c r="AN253" s="40" t="s">
        <v>277</v>
      </c>
      <c r="AO253" s="118" t="s">
        <v>277</v>
      </c>
      <c r="AP253" s="236" t="s">
        <v>277</v>
      </c>
      <c r="AQ253" s="40" t="s">
        <v>277</v>
      </c>
      <c r="AR253" s="39" t="s">
        <v>277</v>
      </c>
      <c r="AS253" s="40" t="s">
        <v>277</v>
      </c>
      <c r="AT253" s="118" t="s">
        <v>277</v>
      </c>
      <c r="AU253" s="236" t="s">
        <v>277</v>
      </c>
      <c r="AV253" s="40" t="s">
        <v>277</v>
      </c>
      <c r="AW253" s="39" t="s">
        <v>277</v>
      </c>
      <c r="AX253" s="40" t="s">
        <v>277</v>
      </c>
      <c r="AY253" s="118" t="s">
        <v>277</v>
      </c>
      <c r="AZ253" s="236" t="s">
        <v>277</v>
      </c>
      <c r="BA253" s="40" t="s">
        <v>277</v>
      </c>
      <c r="BB253" s="39" t="s">
        <v>277</v>
      </c>
      <c r="BC253" s="40" t="s">
        <v>277</v>
      </c>
      <c r="BD253" s="118" t="s">
        <v>277</v>
      </c>
      <c r="BE253" s="236" t="s">
        <v>277</v>
      </c>
      <c r="BF253" s="40" t="s">
        <v>277</v>
      </c>
      <c r="BG253" s="39" t="s">
        <v>277</v>
      </c>
      <c r="BH253" s="40" t="s">
        <v>277</v>
      </c>
      <c r="BI253" s="118" t="s">
        <v>277</v>
      </c>
      <c r="BJ253" s="236" t="s">
        <v>277</v>
      </c>
      <c r="BK253" s="40" t="s">
        <v>277</v>
      </c>
      <c r="BL253" s="39" t="s">
        <v>277</v>
      </c>
      <c r="BM253" s="40" t="s">
        <v>277</v>
      </c>
      <c r="BN253" s="118" t="s">
        <v>277</v>
      </c>
      <c r="BO253" s="236" t="s">
        <v>277</v>
      </c>
      <c r="BP253" s="40" t="s">
        <v>277</v>
      </c>
      <c r="BQ253" s="39" t="s">
        <v>277</v>
      </c>
      <c r="BR253" s="40" t="s">
        <v>277</v>
      </c>
      <c r="BS253" s="118" t="s">
        <v>277</v>
      </c>
      <c r="BT253" s="236" t="s">
        <v>277</v>
      </c>
      <c r="BU253" s="40" t="s">
        <v>277</v>
      </c>
      <c r="BV253" s="39" t="s">
        <v>277</v>
      </c>
      <c r="BW253" s="40" t="s">
        <v>277</v>
      </c>
      <c r="BX253" s="118" t="s">
        <v>277</v>
      </c>
      <c r="BY253" s="236" t="s">
        <v>277</v>
      </c>
      <c r="BZ253" s="40" t="s">
        <v>277</v>
      </c>
      <c r="CA253" s="39" t="s">
        <v>277</v>
      </c>
      <c r="CB253" s="40" t="s">
        <v>277</v>
      </c>
      <c r="CC253" s="118" t="s">
        <v>277</v>
      </c>
      <c r="CD253" s="236" t="s">
        <v>277</v>
      </c>
      <c r="CE253" s="40" t="s">
        <v>277</v>
      </c>
      <c r="CF253" s="39" t="s">
        <v>277</v>
      </c>
      <c r="CG253" s="40" t="s">
        <v>277</v>
      </c>
      <c r="CH253" s="118" t="s">
        <v>277</v>
      </c>
      <c r="CI253" s="236" t="s">
        <v>277</v>
      </c>
      <c r="CJ253" s="40" t="s">
        <v>277</v>
      </c>
      <c r="CK253" s="39" t="s">
        <v>277</v>
      </c>
      <c r="CL253" s="40" t="s">
        <v>277</v>
      </c>
      <c r="CM253" s="118" t="s">
        <v>277</v>
      </c>
      <c r="CN253" s="236" t="s">
        <v>277</v>
      </c>
      <c r="CO253" s="40" t="s">
        <v>277</v>
      </c>
      <c r="CP253" s="39" t="s">
        <v>277</v>
      </c>
      <c r="CQ253" s="40" t="s">
        <v>277</v>
      </c>
      <c r="CR253" s="118" t="s">
        <v>277</v>
      </c>
      <c r="CS253" s="236" t="s">
        <v>277</v>
      </c>
      <c r="CT253" s="40" t="s">
        <v>277</v>
      </c>
      <c r="CU253" s="39" t="s">
        <v>277</v>
      </c>
      <c r="CV253" s="40" t="s">
        <v>277</v>
      </c>
      <c r="CW253" s="118" t="s">
        <v>277</v>
      </c>
      <c r="CX253" s="236" t="s">
        <v>277</v>
      </c>
      <c r="CY253" s="40" t="s">
        <v>277</v>
      </c>
      <c r="CZ253" s="39" t="s">
        <v>277</v>
      </c>
      <c r="DA253" s="40" t="s">
        <v>277</v>
      </c>
      <c r="DB253" s="118" t="s">
        <v>277</v>
      </c>
      <c r="DC253" s="40"/>
      <c r="DD253" s="40"/>
      <c r="DE253" s="40"/>
      <c r="DF253" s="40"/>
      <c r="DG253" s="40"/>
      <c r="DH253" s="40"/>
      <c r="DI253" s="40"/>
      <c r="DJ253" s="40"/>
      <c r="DK253" s="185"/>
      <c r="DL253" s="185"/>
      <c r="DM253" s="61"/>
    </row>
    <row r="254" spans="1:123" outlineLevel="2">
      <c r="A254" s="28" t="s">
        <v>1590</v>
      </c>
      <c r="B254" s="160">
        <f>SUM(B252:B253)</f>
        <v>451409</v>
      </c>
      <c r="C254" s="168">
        <f>SUM(C252:C253)</f>
        <v>451934</v>
      </c>
      <c r="D254" s="168">
        <f>SUM(D252:D253)</f>
        <v>346791</v>
      </c>
      <c r="E254" s="168">
        <f>SUM(E252:E253)</f>
        <v>88850</v>
      </c>
      <c r="F254" s="235">
        <f>SUM(F252:F253)</f>
        <v>1338984</v>
      </c>
      <c r="G254" s="236" t="s">
        <v>277</v>
      </c>
      <c r="H254" s="40" t="s">
        <v>277</v>
      </c>
      <c r="I254" s="39" t="s">
        <v>277</v>
      </c>
      <c r="J254" s="40" t="s">
        <v>277</v>
      </c>
      <c r="K254" s="118" t="s">
        <v>277</v>
      </c>
      <c r="L254" s="236" t="s">
        <v>277</v>
      </c>
      <c r="M254" s="40" t="s">
        <v>277</v>
      </c>
      <c r="N254" s="39" t="s">
        <v>277</v>
      </c>
      <c r="O254" s="40" t="s">
        <v>277</v>
      </c>
      <c r="P254" s="118" t="s">
        <v>277</v>
      </c>
      <c r="Q254" s="236" t="s">
        <v>277</v>
      </c>
      <c r="R254" s="40" t="s">
        <v>277</v>
      </c>
      <c r="S254" s="39" t="s">
        <v>277</v>
      </c>
      <c r="T254" s="40" t="s">
        <v>277</v>
      </c>
      <c r="U254" s="118" t="s">
        <v>277</v>
      </c>
      <c r="V254" s="236" t="s">
        <v>277</v>
      </c>
      <c r="W254" s="40" t="s">
        <v>277</v>
      </c>
      <c r="X254" s="39" t="s">
        <v>277</v>
      </c>
      <c r="Y254" s="40" t="s">
        <v>277</v>
      </c>
      <c r="Z254" s="118" t="s">
        <v>277</v>
      </c>
      <c r="AA254" s="236" t="s">
        <v>277</v>
      </c>
      <c r="AB254" s="40" t="s">
        <v>277</v>
      </c>
      <c r="AC254" s="39" t="s">
        <v>277</v>
      </c>
      <c r="AD254" s="40" t="s">
        <v>277</v>
      </c>
      <c r="AE254" s="118" t="s">
        <v>277</v>
      </c>
      <c r="AF254" s="236" t="s">
        <v>277</v>
      </c>
      <c r="AG254" s="40" t="s">
        <v>277</v>
      </c>
      <c r="AH254" s="39" t="s">
        <v>277</v>
      </c>
      <c r="AI254" s="40" t="s">
        <v>277</v>
      </c>
      <c r="AJ254" s="118" t="s">
        <v>277</v>
      </c>
      <c r="AK254" s="236" t="s">
        <v>277</v>
      </c>
      <c r="AL254" s="40" t="s">
        <v>277</v>
      </c>
      <c r="AM254" s="39" t="s">
        <v>277</v>
      </c>
      <c r="AN254" s="40" t="s">
        <v>277</v>
      </c>
      <c r="AO254" s="118" t="s">
        <v>277</v>
      </c>
      <c r="AP254" s="236" t="s">
        <v>277</v>
      </c>
      <c r="AQ254" s="40" t="s">
        <v>277</v>
      </c>
      <c r="AR254" s="39" t="s">
        <v>277</v>
      </c>
      <c r="AS254" s="40" t="s">
        <v>277</v>
      </c>
      <c r="AT254" s="118" t="s">
        <v>277</v>
      </c>
      <c r="AU254" s="236" t="s">
        <v>277</v>
      </c>
      <c r="AV254" s="40" t="s">
        <v>277</v>
      </c>
      <c r="AW254" s="39" t="s">
        <v>277</v>
      </c>
      <c r="AX254" s="40" t="s">
        <v>277</v>
      </c>
      <c r="AY254" s="118" t="s">
        <v>277</v>
      </c>
      <c r="AZ254" s="236" t="s">
        <v>277</v>
      </c>
      <c r="BA254" s="40" t="s">
        <v>277</v>
      </c>
      <c r="BB254" s="39" t="s">
        <v>277</v>
      </c>
      <c r="BC254" s="40" t="s">
        <v>277</v>
      </c>
      <c r="BD254" s="118" t="s">
        <v>277</v>
      </c>
      <c r="BE254" s="236" t="s">
        <v>277</v>
      </c>
      <c r="BF254" s="40" t="s">
        <v>277</v>
      </c>
      <c r="BG254" s="39" t="s">
        <v>277</v>
      </c>
      <c r="BH254" s="40" t="s">
        <v>277</v>
      </c>
      <c r="BI254" s="118" t="s">
        <v>277</v>
      </c>
      <c r="BJ254" s="236" t="s">
        <v>277</v>
      </c>
      <c r="BK254" s="40" t="s">
        <v>277</v>
      </c>
      <c r="BL254" s="39" t="s">
        <v>277</v>
      </c>
      <c r="BM254" s="40" t="s">
        <v>277</v>
      </c>
      <c r="BN254" s="118" t="s">
        <v>277</v>
      </c>
      <c r="BO254" s="236" t="s">
        <v>277</v>
      </c>
      <c r="BP254" s="40" t="s">
        <v>277</v>
      </c>
      <c r="BQ254" s="39" t="s">
        <v>277</v>
      </c>
      <c r="BR254" s="40" t="s">
        <v>277</v>
      </c>
      <c r="BS254" s="118" t="s">
        <v>277</v>
      </c>
      <c r="BT254" s="236" t="s">
        <v>277</v>
      </c>
      <c r="BU254" s="40" t="s">
        <v>277</v>
      </c>
      <c r="BV254" s="39" t="s">
        <v>277</v>
      </c>
      <c r="BW254" s="40" t="s">
        <v>277</v>
      </c>
      <c r="BX254" s="118" t="s">
        <v>277</v>
      </c>
      <c r="BY254" s="236" t="s">
        <v>277</v>
      </c>
      <c r="BZ254" s="40" t="s">
        <v>277</v>
      </c>
      <c r="CA254" s="39" t="s">
        <v>277</v>
      </c>
      <c r="CB254" s="40" t="s">
        <v>277</v>
      </c>
      <c r="CC254" s="118" t="s">
        <v>277</v>
      </c>
      <c r="CD254" s="236" t="s">
        <v>277</v>
      </c>
      <c r="CE254" s="40" t="s">
        <v>277</v>
      </c>
      <c r="CF254" s="39" t="s">
        <v>277</v>
      </c>
      <c r="CG254" s="40" t="s">
        <v>277</v>
      </c>
      <c r="CH254" s="118" t="s">
        <v>277</v>
      </c>
      <c r="CI254" s="236" t="s">
        <v>277</v>
      </c>
      <c r="CJ254" s="40" t="s">
        <v>277</v>
      </c>
      <c r="CK254" s="39" t="s">
        <v>277</v>
      </c>
      <c r="CL254" s="40" t="s">
        <v>277</v>
      </c>
      <c r="CM254" s="118" t="s">
        <v>277</v>
      </c>
      <c r="CN254" s="236" t="s">
        <v>277</v>
      </c>
      <c r="CO254" s="40" t="s">
        <v>277</v>
      </c>
      <c r="CP254" s="39" t="s">
        <v>277</v>
      </c>
      <c r="CQ254" s="40" t="s">
        <v>277</v>
      </c>
      <c r="CR254" s="118" t="s">
        <v>277</v>
      </c>
      <c r="CS254" s="236" t="s">
        <v>277</v>
      </c>
      <c r="CT254" s="40" t="s">
        <v>277</v>
      </c>
      <c r="CU254" s="39" t="s">
        <v>277</v>
      </c>
      <c r="CV254" s="40" t="s">
        <v>277</v>
      </c>
      <c r="CW254" s="118" t="s">
        <v>277</v>
      </c>
      <c r="CX254" s="236" t="s">
        <v>277</v>
      </c>
      <c r="CY254" s="40" t="s">
        <v>277</v>
      </c>
      <c r="CZ254" s="39" t="s">
        <v>277</v>
      </c>
      <c r="DA254" s="40" t="s">
        <v>277</v>
      </c>
      <c r="DB254" s="118" t="s">
        <v>277</v>
      </c>
      <c r="DC254" s="40"/>
      <c r="DD254" s="40"/>
      <c r="DE254" s="40"/>
      <c r="DF254" s="40"/>
      <c r="DG254" s="40"/>
      <c r="DH254" s="40"/>
      <c r="DI254" s="40"/>
      <c r="DJ254" s="40"/>
      <c r="DK254" s="185"/>
      <c r="DL254" s="185"/>
      <c r="DM254" s="61"/>
    </row>
    <row r="255" spans="1:123" outlineLevel="2">
      <c r="A255" s="36" t="s">
        <v>827</v>
      </c>
      <c r="B255" s="94">
        <f>B254-B256</f>
        <v>391983</v>
      </c>
      <c r="C255" s="48">
        <f>C254-C256</f>
        <v>388375</v>
      </c>
      <c r="D255" s="48">
        <f>D254-D256</f>
        <v>272704</v>
      </c>
      <c r="E255" s="48">
        <f>E254-E256</f>
        <v>18892</v>
      </c>
      <c r="F255" s="104">
        <f>F254-F256</f>
        <v>1071954</v>
      </c>
      <c r="G255" s="236" t="s">
        <v>277</v>
      </c>
      <c r="H255" s="40" t="s">
        <v>277</v>
      </c>
      <c r="I255" s="39" t="s">
        <v>277</v>
      </c>
      <c r="J255" s="40" t="s">
        <v>277</v>
      </c>
      <c r="K255" s="118" t="s">
        <v>277</v>
      </c>
      <c r="L255" s="236" t="s">
        <v>277</v>
      </c>
      <c r="M255" s="40" t="s">
        <v>277</v>
      </c>
      <c r="N255" s="39" t="s">
        <v>277</v>
      </c>
      <c r="O255" s="40" t="s">
        <v>277</v>
      </c>
      <c r="P255" s="118" t="s">
        <v>277</v>
      </c>
      <c r="Q255" s="236" t="s">
        <v>277</v>
      </c>
      <c r="R255" s="40" t="s">
        <v>277</v>
      </c>
      <c r="S255" s="39" t="s">
        <v>277</v>
      </c>
      <c r="T255" s="40" t="s">
        <v>277</v>
      </c>
      <c r="U255" s="118" t="s">
        <v>277</v>
      </c>
      <c r="V255" s="236" t="s">
        <v>277</v>
      </c>
      <c r="W255" s="40" t="s">
        <v>277</v>
      </c>
      <c r="X255" s="39" t="s">
        <v>277</v>
      </c>
      <c r="Y255" s="40" t="s">
        <v>277</v>
      </c>
      <c r="Z255" s="118" t="s">
        <v>277</v>
      </c>
      <c r="AA255" s="236" t="s">
        <v>277</v>
      </c>
      <c r="AB255" s="40" t="s">
        <v>277</v>
      </c>
      <c r="AC255" s="39" t="s">
        <v>277</v>
      </c>
      <c r="AD255" s="40" t="s">
        <v>277</v>
      </c>
      <c r="AE255" s="118" t="s">
        <v>277</v>
      </c>
      <c r="AF255" s="236" t="s">
        <v>277</v>
      </c>
      <c r="AG255" s="40" t="s">
        <v>277</v>
      </c>
      <c r="AH255" s="39" t="s">
        <v>277</v>
      </c>
      <c r="AI255" s="40" t="s">
        <v>277</v>
      </c>
      <c r="AJ255" s="118" t="s">
        <v>277</v>
      </c>
      <c r="AK255" s="236" t="s">
        <v>277</v>
      </c>
      <c r="AL255" s="40" t="s">
        <v>277</v>
      </c>
      <c r="AM255" s="39" t="s">
        <v>277</v>
      </c>
      <c r="AN255" s="40" t="s">
        <v>277</v>
      </c>
      <c r="AO255" s="118" t="s">
        <v>277</v>
      </c>
      <c r="AP255" s="236" t="s">
        <v>277</v>
      </c>
      <c r="AQ255" s="40" t="s">
        <v>277</v>
      </c>
      <c r="AR255" s="39" t="s">
        <v>277</v>
      </c>
      <c r="AS255" s="40" t="s">
        <v>277</v>
      </c>
      <c r="AT255" s="118" t="s">
        <v>277</v>
      </c>
      <c r="AU255" s="236" t="s">
        <v>277</v>
      </c>
      <c r="AV255" s="40" t="s">
        <v>277</v>
      </c>
      <c r="AW255" s="39" t="s">
        <v>277</v>
      </c>
      <c r="AX255" s="40" t="s">
        <v>277</v>
      </c>
      <c r="AY255" s="118" t="s">
        <v>277</v>
      </c>
      <c r="AZ255" s="236" t="s">
        <v>277</v>
      </c>
      <c r="BA255" s="40" t="s">
        <v>277</v>
      </c>
      <c r="BB255" s="39" t="s">
        <v>277</v>
      </c>
      <c r="BC255" s="40" t="s">
        <v>277</v>
      </c>
      <c r="BD255" s="118" t="s">
        <v>277</v>
      </c>
      <c r="BE255" s="236" t="s">
        <v>277</v>
      </c>
      <c r="BF255" s="40" t="s">
        <v>277</v>
      </c>
      <c r="BG255" s="39" t="s">
        <v>277</v>
      </c>
      <c r="BH255" s="40" t="s">
        <v>277</v>
      </c>
      <c r="BI255" s="118" t="s">
        <v>277</v>
      </c>
      <c r="BJ255" s="236" t="s">
        <v>277</v>
      </c>
      <c r="BK255" s="40" t="s">
        <v>277</v>
      </c>
      <c r="BL255" s="39" t="s">
        <v>277</v>
      </c>
      <c r="BM255" s="40" t="s">
        <v>277</v>
      </c>
      <c r="BN255" s="118" t="s">
        <v>277</v>
      </c>
      <c r="BO255" s="236" t="s">
        <v>277</v>
      </c>
      <c r="BP255" s="40" t="s">
        <v>277</v>
      </c>
      <c r="BQ255" s="39" t="s">
        <v>277</v>
      </c>
      <c r="BR255" s="40" t="s">
        <v>277</v>
      </c>
      <c r="BS255" s="118" t="s">
        <v>277</v>
      </c>
      <c r="BT255" s="236" t="s">
        <v>277</v>
      </c>
      <c r="BU255" s="40" t="s">
        <v>277</v>
      </c>
      <c r="BV255" s="39" t="s">
        <v>277</v>
      </c>
      <c r="BW255" s="40" t="s">
        <v>277</v>
      </c>
      <c r="BX255" s="118" t="s">
        <v>277</v>
      </c>
      <c r="BY255" s="236" t="s">
        <v>277</v>
      </c>
      <c r="BZ255" s="40" t="s">
        <v>277</v>
      </c>
      <c r="CA255" s="39" t="s">
        <v>277</v>
      </c>
      <c r="CB255" s="40" t="s">
        <v>277</v>
      </c>
      <c r="CC255" s="118" t="s">
        <v>277</v>
      </c>
      <c r="CD255" s="236" t="s">
        <v>277</v>
      </c>
      <c r="CE255" s="40" t="s">
        <v>277</v>
      </c>
      <c r="CF255" s="39" t="s">
        <v>277</v>
      </c>
      <c r="CG255" s="40" t="s">
        <v>277</v>
      </c>
      <c r="CH255" s="118" t="s">
        <v>277</v>
      </c>
      <c r="CI255" s="236" t="s">
        <v>277</v>
      </c>
      <c r="CJ255" s="40" t="s">
        <v>277</v>
      </c>
      <c r="CK255" s="39" t="s">
        <v>277</v>
      </c>
      <c r="CL255" s="40" t="s">
        <v>277</v>
      </c>
      <c r="CM255" s="118" t="s">
        <v>277</v>
      </c>
      <c r="CN255" s="236" t="s">
        <v>277</v>
      </c>
      <c r="CO255" s="40" t="s">
        <v>277</v>
      </c>
      <c r="CP255" s="39" t="s">
        <v>277</v>
      </c>
      <c r="CQ255" s="40" t="s">
        <v>277</v>
      </c>
      <c r="CR255" s="118" t="s">
        <v>277</v>
      </c>
      <c r="CS255" s="236" t="s">
        <v>277</v>
      </c>
      <c r="CT255" s="40" t="s">
        <v>277</v>
      </c>
      <c r="CU255" s="39" t="s">
        <v>277</v>
      </c>
      <c r="CV255" s="40" t="s">
        <v>277</v>
      </c>
      <c r="CW255" s="118" t="s">
        <v>277</v>
      </c>
      <c r="CX255" s="236" t="s">
        <v>277</v>
      </c>
      <c r="CY255" s="40" t="s">
        <v>277</v>
      </c>
      <c r="CZ255" s="39" t="s">
        <v>277</v>
      </c>
      <c r="DA255" s="40" t="s">
        <v>277</v>
      </c>
      <c r="DB255" s="118" t="s">
        <v>277</v>
      </c>
      <c r="DC255" s="40"/>
      <c r="DD255" s="40"/>
      <c r="DE255" s="40"/>
      <c r="DF255" s="40"/>
      <c r="DG255" s="40"/>
      <c r="DH255" s="40"/>
      <c r="DI255" s="40"/>
      <c r="DJ255" s="40"/>
      <c r="DK255" s="185"/>
      <c r="DL255" s="185"/>
      <c r="DM255" s="61"/>
    </row>
    <row r="256" spans="1:123" outlineLevel="2">
      <c r="A256" s="28" t="s">
        <v>763</v>
      </c>
      <c r="B256" s="212">
        <v>59426</v>
      </c>
      <c r="C256" s="176">
        <v>63559</v>
      </c>
      <c r="D256" s="176">
        <v>74087</v>
      </c>
      <c r="E256" s="168">
        <f>F256-SUM(B256:D256)</f>
        <v>69958</v>
      </c>
      <c r="F256" s="213">
        <v>267030</v>
      </c>
      <c r="G256" s="236" t="s">
        <v>277</v>
      </c>
      <c r="H256" s="40" t="s">
        <v>277</v>
      </c>
      <c r="I256" s="39" t="s">
        <v>277</v>
      </c>
      <c r="J256" s="40" t="s">
        <v>277</v>
      </c>
      <c r="K256" s="118" t="s">
        <v>277</v>
      </c>
      <c r="L256" s="236" t="s">
        <v>277</v>
      </c>
      <c r="M256" s="40" t="s">
        <v>277</v>
      </c>
      <c r="N256" s="39" t="s">
        <v>277</v>
      </c>
      <c r="O256" s="40" t="s">
        <v>277</v>
      </c>
      <c r="P256" s="118" t="s">
        <v>277</v>
      </c>
      <c r="Q256" s="236" t="s">
        <v>277</v>
      </c>
      <c r="R256" s="40" t="s">
        <v>277</v>
      </c>
      <c r="S256" s="39" t="s">
        <v>277</v>
      </c>
      <c r="T256" s="40" t="s">
        <v>277</v>
      </c>
      <c r="U256" s="118" t="s">
        <v>277</v>
      </c>
      <c r="V256" s="236" t="s">
        <v>277</v>
      </c>
      <c r="W256" s="40" t="s">
        <v>277</v>
      </c>
      <c r="X256" s="39" t="s">
        <v>277</v>
      </c>
      <c r="Y256" s="40" t="s">
        <v>277</v>
      </c>
      <c r="Z256" s="118" t="s">
        <v>277</v>
      </c>
      <c r="AA256" s="236" t="s">
        <v>277</v>
      </c>
      <c r="AB256" s="40" t="s">
        <v>277</v>
      </c>
      <c r="AC256" s="39" t="s">
        <v>277</v>
      </c>
      <c r="AD256" s="40" t="s">
        <v>277</v>
      </c>
      <c r="AE256" s="118" t="s">
        <v>277</v>
      </c>
      <c r="AF256" s="236" t="s">
        <v>277</v>
      </c>
      <c r="AG256" s="40" t="s">
        <v>277</v>
      </c>
      <c r="AH256" s="39" t="s">
        <v>277</v>
      </c>
      <c r="AI256" s="40" t="s">
        <v>277</v>
      </c>
      <c r="AJ256" s="118" t="s">
        <v>277</v>
      </c>
      <c r="AK256" s="236" t="s">
        <v>277</v>
      </c>
      <c r="AL256" s="40" t="s">
        <v>277</v>
      </c>
      <c r="AM256" s="39" t="s">
        <v>277</v>
      </c>
      <c r="AN256" s="40" t="s">
        <v>277</v>
      </c>
      <c r="AO256" s="118" t="s">
        <v>277</v>
      </c>
      <c r="AP256" s="236" t="s">
        <v>277</v>
      </c>
      <c r="AQ256" s="40" t="s">
        <v>277</v>
      </c>
      <c r="AR256" s="39" t="s">
        <v>277</v>
      </c>
      <c r="AS256" s="40" t="s">
        <v>277</v>
      </c>
      <c r="AT256" s="118" t="s">
        <v>277</v>
      </c>
      <c r="AU256" s="236" t="s">
        <v>277</v>
      </c>
      <c r="AV256" s="40" t="s">
        <v>277</v>
      </c>
      <c r="AW256" s="39" t="s">
        <v>277</v>
      </c>
      <c r="AX256" s="40" t="s">
        <v>277</v>
      </c>
      <c r="AY256" s="118" t="s">
        <v>277</v>
      </c>
      <c r="AZ256" s="236" t="s">
        <v>277</v>
      </c>
      <c r="BA256" s="40" t="s">
        <v>277</v>
      </c>
      <c r="BB256" s="39" t="s">
        <v>277</v>
      </c>
      <c r="BC256" s="40" t="s">
        <v>277</v>
      </c>
      <c r="BD256" s="118" t="s">
        <v>277</v>
      </c>
      <c r="BE256" s="236" t="s">
        <v>277</v>
      </c>
      <c r="BF256" s="40" t="s">
        <v>277</v>
      </c>
      <c r="BG256" s="39" t="s">
        <v>277</v>
      </c>
      <c r="BH256" s="40" t="s">
        <v>277</v>
      </c>
      <c r="BI256" s="118" t="s">
        <v>277</v>
      </c>
      <c r="BJ256" s="236" t="s">
        <v>277</v>
      </c>
      <c r="BK256" s="40" t="s">
        <v>277</v>
      </c>
      <c r="BL256" s="39" t="s">
        <v>277</v>
      </c>
      <c r="BM256" s="40" t="s">
        <v>277</v>
      </c>
      <c r="BN256" s="118" t="s">
        <v>277</v>
      </c>
      <c r="BO256" s="236" t="s">
        <v>277</v>
      </c>
      <c r="BP256" s="40" t="s">
        <v>277</v>
      </c>
      <c r="BQ256" s="39" t="s">
        <v>277</v>
      </c>
      <c r="BR256" s="40" t="s">
        <v>277</v>
      </c>
      <c r="BS256" s="118" t="s">
        <v>277</v>
      </c>
      <c r="BT256" s="236" t="s">
        <v>277</v>
      </c>
      <c r="BU256" s="40" t="s">
        <v>277</v>
      </c>
      <c r="BV256" s="39" t="s">
        <v>277</v>
      </c>
      <c r="BW256" s="40" t="s">
        <v>277</v>
      </c>
      <c r="BX256" s="118" t="s">
        <v>277</v>
      </c>
      <c r="BY256" s="236" t="s">
        <v>277</v>
      </c>
      <c r="BZ256" s="40" t="s">
        <v>277</v>
      </c>
      <c r="CA256" s="39" t="s">
        <v>277</v>
      </c>
      <c r="CB256" s="40" t="s">
        <v>277</v>
      </c>
      <c r="CC256" s="118" t="s">
        <v>277</v>
      </c>
      <c r="CD256" s="236" t="s">
        <v>277</v>
      </c>
      <c r="CE256" s="40" t="s">
        <v>277</v>
      </c>
      <c r="CF256" s="39" t="s">
        <v>277</v>
      </c>
      <c r="CG256" s="40" t="s">
        <v>277</v>
      </c>
      <c r="CH256" s="118" t="s">
        <v>277</v>
      </c>
      <c r="CI256" s="236" t="s">
        <v>277</v>
      </c>
      <c r="CJ256" s="40" t="s">
        <v>277</v>
      </c>
      <c r="CK256" s="39" t="s">
        <v>277</v>
      </c>
      <c r="CL256" s="40" t="s">
        <v>277</v>
      </c>
      <c r="CM256" s="118" t="s">
        <v>277</v>
      </c>
      <c r="CN256" s="236" t="s">
        <v>277</v>
      </c>
      <c r="CO256" s="40" t="s">
        <v>277</v>
      </c>
      <c r="CP256" s="39" t="s">
        <v>277</v>
      </c>
      <c r="CQ256" s="40" t="s">
        <v>277</v>
      </c>
      <c r="CR256" s="118" t="s">
        <v>277</v>
      </c>
      <c r="CS256" s="236" t="s">
        <v>277</v>
      </c>
      <c r="CT256" s="40" t="s">
        <v>277</v>
      </c>
      <c r="CU256" s="39" t="s">
        <v>277</v>
      </c>
      <c r="CV256" s="40" t="s">
        <v>277</v>
      </c>
      <c r="CW256" s="118" t="s">
        <v>277</v>
      </c>
      <c r="CX256" s="236" t="s">
        <v>277</v>
      </c>
      <c r="CY256" s="40" t="s">
        <v>277</v>
      </c>
      <c r="CZ256" s="39" t="s">
        <v>277</v>
      </c>
      <c r="DA256" s="40" t="s">
        <v>277</v>
      </c>
      <c r="DB256" s="118" t="s">
        <v>277</v>
      </c>
      <c r="DC256" s="40"/>
      <c r="DD256" s="40"/>
      <c r="DE256" s="40"/>
      <c r="DF256" s="40"/>
      <c r="DG256" s="40"/>
      <c r="DH256" s="40"/>
      <c r="DI256" s="40"/>
      <c r="DJ256" s="40"/>
      <c r="DK256" s="185"/>
      <c r="DL256" s="185"/>
      <c r="DM256" s="61"/>
    </row>
    <row r="257" spans="1:117" outlineLevel="2">
      <c r="A257" s="34" t="s">
        <v>761</v>
      </c>
      <c r="B257" s="37">
        <v>30964</v>
      </c>
      <c r="C257" s="38">
        <v>28057</v>
      </c>
      <c r="D257" s="38">
        <v>31827</v>
      </c>
      <c r="E257" s="48">
        <f>F257-SUM(B257:D257)</f>
        <v>27242</v>
      </c>
      <c r="F257" s="133">
        <v>118090</v>
      </c>
      <c r="G257" s="236" t="s">
        <v>277</v>
      </c>
      <c r="H257" s="40" t="s">
        <v>277</v>
      </c>
      <c r="I257" s="39" t="s">
        <v>277</v>
      </c>
      <c r="J257" s="40" t="s">
        <v>277</v>
      </c>
      <c r="K257" s="118" t="s">
        <v>277</v>
      </c>
      <c r="L257" s="236" t="s">
        <v>277</v>
      </c>
      <c r="M257" s="40" t="s">
        <v>277</v>
      </c>
      <c r="N257" s="39" t="s">
        <v>277</v>
      </c>
      <c r="O257" s="40" t="s">
        <v>277</v>
      </c>
      <c r="P257" s="118" t="s">
        <v>277</v>
      </c>
      <c r="Q257" s="236" t="s">
        <v>277</v>
      </c>
      <c r="R257" s="40" t="s">
        <v>277</v>
      </c>
      <c r="S257" s="39" t="s">
        <v>277</v>
      </c>
      <c r="T257" s="40" t="s">
        <v>277</v>
      </c>
      <c r="U257" s="118" t="s">
        <v>277</v>
      </c>
      <c r="V257" s="236" t="s">
        <v>277</v>
      </c>
      <c r="W257" s="40" t="s">
        <v>277</v>
      </c>
      <c r="X257" s="39" t="s">
        <v>277</v>
      </c>
      <c r="Y257" s="40" t="s">
        <v>277</v>
      </c>
      <c r="Z257" s="118" t="s">
        <v>277</v>
      </c>
      <c r="AA257" s="236" t="s">
        <v>277</v>
      </c>
      <c r="AB257" s="40" t="s">
        <v>277</v>
      </c>
      <c r="AC257" s="39" t="s">
        <v>277</v>
      </c>
      <c r="AD257" s="40" t="s">
        <v>277</v>
      </c>
      <c r="AE257" s="118" t="s">
        <v>277</v>
      </c>
      <c r="AF257" s="236" t="s">
        <v>277</v>
      </c>
      <c r="AG257" s="40" t="s">
        <v>277</v>
      </c>
      <c r="AH257" s="39" t="s">
        <v>277</v>
      </c>
      <c r="AI257" s="40" t="s">
        <v>277</v>
      </c>
      <c r="AJ257" s="118" t="s">
        <v>277</v>
      </c>
      <c r="AK257" s="236" t="s">
        <v>277</v>
      </c>
      <c r="AL257" s="40" t="s">
        <v>277</v>
      </c>
      <c r="AM257" s="39" t="s">
        <v>277</v>
      </c>
      <c r="AN257" s="40" t="s">
        <v>277</v>
      </c>
      <c r="AO257" s="118" t="s">
        <v>277</v>
      </c>
      <c r="AP257" s="236" t="s">
        <v>277</v>
      </c>
      <c r="AQ257" s="40" t="s">
        <v>277</v>
      </c>
      <c r="AR257" s="39" t="s">
        <v>277</v>
      </c>
      <c r="AS257" s="40" t="s">
        <v>277</v>
      </c>
      <c r="AT257" s="118" t="s">
        <v>277</v>
      </c>
      <c r="AU257" s="236" t="s">
        <v>277</v>
      </c>
      <c r="AV257" s="40" t="s">
        <v>277</v>
      </c>
      <c r="AW257" s="39" t="s">
        <v>277</v>
      </c>
      <c r="AX257" s="40" t="s">
        <v>277</v>
      </c>
      <c r="AY257" s="118" t="s">
        <v>277</v>
      </c>
      <c r="AZ257" s="236" t="s">
        <v>277</v>
      </c>
      <c r="BA257" s="40" t="s">
        <v>277</v>
      </c>
      <c r="BB257" s="39" t="s">
        <v>277</v>
      </c>
      <c r="BC257" s="40" t="s">
        <v>277</v>
      </c>
      <c r="BD257" s="118" t="s">
        <v>277</v>
      </c>
      <c r="BE257" s="236" t="s">
        <v>277</v>
      </c>
      <c r="BF257" s="40" t="s">
        <v>277</v>
      </c>
      <c r="BG257" s="39" t="s">
        <v>277</v>
      </c>
      <c r="BH257" s="40" t="s">
        <v>277</v>
      </c>
      <c r="BI257" s="118" t="s">
        <v>277</v>
      </c>
      <c r="BJ257" s="236" t="s">
        <v>277</v>
      </c>
      <c r="BK257" s="40" t="s">
        <v>277</v>
      </c>
      <c r="BL257" s="39" t="s">
        <v>277</v>
      </c>
      <c r="BM257" s="40" t="s">
        <v>277</v>
      </c>
      <c r="BN257" s="118" t="s">
        <v>277</v>
      </c>
      <c r="BO257" s="236" t="s">
        <v>277</v>
      </c>
      <c r="BP257" s="40" t="s">
        <v>277</v>
      </c>
      <c r="BQ257" s="39" t="s">
        <v>277</v>
      </c>
      <c r="BR257" s="40" t="s">
        <v>277</v>
      </c>
      <c r="BS257" s="118" t="s">
        <v>277</v>
      </c>
      <c r="BT257" s="236" t="s">
        <v>277</v>
      </c>
      <c r="BU257" s="40" t="s">
        <v>277</v>
      </c>
      <c r="BV257" s="39" t="s">
        <v>277</v>
      </c>
      <c r="BW257" s="40" t="s">
        <v>277</v>
      </c>
      <c r="BX257" s="118" t="s">
        <v>277</v>
      </c>
      <c r="BY257" s="236" t="s">
        <v>277</v>
      </c>
      <c r="BZ257" s="40" t="s">
        <v>277</v>
      </c>
      <c r="CA257" s="39" t="s">
        <v>277</v>
      </c>
      <c r="CB257" s="40" t="s">
        <v>277</v>
      </c>
      <c r="CC257" s="118" t="s">
        <v>277</v>
      </c>
      <c r="CD257" s="236" t="s">
        <v>277</v>
      </c>
      <c r="CE257" s="40" t="s">
        <v>277</v>
      </c>
      <c r="CF257" s="39" t="s">
        <v>277</v>
      </c>
      <c r="CG257" s="40" t="s">
        <v>277</v>
      </c>
      <c r="CH257" s="118" t="s">
        <v>277</v>
      </c>
      <c r="CI257" s="236" t="s">
        <v>277</v>
      </c>
      <c r="CJ257" s="40" t="s">
        <v>277</v>
      </c>
      <c r="CK257" s="39" t="s">
        <v>277</v>
      </c>
      <c r="CL257" s="40" t="s">
        <v>277</v>
      </c>
      <c r="CM257" s="118" t="s">
        <v>277</v>
      </c>
      <c r="CN257" s="236" t="s">
        <v>277</v>
      </c>
      <c r="CO257" s="40" t="s">
        <v>277</v>
      </c>
      <c r="CP257" s="39" t="s">
        <v>277</v>
      </c>
      <c r="CQ257" s="40" t="s">
        <v>277</v>
      </c>
      <c r="CR257" s="118" t="s">
        <v>277</v>
      </c>
      <c r="CS257" s="236" t="s">
        <v>277</v>
      </c>
      <c r="CT257" s="40" t="s">
        <v>277</v>
      </c>
      <c r="CU257" s="39" t="s">
        <v>277</v>
      </c>
      <c r="CV257" s="40" t="s">
        <v>277</v>
      </c>
      <c r="CW257" s="118" t="s">
        <v>277</v>
      </c>
      <c r="CX257" s="236" t="s">
        <v>277</v>
      </c>
      <c r="CY257" s="40" t="s">
        <v>277</v>
      </c>
      <c r="CZ257" s="39" t="s">
        <v>277</v>
      </c>
      <c r="DA257" s="40" t="s">
        <v>277</v>
      </c>
      <c r="DB257" s="118" t="s">
        <v>277</v>
      </c>
      <c r="DC257" s="40"/>
      <c r="DD257" s="40"/>
      <c r="DE257" s="40"/>
      <c r="DF257" s="40"/>
      <c r="DG257" s="40"/>
      <c r="DH257" s="40"/>
      <c r="DI257" s="40"/>
      <c r="DJ257" s="40"/>
      <c r="DK257" s="185"/>
      <c r="DL257" s="185"/>
      <c r="DM257" s="61"/>
    </row>
    <row r="258" spans="1:117" outlineLevel="2">
      <c r="A258" s="34" t="s">
        <v>762</v>
      </c>
      <c r="B258" s="37">
        <v>8013</v>
      </c>
      <c r="C258" s="38">
        <v>8153</v>
      </c>
      <c r="D258" s="38">
        <v>8272</v>
      </c>
      <c r="E258" s="48">
        <f>F258-SUM(B258:D258)</f>
        <v>8306</v>
      </c>
      <c r="F258" s="133">
        <v>32744</v>
      </c>
      <c r="G258" s="236" t="s">
        <v>277</v>
      </c>
      <c r="H258" s="40" t="s">
        <v>277</v>
      </c>
      <c r="I258" s="39" t="s">
        <v>277</v>
      </c>
      <c r="J258" s="40" t="s">
        <v>277</v>
      </c>
      <c r="K258" s="118" t="s">
        <v>277</v>
      </c>
      <c r="L258" s="236" t="s">
        <v>277</v>
      </c>
      <c r="M258" s="40" t="s">
        <v>277</v>
      </c>
      <c r="N258" s="39" t="s">
        <v>277</v>
      </c>
      <c r="O258" s="40" t="s">
        <v>277</v>
      </c>
      <c r="P258" s="118" t="s">
        <v>277</v>
      </c>
      <c r="Q258" s="236" t="s">
        <v>277</v>
      </c>
      <c r="R258" s="40" t="s">
        <v>277</v>
      </c>
      <c r="S258" s="39" t="s">
        <v>277</v>
      </c>
      <c r="T258" s="40" t="s">
        <v>277</v>
      </c>
      <c r="U258" s="118" t="s">
        <v>277</v>
      </c>
      <c r="V258" s="236" t="s">
        <v>277</v>
      </c>
      <c r="W258" s="40" t="s">
        <v>277</v>
      </c>
      <c r="X258" s="39" t="s">
        <v>277</v>
      </c>
      <c r="Y258" s="40" t="s">
        <v>277</v>
      </c>
      <c r="Z258" s="118" t="s">
        <v>277</v>
      </c>
      <c r="AA258" s="236" t="s">
        <v>277</v>
      </c>
      <c r="AB258" s="40" t="s">
        <v>277</v>
      </c>
      <c r="AC258" s="39" t="s">
        <v>277</v>
      </c>
      <c r="AD258" s="40" t="s">
        <v>277</v>
      </c>
      <c r="AE258" s="118" t="s">
        <v>277</v>
      </c>
      <c r="AF258" s="236" t="s">
        <v>277</v>
      </c>
      <c r="AG258" s="40" t="s">
        <v>277</v>
      </c>
      <c r="AH258" s="39" t="s">
        <v>277</v>
      </c>
      <c r="AI258" s="40" t="s">
        <v>277</v>
      </c>
      <c r="AJ258" s="118" t="s">
        <v>277</v>
      </c>
      <c r="AK258" s="236" t="s">
        <v>277</v>
      </c>
      <c r="AL258" s="40" t="s">
        <v>277</v>
      </c>
      <c r="AM258" s="39" t="s">
        <v>277</v>
      </c>
      <c r="AN258" s="40" t="s">
        <v>277</v>
      </c>
      <c r="AO258" s="118" t="s">
        <v>277</v>
      </c>
      <c r="AP258" s="236" t="s">
        <v>277</v>
      </c>
      <c r="AQ258" s="40" t="s">
        <v>277</v>
      </c>
      <c r="AR258" s="39" t="s">
        <v>277</v>
      </c>
      <c r="AS258" s="40" t="s">
        <v>277</v>
      </c>
      <c r="AT258" s="118" t="s">
        <v>277</v>
      </c>
      <c r="AU258" s="236" t="s">
        <v>277</v>
      </c>
      <c r="AV258" s="40" t="s">
        <v>277</v>
      </c>
      <c r="AW258" s="39" t="s">
        <v>277</v>
      </c>
      <c r="AX258" s="40" t="s">
        <v>277</v>
      </c>
      <c r="AY258" s="118" t="s">
        <v>277</v>
      </c>
      <c r="AZ258" s="236" t="s">
        <v>277</v>
      </c>
      <c r="BA258" s="40" t="s">
        <v>277</v>
      </c>
      <c r="BB258" s="39" t="s">
        <v>277</v>
      </c>
      <c r="BC258" s="40" t="s">
        <v>277</v>
      </c>
      <c r="BD258" s="118" t="s">
        <v>277</v>
      </c>
      <c r="BE258" s="236" t="s">
        <v>277</v>
      </c>
      <c r="BF258" s="40" t="s">
        <v>277</v>
      </c>
      <c r="BG258" s="39" t="s">
        <v>277</v>
      </c>
      <c r="BH258" s="40" t="s">
        <v>277</v>
      </c>
      <c r="BI258" s="118" t="s">
        <v>277</v>
      </c>
      <c r="BJ258" s="236" t="s">
        <v>277</v>
      </c>
      <c r="BK258" s="40" t="s">
        <v>277</v>
      </c>
      <c r="BL258" s="39" t="s">
        <v>277</v>
      </c>
      <c r="BM258" s="40" t="s">
        <v>277</v>
      </c>
      <c r="BN258" s="118" t="s">
        <v>277</v>
      </c>
      <c r="BO258" s="236" t="s">
        <v>277</v>
      </c>
      <c r="BP258" s="40" t="s">
        <v>277</v>
      </c>
      <c r="BQ258" s="39" t="s">
        <v>277</v>
      </c>
      <c r="BR258" s="40" t="s">
        <v>277</v>
      </c>
      <c r="BS258" s="118" t="s">
        <v>277</v>
      </c>
      <c r="BT258" s="236" t="s">
        <v>277</v>
      </c>
      <c r="BU258" s="40" t="s">
        <v>277</v>
      </c>
      <c r="BV258" s="39" t="s">
        <v>277</v>
      </c>
      <c r="BW258" s="40" t="s">
        <v>277</v>
      </c>
      <c r="BX258" s="118" t="s">
        <v>277</v>
      </c>
      <c r="BY258" s="236" t="s">
        <v>277</v>
      </c>
      <c r="BZ258" s="40" t="s">
        <v>277</v>
      </c>
      <c r="CA258" s="39" t="s">
        <v>277</v>
      </c>
      <c r="CB258" s="40" t="s">
        <v>277</v>
      </c>
      <c r="CC258" s="118" t="s">
        <v>277</v>
      </c>
      <c r="CD258" s="236" t="s">
        <v>277</v>
      </c>
      <c r="CE258" s="40" t="s">
        <v>277</v>
      </c>
      <c r="CF258" s="39" t="s">
        <v>277</v>
      </c>
      <c r="CG258" s="40" t="s">
        <v>277</v>
      </c>
      <c r="CH258" s="118" t="s">
        <v>277</v>
      </c>
      <c r="CI258" s="236" t="s">
        <v>277</v>
      </c>
      <c r="CJ258" s="40" t="s">
        <v>277</v>
      </c>
      <c r="CK258" s="39" t="s">
        <v>277</v>
      </c>
      <c r="CL258" s="40" t="s">
        <v>277</v>
      </c>
      <c r="CM258" s="118" t="s">
        <v>277</v>
      </c>
      <c r="CN258" s="236" t="s">
        <v>277</v>
      </c>
      <c r="CO258" s="40" t="s">
        <v>277</v>
      </c>
      <c r="CP258" s="39" t="s">
        <v>277</v>
      </c>
      <c r="CQ258" s="40" t="s">
        <v>277</v>
      </c>
      <c r="CR258" s="118" t="s">
        <v>277</v>
      </c>
      <c r="CS258" s="236" t="s">
        <v>277</v>
      </c>
      <c r="CT258" s="40" t="s">
        <v>277</v>
      </c>
      <c r="CU258" s="39" t="s">
        <v>277</v>
      </c>
      <c r="CV258" s="40" t="s">
        <v>277</v>
      </c>
      <c r="CW258" s="118" t="s">
        <v>277</v>
      </c>
      <c r="CX258" s="236" t="s">
        <v>277</v>
      </c>
      <c r="CY258" s="40" t="s">
        <v>277</v>
      </c>
      <c r="CZ258" s="39" t="s">
        <v>277</v>
      </c>
      <c r="DA258" s="40" t="s">
        <v>277</v>
      </c>
      <c r="DB258" s="118" t="s">
        <v>277</v>
      </c>
      <c r="DC258" s="40"/>
      <c r="DD258" s="40"/>
      <c r="DE258" s="40"/>
      <c r="DF258" s="40"/>
      <c r="DG258" s="40"/>
      <c r="DH258" s="40"/>
      <c r="DI258" s="40"/>
      <c r="DJ258" s="40"/>
      <c r="DK258" s="185"/>
      <c r="DL258" s="185"/>
      <c r="DM258" s="9"/>
    </row>
    <row r="259" spans="1:117" outlineLevel="2">
      <c r="A259" s="28" t="s">
        <v>848</v>
      </c>
      <c r="B259" s="160">
        <f>B256-B257-B258</f>
        <v>20449</v>
      </c>
      <c r="C259" s="168">
        <f>C256-C257-C258</f>
        <v>27349</v>
      </c>
      <c r="D259" s="168">
        <f>D256-D257-D258</f>
        <v>33988</v>
      </c>
      <c r="E259" s="168">
        <f>E256-E257-E258</f>
        <v>34410</v>
      </c>
      <c r="F259" s="235">
        <f>F256-F257-F258</f>
        <v>116196</v>
      </c>
      <c r="G259" s="236" t="s">
        <v>277</v>
      </c>
      <c r="H259" s="40" t="s">
        <v>277</v>
      </c>
      <c r="I259" s="39" t="s">
        <v>277</v>
      </c>
      <c r="J259" s="40" t="s">
        <v>277</v>
      </c>
      <c r="K259" s="118" t="s">
        <v>277</v>
      </c>
      <c r="L259" s="236" t="s">
        <v>277</v>
      </c>
      <c r="M259" s="40" t="s">
        <v>277</v>
      </c>
      <c r="N259" s="39" t="s">
        <v>277</v>
      </c>
      <c r="O259" s="40" t="s">
        <v>277</v>
      </c>
      <c r="P259" s="118" t="s">
        <v>277</v>
      </c>
      <c r="Q259" s="236" t="s">
        <v>277</v>
      </c>
      <c r="R259" s="40" t="s">
        <v>277</v>
      </c>
      <c r="S259" s="39" t="s">
        <v>277</v>
      </c>
      <c r="T259" s="40" t="s">
        <v>277</v>
      </c>
      <c r="U259" s="118" t="s">
        <v>277</v>
      </c>
      <c r="V259" s="236" t="s">
        <v>277</v>
      </c>
      <c r="W259" s="40" t="s">
        <v>277</v>
      </c>
      <c r="X259" s="39" t="s">
        <v>277</v>
      </c>
      <c r="Y259" s="40" t="s">
        <v>277</v>
      </c>
      <c r="Z259" s="118" t="s">
        <v>277</v>
      </c>
      <c r="AA259" s="236" t="s">
        <v>277</v>
      </c>
      <c r="AB259" s="40" t="s">
        <v>277</v>
      </c>
      <c r="AC259" s="39" t="s">
        <v>277</v>
      </c>
      <c r="AD259" s="40" t="s">
        <v>277</v>
      </c>
      <c r="AE259" s="118" t="s">
        <v>277</v>
      </c>
      <c r="AF259" s="236" t="s">
        <v>277</v>
      </c>
      <c r="AG259" s="40" t="s">
        <v>277</v>
      </c>
      <c r="AH259" s="39" t="s">
        <v>277</v>
      </c>
      <c r="AI259" s="40" t="s">
        <v>277</v>
      </c>
      <c r="AJ259" s="118" t="s">
        <v>277</v>
      </c>
      <c r="AK259" s="236" t="s">
        <v>277</v>
      </c>
      <c r="AL259" s="40" t="s">
        <v>277</v>
      </c>
      <c r="AM259" s="39" t="s">
        <v>277</v>
      </c>
      <c r="AN259" s="40" t="s">
        <v>277</v>
      </c>
      <c r="AO259" s="118" t="s">
        <v>277</v>
      </c>
      <c r="AP259" s="236" t="s">
        <v>277</v>
      </c>
      <c r="AQ259" s="40" t="s">
        <v>277</v>
      </c>
      <c r="AR259" s="39" t="s">
        <v>277</v>
      </c>
      <c r="AS259" s="40" t="s">
        <v>277</v>
      </c>
      <c r="AT259" s="118" t="s">
        <v>277</v>
      </c>
      <c r="AU259" s="236" t="s">
        <v>277</v>
      </c>
      <c r="AV259" s="40" t="s">
        <v>277</v>
      </c>
      <c r="AW259" s="39" t="s">
        <v>277</v>
      </c>
      <c r="AX259" s="40" t="s">
        <v>277</v>
      </c>
      <c r="AY259" s="118" t="s">
        <v>277</v>
      </c>
      <c r="AZ259" s="236" t="s">
        <v>277</v>
      </c>
      <c r="BA259" s="40" t="s">
        <v>277</v>
      </c>
      <c r="BB259" s="39" t="s">
        <v>277</v>
      </c>
      <c r="BC259" s="40" t="s">
        <v>277</v>
      </c>
      <c r="BD259" s="118" t="s">
        <v>277</v>
      </c>
      <c r="BE259" s="236" t="s">
        <v>277</v>
      </c>
      <c r="BF259" s="40" t="s">
        <v>277</v>
      </c>
      <c r="BG259" s="39" t="s">
        <v>277</v>
      </c>
      <c r="BH259" s="40" t="s">
        <v>277</v>
      </c>
      <c r="BI259" s="118" t="s">
        <v>277</v>
      </c>
      <c r="BJ259" s="236" t="s">
        <v>277</v>
      </c>
      <c r="BK259" s="40" t="s">
        <v>277</v>
      </c>
      <c r="BL259" s="39" t="s">
        <v>277</v>
      </c>
      <c r="BM259" s="40" t="s">
        <v>277</v>
      </c>
      <c r="BN259" s="118" t="s">
        <v>277</v>
      </c>
      <c r="BO259" s="236" t="s">
        <v>277</v>
      </c>
      <c r="BP259" s="40" t="s">
        <v>277</v>
      </c>
      <c r="BQ259" s="39" t="s">
        <v>277</v>
      </c>
      <c r="BR259" s="40" t="s">
        <v>277</v>
      </c>
      <c r="BS259" s="118" t="s">
        <v>277</v>
      </c>
      <c r="BT259" s="236" t="s">
        <v>277</v>
      </c>
      <c r="BU259" s="40" t="s">
        <v>277</v>
      </c>
      <c r="BV259" s="39" t="s">
        <v>277</v>
      </c>
      <c r="BW259" s="40" t="s">
        <v>277</v>
      </c>
      <c r="BX259" s="118" t="s">
        <v>277</v>
      </c>
      <c r="BY259" s="236" t="s">
        <v>277</v>
      </c>
      <c r="BZ259" s="40" t="s">
        <v>277</v>
      </c>
      <c r="CA259" s="39" t="s">
        <v>277</v>
      </c>
      <c r="CB259" s="40" t="s">
        <v>277</v>
      </c>
      <c r="CC259" s="118" t="s">
        <v>277</v>
      </c>
      <c r="CD259" s="236" t="s">
        <v>277</v>
      </c>
      <c r="CE259" s="40" t="s">
        <v>277</v>
      </c>
      <c r="CF259" s="39" t="s">
        <v>277</v>
      </c>
      <c r="CG259" s="40" t="s">
        <v>277</v>
      </c>
      <c r="CH259" s="118" t="s">
        <v>277</v>
      </c>
      <c r="CI259" s="236" t="s">
        <v>277</v>
      </c>
      <c r="CJ259" s="40" t="s">
        <v>277</v>
      </c>
      <c r="CK259" s="39" t="s">
        <v>277</v>
      </c>
      <c r="CL259" s="40" t="s">
        <v>277</v>
      </c>
      <c r="CM259" s="118" t="s">
        <v>277</v>
      </c>
      <c r="CN259" s="236" t="s">
        <v>277</v>
      </c>
      <c r="CO259" s="40" t="s">
        <v>277</v>
      </c>
      <c r="CP259" s="39" t="s">
        <v>277</v>
      </c>
      <c r="CQ259" s="40" t="s">
        <v>277</v>
      </c>
      <c r="CR259" s="118" t="s">
        <v>277</v>
      </c>
      <c r="CS259" s="236" t="s">
        <v>277</v>
      </c>
      <c r="CT259" s="40" t="s">
        <v>277</v>
      </c>
      <c r="CU259" s="39" t="s">
        <v>277</v>
      </c>
      <c r="CV259" s="40" t="s">
        <v>277</v>
      </c>
      <c r="CW259" s="118" t="s">
        <v>277</v>
      </c>
      <c r="CX259" s="236" t="s">
        <v>277</v>
      </c>
      <c r="CY259" s="40" t="s">
        <v>277</v>
      </c>
      <c r="CZ259" s="39" t="s">
        <v>277</v>
      </c>
      <c r="DA259" s="40" t="s">
        <v>277</v>
      </c>
      <c r="DB259" s="118" t="s">
        <v>277</v>
      </c>
      <c r="DC259" s="40"/>
      <c r="DD259" s="40"/>
      <c r="DE259" s="40"/>
      <c r="DF259" s="40"/>
      <c r="DG259" s="40"/>
      <c r="DH259" s="40"/>
      <c r="DI259" s="40"/>
      <c r="DJ259" s="40"/>
      <c r="DK259" s="185"/>
      <c r="DL259" s="185"/>
      <c r="DM259" s="9"/>
    </row>
    <row r="260" spans="1:117" outlineLevel="2">
      <c r="A260" s="34" t="s">
        <v>826</v>
      </c>
      <c r="B260" s="37">
        <v>0</v>
      </c>
      <c r="C260" s="38">
        <v>0</v>
      </c>
      <c r="D260" s="38">
        <v>0</v>
      </c>
      <c r="E260" s="48">
        <f>F260-SUM(B260:D260)</f>
        <v>0</v>
      </c>
      <c r="F260" s="133">
        <v>0</v>
      </c>
      <c r="G260" s="236" t="s">
        <v>277</v>
      </c>
      <c r="H260" s="40" t="s">
        <v>277</v>
      </c>
      <c r="I260" s="39" t="s">
        <v>277</v>
      </c>
      <c r="J260" s="40" t="s">
        <v>277</v>
      </c>
      <c r="K260" s="118" t="s">
        <v>277</v>
      </c>
      <c r="L260" s="236" t="s">
        <v>277</v>
      </c>
      <c r="M260" s="40" t="s">
        <v>277</v>
      </c>
      <c r="N260" s="39" t="s">
        <v>277</v>
      </c>
      <c r="O260" s="40" t="s">
        <v>277</v>
      </c>
      <c r="P260" s="118" t="s">
        <v>277</v>
      </c>
      <c r="Q260" s="236" t="s">
        <v>277</v>
      </c>
      <c r="R260" s="40" t="s">
        <v>277</v>
      </c>
      <c r="S260" s="39" t="s">
        <v>277</v>
      </c>
      <c r="T260" s="40" t="s">
        <v>277</v>
      </c>
      <c r="U260" s="118" t="s">
        <v>277</v>
      </c>
      <c r="V260" s="236" t="s">
        <v>277</v>
      </c>
      <c r="W260" s="40" t="s">
        <v>277</v>
      </c>
      <c r="X260" s="39" t="s">
        <v>277</v>
      </c>
      <c r="Y260" s="40" t="s">
        <v>277</v>
      </c>
      <c r="Z260" s="118" t="s">
        <v>277</v>
      </c>
      <c r="AA260" s="236" t="s">
        <v>277</v>
      </c>
      <c r="AB260" s="40" t="s">
        <v>277</v>
      </c>
      <c r="AC260" s="39" t="s">
        <v>277</v>
      </c>
      <c r="AD260" s="40" t="s">
        <v>277</v>
      </c>
      <c r="AE260" s="118" t="s">
        <v>277</v>
      </c>
      <c r="AF260" s="236" t="s">
        <v>277</v>
      </c>
      <c r="AG260" s="40" t="s">
        <v>277</v>
      </c>
      <c r="AH260" s="39" t="s">
        <v>277</v>
      </c>
      <c r="AI260" s="40" t="s">
        <v>277</v>
      </c>
      <c r="AJ260" s="118" t="s">
        <v>277</v>
      </c>
      <c r="AK260" s="236" t="s">
        <v>277</v>
      </c>
      <c r="AL260" s="40" t="s">
        <v>277</v>
      </c>
      <c r="AM260" s="39" t="s">
        <v>277</v>
      </c>
      <c r="AN260" s="40" t="s">
        <v>277</v>
      </c>
      <c r="AO260" s="118" t="s">
        <v>277</v>
      </c>
      <c r="AP260" s="236" t="s">
        <v>277</v>
      </c>
      <c r="AQ260" s="40" t="s">
        <v>277</v>
      </c>
      <c r="AR260" s="39" t="s">
        <v>277</v>
      </c>
      <c r="AS260" s="40" t="s">
        <v>277</v>
      </c>
      <c r="AT260" s="118" t="s">
        <v>277</v>
      </c>
      <c r="AU260" s="236" t="s">
        <v>277</v>
      </c>
      <c r="AV260" s="40" t="s">
        <v>277</v>
      </c>
      <c r="AW260" s="39" t="s">
        <v>277</v>
      </c>
      <c r="AX260" s="40" t="s">
        <v>277</v>
      </c>
      <c r="AY260" s="118" t="s">
        <v>277</v>
      </c>
      <c r="AZ260" s="236" t="s">
        <v>277</v>
      </c>
      <c r="BA260" s="40" t="s">
        <v>277</v>
      </c>
      <c r="BB260" s="39" t="s">
        <v>277</v>
      </c>
      <c r="BC260" s="40" t="s">
        <v>277</v>
      </c>
      <c r="BD260" s="118" t="s">
        <v>277</v>
      </c>
      <c r="BE260" s="236" t="s">
        <v>277</v>
      </c>
      <c r="BF260" s="40" t="s">
        <v>277</v>
      </c>
      <c r="BG260" s="39" t="s">
        <v>277</v>
      </c>
      <c r="BH260" s="40" t="s">
        <v>277</v>
      </c>
      <c r="BI260" s="118" t="s">
        <v>277</v>
      </c>
      <c r="BJ260" s="236" t="s">
        <v>277</v>
      </c>
      <c r="BK260" s="40" t="s">
        <v>277</v>
      </c>
      <c r="BL260" s="39" t="s">
        <v>277</v>
      </c>
      <c r="BM260" s="40" t="s">
        <v>277</v>
      </c>
      <c r="BN260" s="118" t="s">
        <v>277</v>
      </c>
      <c r="BO260" s="236" t="s">
        <v>277</v>
      </c>
      <c r="BP260" s="40" t="s">
        <v>277</v>
      </c>
      <c r="BQ260" s="39" t="s">
        <v>277</v>
      </c>
      <c r="BR260" s="40" t="s">
        <v>277</v>
      </c>
      <c r="BS260" s="118" t="s">
        <v>277</v>
      </c>
      <c r="BT260" s="236" t="s">
        <v>277</v>
      </c>
      <c r="BU260" s="40" t="s">
        <v>277</v>
      </c>
      <c r="BV260" s="39" t="s">
        <v>277</v>
      </c>
      <c r="BW260" s="40" t="s">
        <v>277</v>
      </c>
      <c r="BX260" s="118" t="s">
        <v>277</v>
      </c>
      <c r="BY260" s="236" t="s">
        <v>277</v>
      </c>
      <c r="BZ260" s="40" t="s">
        <v>277</v>
      </c>
      <c r="CA260" s="39" t="s">
        <v>277</v>
      </c>
      <c r="CB260" s="40" t="s">
        <v>277</v>
      </c>
      <c r="CC260" s="118" t="s">
        <v>277</v>
      </c>
      <c r="CD260" s="236" t="s">
        <v>277</v>
      </c>
      <c r="CE260" s="40" t="s">
        <v>277</v>
      </c>
      <c r="CF260" s="39" t="s">
        <v>277</v>
      </c>
      <c r="CG260" s="40" t="s">
        <v>277</v>
      </c>
      <c r="CH260" s="118" t="s">
        <v>277</v>
      </c>
      <c r="CI260" s="236" t="s">
        <v>277</v>
      </c>
      <c r="CJ260" s="40" t="s">
        <v>277</v>
      </c>
      <c r="CK260" s="39" t="s">
        <v>277</v>
      </c>
      <c r="CL260" s="40" t="s">
        <v>277</v>
      </c>
      <c r="CM260" s="118" t="s">
        <v>277</v>
      </c>
      <c r="CN260" s="236" t="s">
        <v>277</v>
      </c>
      <c r="CO260" s="40" t="s">
        <v>277</v>
      </c>
      <c r="CP260" s="39" t="s">
        <v>277</v>
      </c>
      <c r="CQ260" s="40" t="s">
        <v>277</v>
      </c>
      <c r="CR260" s="118" t="s">
        <v>277</v>
      </c>
      <c r="CS260" s="236" t="s">
        <v>277</v>
      </c>
      <c r="CT260" s="40" t="s">
        <v>277</v>
      </c>
      <c r="CU260" s="39" t="s">
        <v>277</v>
      </c>
      <c r="CV260" s="40" t="s">
        <v>277</v>
      </c>
      <c r="CW260" s="118" t="s">
        <v>277</v>
      </c>
      <c r="CX260" s="236" t="s">
        <v>277</v>
      </c>
      <c r="CY260" s="40" t="s">
        <v>277</v>
      </c>
      <c r="CZ260" s="39" t="s">
        <v>277</v>
      </c>
      <c r="DA260" s="40" t="s">
        <v>277</v>
      </c>
      <c r="DB260" s="118" t="s">
        <v>277</v>
      </c>
      <c r="DC260" s="40"/>
      <c r="DD260" s="40"/>
      <c r="DE260" s="40"/>
      <c r="DF260" s="40"/>
      <c r="DG260" s="40"/>
      <c r="DH260" s="40"/>
      <c r="DI260" s="40"/>
      <c r="DJ260" s="40"/>
      <c r="DK260" s="185"/>
      <c r="DL260" s="185"/>
      <c r="DM260" s="61"/>
    </row>
    <row r="261" spans="1:117" outlineLevel="2">
      <c r="A261" s="28" t="s">
        <v>546</v>
      </c>
      <c r="B261" s="160">
        <f>B259-B260</f>
        <v>20449</v>
      </c>
      <c r="C261" s="168">
        <f>C259-C260</f>
        <v>27349</v>
      </c>
      <c r="D261" s="168">
        <f>D259-D260</f>
        <v>33988</v>
      </c>
      <c r="E261" s="168">
        <f>E259-E260</f>
        <v>34410</v>
      </c>
      <c r="F261" s="235">
        <f>F259-F260</f>
        <v>116196</v>
      </c>
      <c r="G261" s="236" t="s">
        <v>277</v>
      </c>
      <c r="H261" s="40" t="s">
        <v>277</v>
      </c>
      <c r="I261" s="39" t="s">
        <v>277</v>
      </c>
      <c r="J261" s="40" t="s">
        <v>277</v>
      </c>
      <c r="K261" s="118" t="s">
        <v>277</v>
      </c>
      <c r="L261" s="236" t="s">
        <v>277</v>
      </c>
      <c r="M261" s="40" t="s">
        <v>277</v>
      </c>
      <c r="N261" s="39" t="s">
        <v>277</v>
      </c>
      <c r="O261" s="40" t="s">
        <v>277</v>
      </c>
      <c r="P261" s="118" t="s">
        <v>277</v>
      </c>
      <c r="Q261" s="236" t="s">
        <v>277</v>
      </c>
      <c r="R261" s="40" t="s">
        <v>277</v>
      </c>
      <c r="S261" s="39" t="s">
        <v>277</v>
      </c>
      <c r="T261" s="40" t="s">
        <v>277</v>
      </c>
      <c r="U261" s="118" t="s">
        <v>277</v>
      </c>
      <c r="V261" s="236" t="s">
        <v>277</v>
      </c>
      <c r="W261" s="40" t="s">
        <v>277</v>
      </c>
      <c r="X261" s="39" t="s">
        <v>277</v>
      </c>
      <c r="Y261" s="40" t="s">
        <v>277</v>
      </c>
      <c r="Z261" s="118" t="s">
        <v>277</v>
      </c>
      <c r="AA261" s="236" t="s">
        <v>277</v>
      </c>
      <c r="AB261" s="40" t="s">
        <v>277</v>
      </c>
      <c r="AC261" s="39" t="s">
        <v>277</v>
      </c>
      <c r="AD261" s="40" t="s">
        <v>277</v>
      </c>
      <c r="AE261" s="118" t="s">
        <v>277</v>
      </c>
      <c r="AF261" s="236" t="s">
        <v>277</v>
      </c>
      <c r="AG261" s="40" t="s">
        <v>277</v>
      </c>
      <c r="AH261" s="39" t="s">
        <v>277</v>
      </c>
      <c r="AI261" s="40" t="s">
        <v>277</v>
      </c>
      <c r="AJ261" s="118" t="s">
        <v>277</v>
      </c>
      <c r="AK261" s="236" t="s">
        <v>277</v>
      </c>
      <c r="AL261" s="40" t="s">
        <v>277</v>
      </c>
      <c r="AM261" s="39" t="s">
        <v>277</v>
      </c>
      <c r="AN261" s="40" t="s">
        <v>277</v>
      </c>
      <c r="AO261" s="118" t="s">
        <v>277</v>
      </c>
      <c r="AP261" s="236" t="s">
        <v>277</v>
      </c>
      <c r="AQ261" s="40" t="s">
        <v>277</v>
      </c>
      <c r="AR261" s="39" t="s">
        <v>277</v>
      </c>
      <c r="AS261" s="40" t="s">
        <v>277</v>
      </c>
      <c r="AT261" s="118" t="s">
        <v>277</v>
      </c>
      <c r="AU261" s="236" t="s">
        <v>277</v>
      </c>
      <c r="AV261" s="40" t="s">
        <v>277</v>
      </c>
      <c r="AW261" s="39" t="s">
        <v>277</v>
      </c>
      <c r="AX261" s="40" t="s">
        <v>277</v>
      </c>
      <c r="AY261" s="118" t="s">
        <v>277</v>
      </c>
      <c r="AZ261" s="236" t="s">
        <v>277</v>
      </c>
      <c r="BA261" s="40" t="s">
        <v>277</v>
      </c>
      <c r="BB261" s="39" t="s">
        <v>277</v>
      </c>
      <c r="BC261" s="40" t="s">
        <v>277</v>
      </c>
      <c r="BD261" s="118" t="s">
        <v>277</v>
      </c>
      <c r="BE261" s="236" t="s">
        <v>277</v>
      </c>
      <c r="BF261" s="40" t="s">
        <v>277</v>
      </c>
      <c r="BG261" s="39" t="s">
        <v>277</v>
      </c>
      <c r="BH261" s="40" t="s">
        <v>277</v>
      </c>
      <c r="BI261" s="118" t="s">
        <v>277</v>
      </c>
      <c r="BJ261" s="236" t="s">
        <v>277</v>
      </c>
      <c r="BK261" s="40" t="s">
        <v>277</v>
      </c>
      <c r="BL261" s="39" t="s">
        <v>277</v>
      </c>
      <c r="BM261" s="40" t="s">
        <v>277</v>
      </c>
      <c r="BN261" s="118" t="s">
        <v>277</v>
      </c>
      <c r="BO261" s="236" t="s">
        <v>277</v>
      </c>
      <c r="BP261" s="40" t="s">
        <v>277</v>
      </c>
      <c r="BQ261" s="39" t="s">
        <v>277</v>
      </c>
      <c r="BR261" s="40" t="s">
        <v>277</v>
      </c>
      <c r="BS261" s="118" t="s">
        <v>277</v>
      </c>
      <c r="BT261" s="236" t="s">
        <v>277</v>
      </c>
      <c r="BU261" s="40" t="s">
        <v>277</v>
      </c>
      <c r="BV261" s="39" t="s">
        <v>277</v>
      </c>
      <c r="BW261" s="40" t="s">
        <v>277</v>
      </c>
      <c r="BX261" s="118" t="s">
        <v>277</v>
      </c>
      <c r="BY261" s="236" t="s">
        <v>277</v>
      </c>
      <c r="BZ261" s="40" t="s">
        <v>277</v>
      </c>
      <c r="CA261" s="39" t="s">
        <v>277</v>
      </c>
      <c r="CB261" s="40" t="s">
        <v>277</v>
      </c>
      <c r="CC261" s="118" t="s">
        <v>277</v>
      </c>
      <c r="CD261" s="236" t="s">
        <v>277</v>
      </c>
      <c r="CE261" s="40" t="s">
        <v>277</v>
      </c>
      <c r="CF261" s="39" t="s">
        <v>277</v>
      </c>
      <c r="CG261" s="40" t="s">
        <v>277</v>
      </c>
      <c r="CH261" s="118" t="s">
        <v>277</v>
      </c>
      <c r="CI261" s="236" t="s">
        <v>277</v>
      </c>
      <c r="CJ261" s="40" t="s">
        <v>277</v>
      </c>
      <c r="CK261" s="39" t="s">
        <v>277</v>
      </c>
      <c r="CL261" s="40" t="s">
        <v>277</v>
      </c>
      <c r="CM261" s="118" t="s">
        <v>277</v>
      </c>
      <c r="CN261" s="236" t="s">
        <v>277</v>
      </c>
      <c r="CO261" s="40" t="s">
        <v>277</v>
      </c>
      <c r="CP261" s="39" t="s">
        <v>277</v>
      </c>
      <c r="CQ261" s="40" t="s">
        <v>277</v>
      </c>
      <c r="CR261" s="118" t="s">
        <v>277</v>
      </c>
      <c r="CS261" s="236" t="s">
        <v>277</v>
      </c>
      <c r="CT261" s="40" t="s">
        <v>277</v>
      </c>
      <c r="CU261" s="39" t="s">
        <v>277</v>
      </c>
      <c r="CV261" s="40" t="s">
        <v>277</v>
      </c>
      <c r="CW261" s="118" t="s">
        <v>277</v>
      </c>
      <c r="CX261" s="236" t="s">
        <v>277</v>
      </c>
      <c r="CY261" s="40" t="s">
        <v>277</v>
      </c>
      <c r="CZ261" s="39" t="s">
        <v>277</v>
      </c>
      <c r="DA261" s="40" t="s">
        <v>277</v>
      </c>
      <c r="DB261" s="118" t="s">
        <v>277</v>
      </c>
      <c r="DC261" s="40"/>
      <c r="DD261" s="40"/>
      <c r="DE261" s="40"/>
      <c r="DF261" s="40"/>
      <c r="DG261" s="40"/>
      <c r="DH261" s="40"/>
      <c r="DI261" s="40"/>
      <c r="DJ261" s="40"/>
      <c r="DK261" s="185"/>
      <c r="DL261" s="185"/>
      <c r="DM261" s="61"/>
    </row>
    <row r="262" spans="1:117" outlineLevel="2">
      <c r="A262" s="36" t="s">
        <v>814</v>
      </c>
      <c r="B262" s="37">
        <v>4077</v>
      </c>
      <c r="C262" s="38">
        <v>5880</v>
      </c>
      <c r="D262" s="38">
        <v>5136</v>
      </c>
      <c r="E262" s="48">
        <f>F262-SUM(B262:D262)</f>
        <v>7974</v>
      </c>
      <c r="F262" s="133">
        <v>23067</v>
      </c>
      <c r="G262" s="236" t="s">
        <v>277</v>
      </c>
      <c r="H262" s="40" t="s">
        <v>277</v>
      </c>
      <c r="I262" s="39" t="s">
        <v>277</v>
      </c>
      <c r="J262" s="40" t="s">
        <v>277</v>
      </c>
      <c r="K262" s="118" t="s">
        <v>277</v>
      </c>
      <c r="L262" s="236" t="s">
        <v>277</v>
      </c>
      <c r="M262" s="40" t="s">
        <v>277</v>
      </c>
      <c r="N262" s="39" t="s">
        <v>277</v>
      </c>
      <c r="O262" s="40" t="s">
        <v>277</v>
      </c>
      <c r="P262" s="118" t="s">
        <v>277</v>
      </c>
      <c r="Q262" s="236" t="s">
        <v>277</v>
      </c>
      <c r="R262" s="40" t="s">
        <v>277</v>
      </c>
      <c r="S262" s="39" t="s">
        <v>277</v>
      </c>
      <c r="T262" s="40" t="s">
        <v>277</v>
      </c>
      <c r="U262" s="118" t="s">
        <v>277</v>
      </c>
      <c r="V262" s="236" t="s">
        <v>277</v>
      </c>
      <c r="W262" s="40" t="s">
        <v>277</v>
      </c>
      <c r="X262" s="39" t="s">
        <v>277</v>
      </c>
      <c r="Y262" s="40" t="s">
        <v>277</v>
      </c>
      <c r="Z262" s="118" t="s">
        <v>277</v>
      </c>
      <c r="AA262" s="236" t="s">
        <v>277</v>
      </c>
      <c r="AB262" s="40" t="s">
        <v>277</v>
      </c>
      <c r="AC262" s="39" t="s">
        <v>277</v>
      </c>
      <c r="AD262" s="40" t="s">
        <v>277</v>
      </c>
      <c r="AE262" s="118" t="s">
        <v>277</v>
      </c>
      <c r="AF262" s="236" t="s">
        <v>277</v>
      </c>
      <c r="AG262" s="40" t="s">
        <v>277</v>
      </c>
      <c r="AH262" s="39" t="s">
        <v>277</v>
      </c>
      <c r="AI262" s="40" t="s">
        <v>277</v>
      </c>
      <c r="AJ262" s="118" t="s">
        <v>277</v>
      </c>
      <c r="AK262" s="236" t="s">
        <v>277</v>
      </c>
      <c r="AL262" s="40" t="s">
        <v>277</v>
      </c>
      <c r="AM262" s="39" t="s">
        <v>277</v>
      </c>
      <c r="AN262" s="40" t="s">
        <v>277</v>
      </c>
      <c r="AO262" s="118" t="s">
        <v>277</v>
      </c>
      <c r="AP262" s="236" t="s">
        <v>277</v>
      </c>
      <c r="AQ262" s="40" t="s">
        <v>277</v>
      </c>
      <c r="AR262" s="39" t="s">
        <v>277</v>
      </c>
      <c r="AS262" s="40" t="s">
        <v>277</v>
      </c>
      <c r="AT262" s="118" t="s">
        <v>277</v>
      </c>
      <c r="AU262" s="236" t="s">
        <v>277</v>
      </c>
      <c r="AV262" s="40" t="s">
        <v>277</v>
      </c>
      <c r="AW262" s="39" t="s">
        <v>277</v>
      </c>
      <c r="AX262" s="40" t="s">
        <v>277</v>
      </c>
      <c r="AY262" s="118" t="s">
        <v>277</v>
      </c>
      <c r="AZ262" s="236" t="s">
        <v>277</v>
      </c>
      <c r="BA262" s="40" t="s">
        <v>277</v>
      </c>
      <c r="BB262" s="39" t="s">
        <v>277</v>
      </c>
      <c r="BC262" s="40" t="s">
        <v>277</v>
      </c>
      <c r="BD262" s="118" t="s">
        <v>277</v>
      </c>
      <c r="BE262" s="236" t="s">
        <v>277</v>
      </c>
      <c r="BF262" s="40" t="s">
        <v>277</v>
      </c>
      <c r="BG262" s="39" t="s">
        <v>277</v>
      </c>
      <c r="BH262" s="40" t="s">
        <v>277</v>
      </c>
      <c r="BI262" s="118" t="s">
        <v>277</v>
      </c>
      <c r="BJ262" s="236" t="s">
        <v>277</v>
      </c>
      <c r="BK262" s="40" t="s">
        <v>277</v>
      </c>
      <c r="BL262" s="39" t="s">
        <v>277</v>
      </c>
      <c r="BM262" s="40" t="s">
        <v>277</v>
      </c>
      <c r="BN262" s="118" t="s">
        <v>277</v>
      </c>
      <c r="BO262" s="236" t="s">
        <v>277</v>
      </c>
      <c r="BP262" s="40" t="s">
        <v>277</v>
      </c>
      <c r="BQ262" s="39" t="s">
        <v>277</v>
      </c>
      <c r="BR262" s="40" t="s">
        <v>277</v>
      </c>
      <c r="BS262" s="118" t="s">
        <v>277</v>
      </c>
      <c r="BT262" s="236" t="s">
        <v>277</v>
      </c>
      <c r="BU262" s="40" t="s">
        <v>277</v>
      </c>
      <c r="BV262" s="39" t="s">
        <v>277</v>
      </c>
      <c r="BW262" s="40" t="s">
        <v>277</v>
      </c>
      <c r="BX262" s="118" t="s">
        <v>277</v>
      </c>
      <c r="BY262" s="236" t="s">
        <v>277</v>
      </c>
      <c r="BZ262" s="40" t="s">
        <v>277</v>
      </c>
      <c r="CA262" s="39" t="s">
        <v>277</v>
      </c>
      <c r="CB262" s="40" t="s">
        <v>277</v>
      </c>
      <c r="CC262" s="118" t="s">
        <v>277</v>
      </c>
      <c r="CD262" s="236" t="s">
        <v>277</v>
      </c>
      <c r="CE262" s="40" t="s">
        <v>277</v>
      </c>
      <c r="CF262" s="39" t="s">
        <v>277</v>
      </c>
      <c r="CG262" s="40" t="s">
        <v>277</v>
      </c>
      <c r="CH262" s="118" t="s">
        <v>277</v>
      </c>
      <c r="CI262" s="236" t="s">
        <v>277</v>
      </c>
      <c r="CJ262" s="40" t="s">
        <v>277</v>
      </c>
      <c r="CK262" s="39" t="s">
        <v>277</v>
      </c>
      <c r="CL262" s="40" t="s">
        <v>277</v>
      </c>
      <c r="CM262" s="118" t="s">
        <v>277</v>
      </c>
      <c r="CN262" s="236" t="s">
        <v>277</v>
      </c>
      <c r="CO262" s="40" t="s">
        <v>277</v>
      </c>
      <c r="CP262" s="39" t="s">
        <v>277</v>
      </c>
      <c r="CQ262" s="40" t="s">
        <v>277</v>
      </c>
      <c r="CR262" s="118" t="s">
        <v>277</v>
      </c>
      <c r="CS262" s="236" t="s">
        <v>277</v>
      </c>
      <c r="CT262" s="40" t="s">
        <v>277</v>
      </c>
      <c r="CU262" s="39" t="s">
        <v>277</v>
      </c>
      <c r="CV262" s="40" t="s">
        <v>277</v>
      </c>
      <c r="CW262" s="118" t="s">
        <v>277</v>
      </c>
      <c r="CX262" s="236" t="s">
        <v>277</v>
      </c>
      <c r="CY262" s="40" t="s">
        <v>277</v>
      </c>
      <c r="CZ262" s="39" t="s">
        <v>277</v>
      </c>
      <c r="DA262" s="40" t="s">
        <v>277</v>
      </c>
      <c r="DB262" s="118" t="s">
        <v>277</v>
      </c>
      <c r="DC262" s="40"/>
      <c r="DD262" s="40"/>
      <c r="DE262" s="40"/>
      <c r="DF262" s="40"/>
      <c r="DG262" s="40"/>
      <c r="DH262" s="40"/>
      <c r="DI262" s="40"/>
      <c r="DJ262" s="40"/>
      <c r="DK262" s="185"/>
      <c r="DL262" s="185"/>
      <c r="DM262" s="61"/>
    </row>
    <row r="263" spans="1:117" outlineLevel="2">
      <c r="A263" s="36"/>
      <c r="B263" s="37"/>
      <c r="C263" s="38"/>
      <c r="D263" s="38"/>
      <c r="E263" s="38"/>
      <c r="F263" s="133"/>
      <c r="G263" s="236"/>
      <c r="H263" s="40"/>
      <c r="I263" s="39"/>
      <c r="J263" s="40"/>
      <c r="K263" s="118"/>
      <c r="L263" s="236"/>
      <c r="M263" s="40"/>
      <c r="N263" s="39"/>
      <c r="O263" s="40"/>
      <c r="P263" s="118"/>
      <c r="Q263" s="236"/>
      <c r="R263" s="40"/>
      <c r="S263" s="39"/>
      <c r="T263" s="40"/>
      <c r="U263" s="118"/>
      <c r="V263" s="236"/>
      <c r="W263" s="40"/>
      <c r="X263" s="39"/>
      <c r="Y263" s="40"/>
      <c r="Z263" s="118"/>
      <c r="AA263" s="236"/>
      <c r="AB263" s="40"/>
      <c r="AC263" s="39"/>
      <c r="AD263" s="40"/>
      <c r="AE263" s="118"/>
      <c r="AF263" s="236"/>
      <c r="AG263" s="40"/>
      <c r="AH263" s="39"/>
      <c r="AI263" s="40"/>
      <c r="AJ263" s="118"/>
      <c r="AK263" s="236"/>
      <c r="AL263" s="40"/>
      <c r="AM263" s="39"/>
      <c r="AN263" s="40"/>
      <c r="AO263" s="118"/>
      <c r="AP263" s="236"/>
      <c r="AQ263" s="40"/>
      <c r="AR263" s="39"/>
      <c r="AS263" s="40"/>
      <c r="AT263" s="118"/>
      <c r="AU263" s="236"/>
      <c r="AV263" s="40"/>
      <c r="AW263" s="39"/>
      <c r="AX263" s="40"/>
      <c r="AY263" s="118"/>
      <c r="AZ263" s="236"/>
      <c r="BA263" s="40"/>
      <c r="BB263" s="39"/>
      <c r="BC263" s="40"/>
      <c r="BD263" s="118"/>
      <c r="BE263" s="236"/>
      <c r="BF263" s="40"/>
      <c r="BG263" s="39"/>
      <c r="BH263" s="40"/>
      <c r="BI263" s="118"/>
      <c r="BJ263" s="236"/>
      <c r="BK263" s="40"/>
      <c r="BL263" s="39"/>
      <c r="BM263" s="40"/>
      <c r="BN263" s="118"/>
      <c r="BO263" s="236"/>
      <c r="BP263" s="40"/>
      <c r="BQ263" s="39"/>
      <c r="BR263" s="40"/>
      <c r="BS263" s="118"/>
      <c r="BT263" s="236"/>
      <c r="BU263" s="40"/>
      <c r="BV263" s="39"/>
      <c r="BW263" s="40"/>
      <c r="BX263" s="118"/>
      <c r="BY263" s="236"/>
      <c r="BZ263" s="40"/>
      <c r="CA263" s="39"/>
      <c r="CB263" s="40"/>
      <c r="CC263" s="118"/>
      <c r="CD263" s="236"/>
      <c r="CE263" s="40"/>
      <c r="CF263" s="39"/>
      <c r="CG263" s="40"/>
      <c r="CH263" s="118"/>
      <c r="CI263" s="236"/>
      <c r="CJ263" s="40"/>
      <c r="CK263" s="39"/>
      <c r="CL263" s="40"/>
      <c r="CM263" s="118"/>
      <c r="CN263" s="236"/>
      <c r="CO263" s="40"/>
      <c r="CP263" s="39"/>
      <c r="CQ263" s="40"/>
      <c r="CR263" s="118"/>
      <c r="CS263" s="236"/>
      <c r="CT263" s="40"/>
      <c r="CU263" s="39"/>
      <c r="CV263" s="40"/>
      <c r="CW263" s="118"/>
      <c r="CX263" s="236"/>
      <c r="CY263" s="40"/>
      <c r="CZ263" s="39"/>
      <c r="DA263" s="40"/>
      <c r="DB263" s="118"/>
      <c r="DC263" s="40"/>
      <c r="DD263" s="40"/>
      <c r="DE263" s="40"/>
      <c r="DF263" s="40"/>
      <c r="DG263" s="40"/>
      <c r="DH263" s="40"/>
      <c r="DI263" s="40"/>
      <c r="DJ263" s="40"/>
      <c r="DK263" s="185"/>
      <c r="DL263" s="185"/>
      <c r="DM263" s="61"/>
    </row>
    <row r="264" spans="1:117" outlineLevel="2">
      <c r="A264" s="12"/>
      <c r="B264" s="19"/>
      <c r="C264" s="18"/>
      <c r="D264" s="18"/>
      <c r="E264" s="18"/>
      <c r="F264" s="133"/>
      <c r="G264" s="19"/>
      <c r="H264" s="18"/>
      <c r="I264" s="18"/>
      <c r="J264" s="18"/>
      <c r="K264" s="133"/>
      <c r="L264" s="19"/>
      <c r="M264" s="18"/>
      <c r="N264" s="18"/>
      <c r="O264" s="18"/>
      <c r="P264" s="133"/>
      <c r="Q264" s="19"/>
      <c r="R264" s="18"/>
      <c r="S264" s="18"/>
      <c r="T264" s="18"/>
      <c r="U264" s="133"/>
      <c r="V264" s="19"/>
      <c r="W264" s="18"/>
      <c r="X264" s="18"/>
      <c r="Y264" s="18"/>
      <c r="Z264" s="133"/>
      <c r="AA264" s="19"/>
      <c r="AB264" s="18"/>
      <c r="AC264" s="18"/>
      <c r="AD264" s="18"/>
      <c r="AE264" s="133"/>
      <c r="AF264" s="19"/>
      <c r="AG264" s="18"/>
      <c r="AH264" s="18"/>
      <c r="AI264" s="18"/>
      <c r="AJ264" s="133"/>
      <c r="AK264" s="19"/>
      <c r="AL264" s="18"/>
      <c r="AM264" s="18"/>
      <c r="AN264" s="18"/>
      <c r="AO264" s="133"/>
      <c r="AP264" s="19"/>
      <c r="AQ264" s="18"/>
      <c r="AR264" s="18"/>
      <c r="AS264" s="18"/>
      <c r="AT264" s="133"/>
      <c r="AU264" s="19"/>
      <c r="AV264" s="18"/>
      <c r="AW264" s="18"/>
      <c r="AX264" s="18"/>
      <c r="AY264" s="133"/>
      <c r="AZ264" s="19"/>
      <c r="BA264" s="18"/>
      <c r="BB264" s="18"/>
      <c r="BC264" s="18"/>
      <c r="BD264" s="133"/>
      <c r="BE264" s="19"/>
      <c r="BF264" s="18"/>
      <c r="BG264" s="18"/>
      <c r="BH264" s="18"/>
      <c r="BI264" s="133"/>
      <c r="BJ264" s="19"/>
      <c r="BK264" s="18"/>
      <c r="BL264" s="18"/>
      <c r="BM264" s="18"/>
      <c r="BN264" s="133"/>
      <c r="BO264" s="19"/>
      <c r="BP264" s="18"/>
      <c r="BQ264" s="18"/>
      <c r="BR264" s="18"/>
      <c r="BS264" s="133"/>
      <c r="BT264" s="19"/>
      <c r="BU264" s="18"/>
      <c r="BV264" s="18"/>
      <c r="BW264" s="18"/>
      <c r="BX264" s="133"/>
      <c r="BY264" s="19"/>
      <c r="BZ264" s="18"/>
      <c r="CA264" s="18"/>
      <c r="CB264" s="18"/>
      <c r="CC264" s="133"/>
      <c r="CD264" s="19"/>
      <c r="CE264" s="18"/>
      <c r="CF264" s="18"/>
      <c r="CG264" s="18"/>
      <c r="CH264" s="133"/>
      <c r="CI264" s="19"/>
      <c r="CJ264" s="18"/>
      <c r="CK264" s="18"/>
      <c r="CL264" s="18"/>
      <c r="CM264" s="133"/>
      <c r="CN264" s="19"/>
      <c r="CO264" s="18"/>
      <c r="CP264" s="18"/>
      <c r="CQ264" s="18"/>
      <c r="CR264" s="133"/>
      <c r="CS264" s="19"/>
      <c r="CT264" s="18"/>
      <c r="CU264" s="18"/>
      <c r="CV264" s="18"/>
      <c r="CW264" s="133"/>
      <c r="CX264" s="19"/>
      <c r="CY264" s="18"/>
      <c r="CZ264" s="18"/>
      <c r="DA264" s="18"/>
      <c r="DB264" s="133"/>
      <c r="DC264" s="38"/>
      <c r="DD264" s="38"/>
      <c r="DE264" s="38"/>
      <c r="DF264" s="38"/>
      <c r="DG264" s="38"/>
      <c r="DH264" s="38"/>
      <c r="DI264" s="38"/>
      <c r="DJ264" s="38"/>
      <c r="DK264" s="65"/>
      <c r="DL264" s="65"/>
      <c r="DM264" s="61"/>
    </row>
    <row r="265" spans="1:117" outlineLevel="2">
      <c r="A265" s="16" t="s">
        <v>868</v>
      </c>
      <c r="B265" s="19"/>
      <c r="C265" s="18"/>
      <c r="D265" s="18"/>
      <c r="E265" s="18"/>
      <c r="F265" s="133"/>
      <c r="G265" s="19"/>
      <c r="H265" s="18"/>
      <c r="I265" s="18"/>
      <c r="J265" s="18"/>
      <c r="K265" s="133"/>
      <c r="L265" s="19"/>
      <c r="M265" s="18"/>
      <c r="N265" s="18"/>
      <c r="O265" s="18"/>
      <c r="P265" s="133"/>
      <c r="Q265" s="19"/>
      <c r="R265" s="18"/>
      <c r="S265" s="18"/>
      <c r="T265" s="18"/>
      <c r="U265" s="133"/>
      <c r="V265" s="19"/>
      <c r="W265" s="18"/>
      <c r="X265" s="18"/>
      <c r="Y265" s="18"/>
      <c r="Z265" s="133"/>
      <c r="AA265" s="19"/>
      <c r="AB265" s="18"/>
      <c r="AC265" s="18"/>
      <c r="AD265" s="18"/>
      <c r="AE265" s="133"/>
      <c r="AF265" s="19"/>
      <c r="AG265" s="18"/>
      <c r="AH265" s="18"/>
      <c r="AI265" s="18"/>
      <c r="AJ265" s="133"/>
      <c r="AK265" s="19"/>
      <c r="AL265" s="18"/>
      <c r="AM265" s="18"/>
      <c r="AN265" s="18"/>
      <c r="AO265" s="133"/>
      <c r="AP265" s="19"/>
      <c r="AQ265" s="18"/>
      <c r="AR265" s="18"/>
      <c r="AS265" s="18"/>
      <c r="AT265" s="133"/>
      <c r="AU265" s="19"/>
      <c r="AV265" s="18"/>
      <c r="AW265" s="18"/>
      <c r="AX265" s="18"/>
      <c r="AY265" s="133"/>
      <c r="AZ265" s="19"/>
      <c r="BA265" s="18"/>
      <c r="BB265" s="18"/>
      <c r="BC265" s="18"/>
      <c r="BD265" s="133"/>
      <c r="BE265" s="19"/>
      <c r="BF265" s="18"/>
      <c r="BG265" s="18"/>
      <c r="BH265" s="18"/>
      <c r="BI265" s="133"/>
      <c r="BJ265" s="19"/>
      <c r="BK265" s="18"/>
      <c r="BL265" s="18"/>
      <c r="BM265" s="18"/>
      <c r="BN265" s="133"/>
      <c r="BO265" s="19"/>
      <c r="BP265" s="18"/>
      <c r="BQ265" s="18"/>
      <c r="BR265" s="18"/>
      <c r="BS265" s="133"/>
      <c r="BT265" s="19"/>
      <c r="BU265" s="18"/>
      <c r="BV265" s="18"/>
      <c r="BW265" s="18"/>
      <c r="BX265" s="133"/>
      <c r="BY265" s="19"/>
      <c r="BZ265" s="18"/>
      <c r="CA265" s="18"/>
      <c r="CB265" s="18"/>
      <c r="CC265" s="133"/>
      <c r="CD265" s="19"/>
      <c r="CE265" s="18"/>
      <c r="CF265" s="18"/>
      <c r="CG265" s="18"/>
      <c r="CH265" s="133"/>
      <c r="CI265" s="19"/>
      <c r="CJ265" s="18"/>
      <c r="CK265" s="18"/>
      <c r="CL265" s="18"/>
      <c r="CM265" s="133"/>
      <c r="CN265" s="19"/>
      <c r="CO265" s="18"/>
      <c r="CP265" s="18"/>
      <c r="CQ265" s="18"/>
      <c r="CR265" s="133"/>
      <c r="CS265" s="19"/>
      <c r="CT265" s="18"/>
      <c r="CU265" s="18"/>
      <c r="CV265" s="18"/>
      <c r="CW265" s="133"/>
      <c r="CX265" s="19"/>
      <c r="CY265" s="18"/>
      <c r="CZ265" s="18"/>
      <c r="DA265" s="18"/>
      <c r="DB265" s="133"/>
      <c r="DC265" s="38"/>
      <c r="DD265" s="38"/>
      <c r="DE265" s="38"/>
      <c r="DF265" s="38"/>
      <c r="DG265" s="38"/>
      <c r="DH265" s="38"/>
      <c r="DI265" s="38"/>
      <c r="DJ265" s="38"/>
      <c r="DK265" s="65"/>
      <c r="DL265" s="65"/>
      <c r="DM265" s="61"/>
    </row>
    <row r="266" spans="1:117" outlineLevel="2">
      <c r="A266" s="34" t="s">
        <v>214</v>
      </c>
      <c r="B266" s="37">
        <v>25561</v>
      </c>
      <c r="C266" s="38">
        <v>23009</v>
      </c>
      <c r="D266" s="38">
        <v>329682</v>
      </c>
      <c r="E266" s="48">
        <f>F266-SUM(B266:D266)</f>
        <v>878246</v>
      </c>
      <c r="F266" s="133">
        <v>1256498</v>
      </c>
      <c r="G266" s="236" t="s">
        <v>277</v>
      </c>
      <c r="H266" s="40" t="s">
        <v>277</v>
      </c>
      <c r="I266" s="39" t="s">
        <v>277</v>
      </c>
      <c r="J266" s="40" t="s">
        <v>277</v>
      </c>
      <c r="K266" s="118" t="s">
        <v>277</v>
      </c>
      <c r="L266" s="236" t="s">
        <v>277</v>
      </c>
      <c r="M266" s="40" t="s">
        <v>277</v>
      </c>
      <c r="N266" s="39" t="s">
        <v>277</v>
      </c>
      <c r="O266" s="40" t="s">
        <v>277</v>
      </c>
      <c r="P266" s="118" t="s">
        <v>277</v>
      </c>
      <c r="Q266" s="236" t="s">
        <v>277</v>
      </c>
      <c r="R266" s="40" t="s">
        <v>277</v>
      </c>
      <c r="S266" s="39" t="s">
        <v>277</v>
      </c>
      <c r="T266" s="40" t="s">
        <v>277</v>
      </c>
      <c r="U266" s="118" t="s">
        <v>277</v>
      </c>
      <c r="V266" s="236" t="s">
        <v>277</v>
      </c>
      <c r="W266" s="40" t="s">
        <v>277</v>
      </c>
      <c r="X266" s="39" t="s">
        <v>277</v>
      </c>
      <c r="Y266" s="40" t="s">
        <v>277</v>
      </c>
      <c r="Z266" s="118" t="s">
        <v>277</v>
      </c>
      <c r="AA266" s="236" t="s">
        <v>277</v>
      </c>
      <c r="AB266" s="40" t="s">
        <v>277</v>
      </c>
      <c r="AC266" s="39" t="s">
        <v>277</v>
      </c>
      <c r="AD266" s="40" t="s">
        <v>277</v>
      </c>
      <c r="AE266" s="118" t="s">
        <v>277</v>
      </c>
      <c r="AF266" s="236" t="s">
        <v>277</v>
      </c>
      <c r="AG266" s="40" t="s">
        <v>277</v>
      </c>
      <c r="AH266" s="39" t="s">
        <v>277</v>
      </c>
      <c r="AI266" s="40" t="s">
        <v>277</v>
      </c>
      <c r="AJ266" s="118" t="s">
        <v>277</v>
      </c>
      <c r="AK266" s="236" t="s">
        <v>277</v>
      </c>
      <c r="AL266" s="40" t="s">
        <v>277</v>
      </c>
      <c r="AM266" s="39" t="s">
        <v>277</v>
      </c>
      <c r="AN266" s="40" t="s">
        <v>277</v>
      </c>
      <c r="AO266" s="118" t="s">
        <v>277</v>
      </c>
      <c r="AP266" s="236" t="s">
        <v>277</v>
      </c>
      <c r="AQ266" s="40" t="s">
        <v>277</v>
      </c>
      <c r="AR266" s="39" t="s">
        <v>277</v>
      </c>
      <c r="AS266" s="40" t="s">
        <v>277</v>
      </c>
      <c r="AT266" s="118" t="s">
        <v>277</v>
      </c>
      <c r="AU266" s="236" t="s">
        <v>277</v>
      </c>
      <c r="AV266" s="40" t="s">
        <v>277</v>
      </c>
      <c r="AW266" s="39" t="s">
        <v>277</v>
      </c>
      <c r="AX266" s="40" t="s">
        <v>277</v>
      </c>
      <c r="AY266" s="118" t="s">
        <v>277</v>
      </c>
      <c r="AZ266" s="236" t="s">
        <v>277</v>
      </c>
      <c r="BA266" s="40" t="s">
        <v>277</v>
      </c>
      <c r="BB266" s="39" t="s">
        <v>277</v>
      </c>
      <c r="BC266" s="40" t="s">
        <v>277</v>
      </c>
      <c r="BD266" s="118" t="s">
        <v>277</v>
      </c>
      <c r="BE266" s="236" t="s">
        <v>277</v>
      </c>
      <c r="BF266" s="40" t="s">
        <v>277</v>
      </c>
      <c r="BG266" s="39" t="s">
        <v>277</v>
      </c>
      <c r="BH266" s="40" t="s">
        <v>277</v>
      </c>
      <c r="BI266" s="118" t="s">
        <v>277</v>
      </c>
      <c r="BJ266" s="236" t="s">
        <v>277</v>
      </c>
      <c r="BK266" s="40" t="s">
        <v>277</v>
      </c>
      <c r="BL266" s="39" t="s">
        <v>277</v>
      </c>
      <c r="BM266" s="40" t="s">
        <v>277</v>
      </c>
      <c r="BN266" s="118" t="s">
        <v>277</v>
      </c>
      <c r="BO266" s="236" t="s">
        <v>277</v>
      </c>
      <c r="BP266" s="40" t="s">
        <v>277</v>
      </c>
      <c r="BQ266" s="39" t="s">
        <v>277</v>
      </c>
      <c r="BR266" s="40" t="s">
        <v>277</v>
      </c>
      <c r="BS266" s="118" t="s">
        <v>277</v>
      </c>
      <c r="BT266" s="236" t="s">
        <v>277</v>
      </c>
      <c r="BU266" s="40" t="s">
        <v>277</v>
      </c>
      <c r="BV266" s="39" t="s">
        <v>277</v>
      </c>
      <c r="BW266" s="40" t="s">
        <v>277</v>
      </c>
      <c r="BX266" s="118" t="s">
        <v>277</v>
      </c>
      <c r="BY266" s="236" t="s">
        <v>277</v>
      </c>
      <c r="BZ266" s="40" t="s">
        <v>277</v>
      </c>
      <c r="CA266" s="39" t="s">
        <v>277</v>
      </c>
      <c r="CB266" s="40" t="s">
        <v>277</v>
      </c>
      <c r="CC266" s="118" t="s">
        <v>277</v>
      </c>
      <c r="CD266" s="236" t="s">
        <v>277</v>
      </c>
      <c r="CE266" s="40" t="s">
        <v>277</v>
      </c>
      <c r="CF266" s="39" t="s">
        <v>277</v>
      </c>
      <c r="CG266" s="40" t="s">
        <v>277</v>
      </c>
      <c r="CH266" s="118" t="s">
        <v>277</v>
      </c>
      <c r="CI266" s="236" t="s">
        <v>277</v>
      </c>
      <c r="CJ266" s="40" t="s">
        <v>277</v>
      </c>
      <c r="CK266" s="39" t="s">
        <v>277</v>
      </c>
      <c r="CL266" s="40" t="s">
        <v>277</v>
      </c>
      <c r="CM266" s="118" t="s">
        <v>277</v>
      </c>
      <c r="CN266" s="236" t="s">
        <v>277</v>
      </c>
      <c r="CO266" s="40" t="s">
        <v>277</v>
      </c>
      <c r="CP266" s="39" t="s">
        <v>277</v>
      </c>
      <c r="CQ266" s="40" t="s">
        <v>277</v>
      </c>
      <c r="CR266" s="118" t="s">
        <v>277</v>
      </c>
      <c r="CS266" s="236" t="s">
        <v>277</v>
      </c>
      <c r="CT266" s="40" t="s">
        <v>277</v>
      </c>
      <c r="CU266" s="39" t="s">
        <v>277</v>
      </c>
      <c r="CV266" s="40" t="s">
        <v>277</v>
      </c>
      <c r="CW266" s="118" t="s">
        <v>277</v>
      </c>
      <c r="CX266" s="236" t="s">
        <v>277</v>
      </c>
      <c r="CY266" s="40" t="s">
        <v>277</v>
      </c>
      <c r="CZ266" s="39" t="s">
        <v>277</v>
      </c>
      <c r="DA266" s="40" t="s">
        <v>277</v>
      </c>
      <c r="DB266" s="118" t="s">
        <v>277</v>
      </c>
      <c r="DC266" s="40"/>
      <c r="DD266" s="40"/>
      <c r="DE266" s="40"/>
      <c r="DF266" s="40"/>
      <c r="DG266" s="40"/>
      <c r="DH266" s="40"/>
      <c r="DI266" s="40"/>
      <c r="DJ266" s="40"/>
      <c r="DK266" s="185"/>
      <c r="DL266" s="185"/>
      <c r="DM266" s="9"/>
    </row>
    <row r="267" spans="1:117" outlineLevel="2">
      <c r="A267" s="34" t="s">
        <v>333</v>
      </c>
      <c r="B267" s="37">
        <v>826</v>
      </c>
      <c r="C267" s="38">
        <v>1135</v>
      </c>
      <c r="D267" s="38">
        <v>0</v>
      </c>
      <c r="E267" s="48">
        <f>F267-SUM(B267:D267)</f>
        <v>-1961</v>
      </c>
      <c r="F267" s="133">
        <v>0</v>
      </c>
      <c r="G267" s="236" t="s">
        <v>277</v>
      </c>
      <c r="H267" s="40" t="s">
        <v>277</v>
      </c>
      <c r="I267" s="39" t="s">
        <v>277</v>
      </c>
      <c r="J267" s="40" t="s">
        <v>277</v>
      </c>
      <c r="K267" s="118" t="s">
        <v>277</v>
      </c>
      <c r="L267" s="236" t="s">
        <v>277</v>
      </c>
      <c r="M267" s="40" t="s">
        <v>277</v>
      </c>
      <c r="N267" s="39" t="s">
        <v>277</v>
      </c>
      <c r="O267" s="40" t="s">
        <v>277</v>
      </c>
      <c r="P267" s="118" t="s">
        <v>277</v>
      </c>
      <c r="Q267" s="236" t="s">
        <v>277</v>
      </c>
      <c r="R267" s="40" t="s">
        <v>277</v>
      </c>
      <c r="S267" s="39" t="s">
        <v>277</v>
      </c>
      <c r="T267" s="40" t="s">
        <v>277</v>
      </c>
      <c r="U267" s="118" t="s">
        <v>277</v>
      </c>
      <c r="V267" s="236" t="s">
        <v>277</v>
      </c>
      <c r="W267" s="40" t="s">
        <v>277</v>
      </c>
      <c r="X267" s="39" t="s">
        <v>277</v>
      </c>
      <c r="Y267" s="40" t="s">
        <v>277</v>
      </c>
      <c r="Z267" s="118" t="s">
        <v>277</v>
      </c>
      <c r="AA267" s="236" t="s">
        <v>277</v>
      </c>
      <c r="AB267" s="40" t="s">
        <v>277</v>
      </c>
      <c r="AC267" s="39" t="s">
        <v>277</v>
      </c>
      <c r="AD267" s="40" t="s">
        <v>277</v>
      </c>
      <c r="AE267" s="118" t="s">
        <v>277</v>
      </c>
      <c r="AF267" s="236" t="s">
        <v>277</v>
      </c>
      <c r="AG267" s="40" t="s">
        <v>277</v>
      </c>
      <c r="AH267" s="39" t="s">
        <v>277</v>
      </c>
      <c r="AI267" s="40" t="s">
        <v>277</v>
      </c>
      <c r="AJ267" s="118" t="s">
        <v>277</v>
      </c>
      <c r="AK267" s="236" t="s">
        <v>277</v>
      </c>
      <c r="AL267" s="40" t="s">
        <v>277</v>
      </c>
      <c r="AM267" s="39" t="s">
        <v>277</v>
      </c>
      <c r="AN267" s="40" t="s">
        <v>277</v>
      </c>
      <c r="AO267" s="118" t="s">
        <v>277</v>
      </c>
      <c r="AP267" s="236" t="s">
        <v>277</v>
      </c>
      <c r="AQ267" s="40" t="s">
        <v>277</v>
      </c>
      <c r="AR267" s="39" t="s">
        <v>277</v>
      </c>
      <c r="AS267" s="40" t="s">
        <v>277</v>
      </c>
      <c r="AT267" s="118" t="s">
        <v>277</v>
      </c>
      <c r="AU267" s="236" t="s">
        <v>277</v>
      </c>
      <c r="AV267" s="40" t="s">
        <v>277</v>
      </c>
      <c r="AW267" s="39" t="s">
        <v>277</v>
      </c>
      <c r="AX267" s="40" t="s">
        <v>277</v>
      </c>
      <c r="AY267" s="118" t="s">
        <v>277</v>
      </c>
      <c r="AZ267" s="236" t="s">
        <v>277</v>
      </c>
      <c r="BA267" s="40" t="s">
        <v>277</v>
      </c>
      <c r="BB267" s="39" t="s">
        <v>277</v>
      </c>
      <c r="BC267" s="40" t="s">
        <v>277</v>
      </c>
      <c r="BD267" s="118" t="s">
        <v>277</v>
      </c>
      <c r="BE267" s="236" t="s">
        <v>277</v>
      </c>
      <c r="BF267" s="40" t="s">
        <v>277</v>
      </c>
      <c r="BG267" s="39" t="s">
        <v>277</v>
      </c>
      <c r="BH267" s="40" t="s">
        <v>277</v>
      </c>
      <c r="BI267" s="118" t="s">
        <v>277</v>
      </c>
      <c r="BJ267" s="236" t="s">
        <v>277</v>
      </c>
      <c r="BK267" s="40" t="s">
        <v>277</v>
      </c>
      <c r="BL267" s="39" t="s">
        <v>277</v>
      </c>
      <c r="BM267" s="40" t="s">
        <v>277</v>
      </c>
      <c r="BN267" s="118" t="s">
        <v>277</v>
      </c>
      <c r="BO267" s="236" t="s">
        <v>277</v>
      </c>
      <c r="BP267" s="40" t="s">
        <v>277</v>
      </c>
      <c r="BQ267" s="39" t="s">
        <v>277</v>
      </c>
      <c r="BR267" s="40" t="s">
        <v>277</v>
      </c>
      <c r="BS267" s="118" t="s">
        <v>277</v>
      </c>
      <c r="BT267" s="236" t="s">
        <v>277</v>
      </c>
      <c r="BU267" s="40" t="s">
        <v>277</v>
      </c>
      <c r="BV267" s="39" t="s">
        <v>277</v>
      </c>
      <c r="BW267" s="40" t="s">
        <v>277</v>
      </c>
      <c r="BX267" s="118" t="s">
        <v>277</v>
      </c>
      <c r="BY267" s="236" t="s">
        <v>277</v>
      </c>
      <c r="BZ267" s="40" t="s">
        <v>277</v>
      </c>
      <c r="CA267" s="39" t="s">
        <v>277</v>
      </c>
      <c r="CB267" s="40" t="s">
        <v>277</v>
      </c>
      <c r="CC267" s="118" t="s">
        <v>277</v>
      </c>
      <c r="CD267" s="236" t="s">
        <v>277</v>
      </c>
      <c r="CE267" s="40" t="s">
        <v>277</v>
      </c>
      <c r="CF267" s="39" t="s">
        <v>277</v>
      </c>
      <c r="CG267" s="40" t="s">
        <v>277</v>
      </c>
      <c r="CH267" s="118" t="s">
        <v>277</v>
      </c>
      <c r="CI267" s="236" t="s">
        <v>277</v>
      </c>
      <c r="CJ267" s="40" t="s">
        <v>277</v>
      </c>
      <c r="CK267" s="39" t="s">
        <v>277</v>
      </c>
      <c r="CL267" s="40" t="s">
        <v>277</v>
      </c>
      <c r="CM267" s="118" t="s">
        <v>277</v>
      </c>
      <c r="CN267" s="236" t="s">
        <v>277</v>
      </c>
      <c r="CO267" s="40" t="s">
        <v>277</v>
      </c>
      <c r="CP267" s="39" t="s">
        <v>277</v>
      </c>
      <c r="CQ267" s="40" t="s">
        <v>277</v>
      </c>
      <c r="CR267" s="118" t="s">
        <v>277</v>
      </c>
      <c r="CS267" s="236" t="s">
        <v>277</v>
      </c>
      <c r="CT267" s="40" t="s">
        <v>277</v>
      </c>
      <c r="CU267" s="39" t="s">
        <v>277</v>
      </c>
      <c r="CV267" s="40" t="s">
        <v>277</v>
      </c>
      <c r="CW267" s="118" t="s">
        <v>277</v>
      </c>
      <c r="CX267" s="236" t="s">
        <v>277</v>
      </c>
      <c r="CY267" s="40" t="s">
        <v>277</v>
      </c>
      <c r="CZ267" s="39" t="s">
        <v>277</v>
      </c>
      <c r="DA267" s="40" t="s">
        <v>277</v>
      </c>
      <c r="DB267" s="118" t="s">
        <v>277</v>
      </c>
      <c r="DC267" s="40"/>
      <c r="DD267" s="40"/>
      <c r="DE267" s="40"/>
      <c r="DF267" s="40"/>
      <c r="DG267" s="40"/>
      <c r="DH267" s="40"/>
      <c r="DI267" s="40"/>
      <c r="DJ267" s="40"/>
      <c r="DK267" s="185"/>
      <c r="DL267" s="185"/>
      <c r="DM267" s="61"/>
    </row>
    <row r="268" spans="1:117" outlineLevel="2">
      <c r="A268" s="28" t="s">
        <v>684</v>
      </c>
      <c r="B268" s="160">
        <f>SUM(B266:B267)</f>
        <v>26387</v>
      </c>
      <c r="C268" s="168">
        <f>SUM(C266:C267)</f>
        <v>24144</v>
      </c>
      <c r="D268" s="168">
        <f>SUM(D266:D267)</f>
        <v>329682</v>
      </c>
      <c r="E268" s="168">
        <f>SUM(E266:E267)</f>
        <v>876285</v>
      </c>
      <c r="F268" s="235">
        <f>SUM(F266:F267)</f>
        <v>1256498</v>
      </c>
      <c r="G268" s="236" t="s">
        <v>277</v>
      </c>
      <c r="H268" s="40" t="s">
        <v>277</v>
      </c>
      <c r="I268" s="39" t="s">
        <v>277</v>
      </c>
      <c r="J268" s="40" t="s">
        <v>277</v>
      </c>
      <c r="K268" s="118" t="s">
        <v>277</v>
      </c>
      <c r="L268" s="236" t="s">
        <v>277</v>
      </c>
      <c r="M268" s="40" t="s">
        <v>277</v>
      </c>
      <c r="N268" s="39" t="s">
        <v>277</v>
      </c>
      <c r="O268" s="40" t="s">
        <v>277</v>
      </c>
      <c r="P268" s="118" t="s">
        <v>277</v>
      </c>
      <c r="Q268" s="236" t="s">
        <v>277</v>
      </c>
      <c r="R268" s="40" t="s">
        <v>277</v>
      </c>
      <c r="S268" s="39" t="s">
        <v>277</v>
      </c>
      <c r="T268" s="40" t="s">
        <v>277</v>
      </c>
      <c r="U268" s="118" t="s">
        <v>277</v>
      </c>
      <c r="V268" s="236" t="s">
        <v>277</v>
      </c>
      <c r="W268" s="40" t="s">
        <v>277</v>
      </c>
      <c r="X268" s="39" t="s">
        <v>277</v>
      </c>
      <c r="Y268" s="40" t="s">
        <v>277</v>
      </c>
      <c r="Z268" s="118" t="s">
        <v>277</v>
      </c>
      <c r="AA268" s="236" t="s">
        <v>277</v>
      </c>
      <c r="AB268" s="40" t="s">
        <v>277</v>
      </c>
      <c r="AC268" s="39" t="s">
        <v>277</v>
      </c>
      <c r="AD268" s="40" t="s">
        <v>277</v>
      </c>
      <c r="AE268" s="118" t="s">
        <v>277</v>
      </c>
      <c r="AF268" s="236" t="s">
        <v>277</v>
      </c>
      <c r="AG268" s="40" t="s">
        <v>277</v>
      </c>
      <c r="AH268" s="39" t="s">
        <v>277</v>
      </c>
      <c r="AI268" s="40" t="s">
        <v>277</v>
      </c>
      <c r="AJ268" s="118" t="s">
        <v>277</v>
      </c>
      <c r="AK268" s="236" t="s">
        <v>277</v>
      </c>
      <c r="AL268" s="40" t="s">
        <v>277</v>
      </c>
      <c r="AM268" s="39" t="s">
        <v>277</v>
      </c>
      <c r="AN268" s="40" t="s">
        <v>277</v>
      </c>
      <c r="AO268" s="118" t="s">
        <v>277</v>
      </c>
      <c r="AP268" s="236" t="s">
        <v>277</v>
      </c>
      <c r="AQ268" s="40" t="s">
        <v>277</v>
      </c>
      <c r="AR268" s="39" t="s">
        <v>277</v>
      </c>
      <c r="AS268" s="40" t="s">
        <v>277</v>
      </c>
      <c r="AT268" s="118" t="s">
        <v>277</v>
      </c>
      <c r="AU268" s="236" t="s">
        <v>277</v>
      </c>
      <c r="AV268" s="40" t="s">
        <v>277</v>
      </c>
      <c r="AW268" s="39" t="s">
        <v>277</v>
      </c>
      <c r="AX268" s="40" t="s">
        <v>277</v>
      </c>
      <c r="AY268" s="118" t="s">
        <v>277</v>
      </c>
      <c r="AZ268" s="236" t="s">
        <v>277</v>
      </c>
      <c r="BA268" s="40" t="s">
        <v>277</v>
      </c>
      <c r="BB268" s="39" t="s">
        <v>277</v>
      </c>
      <c r="BC268" s="40" t="s">
        <v>277</v>
      </c>
      <c r="BD268" s="118" t="s">
        <v>277</v>
      </c>
      <c r="BE268" s="236" t="s">
        <v>277</v>
      </c>
      <c r="BF268" s="40" t="s">
        <v>277</v>
      </c>
      <c r="BG268" s="39" t="s">
        <v>277</v>
      </c>
      <c r="BH268" s="40" t="s">
        <v>277</v>
      </c>
      <c r="BI268" s="118" t="s">
        <v>277</v>
      </c>
      <c r="BJ268" s="236" t="s">
        <v>277</v>
      </c>
      <c r="BK268" s="40" t="s">
        <v>277</v>
      </c>
      <c r="BL268" s="39" t="s">
        <v>277</v>
      </c>
      <c r="BM268" s="40" t="s">
        <v>277</v>
      </c>
      <c r="BN268" s="118" t="s">
        <v>277</v>
      </c>
      <c r="BO268" s="236" t="s">
        <v>277</v>
      </c>
      <c r="BP268" s="40" t="s">
        <v>277</v>
      </c>
      <c r="BQ268" s="39" t="s">
        <v>277</v>
      </c>
      <c r="BR268" s="40" t="s">
        <v>277</v>
      </c>
      <c r="BS268" s="118" t="s">
        <v>277</v>
      </c>
      <c r="BT268" s="236" t="s">
        <v>277</v>
      </c>
      <c r="BU268" s="40" t="s">
        <v>277</v>
      </c>
      <c r="BV268" s="39" t="s">
        <v>277</v>
      </c>
      <c r="BW268" s="40" t="s">
        <v>277</v>
      </c>
      <c r="BX268" s="118" t="s">
        <v>277</v>
      </c>
      <c r="BY268" s="236" t="s">
        <v>277</v>
      </c>
      <c r="BZ268" s="40" t="s">
        <v>277</v>
      </c>
      <c r="CA268" s="39" t="s">
        <v>277</v>
      </c>
      <c r="CB268" s="40" t="s">
        <v>277</v>
      </c>
      <c r="CC268" s="118" t="s">
        <v>277</v>
      </c>
      <c r="CD268" s="236" t="s">
        <v>277</v>
      </c>
      <c r="CE268" s="40" t="s">
        <v>277</v>
      </c>
      <c r="CF268" s="39" t="s">
        <v>277</v>
      </c>
      <c r="CG268" s="40" t="s">
        <v>277</v>
      </c>
      <c r="CH268" s="118" t="s">
        <v>277</v>
      </c>
      <c r="CI268" s="236" t="s">
        <v>277</v>
      </c>
      <c r="CJ268" s="40" t="s">
        <v>277</v>
      </c>
      <c r="CK268" s="39" t="s">
        <v>277</v>
      </c>
      <c r="CL268" s="40" t="s">
        <v>277</v>
      </c>
      <c r="CM268" s="118" t="s">
        <v>277</v>
      </c>
      <c r="CN268" s="236" t="s">
        <v>277</v>
      </c>
      <c r="CO268" s="40" t="s">
        <v>277</v>
      </c>
      <c r="CP268" s="39" t="s">
        <v>277</v>
      </c>
      <c r="CQ268" s="40" t="s">
        <v>277</v>
      </c>
      <c r="CR268" s="118" t="s">
        <v>277</v>
      </c>
      <c r="CS268" s="236" t="s">
        <v>277</v>
      </c>
      <c r="CT268" s="40" t="s">
        <v>277</v>
      </c>
      <c r="CU268" s="39" t="s">
        <v>277</v>
      </c>
      <c r="CV268" s="40" t="s">
        <v>277</v>
      </c>
      <c r="CW268" s="118" t="s">
        <v>277</v>
      </c>
      <c r="CX268" s="236" t="s">
        <v>277</v>
      </c>
      <c r="CY268" s="40" t="s">
        <v>277</v>
      </c>
      <c r="CZ268" s="39" t="s">
        <v>277</v>
      </c>
      <c r="DA268" s="40" t="s">
        <v>277</v>
      </c>
      <c r="DB268" s="118" t="s">
        <v>277</v>
      </c>
      <c r="DC268" s="40"/>
      <c r="DD268" s="40"/>
      <c r="DE268" s="40"/>
      <c r="DF268" s="40"/>
      <c r="DG268" s="40"/>
      <c r="DH268" s="40"/>
      <c r="DI268" s="40"/>
      <c r="DJ268" s="40"/>
      <c r="DK268" s="185"/>
      <c r="DL268" s="185"/>
      <c r="DM268" s="61"/>
    </row>
    <row r="269" spans="1:117" outlineLevel="2">
      <c r="A269" s="36" t="s">
        <v>827</v>
      </c>
      <c r="B269" s="94">
        <f>B268-B270</f>
        <v>0</v>
      </c>
      <c r="C269" s="48">
        <f>C268-C270</f>
        <v>0</v>
      </c>
      <c r="D269" s="48">
        <f>D268-D270</f>
        <v>319398</v>
      </c>
      <c r="E269" s="48">
        <f>E268-E270</f>
        <v>912684</v>
      </c>
      <c r="F269" s="104">
        <f>F268-F270</f>
        <v>1232082</v>
      </c>
      <c r="G269" s="236" t="s">
        <v>277</v>
      </c>
      <c r="H269" s="40" t="s">
        <v>277</v>
      </c>
      <c r="I269" s="39" t="s">
        <v>277</v>
      </c>
      <c r="J269" s="40" t="s">
        <v>277</v>
      </c>
      <c r="K269" s="118" t="s">
        <v>277</v>
      </c>
      <c r="L269" s="236" t="s">
        <v>277</v>
      </c>
      <c r="M269" s="40" t="s">
        <v>277</v>
      </c>
      <c r="N269" s="39" t="s">
        <v>277</v>
      </c>
      <c r="O269" s="40" t="s">
        <v>277</v>
      </c>
      <c r="P269" s="118" t="s">
        <v>277</v>
      </c>
      <c r="Q269" s="236" t="s">
        <v>277</v>
      </c>
      <c r="R269" s="40" t="s">
        <v>277</v>
      </c>
      <c r="S269" s="39" t="s">
        <v>277</v>
      </c>
      <c r="T269" s="40" t="s">
        <v>277</v>
      </c>
      <c r="U269" s="118" t="s">
        <v>277</v>
      </c>
      <c r="V269" s="236" t="s">
        <v>277</v>
      </c>
      <c r="W269" s="40" t="s">
        <v>277</v>
      </c>
      <c r="X269" s="39" t="s">
        <v>277</v>
      </c>
      <c r="Y269" s="40" t="s">
        <v>277</v>
      </c>
      <c r="Z269" s="118" t="s">
        <v>277</v>
      </c>
      <c r="AA269" s="236" t="s">
        <v>277</v>
      </c>
      <c r="AB269" s="40" t="s">
        <v>277</v>
      </c>
      <c r="AC269" s="39" t="s">
        <v>277</v>
      </c>
      <c r="AD269" s="40" t="s">
        <v>277</v>
      </c>
      <c r="AE269" s="118" t="s">
        <v>277</v>
      </c>
      <c r="AF269" s="236" t="s">
        <v>277</v>
      </c>
      <c r="AG269" s="40" t="s">
        <v>277</v>
      </c>
      <c r="AH269" s="39" t="s">
        <v>277</v>
      </c>
      <c r="AI269" s="40" t="s">
        <v>277</v>
      </c>
      <c r="AJ269" s="118" t="s">
        <v>277</v>
      </c>
      <c r="AK269" s="236" t="s">
        <v>277</v>
      </c>
      <c r="AL269" s="40" t="s">
        <v>277</v>
      </c>
      <c r="AM269" s="39" t="s">
        <v>277</v>
      </c>
      <c r="AN269" s="40" t="s">
        <v>277</v>
      </c>
      <c r="AO269" s="118" t="s">
        <v>277</v>
      </c>
      <c r="AP269" s="236" t="s">
        <v>277</v>
      </c>
      <c r="AQ269" s="40" t="s">
        <v>277</v>
      </c>
      <c r="AR269" s="39" t="s">
        <v>277</v>
      </c>
      <c r="AS269" s="40" t="s">
        <v>277</v>
      </c>
      <c r="AT269" s="118" t="s">
        <v>277</v>
      </c>
      <c r="AU269" s="236" t="s">
        <v>277</v>
      </c>
      <c r="AV269" s="40" t="s">
        <v>277</v>
      </c>
      <c r="AW269" s="39" t="s">
        <v>277</v>
      </c>
      <c r="AX269" s="40" t="s">
        <v>277</v>
      </c>
      <c r="AY269" s="118" t="s">
        <v>277</v>
      </c>
      <c r="AZ269" s="236" t="s">
        <v>277</v>
      </c>
      <c r="BA269" s="40" t="s">
        <v>277</v>
      </c>
      <c r="BB269" s="39" t="s">
        <v>277</v>
      </c>
      <c r="BC269" s="40" t="s">
        <v>277</v>
      </c>
      <c r="BD269" s="118" t="s">
        <v>277</v>
      </c>
      <c r="BE269" s="236" t="s">
        <v>277</v>
      </c>
      <c r="BF269" s="40" t="s">
        <v>277</v>
      </c>
      <c r="BG269" s="39" t="s">
        <v>277</v>
      </c>
      <c r="BH269" s="40" t="s">
        <v>277</v>
      </c>
      <c r="BI269" s="118" t="s">
        <v>277</v>
      </c>
      <c r="BJ269" s="236" t="s">
        <v>277</v>
      </c>
      <c r="BK269" s="40" t="s">
        <v>277</v>
      </c>
      <c r="BL269" s="39" t="s">
        <v>277</v>
      </c>
      <c r="BM269" s="40" t="s">
        <v>277</v>
      </c>
      <c r="BN269" s="118" t="s">
        <v>277</v>
      </c>
      <c r="BO269" s="236" t="s">
        <v>277</v>
      </c>
      <c r="BP269" s="40" t="s">
        <v>277</v>
      </c>
      <c r="BQ269" s="39" t="s">
        <v>277</v>
      </c>
      <c r="BR269" s="40" t="s">
        <v>277</v>
      </c>
      <c r="BS269" s="118" t="s">
        <v>277</v>
      </c>
      <c r="BT269" s="236" t="s">
        <v>277</v>
      </c>
      <c r="BU269" s="40" t="s">
        <v>277</v>
      </c>
      <c r="BV269" s="39" t="s">
        <v>277</v>
      </c>
      <c r="BW269" s="40" t="s">
        <v>277</v>
      </c>
      <c r="BX269" s="118" t="s">
        <v>277</v>
      </c>
      <c r="BY269" s="236" t="s">
        <v>277</v>
      </c>
      <c r="BZ269" s="40" t="s">
        <v>277</v>
      </c>
      <c r="CA269" s="39" t="s">
        <v>277</v>
      </c>
      <c r="CB269" s="40" t="s">
        <v>277</v>
      </c>
      <c r="CC269" s="118" t="s">
        <v>277</v>
      </c>
      <c r="CD269" s="236" t="s">
        <v>277</v>
      </c>
      <c r="CE269" s="40" t="s">
        <v>277</v>
      </c>
      <c r="CF269" s="39" t="s">
        <v>277</v>
      </c>
      <c r="CG269" s="40" t="s">
        <v>277</v>
      </c>
      <c r="CH269" s="118" t="s">
        <v>277</v>
      </c>
      <c r="CI269" s="236" t="s">
        <v>277</v>
      </c>
      <c r="CJ269" s="40" t="s">
        <v>277</v>
      </c>
      <c r="CK269" s="39" t="s">
        <v>277</v>
      </c>
      <c r="CL269" s="40" t="s">
        <v>277</v>
      </c>
      <c r="CM269" s="118" t="s">
        <v>277</v>
      </c>
      <c r="CN269" s="236" t="s">
        <v>277</v>
      </c>
      <c r="CO269" s="40" t="s">
        <v>277</v>
      </c>
      <c r="CP269" s="39" t="s">
        <v>277</v>
      </c>
      <c r="CQ269" s="40" t="s">
        <v>277</v>
      </c>
      <c r="CR269" s="118" t="s">
        <v>277</v>
      </c>
      <c r="CS269" s="236" t="s">
        <v>277</v>
      </c>
      <c r="CT269" s="40" t="s">
        <v>277</v>
      </c>
      <c r="CU269" s="39" t="s">
        <v>277</v>
      </c>
      <c r="CV269" s="40" t="s">
        <v>277</v>
      </c>
      <c r="CW269" s="118" t="s">
        <v>277</v>
      </c>
      <c r="CX269" s="236" t="s">
        <v>277</v>
      </c>
      <c r="CY269" s="40" t="s">
        <v>277</v>
      </c>
      <c r="CZ269" s="39" t="s">
        <v>277</v>
      </c>
      <c r="DA269" s="40" t="s">
        <v>277</v>
      </c>
      <c r="DB269" s="118" t="s">
        <v>277</v>
      </c>
      <c r="DC269" s="40"/>
      <c r="DD269" s="40"/>
      <c r="DE269" s="40"/>
      <c r="DF269" s="40"/>
      <c r="DG269" s="40"/>
      <c r="DH269" s="40"/>
      <c r="DI269" s="40"/>
      <c r="DJ269" s="40"/>
      <c r="DK269" s="185"/>
      <c r="DL269" s="185"/>
      <c r="DM269" s="61"/>
    </row>
    <row r="270" spans="1:117" outlineLevel="2">
      <c r="A270" s="28" t="s">
        <v>763</v>
      </c>
      <c r="B270" s="212">
        <v>26387</v>
      </c>
      <c r="C270" s="176">
        <v>24144</v>
      </c>
      <c r="D270" s="176">
        <v>10284</v>
      </c>
      <c r="E270" s="168">
        <f>F270-SUM(B270:D270)</f>
        <v>-36399</v>
      </c>
      <c r="F270" s="213">
        <v>24416</v>
      </c>
      <c r="G270" s="236" t="s">
        <v>277</v>
      </c>
      <c r="H270" s="40" t="s">
        <v>277</v>
      </c>
      <c r="I270" s="39" t="s">
        <v>277</v>
      </c>
      <c r="J270" s="40" t="s">
        <v>277</v>
      </c>
      <c r="K270" s="118" t="s">
        <v>277</v>
      </c>
      <c r="L270" s="236" t="s">
        <v>277</v>
      </c>
      <c r="M270" s="40" t="s">
        <v>277</v>
      </c>
      <c r="N270" s="39" t="s">
        <v>277</v>
      </c>
      <c r="O270" s="40" t="s">
        <v>277</v>
      </c>
      <c r="P270" s="118" t="s">
        <v>277</v>
      </c>
      <c r="Q270" s="236" t="s">
        <v>277</v>
      </c>
      <c r="R270" s="40" t="s">
        <v>277</v>
      </c>
      <c r="S270" s="39" t="s">
        <v>277</v>
      </c>
      <c r="T270" s="40" t="s">
        <v>277</v>
      </c>
      <c r="U270" s="118" t="s">
        <v>277</v>
      </c>
      <c r="V270" s="236" t="s">
        <v>277</v>
      </c>
      <c r="W270" s="40" t="s">
        <v>277</v>
      </c>
      <c r="X270" s="39" t="s">
        <v>277</v>
      </c>
      <c r="Y270" s="40" t="s">
        <v>277</v>
      </c>
      <c r="Z270" s="118" t="s">
        <v>277</v>
      </c>
      <c r="AA270" s="236" t="s">
        <v>277</v>
      </c>
      <c r="AB270" s="40" t="s">
        <v>277</v>
      </c>
      <c r="AC270" s="39" t="s">
        <v>277</v>
      </c>
      <c r="AD270" s="40" t="s">
        <v>277</v>
      </c>
      <c r="AE270" s="118" t="s">
        <v>277</v>
      </c>
      <c r="AF270" s="236" t="s">
        <v>277</v>
      </c>
      <c r="AG270" s="40" t="s">
        <v>277</v>
      </c>
      <c r="AH270" s="39" t="s">
        <v>277</v>
      </c>
      <c r="AI270" s="40" t="s">
        <v>277</v>
      </c>
      <c r="AJ270" s="118" t="s">
        <v>277</v>
      </c>
      <c r="AK270" s="236" t="s">
        <v>277</v>
      </c>
      <c r="AL270" s="40" t="s">
        <v>277</v>
      </c>
      <c r="AM270" s="39" t="s">
        <v>277</v>
      </c>
      <c r="AN270" s="40" t="s">
        <v>277</v>
      </c>
      <c r="AO270" s="118" t="s">
        <v>277</v>
      </c>
      <c r="AP270" s="236" t="s">
        <v>277</v>
      </c>
      <c r="AQ270" s="40" t="s">
        <v>277</v>
      </c>
      <c r="AR270" s="39" t="s">
        <v>277</v>
      </c>
      <c r="AS270" s="40" t="s">
        <v>277</v>
      </c>
      <c r="AT270" s="118" t="s">
        <v>277</v>
      </c>
      <c r="AU270" s="236" t="s">
        <v>277</v>
      </c>
      <c r="AV270" s="40" t="s">
        <v>277</v>
      </c>
      <c r="AW270" s="39" t="s">
        <v>277</v>
      </c>
      <c r="AX270" s="40" t="s">
        <v>277</v>
      </c>
      <c r="AY270" s="118" t="s">
        <v>277</v>
      </c>
      <c r="AZ270" s="236" t="s">
        <v>277</v>
      </c>
      <c r="BA270" s="40" t="s">
        <v>277</v>
      </c>
      <c r="BB270" s="39" t="s">
        <v>277</v>
      </c>
      <c r="BC270" s="40" t="s">
        <v>277</v>
      </c>
      <c r="BD270" s="118" t="s">
        <v>277</v>
      </c>
      <c r="BE270" s="236" t="s">
        <v>277</v>
      </c>
      <c r="BF270" s="40" t="s">
        <v>277</v>
      </c>
      <c r="BG270" s="39" t="s">
        <v>277</v>
      </c>
      <c r="BH270" s="40" t="s">
        <v>277</v>
      </c>
      <c r="BI270" s="118" t="s">
        <v>277</v>
      </c>
      <c r="BJ270" s="236" t="s">
        <v>277</v>
      </c>
      <c r="BK270" s="40" t="s">
        <v>277</v>
      </c>
      <c r="BL270" s="39" t="s">
        <v>277</v>
      </c>
      <c r="BM270" s="40" t="s">
        <v>277</v>
      </c>
      <c r="BN270" s="118" t="s">
        <v>277</v>
      </c>
      <c r="BO270" s="236" t="s">
        <v>277</v>
      </c>
      <c r="BP270" s="40" t="s">
        <v>277</v>
      </c>
      <c r="BQ270" s="39" t="s">
        <v>277</v>
      </c>
      <c r="BR270" s="40" t="s">
        <v>277</v>
      </c>
      <c r="BS270" s="118" t="s">
        <v>277</v>
      </c>
      <c r="BT270" s="236" t="s">
        <v>277</v>
      </c>
      <c r="BU270" s="40" t="s">
        <v>277</v>
      </c>
      <c r="BV270" s="39" t="s">
        <v>277</v>
      </c>
      <c r="BW270" s="40" t="s">
        <v>277</v>
      </c>
      <c r="BX270" s="118" t="s">
        <v>277</v>
      </c>
      <c r="BY270" s="236" t="s">
        <v>277</v>
      </c>
      <c r="BZ270" s="40" t="s">
        <v>277</v>
      </c>
      <c r="CA270" s="39" t="s">
        <v>277</v>
      </c>
      <c r="CB270" s="40" t="s">
        <v>277</v>
      </c>
      <c r="CC270" s="118" t="s">
        <v>277</v>
      </c>
      <c r="CD270" s="236" t="s">
        <v>277</v>
      </c>
      <c r="CE270" s="40" t="s">
        <v>277</v>
      </c>
      <c r="CF270" s="39" t="s">
        <v>277</v>
      </c>
      <c r="CG270" s="40" t="s">
        <v>277</v>
      </c>
      <c r="CH270" s="118" t="s">
        <v>277</v>
      </c>
      <c r="CI270" s="236" t="s">
        <v>277</v>
      </c>
      <c r="CJ270" s="40" t="s">
        <v>277</v>
      </c>
      <c r="CK270" s="39" t="s">
        <v>277</v>
      </c>
      <c r="CL270" s="40" t="s">
        <v>277</v>
      </c>
      <c r="CM270" s="118" t="s">
        <v>277</v>
      </c>
      <c r="CN270" s="236" t="s">
        <v>277</v>
      </c>
      <c r="CO270" s="40" t="s">
        <v>277</v>
      </c>
      <c r="CP270" s="39" t="s">
        <v>277</v>
      </c>
      <c r="CQ270" s="40" t="s">
        <v>277</v>
      </c>
      <c r="CR270" s="118" t="s">
        <v>277</v>
      </c>
      <c r="CS270" s="236" t="s">
        <v>277</v>
      </c>
      <c r="CT270" s="40" t="s">
        <v>277</v>
      </c>
      <c r="CU270" s="39" t="s">
        <v>277</v>
      </c>
      <c r="CV270" s="40" t="s">
        <v>277</v>
      </c>
      <c r="CW270" s="118" t="s">
        <v>277</v>
      </c>
      <c r="CX270" s="236" t="s">
        <v>277</v>
      </c>
      <c r="CY270" s="40" t="s">
        <v>277</v>
      </c>
      <c r="CZ270" s="39" t="s">
        <v>277</v>
      </c>
      <c r="DA270" s="40" t="s">
        <v>277</v>
      </c>
      <c r="DB270" s="118" t="s">
        <v>277</v>
      </c>
      <c r="DC270" s="40"/>
      <c r="DD270" s="40"/>
      <c r="DE270" s="40"/>
      <c r="DF270" s="40"/>
      <c r="DG270" s="40"/>
      <c r="DH270" s="40"/>
      <c r="DI270" s="40"/>
      <c r="DJ270" s="40"/>
      <c r="DK270" s="185"/>
      <c r="DL270" s="185"/>
      <c r="DM270" s="61"/>
    </row>
    <row r="271" spans="1:117" outlineLevel="2">
      <c r="A271" s="34" t="s">
        <v>761</v>
      </c>
      <c r="B271" s="37">
        <v>8024</v>
      </c>
      <c r="C271" s="38">
        <v>6017</v>
      </c>
      <c r="D271" s="38">
        <v>2921</v>
      </c>
      <c r="E271" s="48">
        <f>F271-SUM(B271:D271)</f>
        <v>-7500</v>
      </c>
      <c r="F271" s="133">
        <v>9462</v>
      </c>
      <c r="G271" s="236" t="s">
        <v>277</v>
      </c>
      <c r="H271" s="40" t="s">
        <v>277</v>
      </c>
      <c r="I271" s="39" t="s">
        <v>277</v>
      </c>
      <c r="J271" s="40" t="s">
        <v>277</v>
      </c>
      <c r="K271" s="118" t="s">
        <v>277</v>
      </c>
      <c r="L271" s="236" t="s">
        <v>277</v>
      </c>
      <c r="M271" s="40" t="s">
        <v>277</v>
      </c>
      <c r="N271" s="39" t="s">
        <v>277</v>
      </c>
      <c r="O271" s="40" t="s">
        <v>277</v>
      </c>
      <c r="P271" s="118" t="s">
        <v>277</v>
      </c>
      <c r="Q271" s="236" t="s">
        <v>277</v>
      </c>
      <c r="R271" s="40" t="s">
        <v>277</v>
      </c>
      <c r="S271" s="39" t="s">
        <v>277</v>
      </c>
      <c r="T271" s="40" t="s">
        <v>277</v>
      </c>
      <c r="U271" s="118" t="s">
        <v>277</v>
      </c>
      <c r="V271" s="236" t="s">
        <v>277</v>
      </c>
      <c r="W271" s="40" t="s">
        <v>277</v>
      </c>
      <c r="X271" s="39" t="s">
        <v>277</v>
      </c>
      <c r="Y271" s="40" t="s">
        <v>277</v>
      </c>
      <c r="Z271" s="118" t="s">
        <v>277</v>
      </c>
      <c r="AA271" s="236" t="s">
        <v>277</v>
      </c>
      <c r="AB271" s="40" t="s">
        <v>277</v>
      </c>
      <c r="AC271" s="39" t="s">
        <v>277</v>
      </c>
      <c r="AD271" s="40" t="s">
        <v>277</v>
      </c>
      <c r="AE271" s="118" t="s">
        <v>277</v>
      </c>
      <c r="AF271" s="236" t="s">
        <v>277</v>
      </c>
      <c r="AG271" s="40" t="s">
        <v>277</v>
      </c>
      <c r="AH271" s="39" t="s">
        <v>277</v>
      </c>
      <c r="AI271" s="40" t="s">
        <v>277</v>
      </c>
      <c r="AJ271" s="118" t="s">
        <v>277</v>
      </c>
      <c r="AK271" s="236" t="s">
        <v>277</v>
      </c>
      <c r="AL271" s="40" t="s">
        <v>277</v>
      </c>
      <c r="AM271" s="39" t="s">
        <v>277</v>
      </c>
      <c r="AN271" s="40" t="s">
        <v>277</v>
      </c>
      <c r="AO271" s="118" t="s">
        <v>277</v>
      </c>
      <c r="AP271" s="236" t="s">
        <v>277</v>
      </c>
      <c r="AQ271" s="40" t="s">
        <v>277</v>
      </c>
      <c r="AR271" s="39" t="s">
        <v>277</v>
      </c>
      <c r="AS271" s="40" t="s">
        <v>277</v>
      </c>
      <c r="AT271" s="118" t="s">
        <v>277</v>
      </c>
      <c r="AU271" s="236" t="s">
        <v>277</v>
      </c>
      <c r="AV271" s="40" t="s">
        <v>277</v>
      </c>
      <c r="AW271" s="39" t="s">
        <v>277</v>
      </c>
      <c r="AX271" s="40" t="s">
        <v>277</v>
      </c>
      <c r="AY271" s="118" t="s">
        <v>277</v>
      </c>
      <c r="AZ271" s="236" t="s">
        <v>277</v>
      </c>
      <c r="BA271" s="40" t="s">
        <v>277</v>
      </c>
      <c r="BB271" s="39" t="s">
        <v>277</v>
      </c>
      <c r="BC271" s="40" t="s">
        <v>277</v>
      </c>
      <c r="BD271" s="118" t="s">
        <v>277</v>
      </c>
      <c r="BE271" s="236" t="s">
        <v>277</v>
      </c>
      <c r="BF271" s="40" t="s">
        <v>277</v>
      </c>
      <c r="BG271" s="39" t="s">
        <v>277</v>
      </c>
      <c r="BH271" s="40" t="s">
        <v>277</v>
      </c>
      <c r="BI271" s="118" t="s">
        <v>277</v>
      </c>
      <c r="BJ271" s="236" t="s">
        <v>277</v>
      </c>
      <c r="BK271" s="40" t="s">
        <v>277</v>
      </c>
      <c r="BL271" s="39" t="s">
        <v>277</v>
      </c>
      <c r="BM271" s="40" t="s">
        <v>277</v>
      </c>
      <c r="BN271" s="118" t="s">
        <v>277</v>
      </c>
      <c r="BO271" s="236" t="s">
        <v>277</v>
      </c>
      <c r="BP271" s="40" t="s">
        <v>277</v>
      </c>
      <c r="BQ271" s="39" t="s">
        <v>277</v>
      </c>
      <c r="BR271" s="40" t="s">
        <v>277</v>
      </c>
      <c r="BS271" s="118" t="s">
        <v>277</v>
      </c>
      <c r="BT271" s="236" t="s">
        <v>277</v>
      </c>
      <c r="BU271" s="40" t="s">
        <v>277</v>
      </c>
      <c r="BV271" s="39" t="s">
        <v>277</v>
      </c>
      <c r="BW271" s="40" t="s">
        <v>277</v>
      </c>
      <c r="BX271" s="118" t="s">
        <v>277</v>
      </c>
      <c r="BY271" s="236" t="s">
        <v>277</v>
      </c>
      <c r="BZ271" s="40" t="s">
        <v>277</v>
      </c>
      <c r="CA271" s="39" t="s">
        <v>277</v>
      </c>
      <c r="CB271" s="40" t="s">
        <v>277</v>
      </c>
      <c r="CC271" s="118" t="s">
        <v>277</v>
      </c>
      <c r="CD271" s="236" t="s">
        <v>277</v>
      </c>
      <c r="CE271" s="40" t="s">
        <v>277</v>
      </c>
      <c r="CF271" s="39" t="s">
        <v>277</v>
      </c>
      <c r="CG271" s="40" t="s">
        <v>277</v>
      </c>
      <c r="CH271" s="118" t="s">
        <v>277</v>
      </c>
      <c r="CI271" s="236" t="s">
        <v>277</v>
      </c>
      <c r="CJ271" s="40" t="s">
        <v>277</v>
      </c>
      <c r="CK271" s="39" t="s">
        <v>277</v>
      </c>
      <c r="CL271" s="40" t="s">
        <v>277</v>
      </c>
      <c r="CM271" s="118" t="s">
        <v>277</v>
      </c>
      <c r="CN271" s="236" t="s">
        <v>277</v>
      </c>
      <c r="CO271" s="40" t="s">
        <v>277</v>
      </c>
      <c r="CP271" s="39" t="s">
        <v>277</v>
      </c>
      <c r="CQ271" s="40" t="s">
        <v>277</v>
      </c>
      <c r="CR271" s="118" t="s">
        <v>277</v>
      </c>
      <c r="CS271" s="236" t="s">
        <v>277</v>
      </c>
      <c r="CT271" s="40" t="s">
        <v>277</v>
      </c>
      <c r="CU271" s="39" t="s">
        <v>277</v>
      </c>
      <c r="CV271" s="40" t="s">
        <v>277</v>
      </c>
      <c r="CW271" s="118" t="s">
        <v>277</v>
      </c>
      <c r="CX271" s="236" t="s">
        <v>277</v>
      </c>
      <c r="CY271" s="40" t="s">
        <v>277</v>
      </c>
      <c r="CZ271" s="39" t="s">
        <v>277</v>
      </c>
      <c r="DA271" s="40" t="s">
        <v>277</v>
      </c>
      <c r="DB271" s="118" t="s">
        <v>277</v>
      </c>
      <c r="DC271" s="40"/>
      <c r="DD271" s="40"/>
      <c r="DE271" s="40"/>
      <c r="DF271" s="40"/>
      <c r="DG271" s="40"/>
      <c r="DH271" s="40"/>
      <c r="DI271" s="40"/>
      <c r="DJ271" s="40"/>
      <c r="DK271" s="185"/>
      <c r="DL271" s="185"/>
      <c r="DM271" s="61"/>
    </row>
    <row r="272" spans="1:117" outlineLevel="2">
      <c r="A272" s="34" t="s">
        <v>762</v>
      </c>
      <c r="B272" s="37">
        <v>6501</v>
      </c>
      <c r="C272" s="38">
        <v>6153</v>
      </c>
      <c r="D272" s="38">
        <v>32</v>
      </c>
      <c r="E272" s="48">
        <f>F272-SUM(B272:D272)</f>
        <v>-12567</v>
      </c>
      <c r="F272" s="133">
        <v>119</v>
      </c>
      <c r="G272" s="236" t="s">
        <v>277</v>
      </c>
      <c r="H272" s="40" t="s">
        <v>277</v>
      </c>
      <c r="I272" s="39" t="s">
        <v>277</v>
      </c>
      <c r="J272" s="40" t="s">
        <v>277</v>
      </c>
      <c r="K272" s="118" t="s">
        <v>277</v>
      </c>
      <c r="L272" s="236" t="s">
        <v>277</v>
      </c>
      <c r="M272" s="40" t="s">
        <v>277</v>
      </c>
      <c r="N272" s="39" t="s">
        <v>277</v>
      </c>
      <c r="O272" s="40" t="s">
        <v>277</v>
      </c>
      <c r="P272" s="118" t="s">
        <v>277</v>
      </c>
      <c r="Q272" s="236" t="s">
        <v>277</v>
      </c>
      <c r="R272" s="40" t="s">
        <v>277</v>
      </c>
      <c r="S272" s="39" t="s">
        <v>277</v>
      </c>
      <c r="T272" s="40" t="s">
        <v>277</v>
      </c>
      <c r="U272" s="118" t="s">
        <v>277</v>
      </c>
      <c r="V272" s="236" t="s">
        <v>277</v>
      </c>
      <c r="W272" s="40" t="s">
        <v>277</v>
      </c>
      <c r="X272" s="39" t="s">
        <v>277</v>
      </c>
      <c r="Y272" s="40" t="s">
        <v>277</v>
      </c>
      <c r="Z272" s="118" t="s">
        <v>277</v>
      </c>
      <c r="AA272" s="236" t="s">
        <v>277</v>
      </c>
      <c r="AB272" s="40" t="s">
        <v>277</v>
      </c>
      <c r="AC272" s="39" t="s">
        <v>277</v>
      </c>
      <c r="AD272" s="40" t="s">
        <v>277</v>
      </c>
      <c r="AE272" s="118" t="s">
        <v>277</v>
      </c>
      <c r="AF272" s="236" t="s">
        <v>277</v>
      </c>
      <c r="AG272" s="40" t="s">
        <v>277</v>
      </c>
      <c r="AH272" s="39" t="s">
        <v>277</v>
      </c>
      <c r="AI272" s="40" t="s">
        <v>277</v>
      </c>
      <c r="AJ272" s="118" t="s">
        <v>277</v>
      </c>
      <c r="AK272" s="236" t="s">
        <v>277</v>
      </c>
      <c r="AL272" s="40" t="s">
        <v>277</v>
      </c>
      <c r="AM272" s="39" t="s">
        <v>277</v>
      </c>
      <c r="AN272" s="40" t="s">
        <v>277</v>
      </c>
      <c r="AO272" s="118" t="s">
        <v>277</v>
      </c>
      <c r="AP272" s="236" t="s">
        <v>277</v>
      </c>
      <c r="AQ272" s="40" t="s">
        <v>277</v>
      </c>
      <c r="AR272" s="39" t="s">
        <v>277</v>
      </c>
      <c r="AS272" s="40" t="s">
        <v>277</v>
      </c>
      <c r="AT272" s="118" t="s">
        <v>277</v>
      </c>
      <c r="AU272" s="236" t="s">
        <v>277</v>
      </c>
      <c r="AV272" s="40" t="s">
        <v>277</v>
      </c>
      <c r="AW272" s="39" t="s">
        <v>277</v>
      </c>
      <c r="AX272" s="40" t="s">
        <v>277</v>
      </c>
      <c r="AY272" s="118" t="s">
        <v>277</v>
      </c>
      <c r="AZ272" s="236" t="s">
        <v>277</v>
      </c>
      <c r="BA272" s="40" t="s">
        <v>277</v>
      </c>
      <c r="BB272" s="39" t="s">
        <v>277</v>
      </c>
      <c r="BC272" s="40" t="s">
        <v>277</v>
      </c>
      <c r="BD272" s="118" t="s">
        <v>277</v>
      </c>
      <c r="BE272" s="236" t="s">
        <v>277</v>
      </c>
      <c r="BF272" s="40" t="s">
        <v>277</v>
      </c>
      <c r="BG272" s="39" t="s">
        <v>277</v>
      </c>
      <c r="BH272" s="40" t="s">
        <v>277</v>
      </c>
      <c r="BI272" s="118" t="s">
        <v>277</v>
      </c>
      <c r="BJ272" s="236" t="s">
        <v>277</v>
      </c>
      <c r="BK272" s="40" t="s">
        <v>277</v>
      </c>
      <c r="BL272" s="39" t="s">
        <v>277</v>
      </c>
      <c r="BM272" s="40" t="s">
        <v>277</v>
      </c>
      <c r="BN272" s="118" t="s">
        <v>277</v>
      </c>
      <c r="BO272" s="236" t="s">
        <v>277</v>
      </c>
      <c r="BP272" s="40" t="s">
        <v>277</v>
      </c>
      <c r="BQ272" s="39" t="s">
        <v>277</v>
      </c>
      <c r="BR272" s="40" t="s">
        <v>277</v>
      </c>
      <c r="BS272" s="118" t="s">
        <v>277</v>
      </c>
      <c r="BT272" s="236" t="s">
        <v>277</v>
      </c>
      <c r="BU272" s="40" t="s">
        <v>277</v>
      </c>
      <c r="BV272" s="39" t="s">
        <v>277</v>
      </c>
      <c r="BW272" s="40" t="s">
        <v>277</v>
      </c>
      <c r="BX272" s="118" t="s">
        <v>277</v>
      </c>
      <c r="BY272" s="236" t="s">
        <v>277</v>
      </c>
      <c r="BZ272" s="40" t="s">
        <v>277</v>
      </c>
      <c r="CA272" s="39" t="s">
        <v>277</v>
      </c>
      <c r="CB272" s="40" t="s">
        <v>277</v>
      </c>
      <c r="CC272" s="118" t="s">
        <v>277</v>
      </c>
      <c r="CD272" s="236" t="s">
        <v>277</v>
      </c>
      <c r="CE272" s="40" t="s">
        <v>277</v>
      </c>
      <c r="CF272" s="39" t="s">
        <v>277</v>
      </c>
      <c r="CG272" s="40" t="s">
        <v>277</v>
      </c>
      <c r="CH272" s="118" t="s">
        <v>277</v>
      </c>
      <c r="CI272" s="236" t="s">
        <v>277</v>
      </c>
      <c r="CJ272" s="40" t="s">
        <v>277</v>
      </c>
      <c r="CK272" s="39" t="s">
        <v>277</v>
      </c>
      <c r="CL272" s="40" t="s">
        <v>277</v>
      </c>
      <c r="CM272" s="118" t="s">
        <v>277</v>
      </c>
      <c r="CN272" s="236" t="s">
        <v>277</v>
      </c>
      <c r="CO272" s="40" t="s">
        <v>277</v>
      </c>
      <c r="CP272" s="39" t="s">
        <v>277</v>
      </c>
      <c r="CQ272" s="40" t="s">
        <v>277</v>
      </c>
      <c r="CR272" s="118" t="s">
        <v>277</v>
      </c>
      <c r="CS272" s="236" t="s">
        <v>277</v>
      </c>
      <c r="CT272" s="40" t="s">
        <v>277</v>
      </c>
      <c r="CU272" s="39" t="s">
        <v>277</v>
      </c>
      <c r="CV272" s="40" t="s">
        <v>277</v>
      </c>
      <c r="CW272" s="118" t="s">
        <v>277</v>
      </c>
      <c r="CX272" s="236" t="s">
        <v>277</v>
      </c>
      <c r="CY272" s="40" t="s">
        <v>277</v>
      </c>
      <c r="CZ272" s="39" t="s">
        <v>277</v>
      </c>
      <c r="DA272" s="40" t="s">
        <v>277</v>
      </c>
      <c r="DB272" s="118" t="s">
        <v>277</v>
      </c>
      <c r="DC272" s="40"/>
      <c r="DD272" s="40"/>
      <c r="DE272" s="40"/>
      <c r="DF272" s="40"/>
      <c r="DG272" s="40"/>
      <c r="DH272" s="40"/>
      <c r="DI272" s="40"/>
      <c r="DJ272" s="40"/>
      <c r="DK272" s="185"/>
      <c r="DL272" s="185"/>
      <c r="DM272" s="9"/>
    </row>
    <row r="273" spans="1:117" outlineLevel="2">
      <c r="A273" s="28" t="s">
        <v>848</v>
      </c>
      <c r="B273" s="160">
        <f>B270-B271-B272</f>
        <v>11862</v>
      </c>
      <c r="C273" s="168">
        <f>C270-C271-C272</f>
        <v>11974</v>
      </c>
      <c r="D273" s="168">
        <f>D270-D271-D272</f>
        <v>7331</v>
      </c>
      <c r="E273" s="168">
        <f>E270-E271-E272</f>
        <v>-16332</v>
      </c>
      <c r="F273" s="235">
        <f>F270-F271-F272</f>
        <v>14835</v>
      </c>
      <c r="G273" s="236" t="s">
        <v>277</v>
      </c>
      <c r="H273" s="40" t="s">
        <v>277</v>
      </c>
      <c r="I273" s="39" t="s">
        <v>277</v>
      </c>
      <c r="J273" s="40" t="s">
        <v>277</v>
      </c>
      <c r="K273" s="118" t="s">
        <v>277</v>
      </c>
      <c r="L273" s="236" t="s">
        <v>277</v>
      </c>
      <c r="M273" s="40" t="s">
        <v>277</v>
      </c>
      <c r="N273" s="39" t="s">
        <v>277</v>
      </c>
      <c r="O273" s="40" t="s">
        <v>277</v>
      </c>
      <c r="P273" s="118" t="s">
        <v>277</v>
      </c>
      <c r="Q273" s="236" t="s">
        <v>277</v>
      </c>
      <c r="R273" s="40" t="s">
        <v>277</v>
      </c>
      <c r="S273" s="39" t="s">
        <v>277</v>
      </c>
      <c r="T273" s="40" t="s">
        <v>277</v>
      </c>
      <c r="U273" s="118" t="s">
        <v>277</v>
      </c>
      <c r="V273" s="236" t="s">
        <v>277</v>
      </c>
      <c r="W273" s="40" t="s">
        <v>277</v>
      </c>
      <c r="X273" s="39" t="s">
        <v>277</v>
      </c>
      <c r="Y273" s="40" t="s">
        <v>277</v>
      </c>
      <c r="Z273" s="118" t="s">
        <v>277</v>
      </c>
      <c r="AA273" s="236" t="s">
        <v>277</v>
      </c>
      <c r="AB273" s="40" t="s">
        <v>277</v>
      </c>
      <c r="AC273" s="39" t="s">
        <v>277</v>
      </c>
      <c r="AD273" s="40" t="s">
        <v>277</v>
      </c>
      <c r="AE273" s="118" t="s">
        <v>277</v>
      </c>
      <c r="AF273" s="236" t="s">
        <v>277</v>
      </c>
      <c r="AG273" s="40" t="s">
        <v>277</v>
      </c>
      <c r="AH273" s="39" t="s">
        <v>277</v>
      </c>
      <c r="AI273" s="40" t="s">
        <v>277</v>
      </c>
      <c r="AJ273" s="118" t="s">
        <v>277</v>
      </c>
      <c r="AK273" s="236" t="s">
        <v>277</v>
      </c>
      <c r="AL273" s="40" t="s">
        <v>277</v>
      </c>
      <c r="AM273" s="39" t="s">
        <v>277</v>
      </c>
      <c r="AN273" s="40" t="s">
        <v>277</v>
      </c>
      <c r="AO273" s="118" t="s">
        <v>277</v>
      </c>
      <c r="AP273" s="236" t="s">
        <v>277</v>
      </c>
      <c r="AQ273" s="40" t="s">
        <v>277</v>
      </c>
      <c r="AR273" s="39" t="s">
        <v>277</v>
      </c>
      <c r="AS273" s="40" t="s">
        <v>277</v>
      </c>
      <c r="AT273" s="118" t="s">
        <v>277</v>
      </c>
      <c r="AU273" s="236" t="s">
        <v>277</v>
      </c>
      <c r="AV273" s="40" t="s">
        <v>277</v>
      </c>
      <c r="AW273" s="39" t="s">
        <v>277</v>
      </c>
      <c r="AX273" s="40" t="s">
        <v>277</v>
      </c>
      <c r="AY273" s="118" t="s">
        <v>277</v>
      </c>
      <c r="AZ273" s="236" t="s">
        <v>277</v>
      </c>
      <c r="BA273" s="40" t="s">
        <v>277</v>
      </c>
      <c r="BB273" s="39" t="s">
        <v>277</v>
      </c>
      <c r="BC273" s="40" t="s">
        <v>277</v>
      </c>
      <c r="BD273" s="118" t="s">
        <v>277</v>
      </c>
      <c r="BE273" s="236" t="s">
        <v>277</v>
      </c>
      <c r="BF273" s="40" t="s">
        <v>277</v>
      </c>
      <c r="BG273" s="39" t="s">
        <v>277</v>
      </c>
      <c r="BH273" s="40" t="s">
        <v>277</v>
      </c>
      <c r="BI273" s="118" t="s">
        <v>277</v>
      </c>
      <c r="BJ273" s="236" t="s">
        <v>277</v>
      </c>
      <c r="BK273" s="40" t="s">
        <v>277</v>
      </c>
      <c r="BL273" s="39" t="s">
        <v>277</v>
      </c>
      <c r="BM273" s="40" t="s">
        <v>277</v>
      </c>
      <c r="BN273" s="118" t="s">
        <v>277</v>
      </c>
      <c r="BO273" s="236" t="s">
        <v>277</v>
      </c>
      <c r="BP273" s="40" t="s">
        <v>277</v>
      </c>
      <c r="BQ273" s="39" t="s">
        <v>277</v>
      </c>
      <c r="BR273" s="40" t="s">
        <v>277</v>
      </c>
      <c r="BS273" s="118" t="s">
        <v>277</v>
      </c>
      <c r="BT273" s="236" t="s">
        <v>277</v>
      </c>
      <c r="BU273" s="40" t="s">
        <v>277</v>
      </c>
      <c r="BV273" s="39" t="s">
        <v>277</v>
      </c>
      <c r="BW273" s="40" t="s">
        <v>277</v>
      </c>
      <c r="BX273" s="118" t="s">
        <v>277</v>
      </c>
      <c r="BY273" s="236" t="s">
        <v>277</v>
      </c>
      <c r="BZ273" s="40" t="s">
        <v>277</v>
      </c>
      <c r="CA273" s="39" t="s">
        <v>277</v>
      </c>
      <c r="CB273" s="40" t="s">
        <v>277</v>
      </c>
      <c r="CC273" s="118" t="s">
        <v>277</v>
      </c>
      <c r="CD273" s="236" t="s">
        <v>277</v>
      </c>
      <c r="CE273" s="40" t="s">
        <v>277</v>
      </c>
      <c r="CF273" s="39" t="s">
        <v>277</v>
      </c>
      <c r="CG273" s="40" t="s">
        <v>277</v>
      </c>
      <c r="CH273" s="118" t="s">
        <v>277</v>
      </c>
      <c r="CI273" s="236" t="s">
        <v>277</v>
      </c>
      <c r="CJ273" s="40" t="s">
        <v>277</v>
      </c>
      <c r="CK273" s="39" t="s">
        <v>277</v>
      </c>
      <c r="CL273" s="40" t="s">
        <v>277</v>
      </c>
      <c r="CM273" s="118" t="s">
        <v>277</v>
      </c>
      <c r="CN273" s="236" t="s">
        <v>277</v>
      </c>
      <c r="CO273" s="40" t="s">
        <v>277</v>
      </c>
      <c r="CP273" s="39" t="s">
        <v>277</v>
      </c>
      <c r="CQ273" s="40" t="s">
        <v>277</v>
      </c>
      <c r="CR273" s="118" t="s">
        <v>277</v>
      </c>
      <c r="CS273" s="236" t="s">
        <v>277</v>
      </c>
      <c r="CT273" s="40" t="s">
        <v>277</v>
      </c>
      <c r="CU273" s="39" t="s">
        <v>277</v>
      </c>
      <c r="CV273" s="40" t="s">
        <v>277</v>
      </c>
      <c r="CW273" s="118" t="s">
        <v>277</v>
      </c>
      <c r="CX273" s="236" t="s">
        <v>277</v>
      </c>
      <c r="CY273" s="40" t="s">
        <v>277</v>
      </c>
      <c r="CZ273" s="39" t="s">
        <v>277</v>
      </c>
      <c r="DA273" s="40" t="s">
        <v>277</v>
      </c>
      <c r="DB273" s="118" t="s">
        <v>277</v>
      </c>
      <c r="DC273" s="40"/>
      <c r="DD273" s="40"/>
      <c r="DE273" s="40"/>
      <c r="DF273" s="40"/>
      <c r="DG273" s="40"/>
      <c r="DH273" s="40"/>
      <c r="DI273" s="40"/>
      <c r="DJ273" s="40"/>
      <c r="DK273" s="185"/>
      <c r="DL273" s="185"/>
      <c r="DM273" s="9"/>
    </row>
    <row r="274" spans="1:117" outlineLevel="2">
      <c r="A274" s="34" t="s">
        <v>826</v>
      </c>
      <c r="B274" s="37">
        <v>0</v>
      </c>
      <c r="C274" s="38">
        <v>0</v>
      </c>
      <c r="D274" s="38">
        <v>0</v>
      </c>
      <c r="E274" s="48">
        <f>F274-SUM(B274:D274)</f>
        <v>0</v>
      </c>
      <c r="F274" s="133">
        <v>0</v>
      </c>
      <c r="G274" s="236" t="s">
        <v>277</v>
      </c>
      <c r="H274" s="40" t="s">
        <v>277</v>
      </c>
      <c r="I274" s="39" t="s">
        <v>277</v>
      </c>
      <c r="J274" s="40" t="s">
        <v>277</v>
      </c>
      <c r="K274" s="118" t="s">
        <v>277</v>
      </c>
      <c r="L274" s="236" t="s">
        <v>277</v>
      </c>
      <c r="M274" s="40" t="s">
        <v>277</v>
      </c>
      <c r="N274" s="39" t="s">
        <v>277</v>
      </c>
      <c r="O274" s="40" t="s">
        <v>277</v>
      </c>
      <c r="P274" s="118" t="s">
        <v>277</v>
      </c>
      <c r="Q274" s="236" t="s">
        <v>277</v>
      </c>
      <c r="R274" s="40" t="s">
        <v>277</v>
      </c>
      <c r="S274" s="39" t="s">
        <v>277</v>
      </c>
      <c r="T274" s="40" t="s">
        <v>277</v>
      </c>
      <c r="U274" s="118" t="s">
        <v>277</v>
      </c>
      <c r="V274" s="236" t="s">
        <v>277</v>
      </c>
      <c r="W274" s="40" t="s">
        <v>277</v>
      </c>
      <c r="X274" s="39" t="s">
        <v>277</v>
      </c>
      <c r="Y274" s="40" t="s">
        <v>277</v>
      </c>
      <c r="Z274" s="118" t="s">
        <v>277</v>
      </c>
      <c r="AA274" s="236" t="s">
        <v>277</v>
      </c>
      <c r="AB274" s="40" t="s">
        <v>277</v>
      </c>
      <c r="AC274" s="39" t="s">
        <v>277</v>
      </c>
      <c r="AD274" s="40" t="s">
        <v>277</v>
      </c>
      <c r="AE274" s="118" t="s">
        <v>277</v>
      </c>
      <c r="AF274" s="236" t="s">
        <v>277</v>
      </c>
      <c r="AG274" s="40" t="s">
        <v>277</v>
      </c>
      <c r="AH274" s="39" t="s">
        <v>277</v>
      </c>
      <c r="AI274" s="40" t="s">
        <v>277</v>
      </c>
      <c r="AJ274" s="118" t="s">
        <v>277</v>
      </c>
      <c r="AK274" s="236" t="s">
        <v>277</v>
      </c>
      <c r="AL274" s="40" t="s">
        <v>277</v>
      </c>
      <c r="AM274" s="39" t="s">
        <v>277</v>
      </c>
      <c r="AN274" s="40" t="s">
        <v>277</v>
      </c>
      <c r="AO274" s="118" t="s">
        <v>277</v>
      </c>
      <c r="AP274" s="236" t="s">
        <v>277</v>
      </c>
      <c r="AQ274" s="40" t="s">
        <v>277</v>
      </c>
      <c r="AR274" s="39" t="s">
        <v>277</v>
      </c>
      <c r="AS274" s="40" t="s">
        <v>277</v>
      </c>
      <c r="AT274" s="118" t="s">
        <v>277</v>
      </c>
      <c r="AU274" s="236" t="s">
        <v>277</v>
      </c>
      <c r="AV274" s="40" t="s">
        <v>277</v>
      </c>
      <c r="AW274" s="39" t="s">
        <v>277</v>
      </c>
      <c r="AX274" s="40" t="s">
        <v>277</v>
      </c>
      <c r="AY274" s="118" t="s">
        <v>277</v>
      </c>
      <c r="AZ274" s="236" t="s">
        <v>277</v>
      </c>
      <c r="BA274" s="40" t="s">
        <v>277</v>
      </c>
      <c r="BB274" s="39" t="s">
        <v>277</v>
      </c>
      <c r="BC274" s="40" t="s">
        <v>277</v>
      </c>
      <c r="BD274" s="118" t="s">
        <v>277</v>
      </c>
      <c r="BE274" s="236" t="s">
        <v>277</v>
      </c>
      <c r="BF274" s="40" t="s">
        <v>277</v>
      </c>
      <c r="BG274" s="39" t="s">
        <v>277</v>
      </c>
      <c r="BH274" s="40" t="s">
        <v>277</v>
      </c>
      <c r="BI274" s="118" t="s">
        <v>277</v>
      </c>
      <c r="BJ274" s="236" t="s">
        <v>277</v>
      </c>
      <c r="BK274" s="40" t="s">
        <v>277</v>
      </c>
      <c r="BL274" s="39" t="s">
        <v>277</v>
      </c>
      <c r="BM274" s="40" t="s">
        <v>277</v>
      </c>
      <c r="BN274" s="118" t="s">
        <v>277</v>
      </c>
      <c r="BO274" s="236" t="s">
        <v>277</v>
      </c>
      <c r="BP274" s="40" t="s">
        <v>277</v>
      </c>
      <c r="BQ274" s="39" t="s">
        <v>277</v>
      </c>
      <c r="BR274" s="40" t="s">
        <v>277</v>
      </c>
      <c r="BS274" s="118" t="s">
        <v>277</v>
      </c>
      <c r="BT274" s="236" t="s">
        <v>277</v>
      </c>
      <c r="BU274" s="40" t="s">
        <v>277</v>
      </c>
      <c r="BV274" s="39" t="s">
        <v>277</v>
      </c>
      <c r="BW274" s="40" t="s">
        <v>277</v>
      </c>
      <c r="BX274" s="118" t="s">
        <v>277</v>
      </c>
      <c r="BY274" s="236" t="s">
        <v>277</v>
      </c>
      <c r="BZ274" s="40" t="s">
        <v>277</v>
      </c>
      <c r="CA274" s="39" t="s">
        <v>277</v>
      </c>
      <c r="CB274" s="40" t="s">
        <v>277</v>
      </c>
      <c r="CC274" s="118" t="s">
        <v>277</v>
      </c>
      <c r="CD274" s="236" t="s">
        <v>277</v>
      </c>
      <c r="CE274" s="40" t="s">
        <v>277</v>
      </c>
      <c r="CF274" s="39" t="s">
        <v>277</v>
      </c>
      <c r="CG274" s="40" t="s">
        <v>277</v>
      </c>
      <c r="CH274" s="118" t="s">
        <v>277</v>
      </c>
      <c r="CI274" s="236" t="s">
        <v>277</v>
      </c>
      <c r="CJ274" s="40" t="s">
        <v>277</v>
      </c>
      <c r="CK274" s="39" t="s">
        <v>277</v>
      </c>
      <c r="CL274" s="40" t="s">
        <v>277</v>
      </c>
      <c r="CM274" s="118" t="s">
        <v>277</v>
      </c>
      <c r="CN274" s="236" t="s">
        <v>277</v>
      </c>
      <c r="CO274" s="40" t="s">
        <v>277</v>
      </c>
      <c r="CP274" s="39" t="s">
        <v>277</v>
      </c>
      <c r="CQ274" s="40" t="s">
        <v>277</v>
      </c>
      <c r="CR274" s="118" t="s">
        <v>277</v>
      </c>
      <c r="CS274" s="236" t="s">
        <v>277</v>
      </c>
      <c r="CT274" s="40" t="s">
        <v>277</v>
      </c>
      <c r="CU274" s="39" t="s">
        <v>277</v>
      </c>
      <c r="CV274" s="40" t="s">
        <v>277</v>
      </c>
      <c r="CW274" s="118" t="s">
        <v>277</v>
      </c>
      <c r="CX274" s="236" t="s">
        <v>277</v>
      </c>
      <c r="CY274" s="40" t="s">
        <v>277</v>
      </c>
      <c r="CZ274" s="39" t="s">
        <v>277</v>
      </c>
      <c r="DA274" s="40" t="s">
        <v>277</v>
      </c>
      <c r="DB274" s="118" t="s">
        <v>277</v>
      </c>
      <c r="DC274" s="40"/>
      <c r="DD274" s="40"/>
      <c r="DE274" s="40"/>
      <c r="DF274" s="40"/>
      <c r="DG274" s="40"/>
      <c r="DH274" s="40"/>
      <c r="DI274" s="40"/>
      <c r="DJ274" s="40"/>
      <c r="DK274" s="185"/>
      <c r="DL274" s="185"/>
      <c r="DM274" s="61"/>
    </row>
    <row r="275" spans="1:117" outlineLevel="2">
      <c r="A275" s="28" t="s">
        <v>546</v>
      </c>
      <c r="B275" s="160">
        <f>B273-B274</f>
        <v>11862</v>
      </c>
      <c r="C275" s="168">
        <f>C273-C274</f>
        <v>11974</v>
      </c>
      <c r="D275" s="168">
        <f>D273-D274</f>
        <v>7331</v>
      </c>
      <c r="E275" s="168">
        <f>E273-E274</f>
        <v>-16332</v>
      </c>
      <c r="F275" s="235">
        <f>F273-F274</f>
        <v>14835</v>
      </c>
      <c r="G275" s="236" t="s">
        <v>277</v>
      </c>
      <c r="H275" s="40" t="s">
        <v>277</v>
      </c>
      <c r="I275" s="39" t="s">
        <v>277</v>
      </c>
      <c r="J275" s="40" t="s">
        <v>277</v>
      </c>
      <c r="K275" s="118" t="s">
        <v>277</v>
      </c>
      <c r="L275" s="236" t="s">
        <v>277</v>
      </c>
      <c r="M275" s="40" t="s">
        <v>277</v>
      </c>
      <c r="N275" s="39" t="s">
        <v>277</v>
      </c>
      <c r="O275" s="40" t="s">
        <v>277</v>
      </c>
      <c r="P275" s="118" t="s">
        <v>277</v>
      </c>
      <c r="Q275" s="236" t="s">
        <v>277</v>
      </c>
      <c r="R275" s="40" t="s">
        <v>277</v>
      </c>
      <c r="S275" s="39" t="s">
        <v>277</v>
      </c>
      <c r="T275" s="40" t="s">
        <v>277</v>
      </c>
      <c r="U275" s="118" t="s">
        <v>277</v>
      </c>
      <c r="V275" s="236" t="s">
        <v>277</v>
      </c>
      <c r="W275" s="40" t="s">
        <v>277</v>
      </c>
      <c r="X275" s="39" t="s">
        <v>277</v>
      </c>
      <c r="Y275" s="40" t="s">
        <v>277</v>
      </c>
      <c r="Z275" s="118" t="s">
        <v>277</v>
      </c>
      <c r="AA275" s="236" t="s">
        <v>277</v>
      </c>
      <c r="AB275" s="40" t="s">
        <v>277</v>
      </c>
      <c r="AC275" s="39" t="s">
        <v>277</v>
      </c>
      <c r="AD275" s="40" t="s">
        <v>277</v>
      </c>
      <c r="AE275" s="118" t="s">
        <v>277</v>
      </c>
      <c r="AF275" s="236" t="s">
        <v>277</v>
      </c>
      <c r="AG275" s="40" t="s">
        <v>277</v>
      </c>
      <c r="AH275" s="39" t="s">
        <v>277</v>
      </c>
      <c r="AI275" s="40" t="s">
        <v>277</v>
      </c>
      <c r="AJ275" s="118" t="s">
        <v>277</v>
      </c>
      <c r="AK275" s="236" t="s">
        <v>277</v>
      </c>
      <c r="AL275" s="40" t="s">
        <v>277</v>
      </c>
      <c r="AM275" s="39" t="s">
        <v>277</v>
      </c>
      <c r="AN275" s="40" t="s">
        <v>277</v>
      </c>
      <c r="AO275" s="118" t="s">
        <v>277</v>
      </c>
      <c r="AP275" s="236" t="s">
        <v>277</v>
      </c>
      <c r="AQ275" s="40" t="s">
        <v>277</v>
      </c>
      <c r="AR275" s="39" t="s">
        <v>277</v>
      </c>
      <c r="AS275" s="40" t="s">
        <v>277</v>
      </c>
      <c r="AT275" s="118" t="s">
        <v>277</v>
      </c>
      <c r="AU275" s="236" t="s">
        <v>277</v>
      </c>
      <c r="AV275" s="40" t="s">
        <v>277</v>
      </c>
      <c r="AW275" s="39" t="s">
        <v>277</v>
      </c>
      <c r="AX275" s="40" t="s">
        <v>277</v>
      </c>
      <c r="AY275" s="118" t="s">
        <v>277</v>
      </c>
      <c r="AZ275" s="236" t="s">
        <v>277</v>
      </c>
      <c r="BA275" s="40" t="s">
        <v>277</v>
      </c>
      <c r="BB275" s="39" t="s">
        <v>277</v>
      </c>
      <c r="BC275" s="40" t="s">
        <v>277</v>
      </c>
      <c r="BD275" s="118" t="s">
        <v>277</v>
      </c>
      <c r="BE275" s="236" t="s">
        <v>277</v>
      </c>
      <c r="BF275" s="40" t="s">
        <v>277</v>
      </c>
      <c r="BG275" s="39" t="s">
        <v>277</v>
      </c>
      <c r="BH275" s="40" t="s">
        <v>277</v>
      </c>
      <c r="BI275" s="118" t="s">
        <v>277</v>
      </c>
      <c r="BJ275" s="236" t="s">
        <v>277</v>
      </c>
      <c r="BK275" s="40" t="s">
        <v>277</v>
      </c>
      <c r="BL275" s="39" t="s">
        <v>277</v>
      </c>
      <c r="BM275" s="40" t="s">
        <v>277</v>
      </c>
      <c r="BN275" s="118" t="s">
        <v>277</v>
      </c>
      <c r="BO275" s="236" t="s">
        <v>277</v>
      </c>
      <c r="BP275" s="40" t="s">
        <v>277</v>
      </c>
      <c r="BQ275" s="39" t="s">
        <v>277</v>
      </c>
      <c r="BR275" s="40" t="s">
        <v>277</v>
      </c>
      <c r="BS275" s="118" t="s">
        <v>277</v>
      </c>
      <c r="BT275" s="236" t="s">
        <v>277</v>
      </c>
      <c r="BU275" s="40" t="s">
        <v>277</v>
      </c>
      <c r="BV275" s="39" t="s">
        <v>277</v>
      </c>
      <c r="BW275" s="40" t="s">
        <v>277</v>
      </c>
      <c r="BX275" s="118" t="s">
        <v>277</v>
      </c>
      <c r="BY275" s="236" t="s">
        <v>277</v>
      </c>
      <c r="BZ275" s="40" t="s">
        <v>277</v>
      </c>
      <c r="CA275" s="39" t="s">
        <v>277</v>
      </c>
      <c r="CB275" s="40" t="s">
        <v>277</v>
      </c>
      <c r="CC275" s="118" t="s">
        <v>277</v>
      </c>
      <c r="CD275" s="236" t="s">
        <v>277</v>
      </c>
      <c r="CE275" s="40" t="s">
        <v>277</v>
      </c>
      <c r="CF275" s="39" t="s">
        <v>277</v>
      </c>
      <c r="CG275" s="40" t="s">
        <v>277</v>
      </c>
      <c r="CH275" s="118" t="s">
        <v>277</v>
      </c>
      <c r="CI275" s="236" t="s">
        <v>277</v>
      </c>
      <c r="CJ275" s="40" t="s">
        <v>277</v>
      </c>
      <c r="CK275" s="39" t="s">
        <v>277</v>
      </c>
      <c r="CL275" s="40" t="s">
        <v>277</v>
      </c>
      <c r="CM275" s="118" t="s">
        <v>277</v>
      </c>
      <c r="CN275" s="236" t="s">
        <v>277</v>
      </c>
      <c r="CO275" s="40" t="s">
        <v>277</v>
      </c>
      <c r="CP275" s="39" t="s">
        <v>277</v>
      </c>
      <c r="CQ275" s="40" t="s">
        <v>277</v>
      </c>
      <c r="CR275" s="118" t="s">
        <v>277</v>
      </c>
      <c r="CS275" s="236" t="s">
        <v>277</v>
      </c>
      <c r="CT275" s="40" t="s">
        <v>277</v>
      </c>
      <c r="CU275" s="39" t="s">
        <v>277</v>
      </c>
      <c r="CV275" s="40" t="s">
        <v>277</v>
      </c>
      <c r="CW275" s="118" t="s">
        <v>277</v>
      </c>
      <c r="CX275" s="236" t="s">
        <v>277</v>
      </c>
      <c r="CY275" s="40" t="s">
        <v>277</v>
      </c>
      <c r="CZ275" s="39" t="s">
        <v>277</v>
      </c>
      <c r="DA275" s="40" t="s">
        <v>277</v>
      </c>
      <c r="DB275" s="118" t="s">
        <v>277</v>
      </c>
      <c r="DC275" s="40"/>
      <c r="DD275" s="40"/>
      <c r="DE275" s="40"/>
      <c r="DF275" s="40"/>
      <c r="DG275" s="40"/>
      <c r="DH275" s="40"/>
      <c r="DI275" s="40"/>
      <c r="DJ275" s="40"/>
      <c r="DK275" s="185"/>
      <c r="DL275" s="185"/>
      <c r="DM275" s="61"/>
    </row>
    <row r="276" spans="1:117" outlineLevel="2">
      <c r="A276" s="36" t="s">
        <v>814</v>
      </c>
      <c r="B276" s="37">
        <v>8472</v>
      </c>
      <c r="C276" s="38">
        <v>11946</v>
      </c>
      <c r="D276" s="38">
        <v>3364</v>
      </c>
      <c r="E276" s="48">
        <f>F276-SUM(B276:D276)</f>
        <v>-14518</v>
      </c>
      <c r="F276" s="133">
        <v>9264</v>
      </c>
      <c r="G276" s="236" t="s">
        <v>277</v>
      </c>
      <c r="H276" s="40" t="s">
        <v>277</v>
      </c>
      <c r="I276" s="39" t="s">
        <v>277</v>
      </c>
      <c r="J276" s="40" t="s">
        <v>277</v>
      </c>
      <c r="K276" s="118" t="s">
        <v>277</v>
      </c>
      <c r="L276" s="236" t="s">
        <v>277</v>
      </c>
      <c r="M276" s="40" t="s">
        <v>277</v>
      </c>
      <c r="N276" s="39" t="s">
        <v>277</v>
      </c>
      <c r="O276" s="40" t="s">
        <v>277</v>
      </c>
      <c r="P276" s="118" t="s">
        <v>277</v>
      </c>
      <c r="Q276" s="236" t="s">
        <v>277</v>
      </c>
      <c r="R276" s="40" t="s">
        <v>277</v>
      </c>
      <c r="S276" s="39" t="s">
        <v>277</v>
      </c>
      <c r="T276" s="40" t="s">
        <v>277</v>
      </c>
      <c r="U276" s="118" t="s">
        <v>277</v>
      </c>
      <c r="V276" s="236" t="s">
        <v>277</v>
      </c>
      <c r="W276" s="40" t="s">
        <v>277</v>
      </c>
      <c r="X276" s="39" t="s">
        <v>277</v>
      </c>
      <c r="Y276" s="40" t="s">
        <v>277</v>
      </c>
      <c r="Z276" s="118" t="s">
        <v>277</v>
      </c>
      <c r="AA276" s="236" t="s">
        <v>277</v>
      </c>
      <c r="AB276" s="40" t="s">
        <v>277</v>
      </c>
      <c r="AC276" s="39" t="s">
        <v>277</v>
      </c>
      <c r="AD276" s="40" t="s">
        <v>277</v>
      </c>
      <c r="AE276" s="118" t="s">
        <v>277</v>
      </c>
      <c r="AF276" s="236" t="s">
        <v>277</v>
      </c>
      <c r="AG276" s="40" t="s">
        <v>277</v>
      </c>
      <c r="AH276" s="39" t="s">
        <v>277</v>
      </c>
      <c r="AI276" s="40" t="s">
        <v>277</v>
      </c>
      <c r="AJ276" s="118" t="s">
        <v>277</v>
      </c>
      <c r="AK276" s="236" t="s">
        <v>277</v>
      </c>
      <c r="AL276" s="40" t="s">
        <v>277</v>
      </c>
      <c r="AM276" s="39" t="s">
        <v>277</v>
      </c>
      <c r="AN276" s="40" t="s">
        <v>277</v>
      </c>
      <c r="AO276" s="118" t="s">
        <v>277</v>
      </c>
      <c r="AP276" s="236" t="s">
        <v>277</v>
      </c>
      <c r="AQ276" s="40" t="s">
        <v>277</v>
      </c>
      <c r="AR276" s="39" t="s">
        <v>277</v>
      </c>
      <c r="AS276" s="40" t="s">
        <v>277</v>
      </c>
      <c r="AT276" s="118" t="s">
        <v>277</v>
      </c>
      <c r="AU276" s="236" t="s">
        <v>277</v>
      </c>
      <c r="AV276" s="40" t="s">
        <v>277</v>
      </c>
      <c r="AW276" s="39" t="s">
        <v>277</v>
      </c>
      <c r="AX276" s="40" t="s">
        <v>277</v>
      </c>
      <c r="AY276" s="118" t="s">
        <v>277</v>
      </c>
      <c r="AZ276" s="236" t="s">
        <v>277</v>
      </c>
      <c r="BA276" s="40" t="s">
        <v>277</v>
      </c>
      <c r="BB276" s="39" t="s">
        <v>277</v>
      </c>
      <c r="BC276" s="40" t="s">
        <v>277</v>
      </c>
      <c r="BD276" s="118" t="s">
        <v>277</v>
      </c>
      <c r="BE276" s="236" t="s">
        <v>277</v>
      </c>
      <c r="BF276" s="40" t="s">
        <v>277</v>
      </c>
      <c r="BG276" s="39" t="s">
        <v>277</v>
      </c>
      <c r="BH276" s="40" t="s">
        <v>277</v>
      </c>
      <c r="BI276" s="118" t="s">
        <v>277</v>
      </c>
      <c r="BJ276" s="236" t="s">
        <v>277</v>
      </c>
      <c r="BK276" s="40" t="s">
        <v>277</v>
      </c>
      <c r="BL276" s="39" t="s">
        <v>277</v>
      </c>
      <c r="BM276" s="40" t="s">
        <v>277</v>
      </c>
      <c r="BN276" s="118" t="s">
        <v>277</v>
      </c>
      <c r="BO276" s="236" t="s">
        <v>277</v>
      </c>
      <c r="BP276" s="40" t="s">
        <v>277</v>
      </c>
      <c r="BQ276" s="39" t="s">
        <v>277</v>
      </c>
      <c r="BR276" s="40" t="s">
        <v>277</v>
      </c>
      <c r="BS276" s="118" t="s">
        <v>277</v>
      </c>
      <c r="BT276" s="236" t="s">
        <v>277</v>
      </c>
      <c r="BU276" s="40" t="s">
        <v>277</v>
      </c>
      <c r="BV276" s="39" t="s">
        <v>277</v>
      </c>
      <c r="BW276" s="40" t="s">
        <v>277</v>
      </c>
      <c r="BX276" s="118" t="s">
        <v>277</v>
      </c>
      <c r="BY276" s="236" t="s">
        <v>277</v>
      </c>
      <c r="BZ276" s="40" t="s">
        <v>277</v>
      </c>
      <c r="CA276" s="39" t="s">
        <v>277</v>
      </c>
      <c r="CB276" s="40" t="s">
        <v>277</v>
      </c>
      <c r="CC276" s="118" t="s">
        <v>277</v>
      </c>
      <c r="CD276" s="236" t="s">
        <v>277</v>
      </c>
      <c r="CE276" s="40" t="s">
        <v>277</v>
      </c>
      <c r="CF276" s="39" t="s">
        <v>277</v>
      </c>
      <c r="CG276" s="40" t="s">
        <v>277</v>
      </c>
      <c r="CH276" s="118" t="s">
        <v>277</v>
      </c>
      <c r="CI276" s="236" t="s">
        <v>277</v>
      </c>
      <c r="CJ276" s="40" t="s">
        <v>277</v>
      </c>
      <c r="CK276" s="39" t="s">
        <v>277</v>
      </c>
      <c r="CL276" s="40" t="s">
        <v>277</v>
      </c>
      <c r="CM276" s="118" t="s">
        <v>277</v>
      </c>
      <c r="CN276" s="236" t="s">
        <v>277</v>
      </c>
      <c r="CO276" s="40" t="s">
        <v>277</v>
      </c>
      <c r="CP276" s="39" t="s">
        <v>277</v>
      </c>
      <c r="CQ276" s="40" t="s">
        <v>277</v>
      </c>
      <c r="CR276" s="118" t="s">
        <v>277</v>
      </c>
      <c r="CS276" s="236" t="s">
        <v>277</v>
      </c>
      <c r="CT276" s="40" t="s">
        <v>277</v>
      </c>
      <c r="CU276" s="39" t="s">
        <v>277</v>
      </c>
      <c r="CV276" s="40" t="s">
        <v>277</v>
      </c>
      <c r="CW276" s="118" t="s">
        <v>277</v>
      </c>
      <c r="CX276" s="236" t="s">
        <v>277</v>
      </c>
      <c r="CY276" s="40" t="s">
        <v>277</v>
      </c>
      <c r="CZ276" s="39" t="s">
        <v>277</v>
      </c>
      <c r="DA276" s="40" t="s">
        <v>277</v>
      </c>
      <c r="DB276" s="118" t="s">
        <v>277</v>
      </c>
      <c r="DC276" s="40"/>
      <c r="DD276" s="40"/>
      <c r="DE276" s="40"/>
      <c r="DF276" s="40"/>
      <c r="DG276" s="40"/>
      <c r="DH276" s="40"/>
      <c r="DI276" s="40"/>
      <c r="DJ276" s="40"/>
      <c r="DK276" s="185"/>
      <c r="DL276" s="185"/>
      <c r="DM276" s="61"/>
    </row>
    <row r="277" spans="1:117" outlineLevel="2">
      <c r="A277" s="36"/>
      <c r="B277" s="37"/>
      <c r="C277" s="38"/>
      <c r="D277" s="38"/>
      <c r="E277" s="38"/>
      <c r="F277" s="133"/>
      <c r="G277" s="236"/>
      <c r="H277" s="40"/>
      <c r="I277" s="39"/>
      <c r="J277" s="40"/>
      <c r="K277" s="118"/>
      <c r="L277" s="236"/>
      <c r="M277" s="40"/>
      <c r="N277" s="39"/>
      <c r="O277" s="40"/>
      <c r="P277" s="118"/>
      <c r="Q277" s="236"/>
      <c r="R277" s="40"/>
      <c r="S277" s="39"/>
      <c r="T277" s="40"/>
      <c r="U277" s="118"/>
      <c r="V277" s="236"/>
      <c r="W277" s="40"/>
      <c r="X277" s="39"/>
      <c r="Y277" s="40"/>
      <c r="Z277" s="118"/>
      <c r="AA277" s="236"/>
      <c r="AB277" s="40"/>
      <c r="AC277" s="39"/>
      <c r="AD277" s="40"/>
      <c r="AE277" s="118"/>
      <c r="AF277" s="236"/>
      <c r="AG277" s="40"/>
      <c r="AH277" s="39"/>
      <c r="AI277" s="40"/>
      <c r="AJ277" s="118"/>
      <c r="AK277" s="236"/>
      <c r="AL277" s="40"/>
      <c r="AM277" s="39"/>
      <c r="AN277" s="40"/>
      <c r="AO277" s="118"/>
      <c r="AP277" s="236"/>
      <c r="AQ277" s="40"/>
      <c r="AR277" s="39"/>
      <c r="AS277" s="40"/>
      <c r="AT277" s="118"/>
      <c r="AU277" s="236"/>
      <c r="AV277" s="40"/>
      <c r="AW277" s="39"/>
      <c r="AX277" s="40"/>
      <c r="AY277" s="118"/>
      <c r="AZ277" s="236"/>
      <c r="BA277" s="40"/>
      <c r="BB277" s="39"/>
      <c r="BC277" s="40"/>
      <c r="BD277" s="118"/>
      <c r="BE277" s="236"/>
      <c r="BF277" s="40"/>
      <c r="BG277" s="39"/>
      <c r="BH277" s="40"/>
      <c r="BI277" s="118"/>
      <c r="BJ277" s="236"/>
      <c r="BK277" s="40"/>
      <c r="BL277" s="39"/>
      <c r="BM277" s="40"/>
      <c r="BN277" s="118"/>
      <c r="BO277" s="236"/>
      <c r="BP277" s="40"/>
      <c r="BQ277" s="39"/>
      <c r="BR277" s="40"/>
      <c r="BS277" s="118"/>
      <c r="BT277" s="236"/>
      <c r="BU277" s="40"/>
      <c r="BV277" s="39"/>
      <c r="BW277" s="40"/>
      <c r="BX277" s="118"/>
      <c r="BY277" s="236"/>
      <c r="BZ277" s="40"/>
      <c r="CA277" s="39"/>
      <c r="CB277" s="40"/>
      <c r="CC277" s="118"/>
      <c r="CD277" s="236"/>
      <c r="CE277" s="40"/>
      <c r="CF277" s="39"/>
      <c r="CG277" s="40"/>
      <c r="CH277" s="118"/>
      <c r="CI277" s="236"/>
      <c r="CJ277" s="40"/>
      <c r="CK277" s="39"/>
      <c r="CL277" s="40"/>
      <c r="CM277" s="118"/>
      <c r="CN277" s="236"/>
      <c r="CO277" s="40"/>
      <c r="CP277" s="39"/>
      <c r="CQ277" s="40"/>
      <c r="CR277" s="118"/>
      <c r="CS277" s="236"/>
      <c r="CT277" s="40"/>
      <c r="CU277" s="39"/>
      <c r="CV277" s="40"/>
      <c r="CW277" s="118"/>
      <c r="CX277" s="236"/>
      <c r="CY277" s="40"/>
      <c r="CZ277" s="39"/>
      <c r="DA277" s="40"/>
      <c r="DB277" s="118"/>
      <c r="DC277" s="40"/>
      <c r="DD277" s="40"/>
      <c r="DE277" s="40"/>
      <c r="DF277" s="40"/>
      <c r="DG277" s="40"/>
      <c r="DH277" s="40"/>
      <c r="DI277" s="40"/>
      <c r="DJ277" s="40"/>
      <c r="DK277" s="185"/>
      <c r="DL277" s="185"/>
      <c r="DM277" s="61"/>
    </row>
    <row r="278" spans="1:117" outlineLevel="2">
      <c r="A278" s="12"/>
      <c r="B278" s="19"/>
      <c r="C278" s="18"/>
      <c r="D278" s="18"/>
      <c r="E278" s="18"/>
      <c r="F278" s="133"/>
      <c r="G278" s="19"/>
      <c r="H278" s="18"/>
      <c r="I278" s="18"/>
      <c r="J278" s="18"/>
      <c r="K278" s="133"/>
      <c r="L278" s="19"/>
      <c r="M278" s="18"/>
      <c r="N278" s="18"/>
      <c r="O278" s="18"/>
      <c r="P278" s="133"/>
      <c r="Q278" s="19"/>
      <c r="R278" s="18"/>
      <c r="S278" s="18"/>
      <c r="T278" s="18"/>
      <c r="U278" s="133"/>
      <c r="V278" s="19"/>
      <c r="W278" s="18"/>
      <c r="X278" s="18"/>
      <c r="Y278" s="18"/>
      <c r="Z278" s="133"/>
      <c r="AA278" s="19"/>
      <c r="AB278" s="18"/>
      <c r="AC278" s="18"/>
      <c r="AD278" s="18"/>
      <c r="AE278" s="133"/>
      <c r="AF278" s="19"/>
      <c r="AG278" s="18"/>
      <c r="AH278" s="18"/>
      <c r="AI278" s="18"/>
      <c r="AJ278" s="133"/>
      <c r="AK278" s="19"/>
      <c r="AL278" s="18"/>
      <c r="AM278" s="18"/>
      <c r="AN278" s="18"/>
      <c r="AO278" s="133"/>
      <c r="AP278" s="19"/>
      <c r="AQ278" s="18"/>
      <c r="AR278" s="18"/>
      <c r="AS278" s="18"/>
      <c r="AT278" s="133"/>
      <c r="AU278" s="19"/>
      <c r="AV278" s="18"/>
      <c r="AW278" s="18"/>
      <c r="AX278" s="18"/>
      <c r="AY278" s="133"/>
      <c r="AZ278" s="19"/>
      <c r="BA278" s="18"/>
      <c r="BB278" s="18"/>
      <c r="BC278" s="18"/>
      <c r="BD278" s="133"/>
      <c r="BE278" s="19"/>
      <c r="BF278" s="18"/>
      <c r="BG278" s="18"/>
      <c r="BH278" s="18"/>
      <c r="BI278" s="133"/>
      <c r="BJ278" s="19"/>
      <c r="BK278" s="18"/>
      <c r="BL278" s="18"/>
      <c r="BM278" s="18"/>
      <c r="BN278" s="133"/>
      <c r="BO278" s="19"/>
      <c r="BP278" s="18"/>
      <c r="BQ278" s="18"/>
      <c r="BR278" s="18"/>
      <c r="BS278" s="133"/>
      <c r="BT278" s="19"/>
      <c r="BU278" s="18"/>
      <c r="BV278" s="18"/>
      <c r="BW278" s="18"/>
      <c r="BX278" s="133"/>
      <c r="BY278" s="19"/>
      <c r="BZ278" s="18"/>
      <c r="CA278" s="18"/>
      <c r="CB278" s="18"/>
      <c r="CC278" s="133"/>
      <c r="CD278" s="19"/>
      <c r="CE278" s="18"/>
      <c r="CF278" s="18"/>
      <c r="CG278" s="18"/>
      <c r="CH278" s="133"/>
      <c r="CI278" s="19"/>
      <c r="CJ278" s="18"/>
      <c r="CK278" s="18"/>
      <c r="CL278" s="18"/>
      <c r="CM278" s="133"/>
      <c r="CN278" s="19"/>
      <c r="CO278" s="18"/>
      <c r="CP278" s="18"/>
      <c r="CQ278" s="18"/>
      <c r="CR278" s="133"/>
      <c r="CS278" s="19"/>
      <c r="CT278" s="18"/>
      <c r="CU278" s="18"/>
      <c r="CV278" s="18"/>
      <c r="CW278" s="133"/>
      <c r="CX278" s="19"/>
      <c r="CY278" s="18"/>
      <c r="CZ278" s="18"/>
      <c r="DA278" s="18"/>
      <c r="DB278" s="133"/>
      <c r="DC278" s="38"/>
      <c r="DD278" s="38"/>
      <c r="DE278" s="38"/>
      <c r="DF278" s="38"/>
      <c r="DG278" s="38"/>
      <c r="DH278" s="38"/>
      <c r="DI278" s="38"/>
      <c r="DJ278" s="38"/>
      <c r="DK278" s="65"/>
      <c r="DL278" s="65"/>
      <c r="DM278" s="61"/>
    </row>
    <row r="279" spans="1:117" outlineLevel="2">
      <c r="A279" s="16" t="s">
        <v>768</v>
      </c>
      <c r="B279" s="19"/>
      <c r="C279" s="18"/>
      <c r="D279" s="18"/>
      <c r="E279" s="18"/>
      <c r="F279" s="133"/>
      <c r="G279" s="19"/>
      <c r="H279" s="18"/>
      <c r="I279" s="18"/>
      <c r="J279" s="18"/>
      <c r="K279" s="133"/>
      <c r="L279" s="19"/>
      <c r="M279" s="18"/>
      <c r="N279" s="18"/>
      <c r="O279" s="18"/>
      <c r="P279" s="133"/>
      <c r="Q279" s="19"/>
      <c r="R279" s="18"/>
      <c r="S279" s="18"/>
      <c r="T279" s="18"/>
      <c r="U279" s="133"/>
      <c r="V279" s="19"/>
      <c r="W279" s="18"/>
      <c r="X279" s="18"/>
      <c r="Y279" s="18"/>
      <c r="Z279" s="133"/>
      <c r="AA279" s="19"/>
      <c r="AB279" s="18"/>
      <c r="AC279" s="18"/>
      <c r="AD279" s="18"/>
      <c r="AE279" s="133"/>
      <c r="AF279" s="19"/>
      <c r="AG279" s="18"/>
      <c r="AH279" s="18"/>
      <c r="AI279" s="18"/>
      <c r="AJ279" s="133"/>
      <c r="AK279" s="19"/>
      <c r="AL279" s="18"/>
      <c r="AM279" s="18"/>
      <c r="AN279" s="18"/>
      <c r="AO279" s="133"/>
      <c r="AP279" s="19"/>
      <c r="AQ279" s="18"/>
      <c r="AR279" s="18"/>
      <c r="AS279" s="18"/>
      <c r="AT279" s="133"/>
      <c r="AU279" s="19"/>
      <c r="AV279" s="18"/>
      <c r="AW279" s="18"/>
      <c r="AX279" s="18"/>
      <c r="AY279" s="133"/>
      <c r="AZ279" s="19"/>
      <c r="BA279" s="18"/>
      <c r="BB279" s="18"/>
      <c r="BC279" s="18"/>
      <c r="BD279" s="133"/>
      <c r="BE279" s="19"/>
      <c r="BF279" s="18"/>
      <c r="BG279" s="18"/>
      <c r="BH279" s="18"/>
      <c r="BI279" s="133"/>
      <c r="BJ279" s="19"/>
      <c r="BK279" s="18"/>
      <c r="BL279" s="18"/>
      <c r="BM279" s="18"/>
      <c r="BN279" s="133"/>
      <c r="BO279" s="19"/>
      <c r="BP279" s="18"/>
      <c r="BQ279" s="18"/>
      <c r="BR279" s="18"/>
      <c r="BS279" s="133"/>
      <c r="BT279" s="19"/>
      <c r="BU279" s="18"/>
      <c r="BV279" s="18"/>
      <c r="BW279" s="18"/>
      <c r="BX279" s="133"/>
      <c r="BY279" s="19"/>
      <c r="BZ279" s="18"/>
      <c r="CA279" s="18"/>
      <c r="CB279" s="18"/>
      <c r="CC279" s="133"/>
      <c r="CD279" s="19"/>
      <c r="CE279" s="18"/>
      <c r="CF279" s="18"/>
      <c r="CG279" s="18"/>
      <c r="CH279" s="133"/>
      <c r="CI279" s="19"/>
      <c r="CJ279" s="18"/>
      <c r="CK279" s="18"/>
      <c r="CL279" s="18"/>
      <c r="CM279" s="133"/>
      <c r="CN279" s="19"/>
      <c r="CO279" s="18"/>
      <c r="CP279" s="18"/>
      <c r="CQ279" s="18"/>
      <c r="CR279" s="133"/>
      <c r="CS279" s="19"/>
      <c r="CT279" s="18"/>
      <c r="CU279" s="18"/>
      <c r="CV279" s="18"/>
      <c r="CW279" s="133"/>
      <c r="CX279" s="19"/>
      <c r="CY279" s="18"/>
      <c r="CZ279" s="18"/>
      <c r="DA279" s="18"/>
      <c r="DB279" s="133"/>
      <c r="DC279" s="38"/>
      <c r="DD279" s="38"/>
      <c r="DE279" s="38"/>
      <c r="DF279" s="38"/>
      <c r="DG279" s="38"/>
      <c r="DH279" s="38"/>
      <c r="DI279" s="38"/>
      <c r="DJ279" s="38"/>
      <c r="DK279" s="65"/>
      <c r="DL279" s="65"/>
      <c r="DM279" s="61"/>
    </row>
    <row r="280" spans="1:117" outlineLevel="2">
      <c r="A280" s="34" t="s">
        <v>214</v>
      </c>
      <c r="B280" s="37">
        <v>13929</v>
      </c>
      <c r="C280" s="38">
        <v>11316</v>
      </c>
      <c r="D280" s="38">
        <v>10914</v>
      </c>
      <c r="E280" s="48">
        <f>F280-SUM(B280:D280)</f>
        <v>29519</v>
      </c>
      <c r="F280" s="133">
        <v>65678</v>
      </c>
      <c r="G280" s="236" t="s">
        <v>277</v>
      </c>
      <c r="H280" s="40" t="s">
        <v>277</v>
      </c>
      <c r="I280" s="39" t="s">
        <v>277</v>
      </c>
      <c r="J280" s="40" t="s">
        <v>277</v>
      </c>
      <c r="K280" s="118" t="s">
        <v>277</v>
      </c>
      <c r="L280" s="236" t="s">
        <v>277</v>
      </c>
      <c r="M280" s="40" t="s">
        <v>277</v>
      </c>
      <c r="N280" s="39" t="s">
        <v>277</v>
      </c>
      <c r="O280" s="40" t="s">
        <v>277</v>
      </c>
      <c r="P280" s="118" t="s">
        <v>277</v>
      </c>
      <c r="Q280" s="236" t="s">
        <v>277</v>
      </c>
      <c r="R280" s="40" t="s">
        <v>277</v>
      </c>
      <c r="S280" s="39" t="s">
        <v>277</v>
      </c>
      <c r="T280" s="40" t="s">
        <v>277</v>
      </c>
      <c r="U280" s="118" t="s">
        <v>277</v>
      </c>
      <c r="V280" s="236" t="s">
        <v>277</v>
      </c>
      <c r="W280" s="40" t="s">
        <v>277</v>
      </c>
      <c r="X280" s="39" t="s">
        <v>277</v>
      </c>
      <c r="Y280" s="40" t="s">
        <v>277</v>
      </c>
      <c r="Z280" s="118" t="s">
        <v>277</v>
      </c>
      <c r="AA280" s="236" t="s">
        <v>277</v>
      </c>
      <c r="AB280" s="40" t="s">
        <v>277</v>
      </c>
      <c r="AC280" s="39" t="s">
        <v>277</v>
      </c>
      <c r="AD280" s="40" t="s">
        <v>277</v>
      </c>
      <c r="AE280" s="118" t="s">
        <v>277</v>
      </c>
      <c r="AF280" s="236" t="s">
        <v>277</v>
      </c>
      <c r="AG280" s="40" t="s">
        <v>277</v>
      </c>
      <c r="AH280" s="39" t="s">
        <v>277</v>
      </c>
      <c r="AI280" s="40" t="s">
        <v>277</v>
      </c>
      <c r="AJ280" s="118" t="s">
        <v>277</v>
      </c>
      <c r="AK280" s="236" t="s">
        <v>277</v>
      </c>
      <c r="AL280" s="40" t="s">
        <v>277</v>
      </c>
      <c r="AM280" s="39" t="s">
        <v>277</v>
      </c>
      <c r="AN280" s="40" t="s">
        <v>277</v>
      </c>
      <c r="AO280" s="118" t="s">
        <v>277</v>
      </c>
      <c r="AP280" s="236" t="s">
        <v>277</v>
      </c>
      <c r="AQ280" s="40" t="s">
        <v>277</v>
      </c>
      <c r="AR280" s="39" t="s">
        <v>277</v>
      </c>
      <c r="AS280" s="40" t="s">
        <v>277</v>
      </c>
      <c r="AT280" s="118" t="s">
        <v>277</v>
      </c>
      <c r="AU280" s="236" t="s">
        <v>277</v>
      </c>
      <c r="AV280" s="40" t="s">
        <v>277</v>
      </c>
      <c r="AW280" s="39" t="s">
        <v>277</v>
      </c>
      <c r="AX280" s="40" t="s">
        <v>277</v>
      </c>
      <c r="AY280" s="118" t="s">
        <v>277</v>
      </c>
      <c r="AZ280" s="236" t="s">
        <v>277</v>
      </c>
      <c r="BA280" s="40" t="s">
        <v>277</v>
      </c>
      <c r="BB280" s="39" t="s">
        <v>277</v>
      </c>
      <c r="BC280" s="40" t="s">
        <v>277</v>
      </c>
      <c r="BD280" s="118" t="s">
        <v>277</v>
      </c>
      <c r="BE280" s="236" t="s">
        <v>277</v>
      </c>
      <c r="BF280" s="40" t="s">
        <v>277</v>
      </c>
      <c r="BG280" s="39" t="s">
        <v>277</v>
      </c>
      <c r="BH280" s="40" t="s">
        <v>277</v>
      </c>
      <c r="BI280" s="118" t="s">
        <v>277</v>
      </c>
      <c r="BJ280" s="236" t="s">
        <v>277</v>
      </c>
      <c r="BK280" s="40" t="s">
        <v>277</v>
      </c>
      <c r="BL280" s="39" t="s">
        <v>277</v>
      </c>
      <c r="BM280" s="40" t="s">
        <v>277</v>
      </c>
      <c r="BN280" s="118" t="s">
        <v>277</v>
      </c>
      <c r="BO280" s="236" t="s">
        <v>277</v>
      </c>
      <c r="BP280" s="40" t="s">
        <v>277</v>
      </c>
      <c r="BQ280" s="39" t="s">
        <v>277</v>
      </c>
      <c r="BR280" s="40" t="s">
        <v>277</v>
      </c>
      <c r="BS280" s="118" t="s">
        <v>277</v>
      </c>
      <c r="BT280" s="236" t="s">
        <v>277</v>
      </c>
      <c r="BU280" s="40" t="s">
        <v>277</v>
      </c>
      <c r="BV280" s="39" t="s">
        <v>277</v>
      </c>
      <c r="BW280" s="40" t="s">
        <v>277</v>
      </c>
      <c r="BX280" s="118" t="s">
        <v>277</v>
      </c>
      <c r="BY280" s="236" t="s">
        <v>277</v>
      </c>
      <c r="BZ280" s="40" t="s">
        <v>277</v>
      </c>
      <c r="CA280" s="39" t="s">
        <v>277</v>
      </c>
      <c r="CB280" s="40" t="s">
        <v>277</v>
      </c>
      <c r="CC280" s="118" t="s">
        <v>277</v>
      </c>
      <c r="CD280" s="236" t="s">
        <v>277</v>
      </c>
      <c r="CE280" s="40" t="s">
        <v>277</v>
      </c>
      <c r="CF280" s="39" t="s">
        <v>277</v>
      </c>
      <c r="CG280" s="40" t="s">
        <v>277</v>
      </c>
      <c r="CH280" s="118" t="s">
        <v>277</v>
      </c>
      <c r="CI280" s="236" t="s">
        <v>277</v>
      </c>
      <c r="CJ280" s="40" t="s">
        <v>277</v>
      </c>
      <c r="CK280" s="39" t="s">
        <v>277</v>
      </c>
      <c r="CL280" s="40" t="s">
        <v>277</v>
      </c>
      <c r="CM280" s="118" t="s">
        <v>277</v>
      </c>
      <c r="CN280" s="236" t="s">
        <v>277</v>
      </c>
      <c r="CO280" s="40" t="s">
        <v>277</v>
      </c>
      <c r="CP280" s="39" t="s">
        <v>277</v>
      </c>
      <c r="CQ280" s="40" t="s">
        <v>277</v>
      </c>
      <c r="CR280" s="118" t="s">
        <v>277</v>
      </c>
      <c r="CS280" s="236" t="s">
        <v>277</v>
      </c>
      <c r="CT280" s="40" t="s">
        <v>277</v>
      </c>
      <c r="CU280" s="39" t="s">
        <v>277</v>
      </c>
      <c r="CV280" s="40" t="s">
        <v>277</v>
      </c>
      <c r="CW280" s="118" t="s">
        <v>277</v>
      </c>
      <c r="CX280" s="236" t="s">
        <v>277</v>
      </c>
      <c r="CY280" s="40" t="s">
        <v>277</v>
      </c>
      <c r="CZ280" s="39" t="s">
        <v>277</v>
      </c>
      <c r="DA280" s="40" t="s">
        <v>277</v>
      </c>
      <c r="DB280" s="118" t="s">
        <v>277</v>
      </c>
      <c r="DC280" s="40"/>
      <c r="DD280" s="40"/>
      <c r="DE280" s="40"/>
      <c r="DF280" s="40"/>
      <c r="DG280" s="40"/>
      <c r="DH280" s="40"/>
      <c r="DI280" s="40"/>
      <c r="DJ280" s="40"/>
      <c r="DK280" s="185"/>
      <c r="DL280" s="185"/>
      <c r="DM280" s="9"/>
    </row>
    <row r="281" spans="1:117" outlineLevel="2">
      <c r="A281" s="34" t="s">
        <v>333</v>
      </c>
      <c r="B281" s="37">
        <v>24498</v>
      </c>
      <c r="C281" s="38">
        <v>25739</v>
      </c>
      <c r="D281" s="38">
        <v>25464</v>
      </c>
      <c r="E281" s="48">
        <f>F281-SUM(B281:D281)</f>
        <v>26056</v>
      </c>
      <c r="F281" s="133">
        <v>101757</v>
      </c>
      <c r="G281" s="236" t="s">
        <v>277</v>
      </c>
      <c r="H281" s="40" t="s">
        <v>277</v>
      </c>
      <c r="I281" s="39" t="s">
        <v>277</v>
      </c>
      <c r="J281" s="40" t="s">
        <v>277</v>
      </c>
      <c r="K281" s="118" t="s">
        <v>277</v>
      </c>
      <c r="L281" s="236" t="s">
        <v>277</v>
      </c>
      <c r="M281" s="40" t="s">
        <v>277</v>
      </c>
      <c r="N281" s="39" t="s">
        <v>277</v>
      </c>
      <c r="O281" s="40" t="s">
        <v>277</v>
      </c>
      <c r="P281" s="118" t="s">
        <v>277</v>
      </c>
      <c r="Q281" s="236" t="s">
        <v>277</v>
      </c>
      <c r="R281" s="40" t="s">
        <v>277</v>
      </c>
      <c r="S281" s="39" t="s">
        <v>277</v>
      </c>
      <c r="T281" s="40" t="s">
        <v>277</v>
      </c>
      <c r="U281" s="118" t="s">
        <v>277</v>
      </c>
      <c r="V281" s="236" t="s">
        <v>277</v>
      </c>
      <c r="W281" s="40" t="s">
        <v>277</v>
      </c>
      <c r="X281" s="39" t="s">
        <v>277</v>
      </c>
      <c r="Y281" s="40" t="s">
        <v>277</v>
      </c>
      <c r="Z281" s="118" t="s">
        <v>277</v>
      </c>
      <c r="AA281" s="236" t="s">
        <v>277</v>
      </c>
      <c r="AB281" s="40" t="s">
        <v>277</v>
      </c>
      <c r="AC281" s="39" t="s">
        <v>277</v>
      </c>
      <c r="AD281" s="40" t="s">
        <v>277</v>
      </c>
      <c r="AE281" s="118" t="s">
        <v>277</v>
      </c>
      <c r="AF281" s="236" t="s">
        <v>277</v>
      </c>
      <c r="AG281" s="40" t="s">
        <v>277</v>
      </c>
      <c r="AH281" s="39" t="s">
        <v>277</v>
      </c>
      <c r="AI281" s="40" t="s">
        <v>277</v>
      </c>
      <c r="AJ281" s="118" t="s">
        <v>277</v>
      </c>
      <c r="AK281" s="236" t="s">
        <v>277</v>
      </c>
      <c r="AL281" s="40" t="s">
        <v>277</v>
      </c>
      <c r="AM281" s="39" t="s">
        <v>277</v>
      </c>
      <c r="AN281" s="40" t="s">
        <v>277</v>
      </c>
      <c r="AO281" s="118" t="s">
        <v>277</v>
      </c>
      <c r="AP281" s="236" t="s">
        <v>277</v>
      </c>
      <c r="AQ281" s="40" t="s">
        <v>277</v>
      </c>
      <c r="AR281" s="39" t="s">
        <v>277</v>
      </c>
      <c r="AS281" s="40" t="s">
        <v>277</v>
      </c>
      <c r="AT281" s="118" t="s">
        <v>277</v>
      </c>
      <c r="AU281" s="236" t="s">
        <v>277</v>
      </c>
      <c r="AV281" s="40" t="s">
        <v>277</v>
      </c>
      <c r="AW281" s="39" t="s">
        <v>277</v>
      </c>
      <c r="AX281" s="40" t="s">
        <v>277</v>
      </c>
      <c r="AY281" s="118" t="s">
        <v>277</v>
      </c>
      <c r="AZ281" s="236" t="s">
        <v>277</v>
      </c>
      <c r="BA281" s="40" t="s">
        <v>277</v>
      </c>
      <c r="BB281" s="39" t="s">
        <v>277</v>
      </c>
      <c r="BC281" s="40" t="s">
        <v>277</v>
      </c>
      <c r="BD281" s="118" t="s">
        <v>277</v>
      </c>
      <c r="BE281" s="236" t="s">
        <v>277</v>
      </c>
      <c r="BF281" s="40" t="s">
        <v>277</v>
      </c>
      <c r="BG281" s="39" t="s">
        <v>277</v>
      </c>
      <c r="BH281" s="40" t="s">
        <v>277</v>
      </c>
      <c r="BI281" s="118" t="s">
        <v>277</v>
      </c>
      <c r="BJ281" s="236" t="s">
        <v>277</v>
      </c>
      <c r="BK281" s="40" t="s">
        <v>277</v>
      </c>
      <c r="BL281" s="39" t="s">
        <v>277</v>
      </c>
      <c r="BM281" s="40" t="s">
        <v>277</v>
      </c>
      <c r="BN281" s="118" t="s">
        <v>277</v>
      </c>
      <c r="BO281" s="236" t="s">
        <v>277</v>
      </c>
      <c r="BP281" s="40" t="s">
        <v>277</v>
      </c>
      <c r="BQ281" s="39" t="s">
        <v>277</v>
      </c>
      <c r="BR281" s="40" t="s">
        <v>277</v>
      </c>
      <c r="BS281" s="118" t="s">
        <v>277</v>
      </c>
      <c r="BT281" s="236" t="s">
        <v>277</v>
      </c>
      <c r="BU281" s="40" t="s">
        <v>277</v>
      </c>
      <c r="BV281" s="39" t="s">
        <v>277</v>
      </c>
      <c r="BW281" s="40" t="s">
        <v>277</v>
      </c>
      <c r="BX281" s="118" t="s">
        <v>277</v>
      </c>
      <c r="BY281" s="236" t="s">
        <v>277</v>
      </c>
      <c r="BZ281" s="40" t="s">
        <v>277</v>
      </c>
      <c r="CA281" s="39" t="s">
        <v>277</v>
      </c>
      <c r="CB281" s="40" t="s">
        <v>277</v>
      </c>
      <c r="CC281" s="118" t="s">
        <v>277</v>
      </c>
      <c r="CD281" s="236" t="s">
        <v>277</v>
      </c>
      <c r="CE281" s="40" t="s">
        <v>277</v>
      </c>
      <c r="CF281" s="39" t="s">
        <v>277</v>
      </c>
      <c r="CG281" s="40" t="s">
        <v>277</v>
      </c>
      <c r="CH281" s="118" t="s">
        <v>277</v>
      </c>
      <c r="CI281" s="236" t="s">
        <v>277</v>
      </c>
      <c r="CJ281" s="40" t="s">
        <v>277</v>
      </c>
      <c r="CK281" s="39" t="s">
        <v>277</v>
      </c>
      <c r="CL281" s="40" t="s">
        <v>277</v>
      </c>
      <c r="CM281" s="118" t="s">
        <v>277</v>
      </c>
      <c r="CN281" s="236" t="s">
        <v>277</v>
      </c>
      <c r="CO281" s="40" t="s">
        <v>277</v>
      </c>
      <c r="CP281" s="39" t="s">
        <v>277</v>
      </c>
      <c r="CQ281" s="40" t="s">
        <v>277</v>
      </c>
      <c r="CR281" s="118" t="s">
        <v>277</v>
      </c>
      <c r="CS281" s="236" t="s">
        <v>277</v>
      </c>
      <c r="CT281" s="40" t="s">
        <v>277</v>
      </c>
      <c r="CU281" s="39" t="s">
        <v>277</v>
      </c>
      <c r="CV281" s="40" t="s">
        <v>277</v>
      </c>
      <c r="CW281" s="118" t="s">
        <v>277</v>
      </c>
      <c r="CX281" s="236" t="s">
        <v>277</v>
      </c>
      <c r="CY281" s="40" t="s">
        <v>277</v>
      </c>
      <c r="CZ281" s="39" t="s">
        <v>277</v>
      </c>
      <c r="DA281" s="40" t="s">
        <v>277</v>
      </c>
      <c r="DB281" s="118" t="s">
        <v>277</v>
      </c>
      <c r="DC281" s="40"/>
      <c r="DD281" s="40"/>
      <c r="DE281" s="40"/>
      <c r="DF281" s="40"/>
      <c r="DG281" s="40"/>
      <c r="DH281" s="40"/>
      <c r="DI281" s="40"/>
      <c r="DJ281" s="40"/>
      <c r="DK281" s="185"/>
      <c r="DL281" s="185"/>
      <c r="DM281" s="61"/>
    </row>
    <row r="282" spans="1:117" outlineLevel="2">
      <c r="A282" s="28" t="s">
        <v>684</v>
      </c>
      <c r="B282" s="160">
        <f>SUM(B280:B281)</f>
        <v>38427</v>
      </c>
      <c r="C282" s="168">
        <f>SUM(C280:C281)</f>
        <v>37055</v>
      </c>
      <c r="D282" s="168">
        <f>SUM(D280:D281)</f>
        <v>36378</v>
      </c>
      <c r="E282" s="168">
        <f>SUM(E280:E281)</f>
        <v>55575</v>
      </c>
      <c r="F282" s="235">
        <f>SUM(F280:F281)</f>
        <v>167435</v>
      </c>
      <c r="G282" s="236" t="s">
        <v>277</v>
      </c>
      <c r="H282" s="40" t="s">
        <v>277</v>
      </c>
      <c r="I282" s="39" t="s">
        <v>277</v>
      </c>
      <c r="J282" s="40" t="s">
        <v>277</v>
      </c>
      <c r="K282" s="118" t="s">
        <v>277</v>
      </c>
      <c r="L282" s="236" t="s">
        <v>277</v>
      </c>
      <c r="M282" s="40" t="s">
        <v>277</v>
      </c>
      <c r="N282" s="39" t="s">
        <v>277</v>
      </c>
      <c r="O282" s="40" t="s">
        <v>277</v>
      </c>
      <c r="P282" s="118" t="s">
        <v>277</v>
      </c>
      <c r="Q282" s="236" t="s">
        <v>277</v>
      </c>
      <c r="R282" s="40" t="s">
        <v>277</v>
      </c>
      <c r="S282" s="39" t="s">
        <v>277</v>
      </c>
      <c r="T282" s="40" t="s">
        <v>277</v>
      </c>
      <c r="U282" s="118" t="s">
        <v>277</v>
      </c>
      <c r="V282" s="236" t="s">
        <v>277</v>
      </c>
      <c r="W282" s="40" t="s">
        <v>277</v>
      </c>
      <c r="X282" s="39" t="s">
        <v>277</v>
      </c>
      <c r="Y282" s="40" t="s">
        <v>277</v>
      </c>
      <c r="Z282" s="118" t="s">
        <v>277</v>
      </c>
      <c r="AA282" s="236" t="s">
        <v>277</v>
      </c>
      <c r="AB282" s="40" t="s">
        <v>277</v>
      </c>
      <c r="AC282" s="39" t="s">
        <v>277</v>
      </c>
      <c r="AD282" s="40" t="s">
        <v>277</v>
      </c>
      <c r="AE282" s="118" t="s">
        <v>277</v>
      </c>
      <c r="AF282" s="236" t="s">
        <v>277</v>
      </c>
      <c r="AG282" s="40" t="s">
        <v>277</v>
      </c>
      <c r="AH282" s="39" t="s">
        <v>277</v>
      </c>
      <c r="AI282" s="40" t="s">
        <v>277</v>
      </c>
      <c r="AJ282" s="118" t="s">
        <v>277</v>
      </c>
      <c r="AK282" s="236" t="s">
        <v>277</v>
      </c>
      <c r="AL282" s="40" t="s">
        <v>277</v>
      </c>
      <c r="AM282" s="39" t="s">
        <v>277</v>
      </c>
      <c r="AN282" s="40" t="s">
        <v>277</v>
      </c>
      <c r="AO282" s="118" t="s">
        <v>277</v>
      </c>
      <c r="AP282" s="236" t="s">
        <v>277</v>
      </c>
      <c r="AQ282" s="40" t="s">
        <v>277</v>
      </c>
      <c r="AR282" s="39" t="s">
        <v>277</v>
      </c>
      <c r="AS282" s="40" t="s">
        <v>277</v>
      </c>
      <c r="AT282" s="118" t="s">
        <v>277</v>
      </c>
      <c r="AU282" s="236" t="s">
        <v>277</v>
      </c>
      <c r="AV282" s="40" t="s">
        <v>277</v>
      </c>
      <c r="AW282" s="39" t="s">
        <v>277</v>
      </c>
      <c r="AX282" s="40" t="s">
        <v>277</v>
      </c>
      <c r="AY282" s="118" t="s">
        <v>277</v>
      </c>
      <c r="AZ282" s="236" t="s">
        <v>277</v>
      </c>
      <c r="BA282" s="40" t="s">
        <v>277</v>
      </c>
      <c r="BB282" s="39" t="s">
        <v>277</v>
      </c>
      <c r="BC282" s="40" t="s">
        <v>277</v>
      </c>
      <c r="BD282" s="118" t="s">
        <v>277</v>
      </c>
      <c r="BE282" s="236" t="s">
        <v>277</v>
      </c>
      <c r="BF282" s="40" t="s">
        <v>277</v>
      </c>
      <c r="BG282" s="39" t="s">
        <v>277</v>
      </c>
      <c r="BH282" s="40" t="s">
        <v>277</v>
      </c>
      <c r="BI282" s="118" t="s">
        <v>277</v>
      </c>
      <c r="BJ282" s="236" t="s">
        <v>277</v>
      </c>
      <c r="BK282" s="40" t="s">
        <v>277</v>
      </c>
      <c r="BL282" s="39" t="s">
        <v>277</v>
      </c>
      <c r="BM282" s="40" t="s">
        <v>277</v>
      </c>
      <c r="BN282" s="118" t="s">
        <v>277</v>
      </c>
      <c r="BO282" s="236" t="s">
        <v>277</v>
      </c>
      <c r="BP282" s="40" t="s">
        <v>277</v>
      </c>
      <c r="BQ282" s="39" t="s">
        <v>277</v>
      </c>
      <c r="BR282" s="40" t="s">
        <v>277</v>
      </c>
      <c r="BS282" s="118" t="s">
        <v>277</v>
      </c>
      <c r="BT282" s="236" t="s">
        <v>277</v>
      </c>
      <c r="BU282" s="40" t="s">
        <v>277</v>
      </c>
      <c r="BV282" s="39" t="s">
        <v>277</v>
      </c>
      <c r="BW282" s="40" t="s">
        <v>277</v>
      </c>
      <c r="BX282" s="118" t="s">
        <v>277</v>
      </c>
      <c r="BY282" s="236" t="s">
        <v>277</v>
      </c>
      <c r="BZ282" s="40" t="s">
        <v>277</v>
      </c>
      <c r="CA282" s="39" t="s">
        <v>277</v>
      </c>
      <c r="CB282" s="40" t="s">
        <v>277</v>
      </c>
      <c r="CC282" s="118" t="s">
        <v>277</v>
      </c>
      <c r="CD282" s="236" t="s">
        <v>277</v>
      </c>
      <c r="CE282" s="40" t="s">
        <v>277</v>
      </c>
      <c r="CF282" s="39" t="s">
        <v>277</v>
      </c>
      <c r="CG282" s="40" t="s">
        <v>277</v>
      </c>
      <c r="CH282" s="118" t="s">
        <v>277</v>
      </c>
      <c r="CI282" s="236" t="s">
        <v>277</v>
      </c>
      <c r="CJ282" s="40" t="s">
        <v>277</v>
      </c>
      <c r="CK282" s="39" t="s">
        <v>277</v>
      </c>
      <c r="CL282" s="40" t="s">
        <v>277</v>
      </c>
      <c r="CM282" s="118" t="s">
        <v>277</v>
      </c>
      <c r="CN282" s="236" t="s">
        <v>277</v>
      </c>
      <c r="CO282" s="40" t="s">
        <v>277</v>
      </c>
      <c r="CP282" s="39" t="s">
        <v>277</v>
      </c>
      <c r="CQ282" s="40" t="s">
        <v>277</v>
      </c>
      <c r="CR282" s="118" t="s">
        <v>277</v>
      </c>
      <c r="CS282" s="236" t="s">
        <v>277</v>
      </c>
      <c r="CT282" s="40" t="s">
        <v>277</v>
      </c>
      <c r="CU282" s="39" t="s">
        <v>277</v>
      </c>
      <c r="CV282" s="40" t="s">
        <v>277</v>
      </c>
      <c r="CW282" s="118" t="s">
        <v>277</v>
      </c>
      <c r="CX282" s="236" t="s">
        <v>277</v>
      </c>
      <c r="CY282" s="40" t="s">
        <v>277</v>
      </c>
      <c r="CZ282" s="39" t="s">
        <v>277</v>
      </c>
      <c r="DA282" s="40" t="s">
        <v>277</v>
      </c>
      <c r="DB282" s="118" t="s">
        <v>277</v>
      </c>
      <c r="DC282" s="40"/>
      <c r="DD282" s="40"/>
      <c r="DE282" s="40"/>
      <c r="DF282" s="40"/>
      <c r="DG282" s="40"/>
      <c r="DH282" s="40"/>
      <c r="DI282" s="40"/>
      <c r="DJ282" s="40"/>
      <c r="DK282" s="185"/>
      <c r="DL282" s="185"/>
      <c r="DM282" s="61"/>
    </row>
    <row r="283" spans="1:117" outlineLevel="2">
      <c r="A283" s="36" t="s">
        <v>827</v>
      </c>
      <c r="B283" s="94">
        <f>B282-B284</f>
        <v>7962</v>
      </c>
      <c r="C283" s="48">
        <f>C282-C284</f>
        <v>10542</v>
      </c>
      <c r="D283" s="48">
        <f>D282-D284</f>
        <v>7935</v>
      </c>
      <c r="E283" s="48">
        <f>E282-E284</f>
        <v>14448</v>
      </c>
      <c r="F283" s="104">
        <f>F282-F284</f>
        <v>40887</v>
      </c>
      <c r="G283" s="236" t="s">
        <v>277</v>
      </c>
      <c r="H283" s="40" t="s">
        <v>277</v>
      </c>
      <c r="I283" s="39" t="s">
        <v>277</v>
      </c>
      <c r="J283" s="40" t="s">
        <v>277</v>
      </c>
      <c r="K283" s="118" t="s">
        <v>277</v>
      </c>
      <c r="L283" s="236" t="s">
        <v>277</v>
      </c>
      <c r="M283" s="40" t="s">
        <v>277</v>
      </c>
      <c r="N283" s="39" t="s">
        <v>277</v>
      </c>
      <c r="O283" s="40" t="s">
        <v>277</v>
      </c>
      <c r="P283" s="118" t="s">
        <v>277</v>
      </c>
      <c r="Q283" s="236" t="s">
        <v>277</v>
      </c>
      <c r="R283" s="40" t="s">
        <v>277</v>
      </c>
      <c r="S283" s="39" t="s">
        <v>277</v>
      </c>
      <c r="T283" s="40" t="s">
        <v>277</v>
      </c>
      <c r="U283" s="118" t="s">
        <v>277</v>
      </c>
      <c r="V283" s="236" t="s">
        <v>277</v>
      </c>
      <c r="W283" s="40" t="s">
        <v>277</v>
      </c>
      <c r="X283" s="39" t="s">
        <v>277</v>
      </c>
      <c r="Y283" s="40" t="s">
        <v>277</v>
      </c>
      <c r="Z283" s="118" t="s">
        <v>277</v>
      </c>
      <c r="AA283" s="236" t="s">
        <v>277</v>
      </c>
      <c r="AB283" s="40" t="s">
        <v>277</v>
      </c>
      <c r="AC283" s="39" t="s">
        <v>277</v>
      </c>
      <c r="AD283" s="40" t="s">
        <v>277</v>
      </c>
      <c r="AE283" s="118" t="s">
        <v>277</v>
      </c>
      <c r="AF283" s="236" t="s">
        <v>277</v>
      </c>
      <c r="AG283" s="40" t="s">
        <v>277</v>
      </c>
      <c r="AH283" s="39" t="s">
        <v>277</v>
      </c>
      <c r="AI283" s="40" t="s">
        <v>277</v>
      </c>
      <c r="AJ283" s="118" t="s">
        <v>277</v>
      </c>
      <c r="AK283" s="236" t="s">
        <v>277</v>
      </c>
      <c r="AL283" s="40" t="s">
        <v>277</v>
      </c>
      <c r="AM283" s="39" t="s">
        <v>277</v>
      </c>
      <c r="AN283" s="40" t="s">
        <v>277</v>
      </c>
      <c r="AO283" s="118" t="s">
        <v>277</v>
      </c>
      <c r="AP283" s="236" t="s">
        <v>277</v>
      </c>
      <c r="AQ283" s="40" t="s">
        <v>277</v>
      </c>
      <c r="AR283" s="39" t="s">
        <v>277</v>
      </c>
      <c r="AS283" s="40" t="s">
        <v>277</v>
      </c>
      <c r="AT283" s="118" t="s">
        <v>277</v>
      </c>
      <c r="AU283" s="236" t="s">
        <v>277</v>
      </c>
      <c r="AV283" s="40" t="s">
        <v>277</v>
      </c>
      <c r="AW283" s="39" t="s">
        <v>277</v>
      </c>
      <c r="AX283" s="40" t="s">
        <v>277</v>
      </c>
      <c r="AY283" s="118" t="s">
        <v>277</v>
      </c>
      <c r="AZ283" s="236" t="s">
        <v>277</v>
      </c>
      <c r="BA283" s="40" t="s">
        <v>277</v>
      </c>
      <c r="BB283" s="39" t="s">
        <v>277</v>
      </c>
      <c r="BC283" s="40" t="s">
        <v>277</v>
      </c>
      <c r="BD283" s="118" t="s">
        <v>277</v>
      </c>
      <c r="BE283" s="236" t="s">
        <v>277</v>
      </c>
      <c r="BF283" s="40" t="s">
        <v>277</v>
      </c>
      <c r="BG283" s="39" t="s">
        <v>277</v>
      </c>
      <c r="BH283" s="40" t="s">
        <v>277</v>
      </c>
      <c r="BI283" s="118" t="s">
        <v>277</v>
      </c>
      <c r="BJ283" s="236" t="s">
        <v>277</v>
      </c>
      <c r="BK283" s="40" t="s">
        <v>277</v>
      </c>
      <c r="BL283" s="39" t="s">
        <v>277</v>
      </c>
      <c r="BM283" s="40" t="s">
        <v>277</v>
      </c>
      <c r="BN283" s="118" t="s">
        <v>277</v>
      </c>
      <c r="BO283" s="236" t="s">
        <v>277</v>
      </c>
      <c r="BP283" s="40" t="s">
        <v>277</v>
      </c>
      <c r="BQ283" s="39" t="s">
        <v>277</v>
      </c>
      <c r="BR283" s="40" t="s">
        <v>277</v>
      </c>
      <c r="BS283" s="118" t="s">
        <v>277</v>
      </c>
      <c r="BT283" s="236" t="s">
        <v>277</v>
      </c>
      <c r="BU283" s="40" t="s">
        <v>277</v>
      </c>
      <c r="BV283" s="39" t="s">
        <v>277</v>
      </c>
      <c r="BW283" s="40" t="s">
        <v>277</v>
      </c>
      <c r="BX283" s="118" t="s">
        <v>277</v>
      </c>
      <c r="BY283" s="236" t="s">
        <v>277</v>
      </c>
      <c r="BZ283" s="40" t="s">
        <v>277</v>
      </c>
      <c r="CA283" s="39" t="s">
        <v>277</v>
      </c>
      <c r="CB283" s="40" t="s">
        <v>277</v>
      </c>
      <c r="CC283" s="118" t="s">
        <v>277</v>
      </c>
      <c r="CD283" s="236" t="s">
        <v>277</v>
      </c>
      <c r="CE283" s="40" t="s">
        <v>277</v>
      </c>
      <c r="CF283" s="39" t="s">
        <v>277</v>
      </c>
      <c r="CG283" s="40" t="s">
        <v>277</v>
      </c>
      <c r="CH283" s="118" t="s">
        <v>277</v>
      </c>
      <c r="CI283" s="236" t="s">
        <v>277</v>
      </c>
      <c r="CJ283" s="40" t="s">
        <v>277</v>
      </c>
      <c r="CK283" s="39" t="s">
        <v>277</v>
      </c>
      <c r="CL283" s="40" t="s">
        <v>277</v>
      </c>
      <c r="CM283" s="118" t="s">
        <v>277</v>
      </c>
      <c r="CN283" s="236" t="s">
        <v>277</v>
      </c>
      <c r="CO283" s="40" t="s">
        <v>277</v>
      </c>
      <c r="CP283" s="39" t="s">
        <v>277</v>
      </c>
      <c r="CQ283" s="40" t="s">
        <v>277</v>
      </c>
      <c r="CR283" s="118" t="s">
        <v>277</v>
      </c>
      <c r="CS283" s="236" t="s">
        <v>277</v>
      </c>
      <c r="CT283" s="40" t="s">
        <v>277</v>
      </c>
      <c r="CU283" s="39" t="s">
        <v>277</v>
      </c>
      <c r="CV283" s="40" t="s">
        <v>277</v>
      </c>
      <c r="CW283" s="118" t="s">
        <v>277</v>
      </c>
      <c r="CX283" s="236" t="s">
        <v>277</v>
      </c>
      <c r="CY283" s="40" t="s">
        <v>277</v>
      </c>
      <c r="CZ283" s="39" t="s">
        <v>277</v>
      </c>
      <c r="DA283" s="40" t="s">
        <v>277</v>
      </c>
      <c r="DB283" s="118" t="s">
        <v>277</v>
      </c>
      <c r="DC283" s="40"/>
      <c r="DD283" s="40"/>
      <c r="DE283" s="40"/>
      <c r="DF283" s="40"/>
      <c r="DG283" s="40"/>
      <c r="DH283" s="40"/>
      <c r="DI283" s="40"/>
      <c r="DJ283" s="40"/>
      <c r="DK283" s="185"/>
      <c r="DL283" s="185"/>
      <c r="DM283" s="61"/>
    </row>
    <row r="284" spans="1:117" outlineLevel="2">
      <c r="A284" s="28" t="s">
        <v>763</v>
      </c>
      <c r="B284" s="212">
        <v>30465</v>
      </c>
      <c r="C284" s="176">
        <v>26513</v>
      </c>
      <c r="D284" s="176">
        <v>28443</v>
      </c>
      <c r="E284" s="168">
        <f>F284-SUM(B284:D284)</f>
        <v>41127</v>
      </c>
      <c r="F284" s="213">
        <v>126548</v>
      </c>
      <c r="G284" s="236" t="s">
        <v>277</v>
      </c>
      <c r="H284" s="40" t="s">
        <v>277</v>
      </c>
      <c r="I284" s="39" t="s">
        <v>277</v>
      </c>
      <c r="J284" s="40" t="s">
        <v>277</v>
      </c>
      <c r="K284" s="118" t="s">
        <v>277</v>
      </c>
      <c r="L284" s="236" t="s">
        <v>277</v>
      </c>
      <c r="M284" s="40" t="s">
        <v>277</v>
      </c>
      <c r="N284" s="39" t="s">
        <v>277</v>
      </c>
      <c r="O284" s="40" t="s">
        <v>277</v>
      </c>
      <c r="P284" s="118" t="s">
        <v>277</v>
      </c>
      <c r="Q284" s="236" t="s">
        <v>277</v>
      </c>
      <c r="R284" s="40" t="s">
        <v>277</v>
      </c>
      <c r="S284" s="39" t="s">
        <v>277</v>
      </c>
      <c r="T284" s="40" t="s">
        <v>277</v>
      </c>
      <c r="U284" s="118" t="s">
        <v>277</v>
      </c>
      <c r="V284" s="236" t="s">
        <v>277</v>
      </c>
      <c r="W284" s="40" t="s">
        <v>277</v>
      </c>
      <c r="X284" s="39" t="s">
        <v>277</v>
      </c>
      <c r="Y284" s="40" t="s">
        <v>277</v>
      </c>
      <c r="Z284" s="118" t="s">
        <v>277</v>
      </c>
      <c r="AA284" s="236" t="s">
        <v>277</v>
      </c>
      <c r="AB284" s="40" t="s">
        <v>277</v>
      </c>
      <c r="AC284" s="39" t="s">
        <v>277</v>
      </c>
      <c r="AD284" s="40" t="s">
        <v>277</v>
      </c>
      <c r="AE284" s="118" t="s">
        <v>277</v>
      </c>
      <c r="AF284" s="236" t="s">
        <v>277</v>
      </c>
      <c r="AG284" s="40" t="s">
        <v>277</v>
      </c>
      <c r="AH284" s="39" t="s">
        <v>277</v>
      </c>
      <c r="AI284" s="40" t="s">
        <v>277</v>
      </c>
      <c r="AJ284" s="118" t="s">
        <v>277</v>
      </c>
      <c r="AK284" s="236" t="s">
        <v>277</v>
      </c>
      <c r="AL284" s="40" t="s">
        <v>277</v>
      </c>
      <c r="AM284" s="39" t="s">
        <v>277</v>
      </c>
      <c r="AN284" s="40" t="s">
        <v>277</v>
      </c>
      <c r="AO284" s="118" t="s">
        <v>277</v>
      </c>
      <c r="AP284" s="236" t="s">
        <v>277</v>
      </c>
      <c r="AQ284" s="40" t="s">
        <v>277</v>
      </c>
      <c r="AR284" s="39" t="s">
        <v>277</v>
      </c>
      <c r="AS284" s="40" t="s">
        <v>277</v>
      </c>
      <c r="AT284" s="118" t="s">
        <v>277</v>
      </c>
      <c r="AU284" s="236" t="s">
        <v>277</v>
      </c>
      <c r="AV284" s="40" t="s">
        <v>277</v>
      </c>
      <c r="AW284" s="39" t="s">
        <v>277</v>
      </c>
      <c r="AX284" s="40" t="s">
        <v>277</v>
      </c>
      <c r="AY284" s="118" t="s">
        <v>277</v>
      </c>
      <c r="AZ284" s="236" t="s">
        <v>277</v>
      </c>
      <c r="BA284" s="40" t="s">
        <v>277</v>
      </c>
      <c r="BB284" s="39" t="s">
        <v>277</v>
      </c>
      <c r="BC284" s="40" t="s">
        <v>277</v>
      </c>
      <c r="BD284" s="118" t="s">
        <v>277</v>
      </c>
      <c r="BE284" s="236" t="s">
        <v>277</v>
      </c>
      <c r="BF284" s="40" t="s">
        <v>277</v>
      </c>
      <c r="BG284" s="39" t="s">
        <v>277</v>
      </c>
      <c r="BH284" s="40" t="s">
        <v>277</v>
      </c>
      <c r="BI284" s="118" t="s">
        <v>277</v>
      </c>
      <c r="BJ284" s="236" t="s">
        <v>277</v>
      </c>
      <c r="BK284" s="40" t="s">
        <v>277</v>
      </c>
      <c r="BL284" s="39" t="s">
        <v>277</v>
      </c>
      <c r="BM284" s="40" t="s">
        <v>277</v>
      </c>
      <c r="BN284" s="118" t="s">
        <v>277</v>
      </c>
      <c r="BO284" s="236" t="s">
        <v>277</v>
      </c>
      <c r="BP284" s="40" t="s">
        <v>277</v>
      </c>
      <c r="BQ284" s="39" t="s">
        <v>277</v>
      </c>
      <c r="BR284" s="40" t="s">
        <v>277</v>
      </c>
      <c r="BS284" s="118" t="s">
        <v>277</v>
      </c>
      <c r="BT284" s="236" t="s">
        <v>277</v>
      </c>
      <c r="BU284" s="40" t="s">
        <v>277</v>
      </c>
      <c r="BV284" s="39" t="s">
        <v>277</v>
      </c>
      <c r="BW284" s="40" t="s">
        <v>277</v>
      </c>
      <c r="BX284" s="118" t="s">
        <v>277</v>
      </c>
      <c r="BY284" s="236" t="s">
        <v>277</v>
      </c>
      <c r="BZ284" s="40" t="s">
        <v>277</v>
      </c>
      <c r="CA284" s="39" t="s">
        <v>277</v>
      </c>
      <c r="CB284" s="40" t="s">
        <v>277</v>
      </c>
      <c r="CC284" s="118" t="s">
        <v>277</v>
      </c>
      <c r="CD284" s="236" t="s">
        <v>277</v>
      </c>
      <c r="CE284" s="40" t="s">
        <v>277</v>
      </c>
      <c r="CF284" s="39" t="s">
        <v>277</v>
      </c>
      <c r="CG284" s="40" t="s">
        <v>277</v>
      </c>
      <c r="CH284" s="118" t="s">
        <v>277</v>
      </c>
      <c r="CI284" s="236" t="s">
        <v>277</v>
      </c>
      <c r="CJ284" s="40" t="s">
        <v>277</v>
      </c>
      <c r="CK284" s="39" t="s">
        <v>277</v>
      </c>
      <c r="CL284" s="40" t="s">
        <v>277</v>
      </c>
      <c r="CM284" s="118" t="s">
        <v>277</v>
      </c>
      <c r="CN284" s="236" t="s">
        <v>277</v>
      </c>
      <c r="CO284" s="40" t="s">
        <v>277</v>
      </c>
      <c r="CP284" s="39" t="s">
        <v>277</v>
      </c>
      <c r="CQ284" s="40" t="s">
        <v>277</v>
      </c>
      <c r="CR284" s="118" t="s">
        <v>277</v>
      </c>
      <c r="CS284" s="236" t="s">
        <v>277</v>
      </c>
      <c r="CT284" s="40" t="s">
        <v>277</v>
      </c>
      <c r="CU284" s="39" t="s">
        <v>277</v>
      </c>
      <c r="CV284" s="40" t="s">
        <v>277</v>
      </c>
      <c r="CW284" s="118" t="s">
        <v>277</v>
      </c>
      <c r="CX284" s="236" t="s">
        <v>277</v>
      </c>
      <c r="CY284" s="40" t="s">
        <v>277</v>
      </c>
      <c r="CZ284" s="39" t="s">
        <v>277</v>
      </c>
      <c r="DA284" s="40" t="s">
        <v>277</v>
      </c>
      <c r="DB284" s="118" t="s">
        <v>277</v>
      </c>
      <c r="DC284" s="40"/>
      <c r="DD284" s="40"/>
      <c r="DE284" s="40"/>
      <c r="DF284" s="40"/>
      <c r="DG284" s="40"/>
      <c r="DH284" s="40"/>
      <c r="DI284" s="40"/>
      <c r="DJ284" s="40"/>
      <c r="DK284" s="185"/>
      <c r="DL284" s="185"/>
      <c r="DM284" s="61"/>
    </row>
    <row r="285" spans="1:117" outlineLevel="2">
      <c r="A285" s="34" t="s">
        <v>761</v>
      </c>
      <c r="B285" s="37">
        <v>12749</v>
      </c>
      <c r="C285" s="38">
        <v>11091</v>
      </c>
      <c r="D285" s="38">
        <v>12236</v>
      </c>
      <c r="E285" s="48">
        <f>F285-SUM(B285:D285)</f>
        <v>13338</v>
      </c>
      <c r="F285" s="133">
        <v>49414</v>
      </c>
      <c r="G285" s="236" t="s">
        <v>277</v>
      </c>
      <c r="H285" s="40" t="s">
        <v>277</v>
      </c>
      <c r="I285" s="39" t="s">
        <v>277</v>
      </c>
      <c r="J285" s="40" t="s">
        <v>277</v>
      </c>
      <c r="K285" s="118" t="s">
        <v>277</v>
      </c>
      <c r="L285" s="236" t="s">
        <v>277</v>
      </c>
      <c r="M285" s="40" t="s">
        <v>277</v>
      </c>
      <c r="N285" s="39" t="s">
        <v>277</v>
      </c>
      <c r="O285" s="40" t="s">
        <v>277</v>
      </c>
      <c r="P285" s="118" t="s">
        <v>277</v>
      </c>
      <c r="Q285" s="236" t="s">
        <v>277</v>
      </c>
      <c r="R285" s="40" t="s">
        <v>277</v>
      </c>
      <c r="S285" s="39" t="s">
        <v>277</v>
      </c>
      <c r="T285" s="40" t="s">
        <v>277</v>
      </c>
      <c r="U285" s="118" t="s">
        <v>277</v>
      </c>
      <c r="V285" s="236" t="s">
        <v>277</v>
      </c>
      <c r="W285" s="40" t="s">
        <v>277</v>
      </c>
      <c r="X285" s="39" t="s">
        <v>277</v>
      </c>
      <c r="Y285" s="40" t="s">
        <v>277</v>
      </c>
      <c r="Z285" s="118" t="s">
        <v>277</v>
      </c>
      <c r="AA285" s="236" t="s">
        <v>277</v>
      </c>
      <c r="AB285" s="40" t="s">
        <v>277</v>
      </c>
      <c r="AC285" s="39" t="s">
        <v>277</v>
      </c>
      <c r="AD285" s="40" t="s">
        <v>277</v>
      </c>
      <c r="AE285" s="118" t="s">
        <v>277</v>
      </c>
      <c r="AF285" s="236" t="s">
        <v>277</v>
      </c>
      <c r="AG285" s="40" t="s">
        <v>277</v>
      </c>
      <c r="AH285" s="39" t="s">
        <v>277</v>
      </c>
      <c r="AI285" s="40" t="s">
        <v>277</v>
      </c>
      <c r="AJ285" s="118" t="s">
        <v>277</v>
      </c>
      <c r="AK285" s="236" t="s">
        <v>277</v>
      </c>
      <c r="AL285" s="40" t="s">
        <v>277</v>
      </c>
      <c r="AM285" s="39" t="s">
        <v>277</v>
      </c>
      <c r="AN285" s="40" t="s">
        <v>277</v>
      </c>
      <c r="AO285" s="118" t="s">
        <v>277</v>
      </c>
      <c r="AP285" s="236" t="s">
        <v>277</v>
      </c>
      <c r="AQ285" s="40" t="s">
        <v>277</v>
      </c>
      <c r="AR285" s="39" t="s">
        <v>277</v>
      </c>
      <c r="AS285" s="40" t="s">
        <v>277</v>
      </c>
      <c r="AT285" s="118" t="s">
        <v>277</v>
      </c>
      <c r="AU285" s="236" t="s">
        <v>277</v>
      </c>
      <c r="AV285" s="40" t="s">
        <v>277</v>
      </c>
      <c r="AW285" s="39" t="s">
        <v>277</v>
      </c>
      <c r="AX285" s="40" t="s">
        <v>277</v>
      </c>
      <c r="AY285" s="118" t="s">
        <v>277</v>
      </c>
      <c r="AZ285" s="236" t="s">
        <v>277</v>
      </c>
      <c r="BA285" s="40" t="s">
        <v>277</v>
      </c>
      <c r="BB285" s="39" t="s">
        <v>277</v>
      </c>
      <c r="BC285" s="40" t="s">
        <v>277</v>
      </c>
      <c r="BD285" s="118" t="s">
        <v>277</v>
      </c>
      <c r="BE285" s="236" t="s">
        <v>277</v>
      </c>
      <c r="BF285" s="40" t="s">
        <v>277</v>
      </c>
      <c r="BG285" s="39" t="s">
        <v>277</v>
      </c>
      <c r="BH285" s="40" t="s">
        <v>277</v>
      </c>
      <c r="BI285" s="118" t="s">
        <v>277</v>
      </c>
      <c r="BJ285" s="236" t="s">
        <v>277</v>
      </c>
      <c r="BK285" s="40" t="s">
        <v>277</v>
      </c>
      <c r="BL285" s="39" t="s">
        <v>277</v>
      </c>
      <c r="BM285" s="40" t="s">
        <v>277</v>
      </c>
      <c r="BN285" s="118" t="s">
        <v>277</v>
      </c>
      <c r="BO285" s="236" t="s">
        <v>277</v>
      </c>
      <c r="BP285" s="40" t="s">
        <v>277</v>
      </c>
      <c r="BQ285" s="39" t="s">
        <v>277</v>
      </c>
      <c r="BR285" s="40" t="s">
        <v>277</v>
      </c>
      <c r="BS285" s="118" t="s">
        <v>277</v>
      </c>
      <c r="BT285" s="236" t="s">
        <v>277</v>
      </c>
      <c r="BU285" s="40" t="s">
        <v>277</v>
      </c>
      <c r="BV285" s="39" t="s">
        <v>277</v>
      </c>
      <c r="BW285" s="40" t="s">
        <v>277</v>
      </c>
      <c r="BX285" s="118" t="s">
        <v>277</v>
      </c>
      <c r="BY285" s="236" t="s">
        <v>277</v>
      </c>
      <c r="BZ285" s="40" t="s">
        <v>277</v>
      </c>
      <c r="CA285" s="39" t="s">
        <v>277</v>
      </c>
      <c r="CB285" s="40" t="s">
        <v>277</v>
      </c>
      <c r="CC285" s="118" t="s">
        <v>277</v>
      </c>
      <c r="CD285" s="236" t="s">
        <v>277</v>
      </c>
      <c r="CE285" s="40" t="s">
        <v>277</v>
      </c>
      <c r="CF285" s="39" t="s">
        <v>277</v>
      </c>
      <c r="CG285" s="40" t="s">
        <v>277</v>
      </c>
      <c r="CH285" s="118" t="s">
        <v>277</v>
      </c>
      <c r="CI285" s="236" t="s">
        <v>277</v>
      </c>
      <c r="CJ285" s="40" t="s">
        <v>277</v>
      </c>
      <c r="CK285" s="39" t="s">
        <v>277</v>
      </c>
      <c r="CL285" s="40" t="s">
        <v>277</v>
      </c>
      <c r="CM285" s="118" t="s">
        <v>277</v>
      </c>
      <c r="CN285" s="236" t="s">
        <v>277</v>
      </c>
      <c r="CO285" s="40" t="s">
        <v>277</v>
      </c>
      <c r="CP285" s="39" t="s">
        <v>277</v>
      </c>
      <c r="CQ285" s="40" t="s">
        <v>277</v>
      </c>
      <c r="CR285" s="118" t="s">
        <v>277</v>
      </c>
      <c r="CS285" s="236" t="s">
        <v>277</v>
      </c>
      <c r="CT285" s="40" t="s">
        <v>277</v>
      </c>
      <c r="CU285" s="39" t="s">
        <v>277</v>
      </c>
      <c r="CV285" s="40" t="s">
        <v>277</v>
      </c>
      <c r="CW285" s="118" t="s">
        <v>277</v>
      </c>
      <c r="CX285" s="236" t="s">
        <v>277</v>
      </c>
      <c r="CY285" s="40" t="s">
        <v>277</v>
      </c>
      <c r="CZ285" s="39" t="s">
        <v>277</v>
      </c>
      <c r="DA285" s="40" t="s">
        <v>277</v>
      </c>
      <c r="DB285" s="118" t="s">
        <v>277</v>
      </c>
      <c r="DC285" s="40"/>
      <c r="DD285" s="40"/>
      <c r="DE285" s="40"/>
      <c r="DF285" s="40"/>
      <c r="DG285" s="40"/>
      <c r="DH285" s="40"/>
      <c r="DI285" s="40"/>
      <c r="DJ285" s="40"/>
      <c r="DK285" s="185"/>
      <c r="DL285" s="185"/>
      <c r="DM285" s="61"/>
    </row>
    <row r="286" spans="1:117" outlineLevel="2">
      <c r="A286" s="34" t="s">
        <v>762</v>
      </c>
      <c r="B286" s="37">
        <v>4264</v>
      </c>
      <c r="C286" s="38">
        <v>4292</v>
      </c>
      <c r="D286" s="38">
        <v>4382</v>
      </c>
      <c r="E286" s="48">
        <f>F286-SUM(B286:D286)</f>
        <v>4411</v>
      </c>
      <c r="F286" s="133">
        <v>17349</v>
      </c>
      <c r="G286" s="236" t="s">
        <v>277</v>
      </c>
      <c r="H286" s="40" t="s">
        <v>277</v>
      </c>
      <c r="I286" s="39" t="s">
        <v>277</v>
      </c>
      <c r="J286" s="40" t="s">
        <v>277</v>
      </c>
      <c r="K286" s="118" t="s">
        <v>277</v>
      </c>
      <c r="L286" s="236" t="s">
        <v>277</v>
      </c>
      <c r="M286" s="40" t="s">
        <v>277</v>
      </c>
      <c r="N286" s="39" t="s">
        <v>277</v>
      </c>
      <c r="O286" s="40" t="s">
        <v>277</v>
      </c>
      <c r="P286" s="118" t="s">
        <v>277</v>
      </c>
      <c r="Q286" s="236" t="s">
        <v>277</v>
      </c>
      <c r="R286" s="40" t="s">
        <v>277</v>
      </c>
      <c r="S286" s="39" t="s">
        <v>277</v>
      </c>
      <c r="T286" s="40" t="s">
        <v>277</v>
      </c>
      <c r="U286" s="118" t="s">
        <v>277</v>
      </c>
      <c r="V286" s="236" t="s">
        <v>277</v>
      </c>
      <c r="W286" s="40" t="s">
        <v>277</v>
      </c>
      <c r="X286" s="39" t="s">
        <v>277</v>
      </c>
      <c r="Y286" s="40" t="s">
        <v>277</v>
      </c>
      <c r="Z286" s="118" t="s">
        <v>277</v>
      </c>
      <c r="AA286" s="236" t="s">
        <v>277</v>
      </c>
      <c r="AB286" s="40" t="s">
        <v>277</v>
      </c>
      <c r="AC286" s="39" t="s">
        <v>277</v>
      </c>
      <c r="AD286" s="40" t="s">
        <v>277</v>
      </c>
      <c r="AE286" s="118" t="s">
        <v>277</v>
      </c>
      <c r="AF286" s="236" t="s">
        <v>277</v>
      </c>
      <c r="AG286" s="40" t="s">
        <v>277</v>
      </c>
      <c r="AH286" s="39" t="s">
        <v>277</v>
      </c>
      <c r="AI286" s="40" t="s">
        <v>277</v>
      </c>
      <c r="AJ286" s="118" t="s">
        <v>277</v>
      </c>
      <c r="AK286" s="236" t="s">
        <v>277</v>
      </c>
      <c r="AL286" s="40" t="s">
        <v>277</v>
      </c>
      <c r="AM286" s="39" t="s">
        <v>277</v>
      </c>
      <c r="AN286" s="40" t="s">
        <v>277</v>
      </c>
      <c r="AO286" s="118" t="s">
        <v>277</v>
      </c>
      <c r="AP286" s="236" t="s">
        <v>277</v>
      </c>
      <c r="AQ286" s="40" t="s">
        <v>277</v>
      </c>
      <c r="AR286" s="39" t="s">
        <v>277</v>
      </c>
      <c r="AS286" s="40" t="s">
        <v>277</v>
      </c>
      <c r="AT286" s="118" t="s">
        <v>277</v>
      </c>
      <c r="AU286" s="236" t="s">
        <v>277</v>
      </c>
      <c r="AV286" s="40" t="s">
        <v>277</v>
      </c>
      <c r="AW286" s="39" t="s">
        <v>277</v>
      </c>
      <c r="AX286" s="40" t="s">
        <v>277</v>
      </c>
      <c r="AY286" s="118" t="s">
        <v>277</v>
      </c>
      <c r="AZ286" s="236" t="s">
        <v>277</v>
      </c>
      <c r="BA286" s="40" t="s">
        <v>277</v>
      </c>
      <c r="BB286" s="39" t="s">
        <v>277</v>
      </c>
      <c r="BC286" s="40" t="s">
        <v>277</v>
      </c>
      <c r="BD286" s="118" t="s">
        <v>277</v>
      </c>
      <c r="BE286" s="236" t="s">
        <v>277</v>
      </c>
      <c r="BF286" s="40" t="s">
        <v>277</v>
      </c>
      <c r="BG286" s="39" t="s">
        <v>277</v>
      </c>
      <c r="BH286" s="40" t="s">
        <v>277</v>
      </c>
      <c r="BI286" s="118" t="s">
        <v>277</v>
      </c>
      <c r="BJ286" s="236" t="s">
        <v>277</v>
      </c>
      <c r="BK286" s="40" t="s">
        <v>277</v>
      </c>
      <c r="BL286" s="39" t="s">
        <v>277</v>
      </c>
      <c r="BM286" s="40" t="s">
        <v>277</v>
      </c>
      <c r="BN286" s="118" t="s">
        <v>277</v>
      </c>
      <c r="BO286" s="236" t="s">
        <v>277</v>
      </c>
      <c r="BP286" s="40" t="s">
        <v>277</v>
      </c>
      <c r="BQ286" s="39" t="s">
        <v>277</v>
      </c>
      <c r="BR286" s="40" t="s">
        <v>277</v>
      </c>
      <c r="BS286" s="118" t="s">
        <v>277</v>
      </c>
      <c r="BT286" s="236" t="s">
        <v>277</v>
      </c>
      <c r="BU286" s="40" t="s">
        <v>277</v>
      </c>
      <c r="BV286" s="39" t="s">
        <v>277</v>
      </c>
      <c r="BW286" s="40" t="s">
        <v>277</v>
      </c>
      <c r="BX286" s="118" t="s">
        <v>277</v>
      </c>
      <c r="BY286" s="236" t="s">
        <v>277</v>
      </c>
      <c r="BZ286" s="40" t="s">
        <v>277</v>
      </c>
      <c r="CA286" s="39" t="s">
        <v>277</v>
      </c>
      <c r="CB286" s="40" t="s">
        <v>277</v>
      </c>
      <c r="CC286" s="118" t="s">
        <v>277</v>
      </c>
      <c r="CD286" s="236" t="s">
        <v>277</v>
      </c>
      <c r="CE286" s="40" t="s">
        <v>277</v>
      </c>
      <c r="CF286" s="39" t="s">
        <v>277</v>
      </c>
      <c r="CG286" s="40" t="s">
        <v>277</v>
      </c>
      <c r="CH286" s="118" t="s">
        <v>277</v>
      </c>
      <c r="CI286" s="236" t="s">
        <v>277</v>
      </c>
      <c r="CJ286" s="40" t="s">
        <v>277</v>
      </c>
      <c r="CK286" s="39" t="s">
        <v>277</v>
      </c>
      <c r="CL286" s="40" t="s">
        <v>277</v>
      </c>
      <c r="CM286" s="118" t="s">
        <v>277</v>
      </c>
      <c r="CN286" s="236" t="s">
        <v>277</v>
      </c>
      <c r="CO286" s="40" t="s">
        <v>277</v>
      </c>
      <c r="CP286" s="39" t="s">
        <v>277</v>
      </c>
      <c r="CQ286" s="40" t="s">
        <v>277</v>
      </c>
      <c r="CR286" s="118" t="s">
        <v>277</v>
      </c>
      <c r="CS286" s="236" t="s">
        <v>277</v>
      </c>
      <c r="CT286" s="40" t="s">
        <v>277</v>
      </c>
      <c r="CU286" s="39" t="s">
        <v>277</v>
      </c>
      <c r="CV286" s="40" t="s">
        <v>277</v>
      </c>
      <c r="CW286" s="118" t="s">
        <v>277</v>
      </c>
      <c r="CX286" s="236" t="s">
        <v>277</v>
      </c>
      <c r="CY286" s="40" t="s">
        <v>277</v>
      </c>
      <c r="CZ286" s="39" t="s">
        <v>277</v>
      </c>
      <c r="DA286" s="40" t="s">
        <v>277</v>
      </c>
      <c r="DB286" s="118" t="s">
        <v>277</v>
      </c>
      <c r="DC286" s="40"/>
      <c r="DD286" s="40"/>
      <c r="DE286" s="40"/>
      <c r="DF286" s="40"/>
      <c r="DG286" s="40"/>
      <c r="DH286" s="40"/>
      <c r="DI286" s="40"/>
      <c r="DJ286" s="40"/>
      <c r="DK286" s="185"/>
      <c r="DL286" s="185"/>
      <c r="DM286" s="9"/>
    </row>
    <row r="287" spans="1:117" outlineLevel="2">
      <c r="A287" s="28" t="s">
        <v>848</v>
      </c>
      <c r="B287" s="160">
        <f>B284-B285-B286</f>
        <v>13452</v>
      </c>
      <c r="C287" s="168">
        <f>C284-C285-C286</f>
        <v>11130</v>
      </c>
      <c r="D287" s="168">
        <f>D284-D285-D286</f>
        <v>11825</v>
      </c>
      <c r="E287" s="168">
        <f>E284-E285-E286</f>
        <v>23378</v>
      </c>
      <c r="F287" s="235">
        <f>F284-F285-F286</f>
        <v>59785</v>
      </c>
      <c r="G287" s="236" t="s">
        <v>277</v>
      </c>
      <c r="H287" s="40" t="s">
        <v>277</v>
      </c>
      <c r="I287" s="39" t="s">
        <v>277</v>
      </c>
      <c r="J287" s="40" t="s">
        <v>277</v>
      </c>
      <c r="K287" s="118" t="s">
        <v>277</v>
      </c>
      <c r="L287" s="236" t="s">
        <v>277</v>
      </c>
      <c r="M287" s="40" t="s">
        <v>277</v>
      </c>
      <c r="N287" s="39" t="s">
        <v>277</v>
      </c>
      <c r="O287" s="40" t="s">
        <v>277</v>
      </c>
      <c r="P287" s="118" t="s">
        <v>277</v>
      </c>
      <c r="Q287" s="236" t="s">
        <v>277</v>
      </c>
      <c r="R287" s="40" t="s">
        <v>277</v>
      </c>
      <c r="S287" s="39" t="s">
        <v>277</v>
      </c>
      <c r="T287" s="40" t="s">
        <v>277</v>
      </c>
      <c r="U287" s="118" t="s">
        <v>277</v>
      </c>
      <c r="V287" s="236" t="s">
        <v>277</v>
      </c>
      <c r="W287" s="40" t="s">
        <v>277</v>
      </c>
      <c r="X287" s="39" t="s">
        <v>277</v>
      </c>
      <c r="Y287" s="40" t="s">
        <v>277</v>
      </c>
      <c r="Z287" s="118" t="s">
        <v>277</v>
      </c>
      <c r="AA287" s="236" t="s">
        <v>277</v>
      </c>
      <c r="AB287" s="40" t="s">
        <v>277</v>
      </c>
      <c r="AC287" s="39" t="s">
        <v>277</v>
      </c>
      <c r="AD287" s="40" t="s">
        <v>277</v>
      </c>
      <c r="AE287" s="118" t="s">
        <v>277</v>
      </c>
      <c r="AF287" s="236" t="s">
        <v>277</v>
      </c>
      <c r="AG287" s="40" t="s">
        <v>277</v>
      </c>
      <c r="AH287" s="39" t="s">
        <v>277</v>
      </c>
      <c r="AI287" s="40" t="s">
        <v>277</v>
      </c>
      <c r="AJ287" s="118" t="s">
        <v>277</v>
      </c>
      <c r="AK287" s="236" t="s">
        <v>277</v>
      </c>
      <c r="AL287" s="40" t="s">
        <v>277</v>
      </c>
      <c r="AM287" s="39" t="s">
        <v>277</v>
      </c>
      <c r="AN287" s="40" t="s">
        <v>277</v>
      </c>
      <c r="AO287" s="118" t="s">
        <v>277</v>
      </c>
      <c r="AP287" s="236" t="s">
        <v>277</v>
      </c>
      <c r="AQ287" s="40" t="s">
        <v>277</v>
      </c>
      <c r="AR287" s="39" t="s">
        <v>277</v>
      </c>
      <c r="AS287" s="40" t="s">
        <v>277</v>
      </c>
      <c r="AT287" s="118" t="s">
        <v>277</v>
      </c>
      <c r="AU287" s="236" t="s">
        <v>277</v>
      </c>
      <c r="AV287" s="40" t="s">
        <v>277</v>
      </c>
      <c r="AW287" s="39" t="s">
        <v>277</v>
      </c>
      <c r="AX287" s="40" t="s">
        <v>277</v>
      </c>
      <c r="AY287" s="118" t="s">
        <v>277</v>
      </c>
      <c r="AZ287" s="236" t="s">
        <v>277</v>
      </c>
      <c r="BA287" s="40" t="s">
        <v>277</v>
      </c>
      <c r="BB287" s="39" t="s">
        <v>277</v>
      </c>
      <c r="BC287" s="40" t="s">
        <v>277</v>
      </c>
      <c r="BD287" s="118" t="s">
        <v>277</v>
      </c>
      <c r="BE287" s="236" t="s">
        <v>277</v>
      </c>
      <c r="BF287" s="40" t="s">
        <v>277</v>
      </c>
      <c r="BG287" s="39" t="s">
        <v>277</v>
      </c>
      <c r="BH287" s="40" t="s">
        <v>277</v>
      </c>
      <c r="BI287" s="118" t="s">
        <v>277</v>
      </c>
      <c r="BJ287" s="236" t="s">
        <v>277</v>
      </c>
      <c r="BK287" s="40" t="s">
        <v>277</v>
      </c>
      <c r="BL287" s="39" t="s">
        <v>277</v>
      </c>
      <c r="BM287" s="40" t="s">
        <v>277</v>
      </c>
      <c r="BN287" s="118" t="s">
        <v>277</v>
      </c>
      <c r="BO287" s="236" t="s">
        <v>277</v>
      </c>
      <c r="BP287" s="40" t="s">
        <v>277</v>
      </c>
      <c r="BQ287" s="39" t="s">
        <v>277</v>
      </c>
      <c r="BR287" s="40" t="s">
        <v>277</v>
      </c>
      <c r="BS287" s="118" t="s">
        <v>277</v>
      </c>
      <c r="BT287" s="236" t="s">
        <v>277</v>
      </c>
      <c r="BU287" s="40" t="s">
        <v>277</v>
      </c>
      <c r="BV287" s="39" t="s">
        <v>277</v>
      </c>
      <c r="BW287" s="40" t="s">
        <v>277</v>
      </c>
      <c r="BX287" s="118" t="s">
        <v>277</v>
      </c>
      <c r="BY287" s="236" t="s">
        <v>277</v>
      </c>
      <c r="BZ287" s="40" t="s">
        <v>277</v>
      </c>
      <c r="CA287" s="39" t="s">
        <v>277</v>
      </c>
      <c r="CB287" s="40" t="s">
        <v>277</v>
      </c>
      <c r="CC287" s="118" t="s">
        <v>277</v>
      </c>
      <c r="CD287" s="236" t="s">
        <v>277</v>
      </c>
      <c r="CE287" s="40" t="s">
        <v>277</v>
      </c>
      <c r="CF287" s="39" t="s">
        <v>277</v>
      </c>
      <c r="CG287" s="40" t="s">
        <v>277</v>
      </c>
      <c r="CH287" s="118" t="s">
        <v>277</v>
      </c>
      <c r="CI287" s="236" t="s">
        <v>277</v>
      </c>
      <c r="CJ287" s="40" t="s">
        <v>277</v>
      </c>
      <c r="CK287" s="39" t="s">
        <v>277</v>
      </c>
      <c r="CL287" s="40" t="s">
        <v>277</v>
      </c>
      <c r="CM287" s="118" t="s">
        <v>277</v>
      </c>
      <c r="CN287" s="236" t="s">
        <v>277</v>
      </c>
      <c r="CO287" s="40" t="s">
        <v>277</v>
      </c>
      <c r="CP287" s="39" t="s">
        <v>277</v>
      </c>
      <c r="CQ287" s="40" t="s">
        <v>277</v>
      </c>
      <c r="CR287" s="118" t="s">
        <v>277</v>
      </c>
      <c r="CS287" s="236" t="s">
        <v>277</v>
      </c>
      <c r="CT287" s="40" t="s">
        <v>277</v>
      </c>
      <c r="CU287" s="39" t="s">
        <v>277</v>
      </c>
      <c r="CV287" s="40" t="s">
        <v>277</v>
      </c>
      <c r="CW287" s="118" t="s">
        <v>277</v>
      </c>
      <c r="CX287" s="236" t="s">
        <v>277</v>
      </c>
      <c r="CY287" s="40" t="s">
        <v>277</v>
      </c>
      <c r="CZ287" s="39" t="s">
        <v>277</v>
      </c>
      <c r="DA287" s="40" t="s">
        <v>277</v>
      </c>
      <c r="DB287" s="118" t="s">
        <v>277</v>
      </c>
      <c r="DC287" s="40"/>
      <c r="DD287" s="40"/>
      <c r="DE287" s="40"/>
      <c r="DF287" s="40"/>
      <c r="DG287" s="40"/>
      <c r="DH287" s="40"/>
      <c r="DI287" s="40"/>
      <c r="DJ287" s="40"/>
      <c r="DK287" s="185"/>
      <c r="DL287" s="185"/>
      <c r="DM287" s="9"/>
    </row>
    <row r="288" spans="1:117" outlineLevel="2">
      <c r="A288" s="34" t="s">
        <v>826</v>
      </c>
      <c r="B288" s="37">
        <v>0</v>
      </c>
      <c r="C288" s="38">
        <v>0</v>
      </c>
      <c r="D288" s="38">
        <v>0</v>
      </c>
      <c r="E288" s="48">
        <f>F288-SUM(B288:D288)</f>
        <v>0</v>
      </c>
      <c r="F288" s="133">
        <v>0</v>
      </c>
      <c r="G288" s="236" t="s">
        <v>277</v>
      </c>
      <c r="H288" s="40" t="s">
        <v>277</v>
      </c>
      <c r="I288" s="39" t="s">
        <v>277</v>
      </c>
      <c r="J288" s="40" t="s">
        <v>277</v>
      </c>
      <c r="K288" s="118" t="s">
        <v>277</v>
      </c>
      <c r="L288" s="236" t="s">
        <v>277</v>
      </c>
      <c r="M288" s="40" t="s">
        <v>277</v>
      </c>
      <c r="N288" s="39" t="s">
        <v>277</v>
      </c>
      <c r="O288" s="40" t="s">
        <v>277</v>
      </c>
      <c r="P288" s="118" t="s">
        <v>277</v>
      </c>
      <c r="Q288" s="236" t="s">
        <v>277</v>
      </c>
      <c r="R288" s="40" t="s">
        <v>277</v>
      </c>
      <c r="S288" s="39" t="s">
        <v>277</v>
      </c>
      <c r="T288" s="40" t="s">
        <v>277</v>
      </c>
      <c r="U288" s="118" t="s">
        <v>277</v>
      </c>
      <c r="V288" s="236" t="s">
        <v>277</v>
      </c>
      <c r="W288" s="40" t="s">
        <v>277</v>
      </c>
      <c r="X288" s="39" t="s">
        <v>277</v>
      </c>
      <c r="Y288" s="40" t="s">
        <v>277</v>
      </c>
      <c r="Z288" s="118" t="s">
        <v>277</v>
      </c>
      <c r="AA288" s="236" t="s">
        <v>277</v>
      </c>
      <c r="AB288" s="40" t="s">
        <v>277</v>
      </c>
      <c r="AC288" s="39" t="s">
        <v>277</v>
      </c>
      <c r="AD288" s="40" t="s">
        <v>277</v>
      </c>
      <c r="AE288" s="118" t="s">
        <v>277</v>
      </c>
      <c r="AF288" s="236" t="s">
        <v>277</v>
      </c>
      <c r="AG288" s="40" t="s">
        <v>277</v>
      </c>
      <c r="AH288" s="39" t="s">
        <v>277</v>
      </c>
      <c r="AI288" s="40" t="s">
        <v>277</v>
      </c>
      <c r="AJ288" s="118" t="s">
        <v>277</v>
      </c>
      <c r="AK288" s="236" t="s">
        <v>277</v>
      </c>
      <c r="AL288" s="40" t="s">
        <v>277</v>
      </c>
      <c r="AM288" s="39" t="s">
        <v>277</v>
      </c>
      <c r="AN288" s="40" t="s">
        <v>277</v>
      </c>
      <c r="AO288" s="118" t="s">
        <v>277</v>
      </c>
      <c r="AP288" s="236" t="s">
        <v>277</v>
      </c>
      <c r="AQ288" s="40" t="s">
        <v>277</v>
      </c>
      <c r="AR288" s="39" t="s">
        <v>277</v>
      </c>
      <c r="AS288" s="40" t="s">
        <v>277</v>
      </c>
      <c r="AT288" s="118" t="s">
        <v>277</v>
      </c>
      <c r="AU288" s="236" t="s">
        <v>277</v>
      </c>
      <c r="AV288" s="40" t="s">
        <v>277</v>
      </c>
      <c r="AW288" s="39" t="s">
        <v>277</v>
      </c>
      <c r="AX288" s="40" t="s">
        <v>277</v>
      </c>
      <c r="AY288" s="118" t="s">
        <v>277</v>
      </c>
      <c r="AZ288" s="236" t="s">
        <v>277</v>
      </c>
      <c r="BA288" s="40" t="s">
        <v>277</v>
      </c>
      <c r="BB288" s="39" t="s">
        <v>277</v>
      </c>
      <c r="BC288" s="40" t="s">
        <v>277</v>
      </c>
      <c r="BD288" s="118" t="s">
        <v>277</v>
      </c>
      <c r="BE288" s="236" t="s">
        <v>277</v>
      </c>
      <c r="BF288" s="40" t="s">
        <v>277</v>
      </c>
      <c r="BG288" s="39" t="s">
        <v>277</v>
      </c>
      <c r="BH288" s="40" t="s">
        <v>277</v>
      </c>
      <c r="BI288" s="118" t="s">
        <v>277</v>
      </c>
      <c r="BJ288" s="236" t="s">
        <v>277</v>
      </c>
      <c r="BK288" s="40" t="s">
        <v>277</v>
      </c>
      <c r="BL288" s="39" t="s">
        <v>277</v>
      </c>
      <c r="BM288" s="40" t="s">
        <v>277</v>
      </c>
      <c r="BN288" s="118" t="s">
        <v>277</v>
      </c>
      <c r="BO288" s="236" t="s">
        <v>277</v>
      </c>
      <c r="BP288" s="40" t="s">
        <v>277</v>
      </c>
      <c r="BQ288" s="39" t="s">
        <v>277</v>
      </c>
      <c r="BR288" s="40" t="s">
        <v>277</v>
      </c>
      <c r="BS288" s="118" t="s">
        <v>277</v>
      </c>
      <c r="BT288" s="236" t="s">
        <v>277</v>
      </c>
      <c r="BU288" s="40" t="s">
        <v>277</v>
      </c>
      <c r="BV288" s="39" t="s">
        <v>277</v>
      </c>
      <c r="BW288" s="40" t="s">
        <v>277</v>
      </c>
      <c r="BX288" s="118" t="s">
        <v>277</v>
      </c>
      <c r="BY288" s="236" t="s">
        <v>277</v>
      </c>
      <c r="BZ288" s="40" t="s">
        <v>277</v>
      </c>
      <c r="CA288" s="39" t="s">
        <v>277</v>
      </c>
      <c r="CB288" s="40" t="s">
        <v>277</v>
      </c>
      <c r="CC288" s="118" t="s">
        <v>277</v>
      </c>
      <c r="CD288" s="236" t="s">
        <v>277</v>
      </c>
      <c r="CE288" s="40" t="s">
        <v>277</v>
      </c>
      <c r="CF288" s="39" t="s">
        <v>277</v>
      </c>
      <c r="CG288" s="40" t="s">
        <v>277</v>
      </c>
      <c r="CH288" s="118" t="s">
        <v>277</v>
      </c>
      <c r="CI288" s="236" t="s">
        <v>277</v>
      </c>
      <c r="CJ288" s="40" t="s">
        <v>277</v>
      </c>
      <c r="CK288" s="39" t="s">
        <v>277</v>
      </c>
      <c r="CL288" s="40" t="s">
        <v>277</v>
      </c>
      <c r="CM288" s="118" t="s">
        <v>277</v>
      </c>
      <c r="CN288" s="236" t="s">
        <v>277</v>
      </c>
      <c r="CO288" s="40" t="s">
        <v>277</v>
      </c>
      <c r="CP288" s="39" t="s">
        <v>277</v>
      </c>
      <c r="CQ288" s="40" t="s">
        <v>277</v>
      </c>
      <c r="CR288" s="118" t="s">
        <v>277</v>
      </c>
      <c r="CS288" s="236" t="s">
        <v>277</v>
      </c>
      <c r="CT288" s="40" t="s">
        <v>277</v>
      </c>
      <c r="CU288" s="39" t="s">
        <v>277</v>
      </c>
      <c r="CV288" s="40" t="s">
        <v>277</v>
      </c>
      <c r="CW288" s="118" t="s">
        <v>277</v>
      </c>
      <c r="CX288" s="236" t="s">
        <v>277</v>
      </c>
      <c r="CY288" s="40" t="s">
        <v>277</v>
      </c>
      <c r="CZ288" s="39" t="s">
        <v>277</v>
      </c>
      <c r="DA288" s="40" t="s">
        <v>277</v>
      </c>
      <c r="DB288" s="118" t="s">
        <v>277</v>
      </c>
      <c r="DC288" s="40"/>
      <c r="DD288" s="40"/>
      <c r="DE288" s="40"/>
      <c r="DF288" s="40"/>
      <c r="DG288" s="40"/>
      <c r="DH288" s="40"/>
      <c r="DI288" s="40"/>
      <c r="DJ288" s="40"/>
      <c r="DK288" s="185"/>
      <c r="DL288" s="185"/>
      <c r="DM288" s="61"/>
    </row>
    <row r="289" spans="1:117" outlineLevel="2">
      <c r="A289" s="28" t="s">
        <v>546</v>
      </c>
      <c r="B289" s="160">
        <f>B287-B288</f>
        <v>13452</v>
      </c>
      <c r="C289" s="168">
        <f>C287-C288</f>
        <v>11130</v>
      </c>
      <c r="D289" s="168">
        <f>D287-D288</f>
        <v>11825</v>
      </c>
      <c r="E289" s="168">
        <f>E287-E288</f>
        <v>23378</v>
      </c>
      <c r="F289" s="235">
        <f>F287-F288</f>
        <v>59785</v>
      </c>
      <c r="G289" s="236" t="s">
        <v>277</v>
      </c>
      <c r="H289" s="40" t="s">
        <v>277</v>
      </c>
      <c r="I289" s="39" t="s">
        <v>277</v>
      </c>
      <c r="J289" s="40" t="s">
        <v>277</v>
      </c>
      <c r="K289" s="118" t="s">
        <v>277</v>
      </c>
      <c r="L289" s="236" t="s">
        <v>277</v>
      </c>
      <c r="M289" s="40" t="s">
        <v>277</v>
      </c>
      <c r="N289" s="39" t="s">
        <v>277</v>
      </c>
      <c r="O289" s="40" t="s">
        <v>277</v>
      </c>
      <c r="P289" s="118" t="s">
        <v>277</v>
      </c>
      <c r="Q289" s="236" t="s">
        <v>277</v>
      </c>
      <c r="R289" s="40" t="s">
        <v>277</v>
      </c>
      <c r="S289" s="39" t="s">
        <v>277</v>
      </c>
      <c r="T289" s="40" t="s">
        <v>277</v>
      </c>
      <c r="U289" s="118" t="s">
        <v>277</v>
      </c>
      <c r="V289" s="236" t="s">
        <v>277</v>
      </c>
      <c r="W289" s="40" t="s">
        <v>277</v>
      </c>
      <c r="X289" s="39" t="s">
        <v>277</v>
      </c>
      <c r="Y289" s="40" t="s">
        <v>277</v>
      </c>
      <c r="Z289" s="118" t="s">
        <v>277</v>
      </c>
      <c r="AA289" s="236" t="s">
        <v>277</v>
      </c>
      <c r="AB289" s="40" t="s">
        <v>277</v>
      </c>
      <c r="AC289" s="39" t="s">
        <v>277</v>
      </c>
      <c r="AD289" s="40" t="s">
        <v>277</v>
      </c>
      <c r="AE289" s="118" t="s">
        <v>277</v>
      </c>
      <c r="AF289" s="236" t="s">
        <v>277</v>
      </c>
      <c r="AG289" s="40" t="s">
        <v>277</v>
      </c>
      <c r="AH289" s="39" t="s">
        <v>277</v>
      </c>
      <c r="AI289" s="40" t="s">
        <v>277</v>
      </c>
      <c r="AJ289" s="118" t="s">
        <v>277</v>
      </c>
      <c r="AK289" s="236" t="s">
        <v>277</v>
      </c>
      <c r="AL289" s="40" t="s">
        <v>277</v>
      </c>
      <c r="AM289" s="39" t="s">
        <v>277</v>
      </c>
      <c r="AN289" s="40" t="s">
        <v>277</v>
      </c>
      <c r="AO289" s="118" t="s">
        <v>277</v>
      </c>
      <c r="AP289" s="236" t="s">
        <v>277</v>
      </c>
      <c r="AQ289" s="40" t="s">
        <v>277</v>
      </c>
      <c r="AR289" s="39" t="s">
        <v>277</v>
      </c>
      <c r="AS289" s="40" t="s">
        <v>277</v>
      </c>
      <c r="AT289" s="118" t="s">
        <v>277</v>
      </c>
      <c r="AU289" s="236" t="s">
        <v>277</v>
      </c>
      <c r="AV289" s="40" t="s">
        <v>277</v>
      </c>
      <c r="AW289" s="39" t="s">
        <v>277</v>
      </c>
      <c r="AX289" s="40" t="s">
        <v>277</v>
      </c>
      <c r="AY289" s="118" t="s">
        <v>277</v>
      </c>
      <c r="AZ289" s="236" t="s">
        <v>277</v>
      </c>
      <c r="BA289" s="40" t="s">
        <v>277</v>
      </c>
      <c r="BB289" s="39" t="s">
        <v>277</v>
      </c>
      <c r="BC289" s="40" t="s">
        <v>277</v>
      </c>
      <c r="BD289" s="118" t="s">
        <v>277</v>
      </c>
      <c r="BE289" s="236" t="s">
        <v>277</v>
      </c>
      <c r="BF289" s="40" t="s">
        <v>277</v>
      </c>
      <c r="BG289" s="39" t="s">
        <v>277</v>
      </c>
      <c r="BH289" s="40" t="s">
        <v>277</v>
      </c>
      <c r="BI289" s="118" t="s">
        <v>277</v>
      </c>
      <c r="BJ289" s="236" t="s">
        <v>277</v>
      </c>
      <c r="BK289" s="40" t="s">
        <v>277</v>
      </c>
      <c r="BL289" s="39" t="s">
        <v>277</v>
      </c>
      <c r="BM289" s="40" t="s">
        <v>277</v>
      </c>
      <c r="BN289" s="118" t="s">
        <v>277</v>
      </c>
      <c r="BO289" s="236" t="s">
        <v>277</v>
      </c>
      <c r="BP289" s="40" t="s">
        <v>277</v>
      </c>
      <c r="BQ289" s="39" t="s">
        <v>277</v>
      </c>
      <c r="BR289" s="40" t="s">
        <v>277</v>
      </c>
      <c r="BS289" s="118" t="s">
        <v>277</v>
      </c>
      <c r="BT289" s="236" t="s">
        <v>277</v>
      </c>
      <c r="BU289" s="40" t="s">
        <v>277</v>
      </c>
      <c r="BV289" s="39" t="s">
        <v>277</v>
      </c>
      <c r="BW289" s="40" t="s">
        <v>277</v>
      </c>
      <c r="BX289" s="118" t="s">
        <v>277</v>
      </c>
      <c r="BY289" s="236" t="s">
        <v>277</v>
      </c>
      <c r="BZ289" s="40" t="s">
        <v>277</v>
      </c>
      <c r="CA289" s="39" t="s">
        <v>277</v>
      </c>
      <c r="CB289" s="40" t="s">
        <v>277</v>
      </c>
      <c r="CC289" s="118" t="s">
        <v>277</v>
      </c>
      <c r="CD289" s="236" t="s">
        <v>277</v>
      </c>
      <c r="CE289" s="40" t="s">
        <v>277</v>
      </c>
      <c r="CF289" s="39" t="s">
        <v>277</v>
      </c>
      <c r="CG289" s="40" t="s">
        <v>277</v>
      </c>
      <c r="CH289" s="118" t="s">
        <v>277</v>
      </c>
      <c r="CI289" s="236" t="s">
        <v>277</v>
      </c>
      <c r="CJ289" s="40" t="s">
        <v>277</v>
      </c>
      <c r="CK289" s="39" t="s">
        <v>277</v>
      </c>
      <c r="CL289" s="40" t="s">
        <v>277</v>
      </c>
      <c r="CM289" s="118" t="s">
        <v>277</v>
      </c>
      <c r="CN289" s="236" t="s">
        <v>277</v>
      </c>
      <c r="CO289" s="40" t="s">
        <v>277</v>
      </c>
      <c r="CP289" s="39" t="s">
        <v>277</v>
      </c>
      <c r="CQ289" s="40" t="s">
        <v>277</v>
      </c>
      <c r="CR289" s="118" t="s">
        <v>277</v>
      </c>
      <c r="CS289" s="236" t="s">
        <v>277</v>
      </c>
      <c r="CT289" s="40" t="s">
        <v>277</v>
      </c>
      <c r="CU289" s="39" t="s">
        <v>277</v>
      </c>
      <c r="CV289" s="40" t="s">
        <v>277</v>
      </c>
      <c r="CW289" s="118" t="s">
        <v>277</v>
      </c>
      <c r="CX289" s="236" t="s">
        <v>277</v>
      </c>
      <c r="CY289" s="40" t="s">
        <v>277</v>
      </c>
      <c r="CZ289" s="39" t="s">
        <v>277</v>
      </c>
      <c r="DA289" s="40" t="s">
        <v>277</v>
      </c>
      <c r="DB289" s="118" t="s">
        <v>277</v>
      </c>
      <c r="DC289" s="40"/>
      <c r="DD289" s="40"/>
      <c r="DE289" s="40"/>
      <c r="DF289" s="40"/>
      <c r="DG289" s="40"/>
      <c r="DH289" s="40"/>
      <c r="DI289" s="40"/>
      <c r="DJ289" s="40"/>
      <c r="DK289" s="185"/>
      <c r="DL289" s="185"/>
      <c r="DM289" s="61"/>
    </row>
    <row r="290" spans="1:117" outlineLevel="2">
      <c r="A290" s="36" t="s">
        <v>814</v>
      </c>
      <c r="B290" s="37">
        <v>2044</v>
      </c>
      <c r="C290" s="38">
        <v>1967</v>
      </c>
      <c r="D290" s="38">
        <v>3685</v>
      </c>
      <c r="E290" s="48">
        <f>F290-SUM(B290:D290)</f>
        <v>4591</v>
      </c>
      <c r="F290" s="133">
        <v>12287</v>
      </c>
      <c r="G290" s="236" t="s">
        <v>277</v>
      </c>
      <c r="H290" s="40" t="s">
        <v>277</v>
      </c>
      <c r="I290" s="39" t="s">
        <v>277</v>
      </c>
      <c r="J290" s="40" t="s">
        <v>277</v>
      </c>
      <c r="K290" s="118" t="s">
        <v>277</v>
      </c>
      <c r="L290" s="236" t="s">
        <v>277</v>
      </c>
      <c r="M290" s="40" t="s">
        <v>277</v>
      </c>
      <c r="N290" s="39" t="s">
        <v>277</v>
      </c>
      <c r="O290" s="40" t="s">
        <v>277</v>
      </c>
      <c r="P290" s="118" t="s">
        <v>277</v>
      </c>
      <c r="Q290" s="236" t="s">
        <v>277</v>
      </c>
      <c r="R290" s="40" t="s">
        <v>277</v>
      </c>
      <c r="S290" s="39" t="s">
        <v>277</v>
      </c>
      <c r="T290" s="40" t="s">
        <v>277</v>
      </c>
      <c r="U290" s="118" t="s">
        <v>277</v>
      </c>
      <c r="V290" s="236" t="s">
        <v>277</v>
      </c>
      <c r="W290" s="40" t="s">
        <v>277</v>
      </c>
      <c r="X290" s="39" t="s">
        <v>277</v>
      </c>
      <c r="Y290" s="40" t="s">
        <v>277</v>
      </c>
      <c r="Z290" s="118" t="s">
        <v>277</v>
      </c>
      <c r="AA290" s="236" t="s">
        <v>277</v>
      </c>
      <c r="AB290" s="40" t="s">
        <v>277</v>
      </c>
      <c r="AC290" s="39" t="s">
        <v>277</v>
      </c>
      <c r="AD290" s="40" t="s">
        <v>277</v>
      </c>
      <c r="AE290" s="118" t="s">
        <v>277</v>
      </c>
      <c r="AF290" s="236" t="s">
        <v>277</v>
      </c>
      <c r="AG290" s="40" t="s">
        <v>277</v>
      </c>
      <c r="AH290" s="39" t="s">
        <v>277</v>
      </c>
      <c r="AI290" s="40" t="s">
        <v>277</v>
      </c>
      <c r="AJ290" s="118" t="s">
        <v>277</v>
      </c>
      <c r="AK290" s="236" t="s">
        <v>277</v>
      </c>
      <c r="AL290" s="40" t="s">
        <v>277</v>
      </c>
      <c r="AM290" s="39" t="s">
        <v>277</v>
      </c>
      <c r="AN290" s="40" t="s">
        <v>277</v>
      </c>
      <c r="AO290" s="118" t="s">
        <v>277</v>
      </c>
      <c r="AP290" s="236" t="s">
        <v>277</v>
      </c>
      <c r="AQ290" s="40" t="s">
        <v>277</v>
      </c>
      <c r="AR290" s="39" t="s">
        <v>277</v>
      </c>
      <c r="AS290" s="40" t="s">
        <v>277</v>
      </c>
      <c r="AT290" s="118" t="s">
        <v>277</v>
      </c>
      <c r="AU290" s="236" t="s">
        <v>277</v>
      </c>
      <c r="AV290" s="40" t="s">
        <v>277</v>
      </c>
      <c r="AW290" s="39" t="s">
        <v>277</v>
      </c>
      <c r="AX290" s="40" t="s">
        <v>277</v>
      </c>
      <c r="AY290" s="118" t="s">
        <v>277</v>
      </c>
      <c r="AZ290" s="236" t="s">
        <v>277</v>
      </c>
      <c r="BA290" s="40" t="s">
        <v>277</v>
      </c>
      <c r="BB290" s="39" t="s">
        <v>277</v>
      </c>
      <c r="BC290" s="40" t="s">
        <v>277</v>
      </c>
      <c r="BD290" s="118" t="s">
        <v>277</v>
      </c>
      <c r="BE290" s="236" t="s">
        <v>277</v>
      </c>
      <c r="BF290" s="40" t="s">
        <v>277</v>
      </c>
      <c r="BG290" s="39" t="s">
        <v>277</v>
      </c>
      <c r="BH290" s="40" t="s">
        <v>277</v>
      </c>
      <c r="BI290" s="118" t="s">
        <v>277</v>
      </c>
      <c r="BJ290" s="236" t="s">
        <v>277</v>
      </c>
      <c r="BK290" s="40" t="s">
        <v>277</v>
      </c>
      <c r="BL290" s="39" t="s">
        <v>277</v>
      </c>
      <c r="BM290" s="40" t="s">
        <v>277</v>
      </c>
      <c r="BN290" s="118" t="s">
        <v>277</v>
      </c>
      <c r="BO290" s="236" t="s">
        <v>277</v>
      </c>
      <c r="BP290" s="40" t="s">
        <v>277</v>
      </c>
      <c r="BQ290" s="39" t="s">
        <v>277</v>
      </c>
      <c r="BR290" s="40" t="s">
        <v>277</v>
      </c>
      <c r="BS290" s="118" t="s">
        <v>277</v>
      </c>
      <c r="BT290" s="236" t="s">
        <v>277</v>
      </c>
      <c r="BU290" s="40" t="s">
        <v>277</v>
      </c>
      <c r="BV290" s="39" t="s">
        <v>277</v>
      </c>
      <c r="BW290" s="40" t="s">
        <v>277</v>
      </c>
      <c r="BX290" s="118" t="s">
        <v>277</v>
      </c>
      <c r="BY290" s="236" t="s">
        <v>277</v>
      </c>
      <c r="BZ290" s="40" t="s">
        <v>277</v>
      </c>
      <c r="CA290" s="39" t="s">
        <v>277</v>
      </c>
      <c r="CB290" s="40" t="s">
        <v>277</v>
      </c>
      <c r="CC290" s="118" t="s">
        <v>277</v>
      </c>
      <c r="CD290" s="236" t="s">
        <v>277</v>
      </c>
      <c r="CE290" s="40" t="s">
        <v>277</v>
      </c>
      <c r="CF290" s="39" t="s">
        <v>277</v>
      </c>
      <c r="CG290" s="40" t="s">
        <v>277</v>
      </c>
      <c r="CH290" s="118" t="s">
        <v>277</v>
      </c>
      <c r="CI290" s="236" t="s">
        <v>277</v>
      </c>
      <c r="CJ290" s="40" t="s">
        <v>277</v>
      </c>
      <c r="CK290" s="39" t="s">
        <v>277</v>
      </c>
      <c r="CL290" s="40" t="s">
        <v>277</v>
      </c>
      <c r="CM290" s="118" t="s">
        <v>277</v>
      </c>
      <c r="CN290" s="236" t="s">
        <v>277</v>
      </c>
      <c r="CO290" s="40" t="s">
        <v>277</v>
      </c>
      <c r="CP290" s="39" t="s">
        <v>277</v>
      </c>
      <c r="CQ290" s="40" t="s">
        <v>277</v>
      </c>
      <c r="CR290" s="118" t="s">
        <v>277</v>
      </c>
      <c r="CS290" s="236" t="s">
        <v>277</v>
      </c>
      <c r="CT290" s="40" t="s">
        <v>277</v>
      </c>
      <c r="CU290" s="39" t="s">
        <v>277</v>
      </c>
      <c r="CV290" s="40" t="s">
        <v>277</v>
      </c>
      <c r="CW290" s="118" t="s">
        <v>277</v>
      </c>
      <c r="CX290" s="236" t="s">
        <v>277</v>
      </c>
      <c r="CY290" s="40" t="s">
        <v>277</v>
      </c>
      <c r="CZ290" s="39" t="s">
        <v>277</v>
      </c>
      <c r="DA290" s="40" t="s">
        <v>277</v>
      </c>
      <c r="DB290" s="118" t="s">
        <v>277</v>
      </c>
      <c r="DC290" s="40"/>
      <c r="DD290" s="40"/>
      <c r="DE290" s="40"/>
      <c r="DF290" s="40"/>
      <c r="DG290" s="40"/>
      <c r="DH290" s="40"/>
      <c r="DI290" s="40"/>
      <c r="DJ290" s="40"/>
      <c r="DK290" s="185"/>
      <c r="DL290" s="185"/>
      <c r="DM290" s="61"/>
    </row>
    <row r="291" spans="1:117" outlineLevel="2">
      <c r="A291" s="12"/>
      <c r="B291" s="19"/>
      <c r="C291" s="18"/>
      <c r="D291" s="18"/>
      <c r="E291" s="18"/>
      <c r="F291" s="133"/>
      <c r="G291" s="19"/>
      <c r="H291" s="18"/>
      <c r="I291" s="18"/>
      <c r="J291" s="18"/>
      <c r="K291" s="133"/>
      <c r="L291" s="19"/>
      <c r="M291" s="18"/>
      <c r="N291" s="18"/>
      <c r="O291" s="18"/>
      <c r="P291" s="133"/>
      <c r="Q291" s="19"/>
      <c r="R291" s="18"/>
      <c r="S291" s="18"/>
      <c r="T291" s="18"/>
      <c r="U291" s="133"/>
      <c r="V291" s="19"/>
      <c r="W291" s="18"/>
      <c r="X291" s="18"/>
      <c r="Y291" s="18"/>
      <c r="Z291" s="133"/>
      <c r="AA291" s="19"/>
      <c r="AB291" s="18"/>
      <c r="AC291" s="18"/>
      <c r="AD291" s="18"/>
      <c r="AE291" s="127"/>
      <c r="AF291" s="19"/>
      <c r="AG291" s="18"/>
      <c r="AH291" s="18"/>
      <c r="AI291" s="18"/>
      <c r="AJ291" s="127"/>
      <c r="AK291" s="19"/>
      <c r="AL291" s="18"/>
      <c r="AM291" s="18"/>
      <c r="AN291" s="18"/>
      <c r="AO291" s="127"/>
      <c r="AP291" s="19"/>
      <c r="AQ291" s="18"/>
      <c r="AR291" s="18"/>
      <c r="AS291" s="18"/>
      <c r="AT291" s="127"/>
      <c r="AU291" s="19"/>
      <c r="AV291" s="18"/>
      <c r="AW291" s="18"/>
      <c r="AX291" s="18"/>
      <c r="AY291" s="127"/>
      <c r="AZ291" s="19"/>
      <c r="BA291" s="18"/>
      <c r="BB291" s="18"/>
      <c r="BC291" s="18"/>
      <c r="BD291" s="127"/>
      <c r="BE291" s="19"/>
      <c r="BF291" s="18"/>
      <c r="BG291" s="18"/>
      <c r="BH291" s="18"/>
      <c r="BI291" s="127"/>
      <c r="BJ291" s="19"/>
      <c r="BK291" s="18"/>
      <c r="BL291" s="18"/>
      <c r="BM291" s="18"/>
      <c r="BN291" s="127"/>
      <c r="BO291" s="19"/>
      <c r="BP291" s="18"/>
      <c r="BQ291" s="18"/>
      <c r="BR291" s="18"/>
      <c r="BS291" s="127"/>
      <c r="BT291" s="19"/>
      <c r="BU291" s="18"/>
      <c r="BV291" s="18"/>
      <c r="BW291" s="18"/>
      <c r="BX291" s="127"/>
      <c r="BY291" s="19"/>
      <c r="BZ291" s="18"/>
      <c r="CA291" s="18"/>
      <c r="CB291" s="18"/>
      <c r="CC291" s="127"/>
      <c r="CD291" s="19"/>
      <c r="CE291" s="18"/>
      <c r="CF291" s="18"/>
      <c r="CG291" s="18"/>
      <c r="CH291" s="127"/>
      <c r="CI291" s="19"/>
      <c r="CJ291" s="18"/>
      <c r="CK291" s="18"/>
      <c r="CL291" s="18"/>
      <c r="CM291" s="127"/>
      <c r="CN291" s="19"/>
      <c r="CO291" s="18"/>
      <c r="CP291" s="18"/>
      <c r="CQ291" s="18"/>
      <c r="CR291" s="127"/>
      <c r="CS291" s="19"/>
      <c r="CT291" s="18"/>
      <c r="CU291" s="18"/>
      <c r="CV291" s="18"/>
      <c r="CW291" s="127"/>
      <c r="CX291" s="19"/>
      <c r="CY291" s="18"/>
      <c r="CZ291" s="18"/>
      <c r="DA291" s="18"/>
      <c r="DB291" s="127"/>
      <c r="DC291" s="18"/>
      <c r="DD291" s="18"/>
      <c r="DE291" s="18"/>
      <c r="DF291" s="18"/>
      <c r="DG291" s="18"/>
      <c r="DH291" s="18"/>
      <c r="DI291" s="18"/>
      <c r="DJ291" s="18"/>
      <c r="DK291" s="61"/>
      <c r="DL291" s="61"/>
      <c r="DM291" s="61"/>
    </row>
    <row r="292" spans="1:117" outlineLevel="1">
      <c r="A292" s="109" t="s">
        <v>752</v>
      </c>
      <c r="B292" s="111"/>
      <c r="C292" s="110"/>
      <c r="D292" s="110"/>
      <c r="E292" s="110"/>
      <c r="F292" s="268"/>
      <c r="G292" s="111"/>
      <c r="H292" s="110"/>
      <c r="I292" s="110"/>
      <c r="J292" s="110"/>
      <c r="K292" s="268"/>
      <c r="L292" s="111"/>
      <c r="M292" s="110"/>
      <c r="N292" s="110"/>
      <c r="O292" s="110"/>
      <c r="P292" s="268"/>
      <c r="Q292" s="111"/>
      <c r="R292" s="110"/>
      <c r="S292" s="110"/>
      <c r="T292" s="110"/>
      <c r="U292" s="268"/>
      <c r="V292" s="111"/>
      <c r="W292" s="110"/>
      <c r="X292" s="110"/>
      <c r="Y292" s="110"/>
      <c r="Z292" s="268"/>
      <c r="AA292" s="111"/>
      <c r="AB292" s="110"/>
      <c r="AC292" s="110"/>
      <c r="AD292" s="110"/>
      <c r="AE292" s="137"/>
      <c r="AF292" s="111"/>
      <c r="AG292" s="110"/>
      <c r="AH292" s="110"/>
      <c r="AI292" s="110"/>
      <c r="AJ292" s="137"/>
      <c r="AK292" s="111"/>
      <c r="AL292" s="110"/>
      <c r="AM292" s="110"/>
      <c r="AN292" s="110"/>
      <c r="AO292" s="137"/>
      <c r="AP292" s="111"/>
      <c r="AQ292" s="110"/>
      <c r="AR292" s="110"/>
      <c r="AS292" s="110"/>
      <c r="AT292" s="137"/>
      <c r="AU292" s="111"/>
      <c r="AV292" s="110"/>
      <c r="AW292" s="110"/>
      <c r="AX292" s="110"/>
      <c r="AY292" s="137"/>
      <c r="AZ292" s="111"/>
      <c r="BA292" s="110"/>
      <c r="BB292" s="110"/>
      <c r="BC292" s="110"/>
      <c r="BD292" s="137"/>
      <c r="BE292" s="111"/>
      <c r="BF292" s="110"/>
      <c r="BG292" s="110"/>
      <c r="BH292" s="110"/>
      <c r="BI292" s="137"/>
      <c r="BJ292" s="111"/>
      <c r="BK292" s="110"/>
      <c r="BL292" s="110"/>
      <c r="BM292" s="110"/>
      <c r="BN292" s="137"/>
      <c r="BO292" s="111"/>
      <c r="BP292" s="110"/>
      <c r="BQ292" s="110"/>
      <c r="BR292" s="110"/>
      <c r="BS292" s="137"/>
      <c r="BT292" s="111"/>
      <c r="BU292" s="110"/>
      <c r="BV292" s="110"/>
      <c r="BW292" s="110"/>
      <c r="BX292" s="137"/>
      <c r="BY292" s="111"/>
      <c r="BZ292" s="110"/>
      <c r="CA292" s="110"/>
      <c r="CB292" s="110"/>
      <c r="CC292" s="137"/>
      <c r="CD292" s="111"/>
      <c r="CE292" s="110"/>
      <c r="CF292" s="110"/>
      <c r="CG292" s="110"/>
      <c r="CH292" s="137"/>
      <c r="CI292" s="111"/>
      <c r="CJ292" s="110"/>
      <c r="CK292" s="110"/>
      <c r="CL292" s="110"/>
      <c r="CM292" s="137"/>
      <c r="CN292" s="111"/>
      <c r="CO292" s="110"/>
      <c r="CP292" s="110"/>
      <c r="CQ292" s="110"/>
      <c r="CR292" s="137"/>
      <c r="CS292" s="111"/>
      <c r="CT292" s="110"/>
      <c r="CU292" s="110"/>
      <c r="CV292" s="110"/>
      <c r="CW292" s="137"/>
      <c r="CX292" s="111"/>
      <c r="CY292" s="110"/>
      <c r="CZ292" s="110"/>
      <c r="DA292" s="110"/>
      <c r="DB292" s="137"/>
      <c r="DC292" s="110"/>
      <c r="DD292" s="110"/>
      <c r="DE292" s="110"/>
      <c r="DF292" s="110"/>
      <c r="DG292" s="110"/>
      <c r="DH292" s="110"/>
      <c r="DI292" s="110"/>
      <c r="DJ292" s="110"/>
      <c r="DK292" s="61"/>
      <c r="DL292" s="61"/>
      <c r="DM292" s="61"/>
    </row>
    <row r="293" spans="1:117" outlineLevel="1">
      <c r="A293" s="34" t="s">
        <v>214</v>
      </c>
      <c r="B293" s="94">
        <f t="shared" ref="B293:D294" si="551">B252+B266+B280</f>
        <v>350240</v>
      </c>
      <c r="C293" s="48">
        <f t="shared" si="551"/>
        <v>376567</v>
      </c>
      <c r="D293" s="48">
        <f t="shared" si="551"/>
        <v>400974</v>
      </c>
      <c r="E293" s="48">
        <f>F293-SUM(B293:D293)</f>
        <v>450351</v>
      </c>
      <c r="F293" s="104">
        <f>F252+F266+F280</f>
        <v>1578132</v>
      </c>
      <c r="G293" s="94">
        <f>537701-H293</f>
        <v>274561</v>
      </c>
      <c r="H293" s="38">
        <v>263140</v>
      </c>
      <c r="I293" s="38">
        <v>1222324</v>
      </c>
      <c r="J293" s="48">
        <f>K293-SUM(G293:I293)</f>
        <v>1759749</v>
      </c>
      <c r="K293" s="133">
        <v>3519774</v>
      </c>
      <c r="L293" s="37">
        <v>1018903</v>
      </c>
      <c r="M293" s="38">
        <v>1061785</v>
      </c>
      <c r="N293" s="38">
        <v>1039423</v>
      </c>
      <c r="O293" s="48">
        <f>P293-SUM(L293:N293)</f>
        <v>1022435</v>
      </c>
      <c r="P293" s="133">
        <v>4142546</v>
      </c>
      <c r="Q293" s="37">
        <v>1012338</v>
      </c>
      <c r="R293" s="38">
        <v>1210520</v>
      </c>
      <c r="S293" s="38">
        <v>1239681</v>
      </c>
      <c r="T293" s="48">
        <f>U293-SUM(Q293:S293)</f>
        <v>1742255</v>
      </c>
      <c r="U293" s="133">
        <v>5204794</v>
      </c>
      <c r="V293" s="37">
        <v>1875700</v>
      </c>
      <c r="W293" s="38">
        <v>1939570</v>
      </c>
      <c r="X293" s="38">
        <v>2032345</v>
      </c>
      <c r="Y293" s="48">
        <f>Z293-SUM(V293:X293)</f>
        <v>1127705</v>
      </c>
      <c r="Z293" s="133">
        <v>6975320</v>
      </c>
      <c r="AA293" s="37">
        <v>1106730</v>
      </c>
      <c r="AB293" s="38">
        <v>1289487</v>
      </c>
      <c r="AC293" s="38">
        <v>1443421</v>
      </c>
      <c r="AD293" s="48">
        <f>AE293-SUM(AA293:AC293)</f>
        <v>2159088</v>
      </c>
      <c r="AE293" s="133">
        <v>5998726</v>
      </c>
      <c r="AF293" s="37">
        <v>2067075</v>
      </c>
      <c r="AG293" s="38">
        <v>1947032</v>
      </c>
      <c r="AH293" s="38">
        <v>1952159</v>
      </c>
      <c r="AI293" s="48">
        <f>AJ293-SUM(AF293:AH293)</f>
        <v>2251894</v>
      </c>
      <c r="AJ293" s="133">
        <v>8218160</v>
      </c>
      <c r="AK293" s="180">
        <v>2402817</v>
      </c>
      <c r="AL293" s="334">
        <v>2685520</v>
      </c>
      <c r="AM293" s="38">
        <v>2792399</v>
      </c>
      <c r="AN293" s="48">
        <f>AO293-SUM(AK293:AM293)</f>
        <v>3038268</v>
      </c>
      <c r="AO293" s="133">
        <v>10919004</v>
      </c>
      <c r="AP293" s="180">
        <v>2518383</v>
      </c>
      <c r="AQ293" s="334">
        <v>2043756</v>
      </c>
      <c r="AR293" s="334">
        <v>2456364</v>
      </c>
      <c r="AS293" s="48">
        <f>AT293-SUM(AP293:AR293)</f>
        <v>2811549</v>
      </c>
      <c r="AT293" s="133">
        <v>9830052</v>
      </c>
      <c r="AU293" s="180">
        <v>2434813</v>
      </c>
      <c r="AV293" s="334">
        <v>2676839</v>
      </c>
      <c r="AW293" s="334">
        <v>3053409</v>
      </c>
      <c r="AX293" s="48">
        <f>AY293-SUM(AU293:AW293)</f>
        <v>3363469</v>
      </c>
      <c r="AY293" s="133">
        <v>11528530</v>
      </c>
      <c r="AZ293" s="19"/>
      <c r="BA293" s="18"/>
      <c r="BB293" s="18"/>
      <c r="BC293" s="18"/>
      <c r="BD293" s="104"/>
      <c r="BE293" s="19"/>
      <c r="BF293" s="18"/>
      <c r="BG293" s="18"/>
      <c r="BH293" s="18"/>
      <c r="BI293" s="104"/>
      <c r="BJ293" s="19"/>
      <c r="BK293" s="18"/>
      <c r="BL293" s="18"/>
      <c r="BM293" s="18"/>
      <c r="BN293" s="104"/>
      <c r="BO293" s="19"/>
      <c r="BP293" s="18"/>
      <c r="BQ293" s="18"/>
      <c r="BR293" s="18"/>
      <c r="BS293" s="104"/>
      <c r="BT293" s="19"/>
      <c r="BU293" s="18"/>
      <c r="BV293" s="18"/>
      <c r="BW293" s="18"/>
      <c r="BX293" s="104"/>
      <c r="BY293" s="19"/>
      <c r="BZ293" s="18"/>
      <c r="CA293" s="18"/>
      <c r="CB293" s="18"/>
      <c r="CC293" s="104"/>
      <c r="CD293" s="19"/>
      <c r="CE293" s="18"/>
      <c r="CF293" s="18"/>
      <c r="CG293" s="18"/>
      <c r="CH293" s="104"/>
      <c r="CI293" s="19"/>
      <c r="CJ293" s="18"/>
      <c r="CK293" s="18"/>
      <c r="CL293" s="18"/>
      <c r="CM293" s="104"/>
      <c r="CN293" s="19"/>
      <c r="CO293" s="18"/>
      <c r="CP293" s="18"/>
      <c r="CQ293" s="18"/>
      <c r="CR293" s="104"/>
      <c r="CS293" s="19"/>
      <c r="CT293" s="18"/>
      <c r="CU293" s="18"/>
      <c r="CV293" s="18"/>
      <c r="CW293" s="104"/>
      <c r="CX293" s="19"/>
      <c r="CY293" s="18"/>
      <c r="CZ293" s="18"/>
      <c r="DA293" s="18"/>
      <c r="DB293" s="104"/>
      <c r="DC293" s="48"/>
      <c r="DD293" s="48"/>
      <c r="DE293" s="48"/>
      <c r="DF293" s="48"/>
      <c r="DG293" s="48"/>
      <c r="DH293" s="48"/>
      <c r="DI293" s="48"/>
      <c r="DJ293" s="48"/>
      <c r="DK293" s="99"/>
      <c r="DL293" s="99"/>
      <c r="DM293" s="9"/>
    </row>
    <row r="294" spans="1:117" outlineLevel="1">
      <c r="A294" s="34" t="s">
        <v>333</v>
      </c>
      <c r="B294" s="94">
        <f t="shared" si="551"/>
        <v>165983</v>
      </c>
      <c r="C294" s="48">
        <f t="shared" si="551"/>
        <v>136566</v>
      </c>
      <c r="D294" s="48">
        <f t="shared" si="551"/>
        <v>311877</v>
      </c>
      <c r="E294" s="48">
        <f>F294-SUM(B294:D294)</f>
        <v>570359</v>
      </c>
      <c r="F294" s="104">
        <f>F253+F267+F281</f>
        <v>1184785</v>
      </c>
      <c r="G294" s="94">
        <f>359040-H294</f>
        <v>177631</v>
      </c>
      <c r="H294" s="38">
        <v>181409</v>
      </c>
      <c r="I294" s="38">
        <v>186632</v>
      </c>
      <c r="J294" s="48">
        <f>K294-SUM(G294:I294)</f>
        <v>269153</v>
      </c>
      <c r="K294" s="133">
        <v>814825</v>
      </c>
      <c r="L294" s="37">
        <v>150927</v>
      </c>
      <c r="M294" s="38">
        <v>97565</v>
      </c>
      <c r="N294" s="38">
        <v>179118</v>
      </c>
      <c r="O294" s="48">
        <f>P294-SUM(L294:N294)</f>
        <v>168092</v>
      </c>
      <c r="P294" s="133">
        <v>595702</v>
      </c>
      <c r="Q294" s="37">
        <v>156336</v>
      </c>
      <c r="R294" s="38">
        <v>164794</v>
      </c>
      <c r="S294" s="38">
        <v>170576</v>
      </c>
      <c r="T294" s="48">
        <f>U294-SUM(Q294:S294)</f>
        <v>135058</v>
      </c>
      <c r="U294" s="133">
        <v>626764</v>
      </c>
      <c r="V294" s="37">
        <v>183335</v>
      </c>
      <c r="W294" s="38">
        <v>204322</v>
      </c>
      <c r="X294" s="38">
        <v>208762</v>
      </c>
      <c r="Y294" s="48">
        <f>Z294-SUM(V294:X294)</f>
        <v>148467</v>
      </c>
      <c r="Z294" s="133">
        <v>744886</v>
      </c>
      <c r="AA294" s="37">
        <v>144135</v>
      </c>
      <c r="AB294" s="38">
        <v>107570</v>
      </c>
      <c r="AC294" s="38">
        <v>116582</v>
      </c>
      <c r="AD294" s="48">
        <f>AE294-SUM(AA294:AC294)</f>
        <v>107478</v>
      </c>
      <c r="AE294" s="133">
        <v>475765</v>
      </c>
      <c r="AF294" s="37">
        <v>136931</v>
      </c>
      <c r="AG294" s="38">
        <v>108089</v>
      </c>
      <c r="AH294" s="38">
        <v>117985</v>
      </c>
      <c r="AI294" s="48">
        <f>AJ294-SUM(AF294:AH294)</f>
        <v>94735</v>
      </c>
      <c r="AJ294" s="133">
        <v>457740</v>
      </c>
      <c r="AK294" s="180">
        <v>96793</v>
      </c>
      <c r="AL294" s="334">
        <v>98699</v>
      </c>
      <c r="AM294" s="38">
        <v>111177</v>
      </c>
      <c r="AN294" s="48">
        <f>AO294-SUM(AK294:AM294)</f>
        <v>96934</v>
      </c>
      <c r="AO294" s="133">
        <v>403603</v>
      </c>
      <c r="AP294" s="180">
        <v>75705</v>
      </c>
      <c r="AQ294" s="334">
        <v>81050</v>
      </c>
      <c r="AR294" s="334">
        <v>91096</v>
      </c>
      <c r="AS294" s="48">
        <f>AT294-SUM(AP294:AR294)</f>
        <v>104248</v>
      </c>
      <c r="AT294" s="133">
        <v>352099</v>
      </c>
      <c r="AU294" s="180">
        <v>82634</v>
      </c>
      <c r="AV294" s="334">
        <v>91340</v>
      </c>
      <c r="AW294" s="334">
        <v>81324</v>
      </c>
      <c r="AX294" s="48">
        <f>AY294-SUM(AU294:AW294)</f>
        <v>85445</v>
      </c>
      <c r="AY294" s="133">
        <v>340743</v>
      </c>
      <c r="AZ294" s="19"/>
      <c r="BA294" s="18"/>
      <c r="BB294" s="18"/>
      <c r="BC294" s="18"/>
      <c r="BD294" s="104"/>
      <c r="BE294" s="19"/>
      <c r="BF294" s="18"/>
      <c r="BG294" s="18"/>
      <c r="BH294" s="18"/>
      <c r="BI294" s="104"/>
      <c r="BJ294" s="19"/>
      <c r="BK294" s="18"/>
      <c r="BL294" s="18"/>
      <c r="BM294" s="18"/>
      <c r="BN294" s="104"/>
      <c r="BO294" s="19"/>
      <c r="BP294" s="18"/>
      <c r="BQ294" s="18"/>
      <c r="BR294" s="18"/>
      <c r="BS294" s="104"/>
      <c r="BT294" s="19"/>
      <c r="BU294" s="18"/>
      <c r="BV294" s="18"/>
      <c r="BW294" s="18"/>
      <c r="BX294" s="104"/>
      <c r="BY294" s="19"/>
      <c r="BZ294" s="18"/>
      <c r="CA294" s="18"/>
      <c r="CB294" s="18"/>
      <c r="CC294" s="104"/>
      <c r="CD294" s="19"/>
      <c r="CE294" s="18"/>
      <c r="CF294" s="18"/>
      <c r="CG294" s="18"/>
      <c r="CH294" s="104"/>
      <c r="CI294" s="19"/>
      <c r="CJ294" s="18"/>
      <c r="CK294" s="18"/>
      <c r="CL294" s="18"/>
      <c r="CM294" s="104"/>
      <c r="CN294" s="19"/>
      <c r="CO294" s="18"/>
      <c r="CP294" s="18"/>
      <c r="CQ294" s="18"/>
      <c r="CR294" s="104"/>
      <c r="CS294" s="19"/>
      <c r="CT294" s="18"/>
      <c r="CU294" s="18"/>
      <c r="CV294" s="18"/>
      <c r="CW294" s="104"/>
      <c r="CX294" s="19"/>
      <c r="CY294" s="18"/>
      <c r="CZ294" s="18"/>
      <c r="DA294" s="18"/>
      <c r="DB294" s="104"/>
      <c r="DC294" s="48"/>
      <c r="DD294" s="48"/>
      <c r="DE294" s="48"/>
      <c r="DF294" s="48"/>
      <c r="DG294" s="48"/>
      <c r="DH294" s="48"/>
      <c r="DI294" s="48"/>
      <c r="DJ294" s="48"/>
      <c r="DK294" s="99"/>
      <c r="DL294" s="99"/>
      <c r="DM294" s="61"/>
    </row>
    <row r="295" spans="1:117" outlineLevel="1">
      <c r="A295" s="28" t="s">
        <v>684</v>
      </c>
      <c r="B295" s="160">
        <f t="shared" ref="B295:Z295" si="552">SUM(B293:B294)</f>
        <v>516223</v>
      </c>
      <c r="C295" s="168">
        <f t="shared" si="552"/>
        <v>513133</v>
      </c>
      <c r="D295" s="168">
        <f t="shared" si="552"/>
        <v>712851</v>
      </c>
      <c r="E295" s="168">
        <f t="shared" si="552"/>
        <v>1020710</v>
      </c>
      <c r="F295" s="235">
        <f t="shared" si="552"/>
        <v>2762917</v>
      </c>
      <c r="G295" s="160">
        <f t="shared" si="552"/>
        <v>452192</v>
      </c>
      <c r="H295" s="168">
        <f t="shared" si="552"/>
        <v>444549</v>
      </c>
      <c r="I295" s="168">
        <f t="shared" si="552"/>
        <v>1408956</v>
      </c>
      <c r="J295" s="168">
        <f t="shared" si="552"/>
        <v>2028902</v>
      </c>
      <c r="K295" s="235">
        <f t="shared" si="552"/>
        <v>4334599</v>
      </c>
      <c r="L295" s="160">
        <f t="shared" si="552"/>
        <v>1169830</v>
      </c>
      <c r="M295" s="168">
        <f t="shared" si="552"/>
        <v>1159350</v>
      </c>
      <c r="N295" s="168">
        <f t="shared" si="552"/>
        <v>1218541</v>
      </c>
      <c r="O295" s="168">
        <f t="shared" si="552"/>
        <v>1190527</v>
      </c>
      <c r="P295" s="235">
        <f t="shared" si="552"/>
        <v>4738248</v>
      </c>
      <c r="Q295" s="160">
        <f t="shared" si="552"/>
        <v>1168674</v>
      </c>
      <c r="R295" s="168">
        <f t="shared" si="552"/>
        <v>1375314</v>
      </c>
      <c r="S295" s="168">
        <f t="shared" si="552"/>
        <v>1410257</v>
      </c>
      <c r="T295" s="168">
        <f t="shared" si="552"/>
        <v>1877313</v>
      </c>
      <c r="U295" s="235">
        <f t="shared" si="552"/>
        <v>5831558</v>
      </c>
      <c r="V295" s="160">
        <f t="shared" si="552"/>
        <v>2059035</v>
      </c>
      <c r="W295" s="168">
        <f t="shared" si="552"/>
        <v>2143892</v>
      </c>
      <c r="X295" s="168">
        <f t="shared" si="552"/>
        <v>2241107</v>
      </c>
      <c r="Y295" s="168">
        <f t="shared" si="552"/>
        <v>1276172</v>
      </c>
      <c r="Z295" s="235">
        <f t="shared" si="552"/>
        <v>7720206</v>
      </c>
      <c r="AA295" s="160">
        <f t="shared" ref="AA295:AH295" si="553">SUM(AA293:AA294)</f>
        <v>1250865</v>
      </c>
      <c r="AB295" s="168">
        <f t="shared" si="553"/>
        <v>1397057</v>
      </c>
      <c r="AC295" s="168">
        <f t="shared" si="553"/>
        <v>1560003</v>
      </c>
      <c r="AD295" s="168">
        <f t="shared" si="553"/>
        <v>2266566</v>
      </c>
      <c r="AE295" s="235">
        <f t="shared" si="553"/>
        <v>6474491</v>
      </c>
      <c r="AF295" s="76">
        <f t="shared" si="553"/>
        <v>2204006</v>
      </c>
      <c r="AG295" s="76">
        <f t="shared" si="553"/>
        <v>2055121</v>
      </c>
      <c r="AH295" s="168">
        <f t="shared" si="553"/>
        <v>2070144</v>
      </c>
      <c r="AI295" s="168">
        <f t="shared" ref="AI295:AR295" si="554">SUM(AI293:AI294)</f>
        <v>2346629</v>
      </c>
      <c r="AJ295" s="235">
        <f t="shared" si="554"/>
        <v>8675900</v>
      </c>
      <c r="AK295" s="76">
        <f t="shared" si="554"/>
        <v>2499610</v>
      </c>
      <c r="AL295" s="76">
        <f t="shared" si="554"/>
        <v>2784219</v>
      </c>
      <c r="AM295" s="76">
        <f t="shared" si="554"/>
        <v>2903576</v>
      </c>
      <c r="AN295" s="168">
        <f t="shared" si="554"/>
        <v>3135202</v>
      </c>
      <c r="AO295" s="235">
        <f t="shared" si="554"/>
        <v>11322607</v>
      </c>
      <c r="AP295" s="76">
        <f t="shared" si="554"/>
        <v>2594088</v>
      </c>
      <c r="AQ295" s="76">
        <f t="shared" si="554"/>
        <v>2124806</v>
      </c>
      <c r="AR295" s="76">
        <f t="shared" si="554"/>
        <v>2547460</v>
      </c>
      <c r="AS295" s="168">
        <f t="shared" ref="AS295:AY295" si="555">SUM(AS293:AS294)</f>
        <v>2915797</v>
      </c>
      <c r="AT295" s="235">
        <f t="shared" si="555"/>
        <v>10182151</v>
      </c>
      <c r="AU295" s="76">
        <f t="shared" si="555"/>
        <v>2517447</v>
      </c>
      <c r="AV295" s="76">
        <f t="shared" si="555"/>
        <v>2768179</v>
      </c>
      <c r="AW295" s="76">
        <f t="shared" si="555"/>
        <v>3134733</v>
      </c>
      <c r="AX295" s="168">
        <f t="shared" si="555"/>
        <v>3448914</v>
      </c>
      <c r="AY295" s="235">
        <f t="shared" si="555"/>
        <v>11869273</v>
      </c>
      <c r="AZ295" s="533">
        <v>3162303</v>
      </c>
      <c r="BA295" s="533">
        <v>3065735</v>
      </c>
      <c r="BB295" s="533">
        <v>3119369</v>
      </c>
      <c r="BC295" s="533">
        <v>2844258</v>
      </c>
      <c r="BD295" s="235">
        <f t="shared" ref="BD295:BD302" si="556">SUM(AZ295:BC295)</f>
        <v>12191665</v>
      </c>
      <c r="BE295" s="533">
        <v>1804759</v>
      </c>
      <c r="BF295" s="590">
        <v>2127507</v>
      </c>
      <c r="BG295" s="590">
        <v>1898418</v>
      </c>
      <c r="BH295" s="590">
        <v>1930384</v>
      </c>
      <c r="BI295" s="521">
        <f>SUM(BE295:BH295)</f>
        <v>7761068</v>
      </c>
      <c r="BJ295" s="533">
        <v>1773945</v>
      </c>
      <c r="BK295" s="590">
        <v>2133594</v>
      </c>
      <c r="BL295" s="589">
        <v>2194413.86275115</v>
      </c>
      <c r="BM295" s="589">
        <v>2290884.53523373</v>
      </c>
      <c r="BN295" s="434">
        <f>SUM(BJ295:BM295)</f>
        <v>8392837.397984881</v>
      </c>
      <c r="BO295" s="589">
        <v>2309297.0824894402</v>
      </c>
      <c r="BP295" s="589">
        <v>2286661.2564775399</v>
      </c>
      <c r="BQ295" s="589">
        <v>2378787.5738319498</v>
      </c>
      <c r="BR295" s="589">
        <v>2451783.2700688099</v>
      </c>
      <c r="BS295" s="434">
        <f>SUM(BO295:BR295)</f>
        <v>9426529.1828677393</v>
      </c>
      <c r="BT295" s="589">
        <v>2478125.5562698697</v>
      </c>
      <c r="BU295" s="589">
        <v>2474769.2640012</v>
      </c>
      <c r="BV295" s="589">
        <v>2561414.95593999</v>
      </c>
      <c r="BW295" s="589">
        <v>2634952.8624643199</v>
      </c>
      <c r="BX295" s="434">
        <f>SUM(BT295:BW295)</f>
        <v>10149262.638675379</v>
      </c>
      <c r="BY295" s="589">
        <v>2669361.1591676599</v>
      </c>
      <c r="BZ295" s="589">
        <v>2680658.3991556601</v>
      </c>
      <c r="CA295" s="589">
        <v>2769588.5542673999</v>
      </c>
      <c r="CB295" s="589">
        <v>2844719.8683756301</v>
      </c>
      <c r="CC295" s="434">
        <f>SUM(BY295:CB295)</f>
        <v>10964327.98096635</v>
      </c>
      <c r="CD295" s="589">
        <v>2765985.05826189</v>
      </c>
      <c r="CE295" s="589">
        <v>2823469.9945851197</v>
      </c>
      <c r="CF295" s="589">
        <v>2903180.9247240899</v>
      </c>
      <c r="CG295" s="589">
        <v>2956543.7760664402</v>
      </c>
      <c r="CH295" s="434">
        <f>SUM(CD295:CG295)</f>
        <v>11449179.753637541</v>
      </c>
      <c r="CI295" s="589">
        <v>2903141.75451947</v>
      </c>
      <c r="CJ295" s="589">
        <v>2962930.27703834</v>
      </c>
      <c r="CK295" s="589">
        <v>3045211.1194978002</v>
      </c>
      <c r="CL295" s="589">
        <v>3099866.50335164</v>
      </c>
      <c r="CM295" s="434">
        <f>SUM(CI295:CL295)</f>
        <v>12011149.65440725</v>
      </c>
      <c r="CN295" s="589">
        <v>3024560.9390777601</v>
      </c>
      <c r="CO295" s="589">
        <v>3093667.3563902201</v>
      </c>
      <c r="CP295" s="589">
        <v>3176464.1635608398</v>
      </c>
      <c r="CQ295" s="589">
        <v>3228365.7266437099</v>
      </c>
      <c r="CR295" s="434">
        <f>SUM(CN295:CQ295)</f>
        <v>12523058.185672529</v>
      </c>
      <c r="CS295" s="589">
        <v>3024560.9390777601</v>
      </c>
      <c r="CT295" s="589">
        <v>3093667.3563902201</v>
      </c>
      <c r="CU295" s="589">
        <v>3176464.1635608398</v>
      </c>
      <c r="CV295" s="589">
        <v>3228365.7266437099</v>
      </c>
      <c r="CW295" s="434">
        <f>SUM(CS295:CV295)</f>
        <v>12523058.185672529</v>
      </c>
      <c r="CX295" s="589">
        <v>3024560.9390777601</v>
      </c>
      <c r="CY295" s="589">
        <v>3093667.3563902201</v>
      </c>
      <c r="CZ295" s="589">
        <v>3176464.1635608398</v>
      </c>
      <c r="DA295" s="589">
        <v>3228365.7266437099</v>
      </c>
      <c r="DB295" s="434">
        <f>SUM(CX295:DA295)</f>
        <v>12523058.185672529</v>
      </c>
      <c r="DC295" s="558"/>
      <c r="DD295" s="558"/>
      <c r="DE295" s="558"/>
      <c r="DF295" s="558"/>
      <c r="DG295" s="558"/>
      <c r="DH295" s="558"/>
      <c r="DI295" s="558"/>
      <c r="DJ295" s="558"/>
      <c r="DK295" s="406"/>
      <c r="DL295" s="406"/>
      <c r="DM295" s="61"/>
    </row>
    <row r="296" spans="1:117" outlineLevel="1">
      <c r="A296" s="107" t="s">
        <v>651</v>
      </c>
      <c r="B296" s="321"/>
      <c r="C296" s="322"/>
      <c r="D296" s="322"/>
      <c r="E296" s="322"/>
      <c r="F296" s="323"/>
      <c r="G296" s="302">
        <f t="shared" ref="G296:AJ296" si="557">G295/B295-1</f>
        <v>-0.12403747992631087</v>
      </c>
      <c r="H296" s="149">
        <f t="shared" si="557"/>
        <v>-0.13365735589018835</v>
      </c>
      <c r="I296" s="149">
        <f t="shared" si="557"/>
        <v>0.97650841480197115</v>
      </c>
      <c r="J296" s="149">
        <f t="shared" si="557"/>
        <v>0.98773598769483995</v>
      </c>
      <c r="K296" s="150">
        <f t="shared" si="557"/>
        <v>0.56884879277951517</v>
      </c>
      <c r="L296" s="302">
        <f t="shared" si="557"/>
        <v>1.5870205576392329</v>
      </c>
      <c r="M296" s="149">
        <f t="shared" si="557"/>
        <v>1.6079239858823211</v>
      </c>
      <c r="N296" s="149">
        <f t="shared" si="557"/>
        <v>-0.13514616496185827</v>
      </c>
      <c r="O296" s="149">
        <f t="shared" si="557"/>
        <v>-0.41321611393748936</v>
      </c>
      <c r="P296" s="150">
        <f t="shared" si="557"/>
        <v>9.3122570276973793E-2</v>
      </c>
      <c r="Q296" s="302">
        <f t="shared" si="557"/>
        <v>-9.8817776941950708E-4</v>
      </c>
      <c r="R296" s="149">
        <f t="shared" si="557"/>
        <v>0.18628024323974635</v>
      </c>
      <c r="S296" s="149">
        <f t="shared" si="557"/>
        <v>0.15733241638976447</v>
      </c>
      <c r="T296" s="149">
        <f t="shared" si="557"/>
        <v>0.5768756189485833</v>
      </c>
      <c r="U296" s="150">
        <f t="shared" si="557"/>
        <v>0.23074140483993233</v>
      </c>
      <c r="V296" s="302">
        <f t="shared" si="557"/>
        <v>0.76185574420240365</v>
      </c>
      <c r="W296" s="149">
        <f t="shared" si="557"/>
        <v>0.55883819985835959</v>
      </c>
      <c r="X296" s="149">
        <f t="shared" si="557"/>
        <v>0.5891479354472271</v>
      </c>
      <c r="Y296" s="149">
        <f t="shared" si="557"/>
        <v>-0.32021351793760555</v>
      </c>
      <c r="Z296" s="150">
        <f t="shared" si="557"/>
        <v>0.3238667951171883</v>
      </c>
      <c r="AA296" s="302">
        <f t="shared" si="557"/>
        <v>-0.39249939899030373</v>
      </c>
      <c r="AB296" s="149">
        <f t="shared" si="557"/>
        <v>-0.34835476787076958</v>
      </c>
      <c r="AC296" s="149">
        <f t="shared" si="557"/>
        <v>-0.30391409245520185</v>
      </c>
      <c r="AD296" s="149">
        <f>AD295/Y295-1</f>
        <v>0.77606623558579879</v>
      </c>
      <c r="AE296" s="150">
        <f>AE295/Z295-1</f>
        <v>-0.16135774097219691</v>
      </c>
      <c r="AF296" s="355">
        <f>AF295/AA295-1</f>
        <v>0.76198550602982729</v>
      </c>
      <c r="AG296" s="149">
        <f t="shared" si="557"/>
        <v>0.47103589903633147</v>
      </c>
      <c r="AH296" s="149">
        <f t="shared" si="557"/>
        <v>0.32701283266762959</v>
      </c>
      <c r="AI296" s="149">
        <f t="shared" si="557"/>
        <v>3.5323480542812424E-2</v>
      </c>
      <c r="AJ296" s="150">
        <f t="shared" si="557"/>
        <v>0.34001267435540483</v>
      </c>
      <c r="AK296" s="355">
        <f t="shared" ref="AK296:BP296" si="558">AK295/AF295-1</f>
        <v>0.13412123197486747</v>
      </c>
      <c r="AL296" s="149">
        <f t="shared" si="558"/>
        <v>0.354771324900091</v>
      </c>
      <c r="AM296" s="149">
        <f t="shared" si="558"/>
        <v>0.40259614790082243</v>
      </c>
      <c r="AN296" s="149">
        <f t="shared" si="558"/>
        <v>0.33604502458633223</v>
      </c>
      <c r="AO296" s="150">
        <f t="shared" si="558"/>
        <v>0.30506425846309893</v>
      </c>
      <c r="AP296" s="302">
        <f t="shared" si="558"/>
        <v>3.7797096347030212E-2</v>
      </c>
      <c r="AQ296" s="149">
        <f t="shared" si="558"/>
        <v>-0.23683948712367808</v>
      </c>
      <c r="AR296" s="149">
        <f t="shared" si="558"/>
        <v>-0.12264738377779671</v>
      </c>
      <c r="AS296" s="149">
        <f t="shared" si="558"/>
        <v>-6.9981136781617215E-2</v>
      </c>
      <c r="AT296" s="150">
        <f t="shared" si="558"/>
        <v>-0.10072379973975953</v>
      </c>
      <c r="AU296" s="149">
        <f t="shared" si="558"/>
        <v>-2.9544487311147449E-2</v>
      </c>
      <c r="AV296" s="149">
        <f t="shared" si="558"/>
        <v>0.30279140778028668</v>
      </c>
      <c r="AW296" s="149">
        <f t="shared" si="558"/>
        <v>0.23053276597081007</v>
      </c>
      <c r="AX296" s="149">
        <f>AX295/AS295-1</f>
        <v>0.1828374883436672</v>
      </c>
      <c r="AY296" s="150">
        <f>AY295/AT295-1</f>
        <v>0.16569406601807413</v>
      </c>
      <c r="AZ296" s="149">
        <f>AZ295/AU295-1</f>
        <v>0.2561547472498924</v>
      </c>
      <c r="BA296" s="149">
        <f t="shared" si="558"/>
        <v>0.10749160368603339</v>
      </c>
      <c r="BB296" s="149">
        <f t="shared" si="558"/>
        <v>-4.9012148722076265E-3</v>
      </c>
      <c r="BC296" s="149">
        <f t="shared" si="558"/>
        <v>-0.17531779568872985</v>
      </c>
      <c r="BD296" s="150">
        <f t="shared" si="558"/>
        <v>2.7161899469327233E-2</v>
      </c>
      <c r="BE296" s="149">
        <f>BE295/AZ295-1</f>
        <v>-0.42928966642348942</v>
      </c>
      <c r="BF296" s="540">
        <f>BF295/BA295-1</f>
        <v>-0.30603688838076348</v>
      </c>
      <c r="BG296" s="149">
        <f t="shared" si="558"/>
        <v>-0.39140960880229303</v>
      </c>
      <c r="BH296" s="540">
        <f t="shared" si="558"/>
        <v>-0.32130488865637363</v>
      </c>
      <c r="BI296" s="534">
        <f t="shared" si="558"/>
        <v>-0.36341197039124684</v>
      </c>
      <c r="BJ296" s="149">
        <f t="shared" si="558"/>
        <v>-1.7073747796797267E-2</v>
      </c>
      <c r="BK296" s="540">
        <f t="shared" si="558"/>
        <v>2.8610951691345754E-3</v>
      </c>
      <c r="BL296" s="149">
        <f t="shared" si="558"/>
        <v>0.15591711770071193</v>
      </c>
      <c r="BM296" s="149">
        <f t="shared" si="558"/>
        <v>0.18675068547694651</v>
      </c>
      <c r="BN296" s="150">
        <f t="shared" si="558"/>
        <v>8.1402378897450944E-2</v>
      </c>
      <c r="BO296" s="149">
        <f t="shared" si="558"/>
        <v>0.30178617853960543</v>
      </c>
      <c r="BP296" s="149">
        <f t="shared" si="558"/>
        <v>7.1741510558025468E-2</v>
      </c>
      <c r="BQ296" s="149">
        <f t="shared" ref="BQ296:CM296" si="559">BQ295/BL295-1</f>
        <v>8.4019570879692473E-2</v>
      </c>
      <c r="BR296" s="149">
        <f t="shared" si="559"/>
        <v>7.0234327553598819E-2</v>
      </c>
      <c r="BS296" s="150">
        <f t="shared" si="559"/>
        <v>0.12316356624888836</v>
      </c>
      <c r="BT296" s="149">
        <f t="shared" si="559"/>
        <v>7.3108165710074502E-2</v>
      </c>
      <c r="BU296" s="149">
        <f t="shared" si="559"/>
        <v>8.22631716835176E-2</v>
      </c>
      <c r="BV296" s="149">
        <f t="shared" si="559"/>
        <v>7.6773304231553929E-2</v>
      </c>
      <c r="BW296" s="149">
        <f t="shared" si="559"/>
        <v>7.4708721048728499E-2</v>
      </c>
      <c r="BX296" s="150">
        <f t="shared" si="559"/>
        <v>7.6670155238173221E-2</v>
      </c>
      <c r="BY296" s="149">
        <f t="shared" si="559"/>
        <v>7.7169456734727415E-2</v>
      </c>
      <c r="BZ296" s="149">
        <f t="shared" si="559"/>
        <v>8.319528537443488E-2</v>
      </c>
      <c r="CA296" s="149">
        <f t="shared" si="559"/>
        <v>8.1272890924857677E-2</v>
      </c>
      <c r="CB296" s="149">
        <f t="shared" si="559"/>
        <v>7.9609396015960288E-2</v>
      </c>
      <c r="CC296" s="150">
        <f t="shared" si="559"/>
        <v>8.030783824482346E-2</v>
      </c>
      <c r="CD296" s="149">
        <f t="shared" si="559"/>
        <v>3.6197387064835551E-2</v>
      </c>
      <c r="CE296" s="149">
        <f t="shared" si="559"/>
        <v>5.3274820646465715E-2</v>
      </c>
      <c r="CF296" s="149">
        <f t="shared" si="559"/>
        <v>4.8235457303161589E-2</v>
      </c>
      <c r="CG296" s="149">
        <f t="shared" si="559"/>
        <v>3.930928627944752E-2</v>
      </c>
      <c r="CH296" s="150">
        <f t="shared" si="559"/>
        <v>4.4220838113642191E-2</v>
      </c>
      <c r="CI296" s="149">
        <f t="shared" si="559"/>
        <v>4.958692594809877E-2</v>
      </c>
      <c r="CJ296" s="149">
        <f t="shared" si="559"/>
        <v>4.9393222779303025E-2</v>
      </c>
      <c r="CK296" s="149">
        <f t="shared" si="559"/>
        <v>4.8922267835308508E-2</v>
      </c>
      <c r="CL296" s="149">
        <f t="shared" si="559"/>
        <v>4.8476443489662957E-2</v>
      </c>
      <c r="CM296" s="150">
        <f t="shared" si="559"/>
        <v>4.9083856910462353E-2</v>
      </c>
      <c r="CN296" s="149">
        <f t="shared" ref="CN296:DB296" si="560">CN295/CI295-1</f>
        <v>4.1823374407836011E-2</v>
      </c>
      <c r="CO296" s="149">
        <f t="shared" si="560"/>
        <v>4.4124251037915396E-2</v>
      </c>
      <c r="CP296" s="149">
        <f t="shared" si="560"/>
        <v>4.3101459607399972E-2</v>
      </c>
      <c r="CQ296" s="149">
        <f t="shared" si="560"/>
        <v>4.1453147467200191E-2</v>
      </c>
      <c r="CR296" s="150">
        <f t="shared" si="560"/>
        <v>4.2619444931938366E-2</v>
      </c>
      <c r="CS296" s="149">
        <f t="shared" si="560"/>
        <v>0</v>
      </c>
      <c r="CT296" s="149">
        <f t="shared" si="560"/>
        <v>0</v>
      </c>
      <c r="CU296" s="149">
        <f t="shared" si="560"/>
        <v>0</v>
      </c>
      <c r="CV296" s="149">
        <f t="shared" si="560"/>
        <v>0</v>
      </c>
      <c r="CW296" s="150">
        <f t="shared" si="560"/>
        <v>0</v>
      </c>
      <c r="CX296" s="149">
        <f t="shared" si="560"/>
        <v>0</v>
      </c>
      <c r="CY296" s="149">
        <f t="shared" si="560"/>
        <v>0</v>
      </c>
      <c r="CZ296" s="149">
        <f t="shared" si="560"/>
        <v>0</v>
      </c>
      <c r="DA296" s="149">
        <f t="shared" si="560"/>
        <v>0</v>
      </c>
      <c r="DB296" s="150">
        <f t="shared" si="560"/>
        <v>0</v>
      </c>
      <c r="DC296" s="149"/>
      <c r="DD296" s="149"/>
      <c r="DE296" s="149"/>
      <c r="DF296" s="149"/>
      <c r="DG296" s="149"/>
      <c r="DH296" s="149"/>
      <c r="DI296" s="149"/>
      <c r="DJ296" s="149"/>
      <c r="DK296" s="400"/>
      <c r="DL296" s="400"/>
      <c r="DM296" s="108"/>
    </row>
    <row r="297" spans="1:117" outlineLevel="1">
      <c r="A297" s="36" t="s">
        <v>827</v>
      </c>
      <c r="B297" s="94">
        <f t="shared" ref="B297:U297" si="561">B295-B298</f>
        <v>399945</v>
      </c>
      <c r="C297" s="48">
        <f t="shared" si="561"/>
        <v>398917</v>
      </c>
      <c r="D297" s="48">
        <f t="shared" si="561"/>
        <v>600037</v>
      </c>
      <c r="E297" s="48">
        <f t="shared" si="561"/>
        <v>946024</v>
      </c>
      <c r="F297" s="104">
        <f t="shared" si="561"/>
        <v>2344923</v>
      </c>
      <c r="G297" s="94">
        <f t="shared" si="561"/>
        <v>343705</v>
      </c>
      <c r="H297" s="48">
        <f t="shared" si="561"/>
        <v>330251</v>
      </c>
      <c r="I297" s="48">
        <f t="shared" si="561"/>
        <v>1240222</v>
      </c>
      <c r="J297" s="48">
        <f t="shared" si="561"/>
        <v>1873652</v>
      </c>
      <c r="K297" s="104">
        <f t="shared" si="561"/>
        <v>3787830</v>
      </c>
      <c r="L297" s="94">
        <f t="shared" si="561"/>
        <v>968135</v>
      </c>
      <c r="M297" s="48">
        <f t="shared" si="561"/>
        <v>947584</v>
      </c>
      <c r="N297" s="48">
        <f t="shared" si="561"/>
        <v>1007075</v>
      </c>
      <c r="O297" s="48">
        <f t="shared" si="561"/>
        <v>971906</v>
      </c>
      <c r="P297" s="104">
        <f t="shared" si="561"/>
        <v>3894700</v>
      </c>
      <c r="Q297" s="94">
        <f t="shared" si="561"/>
        <v>963304</v>
      </c>
      <c r="R297" s="48">
        <f t="shared" si="561"/>
        <v>1157744</v>
      </c>
      <c r="S297" s="48">
        <f t="shared" si="561"/>
        <v>1196373</v>
      </c>
      <c r="T297" s="48">
        <f t="shared" si="561"/>
        <v>1618244</v>
      </c>
      <c r="U297" s="104">
        <f t="shared" si="561"/>
        <v>4935665</v>
      </c>
      <c r="V297" s="94">
        <f t="shared" ref="V297:AB297" si="562">V295-V298</f>
        <v>1790510</v>
      </c>
      <c r="W297" s="48">
        <f t="shared" si="562"/>
        <v>1862959</v>
      </c>
      <c r="X297" s="48">
        <f t="shared" si="562"/>
        <v>1915707</v>
      </c>
      <c r="Y297" s="48">
        <f t="shared" si="562"/>
        <v>1010371</v>
      </c>
      <c r="Z297" s="104">
        <f t="shared" si="562"/>
        <v>6579547</v>
      </c>
      <c r="AA297" s="94">
        <f t="shared" si="562"/>
        <v>997324</v>
      </c>
      <c r="AB297" s="48">
        <f t="shared" si="562"/>
        <v>1135075</v>
      </c>
      <c r="AC297" s="48">
        <f t="shared" ref="AC297:AI297" si="563">AC295-AC298</f>
        <v>1267124</v>
      </c>
      <c r="AD297" s="48">
        <f t="shared" si="563"/>
        <v>1955671</v>
      </c>
      <c r="AE297" s="104">
        <f t="shared" si="563"/>
        <v>5355194</v>
      </c>
      <c r="AF297" s="79">
        <f t="shared" si="563"/>
        <v>1942881</v>
      </c>
      <c r="AG297" s="48">
        <f t="shared" si="563"/>
        <v>1766959</v>
      </c>
      <c r="AH297" s="48">
        <f t="shared" si="563"/>
        <v>1784139</v>
      </c>
      <c r="AI297" s="48">
        <f t="shared" si="563"/>
        <v>2037068</v>
      </c>
      <c r="AJ297" s="104">
        <f>SUM(AF297:AI297)</f>
        <v>7531047</v>
      </c>
      <c r="AK297" s="79">
        <f>AK295-AK298</f>
        <v>2170056</v>
      </c>
      <c r="AL297" s="48">
        <f>AL295-AL298</f>
        <v>2424679</v>
      </c>
      <c r="AM297" s="48">
        <f>AM295-AM298</f>
        <v>2509570</v>
      </c>
      <c r="AN297" s="48">
        <f>AN295-AN298</f>
        <v>2640922</v>
      </c>
      <c r="AO297" s="104">
        <f>SUM(AK297:AN297)</f>
        <v>9745227</v>
      </c>
      <c r="AP297" s="94">
        <f>AP295-AP298</f>
        <v>2172988</v>
      </c>
      <c r="AQ297" s="48">
        <f>AQ295-AQ298</f>
        <v>1723306</v>
      </c>
      <c r="AR297" s="48">
        <f>AR295-AR298</f>
        <v>2127723</v>
      </c>
      <c r="AS297" s="48">
        <f>AS295-AS298</f>
        <v>2516334</v>
      </c>
      <c r="AT297" s="104">
        <f>SUM(AP297:AS297)</f>
        <v>8540351</v>
      </c>
      <c r="AU297" s="48">
        <f>AU295-AU298</f>
        <v>2146847</v>
      </c>
      <c r="AV297" s="48">
        <f>AV295-AV298</f>
        <v>2356179</v>
      </c>
      <c r="AW297" s="48">
        <f>AW295-AW298</f>
        <v>2711133</v>
      </c>
      <c r="AX297" s="48">
        <f>AX295-AX298</f>
        <v>3008014</v>
      </c>
      <c r="AY297" s="104">
        <f>SUM(AU297:AX297)</f>
        <v>10222173</v>
      </c>
      <c r="AZ297" s="48">
        <f>AZ295-AZ298</f>
        <v>2646203</v>
      </c>
      <c r="BA297" s="48">
        <f>BA295-BA298</f>
        <v>2571402</v>
      </c>
      <c r="BB297" s="48">
        <f>BB295-BB298</f>
        <v>2583204</v>
      </c>
      <c r="BC297" s="48">
        <f>BC295-BC298</f>
        <v>2281273</v>
      </c>
      <c r="BD297" s="104">
        <f t="shared" si="556"/>
        <v>10082082</v>
      </c>
      <c r="BE297" s="48">
        <f>BE295-BE298</f>
        <v>1343864</v>
      </c>
      <c r="BF297" s="590">
        <v>1603093</v>
      </c>
      <c r="BG297" s="590">
        <v>1360809</v>
      </c>
      <c r="BH297" s="590">
        <v>1333286</v>
      </c>
      <c r="BI297" s="104">
        <f>SUM(BE297:BH297)</f>
        <v>5641052</v>
      </c>
      <c r="BJ297" s="212">
        <v>1195738</v>
      </c>
      <c r="BK297" s="590">
        <v>1527323</v>
      </c>
      <c r="BL297" s="589">
        <v>1571187.25948061</v>
      </c>
      <c r="BM297" s="589">
        <v>1643960.62024288</v>
      </c>
      <c r="BN297" s="104">
        <f>SUM(BJ297:BM297)</f>
        <v>5938208.8797234902</v>
      </c>
      <c r="BO297" s="589">
        <v>1693345.33588686</v>
      </c>
      <c r="BP297" s="589">
        <v>1673442.7750406601</v>
      </c>
      <c r="BQ297" s="589">
        <v>1747278.0356696302</v>
      </c>
      <c r="BR297" s="589">
        <v>1807097.8275993799</v>
      </c>
      <c r="BS297" s="104">
        <f>SUM(BO297:BR297)</f>
        <v>6921163.9741965309</v>
      </c>
      <c r="BT297" s="589">
        <v>1824871.3069370799</v>
      </c>
      <c r="BU297" s="589">
        <v>1819373.47595766</v>
      </c>
      <c r="BV297" s="589">
        <v>1886042.20889189</v>
      </c>
      <c r="BW297" s="589">
        <v>1944634.5546200301</v>
      </c>
      <c r="BX297" s="104">
        <f>SUM(BT297:BW297)</f>
        <v>7474921.5464066602</v>
      </c>
      <c r="BY297" s="589">
        <v>1969095.1172880901</v>
      </c>
      <c r="BZ297" s="589">
        <v>1975801.25543999</v>
      </c>
      <c r="CA297" s="589">
        <v>2044082.4424535101</v>
      </c>
      <c r="CB297" s="589">
        <v>2104026.34878011</v>
      </c>
      <c r="CC297" s="104">
        <f>SUM(BY297:CB297)</f>
        <v>8093005.1639617011</v>
      </c>
      <c r="CD297" s="589">
        <v>2035509.9168571001</v>
      </c>
      <c r="CE297" s="589">
        <v>2080937.79298841</v>
      </c>
      <c r="CF297" s="589">
        <v>2141856.0027602897</v>
      </c>
      <c r="CG297" s="589">
        <v>2184330.9924331601</v>
      </c>
      <c r="CH297" s="104">
        <f>SUM(CD297:CG297)</f>
        <v>8442634.705038961</v>
      </c>
      <c r="CI297" s="589">
        <v>2148994.4153660699</v>
      </c>
      <c r="CJ297" s="589">
        <v>2196740.7286363598</v>
      </c>
      <c r="CK297" s="589">
        <v>2260274.5707609202</v>
      </c>
      <c r="CL297" s="589">
        <v>2304355.4556918102</v>
      </c>
      <c r="CM297" s="104">
        <f>SUM(CI297:CL297)</f>
        <v>8910365.1704551615</v>
      </c>
      <c r="CN297" s="589">
        <v>2245743.4599900497</v>
      </c>
      <c r="CO297" s="589">
        <v>2300289.8292728201</v>
      </c>
      <c r="CP297" s="589">
        <v>2364895.6256733001</v>
      </c>
      <c r="CQ297" s="589">
        <v>2407756.35257942</v>
      </c>
      <c r="CR297" s="104">
        <f>SUM(CN297:CQ297)</f>
        <v>9318685.2675155904</v>
      </c>
      <c r="CS297" s="589">
        <v>2245743.4599900497</v>
      </c>
      <c r="CT297" s="589">
        <v>2300289.8292728201</v>
      </c>
      <c r="CU297" s="589">
        <v>2364895.6256733001</v>
      </c>
      <c r="CV297" s="589">
        <v>2407756.35257942</v>
      </c>
      <c r="CW297" s="104">
        <f>SUM(CS297:CV297)</f>
        <v>9318685.2675155904</v>
      </c>
      <c r="CX297" s="589">
        <v>2245743.4599900497</v>
      </c>
      <c r="CY297" s="589">
        <v>2300289.8292728201</v>
      </c>
      <c r="CZ297" s="589">
        <v>2364895.6256733001</v>
      </c>
      <c r="DA297" s="589">
        <v>2407756.35257942</v>
      </c>
      <c r="DB297" s="104">
        <f>SUM(CX297:DA297)</f>
        <v>9318685.2675155904</v>
      </c>
      <c r="DC297" s="48"/>
      <c r="DD297" s="48"/>
      <c r="DE297" s="48"/>
      <c r="DF297" s="48"/>
      <c r="DG297" s="48"/>
      <c r="DH297" s="48"/>
      <c r="DI297" s="48"/>
      <c r="DJ297" s="48"/>
      <c r="DK297" s="99"/>
      <c r="DL297" s="99"/>
      <c r="DM297" s="61"/>
    </row>
    <row r="298" spans="1:117" outlineLevel="1">
      <c r="A298" s="28" t="s">
        <v>763</v>
      </c>
      <c r="B298" s="160">
        <f>B256+B270+B284</f>
        <v>116278</v>
      </c>
      <c r="C298" s="168">
        <f>C256+C270+C284</f>
        <v>114216</v>
      </c>
      <c r="D298" s="168">
        <f>D256+D270+D284</f>
        <v>112814</v>
      </c>
      <c r="E298" s="168">
        <f>F298-SUM(B298:D298)</f>
        <v>74686</v>
      </c>
      <c r="F298" s="235">
        <f>F256+F270+F284</f>
        <v>417994</v>
      </c>
      <c r="G298" s="160">
        <f>222785-H298</f>
        <v>108487</v>
      </c>
      <c r="H298" s="176">
        <v>114298</v>
      </c>
      <c r="I298" s="176">
        <v>168734</v>
      </c>
      <c r="J298" s="168">
        <f>K298-SUM(G298:I298)</f>
        <v>155250</v>
      </c>
      <c r="K298" s="213">
        <v>546769</v>
      </c>
      <c r="L298" s="212">
        <v>201695</v>
      </c>
      <c r="M298" s="176">
        <v>211766</v>
      </c>
      <c r="N298" s="176">
        <v>211466</v>
      </c>
      <c r="O298" s="168">
        <f>P298-SUM(L298:N298)</f>
        <v>218621</v>
      </c>
      <c r="P298" s="213">
        <v>843548</v>
      </c>
      <c r="Q298" s="212">
        <v>205370</v>
      </c>
      <c r="R298" s="176">
        <v>217570</v>
      </c>
      <c r="S298" s="176">
        <v>213884</v>
      </c>
      <c r="T298" s="168">
        <f>U298-SUM(Q298:S298)</f>
        <v>259069</v>
      </c>
      <c r="U298" s="213">
        <v>895893</v>
      </c>
      <c r="V298" s="212">
        <v>268525</v>
      </c>
      <c r="W298" s="176">
        <v>280933</v>
      </c>
      <c r="X298" s="176">
        <v>325400</v>
      </c>
      <c r="Y298" s="168">
        <f>Z298-SUM(V298:X298)</f>
        <v>265801</v>
      </c>
      <c r="Z298" s="213">
        <v>1140659</v>
      </c>
      <c r="AA298" s="212">
        <v>253541</v>
      </c>
      <c r="AB298" s="176">
        <v>261982</v>
      </c>
      <c r="AC298" s="176">
        <v>292879</v>
      </c>
      <c r="AD298" s="168">
        <f>AE298-SUM(AA298:AC298)</f>
        <v>310895</v>
      </c>
      <c r="AE298" s="213">
        <v>1119297</v>
      </c>
      <c r="AF298" s="212">
        <v>261125</v>
      </c>
      <c r="AG298" s="370">
        <v>288162</v>
      </c>
      <c r="AH298" s="370">
        <v>286005</v>
      </c>
      <c r="AI298" s="168">
        <f>AJ298-SUM(AF298:AH298)</f>
        <v>309561</v>
      </c>
      <c r="AJ298" s="213">
        <v>1144853</v>
      </c>
      <c r="AK298" s="212">
        <v>329554</v>
      </c>
      <c r="AL298" s="176">
        <v>359540</v>
      </c>
      <c r="AM298" s="370">
        <v>394006</v>
      </c>
      <c r="AN298" s="168">
        <f>AO298-SUM(AK298:AM298)</f>
        <v>494280</v>
      </c>
      <c r="AO298" s="213">
        <v>1577380</v>
      </c>
      <c r="AP298" s="212">
        <v>421100</v>
      </c>
      <c r="AQ298" s="176">
        <v>401500</v>
      </c>
      <c r="AR298" s="176">
        <v>419737</v>
      </c>
      <c r="AS298" s="168">
        <f>AT298-SUM(AP298:AR298)</f>
        <v>399463</v>
      </c>
      <c r="AT298" s="213">
        <v>1641800</v>
      </c>
      <c r="AU298" s="212">
        <v>370600</v>
      </c>
      <c r="AV298" s="176">
        <v>412000</v>
      </c>
      <c r="AW298" s="176">
        <v>423600</v>
      </c>
      <c r="AX298" s="168">
        <f>AY298-SUM(AU298:AW298)</f>
        <v>440900</v>
      </c>
      <c r="AY298" s="213">
        <v>1647100</v>
      </c>
      <c r="AZ298" s="212">
        <f>153600+269000+93500</f>
        <v>516100</v>
      </c>
      <c r="BA298" s="176">
        <v>494333</v>
      </c>
      <c r="BB298" s="176">
        <v>536165</v>
      </c>
      <c r="BC298" s="176">
        <v>562985</v>
      </c>
      <c r="BD298" s="235">
        <f t="shared" si="556"/>
        <v>2109583</v>
      </c>
      <c r="BE298" s="212">
        <v>460895</v>
      </c>
      <c r="BF298" s="388">
        <f>BF295-BF297</f>
        <v>524414</v>
      </c>
      <c r="BG298" s="168">
        <f>BG295-BG297</f>
        <v>537609</v>
      </c>
      <c r="BH298" s="388">
        <f>BH295-BH297</f>
        <v>597098</v>
      </c>
      <c r="BI298" s="521">
        <f>SUM(BE298:BH298)</f>
        <v>2120016</v>
      </c>
      <c r="BJ298" s="609">
        <f>BJ295-BJ297</f>
        <v>578207</v>
      </c>
      <c r="BK298" s="388">
        <f>BK295-BK297</f>
        <v>606271</v>
      </c>
      <c r="BL298" s="168">
        <f>BL295-BL297</f>
        <v>623226.60327054001</v>
      </c>
      <c r="BM298" s="168">
        <f>BM295-BM297</f>
        <v>646923.91499085003</v>
      </c>
      <c r="BN298" s="235">
        <f>SUM(BJ298:BM298)</f>
        <v>2454628.5182613898</v>
      </c>
      <c r="BO298" s="168">
        <f>BO295-BO297</f>
        <v>615951.74660258018</v>
      </c>
      <c r="BP298" s="168">
        <f>BP295-BP297</f>
        <v>613218.48143687984</v>
      </c>
      <c r="BQ298" s="168">
        <f>BQ295-BQ297</f>
        <v>631509.53816231969</v>
      </c>
      <c r="BR298" s="168">
        <f>BR295-BR297</f>
        <v>644685.44246942992</v>
      </c>
      <c r="BS298" s="235">
        <f>SUM(BO298:BR298)</f>
        <v>2505365.2086712094</v>
      </c>
      <c r="BT298" s="168">
        <f>BT295-BT297</f>
        <v>653254.2493327898</v>
      </c>
      <c r="BU298" s="168">
        <f>BU295-BU297</f>
        <v>655395.78804353997</v>
      </c>
      <c r="BV298" s="168">
        <f>BV295-BV297</f>
        <v>675372.74704809999</v>
      </c>
      <c r="BW298" s="168">
        <f>BW295-BW297</f>
        <v>690318.30784428981</v>
      </c>
      <c r="BX298" s="235">
        <f>SUM(BT298:BW298)</f>
        <v>2674341.0922687193</v>
      </c>
      <c r="BY298" s="168">
        <f>BY295-BY297</f>
        <v>700266.04187956988</v>
      </c>
      <c r="BZ298" s="168">
        <f>BZ295-BZ297</f>
        <v>704857.1437156701</v>
      </c>
      <c r="CA298" s="168">
        <f>CA295-CA297</f>
        <v>725506.11181388982</v>
      </c>
      <c r="CB298" s="168">
        <f>CB295-CB297</f>
        <v>740693.51959552011</v>
      </c>
      <c r="CC298" s="235">
        <f>SUM(BY298:CB298)</f>
        <v>2871322.8170046499</v>
      </c>
      <c r="CD298" s="168">
        <f>CD295-CD297</f>
        <v>730475.14140478987</v>
      </c>
      <c r="CE298" s="168">
        <f>CE295-CE297</f>
        <v>742532.20159670967</v>
      </c>
      <c r="CF298" s="168">
        <f>CF295-CF297</f>
        <v>761324.92196380021</v>
      </c>
      <c r="CG298" s="168">
        <f>CG295-CG297</f>
        <v>772212.78363328008</v>
      </c>
      <c r="CH298" s="235">
        <f>SUM(CD298:CG298)</f>
        <v>3006545.0485985796</v>
      </c>
      <c r="CI298" s="168">
        <f>CI295-CI297</f>
        <v>754147.33915340016</v>
      </c>
      <c r="CJ298" s="168">
        <f>CJ295-CJ297</f>
        <v>766189.5484019802</v>
      </c>
      <c r="CK298" s="168">
        <f>CK295-CK297</f>
        <v>784936.54873688007</v>
      </c>
      <c r="CL298" s="168">
        <f>CL295-CL297</f>
        <v>795511.04765982972</v>
      </c>
      <c r="CM298" s="235">
        <f>SUM(CI298:CL298)</f>
        <v>3100784.4839520901</v>
      </c>
      <c r="CN298" s="168">
        <f>CN295-CN297</f>
        <v>778817.47908771038</v>
      </c>
      <c r="CO298" s="168">
        <f>CO295-CO297</f>
        <v>793377.52711739996</v>
      </c>
      <c r="CP298" s="168">
        <f>CP295-CP297</f>
        <v>811568.53788753971</v>
      </c>
      <c r="CQ298" s="168">
        <f>CQ295-CQ297</f>
        <v>820609.37406428996</v>
      </c>
      <c r="CR298" s="235">
        <f>SUM(CN298:CQ298)</f>
        <v>3204372.91815694</v>
      </c>
      <c r="CS298" s="168">
        <f>CS295-CS297</f>
        <v>778817.47908771038</v>
      </c>
      <c r="CT298" s="168">
        <f>CT295-CT297</f>
        <v>793377.52711739996</v>
      </c>
      <c r="CU298" s="168">
        <f>CU295-CU297</f>
        <v>811568.53788753971</v>
      </c>
      <c r="CV298" s="168">
        <f>CV295-CV297</f>
        <v>820609.37406428996</v>
      </c>
      <c r="CW298" s="235">
        <f>SUM(CS298:CV298)</f>
        <v>3204372.91815694</v>
      </c>
      <c r="CX298" s="168">
        <f>CX295-CX297</f>
        <v>778817.47908771038</v>
      </c>
      <c r="CY298" s="168">
        <f>CY295-CY297</f>
        <v>793377.52711739996</v>
      </c>
      <c r="CZ298" s="168">
        <f>CZ295-CZ297</f>
        <v>811568.53788753971</v>
      </c>
      <c r="DA298" s="168">
        <f>DA295-DA297</f>
        <v>820609.37406428996</v>
      </c>
      <c r="DB298" s="235">
        <f>SUM(CX298:DA298)</f>
        <v>3204372.91815694</v>
      </c>
      <c r="DC298" s="168"/>
      <c r="DD298" s="168"/>
      <c r="DE298" s="168"/>
      <c r="DF298" s="168"/>
      <c r="DG298" s="168"/>
      <c r="DH298" s="168"/>
      <c r="DI298" s="168"/>
      <c r="DJ298" s="168"/>
      <c r="DK298" s="406"/>
      <c r="DL298" s="406"/>
      <c r="DM298" s="68"/>
    </row>
    <row r="299" spans="1:117" outlineLevel="1">
      <c r="A299" s="107" t="s">
        <v>651</v>
      </c>
      <c r="B299" s="321"/>
      <c r="C299" s="322"/>
      <c r="D299" s="322"/>
      <c r="E299" s="322"/>
      <c r="F299" s="323"/>
      <c r="G299" s="302">
        <f t="shared" ref="G299:AJ299" si="564">G298/B298-1</f>
        <v>-6.7003216429591173E-2</v>
      </c>
      <c r="H299" s="149">
        <f t="shared" si="564"/>
        <v>7.1793794214469742E-4</v>
      </c>
      <c r="I299" s="149">
        <f t="shared" si="564"/>
        <v>0.4956831598915028</v>
      </c>
      <c r="J299" s="149">
        <f t="shared" si="564"/>
        <v>1.0787028358728543</v>
      </c>
      <c r="K299" s="150">
        <f t="shared" si="564"/>
        <v>0.30807858486006978</v>
      </c>
      <c r="L299" s="302">
        <f t="shared" si="564"/>
        <v>0.85916284900494988</v>
      </c>
      <c r="M299" s="149">
        <f t="shared" si="564"/>
        <v>0.85275332901713075</v>
      </c>
      <c r="N299" s="149">
        <f t="shared" si="564"/>
        <v>0.25325067858285832</v>
      </c>
      <c r="O299" s="149">
        <f t="shared" si="564"/>
        <v>0.40818679549114334</v>
      </c>
      <c r="P299" s="150">
        <f t="shared" si="564"/>
        <v>0.54278680759150566</v>
      </c>
      <c r="Q299" s="302">
        <f t="shared" si="564"/>
        <v>1.8220580579588086E-2</v>
      </c>
      <c r="R299" s="149">
        <f t="shared" si="564"/>
        <v>2.7407610286825923E-2</v>
      </c>
      <c r="S299" s="149">
        <f t="shared" si="564"/>
        <v>1.1434462277623902E-2</v>
      </c>
      <c r="T299" s="149">
        <f t="shared" si="564"/>
        <v>0.18501424840248659</v>
      </c>
      <c r="U299" s="150">
        <f t="shared" si="564"/>
        <v>6.2053374556041874E-2</v>
      </c>
      <c r="V299" s="302">
        <f t="shared" si="564"/>
        <v>0.30751813799483863</v>
      </c>
      <c r="W299" s="149">
        <f t="shared" si="564"/>
        <v>0.2912304086041273</v>
      </c>
      <c r="X299" s="149">
        <f t="shared" si="564"/>
        <v>0.52138542387462361</v>
      </c>
      <c r="Y299" s="149">
        <f t="shared" si="564"/>
        <v>2.5985355252847731E-2</v>
      </c>
      <c r="Z299" s="150">
        <f t="shared" si="564"/>
        <v>0.27320896580283582</v>
      </c>
      <c r="AA299" s="302">
        <f t="shared" si="564"/>
        <v>-5.5801135834652293E-2</v>
      </c>
      <c r="AB299" s="149">
        <f t="shared" si="564"/>
        <v>-6.7457365279265824E-2</v>
      </c>
      <c r="AC299" s="149">
        <f t="shared" si="564"/>
        <v>-9.9941610325752883E-2</v>
      </c>
      <c r="AD299" s="149">
        <f>AD298/Y298-1</f>
        <v>0.16965323682002698</v>
      </c>
      <c r="AE299" s="150">
        <f>AE298/Z298-1</f>
        <v>-1.872777052563479E-2</v>
      </c>
      <c r="AF299" s="355">
        <f>AF298/AA298-1</f>
        <v>2.9912321872990866E-2</v>
      </c>
      <c r="AG299" s="149">
        <f t="shared" si="564"/>
        <v>9.9930529578367899E-2</v>
      </c>
      <c r="AH299" s="149">
        <f t="shared" si="564"/>
        <v>-2.3470443425441911E-2</v>
      </c>
      <c r="AI299" s="149">
        <f t="shared" si="564"/>
        <v>-4.2908377426462696E-3</v>
      </c>
      <c r="AJ299" s="150">
        <f t="shared" si="564"/>
        <v>2.2832188418266064E-2</v>
      </c>
      <c r="AK299" s="355">
        <f t="shared" ref="AK299:BP299" si="565">AK298/AF298-1</f>
        <v>0.26205457156534218</v>
      </c>
      <c r="AL299" s="149">
        <f t="shared" si="565"/>
        <v>0.24770094599565518</v>
      </c>
      <c r="AM299" s="149">
        <f t="shared" si="565"/>
        <v>0.37761927239034287</v>
      </c>
      <c r="AN299" s="149">
        <f t="shared" si="565"/>
        <v>0.59671276420479313</v>
      </c>
      <c r="AO299" s="150">
        <f t="shared" si="565"/>
        <v>0.37780134218104866</v>
      </c>
      <c r="AP299" s="355">
        <f t="shared" si="565"/>
        <v>0.27778755530201416</v>
      </c>
      <c r="AQ299" s="361">
        <f t="shared" si="565"/>
        <v>0.11670467819992214</v>
      </c>
      <c r="AR299" s="361">
        <f t="shared" si="565"/>
        <v>6.5306112089663637E-2</v>
      </c>
      <c r="AS299" s="149">
        <f t="shared" si="565"/>
        <v>-0.1918285182487659</v>
      </c>
      <c r="AT299" s="150">
        <f t="shared" si="565"/>
        <v>4.0839873714640706E-2</v>
      </c>
      <c r="AU299" s="355">
        <f t="shared" si="565"/>
        <v>-0.11992400854903829</v>
      </c>
      <c r="AV299" s="361">
        <f t="shared" si="565"/>
        <v>2.6151930261519407E-2</v>
      </c>
      <c r="AW299" s="361">
        <f t="shared" si="565"/>
        <v>9.2033821178498787E-3</v>
      </c>
      <c r="AX299" s="149">
        <f>AX298/AS298-1</f>
        <v>0.10373175988764927</v>
      </c>
      <c r="AY299" s="150">
        <f>AY298/AT298-1</f>
        <v>3.2281642100133734E-3</v>
      </c>
      <c r="AZ299" s="355">
        <f t="shared" si="565"/>
        <v>0.39260658391797087</v>
      </c>
      <c r="BA299" s="361">
        <f t="shared" si="565"/>
        <v>0.19983737864077677</v>
      </c>
      <c r="BB299" s="361">
        <f t="shared" si="565"/>
        <v>0.26573418319169018</v>
      </c>
      <c r="BC299" s="361">
        <f t="shared" si="565"/>
        <v>0.27689952370151971</v>
      </c>
      <c r="BD299" s="150">
        <f t="shared" si="565"/>
        <v>0.28078623034424144</v>
      </c>
      <c r="BE299" s="355">
        <f t="shared" si="565"/>
        <v>-0.10696570432086805</v>
      </c>
      <c r="BF299" s="540">
        <f t="shared" si="565"/>
        <v>6.0851693089476022E-2</v>
      </c>
      <c r="BG299" s="149">
        <f t="shared" si="565"/>
        <v>2.6932007870712482E-3</v>
      </c>
      <c r="BH299" s="540">
        <f t="shared" si="565"/>
        <v>6.0593088625807034E-2</v>
      </c>
      <c r="BI299" s="534">
        <f t="shared" si="565"/>
        <v>4.9455271492042652E-3</v>
      </c>
      <c r="BJ299" s="355">
        <f t="shared" si="565"/>
        <v>0.2545308584384729</v>
      </c>
      <c r="BK299" s="540">
        <f t="shared" si="565"/>
        <v>0.15609232400355455</v>
      </c>
      <c r="BL299" s="149">
        <f t="shared" si="565"/>
        <v>0.1592562685344554</v>
      </c>
      <c r="BM299" s="149">
        <f t="shared" si="565"/>
        <v>8.3446795988012079E-2</v>
      </c>
      <c r="BN299" s="150">
        <f t="shared" si="565"/>
        <v>0.15783490231271369</v>
      </c>
      <c r="BO299" s="149">
        <f t="shared" si="565"/>
        <v>6.5278951314287514E-2</v>
      </c>
      <c r="BP299" s="149">
        <f t="shared" si="565"/>
        <v>1.1459366251857395E-2</v>
      </c>
      <c r="BQ299" s="149">
        <f t="shared" ref="BQ299:CM299" si="566">BQ298/BL298-1</f>
        <v>1.329040648828661E-2</v>
      </c>
      <c r="BR299" s="149">
        <f t="shared" si="566"/>
        <v>-3.4601789631656388E-3</v>
      </c>
      <c r="BS299" s="150">
        <f t="shared" si="566"/>
        <v>2.0669804018147886E-2</v>
      </c>
      <c r="BT299" s="149">
        <f t="shared" si="566"/>
        <v>6.0560754857762689E-2</v>
      </c>
      <c r="BU299" s="149">
        <f t="shared" si="566"/>
        <v>6.8780227412310158E-2</v>
      </c>
      <c r="BV299" s="149">
        <f t="shared" si="566"/>
        <v>6.9457713993396508E-2</v>
      </c>
      <c r="BW299" s="149">
        <f t="shared" si="566"/>
        <v>7.0783148445334509E-2</v>
      </c>
      <c r="BX299" s="150">
        <f t="shared" si="566"/>
        <v>6.7445609531366912E-2</v>
      </c>
      <c r="BY299" s="149">
        <f t="shared" si="566"/>
        <v>7.196553653465898E-2</v>
      </c>
      <c r="BZ299" s="149">
        <f t="shared" si="566"/>
        <v>7.5467918125900812E-2</v>
      </c>
      <c r="CA299" s="149">
        <f t="shared" si="566"/>
        <v>7.4230660009470872E-2</v>
      </c>
      <c r="CB299" s="149">
        <f t="shared" si="566"/>
        <v>7.2973889260652625E-2</v>
      </c>
      <c r="CC299" s="150">
        <f t="shared" si="566"/>
        <v>7.3656170974370827E-2</v>
      </c>
      <c r="CD299" s="149">
        <f t="shared" si="566"/>
        <v>4.3139460888516501E-2</v>
      </c>
      <c r="CE299" s="149">
        <f t="shared" si="566"/>
        <v>5.3450629275649586E-2</v>
      </c>
      <c r="CF299" s="149">
        <f t="shared" si="566"/>
        <v>4.9370790358136629E-2</v>
      </c>
      <c r="CG299" s="149">
        <f t="shared" si="566"/>
        <v>4.2553719188703099E-2</v>
      </c>
      <c r="CH299" s="150">
        <f t="shared" si="566"/>
        <v>4.7094053929816582E-2</v>
      </c>
      <c r="CI299" s="149">
        <f t="shared" si="566"/>
        <v>3.2406575401163984E-2</v>
      </c>
      <c r="CJ299" s="149">
        <f t="shared" si="566"/>
        <v>3.186036478202392E-2</v>
      </c>
      <c r="CK299" s="149">
        <f t="shared" si="566"/>
        <v>3.1013862927506519E-2</v>
      </c>
      <c r="CL299" s="149">
        <f t="shared" si="566"/>
        <v>3.0170782613738512E-2</v>
      </c>
      <c r="CM299" s="150">
        <f t="shared" si="566"/>
        <v>3.1344760790275705E-2</v>
      </c>
      <c r="CN299" s="149">
        <f t="shared" ref="CN299:DB299" si="567">CN298/CI298-1</f>
        <v>3.271262610566894E-2</v>
      </c>
      <c r="CO299" s="149">
        <f t="shared" si="567"/>
        <v>3.5484664039238112E-2</v>
      </c>
      <c r="CP299" s="149">
        <f t="shared" si="567"/>
        <v>3.3928843284869226E-2</v>
      </c>
      <c r="CQ299" s="149">
        <f t="shared" si="567"/>
        <v>3.1549940730920767E-2</v>
      </c>
      <c r="CR299" s="150">
        <f t="shared" si="567"/>
        <v>3.3407169940692372E-2</v>
      </c>
      <c r="CS299" s="149">
        <f t="shared" si="567"/>
        <v>0</v>
      </c>
      <c r="CT299" s="149">
        <f t="shared" si="567"/>
        <v>0</v>
      </c>
      <c r="CU299" s="149">
        <f t="shared" si="567"/>
        <v>0</v>
      </c>
      <c r="CV299" s="149">
        <f t="shared" si="567"/>
        <v>0</v>
      </c>
      <c r="CW299" s="150">
        <f t="shared" si="567"/>
        <v>0</v>
      </c>
      <c r="CX299" s="149">
        <f t="shared" si="567"/>
        <v>0</v>
      </c>
      <c r="CY299" s="149">
        <f t="shared" si="567"/>
        <v>0</v>
      </c>
      <c r="CZ299" s="149">
        <f t="shared" si="567"/>
        <v>0</v>
      </c>
      <c r="DA299" s="149">
        <f t="shared" si="567"/>
        <v>0</v>
      </c>
      <c r="DB299" s="150">
        <f t="shared" si="567"/>
        <v>0</v>
      </c>
      <c r="DC299" s="149"/>
      <c r="DD299" s="149"/>
      <c r="DE299" s="149"/>
      <c r="DF299" s="149"/>
      <c r="DG299" s="149"/>
      <c r="DH299" s="149"/>
      <c r="DI299" s="149"/>
      <c r="DJ299" s="149"/>
      <c r="DK299" s="400"/>
      <c r="DL299" s="400"/>
      <c r="DM299" s="108"/>
    </row>
    <row r="300" spans="1:117" outlineLevel="1">
      <c r="A300" s="34" t="s">
        <v>761</v>
      </c>
      <c r="B300" s="94">
        <f>B257+B271+B285</f>
        <v>51737</v>
      </c>
      <c r="C300" s="48">
        <f>C257+C271+C285</f>
        <v>45165</v>
      </c>
      <c r="D300" s="48">
        <f>D257+D271+D285</f>
        <v>46984</v>
      </c>
      <c r="E300" s="48">
        <f>F300-SUM(B300:D300)</f>
        <v>33080</v>
      </c>
      <c r="F300" s="104">
        <f>F257+F271+F285</f>
        <v>176966</v>
      </c>
      <c r="G300" s="94">
        <f>88698-H300</f>
        <v>43800</v>
      </c>
      <c r="H300" s="38">
        <v>44898</v>
      </c>
      <c r="I300" s="38">
        <v>66785</v>
      </c>
      <c r="J300" s="48">
        <f>K300-SUM(G300:I300)</f>
        <v>64688</v>
      </c>
      <c r="K300" s="133">
        <v>220171</v>
      </c>
      <c r="L300" s="37">
        <v>75356</v>
      </c>
      <c r="M300" s="38">
        <v>73766</v>
      </c>
      <c r="N300" s="38">
        <v>76312</v>
      </c>
      <c r="O300" s="48">
        <f>P300-SUM(L300:N300)</f>
        <v>100340</v>
      </c>
      <c r="P300" s="133">
        <v>325774</v>
      </c>
      <c r="Q300" s="37">
        <v>75684</v>
      </c>
      <c r="R300" s="38">
        <v>81620</v>
      </c>
      <c r="S300" s="38">
        <v>80079</v>
      </c>
      <c r="T300" s="48">
        <f>U300-SUM(Q300:S300)</f>
        <v>99973</v>
      </c>
      <c r="U300" s="133">
        <v>337356</v>
      </c>
      <c r="V300" s="37">
        <v>88082</v>
      </c>
      <c r="W300" s="38">
        <v>87158</v>
      </c>
      <c r="X300" s="38">
        <v>97488</v>
      </c>
      <c r="Y300" s="48">
        <f>Z300-SUM(V300:X300)</f>
        <v>99069</v>
      </c>
      <c r="Z300" s="133">
        <v>371797</v>
      </c>
      <c r="AA300" s="37">
        <v>89446</v>
      </c>
      <c r="AB300" s="38">
        <v>100507</v>
      </c>
      <c r="AC300" s="38">
        <v>105108</v>
      </c>
      <c r="AD300" s="48">
        <f>AE300-SUM(AA300:AC300)</f>
        <v>116166</v>
      </c>
      <c r="AE300" s="133">
        <v>411227</v>
      </c>
      <c r="AF300" s="37">
        <v>96306</v>
      </c>
      <c r="AG300" s="38">
        <v>97958</v>
      </c>
      <c r="AH300" s="38">
        <v>97797</v>
      </c>
      <c r="AI300" s="48">
        <f>AJ300-SUM(AF300:AH300)</f>
        <v>111415</v>
      </c>
      <c r="AJ300" s="133">
        <v>403476</v>
      </c>
      <c r="AK300" s="37">
        <v>108743</v>
      </c>
      <c r="AL300" s="38">
        <v>113581</v>
      </c>
      <c r="AM300" s="38">
        <v>106306</v>
      </c>
      <c r="AN300" s="38">
        <v>130700</v>
      </c>
      <c r="AO300" s="104">
        <f>SUM(AK300:AN300)</f>
        <v>459330</v>
      </c>
      <c r="AP300" s="37">
        <v>115900</v>
      </c>
      <c r="AQ300" s="38">
        <v>123400</v>
      </c>
      <c r="AR300" s="38">
        <v>121176</v>
      </c>
      <c r="AS300" s="38">
        <v>122100</v>
      </c>
      <c r="AT300" s="104">
        <f>SUM(AP300:AS300)</f>
        <v>482576</v>
      </c>
      <c r="AU300" s="37">
        <v>138300</v>
      </c>
      <c r="AV300" s="38">
        <v>124000</v>
      </c>
      <c r="AW300" s="38">
        <v>122300</v>
      </c>
      <c r="AX300" s="38">
        <v>136900</v>
      </c>
      <c r="AY300" s="104">
        <f>SUM(AU300:AX300)</f>
        <v>521500</v>
      </c>
      <c r="AZ300" s="37">
        <f>64900+65100+27500</f>
        <v>157500</v>
      </c>
      <c r="BA300" s="38">
        <f>142664+17981</f>
        <v>160645</v>
      </c>
      <c r="BB300" s="38">
        <v>152533</v>
      </c>
      <c r="BC300" s="38">
        <v>173361</v>
      </c>
      <c r="BD300" s="104">
        <f t="shared" si="556"/>
        <v>644039</v>
      </c>
      <c r="BE300" s="37">
        <v>155121</v>
      </c>
      <c r="BF300" s="590">
        <v>166612</v>
      </c>
      <c r="BG300" s="590">
        <v>162091</v>
      </c>
      <c r="BH300" s="590">
        <v>185314</v>
      </c>
      <c r="BI300" s="104">
        <f>SUM(BE300:BH300)</f>
        <v>669138</v>
      </c>
      <c r="BJ300" s="37">
        <f>148740+21640</f>
        <v>170380</v>
      </c>
      <c r="BK300" s="590">
        <f>157803+23935</f>
        <v>181738</v>
      </c>
      <c r="BL300" s="589">
        <v>170946.438250785</v>
      </c>
      <c r="BM300" s="589">
        <v>178498.25692802499</v>
      </c>
      <c r="BN300" s="104">
        <f>SUM(BJ300:BM300)</f>
        <v>701562.69517881004</v>
      </c>
      <c r="BO300" s="589">
        <v>175227.99942541998</v>
      </c>
      <c r="BP300" s="589">
        <v>187096.56835403398</v>
      </c>
      <c r="BQ300" s="589">
        <v>179585.628072522</v>
      </c>
      <c r="BR300" s="589">
        <v>175924.65543713901</v>
      </c>
      <c r="BS300" s="104">
        <f>SUM(BO300:BR300)</f>
        <v>717834.85128911491</v>
      </c>
      <c r="BT300" s="589">
        <v>178347.48135278301</v>
      </c>
      <c r="BU300" s="589">
        <v>190318.105854714</v>
      </c>
      <c r="BV300" s="589">
        <v>182728.41568239901</v>
      </c>
      <c r="BW300" s="589">
        <v>178973.83682673</v>
      </c>
      <c r="BX300" s="104">
        <f>SUM(BT300:BW300)</f>
        <v>730367.8397166261</v>
      </c>
      <c r="BY300" s="589">
        <v>182285.88018874501</v>
      </c>
      <c r="BZ300" s="589">
        <v>194485.258076225</v>
      </c>
      <c r="CA300" s="589">
        <v>186749.935856128</v>
      </c>
      <c r="CB300" s="589">
        <v>182918.46075922399</v>
      </c>
      <c r="CC300" s="104">
        <f>SUM(BY300:CB300)</f>
        <v>746439.53488032205</v>
      </c>
      <c r="CD300" s="589">
        <v>186306.899754343</v>
      </c>
      <c r="CE300" s="589">
        <v>198748.86530355702</v>
      </c>
      <c r="CF300" s="589">
        <v>190859.84462817002</v>
      </c>
      <c r="CG300" s="589">
        <v>186951.43776963599</v>
      </c>
      <c r="CH300" s="104">
        <f>SUM(CD300:CG300)</f>
        <v>762867.04745570594</v>
      </c>
      <c r="CI300" s="589">
        <v>190417.09516294699</v>
      </c>
      <c r="CJ300" s="589">
        <v>203107.73714740502</v>
      </c>
      <c r="CK300" s="589">
        <v>195061.09452723601</v>
      </c>
      <c r="CL300" s="589">
        <v>191074.462371728</v>
      </c>
      <c r="CM300" s="104">
        <f>SUM(CI300:CL300)</f>
        <v>779660.389209316</v>
      </c>
      <c r="CN300" s="589">
        <v>194619.038635228</v>
      </c>
      <c r="CO300" s="589">
        <v>207563.478345974</v>
      </c>
      <c r="CP300" s="589">
        <v>199355.92602758299</v>
      </c>
      <c r="CQ300" s="589">
        <v>195289.55011605</v>
      </c>
      <c r="CR300" s="104">
        <f>SUM(CN300:CQ300)</f>
        <v>796827.99312483496</v>
      </c>
      <c r="CS300" s="589">
        <v>194619.038635228</v>
      </c>
      <c r="CT300" s="589">
        <v>207563.478345974</v>
      </c>
      <c r="CU300" s="589">
        <v>199355.92602758299</v>
      </c>
      <c r="CV300" s="589">
        <v>195289.55011605</v>
      </c>
      <c r="CW300" s="104">
        <f>SUM(CS300:CV300)</f>
        <v>796827.99312483496</v>
      </c>
      <c r="CX300" s="589">
        <v>194619.038635228</v>
      </c>
      <c r="CY300" s="589">
        <v>207563.478345974</v>
      </c>
      <c r="CZ300" s="589">
        <v>199355.92602758299</v>
      </c>
      <c r="DA300" s="589">
        <v>195289.55011605</v>
      </c>
      <c r="DB300" s="104">
        <f>SUM(CX300:DA300)</f>
        <v>796827.99312483496</v>
      </c>
      <c r="DC300" s="48"/>
      <c r="DD300" s="48"/>
      <c r="DE300" s="48"/>
      <c r="DF300" s="48"/>
      <c r="DG300" s="48"/>
      <c r="DH300" s="48"/>
      <c r="DI300" s="48"/>
      <c r="DJ300" s="48"/>
      <c r="DK300" s="99"/>
      <c r="DL300" s="99"/>
      <c r="DM300" s="61"/>
    </row>
    <row r="301" spans="1:117" outlineLevel="1">
      <c r="A301" s="113" t="s">
        <v>651</v>
      </c>
      <c r="B301" s="321"/>
      <c r="C301" s="322"/>
      <c r="D301" s="322"/>
      <c r="E301" s="322"/>
      <c r="F301" s="323"/>
      <c r="G301" s="302">
        <f t="shared" ref="G301:AJ301" si="568">G300/B300-1</f>
        <v>-0.15341051858437871</v>
      </c>
      <c r="H301" s="149">
        <f t="shared" si="568"/>
        <v>-5.9116572567253778E-3</v>
      </c>
      <c r="I301" s="149">
        <f t="shared" si="568"/>
        <v>0.42144134173335601</v>
      </c>
      <c r="J301" s="149">
        <f t="shared" si="568"/>
        <v>0.95550181378476418</v>
      </c>
      <c r="K301" s="150">
        <f t="shared" si="568"/>
        <v>0.24414294271215931</v>
      </c>
      <c r="L301" s="302">
        <f t="shared" si="568"/>
        <v>0.7204566210045662</v>
      </c>
      <c r="M301" s="149">
        <f t="shared" si="568"/>
        <v>0.64296850639226699</v>
      </c>
      <c r="N301" s="149">
        <f t="shared" si="568"/>
        <v>0.14265179306730547</v>
      </c>
      <c r="O301" s="149">
        <f t="shared" si="568"/>
        <v>0.55113776898342826</v>
      </c>
      <c r="P301" s="150">
        <f t="shared" si="568"/>
        <v>0.47964082463176338</v>
      </c>
      <c r="Q301" s="302">
        <f t="shared" si="568"/>
        <v>4.3526726471680988E-3</v>
      </c>
      <c r="R301" s="149">
        <f t="shared" si="568"/>
        <v>0.10647181628392488</v>
      </c>
      <c r="S301" s="149">
        <f t="shared" si="568"/>
        <v>4.9363140790439353E-2</v>
      </c>
      <c r="T301" s="149">
        <f t="shared" si="568"/>
        <v>-3.6575642814431486E-3</v>
      </c>
      <c r="U301" s="150">
        <f t="shared" si="568"/>
        <v>3.5552254016588236E-2</v>
      </c>
      <c r="V301" s="302">
        <f t="shared" si="568"/>
        <v>0.16381269488927641</v>
      </c>
      <c r="W301" s="149">
        <f t="shared" si="568"/>
        <v>6.7851016907620743E-2</v>
      </c>
      <c r="X301" s="149">
        <f t="shared" si="568"/>
        <v>0.21739781965309257</v>
      </c>
      <c r="Y301" s="149">
        <f t="shared" si="568"/>
        <v>-9.0424414591939728E-3</v>
      </c>
      <c r="Z301" s="150">
        <f t="shared" si="568"/>
        <v>0.10209096621966118</v>
      </c>
      <c r="AA301" s="302">
        <f t="shared" si="568"/>
        <v>1.5485570264072157E-2</v>
      </c>
      <c r="AB301" s="149">
        <f t="shared" si="568"/>
        <v>0.15315863145092812</v>
      </c>
      <c r="AC301" s="149">
        <f t="shared" si="568"/>
        <v>7.8163466272771931E-2</v>
      </c>
      <c r="AD301" s="149">
        <f>AD300/Y300-1</f>
        <v>0.17257668897435119</v>
      </c>
      <c r="AE301" s="150">
        <f>AE300/Z300-1</f>
        <v>0.1060524963891587</v>
      </c>
      <c r="AF301" s="355">
        <f>AF300/AA300-1</f>
        <v>7.6694318359680658E-2</v>
      </c>
      <c r="AG301" s="149">
        <f t="shared" si="568"/>
        <v>-2.5361417612703607E-2</v>
      </c>
      <c r="AH301" s="149">
        <f t="shared" si="568"/>
        <v>-6.9557027057883358E-2</v>
      </c>
      <c r="AI301" s="149">
        <f t="shared" si="568"/>
        <v>-4.0898369574574267E-2</v>
      </c>
      <c r="AJ301" s="150">
        <f t="shared" si="568"/>
        <v>-1.8848470552760399E-2</v>
      </c>
      <c r="AK301" s="355">
        <f t="shared" ref="AK301:BP301" si="569">AK300/AF300-1</f>
        <v>0.12914044815483972</v>
      </c>
      <c r="AL301" s="149">
        <f t="shared" si="569"/>
        <v>0.15948671879785215</v>
      </c>
      <c r="AM301" s="149">
        <f t="shared" si="569"/>
        <v>8.7006758898534819E-2</v>
      </c>
      <c r="AN301" s="149">
        <f t="shared" si="569"/>
        <v>0.1730915944890723</v>
      </c>
      <c r="AO301" s="150">
        <f t="shared" si="569"/>
        <v>0.13843202569669577</v>
      </c>
      <c r="AP301" s="355">
        <f t="shared" si="569"/>
        <v>6.5815730667721173E-2</v>
      </c>
      <c r="AQ301" s="361">
        <f t="shared" si="569"/>
        <v>8.6449318107782114E-2</v>
      </c>
      <c r="AR301" s="361">
        <f t="shared" si="569"/>
        <v>0.13987921660113267</v>
      </c>
      <c r="AS301" s="149">
        <f t="shared" si="569"/>
        <v>-6.5799540933435319E-2</v>
      </c>
      <c r="AT301" s="150">
        <f t="shared" si="569"/>
        <v>5.0608494981821295E-2</v>
      </c>
      <c r="AU301" s="355">
        <f t="shared" si="569"/>
        <v>0.19327006039689398</v>
      </c>
      <c r="AV301" s="361">
        <f t="shared" si="569"/>
        <v>4.8622366288493257E-3</v>
      </c>
      <c r="AW301" s="361">
        <f t="shared" si="569"/>
        <v>9.275764177725021E-3</v>
      </c>
      <c r="AX301" s="149">
        <f>AX300/AS300-1</f>
        <v>0.1212121212121211</v>
      </c>
      <c r="AY301" s="150">
        <f>AY300/AT300-1</f>
        <v>8.0658797785219338E-2</v>
      </c>
      <c r="AZ301" s="355">
        <f t="shared" si="569"/>
        <v>0.13882863340563989</v>
      </c>
      <c r="BA301" s="361">
        <f t="shared" si="569"/>
        <v>0.29552419354838699</v>
      </c>
      <c r="BB301" s="361">
        <f t="shared" si="569"/>
        <v>0.24720359771054778</v>
      </c>
      <c r="BC301" s="361">
        <f t="shared" si="569"/>
        <v>0.26633308984660342</v>
      </c>
      <c r="BD301" s="150">
        <f t="shared" si="569"/>
        <v>0.23497411313518701</v>
      </c>
      <c r="BE301" s="355">
        <f t="shared" si="569"/>
        <v>-1.5104761904761954E-2</v>
      </c>
      <c r="BF301" s="540">
        <f t="shared" si="569"/>
        <v>3.7144013196800385E-2</v>
      </c>
      <c r="BG301" s="149">
        <f t="shared" si="569"/>
        <v>6.2661850222574866E-2</v>
      </c>
      <c r="BH301" s="540">
        <f t="shared" si="569"/>
        <v>6.8948610125691534E-2</v>
      </c>
      <c r="BI301" s="534">
        <f t="shared" si="569"/>
        <v>3.8971242424759911E-2</v>
      </c>
      <c r="BJ301" s="355">
        <f t="shared" si="569"/>
        <v>9.8368370497869506E-2</v>
      </c>
      <c r="BK301" s="540">
        <f t="shared" si="569"/>
        <v>9.0785777735097106E-2</v>
      </c>
      <c r="BL301" s="149">
        <f t="shared" si="569"/>
        <v>5.4632510446508409E-2</v>
      </c>
      <c r="BM301" s="149">
        <f t="shared" si="569"/>
        <v>-3.6779428817979243E-2</v>
      </c>
      <c r="BN301" s="150">
        <f t="shared" si="569"/>
        <v>4.845741114510016E-2</v>
      </c>
      <c r="BO301" s="149">
        <f t="shared" si="569"/>
        <v>2.8454040529522162E-2</v>
      </c>
      <c r="BP301" s="149">
        <f t="shared" si="569"/>
        <v>2.948512888902699E-2</v>
      </c>
      <c r="BQ301" s="149">
        <f t="shared" ref="BQ301:CM301" si="570">BQ300/BL300-1</f>
        <v>5.0537407565421022E-2</v>
      </c>
      <c r="BR301" s="149">
        <f t="shared" si="570"/>
        <v>-1.441807631725911E-2</v>
      </c>
      <c r="BS301" s="150">
        <f t="shared" si="570"/>
        <v>2.3194158158819311E-2</v>
      </c>
      <c r="BT301" s="149">
        <f t="shared" si="570"/>
        <v>1.7802417065719833E-2</v>
      </c>
      <c r="BU301" s="149">
        <f t="shared" si="570"/>
        <v>1.7218581447116854E-2</v>
      </c>
      <c r="BV301" s="149">
        <f t="shared" si="570"/>
        <v>1.7500217827051578E-2</v>
      </c>
      <c r="BW301" s="149">
        <f t="shared" si="570"/>
        <v>1.733231412057834E-2</v>
      </c>
      <c r="BX301" s="150">
        <f t="shared" si="570"/>
        <v>1.7459431518271895E-2</v>
      </c>
      <c r="BY301" s="149">
        <f t="shared" si="570"/>
        <v>2.20827275276827E-2</v>
      </c>
      <c r="BZ301" s="149">
        <f t="shared" si="570"/>
        <v>2.1895721391280265E-2</v>
      </c>
      <c r="CA301" s="149">
        <f t="shared" si="570"/>
        <v>2.2008181698016882E-2</v>
      </c>
      <c r="CB301" s="149">
        <f t="shared" si="570"/>
        <v>2.2040226674655772E-2</v>
      </c>
      <c r="CC301" s="150">
        <f t="shared" si="570"/>
        <v>2.2004932706143787E-2</v>
      </c>
      <c r="CD301" s="149">
        <f t="shared" si="570"/>
        <v>2.2058864687898527E-2</v>
      </c>
      <c r="CE301" s="149">
        <f t="shared" si="570"/>
        <v>2.1922521375172588E-2</v>
      </c>
      <c r="CF301" s="149">
        <f t="shared" si="570"/>
        <v>2.2007551184425989E-2</v>
      </c>
      <c r="CG301" s="149">
        <f t="shared" si="570"/>
        <v>2.2047949636535558E-2</v>
      </c>
      <c r="CH301" s="150">
        <f t="shared" si="570"/>
        <v>2.2007827570410976E-2</v>
      </c>
      <c r="CI301" s="149">
        <f t="shared" si="570"/>
        <v>2.2061423457872653E-2</v>
      </c>
      <c r="CJ301" s="149">
        <f t="shared" si="570"/>
        <v>2.1931555871730568E-2</v>
      </c>
      <c r="CK301" s="149">
        <f t="shared" si="570"/>
        <v>2.2012225291552445E-2</v>
      </c>
      <c r="CL301" s="149">
        <f t="shared" si="570"/>
        <v>2.2053987127782726E-2</v>
      </c>
      <c r="CM301" s="150">
        <f t="shared" si="570"/>
        <v>2.2013458058804281E-2</v>
      </c>
      <c r="CN301" s="149">
        <f t="shared" ref="CN301:DB301" si="571">CN300/CI300-1</f>
        <v>2.2067049540301253E-2</v>
      </c>
      <c r="CO301" s="149">
        <f t="shared" si="571"/>
        <v>2.1937821085246112E-2</v>
      </c>
      <c r="CP301" s="149">
        <f t="shared" si="571"/>
        <v>2.2017878607501151E-2</v>
      </c>
      <c r="CQ301" s="149">
        <f t="shared" si="571"/>
        <v>2.2059922042966251E-2</v>
      </c>
      <c r="CR301" s="150">
        <f t="shared" si="571"/>
        <v>2.2019335794305706E-2</v>
      </c>
      <c r="CS301" s="149">
        <f t="shared" si="571"/>
        <v>0</v>
      </c>
      <c r="CT301" s="149">
        <f t="shared" si="571"/>
        <v>0</v>
      </c>
      <c r="CU301" s="149">
        <f t="shared" si="571"/>
        <v>0</v>
      </c>
      <c r="CV301" s="149">
        <f t="shared" si="571"/>
        <v>0</v>
      </c>
      <c r="CW301" s="150">
        <f t="shared" si="571"/>
        <v>0</v>
      </c>
      <c r="CX301" s="149">
        <f t="shared" si="571"/>
        <v>0</v>
      </c>
      <c r="CY301" s="149">
        <f t="shared" si="571"/>
        <v>0</v>
      </c>
      <c r="CZ301" s="149">
        <f t="shared" si="571"/>
        <v>0</v>
      </c>
      <c r="DA301" s="149">
        <f t="shared" si="571"/>
        <v>0</v>
      </c>
      <c r="DB301" s="150">
        <f t="shared" si="571"/>
        <v>0</v>
      </c>
      <c r="DC301" s="149"/>
      <c r="DD301" s="149"/>
      <c r="DE301" s="149"/>
      <c r="DF301" s="149"/>
      <c r="DG301" s="149"/>
      <c r="DH301" s="149"/>
      <c r="DI301" s="149"/>
      <c r="DJ301" s="149"/>
      <c r="DK301" s="400"/>
      <c r="DL301" s="400"/>
      <c r="DM301" s="108"/>
    </row>
    <row r="302" spans="1:117" outlineLevel="1">
      <c r="A302" s="34" t="s">
        <v>762</v>
      </c>
      <c r="B302" s="94">
        <f>B258+B272+B286</f>
        <v>18778</v>
      </c>
      <c r="C302" s="48">
        <f>C258+C272+C286</f>
        <v>18598</v>
      </c>
      <c r="D302" s="48">
        <f>D258+D272+D286</f>
        <v>12686</v>
      </c>
      <c r="E302" s="48">
        <f>F302-SUM(B302:D302)</f>
        <v>150</v>
      </c>
      <c r="F302" s="104">
        <f>F258+F272+F286</f>
        <v>50212</v>
      </c>
      <c r="G302" s="94">
        <f>25692-H302</f>
        <v>12714</v>
      </c>
      <c r="H302" s="38">
        <v>12978</v>
      </c>
      <c r="I302" s="38">
        <v>21175</v>
      </c>
      <c r="J302" s="48">
        <f>K302-SUM(G302:I302)</f>
        <v>20544</v>
      </c>
      <c r="K302" s="133">
        <v>67411</v>
      </c>
      <c r="L302" s="37">
        <v>27470</v>
      </c>
      <c r="M302" s="38">
        <v>39282</v>
      </c>
      <c r="N302" s="38">
        <v>27517</v>
      </c>
      <c r="O302" s="48">
        <f>P302-SUM(L302:N302)</f>
        <v>27776</v>
      </c>
      <c r="P302" s="133">
        <v>122045</v>
      </c>
      <c r="Q302" s="37">
        <v>27513</v>
      </c>
      <c r="R302" s="38">
        <v>28013</v>
      </c>
      <c r="S302" s="38">
        <v>28800</v>
      </c>
      <c r="T302" s="48">
        <f>U302-SUM(Q302:S302)</f>
        <v>29378</v>
      </c>
      <c r="U302" s="133">
        <v>113704</v>
      </c>
      <c r="V302" s="37">
        <v>29942</v>
      </c>
      <c r="W302" s="38">
        <v>30033</v>
      </c>
      <c r="X302" s="38">
        <v>30408</v>
      </c>
      <c r="Y302" s="48">
        <f>Z302-SUM(V302:X302)</f>
        <v>34382</v>
      </c>
      <c r="Z302" s="133">
        <v>124765</v>
      </c>
      <c r="AA302" s="37">
        <v>39940</v>
      </c>
      <c r="AB302" s="38">
        <v>39953</v>
      </c>
      <c r="AC302" s="38">
        <v>41857</v>
      </c>
      <c r="AD302" s="48">
        <f>AE302-SUM(AA302:AC302)</f>
        <v>42386</v>
      </c>
      <c r="AE302" s="133">
        <v>164136</v>
      </c>
      <c r="AF302" s="37">
        <v>43871</v>
      </c>
      <c r="AG302" s="369">
        <v>43987</v>
      </c>
      <c r="AH302" s="369">
        <v>43823</v>
      </c>
      <c r="AI302" s="48">
        <f>AJ302-SUM(AF302:AH302)</f>
        <v>42027</v>
      </c>
      <c r="AJ302" s="133">
        <v>173708</v>
      </c>
      <c r="AK302" s="37">
        <v>42730</v>
      </c>
      <c r="AL302" s="38">
        <v>43714</v>
      </c>
      <c r="AM302" s="369">
        <v>45221</v>
      </c>
      <c r="AN302" s="369">
        <v>45900</v>
      </c>
      <c r="AO302" s="104">
        <f>SUM(AK302:AN302)</f>
        <v>177565</v>
      </c>
      <c r="AP302" s="37">
        <v>49300</v>
      </c>
      <c r="AQ302" s="38">
        <v>51000</v>
      </c>
      <c r="AR302" s="38">
        <v>49754</v>
      </c>
      <c r="AS302" s="369">
        <v>53100</v>
      </c>
      <c r="AT302" s="104">
        <f>SUM(AP302:AS302)</f>
        <v>203154</v>
      </c>
      <c r="AU302" s="37">
        <v>54700</v>
      </c>
      <c r="AV302" s="38">
        <v>58200</v>
      </c>
      <c r="AW302" s="38">
        <v>61200</v>
      </c>
      <c r="AX302" s="369">
        <v>62700</v>
      </c>
      <c r="AY302" s="104">
        <f>SUM(AU302:AX302)</f>
        <v>236800</v>
      </c>
      <c r="AZ302" s="37">
        <f>28800+27100+10800</f>
        <v>66700</v>
      </c>
      <c r="BA302" s="38">
        <v>71447</v>
      </c>
      <c r="BB302" s="38">
        <v>73901</v>
      </c>
      <c r="BC302" s="38">
        <v>79153</v>
      </c>
      <c r="BD302" s="104">
        <f t="shared" si="556"/>
        <v>291201</v>
      </c>
      <c r="BE302" s="37">
        <v>85847</v>
      </c>
      <c r="BF302" s="590">
        <v>86199</v>
      </c>
      <c r="BG302" s="590">
        <v>87517</v>
      </c>
      <c r="BH302" s="590">
        <v>92633</v>
      </c>
      <c r="BI302" s="104">
        <f>SUM(BE302:BH302)</f>
        <v>352196</v>
      </c>
      <c r="BJ302" s="37">
        <v>93736</v>
      </c>
      <c r="BK302" s="590">
        <v>98507</v>
      </c>
      <c r="BL302" s="589">
        <v>99138.5</v>
      </c>
      <c r="BM302" s="589">
        <v>100451</v>
      </c>
      <c r="BN302" s="104">
        <f>SUM(BJ302:BM302)</f>
        <v>391832.5</v>
      </c>
      <c r="BO302" s="589">
        <v>99668.5</v>
      </c>
      <c r="BP302" s="589">
        <v>103775</v>
      </c>
      <c r="BQ302" s="589">
        <v>104440.58499999999</v>
      </c>
      <c r="BR302" s="589">
        <v>105803.61</v>
      </c>
      <c r="BS302" s="104">
        <f>SUM(BO302:BR302)</f>
        <v>413687.69499999995</v>
      </c>
      <c r="BT302" s="589">
        <v>105021.8</v>
      </c>
      <c r="BU302" s="589">
        <v>109522.63</v>
      </c>
      <c r="BV302" s="589">
        <v>110217.60485</v>
      </c>
      <c r="BW302" s="589">
        <v>111635.36010000001</v>
      </c>
      <c r="BX302" s="104">
        <f>SUM(BT302:BW302)</f>
        <v>436397.39494999999</v>
      </c>
      <c r="BY302" s="589">
        <v>109558.87405</v>
      </c>
      <c r="BZ302" s="589">
        <v>114385.8219</v>
      </c>
      <c r="CA302" s="589">
        <v>115105.9109285</v>
      </c>
      <c r="CB302" s="589">
        <v>116570.61043100001</v>
      </c>
      <c r="CC302" s="104">
        <f>SUM(BY302:CB302)</f>
        <v>455621.21730949997</v>
      </c>
      <c r="CD302" s="589">
        <v>114396.42418024999</v>
      </c>
      <c r="CE302" s="589">
        <v>119573.71983100001</v>
      </c>
      <c r="CF302" s="589">
        <v>120320.510762135</v>
      </c>
      <c r="CG302" s="589">
        <v>121835.05285116</v>
      </c>
      <c r="CH302" s="104">
        <f>SUM(CD302:CG302)</f>
        <v>476125.70762454503</v>
      </c>
      <c r="CI302" s="589">
        <v>119556.459874754</v>
      </c>
      <c r="CJ302" s="589">
        <v>125110.14594555</v>
      </c>
      <c r="CK302" s="589">
        <v>125885.34210937501</v>
      </c>
      <c r="CL302" s="589">
        <v>127452.835696932</v>
      </c>
      <c r="CM302" s="104">
        <f>SUM(CI302:CL302)</f>
        <v>498004.783626611</v>
      </c>
      <c r="CN302" s="589">
        <v>125062.63350304999</v>
      </c>
      <c r="CO302" s="589">
        <v>131020.70114032</v>
      </c>
      <c r="CP302" s="589">
        <v>131826.130098219</v>
      </c>
      <c r="CQ302" s="589">
        <v>133449.91038823299</v>
      </c>
      <c r="CR302" s="104">
        <f>SUM(CN302:CQ302)</f>
        <v>521359.37512982206</v>
      </c>
      <c r="CS302" s="589">
        <v>125062.63350304999</v>
      </c>
      <c r="CT302" s="589">
        <v>131020.70114032</v>
      </c>
      <c r="CU302" s="589">
        <v>131826.130098219</v>
      </c>
      <c r="CV302" s="589">
        <v>133449.91038823299</v>
      </c>
      <c r="CW302" s="104">
        <f>SUM(CS302:CV302)</f>
        <v>521359.37512982206</v>
      </c>
      <c r="CX302" s="589">
        <v>125062.63350304999</v>
      </c>
      <c r="CY302" s="589">
        <v>131020.70114032</v>
      </c>
      <c r="CZ302" s="589">
        <v>131826.130098219</v>
      </c>
      <c r="DA302" s="589">
        <v>133449.91038823299</v>
      </c>
      <c r="DB302" s="104">
        <f>SUM(CX302:DA302)</f>
        <v>521359.37512982206</v>
      </c>
      <c r="DC302" s="48"/>
      <c r="DD302" s="48"/>
      <c r="DE302" s="48"/>
      <c r="DF302" s="48"/>
      <c r="DG302" s="48"/>
      <c r="DH302" s="48"/>
      <c r="DI302" s="48"/>
      <c r="DJ302" s="48"/>
      <c r="DK302" s="99"/>
      <c r="DL302" s="99"/>
      <c r="DM302" s="9"/>
    </row>
    <row r="303" spans="1:117" outlineLevel="1">
      <c r="A303" s="113" t="s">
        <v>651</v>
      </c>
      <c r="B303" s="321"/>
      <c r="C303" s="322"/>
      <c r="D303" s="322"/>
      <c r="E303" s="322"/>
      <c r="F303" s="323"/>
      <c r="G303" s="302">
        <f t="shared" ref="G303:AJ303" si="572">G302/B302-1</f>
        <v>-0.32293108957290451</v>
      </c>
      <c r="H303" s="149">
        <f t="shared" si="572"/>
        <v>-0.30218303043337991</v>
      </c>
      <c r="I303" s="149">
        <f t="shared" si="572"/>
        <v>0.66916285669241682</v>
      </c>
      <c r="J303" s="149">
        <f t="shared" si="572"/>
        <v>135.96</v>
      </c>
      <c r="K303" s="150">
        <f t="shared" si="572"/>
        <v>0.34252768262566713</v>
      </c>
      <c r="L303" s="302">
        <f t="shared" si="572"/>
        <v>1.1606103507943999</v>
      </c>
      <c r="M303" s="149">
        <f t="shared" si="572"/>
        <v>2.026814609338881</v>
      </c>
      <c r="N303" s="149">
        <f t="shared" si="572"/>
        <v>0.29950413223140493</v>
      </c>
      <c r="O303" s="149">
        <f t="shared" si="572"/>
        <v>0.35202492211837999</v>
      </c>
      <c r="P303" s="150">
        <f t="shared" si="572"/>
        <v>0.81046120069424865</v>
      </c>
      <c r="Q303" s="302">
        <f t="shared" si="572"/>
        <v>1.5653440116489836E-3</v>
      </c>
      <c r="R303" s="149">
        <f t="shared" si="572"/>
        <v>-0.28687439539738302</v>
      </c>
      <c r="S303" s="149">
        <f t="shared" si="572"/>
        <v>4.6625722280771997E-2</v>
      </c>
      <c r="T303" s="149">
        <f t="shared" si="572"/>
        <v>5.7675691244239546E-2</v>
      </c>
      <c r="U303" s="150">
        <f t="shared" si="572"/>
        <v>-6.8343643737965531E-2</v>
      </c>
      <c r="V303" s="302">
        <f t="shared" si="572"/>
        <v>8.8285537745792952E-2</v>
      </c>
      <c r="W303" s="149">
        <f t="shared" si="572"/>
        <v>7.2109377788883711E-2</v>
      </c>
      <c r="X303" s="149">
        <f t="shared" si="572"/>
        <v>5.5833333333333401E-2</v>
      </c>
      <c r="Y303" s="149">
        <f t="shared" si="572"/>
        <v>0.17033154060861877</v>
      </c>
      <c r="Z303" s="150">
        <f t="shared" si="572"/>
        <v>9.7278899598958635E-2</v>
      </c>
      <c r="AA303" s="302">
        <f t="shared" si="572"/>
        <v>0.3339122303119364</v>
      </c>
      <c r="AB303" s="149">
        <f t="shared" si="572"/>
        <v>0.33030333300036618</v>
      </c>
      <c r="AC303" s="149">
        <f t="shared" si="572"/>
        <v>0.37651275980005261</v>
      </c>
      <c r="AD303" s="149">
        <f>AD302/Y302-1</f>
        <v>0.23279623058577159</v>
      </c>
      <c r="AE303" s="150">
        <f>AE302/Z302-1</f>
        <v>0.31556125515970024</v>
      </c>
      <c r="AF303" s="355">
        <f>AF302/AA302-1</f>
        <v>9.842263395092643E-2</v>
      </c>
      <c r="AG303" s="149">
        <f t="shared" si="572"/>
        <v>0.10096863814982604</v>
      </c>
      <c r="AH303" s="149">
        <f t="shared" si="572"/>
        <v>4.6969443581718728E-2</v>
      </c>
      <c r="AI303" s="149">
        <f t="shared" si="572"/>
        <v>-8.4697777568064625E-3</v>
      </c>
      <c r="AJ303" s="150">
        <f t="shared" si="572"/>
        <v>5.8317492810839866E-2</v>
      </c>
      <c r="AK303" s="355">
        <f t="shared" ref="AK303:BP303" si="573">AK302/AF302-1</f>
        <v>-2.6008069111713938E-2</v>
      </c>
      <c r="AL303" s="149">
        <f t="shared" si="573"/>
        <v>-6.2063791574783478E-3</v>
      </c>
      <c r="AM303" s="149">
        <f t="shared" si="573"/>
        <v>3.1901056522830373E-2</v>
      </c>
      <c r="AN303" s="149">
        <f t="shared" si="573"/>
        <v>9.2155043186523011E-2</v>
      </c>
      <c r="AO303" s="150">
        <f t="shared" si="573"/>
        <v>2.220392843162089E-2</v>
      </c>
      <c r="AP303" s="355">
        <f t="shared" si="573"/>
        <v>0.15375614322490061</v>
      </c>
      <c r="AQ303" s="361">
        <f t="shared" si="573"/>
        <v>0.16667429198883643</v>
      </c>
      <c r="AR303" s="361">
        <f t="shared" si="573"/>
        <v>0.10024103845558474</v>
      </c>
      <c r="AS303" s="149">
        <f t="shared" si="573"/>
        <v>0.15686274509803932</v>
      </c>
      <c r="AT303" s="150">
        <f t="shared" si="573"/>
        <v>0.14411060738321169</v>
      </c>
      <c r="AU303" s="355">
        <f t="shared" si="573"/>
        <v>0.1095334685598377</v>
      </c>
      <c r="AV303" s="361">
        <f t="shared" si="573"/>
        <v>0.14117647058823524</v>
      </c>
      <c r="AW303" s="361">
        <f t="shared" si="573"/>
        <v>0.23005185512722592</v>
      </c>
      <c r="AX303" s="149">
        <f>AX302/AS302-1</f>
        <v>0.18079096045197751</v>
      </c>
      <c r="AY303" s="150">
        <f>AY302/AT302-1</f>
        <v>0.16561820097069213</v>
      </c>
      <c r="AZ303" s="355">
        <f t="shared" si="573"/>
        <v>0.21937842778793426</v>
      </c>
      <c r="BA303" s="361">
        <f t="shared" si="573"/>
        <v>0.22761168384879715</v>
      </c>
      <c r="BB303" s="361">
        <f t="shared" si="573"/>
        <v>0.20753267973856215</v>
      </c>
      <c r="BC303" s="361">
        <f t="shared" si="573"/>
        <v>0.26240829346092509</v>
      </c>
      <c r="BD303" s="150">
        <f t="shared" si="573"/>
        <v>0.22973395270270269</v>
      </c>
      <c r="BE303" s="355">
        <f t="shared" si="573"/>
        <v>0.28706146926536724</v>
      </c>
      <c r="BF303" s="540">
        <f t="shared" si="573"/>
        <v>0.20647472951978396</v>
      </c>
      <c r="BG303" s="149">
        <f t="shared" si="573"/>
        <v>0.1842464919283906</v>
      </c>
      <c r="BH303" s="540">
        <f t="shared" si="573"/>
        <v>0.17030308390079973</v>
      </c>
      <c r="BI303" s="534">
        <f t="shared" si="573"/>
        <v>0.20946013234844663</v>
      </c>
      <c r="BJ303" s="355">
        <f t="shared" si="573"/>
        <v>9.1896047619602239E-2</v>
      </c>
      <c r="BK303" s="540">
        <f t="shared" si="573"/>
        <v>0.14278587918653352</v>
      </c>
      <c r="BL303" s="149">
        <f t="shared" si="573"/>
        <v>0.13279134339614007</v>
      </c>
      <c r="BM303" s="149">
        <f t="shared" si="573"/>
        <v>8.439756890093153E-2</v>
      </c>
      <c r="BN303" s="150">
        <f t="shared" si="573"/>
        <v>0.11254102829106527</v>
      </c>
      <c r="BO303" s="149">
        <f t="shared" si="573"/>
        <v>6.3289451224716187E-2</v>
      </c>
      <c r="BP303" s="149">
        <f t="shared" si="573"/>
        <v>5.3478433004761072E-2</v>
      </c>
      <c r="BQ303" s="149">
        <f t="shared" ref="BQ303:CM303" si="574">BQ302/BL302-1</f>
        <v>5.3481593931721694E-2</v>
      </c>
      <c r="BR303" s="149">
        <f t="shared" si="574"/>
        <v>5.3285781127116794E-2</v>
      </c>
      <c r="BS303" s="150">
        <f t="shared" si="574"/>
        <v>5.5776881703278658E-2</v>
      </c>
      <c r="BT303" s="149">
        <f t="shared" si="574"/>
        <v>5.3711052137837001E-2</v>
      </c>
      <c r="BU303" s="149">
        <f t="shared" si="574"/>
        <v>5.5385497470489042E-2</v>
      </c>
      <c r="BV303" s="149">
        <f t="shared" si="574"/>
        <v>5.5313936148481124E-2</v>
      </c>
      <c r="BW303" s="149">
        <f t="shared" si="574"/>
        <v>5.5118630640296651E-2</v>
      </c>
      <c r="BX303" s="150">
        <f t="shared" si="574"/>
        <v>5.4895758864667243E-2</v>
      </c>
      <c r="BY303" s="149">
        <f t="shared" si="574"/>
        <v>4.3201259643235845E-2</v>
      </c>
      <c r="BZ303" s="149">
        <f t="shared" si="574"/>
        <v>4.440353468502356E-2</v>
      </c>
      <c r="CA303" s="149">
        <f t="shared" si="574"/>
        <v>4.4351409061671232E-2</v>
      </c>
      <c r="CB303" s="149">
        <f t="shared" si="574"/>
        <v>4.4208665843681993E-2</v>
      </c>
      <c r="CC303" s="150">
        <f t="shared" si="574"/>
        <v>4.4051184956552136E-2</v>
      </c>
      <c r="CD303" s="149">
        <f t="shared" si="574"/>
        <v>4.4154799619812168E-2</v>
      </c>
      <c r="CE303" s="149">
        <f t="shared" si="574"/>
        <v>4.5354379107713561E-2</v>
      </c>
      <c r="CF303" s="149">
        <f t="shared" si="574"/>
        <v>4.5302624266395419E-2</v>
      </c>
      <c r="CG303" s="149">
        <f t="shared" si="574"/>
        <v>4.5160974972127343E-2</v>
      </c>
      <c r="CH303" s="150">
        <f t="shared" si="574"/>
        <v>4.5003370203272386E-2</v>
      </c>
      <c r="CI303" s="149">
        <f t="shared" si="574"/>
        <v>4.5106617024790463E-2</v>
      </c>
      <c r="CJ303" s="149">
        <f t="shared" si="574"/>
        <v>4.6301362225536824E-2</v>
      </c>
      <c r="CK303" s="149">
        <f t="shared" si="574"/>
        <v>4.625006419928912E-2</v>
      </c>
      <c r="CL303" s="149">
        <f t="shared" si="574"/>
        <v>4.610974193637829E-2</v>
      </c>
      <c r="CM303" s="150">
        <f t="shared" si="574"/>
        <v>4.5952309761267962E-2</v>
      </c>
      <c r="CN303" s="149">
        <f t="shared" ref="CN303:DB303" si="575">CN302/CI302-1</f>
        <v>4.6055007266559977E-2</v>
      </c>
      <c r="CO303" s="149">
        <f t="shared" si="575"/>
        <v>4.72428127239366E-2</v>
      </c>
      <c r="CP303" s="149">
        <f t="shared" si="575"/>
        <v>4.719205500257817E-2</v>
      </c>
      <c r="CQ303" s="149">
        <f t="shared" si="575"/>
        <v>4.7053285699828029E-2</v>
      </c>
      <c r="CR303" s="150">
        <f t="shared" si="575"/>
        <v>4.6896319615920889E-2</v>
      </c>
      <c r="CS303" s="149">
        <f t="shared" si="575"/>
        <v>0</v>
      </c>
      <c r="CT303" s="149">
        <f t="shared" si="575"/>
        <v>0</v>
      </c>
      <c r="CU303" s="149">
        <f t="shared" si="575"/>
        <v>0</v>
      </c>
      <c r="CV303" s="149">
        <f t="shared" si="575"/>
        <v>0</v>
      </c>
      <c r="CW303" s="150">
        <f t="shared" si="575"/>
        <v>0</v>
      </c>
      <c r="CX303" s="149">
        <f t="shared" si="575"/>
        <v>0</v>
      </c>
      <c r="CY303" s="149">
        <f t="shared" si="575"/>
        <v>0</v>
      </c>
      <c r="CZ303" s="149">
        <f t="shared" si="575"/>
        <v>0</v>
      </c>
      <c r="DA303" s="149">
        <f t="shared" si="575"/>
        <v>0</v>
      </c>
      <c r="DB303" s="150">
        <f t="shared" si="575"/>
        <v>0</v>
      </c>
      <c r="DC303" s="149"/>
      <c r="DD303" s="149"/>
      <c r="DE303" s="149"/>
      <c r="DF303" s="149"/>
      <c r="DG303" s="149"/>
      <c r="DH303" s="149"/>
      <c r="DI303" s="149"/>
      <c r="DJ303" s="149"/>
      <c r="DK303" s="400"/>
      <c r="DL303" s="400"/>
      <c r="DM303" s="108"/>
    </row>
    <row r="304" spans="1:117" outlineLevel="1">
      <c r="A304" s="28" t="s">
        <v>848</v>
      </c>
      <c r="B304" s="160">
        <f>B298-B300-B302</f>
        <v>45763</v>
      </c>
      <c r="C304" s="304">
        <f t="shared" ref="C304:Z304" si="576">C298-C300-C302</f>
        <v>50453</v>
      </c>
      <c r="D304" s="304">
        <f t="shared" si="576"/>
        <v>53144</v>
      </c>
      <c r="E304" s="304">
        <f t="shared" si="576"/>
        <v>41456</v>
      </c>
      <c r="F304" s="305">
        <f t="shared" si="576"/>
        <v>190816</v>
      </c>
      <c r="G304" s="303">
        <f t="shared" si="576"/>
        <v>51973</v>
      </c>
      <c r="H304" s="304">
        <f t="shared" si="576"/>
        <v>56422</v>
      </c>
      <c r="I304" s="304">
        <f t="shared" si="576"/>
        <v>80774</v>
      </c>
      <c r="J304" s="304">
        <f t="shared" si="576"/>
        <v>70018</v>
      </c>
      <c r="K304" s="305">
        <f t="shared" si="576"/>
        <v>259187</v>
      </c>
      <c r="L304" s="303">
        <f t="shared" si="576"/>
        <v>98869</v>
      </c>
      <c r="M304" s="304">
        <f t="shared" si="576"/>
        <v>98718</v>
      </c>
      <c r="N304" s="304">
        <f t="shared" si="576"/>
        <v>107637</v>
      </c>
      <c r="O304" s="304">
        <f t="shared" si="576"/>
        <v>90505</v>
      </c>
      <c r="P304" s="305">
        <f t="shared" si="576"/>
        <v>395729</v>
      </c>
      <c r="Q304" s="303">
        <f t="shared" si="576"/>
        <v>102173</v>
      </c>
      <c r="R304" s="304">
        <f t="shared" si="576"/>
        <v>107937</v>
      </c>
      <c r="S304" s="304">
        <f t="shared" si="576"/>
        <v>105005</v>
      </c>
      <c r="T304" s="304">
        <f t="shared" si="576"/>
        <v>129718</v>
      </c>
      <c r="U304" s="305">
        <f t="shared" si="576"/>
        <v>444833</v>
      </c>
      <c r="V304" s="303">
        <f t="shared" si="576"/>
        <v>150501</v>
      </c>
      <c r="W304" s="304">
        <f t="shared" si="576"/>
        <v>163742</v>
      </c>
      <c r="X304" s="304">
        <f t="shared" si="576"/>
        <v>197504</v>
      </c>
      <c r="Y304" s="304">
        <f t="shared" si="576"/>
        <v>132350</v>
      </c>
      <c r="Z304" s="305">
        <f t="shared" si="576"/>
        <v>644097</v>
      </c>
      <c r="AA304" s="303">
        <f t="shared" ref="AA304:BI304" si="577">AA298-AA300-AA302</f>
        <v>124155</v>
      </c>
      <c r="AB304" s="304">
        <f t="shared" si="577"/>
        <v>121522</v>
      </c>
      <c r="AC304" s="304">
        <f t="shared" si="577"/>
        <v>145914</v>
      </c>
      <c r="AD304" s="304">
        <f t="shared" si="577"/>
        <v>152343</v>
      </c>
      <c r="AE304" s="305">
        <f t="shared" si="577"/>
        <v>543934</v>
      </c>
      <c r="AF304" s="360">
        <f t="shared" si="577"/>
        <v>120948</v>
      </c>
      <c r="AG304" s="304">
        <f t="shared" si="577"/>
        <v>146217</v>
      </c>
      <c r="AH304" s="304">
        <f t="shared" si="577"/>
        <v>144385</v>
      </c>
      <c r="AI304" s="304">
        <f t="shared" si="577"/>
        <v>156119</v>
      </c>
      <c r="AJ304" s="305">
        <f t="shared" si="577"/>
        <v>567669</v>
      </c>
      <c r="AK304" s="360">
        <f>AK298-AK300-AK302</f>
        <v>178081</v>
      </c>
      <c r="AL304" s="304">
        <f>AL298-AL300-AL302</f>
        <v>202245</v>
      </c>
      <c r="AM304" s="304">
        <f>AM298-AM300-AM302</f>
        <v>242479</v>
      </c>
      <c r="AN304" s="304">
        <f t="shared" si="577"/>
        <v>317680</v>
      </c>
      <c r="AO304" s="305">
        <f t="shared" si="577"/>
        <v>940485</v>
      </c>
      <c r="AP304" s="360">
        <f>AP298-AP300-AP302</f>
        <v>255900</v>
      </c>
      <c r="AQ304" s="442">
        <f t="shared" si="577"/>
        <v>227100</v>
      </c>
      <c r="AR304" s="442">
        <f t="shared" ref="AR304:AW304" si="578">AR298-AR300-AR302</f>
        <v>248807</v>
      </c>
      <c r="AS304" s="304">
        <f t="shared" si="578"/>
        <v>224263</v>
      </c>
      <c r="AT304" s="305">
        <f t="shared" si="578"/>
        <v>956070</v>
      </c>
      <c r="AU304" s="360">
        <f t="shared" si="578"/>
        <v>177600</v>
      </c>
      <c r="AV304" s="442">
        <f t="shared" si="578"/>
        <v>229800</v>
      </c>
      <c r="AW304" s="442">
        <f t="shared" si="578"/>
        <v>240100</v>
      </c>
      <c r="AX304" s="304">
        <f t="shared" ref="AX304:BC304" si="579">AX298-AX300-AX302</f>
        <v>241300</v>
      </c>
      <c r="AY304" s="305">
        <f t="shared" si="579"/>
        <v>888800</v>
      </c>
      <c r="AZ304" s="360">
        <f t="shared" si="579"/>
        <v>291900</v>
      </c>
      <c r="BA304" s="442">
        <f t="shared" si="579"/>
        <v>262241</v>
      </c>
      <c r="BB304" s="442">
        <f>BB298-BB300-BB302</f>
        <v>309731</v>
      </c>
      <c r="BC304" s="442">
        <f t="shared" si="579"/>
        <v>310471</v>
      </c>
      <c r="BD304" s="305">
        <f t="shared" si="577"/>
        <v>1174343</v>
      </c>
      <c r="BE304" s="360">
        <f t="shared" si="577"/>
        <v>219927</v>
      </c>
      <c r="BF304" s="584">
        <f t="shared" si="577"/>
        <v>271603</v>
      </c>
      <c r="BG304" s="304">
        <f t="shared" si="577"/>
        <v>288001</v>
      </c>
      <c r="BH304" s="584">
        <f t="shared" si="577"/>
        <v>319151</v>
      </c>
      <c r="BI304" s="603">
        <f t="shared" si="577"/>
        <v>1098682</v>
      </c>
      <c r="BJ304" s="360">
        <f t="shared" ref="BJ304:CM304" si="580">BJ298-BJ300-BJ302</f>
        <v>314091</v>
      </c>
      <c r="BK304" s="584">
        <f>BK298-BK300-BK302</f>
        <v>326026</v>
      </c>
      <c r="BL304" s="304">
        <f t="shared" si="580"/>
        <v>353141.66501975502</v>
      </c>
      <c r="BM304" s="304">
        <f t="shared" si="580"/>
        <v>367974.65806282504</v>
      </c>
      <c r="BN304" s="305">
        <f t="shared" si="580"/>
        <v>1361233.3230825798</v>
      </c>
      <c r="BO304" s="304">
        <f t="shared" si="580"/>
        <v>341055.24717716023</v>
      </c>
      <c r="BP304" s="304">
        <f t="shared" si="580"/>
        <v>322346.91308284586</v>
      </c>
      <c r="BQ304" s="304">
        <f t="shared" si="580"/>
        <v>347483.32508979773</v>
      </c>
      <c r="BR304" s="304">
        <f t="shared" si="580"/>
        <v>362957.17703229096</v>
      </c>
      <c r="BS304" s="305">
        <f t="shared" si="580"/>
        <v>1373842.6623820947</v>
      </c>
      <c r="BT304" s="304">
        <f t="shared" si="580"/>
        <v>369884.96798000677</v>
      </c>
      <c r="BU304" s="304">
        <f t="shared" si="580"/>
        <v>355555.05218882597</v>
      </c>
      <c r="BV304" s="304">
        <f t="shared" si="580"/>
        <v>382426.72651570098</v>
      </c>
      <c r="BW304" s="304">
        <f t="shared" si="580"/>
        <v>399709.11091755982</v>
      </c>
      <c r="BX304" s="305">
        <f t="shared" si="580"/>
        <v>1507575.8576020934</v>
      </c>
      <c r="BY304" s="304">
        <f t="shared" si="580"/>
        <v>408421.28764082491</v>
      </c>
      <c r="BZ304" s="304">
        <f t="shared" si="580"/>
        <v>395986.06373944512</v>
      </c>
      <c r="CA304" s="304">
        <f t="shared" si="580"/>
        <v>423650.26502926182</v>
      </c>
      <c r="CB304" s="304">
        <f t="shared" si="580"/>
        <v>441204.44840529608</v>
      </c>
      <c r="CC304" s="305">
        <f t="shared" si="580"/>
        <v>1669262.0648148279</v>
      </c>
      <c r="CD304" s="304">
        <f t="shared" si="580"/>
        <v>429771.81747019693</v>
      </c>
      <c r="CE304" s="304">
        <f t="shared" si="580"/>
        <v>424209.61646215263</v>
      </c>
      <c r="CF304" s="304">
        <f t="shared" si="580"/>
        <v>450144.56657349516</v>
      </c>
      <c r="CG304" s="304">
        <f t="shared" si="580"/>
        <v>463426.29301248403</v>
      </c>
      <c r="CH304" s="305">
        <f t="shared" si="580"/>
        <v>1767552.2935183283</v>
      </c>
      <c r="CI304" s="304">
        <f t="shared" si="580"/>
        <v>444173.78411569918</v>
      </c>
      <c r="CJ304" s="304">
        <f t="shared" si="580"/>
        <v>437971.66530902515</v>
      </c>
      <c r="CK304" s="304">
        <f t="shared" si="580"/>
        <v>463990.11210026912</v>
      </c>
      <c r="CL304" s="304">
        <f t="shared" si="580"/>
        <v>476983.7495911697</v>
      </c>
      <c r="CM304" s="305">
        <f t="shared" si="580"/>
        <v>1823119.3111161632</v>
      </c>
      <c r="CN304" s="304">
        <f t="shared" ref="CN304:DB304" si="581">CN298-CN300-CN302</f>
        <v>459135.80694943236</v>
      </c>
      <c r="CO304" s="304">
        <f t="shared" si="581"/>
        <v>454793.34763110598</v>
      </c>
      <c r="CP304" s="304">
        <f t="shared" si="581"/>
        <v>480386.48176173773</v>
      </c>
      <c r="CQ304" s="304">
        <f t="shared" si="581"/>
        <v>491869.91356000688</v>
      </c>
      <c r="CR304" s="305">
        <f t="shared" si="581"/>
        <v>1886185.5499022831</v>
      </c>
      <c r="CS304" s="304">
        <f t="shared" si="581"/>
        <v>459135.80694943236</v>
      </c>
      <c r="CT304" s="304">
        <f t="shared" si="581"/>
        <v>454793.34763110598</v>
      </c>
      <c r="CU304" s="304">
        <f t="shared" si="581"/>
        <v>480386.48176173773</v>
      </c>
      <c r="CV304" s="304">
        <f t="shared" si="581"/>
        <v>491869.91356000688</v>
      </c>
      <c r="CW304" s="305">
        <f t="shared" si="581"/>
        <v>1886185.5499022831</v>
      </c>
      <c r="CX304" s="304">
        <f t="shared" si="581"/>
        <v>459135.80694943236</v>
      </c>
      <c r="CY304" s="304">
        <f t="shared" si="581"/>
        <v>454793.34763110598</v>
      </c>
      <c r="CZ304" s="304">
        <f t="shared" si="581"/>
        <v>480386.48176173773</v>
      </c>
      <c r="DA304" s="304">
        <f t="shared" si="581"/>
        <v>491869.91356000688</v>
      </c>
      <c r="DB304" s="305">
        <f t="shared" si="581"/>
        <v>1886185.5499022831</v>
      </c>
      <c r="DC304" s="304"/>
      <c r="DD304" s="304"/>
      <c r="DE304" s="304"/>
      <c r="DF304" s="304"/>
      <c r="DG304" s="304"/>
      <c r="DH304" s="304"/>
      <c r="DI304" s="304"/>
      <c r="DJ304" s="304"/>
      <c r="DK304" s="413"/>
      <c r="DL304" s="413"/>
      <c r="DM304" s="9"/>
    </row>
    <row r="305" spans="1:117" outlineLevel="1">
      <c r="A305" s="113" t="s">
        <v>651</v>
      </c>
      <c r="B305" s="321"/>
      <c r="C305" s="322"/>
      <c r="D305" s="322"/>
      <c r="E305" s="322"/>
      <c r="F305" s="323"/>
      <c r="G305" s="302">
        <f t="shared" ref="G305:AJ305" si="582">G304/B304-1</f>
        <v>0.13569914559797214</v>
      </c>
      <c r="H305" s="149">
        <f t="shared" si="582"/>
        <v>0.11830812835708482</v>
      </c>
      <c r="I305" s="149">
        <f t="shared" si="582"/>
        <v>0.51990817401776313</v>
      </c>
      <c r="J305" s="149">
        <f t="shared" si="582"/>
        <v>0.68897143959861062</v>
      </c>
      <c r="K305" s="150">
        <f t="shared" si="582"/>
        <v>0.35830852758678522</v>
      </c>
      <c r="L305" s="302">
        <f t="shared" si="582"/>
        <v>0.90231466338291044</v>
      </c>
      <c r="M305" s="149">
        <f t="shared" si="582"/>
        <v>0.74963666654850947</v>
      </c>
      <c r="N305" s="149">
        <f t="shared" si="582"/>
        <v>0.33256988634956786</v>
      </c>
      <c r="O305" s="149">
        <f t="shared" si="582"/>
        <v>0.29259618955125832</v>
      </c>
      <c r="P305" s="150">
        <f t="shared" si="582"/>
        <v>0.52680882914652361</v>
      </c>
      <c r="Q305" s="302">
        <f t="shared" si="582"/>
        <v>3.3417957094741491E-2</v>
      </c>
      <c r="R305" s="149">
        <f t="shared" si="582"/>
        <v>9.338722421442891E-2</v>
      </c>
      <c r="S305" s="149">
        <f t="shared" si="582"/>
        <v>-2.4452558135213742E-2</v>
      </c>
      <c r="T305" s="149">
        <f t="shared" si="582"/>
        <v>0.43326888017236609</v>
      </c>
      <c r="U305" s="150">
        <f t="shared" si="582"/>
        <v>0.12408491669804333</v>
      </c>
      <c r="V305" s="302">
        <f t="shared" si="582"/>
        <v>0.47300167363197709</v>
      </c>
      <c r="W305" s="149">
        <f t="shared" si="582"/>
        <v>0.51701455478658853</v>
      </c>
      <c r="X305" s="149">
        <f t="shared" si="582"/>
        <v>0.88090090948050093</v>
      </c>
      <c r="Y305" s="149">
        <f t="shared" si="582"/>
        <v>2.0290167902681233E-2</v>
      </c>
      <c r="Z305" s="150">
        <f t="shared" si="582"/>
        <v>0.44795237763385365</v>
      </c>
      <c r="AA305" s="302">
        <f t="shared" si="582"/>
        <v>-0.17505531524707474</v>
      </c>
      <c r="AB305" s="149">
        <f t="shared" si="582"/>
        <v>-0.25784465805963042</v>
      </c>
      <c r="AC305" s="149">
        <f t="shared" si="582"/>
        <v>-0.26120989954633833</v>
      </c>
      <c r="AD305" s="149">
        <f>AD304/Y304-1</f>
        <v>0.15106157914620333</v>
      </c>
      <c r="AE305" s="150">
        <f>AE304/Z304-1</f>
        <v>-0.15550918572823658</v>
      </c>
      <c r="AF305" s="355">
        <f>AF304/AA304-1</f>
        <v>-2.5830614957110032E-2</v>
      </c>
      <c r="AG305" s="149">
        <f t="shared" si="582"/>
        <v>0.20321423281381157</v>
      </c>
      <c r="AH305" s="149">
        <f t="shared" si="582"/>
        <v>-1.0478775168935139E-2</v>
      </c>
      <c r="AI305" s="149">
        <f t="shared" si="582"/>
        <v>2.4786173306289072E-2</v>
      </c>
      <c r="AJ305" s="150">
        <f t="shared" si="582"/>
        <v>4.3635808756209427E-2</v>
      </c>
      <c r="AK305" s="355">
        <f t="shared" ref="AK305:BP305" si="583">AK304/AF304-1</f>
        <v>0.47237655852101734</v>
      </c>
      <c r="AL305" s="149">
        <f t="shared" si="583"/>
        <v>0.38318389790516827</v>
      </c>
      <c r="AM305" s="149">
        <f t="shared" si="583"/>
        <v>0.67939190359109336</v>
      </c>
      <c r="AN305" s="149">
        <f t="shared" si="583"/>
        <v>1.0348580249681332</v>
      </c>
      <c r="AO305" s="150">
        <f t="shared" si="583"/>
        <v>0.656748915300994</v>
      </c>
      <c r="AP305" s="355">
        <f t="shared" si="583"/>
        <v>0.43698653983299729</v>
      </c>
      <c r="AQ305" s="361">
        <f t="shared" si="583"/>
        <v>0.12289549803456201</v>
      </c>
      <c r="AR305" s="361">
        <f t="shared" si="583"/>
        <v>2.6097105316336577E-2</v>
      </c>
      <c r="AS305" s="149">
        <f t="shared" si="583"/>
        <v>-0.29406006043817678</v>
      </c>
      <c r="AT305" s="150">
        <f t="shared" si="583"/>
        <v>1.6571237180816212E-2</v>
      </c>
      <c r="AU305" s="355">
        <f t="shared" si="583"/>
        <v>-0.30597889800703404</v>
      </c>
      <c r="AV305" s="361">
        <f t="shared" si="583"/>
        <v>1.1889035667107084E-2</v>
      </c>
      <c r="AW305" s="361">
        <f t="shared" si="583"/>
        <v>-3.4994996121491706E-2</v>
      </c>
      <c r="AX305" s="149">
        <f>AX304/AS304-1</f>
        <v>7.5968840156423578E-2</v>
      </c>
      <c r="AY305" s="150">
        <f>AY304/AT304-1</f>
        <v>-7.0360956833704691E-2</v>
      </c>
      <c r="AZ305" s="355">
        <f t="shared" si="583"/>
        <v>0.64358108108108114</v>
      </c>
      <c r="BA305" s="361">
        <f t="shared" si="583"/>
        <v>0.14117058311575281</v>
      </c>
      <c r="BB305" s="361">
        <f t="shared" si="583"/>
        <v>0.29000832986255731</v>
      </c>
      <c r="BC305" s="361">
        <f t="shared" si="583"/>
        <v>0.28665975963530865</v>
      </c>
      <c r="BD305" s="150">
        <f t="shared" si="583"/>
        <v>0.32126800180018011</v>
      </c>
      <c r="BE305" s="355">
        <f t="shared" si="583"/>
        <v>-0.24656731757451178</v>
      </c>
      <c r="BF305" s="540">
        <f t="shared" si="583"/>
        <v>3.5699985890840891E-2</v>
      </c>
      <c r="BG305" s="149">
        <f t="shared" si="583"/>
        <v>-7.0157652931091774E-2</v>
      </c>
      <c r="BH305" s="540">
        <f t="shared" si="583"/>
        <v>2.795752260275508E-2</v>
      </c>
      <c r="BI305" s="534">
        <f t="shared" si="583"/>
        <v>-6.4428365477547822E-2</v>
      </c>
      <c r="BJ305" s="355">
        <f t="shared" si="583"/>
        <v>0.42816025317491713</v>
      </c>
      <c r="BK305" s="540">
        <f t="shared" si="583"/>
        <v>0.2003770208723763</v>
      </c>
      <c r="BL305" s="149">
        <f t="shared" si="583"/>
        <v>0.22618207929748513</v>
      </c>
      <c r="BM305" s="149">
        <f t="shared" si="583"/>
        <v>0.15297980599410632</v>
      </c>
      <c r="BN305" s="150">
        <f t="shared" si="583"/>
        <v>0.23896934971409367</v>
      </c>
      <c r="BO305" s="149">
        <f t="shared" si="583"/>
        <v>8.584851898704593E-2</v>
      </c>
      <c r="BP305" s="149">
        <f t="shared" si="583"/>
        <v>-1.1284642688479285E-2</v>
      </c>
      <c r="BQ305" s="149">
        <f t="shared" ref="BQ305:CM305" si="584">BQ304/BL304-1</f>
        <v>-1.6022861334248795E-2</v>
      </c>
      <c r="BR305" s="149">
        <f t="shared" si="584"/>
        <v>-1.3635398309623348E-2</v>
      </c>
      <c r="BS305" s="150">
        <f t="shared" si="584"/>
        <v>9.2631726579837093E-3</v>
      </c>
      <c r="BT305" s="149">
        <f t="shared" si="584"/>
        <v>8.4530940489741191E-2</v>
      </c>
      <c r="BU305" s="149">
        <f t="shared" si="584"/>
        <v>0.10301987628293285</v>
      </c>
      <c r="BV305" s="149">
        <f t="shared" si="584"/>
        <v>0.10056137633906048</v>
      </c>
      <c r="BW305" s="149">
        <f t="shared" si="584"/>
        <v>0.10125694217089198</v>
      </c>
      <c r="BX305" s="150">
        <f t="shared" si="584"/>
        <v>9.7342438753590388E-2</v>
      </c>
      <c r="BY305" s="149">
        <f t="shared" si="584"/>
        <v>0.10418460601756907</v>
      </c>
      <c r="BZ305" s="149">
        <f t="shared" si="584"/>
        <v>0.11371238097088643</v>
      </c>
      <c r="CA305" s="149">
        <f t="shared" si="584"/>
        <v>0.10779460653587014</v>
      </c>
      <c r="CB305" s="149">
        <f t="shared" si="584"/>
        <v>0.10381383950063294</v>
      </c>
      <c r="CC305" s="150">
        <f t="shared" si="584"/>
        <v>0.10724913535688207</v>
      </c>
      <c r="CD305" s="149">
        <f t="shared" si="584"/>
        <v>5.2275751718769747E-2</v>
      </c>
      <c r="CE305" s="149">
        <f t="shared" si="584"/>
        <v>7.1274106104093349E-2</v>
      </c>
      <c r="CF305" s="149">
        <f t="shared" si="584"/>
        <v>6.2538144623616176E-2</v>
      </c>
      <c r="CG305" s="149">
        <f t="shared" si="584"/>
        <v>5.0366320392977393E-2</v>
      </c>
      <c r="CH305" s="150">
        <f t="shared" si="584"/>
        <v>5.8882443191689005E-2</v>
      </c>
      <c r="CI305" s="149">
        <f t="shared" si="584"/>
        <v>3.3510728391353828E-2</v>
      </c>
      <c r="CJ305" s="149">
        <f t="shared" si="584"/>
        <v>3.2441623934992503E-2</v>
      </c>
      <c r="CK305" s="149">
        <f t="shared" si="584"/>
        <v>3.0757997663209302E-2</v>
      </c>
      <c r="CL305" s="149">
        <f t="shared" si="584"/>
        <v>2.925482818541858E-2</v>
      </c>
      <c r="CM305" s="150">
        <f t="shared" si="584"/>
        <v>3.1437269381845656E-2</v>
      </c>
      <c r="CN305" s="149">
        <f t="shared" ref="CN305:DB305" si="585">CN304/CI304-1</f>
        <v>3.3685065100185652E-2</v>
      </c>
      <c r="CO305" s="149">
        <f t="shared" si="585"/>
        <v>3.8408152066667922E-2</v>
      </c>
      <c r="CP305" s="149">
        <f t="shared" si="585"/>
        <v>3.533775663289429E-2</v>
      </c>
      <c r="CQ305" s="149">
        <f t="shared" si="585"/>
        <v>3.1208954144866352E-2</v>
      </c>
      <c r="CR305" s="150">
        <f t="shared" si="585"/>
        <v>3.4592491232792177E-2</v>
      </c>
      <c r="CS305" s="149">
        <f t="shared" si="585"/>
        <v>0</v>
      </c>
      <c r="CT305" s="149">
        <f t="shared" si="585"/>
        <v>0</v>
      </c>
      <c r="CU305" s="149">
        <f t="shared" si="585"/>
        <v>0</v>
      </c>
      <c r="CV305" s="149">
        <f t="shared" si="585"/>
        <v>0</v>
      </c>
      <c r="CW305" s="150">
        <f t="shared" si="585"/>
        <v>0</v>
      </c>
      <c r="CX305" s="149">
        <f t="shared" si="585"/>
        <v>0</v>
      </c>
      <c r="CY305" s="149">
        <f t="shared" si="585"/>
        <v>0</v>
      </c>
      <c r="CZ305" s="149">
        <f t="shared" si="585"/>
        <v>0</v>
      </c>
      <c r="DA305" s="149">
        <f t="shared" si="585"/>
        <v>0</v>
      </c>
      <c r="DB305" s="150">
        <f t="shared" si="585"/>
        <v>0</v>
      </c>
      <c r="DC305" s="149"/>
      <c r="DD305" s="149"/>
      <c r="DE305" s="149"/>
      <c r="DF305" s="149"/>
      <c r="DG305" s="149"/>
      <c r="DH305" s="149"/>
      <c r="DI305" s="149"/>
      <c r="DJ305" s="149"/>
      <c r="DK305" s="400"/>
      <c r="DL305" s="400"/>
      <c r="DM305" s="108"/>
    </row>
    <row r="306" spans="1:117" outlineLevel="1">
      <c r="A306" s="34" t="s">
        <v>826</v>
      </c>
      <c r="B306" s="94">
        <f>B260+B274+B288</f>
        <v>0</v>
      </c>
      <c r="C306" s="48">
        <f>C260+C274+C288</f>
        <v>0</v>
      </c>
      <c r="D306" s="48">
        <f>D260+D274+D288</f>
        <v>0</v>
      </c>
      <c r="E306" s="48">
        <f>F306-SUM(B306:D306)</f>
        <v>0</v>
      </c>
      <c r="F306" s="104">
        <f>F260+F274+F288</f>
        <v>0</v>
      </c>
      <c r="G306" s="94">
        <f>0-H306</f>
        <v>0</v>
      </c>
      <c r="H306" s="38">
        <v>0</v>
      </c>
      <c r="I306" s="38">
        <v>0</v>
      </c>
      <c r="J306" s="48">
        <f>K306-SUM(G306:I306)</f>
        <v>-264579</v>
      </c>
      <c r="K306" s="133">
        <v>-264579</v>
      </c>
      <c r="L306" s="37">
        <v>-1305</v>
      </c>
      <c r="M306" s="38">
        <v>-114061</v>
      </c>
      <c r="N306" s="38">
        <v>-36</v>
      </c>
      <c r="O306" s="48">
        <f>P306-SUM(L306:N306)</f>
        <v>-81</v>
      </c>
      <c r="P306" s="133">
        <v>-115483</v>
      </c>
      <c r="Q306" s="37">
        <v>-2203</v>
      </c>
      <c r="R306" s="38">
        <v>379</v>
      </c>
      <c r="S306" s="38">
        <v>-111</v>
      </c>
      <c r="T306" s="48">
        <f>U306-SUM(Q306:S306)</f>
        <v>-15</v>
      </c>
      <c r="U306" s="133">
        <v>-1950</v>
      </c>
      <c r="V306" s="37">
        <v>-31</v>
      </c>
      <c r="W306" s="38">
        <v>3</v>
      </c>
      <c r="X306" s="38">
        <v>-22</v>
      </c>
      <c r="Y306" s="48">
        <f>Z306-SUM(V306:X306)</f>
        <v>-663</v>
      </c>
      <c r="Z306" s="133">
        <v>-713</v>
      </c>
      <c r="AA306" s="37">
        <v>-664</v>
      </c>
      <c r="AB306" s="38">
        <v>-3276</v>
      </c>
      <c r="AC306" s="38">
        <v>1180</v>
      </c>
      <c r="AD306" s="48">
        <f>AE306-SUM(AA306:AC306)</f>
        <v>92</v>
      </c>
      <c r="AE306" s="133">
        <v>-2668</v>
      </c>
      <c r="AF306" s="37">
        <v>786</v>
      </c>
      <c r="AG306" s="270">
        <v>260</v>
      </c>
      <c r="AH306" s="270">
        <v>-16126</v>
      </c>
      <c r="AI306" s="48">
        <f>AJ306-SUM(AF306:AH306)</f>
        <v>-3552</v>
      </c>
      <c r="AJ306" s="133">
        <v>-18632</v>
      </c>
      <c r="AK306" s="37">
        <v>510</v>
      </c>
      <c r="AL306" s="270">
        <v>212</v>
      </c>
      <c r="AM306" s="270">
        <v>69</v>
      </c>
      <c r="AN306" s="270">
        <v>0</v>
      </c>
      <c r="AO306" s="104">
        <f>SUM(AK306:AN306)</f>
        <v>791</v>
      </c>
      <c r="AP306" s="37">
        <v>0</v>
      </c>
      <c r="AQ306" s="38">
        <v>0</v>
      </c>
      <c r="AR306" s="38">
        <v>420</v>
      </c>
      <c r="AS306" s="270">
        <v>0</v>
      </c>
      <c r="AT306" s="104">
        <f>SUM(AP306:AS306)</f>
        <v>420</v>
      </c>
      <c r="AU306" s="37">
        <v>0</v>
      </c>
      <c r="AV306" s="38">
        <v>0</v>
      </c>
      <c r="AW306" s="38">
        <v>0</v>
      </c>
      <c r="AX306" s="270">
        <v>0</v>
      </c>
      <c r="AY306" s="104">
        <f>SUM(AU306:AX306)</f>
        <v>0</v>
      </c>
      <c r="AZ306" s="37">
        <v>0</v>
      </c>
      <c r="BA306" s="38">
        <v>0</v>
      </c>
      <c r="BB306" s="38">
        <v>0</v>
      </c>
      <c r="BC306" s="485">
        <v>0</v>
      </c>
      <c r="BD306" s="104">
        <f>SUM(AZ306:BC306)</f>
        <v>0</v>
      </c>
      <c r="BE306" s="37">
        <v>0</v>
      </c>
      <c r="BF306" s="485">
        <v>0</v>
      </c>
      <c r="BG306" s="485">
        <v>0</v>
      </c>
      <c r="BH306" s="485">
        <v>0</v>
      </c>
      <c r="BI306" s="104">
        <f>SUM(BE306:BH306)</f>
        <v>0</v>
      </c>
      <c r="BJ306" s="37">
        <v>-4145</v>
      </c>
      <c r="BK306" s="38">
        <v>414</v>
      </c>
      <c r="BL306" s="485">
        <v>0</v>
      </c>
      <c r="BM306" s="485">
        <v>0</v>
      </c>
      <c r="BN306" s="104">
        <f>SUM(BJ306:BM306)</f>
        <v>-3731</v>
      </c>
      <c r="BO306" s="485">
        <v>0</v>
      </c>
      <c r="BP306" s="485">
        <v>0</v>
      </c>
      <c r="BQ306" s="485">
        <v>0</v>
      </c>
      <c r="BR306" s="485">
        <v>0</v>
      </c>
      <c r="BS306" s="104">
        <f>SUM(BO306:BR306)</f>
        <v>0</v>
      </c>
      <c r="BT306" s="485">
        <v>0</v>
      </c>
      <c r="BU306" s="485">
        <v>0</v>
      </c>
      <c r="BV306" s="485">
        <v>0</v>
      </c>
      <c r="BW306" s="485">
        <v>0</v>
      </c>
      <c r="BX306" s="104">
        <f>SUM(BT306:BW306)</f>
        <v>0</v>
      </c>
      <c r="BY306" s="485">
        <v>0</v>
      </c>
      <c r="BZ306" s="485">
        <v>0</v>
      </c>
      <c r="CA306" s="485">
        <v>0</v>
      </c>
      <c r="CB306" s="485">
        <v>0</v>
      </c>
      <c r="CC306" s="104">
        <f>SUM(BY306:CB306)</f>
        <v>0</v>
      </c>
      <c r="CD306" s="485">
        <v>0</v>
      </c>
      <c r="CE306" s="485">
        <v>0</v>
      </c>
      <c r="CF306" s="485">
        <v>0</v>
      </c>
      <c r="CG306" s="485">
        <v>0</v>
      </c>
      <c r="CH306" s="104">
        <f>SUM(CD306:CG306)</f>
        <v>0</v>
      </c>
      <c r="CI306" s="485">
        <v>0</v>
      </c>
      <c r="CJ306" s="485">
        <v>0</v>
      </c>
      <c r="CK306" s="485">
        <v>0</v>
      </c>
      <c r="CL306" s="485">
        <v>0</v>
      </c>
      <c r="CM306" s="104">
        <f>SUM(CI306:CL306)</f>
        <v>0</v>
      </c>
      <c r="CN306" s="485">
        <v>0</v>
      </c>
      <c r="CO306" s="485">
        <v>0</v>
      </c>
      <c r="CP306" s="485">
        <v>0</v>
      </c>
      <c r="CQ306" s="485">
        <v>0</v>
      </c>
      <c r="CR306" s="104">
        <f>SUM(CN306:CQ306)</f>
        <v>0</v>
      </c>
      <c r="CS306" s="485">
        <v>0</v>
      </c>
      <c r="CT306" s="485">
        <v>0</v>
      </c>
      <c r="CU306" s="485">
        <v>0</v>
      </c>
      <c r="CV306" s="485">
        <v>0</v>
      </c>
      <c r="CW306" s="104">
        <f>SUM(CS306:CV306)</f>
        <v>0</v>
      </c>
      <c r="CX306" s="485">
        <v>0</v>
      </c>
      <c r="CY306" s="485">
        <v>0</v>
      </c>
      <c r="CZ306" s="485">
        <v>0</v>
      </c>
      <c r="DA306" s="485">
        <v>0</v>
      </c>
      <c r="DB306" s="104">
        <f>SUM(CX306:DA306)</f>
        <v>0</v>
      </c>
      <c r="DC306" s="48"/>
      <c r="DD306" s="48"/>
      <c r="DE306" s="48"/>
      <c r="DF306" s="48"/>
      <c r="DG306" s="48"/>
      <c r="DH306" s="48"/>
      <c r="DI306" s="48"/>
      <c r="DJ306" s="48"/>
      <c r="DK306" s="99"/>
      <c r="DL306" s="99"/>
      <c r="DM306" s="61"/>
    </row>
    <row r="307" spans="1:117" outlineLevel="1">
      <c r="A307" s="28" t="s">
        <v>546</v>
      </c>
      <c r="B307" s="160">
        <f>B304-B306</f>
        <v>45763</v>
      </c>
      <c r="C307" s="168">
        <f t="shared" ref="C307:Z307" si="586">C304-C306</f>
        <v>50453</v>
      </c>
      <c r="D307" s="168">
        <f t="shared" si="586"/>
        <v>53144</v>
      </c>
      <c r="E307" s="168">
        <f t="shared" si="586"/>
        <v>41456</v>
      </c>
      <c r="F307" s="235">
        <f t="shared" si="586"/>
        <v>190816</v>
      </c>
      <c r="G307" s="160">
        <f t="shared" si="586"/>
        <v>51973</v>
      </c>
      <c r="H307" s="168">
        <f t="shared" si="586"/>
        <v>56422</v>
      </c>
      <c r="I307" s="168">
        <f t="shared" si="586"/>
        <v>80774</v>
      </c>
      <c r="J307" s="168">
        <f t="shared" si="586"/>
        <v>334597</v>
      </c>
      <c r="K307" s="235">
        <f t="shared" si="586"/>
        <v>523766</v>
      </c>
      <c r="L307" s="160">
        <f t="shared" si="586"/>
        <v>100174</v>
      </c>
      <c r="M307" s="168">
        <f t="shared" si="586"/>
        <v>212779</v>
      </c>
      <c r="N307" s="168">
        <f t="shared" si="586"/>
        <v>107673</v>
      </c>
      <c r="O307" s="168">
        <f t="shared" si="586"/>
        <v>90586</v>
      </c>
      <c r="P307" s="235">
        <f t="shared" si="586"/>
        <v>511212</v>
      </c>
      <c r="Q307" s="160">
        <f t="shared" si="586"/>
        <v>104376</v>
      </c>
      <c r="R307" s="168">
        <f t="shared" si="586"/>
        <v>107558</v>
      </c>
      <c r="S307" s="168">
        <f t="shared" si="586"/>
        <v>105116</v>
      </c>
      <c r="T307" s="168">
        <f t="shared" si="586"/>
        <v>129733</v>
      </c>
      <c r="U307" s="235">
        <f t="shared" si="586"/>
        <v>446783</v>
      </c>
      <c r="V307" s="160">
        <f t="shared" si="586"/>
        <v>150532</v>
      </c>
      <c r="W307" s="168">
        <f t="shared" si="586"/>
        <v>163739</v>
      </c>
      <c r="X307" s="168">
        <f t="shared" si="586"/>
        <v>197526</v>
      </c>
      <c r="Y307" s="168">
        <f t="shared" si="586"/>
        <v>133013</v>
      </c>
      <c r="Z307" s="235">
        <f t="shared" si="586"/>
        <v>644810</v>
      </c>
      <c r="AA307" s="160">
        <f t="shared" ref="AA307:BF307" si="587">AA304-AA306</f>
        <v>124819</v>
      </c>
      <c r="AB307" s="168">
        <f t="shared" si="587"/>
        <v>124798</v>
      </c>
      <c r="AC307" s="168">
        <f t="shared" si="587"/>
        <v>144734</v>
      </c>
      <c r="AD307" s="168">
        <f>AD304-AD306</f>
        <v>152251</v>
      </c>
      <c r="AE307" s="235">
        <f>AE304-AE306</f>
        <v>546602</v>
      </c>
      <c r="AF307" s="78">
        <f>AF304-AF306</f>
        <v>120162</v>
      </c>
      <c r="AG307" s="168">
        <f t="shared" si="587"/>
        <v>145957</v>
      </c>
      <c r="AH307" s="168">
        <f t="shared" si="587"/>
        <v>160511</v>
      </c>
      <c r="AI307" s="168">
        <f t="shared" si="587"/>
        <v>159671</v>
      </c>
      <c r="AJ307" s="235">
        <f t="shared" si="587"/>
        <v>586301</v>
      </c>
      <c r="AK307" s="78">
        <f>AK304-AK306</f>
        <v>177571</v>
      </c>
      <c r="AL307" s="168">
        <f>AL304-AL306</f>
        <v>202033</v>
      </c>
      <c r="AM307" s="168">
        <f t="shared" si="587"/>
        <v>242410</v>
      </c>
      <c r="AN307" s="168">
        <f t="shared" si="587"/>
        <v>317680</v>
      </c>
      <c r="AO307" s="235">
        <f t="shared" si="587"/>
        <v>939694</v>
      </c>
      <c r="AP307" s="78">
        <f>AP304-AP306</f>
        <v>255900</v>
      </c>
      <c r="AQ307" s="76">
        <f t="shared" si="587"/>
        <v>227100</v>
      </c>
      <c r="AR307" s="76">
        <f t="shared" si="587"/>
        <v>248387</v>
      </c>
      <c r="AS307" s="168">
        <f>AS304-AS306</f>
        <v>224263</v>
      </c>
      <c r="AT307" s="235">
        <f>AT304-AT306</f>
        <v>955650</v>
      </c>
      <c r="AU307" s="78">
        <f>AU304-AU306</f>
        <v>177600</v>
      </c>
      <c r="AV307" s="76">
        <f t="shared" si="587"/>
        <v>229800</v>
      </c>
      <c r="AW307" s="76">
        <f t="shared" si="587"/>
        <v>240100</v>
      </c>
      <c r="AX307" s="168">
        <f t="shared" ref="AX307:BC307" si="588">AX304-AX306</f>
        <v>241300</v>
      </c>
      <c r="AY307" s="235">
        <f t="shared" si="588"/>
        <v>888800</v>
      </c>
      <c r="AZ307" s="78">
        <f t="shared" si="588"/>
        <v>291900</v>
      </c>
      <c r="BA307" s="76">
        <f t="shared" si="588"/>
        <v>262241</v>
      </c>
      <c r="BB307" s="76">
        <f t="shared" si="588"/>
        <v>309731</v>
      </c>
      <c r="BC307" s="76">
        <f t="shared" si="588"/>
        <v>310471</v>
      </c>
      <c r="BD307" s="235">
        <f t="shared" si="587"/>
        <v>1174343</v>
      </c>
      <c r="BE307" s="78">
        <f t="shared" si="587"/>
        <v>219927</v>
      </c>
      <c r="BF307" s="388">
        <f t="shared" si="587"/>
        <v>271603</v>
      </c>
      <c r="BG307" s="168">
        <f t="shared" ref="BG307:CM307" si="589">BG304-BG306</f>
        <v>288001</v>
      </c>
      <c r="BH307" s="388">
        <f t="shared" si="589"/>
        <v>319151</v>
      </c>
      <c r="BI307" s="521">
        <f t="shared" si="589"/>
        <v>1098682</v>
      </c>
      <c r="BJ307" s="168">
        <f t="shared" si="589"/>
        <v>318236</v>
      </c>
      <c r="BK307" s="388">
        <f t="shared" si="589"/>
        <v>325612</v>
      </c>
      <c r="BL307" s="168">
        <f t="shared" si="589"/>
        <v>353141.66501975502</v>
      </c>
      <c r="BM307" s="168">
        <f t="shared" si="589"/>
        <v>367974.65806282504</v>
      </c>
      <c r="BN307" s="235">
        <f t="shared" si="589"/>
        <v>1364964.3230825798</v>
      </c>
      <c r="BO307" s="168">
        <f t="shared" si="589"/>
        <v>341055.24717716023</v>
      </c>
      <c r="BP307" s="168">
        <f t="shared" si="589"/>
        <v>322346.91308284586</v>
      </c>
      <c r="BQ307" s="168">
        <f t="shared" si="589"/>
        <v>347483.32508979773</v>
      </c>
      <c r="BR307" s="168">
        <f t="shared" si="589"/>
        <v>362957.17703229096</v>
      </c>
      <c r="BS307" s="235">
        <f t="shared" si="589"/>
        <v>1373842.6623820947</v>
      </c>
      <c r="BT307" s="168">
        <f t="shared" si="589"/>
        <v>369884.96798000677</v>
      </c>
      <c r="BU307" s="168">
        <f t="shared" si="589"/>
        <v>355555.05218882597</v>
      </c>
      <c r="BV307" s="168">
        <f t="shared" si="589"/>
        <v>382426.72651570098</v>
      </c>
      <c r="BW307" s="168">
        <f t="shared" si="589"/>
        <v>399709.11091755982</v>
      </c>
      <c r="BX307" s="235">
        <f t="shared" si="589"/>
        <v>1507575.8576020934</v>
      </c>
      <c r="BY307" s="168">
        <f t="shared" si="589"/>
        <v>408421.28764082491</v>
      </c>
      <c r="BZ307" s="168">
        <f t="shared" si="589"/>
        <v>395986.06373944512</v>
      </c>
      <c r="CA307" s="168">
        <f t="shared" si="589"/>
        <v>423650.26502926182</v>
      </c>
      <c r="CB307" s="168">
        <f t="shared" si="589"/>
        <v>441204.44840529608</v>
      </c>
      <c r="CC307" s="235">
        <f t="shared" si="589"/>
        <v>1669262.0648148279</v>
      </c>
      <c r="CD307" s="168">
        <f t="shared" si="589"/>
        <v>429771.81747019693</v>
      </c>
      <c r="CE307" s="168">
        <f t="shared" si="589"/>
        <v>424209.61646215263</v>
      </c>
      <c r="CF307" s="168">
        <f t="shared" si="589"/>
        <v>450144.56657349516</v>
      </c>
      <c r="CG307" s="168">
        <f t="shared" si="589"/>
        <v>463426.29301248403</v>
      </c>
      <c r="CH307" s="235">
        <f t="shared" si="589"/>
        <v>1767552.2935183283</v>
      </c>
      <c r="CI307" s="168">
        <f t="shared" si="589"/>
        <v>444173.78411569918</v>
      </c>
      <c r="CJ307" s="168">
        <f t="shared" si="589"/>
        <v>437971.66530902515</v>
      </c>
      <c r="CK307" s="168">
        <f t="shared" si="589"/>
        <v>463990.11210026912</v>
      </c>
      <c r="CL307" s="168">
        <f t="shared" si="589"/>
        <v>476983.7495911697</v>
      </c>
      <c r="CM307" s="235">
        <f t="shared" si="589"/>
        <v>1823119.3111161632</v>
      </c>
      <c r="CN307" s="168">
        <f t="shared" ref="CN307:DB307" si="590">CN304-CN306</f>
        <v>459135.80694943236</v>
      </c>
      <c r="CO307" s="168">
        <f t="shared" si="590"/>
        <v>454793.34763110598</v>
      </c>
      <c r="CP307" s="168">
        <f t="shared" si="590"/>
        <v>480386.48176173773</v>
      </c>
      <c r="CQ307" s="168">
        <f t="shared" si="590"/>
        <v>491869.91356000688</v>
      </c>
      <c r="CR307" s="235">
        <f t="shared" si="590"/>
        <v>1886185.5499022831</v>
      </c>
      <c r="CS307" s="168">
        <f t="shared" si="590"/>
        <v>459135.80694943236</v>
      </c>
      <c r="CT307" s="168">
        <f t="shared" si="590"/>
        <v>454793.34763110598</v>
      </c>
      <c r="CU307" s="168">
        <f t="shared" si="590"/>
        <v>480386.48176173773</v>
      </c>
      <c r="CV307" s="168">
        <f t="shared" si="590"/>
        <v>491869.91356000688</v>
      </c>
      <c r="CW307" s="235">
        <f t="shared" si="590"/>
        <v>1886185.5499022831</v>
      </c>
      <c r="CX307" s="168">
        <f t="shared" si="590"/>
        <v>459135.80694943236</v>
      </c>
      <c r="CY307" s="168">
        <f t="shared" si="590"/>
        <v>454793.34763110598</v>
      </c>
      <c r="CZ307" s="168">
        <f t="shared" si="590"/>
        <v>480386.48176173773</v>
      </c>
      <c r="DA307" s="168">
        <f t="shared" si="590"/>
        <v>491869.91356000688</v>
      </c>
      <c r="DB307" s="235">
        <f t="shared" si="590"/>
        <v>1886185.5499022831</v>
      </c>
      <c r="DC307" s="168"/>
      <c r="DD307" s="168"/>
      <c r="DE307" s="168"/>
      <c r="DF307" s="168"/>
      <c r="DG307" s="168"/>
      <c r="DH307" s="168"/>
      <c r="DI307" s="168"/>
      <c r="DJ307" s="168"/>
      <c r="DK307" s="406"/>
      <c r="DL307" s="406"/>
      <c r="DM307" s="61"/>
    </row>
    <row r="308" spans="1:117" outlineLevel="1">
      <c r="A308" s="36" t="s">
        <v>814</v>
      </c>
      <c r="B308" s="94">
        <f>B262+B276+B290</f>
        <v>14593</v>
      </c>
      <c r="C308" s="48">
        <f>C262+C276+C290</f>
        <v>19793</v>
      </c>
      <c r="D308" s="48">
        <f>D262+D276+D290</f>
        <v>12185</v>
      </c>
      <c r="E308" s="48">
        <f>F308-SUM(B308:D308)</f>
        <v>-1953</v>
      </c>
      <c r="F308" s="104">
        <f>F262+F276+F290</f>
        <v>44618</v>
      </c>
      <c r="G308" s="329">
        <f>25155-H308</f>
        <v>11120</v>
      </c>
      <c r="H308" s="38">
        <v>14035</v>
      </c>
      <c r="I308" s="38">
        <v>8949</v>
      </c>
      <c r="J308" s="48">
        <f>K308-SUM(G308:I308)</f>
        <v>22151</v>
      </c>
      <c r="K308" s="133">
        <v>56255</v>
      </c>
      <c r="L308" s="271">
        <v>17657</v>
      </c>
      <c r="M308" s="38">
        <v>35799</v>
      </c>
      <c r="N308" s="38">
        <v>61213</v>
      </c>
      <c r="O308" s="48">
        <f>P308-SUM(L308:N308)</f>
        <v>87077</v>
      </c>
      <c r="P308" s="133">
        <v>201746</v>
      </c>
      <c r="Q308" s="271">
        <v>74564</v>
      </c>
      <c r="R308" s="38">
        <v>131827</v>
      </c>
      <c r="S308" s="38">
        <v>201962</v>
      </c>
      <c r="T308" s="48">
        <f>U308-SUM(Q308:S308)</f>
        <v>301505</v>
      </c>
      <c r="U308" s="133">
        <v>709858</v>
      </c>
      <c r="V308" s="271">
        <v>267058</v>
      </c>
      <c r="W308" s="38">
        <v>257529</v>
      </c>
      <c r="X308" s="38">
        <v>335580</v>
      </c>
      <c r="Y308" s="48">
        <f>Z308-SUM(V308:X308)</f>
        <v>393686</v>
      </c>
      <c r="Z308" s="133">
        <v>1253853</v>
      </c>
      <c r="AA308" s="271">
        <v>192494</v>
      </c>
      <c r="AB308" s="38">
        <v>129366</v>
      </c>
      <c r="AC308" s="38">
        <v>169396</v>
      </c>
      <c r="AD308" s="48">
        <f>AE308-SUM(AA308:AC308)</f>
        <v>124435</v>
      </c>
      <c r="AE308" s="133">
        <v>615691</v>
      </c>
      <c r="AF308" s="37">
        <v>35827</v>
      </c>
      <c r="AG308" s="38">
        <v>62867</v>
      </c>
      <c r="AH308" s="38">
        <v>104079</v>
      </c>
      <c r="AI308" s="48">
        <f>AJ308-SUM(AF308:AH308)</f>
        <v>149941</v>
      </c>
      <c r="AJ308" s="133">
        <v>352714</v>
      </c>
      <c r="AK308" s="37">
        <v>144826</v>
      </c>
      <c r="AL308" s="38">
        <v>265333</v>
      </c>
      <c r="AM308" s="38">
        <v>252227</v>
      </c>
      <c r="AN308" s="38">
        <v>317500</v>
      </c>
      <c r="AO308" s="104">
        <f>SUM(AK308:AN308)</f>
        <v>979886</v>
      </c>
      <c r="AP308" s="37">
        <v>280800</v>
      </c>
      <c r="AQ308" s="38">
        <v>355400</v>
      </c>
      <c r="AR308" s="38">
        <v>375291</v>
      </c>
      <c r="AS308" s="38">
        <v>549000</v>
      </c>
      <c r="AT308" s="104">
        <f>SUM(AP308:AS308)</f>
        <v>1560491</v>
      </c>
      <c r="AU308" s="37">
        <v>443500</v>
      </c>
      <c r="AV308" s="38">
        <v>481400</v>
      </c>
      <c r="AW308" s="38">
        <v>449100</v>
      </c>
      <c r="AX308" s="38">
        <v>565400</v>
      </c>
      <c r="AY308" s="104">
        <f>SUM(AU308:AX308)</f>
        <v>1939400</v>
      </c>
      <c r="AZ308" s="37">
        <f>113100+9800+261000+12100+2100+4500</f>
        <v>402600</v>
      </c>
      <c r="BA308" s="38">
        <f>159500+8700+196900+13800+2200+6500</f>
        <v>387600</v>
      </c>
      <c r="BB308" s="38">
        <f>206100+8800+145800+8000+10700</f>
        <v>379400</v>
      </c>
      <c r="BC308" s="38">
        <v>573000</v>
      </c>
      <c r="BD308" s="104">
        <f>SUM(AZ308:BC308)</f>
        <v>1742600</v>
      </c>
      <c r="BE308" s="37">
        <v>343036</v>
      </c>
      <c r="BF308" s="38">
        <f>195500+9900+48300+10800+8300+7300</f>
        <v>280100</v>
      </c>
      <c r="BG308" s="38">
        <f>45100+7700+13000+1700+221300+10500</f>
        <v>299300</v>
      </c>
      <c r="BH308" s="38">
        <f>30700+10000+12500+5800+183500+11800</f>
        <v>254300</v>
      </c>
      <c r="BI308" s="104">
        <f>SUM(BE308:BH308)</f>
        <v>1176736</v>
      </c>
      <c r="BJ308" s="38">
        <f>34200+17900+141500</f>
        <v>193600</v>
      </c>
      <c r="BK308" s="38">
        <f>20800+84700+29300</f>
        <v>134800</v>
      </c>
      <c r="BL308" s="48">
        <v>117708.1</v>
      </c>
      <c r="BM308" s="48">
        <v>132327.70000000001</v>
      </c>
      <c r="BN308" s="104">
        <f>SUM(BJ308:BM308)</f>
        <v>578435.80000000005</v>
      </c>
      <c r="BO308" s="48">
        <v>159483.845</v>
      </c>
      <c r="BP308" s="48">
        <v>159656.26422499999</v>
      </c>
      <c r="BQ308" s="48">
        <v>159829.54554612498</v>
      </c>
      <c r="BR308" s="48">
        <v>160003.69327385561</v>
      </c>
      <c r="BS308" s="104">
        <f>SUM(BO308:BR308)</f>
        <v>638973.34804498055</v>
      </c>
      <c r="BT308" s="48">
        <v>161228.82253844061</v>
      </c>
      <c r="BU308" s="48">
        <v>161409.9666511328</v>
      </c>
      <c r="BV308" s="48">
        <v>161592.01648438841</v>
      </c>
      <c r="BW308" s="48">
        <v>161774.97656681039</v>
      </c>
      <c r="BX308" s="104">
        <f>SUM(BT308:BW308)</f>
        <v>646005.78224077215</v>
      </c>
      <c r="BY308" s="48">
        <v>188613.72539515089</v>
      </c>
      <c r="BZ308" s="48">
        <v>188806.79402212659</v>
      </c>
      <c r="CA308" s="48">
        <v>189000.82799223729</v>
      </c>
      <c r="CB308" s="48">
        <v>189195.83213219838</v>
      </c>
      <c r="CC308" s="104">
        <f>SUM(BY308:CB308)</f>
        <v>755617.17954171309</v>
      </c>
      <c r="CD308" s="48">
        <v>191155.62373880841</v>
      </c>
      <c r="CE308" s="48">
        <v>191361.40185750241</v>
      </c>
      <c r="CF308" s="48">
        <v>191568.20886678991</v>
      </c>
      <c r="CG308" s="48">
        <v>191776.0499111239</v>
      </c>
      <c r="CH308" s="104">
        <f>SUM(CD308:CG308)</f>
        <v>765861.28437422472</v>
      </c>
      <c r="CI308" s="48">
        <v>206364.85240668</v>
      </c>
      <c r="CJ308" s="48">
        <v>206584.17666871339</v>
      </c>
      <c r="CK308" s="48">
        <v>206804.59755205701</v>
      </c>
      <c r="CL308" s="48">
        <v>207026.12053981729</v>
      </c>
      <c r="CM308" s="104">
        <f>SUM(CI308:CL308)</f>
        <v>826779.7471672676</v>
      </c>
      <c r="CN308" s="48">
        <v>209252.42656680819</v>
      </c>
      <c r="CO308" s="48">
        <v>209486.1886996422</v>
      </c>
      <c r="CP308" s="48">
        <v>209721.11964314041</v>
      </c>
      <c r="CQ308" s="48">
        <v>209957.22524135609</v>
      </c>
      <c r="CR308" s="104">
        <f>SUM(CN308:CQ308)</f>
        <v>838416.96015094686</v>
      </c>
      <c r="CS308" s="48">
        <v>209252.42656680819</v>
      </c>
      <c r="CT308" s="48">
        <v>209486.1886996422</v>
      </c>
      <c r="CU308" s="48">
        <v>209721.11964314041</v>
      </c>
      <c r="CV308" s="48">
        <v>209957.22524135609</v>
      </c>
      <c r="CW308" s="104">
        <f>SUM(CS308:CV308)</f>
        <v>838416.96015094686</v>
      </c>
      <c r="CX308" s="48">
        <v>209252.42656680819</v>
      </c>
      <c r="CY308" s="48">
        <v>209486.1886996422</v>
      </c>
      <c r="CZ308" s="48">
        <v>209721.11964314041</v>
      </c>
      <c r="DA308" s="48">
        <v>209957.22524135609</v>
      </c>
      <c r="DB308" s="104">
        <f>SUM(CX308:DA308)</f>
        <v>838416.96015094686</v>
      </c>
      <c r="DC308" s="48"/>
      <c r="DD308" s="48"/>
      <c r="DE308" s="48"/>
      <c r="DF308" s="48"/>
      <c r="DG308" s="48"/>
      <c r="DH308" s="48"/>
      <c r="DI308" s="48"/>
      <c r="DJ308" s="48"/>
      <c r="DK308" s="99"/>
      <c r="DL308" s="99"/>
      <c r="DM308" s="61"/>
    </row>
    <row r="309" spans="1:117" outlineLevel="1">
      <c r="A309" s="28"/>
      <c r="B309" s="212"/>
      <c r="C309" s="176"/>
      <c r="D309" s="176"/>
      <c r="E309" s="176"/>
      <c r="F309" s="213"/>
      <c r="G309" s="212"/>
      <c r="H309" s="176"/>
      <c r="I309" s="176"/>
      <c r="J309" s="176"/>
      <c r="K309" s="213"/>
      <c r="L309" s="212"/>
      <c r="M309" s="176"/>
      <c r="N309" s="176"/>
      <c r="O309" s="176"/>
      <c r="P309" s="213"/>
      <c r="Q309" s="212"/>
      <c r="R309" s="176"/>
      <c r="S309" s="176"/>
      <c r="T309" s="176"/>
      <c r="U309" s="213"/>
      <c r="V309" s="212"/>
      <c r="W309" s="176"/>
      <c r="X309" s="176"/>
      <c r="Y309" s="176"/>
      <c r="Z309" s="213"/>
      <c r="AA309" s="212"/>
      <c r="AB309" s="176"/>
      <c r="AC309" s="18"/>
      <c r="AD309" s="18"/>
      <c r="AE309" s="127"/>
      <c r="AF309" s="19"/>
      <c r="AG309" s="18"/>
      <c r="AH309" s="18"/>
      <c r="AI309" s="18"/>
      <c r="AJ309" s="127"/>
      <c r="AK309" s="19"/>
      <c r="AL309" s="18"/>
      <c r="AM309" s="18"/>
      <c r="AN309" s="18"/>
      <c r="AO309" s="127"/>
      <c r="AP309" s="19"/>
      <c r="AQ309" s="18"/>
      <c r="AR309" s="18"/>
      <c r="AS309" s="18"/>
      <c r="AT309" s="133"/>
      <c r="AU309" s="19"/>
      <c r="AV309" s="18"/>
      <c r="AW309" s="18"/>
      <c r="AX309" s="18"/>
      <c r="AY309" s="133"/>
      <c r="AZ309" s="19"/>
      <c r="BA309" s="18"/>
      <c r="BB309" s="18"/>
      <c r="BC309" s="18"/>
      <c r="BD309" s="127"/>
      <c r="BE309" s="19"/>
      <c r="BF309" s="18"/>
      <c r="BG309" s="18"/>
      <c r="BH309" s="18"/>
      <c r="BI309" s="127"/>
      <c r="BJ309" s="19"/>
      <c r="BK309" s="18"/>
      <c r="BL309" s="18"/>
      <c r="BM309" s="18"/>
      <c r="BN309" s="127"/>
      <c r="BO309" s="19"/>
      <c r="BP309" s="18"/>
      <c r="BQ309" s="18"/>
      <c r="BR309" s="18"/>
      <c r="BS309" s="127"/>
      <c r="BT309" s="19"/>
      <c r="BU309" s="18"/>
      <c r="BV309" s="18"/>
      <c r="BW309" s="18"/>
      <c r="BX309" s="127"/>
      <c r="BY309" s="19"/>
      <c r="BZ309" s="18"/>
      <c r="CA309" s="18"/>
      <c r="CB309" s="18"/>
      <c r="CC309" s="127"/>
      <c r="CD309" s="19"/>
      <c r="CE309" s="18"/>
      <c r="CF309" s="18"/>
      <c r="CG309" s="18"/>
      <c r="CH309" s="127"/>
      <c r="CI309" s="19"/>
      <c r="CJ309" s="18"/>
      <c r="CK309" s="18"/>
      <c r="CL309" s="18"/>
      <c r="CM309" s="127"/>
      <c r="CN309" s="19"/>
      <c r="CO309" s="18"/>
      <c r="CP309" s="18"/>
      <c r="CQ309" s="18"/>
      <c r="CR309" s="127"/>
      <c r="CS309" s="19"/>
      <c r="CT309" s="18"/>
      <c r="CU309" s="18"/>
      <c r="CV309" s="18"/>
      <c r="CW309" s="127"/>
      <c r="CX309" s="19"/>
      <c r="CY309" s="18"/>
      <c r="CZ309" s="18"/>
      <c r="DA309" s="18"/>
      <c r="DB309" s="127"/>
      <c r="DC309" s="18"/>
      <c r="DD309" s="18"/>
      <c r="DE309" s="18"/>
      <c r="DF309" s="18"/>
      <c r="DG309" s="18"/>
      <c r="DH309" s="18"/>
      <c r="DI309" s="18"/>
      <c r="DJ309" s="18"/>
      <c r="DK309" s="61"/>
      <c r="DL309" s="61"/>
      <c r="DM309" s="61"/>
    </row>
    <row r="310" spans="1:117" outlineLevel="1">
      <c r="A310" s="35" t="s">
        <v>137</v>
      </c>
      <c r="B310" s="37"/>
      <c r="C310" s="38"/>
      <c r="D310" s="38"/>
      <c r="E310" s="38"/>
      <c r="F310" s="133"/>
      <c r="G310" s="37"/>
      <c r="H310" s="38"/>
      <c r="I310" s="38"/>
      <c r="J310" s="38"/>
      <c r="K310" s="133"/>
      <c r="L310" s="37"/>
      <c r="M310" s="38"/>
      <c r="N310" s="38"/>
      <c r="O310" s="38"/>
      <c r="P310" s="133"/>
      <c r="Q310" s="37"/>
      <c r="R310" s="38"/>
      <c r="S310" s="38"/>
      <c r="T310" s="38"/>
      <c r="U310" s="133"/>
      <c r="V310" s="37"/>
      <c r="W310" s="38"/>
      <c r="X310" s="38"/>
      <c r="Y310" s="38"/>
      <c r="Z310" s="133"/>
      <c r="AA310" s="37"/>
      <c r="AB310" s="38"/>
      <c r="AC310" s="18"/>
      <c r="AD310" s="18"/>
      <c r="AE310" s="127"/>
      <c r="AF310" s="19"/>
      <c r="AG310" s="18"/>
      <c r="AH310" s="18"/>
      <c r="AI310" s="18"/>
      <c r="AJ310" s="127"/>
      <c r="AK310" s="19"/>
      <c r="AL310" s="18"/>
      <c r="AM310" s="18"/>
      <c r="AN310" s="18"/>
      <c r="AO310" s="127"/>
      <c r="AP310" s="19"/>
      <c r="AQ310" s="18"/>
      <c r="AR310" s="18"/>
      <c r="AS310" s="18"/>
      <c r="AT310" s="127"/>
      <c r="AU310" s="19"/>
      <c r="AV310" s="18"/>
      <c r="AW310" s="18"/>
      <c r="AX310" s="18"/>
      <c r="AY310" s="127"/>
      <c r="AZ310" s="19"/>
      <c r="BA310" s="18"/>
      <c r="BB310" s="18"/>
      <c r="BC310" s="18"/>
      <c r="BD310" s="127"/>
      <c r="BE310" s="19"/>
      <c r="BF310" s="18"/>
      <c r="BG310" s="18"/>
      <c r="BH310" s="18"/>
      <c r="BI310" s="127"/>
      <c r="BJ310" s="19"/>
      <c r="BK310" s="18"/>
      <c r="BL310" s="18"/>
      <c r="BM310" s="18"/>
      <c r="BN310" s="127"/>
      <c r="BO310" s="19"/>
      <c r="BP310" s="18"/>
      <c r="BQ310" s="18"/>
      <c r="BR310" s="18"/>
      <c r="BS310" s="127"/>
      <c r="BT310" s="19"/>
      <c r="BU310" s="18"/>
      <c r="BV310" s="18"/>
      <c r="BW310" s="18"/>
      <c r="BX310" s="127"/>
      <c r="BY310" s="19"/>
      <c r="BZ310" s="18"/>
      <c r="CA310" s="18"/>
      <c r="CB310" s="18"/>
      <c r="CC310" s="127"/>
      <c r="CD310" s="19"/>
      <c r="CE310" s="18"/>
      <c r="CF310" s="18"/>
      <c r="CG310" s="18"/>
      <c r="CH310" s="127"/>
      <c r="CI310" s="19"/>
      <c r="CJ310" s="18"/>
      <c r="CK310" s="18"/>
      <c r="CL310" s="18"/>
      <c r="CM310" s="127"/>
      <c r="CN310" s="19"/>
      <c r="CO310" s="18"/>
      <c r="CP310" s="18"/>
      <c r="CQ310" s="18"/>
      <c r="CR310" s="127"/>
      <c r="CS310" s="19"/>
      <c r="CT310" s="18"/>
      <c r="CU310" s="18"/>
      <c r="CV310" s="18"/>
      <c r="CW310" s="127"/>
      <c r="CX310" s="19"/>
      <c r="CY310" s="18"/>
      <c r="CZ310" s="18"/>
      <c r="DA310" s="18"/>
      <c r="DB310" s="127"/>
      <c r="DC310" s="18"/>
      <c r="DD310" s="18"/>
      <c r="DE310" s="18"/>
      <c r="DF310" s="18"/>
      <c r="DG310" s="18"/>
      <c r="DH310" s="18"/>
      <c r="DI310" s="18"/>
      <c r="DJ310" s="18"/>
      <c r="DK310" s="61"/>
      <c r="DL310" s="61"/>
      <c r="DM310" s="61"/>
    </row>
    <row r="311" spans="1:117" outlineLevel="1">
      <c r="A311" s="33" t="s">
        <v>715</v>
      </c>
      <c r="B311" s="37">
        <v>1106</v>
      </c>
      <c r="C311" s="38">
        <v>1113</v>
      </c>
      <c r="D311" s="38">
        <v>1099</v>
      </c>
      <c r="E311" s="38">
        <v>1080</v>
      </c>
      <c r="F311" s="133">
        <v>1099</v>
      </c>
      <c r="G311" s="236">
        <v>1110</v>
      </c>
      <c r="H311" s="38">
        <v>1131</v>
      </c>
      <c r="I311" s="38">
        <v>1093</v>
      </c>
      <c r="J311" s="38">
        <v>973</v>
      </c>
      <c r="K311" s="133">
        <v>1077</v>
      </c>
      <c r="L311" s="37">
        <v>1145</v>
      </c>
      <c r="M311" s="38">
        <v>1142</v>
      </c>
      <c r="N311" s="38">
        <v>1202</v>
      </c>
      <c r="O311" s="38">
        <v>1182</v>
      </c>
      <c r="P311" s="133">
        <v>1168</v>
      </c>
      <c r="Q311" s="37">
        <v>1168</v>
      </c>
      <c r="R311" s="38">
        <v>1188</v>
      </c>
      <c r="S311" s="38">
        <v>1170</v>
      </c>
      <c r="T311" s="38">
        <v>1177</v>
      </c>
      <c r="U311" s="133">
        <v>1171</v>
      </c>
      <c r="V311" s="37">
        <v>1192</v>
      </c>
      <c r="W311" s="38">
        <v>1185</v>
      </c>
      <c r="X311" s="38">
        <v>1146</v>
      </c>
      <c r="Y311" s="38">
        <v>1136</v>
      </c>
      <c r="Z311" s="133">
        <v>1164</v>
      </c>
      <c r="AA311" s="37">
        <v>1163</v>
      </c>
      <c r="AB311" s="65">
        <v>1130</v>
      </c>
      <c r="AC311" s="38">
        <v>1100</v>
      </c>
      <c r="AD311" s="38">
        <v>1099</v>
      </c>
      <c r="AE311" s="133">
        <v>1123</v>
      </c>
      <c r="AF311" s="343">
        <v>1092</v>
      </c>
      <c r="AG311" s="343">
        <v>1088</v>
      </c>
      <c r="AH311" s="38">
        <v>1046</v>
      </c>
      <c r="AI311" s="343">
        <v>1042</v>
      </c>
      <c r="AJ311" s="104">
        <f>AVERAGE(AF311:AI311)</f>
        <v>1067</v>
      </c>
      <c r="AK311" s="343">
        <v>992</v>
      </c>
      <c r="AL311" s="343">
        <v>1026</v>
      </c>
      <c r="AM311" s="38">
        <v>1044</v>
      </c>
      <c r="AN311" s="38">
        <v>1057</v>
      </c>
      <c r="AO311" s="104">
        <f>AVERAGE(AK311:AN311)</f>
        <v>1029.75</v>
      </c>
      <c r="AP311" s="343">
        <v>1045</v>
      </c>
      <c r="AQ311" s="38">
        <v>1079</v>
      </c>
      <c r="AR311" s="38">
        <v>1149</v>
      </c>
      <c r="AS311" s="38">
        <v>1201</v>
      </c>
      <c r="AT311" s="104">
        <f>AVERAGE(AP311:AS311)</f>
        <v>1118.5</v>
      </c>
      <c r="AU311" s="343">
        <v>1215</v>
      </c>
      <c r="AV311" s="38">
        <v>1326</v>
      </c>
      <c r="AW311" s="38">
        <v>1389</v>
      </c>
      <c r="AX311" s="38">
        <v>1454</v>
      </c>
      <c r="AY311" s="104">
        <f>AVERAGE(AU311:AX311)</f>
        <v>1346</v>
      </c>
      <c r="AZ311" s="343">
        <v>1499</v>
      </c>
      <c r="BA311" s="38">
        <v>1646</v>
      </c>
      <c r="BB311" s="38">
        <v>1847</v>
      </c>
      <c r="BC311" s="38">
        <v>1934</v>
      </c>
      <c r="BD311" s="104">
        <f>AVERAGE(AZ311:BC311)</f>
        <v>1731.5</v>
      </c>
      <c r="BE311" s="343">
        <v>1808</v>
      </c>
      <c r="BF311" s="38">
        <v>1926</v>
      </c>
      <c r="BG311" s="38">
        <v>1897</v>
      </c>
      <c r="BH311" s="38">
        <v>2094</v>
      </c>
      <c r="BI311" s="104">
        <f>AVERAGE(BE311:BH311)</f>
        <v>1931.25</v>
      </c>
      <c r="BJ311" s="343">
        <v>2128</v>
      </c>
      <c r="BK311" s="38">
        <v>2039</v>
      </c>
      <c r="BL311" s="38">
        <v>1977</v>
      </c>
      <c r="BM311" s="38">
        <v>1995</v>
      </c>
      <c r="BN311" s="133">
        <v>2034</v>
      </c>
      <c r="BO311" s="343">
        <v>1985</v>
      </c>
      <c r="BP311" s="38">
        <v>2175</v>
      </c>
      <c r="BQ311" s="38">
        <v>2278</v>
      </c>
      <c r="BR311" s="38">
        <v>2402</v>
      </c>
      <c r="BS311" s="133">
        <v>2211</v>
      </c>
      <c r="BT311" s="105"/>
      <c r="BU311" s="105"/>
      <c r="BV311" s="105"/>
      <c r="BW311" s="105"/>
      <c r="BX311" s="104"/>
      <c r="BY311" s="105"/>
      <c r="BZ311" s="105"/>
      <c r="CA311" s="105"/>
      <c r="CB311" s="105"/>
      <c r="CC311" s="104"/>
      <c r="CD311" s="105"/>
      <c r="CE311" s="105"/>
      <c r="CF311" s="105"/>
      <c r="CG311" s="105"/>
      <c r="CH311" s="104"/>
      <c r="CI311" s="105"/>
      <c r="CJ311" s="105"/>
      <c r="CK311" s="105"/>
      <c r="CL311" s="105"/>
      <c r="CM311" s="104"/>
      <c r="CN311" s="105"/>
      <c r="CO311" s="105"/>
      <c r="CP311" s="105"/>
      <c r="CQ311" s="105"/>
      <c r="CR311" s="104"/>
      <c r="CS311" s="105"/>
      <c r="CT311" s="105"/>
      <c r="CU311" s="105"/>
      <c r="CV311" s="105"/>
      <c r="CW311" s="104"/>
      <c r="CX311" s="105"/>
      <c r="CY311" s="105"/>
      <c r="CZ311" s="105"/>
      <c r="DA311" s="105"/>
      <c r="DB311" s="104"/>
      <c r="DC311" s="48"/>
      <c r="DD311" s="48"/>
      <c r="DE311" s="48"/>
      <c r="DF311" s="48"/>
      <c r="DG311" s="48"/>
      <c r="DH311" s="48"/>
      <c r="DI311" s="48"/>
      <c r="DJ311" s="48"/>
      <c r="DK311" s="99"/>
      <c r="DL311" s="99"/>
      <c r="DM311" s="61"/>
    </row>
    <row r="312" spans="1:117" outlineLevel="1">
      <c r="A312" s="33" t="s">
        <v>49</v>
      </c>
      <c r="B312" s="37">
        <v>1164</v>
      </c>
      <c r="C312" s="38">
        <v>1147</v>
      </c>
      <c r="D312" s="38">
        <v>1175</v>
      </c>
      <c r="E312" s="38">
        <v>1201</v>
      </c>
      <c r="F312" s="133">
        <v>1172</v>
      </c>
      <c r="G312" s="236">
        <v>1097</v>
      </c>
      <c r="H312" s="38">
        <v>1167</v>
      </c>
      <c r="I312" s="38">
        <v>1141</v>
      </c>
      <c r="J312" s="38">
        <v>1049</v>
      </c>
      <c r="K312" s="133">
        <v>1117</v>
      </c>
      <c r="L312" s="37">
        <v>931</v>
      </c>
      <c r="M312" s="38">
        <v>993</v>
      </c>
      <c r="N312" s="38">
        <v>1017</v>
      </c>
      <c r="O312" s="38">
        <v>1010</v>
      </c>
      <c r="P312" s="133">
        <v>988</v>
      </c>
      <c r="Q312" s="37">
        <v>609</v>
      </c>
      <c r="R312" s="38">
        <v>619</v>
      </c>
      <c r="S312" s="38">
        <v>617</v>
      </c>
      <c r="T312" s="38">
        <v>641</v>
      </c>
      <c r="U312" s="133">
        <v>621</v>
      </c>
      <c r="V312" s="37">
        <v>624</v>
      </c>
      <c r="W312" s="38">
        <v>651</v>
      </c>
      <c r="X312" s="38">
        <v>649</v>
      </c>
      <c r="Y312" s="38">
        <v>639</v>
      </c>
      <c r="Z312" s="133">
        <v>641</v>
      </c>
      <c r="AA312" s="37">
        <v>653</v>
      </c>
      <c r="AB312" s="65">
        <v>658</v>
      </c>
      <c r="AC312" s="38">
        <v>664</v>
      </c>
      <c r="AD312" s="38">
        <v>656</v>
      </c>
      <c r="AE312" s="133">
        <v>658</v>
      </c>
      <c r="AF312" s="343">
        <v>664</v>
      </c>
      <c r="AG312" s="343">
        <v>690</v>
      </c>
      <c r="AH312" s="38">
        <v>669</v>
      </c>
      <c r="AI312" s="343">
        <v>673</v>
      </c>
      <c r="AJ312" s="104">
        <f>AVERAGE(AF312:AI312)</f>
        <v>674</v>
      </c>
      <c r="AK312" s="343">
        <v>641</v>
      </c>
      <c r="AL312" s="343">
        <v>682</v>
      </c>
      <c r="AM312" s="38">
        <v>723</v>
      </c>
      <c r="AN312" s="38">
        <v>758</v>
      </c>
      <c r="AO312" s="104">
        <f>AVERAGE(AK312:AN312)</f>
        <v>701</v>
      </c>
      <c r="AP312" s="343">
        <v>769</v>
      </c>
      <c r="AQ312" s="38">
        <v>823</v>
      </c>
      <c r="AR312" s="38">
        <v>906</v>
      </c>
      <c r="AS312" s="38">
        <v>964</v>
      </c>
      <c r="AT312" s="104">
        <f>AVERAGE(AP312:AS312)</f>
        <v>865.5</v>
      </c>
      <c r="AU312" s="343">
        <v>989</v>
      </c>
      <c r="AV312" s="38">
        <v>1055</v>
      </c>
      <c r="AW312" s="38">
        <v>1135</v>
      </c>
      <c r="AX312" s="38">
        <v>1193</v>
      </c>
      <c r="AY312" s="104">
        <f>AVERAGE(AU312:AX312)</f>
        <v>1093</v>
      </c>
      <c r="AZ312" s="343">
        <v>1268</v>
      </c>
      <c r="BA312" s="38">
        <v>1447</v>
      </c>
      <c r="BB312" s="38">
        <v>1666</v>
      </c>
      <c r="BC312" s="38">
        <v>1751</v>
      </c>
      <c r="BD312" s="104">
        <f>AVERAGE(AZ312:BC312)</f>
        <v>1533</v>
      </c>
      <c r="BE312" s="343">
        <v>1625</v>
      </c>
      <c r="BF312" s="38">
        <v>1677</v>
      </c>
      <c r="BG312" s="38">
        <v>1617</v>
      </c>
      <c r="BH312" s="38">
        <v>1828</v>
      </c>
      <c r="BI312" s="104">
        <f>AVERAGE(BE312:BH312)</f>
        <v>1686.75</v>
      </c>
      <c r="BJ312" s="343">
        <v>1948</v>
      </c>
      <c r="BK312" s="38">
        <v>1882</v>
      </c>
      <c r="BL312" s="38">
        <v>1829</v>
      </c>
      <c r="BM312" s="38">
        <v>1869</v>
      </c>
      <c r="BN312" s="133">
        <v>1882</v>
      </c>
      <c r="BO312" s="343">
        <v>1863</v>
      </c>
      <c r="BP312" s="38">
        <v>1992</v>
      </c>
      <c r="BQ312" s="38">
        <v>2128</v>
      </c>
      <c r="BR312" s="38">
        <v>2235</v>
      </c>
      <c r="BS312" s="133">
        <v>1056</v>
      </c>
      <c r="BT312" s="105"/>
      <c r="BU312" s="105"/>
      <c r="BV312" s="105"/>
      <c r="BW312" s="105"/>
      <c r="BX312" s="104"/>
      <c r="BY312" s="105"/>
      <c r="BZ312" s="105"/>
      <c r="CA312" s="105"/>
      <c r="CB312" s="105"/>
      <c r="CC312" s="104"/>
      <c r="CD312" s="105"/>
      <c r="CE312" s="105"/>
      <c r="CF312" s="105"/>
      <c r="CG312" s="105"/>
      <c r="CH312" s="104"/>
      <c r="CI312" s="105"/>
      <c r="CJ312" s="105"/>
      <c r="CK312" s="105"/>
      <c r="CL312" s="105"/>
      <c r="CM312" s="104"/>
      <c r="CN312" s="105"/>
      <c r="CO312" s="105"/>
      <c r="CP312" s="105"/>
      <c r="CQ312" s="105"/>
      <c r="CR312" s="104"/>
      <c r="CS312" s="105"/>
      <c r="CT312" s="105"/>
      <c r="CU312" s="105"/>
      <c r="CV312" s="105"/>
      <c r="CW312" s="104"/>
      <c r="CX312" s="105"/>
      <c r="CY312" s="105"/>
      <c r="CZ312" s="105"/>
      <c r="DA312" s="105"/>
      <c r="DB312" s="104"/>
      <c r="DC312" s="48"/>
      <c r="DD312" s="48"/>
      <c r="DE312" s="48"/>
      <c r="DF312" s="48"/>
      <c r="DG312" s="48"/>
      <c r="DH312" s="48"/>
      <c r="DI312" s="48"/>
      <c r="DJ312" s="48"/>
      <c r="DK312" s="99"/>
      <c r="DL312" s="99"/>
      <c r="DM312" s="61"/>
    </row>
    <row r="313" spans="1:117" outlineLevel="1">
      <c r="A313" s="33" t="s">
        <v>714</v>
      </c>
      <c r="B313" s="236" t="s">
        <v>277</v>
      </c>
      <c r="C313" s="324" t="s">
        <v>277</v>
      </c>
      <c r="D313" s="324" t="s">
        <v>277</v>
      </c>
      <c r="E313" s="324" t="s">
        <v>277</v>
      </c>
      <c r="F313" s="325" t="s">
        <v>277</v>
      </c>
      <c r="G313" s="236" t="s">
        <v>277</v>
      </c>
      <c r="H313" s="324" t="s">
        <v>277</v>
      </c>
      <c r="I313" s="324" t="s">
        <v>277</v>
      </c>
      <c r="J313" s="324" t="s">
        <v>277</v>
      </c>
      <c r="K313" s="133">
        <v>1333</v>
      </c>
      <c r="L313" s="236" t="s">
        <v>277</v>
      </c>
      <c r="M313" s="324" t="s">
        <v>277</v>
      </c>
      <c r="N313" s="38">
        <v>3512</v>
      </c>
      <c r="O313" s="38">
        <v>3664</v>
      </c>
      <c r="P313" s="133">
        <v>3634</v>
      </c>
      <c r="Q313" s="37">
        <v>3948</v>
      </c>
      <c r="R313" s="38">
        <v>3333</v>
      </c>
      <c r="S313" s="38">
        <v>3378</v>
      </c>
      <c r="T313" s="38">
        <v>3639</v>
      </c>
      <c r="U313" s="133">
        <v>3579</v>
      </c>
      <c r="V313" s="37">
        <v>4075</v>
      </c>
      <c r="W313" s="65">
        <v>4816</v>
      </c>
      <c r="X313" s="38">
        <v>4765</v>
      </c>
      <c r="Y313" s="38">
        <v>3749</v>
      </c>
      <c r="Z313" s="133">
        <v>3665</v>
      </c>
      <c r="AA313" s="37">
        <v>4200</v>
      </c>
      <c r="AB313" s="65">
        <v>5264</v>
      </c>
      <c r="AC313" s="38">
        <v>5764</v>
      </c>
      <c r="AD313" s="337">
        <v>5837</v>
      </c>
      <c r="AE313" s="133">
        <v>5551</v>
      </c>
      <c r="AF313" s="343">
        <v>5860</v>
      </c>
      <c r="AG313" s="343">
        <v>5454</v>
      </c>
      <c r="AH313" s="38">
        <v>5460</v>
      </c>
      <c r="AI313" s="343">
        <v>5621</v>
      </c>
      <c r="AJ313" s="104">
        <f>AVERAGE(AF313:AI313)</f>
        <v>5598.75</v>
      </c>
      <c r="AK313" s="343">
        <v>5608</v>
      </c>
      <c r="AL313" s="343">
        <v>5295</v>
      </c>
      <c r="AM313" s="38">
        <v>5132</v>
      </c>
      <c r="AN313" s="38">
        <v>5433</v>
      </c>
      <c r="AO313" s="432">
        <f>AVERAGE(AK313:AN313)</f>
        <v>5367</v>
      </c>
      <c r="AP313" s="343">
        <v>5552</v>
      </c>
      <c r="AQ313" s="38">
        <v>5236</v>
      </c>
      <c r="AR313" s="38">
        <v>5249</v>
      </c>
      <c r="AS313" s="38">
        <v>5429</v>
      </c>
      <c r="AT313" s="432">
        <f>AVERAGE(AP313:AS313)</f>
        <v>5366.5</v>
      </c>
      <c r="AU313" s="343">
        <v>5670</v>
      </c>
      <c r="AV313" s="38">
        <v>5362</v>
      </c>
      <c r="AW313" s="38">
        <v>5428</v>
      </c>
      <c r="AX313" s="38">
        <v>5632</v>
      </c>
      <c r="AY313" s="432">
        <f>AVERAGE(AU313:AX313)</f>
        <v>5523</v>
      </c>
      <c r="AZ313" s="343">
        <v>5866</v>
      </c>
      <c r="BA313" s="38">
        <v>5691</v>
      </c>
      <c r="BB313" s="38">
        <v>5725</v>
      </c>
      <c r="BC313" s="38">
        <v>5844</v>
      </c>
      <c r="BD313" s="432">
        <f>AVERAGE(AZ313:BC313)</f>
        <v>5781.5</v>
      </c>
      <c r="BE313" s="343">
        <v>5939</v>
      </c>
      <c r="BF313" s="65">
        <v>5714</v>
      </c>
      <c r="BG313" s="38">
        <v>5739</v>
      </c>
      <c r="BH313" s="38">
        <v>5938</v>
      </c>
      <c r="BI313" s="432">
        <f>AVERAGE(BE313:BH313)</f>
        <v>5832.5</v>
      </c>
      <c r="BJ313" s="343">
        <v>6156</v>
      </c>
      <c r="BK313" s="65">
        <v>6193</v>
      </c>
      <c r="BL313" s="65">
        <v>6300</v>
      </c>
      <c r="BM313" s="65">
        <v>6659</v>
      </c>
      <c r="BN313" s="172">
        <v>6345</v>
      </c>
      <c r="BO313" s="343">
        <v>6757</v>
      </c>
      <c r="BP313" s="65">
        <v>6452</v>
      </c>
      <c r="BQ313" s="65">
        <v>6593</v>
      </c>
      <c r="BR313" s="65">
        <v>6642</v>
      </c>
      <c r="BS313" s="172">
        <v>6611</v>
      </c>
      <c r="BT313" s="433"/>
      <c r="BU313" s="433"/>
      <c r="BV313" s="433"/>
      <c r="BW313" s="433"/>
      <c r="BX313" s="432"/>
      <c r="BY313" s="433"/>
      <c r="BZ313" s="433"/>
      <c r="CA313" s="433"/>
      <c r="CB313" s="433"/>
      <c r="CC313" s="432"/>
      <c r="CD313" s="433"/>
      <c r="CE313" s="433"/>
      <c r="CF313" s="433"/>
      <c r="CG313" s="433"/>
      <c r="CH313" s="432"/>
      <c r="CI313" s="433"/>
      <c r="CJ313" s="433"/>
      <c r="CK313" s="433"/>
      <c r="CL313" s="433"/>
      <c r="CM313" s="432"/>
      <c r="CN313" s="433"/>
      <c r="CO313" s="433"/>
      <c r="CP313" s="433"/>
      <c r="CQ313" s="433"/>
      <c r="CR313" s="432"/>
      <c r="CS313" s="433"/>
      <c r="CT313" s="433"/>
      <c r="CU313" s="433"/>
      <c r="CV313" s="433"/>
      <c r="CW313" s="432"/>
      <c r="CX313" s="433"/>
      <c r="CY313" s="433"/>
      <c r="CZ313" s="433"/>
      <c r="DA313" s="433"/>
      <c r="DB313" s="432"/>
      <c r="DC313" s="555"/>
      <c r="DD313" s="555"/>
      <c r="DE313" s="555"/>
      <c r="DF313" s="555"/>
      <c r="DG313" s="555"/>
      <c r="DH313" s="555"/>
      <c r="DI313" s="555"/>
      <c r="DJ313" s="555"/>
      <c r="DK313" s="99"/>
      <c r="DL313" s="99"/>
      <c r="DM313" s="61"/>
    </row>
    <row r="314" spans="1:117" outlineLevel="1">
      <c r="A314" s="33" t="s">
        <v>50</v>
      </c>
      <c r="B314" s="37">
        <v>312</v>
      </c>
      <c r="C314" s="38">
        <v>332</v>
      </c>
      <c r="D314" s="38">
        <v>330</v>
      </c>
      <c r="E314" s="38">
        <v>338</v>
      </c>
      <c r="F314" s="133">
        <v>336</v>
      </c>
      <c r="G314" s="236">
        <v>340</v>
      </c>
      <c r="H314" s="38">
        <v>353</v>
      </c>
      <c r="I314" s="38">
        <v>341</v>
      </c>
      <c r="J314" s="38">
        <v>301</v>
      </c>
      <c r="K314" s="133">
        <v>334</v>
      </c>
      <c r="L314" s="236">
        <v>311</v>
      </c>
      <c r="M314" s="38">
        <v>289</v>
      </c>
      <c r="N314" s="38">
        <v>353</v>
      </c>
      <c r="O314" s="38">
        <v>288</v>
      </c>
      <c r="P314" s="133">
        <v>302</v>
      </c>
      <c r="Q314" s="37">
        <v>268</v>
      </c>
      <c r="R314" s="38">
        <v>273</v>
      </c>
      <c r="S314" s="38">
        <v>289</v>
      </c>
      <c r="T314" s="38">
        <v>287</v>
      </c>
      <c r="U314" s="133">
        <v>281</v>
      </c>
      <c r="V314" s="37">
        <v>277</v>
      </c>
      <c r="W314" s="38">
        <v>281</v>
      </c>
      <c r="X314" s="38">
        <v>281</v>
      </c>
      <c r="Y314" s="38">
        <v>279</v>
      </c>
      <c r="Z314" s="133">
        <v>279</v>
      </c>
      <c r="AA314" s="37">
        <v>285</v>
      </c>
      <c r="AB314" s="65">
        <v>291</v>
      </c>
      <c r="AC314" s="38">
        <v>297</v>
      </c>
      <c r="AD314" s="38">
        <v>289</v>
      </c>
      <c r="AE314" s="133">
        <v>291</v>
      </c>
      <c r="AF314" s="343">
        <v>275</v>
      </c>
      <c r="AG314" s="343">
        <v>290</v>
      </c>
      <c r="AH314" s="38">
        <v>292</v>
      </c>
      <c r="AI314" s="343">
        <v>285</v>
      </c>
      <c r="AJ314" s="104">
        <f>AVERAGE(AF314:AI314)</f>
        <v>285.5</v>
      </c>
      <c r="AK314" s="343">
        <v>274</v>
      </c>
      <c r="AL314" s="343">
        <v>300</v>
      </c>
      <c r="AM314" s="38">
        <v>348</v>
      </c>
      <c r="AN314" s="38">
        <v>345</v>
      </c>
      <c r="AO314" s="432">
        <f>AVERAGE(AK314:AN314)</f>
        <v>316.75</v>
      </c>
      <c r="AP314" s="343">
        <v>357</v>
      </c>
      <c r="AQ314" s="38">
        <v>385</v>
      </c>
      <c r="AR314" s="38">
        <v>416</v>
      </c>
      <c r="AS314" s="38">
        <v>430</v>
      </c>
      <c r="AT314" s="432">
        <f>AVERAGE(AP314:AS314)</f>
        <v>397</v>
      </c>
      <c r="AU314" s="343">
        <v>436</v>
      </c>
      <c r="AV314" s="38">
        <v>467</v>
      </c>
      <c r="AW314" s="38">
        <v>521</v>
      </c>
      <c r="AX314" s="38">
        <v>562</v>
      </c>
      <c r="AY314" s="432">
        <f>AVERAGE(AU314:AX314)</f>
        <v>496.5</v>
      </c>
      <c r="AZ314" s="343">
        <v>567</v>
      </c>
      <c r="BA314" s="38">
        <v>683</v>
      </c>
      <c r="BB314" s="38">
        <v>792</v>
      </c>
      <c r="BC314" s="38">
        <v>808</v>
      </c>
      <c r="BD314" s="432">
        <f>AVERAGE(AZ314:BC314)</f>
        <v>712.5</v>
      </c>
      <c r="BE314" s="343">
        <v>781</v>
      </c>
      <c r="BF314" s="38">
        <v>864</v>
      </c>
      <c r="BG314" s="38">
        <v>837</v>
      </c>
      <c r="BH314" s="38">
        <v>927</v>
      </c>
      <c r="BI314" s="432">
        <f>AVERAGE(BE314:BH314)</f>
        <v>852.25</v>
      </c>
      <c r="BJ314" s="343">
        <v>941</v>
      </c>
      <c r="BK314" s="38">
        <v>854</v>
      </c>
      <c r="BL314" s="38">
        <v>837</v>
      </c>
      <c r="BM314" s="38">
        <v>829</v>
      </c>
      <c r="BN314" s="133">
        <v>865</v>
      </c>
      <c r="BO314" s="343">
        <v>793</v>
      </c>
      <c r="BP314" s="38">
        <v>859</v>
      </c>
      <c r="BQ314" s="38">
        <v>955</v>
      </c>
      <c r="BR314" s="38">
        <v>975</v>
      </c>
      <c r="BS314" s="133">
        <v>896</v>
      </c>
      <c r="BT314" s="433"/>
      <c r="BU314" s="433"/>
      <c r="BV314" s="433"/>
      <c r="BW314" s="433"/>
      <c r="BX314" s="432"/>
      <c r="BY314" s="433"/>
      <c r="BZ314" s="433"/>
      <c r="CA314" s="433"/>
      <c r="CB314" s="433"/>
      <c r="CC314" s="432"/>
      <c r="CD314" s="433"/>
      <c r="CE314" s="433"/>
      <c r="CF314" s="433"/>
      <c r="CG314" s="433"/>
      <c r="CH314" s="432"/>
      <c r="CI314" s="433"/>
      <c r="CJ314" s="433"/>
      <c r="CK314" s="433"/>
      <c r="CL314" s="433"/>
      <c r="CM314" s="432"/>
      <c r="CN314" s="433"/>
      <c r="CO314" s="433"/>
      <c r="CP314" s="433"/>
      <c r="CQ314" s="433"/>
      <c r="CR314" s="432"/>
      <c r="CS314" s="433"/>
      <c r="CT314" s="433"/>
      <c r="CU314" s="433"/>
      <c r="CV314" s="433"/>
      <c r="CW314" s="432"/>
      <c r="CX314" s="433"/>
      <c r="CY314" s="433"/>
      <c r="CZ314" s="433"/>
      <c r="DA314" s="433"/>
      <c r="DB314" s="432"/>
      <c r="DC314" s="555"/>
      <c r="DD314" s="555"/>
      <c r="DE314" s="555"/>
      <c r="DF314" s="555"/>
      <c r="DG314" s="555"/>
      <c r="DH314" s="555"/>
      <c r="DI314" s="555"/>
      <c r="DJ314" s="555"/>
      <c r="DK314" s="99"/>
      <c r="DL314" s="99"/>
      <c r="DM314" s="61"/>
    </row>
    <row r="315" spans="1:117" outlineLevel="1">
      <c r="A315" s="35" t="s">
        <v>868</v>
      </c>
      <c r="B315" s="37"/>
      <c r="C315" s="38"/>
      <c r="D315" s="38"/>
      <c r="E315" s="38"/>
      <c r="F315" s="133"/>
      <c r="G315" s="37"/>
      <c r="H315" s="38"/>
      <c r="I315" s="38"/>
      <c r="J315" s="38"/>
      <c r="K315" s="133"/>
      <c r="L315" s="37"/>
      <c r="M315" s="38"/>
      <c r="N315" s="38"/>
      <c r="O315" s="38"/>
      <c r="P315" s="133"/>
      <c r="Q315" s="37"/>
      <c r="R315" s="38"/>
      <c r="S315" s="38"/>
      <c r="T315" s="38"/>
      <c r="U315" s="133"/>
      <c r="V315" s="37"/>
      <c r="W315" s="38"/>
      <c r="X315" s="38"/>
      <c r="Y315" s="38"/>
      <c r="Z315" s="133"/>
      <c r="AA315" s="37"/>
      <c r="AB315" s="65"/>
      <c r="AC315" s="38"/>
      <c r="AD315" s="18"/>
      <c r="AE315" s="127"/>
      <c r="AF315" s="18"/>
      <c r="AG315" s="18"/>
      <c r="AH315" s="18"/>
      <c r="AI315" s="18"/>
      <c r="AJ315" s="127"/>
      <c r="AK315" s="18"/>
      <c r="AL315" s="18"/>
      <c r="AM315" s="18"/>
      <c r="AN315" s="18"/>
      <c r="AO315" s="127"/>
      <c r="AP315" s="18"/>
      <c r="AQ315" s="18"/>
      <c r="AR315" s="18"/>
      <c r="AS315" s="18"/>
      <c r="AT315" s="127"/>
      <c r="AU315" s="18"/>
      <c r="AV315" s="18"/>
      <c r="AW315" s="18"/>
      <c r="AX315" s="18"/>
      <c r="AY315" s="127"/>
      <c r="AZ315" s="18"/>
      <c r="BA315" s="18"/>
      <c r="BB315" s="18"/>
      <c r="BC315" s="18"/>
      <c r="BD315" s="127"/>
      <c r="BE315" s="18"/>
      <c r="BF315" s="18"/>
      <c r="BG315" s="18"/>
      <c r="BH315" s="18"/>
      <c r="BI315" s="127"/>
      <c r="BJ315" s="18"/>
      <c r="BK315" s="18"/>
      <c r="BL315" s="18"/>
      <c r="BM315" s="18"/>
      <c r="BN315" s="127"/>
      <c r="BO315" s="18"/>
      <c r="BP315" s="18"/>
      <c r="BQ315" s="18"/>
      <c r="BR315" s="18"/>
      <c r="BS315" s="127"/>
      <c r="BT315" s="18"/>
      <c r="BU315" s="18"/>
      <c r="BV315" s="18"/>
      <c r="BW315" s="18"/>
      <c r="BX315" s="127"/>
      <c r="BY315" s="18"/>
      <c r="BZ315" s="18"/>
      <c r="CA315" s="18"/>
      <c r="CB315" s="18"/>
      <c r="CC315" s="127"/>
      <c r="CD315" s="18"/>
      <c r="CE315" s="18"/>
      <c r="CF315" s="18"/>
      <c r="CG315" s="18"/>
      <c r="CH315" s="127"/>
      <c r="CI315" s="18"/>
      <c r="CJ315" s="18"/>
      <c r="CK315" s="18"/>
      <c r="CL315" s="18"/>
      <c r="CM315" s="127"/>
      <c r="CN315" s="18"/>
      <c r="CO315" s="18"/>
      <c r="CP315" s="18"/>
      <c r="CQ315" s="18"/>
      <c r="CR315" s="127"/>
      <c r="CS315" s="18"/>
      <c r="CT315" s="18"/>
      <c r="CU315" s="18"/>
      <c r="CV315" s="18"/>
      <c r="CW315" s="127"/>
      <c r="CX315" s="18"/>
      <c r="CY315" s="18"/>
      <c r="CZ315" s="18"/>
      <c r="DA315" s="18"/>
      <c r="DB315" s="127"/>
      <c r="DC315" s="18"/>
      <c r="DD315" s="18"/>
      <c r="DE315" s="18"/>
      <c r="DF315" s="18"/>
      <c r="DG315" s="18"/>
      <c r="DH315" s="18"/>
      <c r="DI315" s="18"/>
      <c r="DJ315" s="18"/>
      <c r="DK315" s="61"/>
      <c r="DL315" s="61"/>
      <c r="DM315" s="61"/>
    </row>
    <row r="316" spans="1:117" outlineLevel="1">
      <c r="A316" s="33" t="s">
        <v>869</v>
      </c>
      <c r="B316" s="236" t="s">
        <v>277</v>
      </c>
      <c r="C316" s="324" t="s">
        <v>277</v>
      </c>
      <c r="D316" s="324" t="s">
        <v>277</v>
      </c>
      <c r="E316" s="324" t="s">
        <v>277</v>
      </c>
      <c r="F316" s="325" t="s">
        <v>277</v>
      </c>
      <c r="G316" s="236" t="s">
        <v>277</v>
      </c>
      <c r="H316" s="324" t="s">
        <v>277</v>
      </c>
      <c r="I316" s="38">
        <v>193</v>
      </c>
      <c r="J316" s="38">
        <v>188</v>
      </c>
      <c r="K316" s="133">
        <v>191</v>
      </c>
      <c r="L316" s="37">
        <v>193</v>
      </c>
      <c r="M316" s="38">
        <v>213</v>
      </c>
      <c r="N316" s="38">
        <v>208</v>
      </c>
      <c r="O316" s="38">
        <v>211</v>
      </c>
      <c r="P316" s="133">
        <v>226</v>
      </c>
      <c r="Q316" s="37">
        <v>210</v>
      </c>
      <c r="R316" s="38">
        <v>224</v>
      </c>
      <c r="S316" s="38">
        <v>232</v>
      </c>
      <c r="T316" s="38">
        <v>267</v>
      </c>
      <c r="U316" s="133">
        <v>248</v>
      </c>
      <c r="V316" s="180">
        <v>250</v>
      </c>
      <c r="W316" s="65">
        <v>253</v>
      </c>
      <c r="X316" s="65">
        <v>253</v>
      </c>
      <c r="Y316" s="65">
        <v>290</v>
      </c>
      <c r="Z316" s="172">
        <v>276</v>
      </c>
      <c r="AA316" s="180">
        <v>324</v>
      </c>
      <c r="AB316" s="65">
        <v>364</v>
      </c>
      <c r="AC316" s="65">
        <v>385</v>
      </c>
      <c r="AD316" s="65">
        <v>414</v>
      </c>
      <c r="AE316" s="133">
        <v>372</v>
      </c>
      <c r="AF316" s="343">
        <v>441</v>
      </c>
      <c r="AG316" s="343">
        <v>480</v>
      </c>
      <c r="AH316" s="65">
        <v>436</v>
      </c>
      <c r="AI316" s="343">
        <v>403</v>
      </c>
      <c r="AJ316" s="104">
        <f>AVERAGE(AF316:AI316)</f>
        <v>440</v>
      </c>
      <c r="AK316" s="343">
        <v>397</v>
      </c>
      <c r="AL316" s="343">
        <v>432</v>
      </c>
      <c r="AM316" s="65">
        <v>443</v>
      </c>
      <c r="AN316" s="65">
        <v>473</v>
      </c>
      <c r="AO316" s="432">
        <f>AVERAGE(AK316:AN316)</f>
        <v>436.25</v>
      </c>
      <c r="AP316" s="343">
        <v>498</v>
      </c>
      <c r="AQ316" s="65">
        <v>523</v>
      </c>
      <c r="AR316" s="65">
        <v>530</v>
      </c>
      <c r="AS316" s="65">
        <v>531</v>
      </c>
      <c r="AT316" s="432">
        <f>AVERAGE(AP316:AS316)</f>
        <v>520.5</v>
      </c>
      <c r="AU316" s="343">
        <v>498</v>
      </c>
      <c r="AV316" s="65">
        <v>554</v>
      </c>
      <c r="AW316" s="65">
        <v>574</v>
      </c>
      <c r="AX316" s="65">
        <v>563</v>
      </c>
      <c r="AY316" s="432">
        <f>AVERAGE(AU316:AX316)</f>
        <v>547.25</v>
      </c>
      <c r="AZ316" s="343">
        <v>475</v>
      </c>
      <c r="BA316" s="65">
        <v>520</v>
      </c>
      <c r="BB316" s="65">
        <v>529</v>
      </c>
      <c r="BC316" s="65">
        <v>607</v>
      </c>
      <c r="BD316" s="432">
        <f>AVERAGE(AZ316:BC316)</f>
        <v>532.75</v>
      </c>
      <c r="BE316" s="343">
        <v>709</v>
      </c>
      <c r="BF316" s="65">
        <v>784</v>
      </c>
      <c r="BG316" s="65">
        <v>786</v>
      </c>
      <c r="BH316" s="65">
        <v>798</v>
      </c>
      <c r="BI316" s="432">
        <f>AVERAGE(BE316:BH316)</f>
        <v>769.25</v>
      </c>
      <c r="BJ316" s="343">
        <v>751</v>
      </c>
      <c r="BK316" s="65">
        <v>809</v>
      </c>
      <c r="BL316" s="65">
        <v>775</v>
      </c>
      <c r="BM316" s="65">
        <v>744</v>
      </c>
      <c r="BN316" s="172">
        <v>770</v>
      </c>
      <c r="BO316" s="343">
        <v>764</v>
      </c>
      <c r="BP316" s="65">
        <v>807</v>
      </c>
      <c r="BQ316" s="65">
        <v>812</v>
      </c>
      <c r="BR316" s="65">
        <v>867</v>
      </c>
      <c r="BS316" s="172">
        <v>812</v>
      </c>
      <c r="BT316" s="433"/>
      <c r="BU316" s="433"/>
      <c r="BV316" s="433"/>
      <c r="BW316" s="433"/>
      <c r="BX316" s="432"/>
      <c r="BY316" s="433"/>
      <c r="BZ316" s="433"/>
      <c r="CA316" s="433"/>
      <c r="CB316" s="433"/>
      <c r="CC316" s="432"/>
      <c r="CD316" s="433"/>
      <c r="CE316" s="433"/>
      <c r="CF316" s="433"/>
      <c r="CG316" s="433"/>
      <c r="CH316" s="432"/>
      <c r="CI316" s="433"/>
      <c r="CJ316" s="433"/>
      <c r="CK316" s="433"/>
      <c r="CL316" s="433"/>
      <c r="CM316" s="432"/>
      <c r="CN316" s="433"/>
      <c r="CO316" s="433"/>
      <c r="CP316" s="433"/>
      <c r="CQ316" s="433"/>
      <c r="CR316" s="432"/>
      <c r="CS316" s="433"/>
      <c r="CT316" s="433"/>
      <c r="CU316" s="433"/>
      <c r="CV316" s="433"/>
      <c r="CW316" s="432"/>
      <c r="CX316" s="433"/>
      <c r="CY316" s="433"/>
      <c r="CZ316" s="433"/>
      <c r="DA316" s="433"/>
      <c r="DB316" s="432"/>
      <c r="DC316" s="555"/>
      <c r="DD316" s="555"/>
      <c r="DE316" s="555"/>
      <c r="DF316" s="555"/>
      <c r="DG316" s="555"/>
      <c r="DH316" s="555"/>
      <c r="DI316" s="555"/>
      <c r="DJ316" s="555"/>
      <c r="DK316" s="99"/>
      <c r="DL316" s="99"/>
      <c r="DM316" s="61"/>
    </row>
    <row r="317" spans="1:117" outlineLevel="1">
      <c r="A317" s="33" t="s">
        <v>870</v>
      </c>
      <c r="B317" s="37">
        <v>111</v>
      </c>
      <c r="C317" s="38">
        <v>101</v>
      </c>
      <c r="D317" s="38">
        <v>108</v>
      </c>
      <c r="E317" s="38">
        <v>116</v>
      </c>
      <c r="F317" s="133">
        <v>109</v>
      </c>
      <c r="G317" s="37">
        <v>98</v>
      </c>
      <c r="H317" s="38">
        <v>87</v>
      </c>
      <c r="I317" s="38">
        <v>201</v>
      </c>
      <c r="J317" s="38">
        <v>212</v>
      </c>
      <c r="K317" s="133">
        <v>207</v>
      </c>
      <c r="L317" s="37">
        <v>208</v>
      </c>
      <c r="M317" s="38">
        <v>199</v>
      </c>
      <c r="N317" s="38">
        <v>201</v>
      </c>
      <c r="O317" s="38">
        <v>222</v>
      </c>
      <c r="P317" s="133">
        <v>207</v>
      </c>
      <c r="Q317" s="37">
        <v>220</v>
      </c>
      <c r="R317" s="38">
        <v>221</v>
      </c>
      <c r="S317" s="38">
        <v>223</v>
      </c>
      <c r="T317" s="38">
        <v>259</v>
      </c>
      <c r="U317" s="133">
        <v>231</v>
      </c>
      <c r="V317" s="37">
        <v>286</v>
      </c>
      <c r="W317" s="38">
        <v>265</v>
      </c>
      <c r="X317" s="38">
        <v>273</v>
      </c>
      <c r="Y317" s="38">
        <v>306</v>
      </c>
      <c r="Z317" s="133">
        <v>283</v>
      </c>
      <c r="AA317" s="37">
        <v>380</v>
      </c>
      <c r="AB317" s="65">
        <v>401</v>
      </c>
      <c r="AC317" s="38">
        <v>382</v>
      </c>
      <c r="AD317" s="65">
        <v>467</v>
      </c>
      <c r="AE317" s="133">
        <v>408</v>
      </c>
      <c r="AF317" s="343">
        <v>427</v>
      </c>
      <c r="AG317" s="343">
        <v>449</v>
      </c>
      <c r="AH317" s="38">
        <v>449</v>
      </c>
      <c r="AI317" s="343">
        <v>499</v>
      </c>
      <c r="AJ317" s="104">
        <f>AVERAGE(AF317:AI317)</f>
        <v>456</v>
      </c>
      <c r="AK317" s="343">
        <v>478</v>
      </c>
      <c r="AL317" s="343">
        <v>482</v>
      </c>
      <c r="AM317" s="38">
        <v>485</v>
      </c>
      <c r="AN317" s="38">
        <v>543</v>
      </c>
      <c r="AO317" s="432">
        <f>AVERAGE(AK317:AN317)</f>
        <v>497</v>
      </c>
      <c r="AP317" s="343">
        <v>511</v>
      </c>
      <c r="AQ317" s="38">
        <v>506</v>
      </c>
      <c r="AR317" s="38">
        <v>615</v>
      </c>
      <c r="AS317" s="38">
        <v>654</v>
      </c>
      <c r="AT317" s="432">
        <f>AVERAGE(AP317:AS317)</f>
        <v>571.5</v>
      </c>
      <c r="AU317" s="343">
        <v>578</v>
      </c>
      <c r="AV317" s="38">
        <v>677</v>
      </c>
      <c r="AW317" s="38">
        <v>686</v>
      </c>
      <c r="AX317" s="38">
        <v>688</v>
      </c>
      <c r="AY317" s="432">
        <f>AVERAGE(AU317:AX317)</f>
        <v>657.25</v>
      </c>
      <c r="AZ317" s="343">
        <v>563</v>
      </c>
      <c r="BA317" s="38">
        <v>603</v>
      </c>
      <c r="BB317" s="38">
        <v>626</v>
      </c>
      <c r="BC317" s="38">
        <v>666</v>
      </c>
      <c r="BD317" s="432">
        <f>AVERAGE(AZ317:BC317)</f>
        <v>614.5</v>
      </c>
      <c r="BE317" s="343">
        <v>563</v>
      </c>
      <c r="BF317" s="65">
        <v>723</v>
      </c>
      <c r="BG317" s="38">
        <v>683</v>
      </c>
      <c r="BH317" s="38">
        <v>670</v>
      </c>
      <c r="BI317" s="432">
        <f>AVERAGE(BE317:BH317)</f>
        <v>659.75</v>
      </c>
      <c r="BJ317" s="343">
        <v>716</v>
      </c>
      <c r="BK317" s="65">
        <v>767</v>
      </c>
      <c r="BL317" s="685" t="s">
        <v>1612</v>
      </c>
      <c r="BM317" s="685" t="s">
        <v>1612</v>
      </c>
      <c r="BN317" s="723" t="s">
        <v>1612</v>
      </c>
      <c r="BO317" s="685" t="s">
        <v>1612</v>
      </c>
      <c r="BP317" s="685" t="s">
        <v>1612</v>
      </c>
      <c r="BQ317" s="685" t="s">
        <v>1612</v>
      </c>
      <c r="BR317" s="685" t="s">
        <v>1612</v>
      </c>
      <c r="BS317" s="723" t="s">
        <v>1612</v>
      </c>
      <c r="BT317" s="433"/>
      <c r="BU317" s="433"/>
      <c r="BV317" s="433"/>
      <c r="BW317" s="433"/>
      <c r="BX317" s="432"/>
      <c r="BY317" s="433"/>
      <c r="BZ317" s="433"/>
      <c r="CA317" s="433"/>
      <c r="CB317" s="433"/>
      <c r="CC317" s="432"/>
      <c r="CD317" s="433"/>
      <c r="CE317" s="433"/>
      <c r="CF317" s="433"/>
      <c r="CG317" s="433"/>
      <c r="CH317" s="432"/>
      <c r="CI317" s="433"/>
      <c r="CJ317" s="433"/>
      <c r="CK317" s="433"/>
      <c r="CL317" s="433"/>
      <c r="CM317" s="432"/>
      <c r="CN317" s="433"/>
      <c r="CO317" s="433"/>
      <c r="CP317" s="433"/>
      <c r="CQ317" s="433"/>
      <c r="CR317" s="432"/>
      <c r="CS317" s="433"/>
      <c r="CT317" s="433"/>
      <c r="CU317" s="433"/>
      <c r="CV317" s="433"/>
      <c r="CW317" s="432"/>
      <c r="CX317" s="433"/>
      <c r="CY317" s="433"/>
      <c r="CZ317" s="433"/>
      <c r="DA317" s="433"/>
      <c r="DB317" s="432"/>
      <c r="DC317" s="555"/>
      <c r="DD317" s="555"/>
      <c r="DE317" s="555"/>
      <c r="DF317" s="555"/>
      <c r="DG317" s="555"/>
      <c r="DH317" s="555"/>
      <c r="DI317" s="555"/>
      <c r="DJ317" s="555"/>
      <c r="DK317" s="99"/>
      <c r="DL317" s="99"/>
      <c r="DM317" s="61"/>
    </row>
    <row r="318" spans="1:117" outlineLevel="1">
      <c r="A318" s="33" t="s">
        <v>236</v>
      </c>
      <c r="B318" s="236" t="s">
        <v>277</v>
      </c>
      <c r="C318" s="324" t="s">
        <v>277</v>
      </c>
      <c r="D318" s="324" t="s">
        <v>277</v>
      </c>
      <c r="E318" s="324" t="s">
        <v>277</v>
      </c>
      <c r="F318" s="325" t="s">
        <v>277</v>
      </c>
      <c r="G318" s="236" t="s">
        <v>277</v>
      </c>
      <c r="H318" s="324" t="s">
        <v>277</v>
      </c>
      <c r="I318" s="38">
        <v>309</v>
      </c>
      <c r="J318" s="38">
        <v>276</v>
      </c>
      <c r="K318" s="133">
        <v>292</v>
      </c>
      <c r="L318" s="37">
        <v>281</v>
      </c>
      <c r="M318" s="38">
        <v>333</v>
      </c>
      <c r="N318" s="38">
        <v>326</v>
      </c>
      <c r="O318" s="38">
        <v>314</v>
      </c>
      <c r="P318" s="133">
        <v>313</v>
      </c>
      <c r="Q318" s="37">
        <v>319</v>
      </c>
      <c r="R318" s="38">
        <v>349</v>
      </c>
      <c r="S318" s="38">
        <v>370</v>
      </c>
      <c r="T318" s="38">
        <v>385</v>
      </c>
      <c r="U318" s="133">
        <v>356</v>
      </c>
      <c r="V318" s="37">
        <v>391</v>
      </c>
      <c r="W318" s="38">
        <v>371</v>
      </c>
      <c r="X318" s="38">
        <v>375</v>
      </c>
      <c r="Y318" s="38">
        <v>356</v>
      </c>
      <c r="Z318" s="133">
        <v>373</v>
      </c>
      <c r="AA318" s="37">
        <v>465</v>
      </c>
      <c r="AB318" s="65">
        <v>479</v>
      </c>
      <c r="AC318" s="38">
        <v>496</v>
      </c>
      <c r="AD318" s="38">
        <v>482</v>
      </c>
      <c r="AE318" s="133">
        <v>481</v>
      </c>
      <c r="AF318" s="343">
        <v>492</v>
      </c>
      <c r="AG318" s="343"/>
      <c r="AH318" s="38">
        <v>500</v>
      </c>
      <c r="AI318" s="343">
        <v>530</v>
      </c>
      <c r="AJ318" s="104">
        <f>AVERAGE(AF318:AI318)</f>
        <v>507.33333333333331</v>
      </c>
      <c r="AK318" s="343">
        <v>488</v>
      </c>
      <c r="AL318" s="343">
        <v>541</v>
      </c>
      <c r="AM318" s="38">
        <v>529</v>
      </c>
      <c r="AN318" s="38">
        <v>583</v>
      </c>
      <c r="AO318" s="432">
        <f>AVERAGE(AK318:AN318)</f>
        <v>535.25</v>
      </c>
      <c r="AP318" s="343">
        <v>585</v>
      </c>
      <c r="AQ318" s="38">
        <v>529</v>
      </c>
      <c r="AR318" s="38">
        <v>581</v>
      </c>
      <c r="AS318" s="38">
        <v>600</v>
      </c>
      <c r="AT318" s="432">
        <f>AVERAGE(AP318:AS318)</f>
        <v>573.75</v>
      </c>
      <c r="AU318" s="343">
        <v>512</v>
      </c>
      <c r="AV318" s="38">
        <v>537</v>
      </c>
      <c r="AW318" s="38">
        <v>557</v>
      </c>
      <c r="AX318" s="38">
        <v>537</v>
      </c>
      <c r="AY318" s="432">
        <f>AVERAGE(AU318:AX318)</f>
        <v>535.75</v>
      </c>
      <c r="AZ318" s="343">
        <v>472</v>
      </c>
      <c r="BA318" s="38">
        <v>520</v>
      </c>
      <c r="BB318" s="38">
        <v>553</v>
      </c>
      <c r="BC318" s="38">
        <v>542</v>
      </c>
      <c r="BD318" s="432">
        <f>AVERAGE(AZ318:BC318)</f>
        <v>521.75</v>
      </c>
      <c r="BE318" s="343">
        <v>475</v>
      </c>
      <c r="BF318" s="65">
        <v>554</v>
      </c>
      <c r="BG318" s="38">
        <v>591</v>
      </c>
      <c r="BH318" s="38">
        <v>587</v>
      </c>
      <c r="BI318" s="432">
        <f>AVERAGE(BE318:BH318)</f>
        <v>551.75</v>
      </c>
      <c r="BJ318" s="343">
        <v>550</v>
      </c>
      <c r="BK318" s="65">
        <v>608</v>
      </c>
      <c r="BL318" s="65">
        <v>605</v>
      </c>
      <c r="BM318" s="65">
        <v>579</v>
      </c>
      <c r="BN318" s="172">
        <v>586</v>
      </c>
      <c r="BO318" s="343">
        <v>574</v>
      </c>
      <c r="BP318" s="65">
        <v>622</v>
      </c>
      <c r="BQ318" s="65">
        <v>605</v>
      </c>
      <c r="BR318" s="65">
        <v>682</v>
      </c>
      <c r="BS318" s="172">
        <v>621</v>
      </c>
      <c r="BT318" s="433"/>
      <c r="BU318" s="433"/>
      <c r="BV318" s="433"/>
      <c r="BW318" s="433"/>
      <c r="BX318" s="432"/>
      <c r="BY318" s="433"/>
      <c r="BZ318" s="433"/>
      <c r="CA318" s="433"/>
      <c r="CB318" s="433"/>
      <c r="CC318" s="432"/>
      <c r="CD318" s="433"/>
      <c r="CE318" s="433"/>
      <c r="CF318" s="433"/>
      <c r="CG318" s="433"/>
      <c r="CH318" s="432"/>
      <c r="CI318" s="433"/>
      <c r="CJ318" s="433"/>
      <c r="CK318" s="433"/>
      <c r="CL318" s="433"/>
      <c r="CM318" s="432"/>
      <c r="CN318" s="433"/>
      <c r="CO318" s="433"/>
      <c r="CP318" s="433"/>
      <c r="CQ318" s="433"/>
      <c r="CR318" s="432"/>
      <c r="CS318" s="433"/>
      <c r="CT318" s="433"/>
      <c r="CU318" s="433"/>
      <c r="CV318" s="433"/>
      <c r="CW318" s="432"/>
      <c r="CX318" s="433"/>
      <c r="CY318" s="433"/>
      <c r="CZ318" s="433"/>
      <c r="DA318" s="433"/>
      <c r="DB318" s="432"/>
      <c r="DC318" s="555"/>
      <c r="DD318" s="555"/>
      <c r="DE318" s="555"/>
      <c r="DF318" s="555"/>
      <c r="DG318" s="555"/>
      <c r="DH318" s="555"/>
      <c r="DI318" s="555"/>
      <c r="DJ318" s="555"/>
      <c r="DK318" s="99"/>
      <c r="DL318" s="99"/>
      <c r="DM318" s="61"/>
    </row>
    <row r="319" spans="1:117" outlineLevel="1">
      <c r="A319" s="33" t="s">
        <v>871</v>
      </c>
      <c r="B319" s="236" t="s">
        <v>277</v>
      </c>
      <c r="C319" s="324" t="s">
        <v>277</v>
      </c>
      <c r="D319" s="324" t="s">
        <v>277</v>
      </c>
      <c r="E319" s="324" t="s">
        <v>277</v>
      </c>
      <c r="F319" s="325" t="s">
        <v>277</v>
      </c>
      <c r="G319" s="236" t="s">
        <v>277</v>
      </c>
      <c r="H319" s="324" t="s">
        <v>277</v>
      </c>
      <c r="I319" s="324" t="s">
        <v>277</v>
      </c>
      <c r="J319" s="38">
        <v>175</v>
      </c>
      <c r="K319" s="133">
        <v>187</v>
      </c>
      <c r="L319" s="37">
        <v>193</v>
      </c>
      <c r="M319" s="38">
        <v>208</v>
      </c>
      <c r="N319" s="38">
        <v>199</v>
      </c>
      <c r="O319" s="38">
        <v>201</v>
      </c>
      <c r="P319" s="133">
        <v>200</v>
      </c>
      <c r="Q319" s="37">
        <v>205</v>
      </c>
      <c r="R319" s="38">
        <v>227</v>
      </c>
      <c r="S319" s="38">
        <v>225</v>
      </c>
      <c r="T319" s="38">
        <v>305</v>
      </c>
      <c r="U319" s="133">
        <v>299</v>
      </c>
      <c r="V319" s="37">
        <v>303</v>
      </c>
      <c r="W319" s="38">
        <v>308</v>
      </c>
      <c r="X319" s="38">
        <v>430</v>
      </c>
      <c r="Y319" s="38">
        <v>391</v>
      </c>
      <c r="Z319" s="133">
        <v>333</v>
      </c>
      <c r="AA319" s="37">
        <v>445</v>
      </c>
      <c r="AB319" s="38">
        <v>461</v>
      </c>
      <c r="AC319" s="38">
        <v>446</v>
      </c>
      <c r="AD319" s="38">
        <v>483</v>
      </c>
      <c r="AE319" s="133">
        <v>459</v>
      </c>
      <c r="AF319" s="343">
        <v>467</v>
      </c>
      <c r="AG319" s="343">
        <v>482</v>
      </c>
      <c r="AH319" s="38">
        <v>455</v>
      </c>
      <c r="AI319" s="343">
        <v>467</v>
      </c>
      <c r="AJ319" s="104">
        <f>AVERAGE(AF319:AI319)</f>
        <v>467.75</v>
      </c>
      <c r="AK319" s="343">
        <v>461</v>
      </c>
      <c r="AL319" s="343">
        <v>462</v>
      </c>
      <c r="AM319" s="38">
        <v>457</v>
      </c>
      <c r="AN319" s="38">
        <v>512</v>
      </c>
      <c r="AO319" s="432">
        <f>AVERAGE(AK319:AN319)</f>
        <v>473</v>
      </c>
      <c r="AP319" s="343">
        <v>485</v>
      </c>
      <c r="AQ319" s="38">
        <v>523</v>
      </c>
      <c r="AR319" s="38">
        <v>504</v>
      </c>
      <c r="AS319" s="38">
        <v>507</v>
      </c>
      <c r="AT319" s="432">
        <f>AVERAGE(AP319:AS319)</f>
        <v>504.75</v>
      </c>
      <c r="AU319" s="343">
        <v>394</v>
      </c>
      <c r="AV319" s="38">
        <v>554</v>
      </c>
      <c r="AW319" s="38">
        <v>454</v>
      </c>
      <c r="AX319" s="38">
        <v>459</v>
      </c>
      <c r="AY319" s="432">
        <f>AVERAGE(AU319:AX319)</f>
        <v>465.25</v>
      </c>
      <c r="AZ319" s="343">
        <v>430</v>
      </c>
      <c r="BA319" s="38">
        <v>520</v>
      </c>
      <c r="BB319" s="38">
        <v>377</v>
      </c>
      <c r="BC319" s="38">
        <v>393</v>
      </c>
      <c r="BD319" s="432">
        <f>AVERAGE(AZ319:BC319)</f>
        <v>430</v>
      </c>
      <c r="BE319" s="343">
        <v>388</v>
      </c>
      <c r="BF319" s="65">
        <v>420</v>
      </c>
      <c r="BG319" s="38">
        <v>456</v>
      </c>
      <c r="BH319" s="38">
        <v>449</v>
      </c>
      <c r="BI319" s="432">
        <f>AVERAGE(BE319:BH319)</f>
        <v>428.25</v>
      </c>
      <c r="BJ319" s="343">
        <v>474</v>
      </c>
      <c r="BK319" s="65">
        <v>515</v>
      </c>
      <c r="BL319" s="65">
        <v>521</v>
      </c>
      <c r="BM319" s="65">
        <v>520</v>
      </c>
      <c r="BN319" s="172">
        <v>508</v>
      </c>
      <c r="BO319" s="343">
        <v>550</v>
      </c>
      <c r="BP319" s="65">
        <v>566</v>
      </c>
      <c r="BQ319" s="65">
        <v>569</v>
      </c>
      <c r="BR319" s="65">
        <v>592</v>
      </c>
      <c r="BS319" s="172">
        <v>567</v>
      </c>
      <c r="BT319" s="433"/>
      <c r="BU319" s="433"/>
      <c r="BV319" s="433"/>
      <c r="BW319" s="433"/>
      <c r="BX319" s="432"/>
      <c r="BY319" s="433"/>
      <c r="BZ319" s="433"/>
      <c r="CA319" s="433"/>
      <c r="CB319" s="433"/>
      <c r="CC319" s="432"/>
      <c r="CD319" s="433"/>
      <c r="CE319" s="433"/>
      <c r="CF319" s="433"/>
      <c r="CG319" s="433"/>
      <c r="CH319" s="432"/>
      <c r="CI319" s="433"/>
      <c r="CJ319" s="433"/>
      <c r="CK319" s="433"/>
      <c r="CL319" s="433"/>
      <c r="CM319" s="432"/>
      <c r="CN319" s="433"/>
      <c r="CO319" s="433"/>
      <c r="CP319" s="433"/>
      <c r="CQ319" s="433"/>
      <c r="CR319" s="432"/>
      <c r="CS319" s="433"/>
      <c r="CT319" s="433"/>
      <c r="CU319" s="433"/>
      <c r="CV319" s="433"/>
      <c r="CW319" s="432"/>
      <c r="CX319" s="433"/>
      <c r="CY319" s="433"/>
      <c r="CZ319" s="433"/>
      <c r="DA319" s="433"/>
      <c r="DB319" s="432"/>
      <c r="DC319" s="555"/>
      <c r="DD319" s="555"/>
      <c r="DE319" s="555"/>
      <c r="DF319" s="555"/>
      <c r="DG319" s="555"/>
      <c r="DH319" s="555"/>
      <c r="DI319" s="555"/>
      <c r="DJ319" s="555"/>
      <c r="DK319" s="99"/>
      <c r="DL319" s="99"/>
      <c r="DM319" s="61"/>
    </row>
    <row r="320" spans="1:117" outlineLevel="1">
      <c r="A320" s="33" t="s">
        <v>608</v>
      </c>
      <c r="B320" s="236" t="s">
        <v>277</v>
      </c>
      <c r="C320" s="324" t="s">
        <v>277</v>
      </c>
      <c r="D320" s="324" t="s">
        <v>277</v>
      </c>
      <c r="E320" s="324" t="s">
        <v>277</v>
      </c>
      <c r="F320" s="325" t="s">
        <v>277</v>
      </c>
      <c r="G320" s="344" t="s">
        <v>277</v>
      </c>
      <c r="H320" s="344" t="s">
        <v>277</v>
      </c>
      <c r="I320" s="344" t="s">
        <v>277</v>
      </c>
      <c r="J320" s="344" t="s">
        <v>277</v>
      </c>
      <c r="K320" s="106">
        <v>0.05</v>
      </c>
      <c r="L320" s="344" t="s">
        <v>277</v>
      </c>
      <c r="M320" s="344">
        <v>0.03</v>
      </c>
      <c r="N320" s="344">
        <v>0.06</v>
      </c>
      <c r="O320" s="344">
        <v>0.09</v>
      </c>
      <c r="P320" s="106">
        <v>0.05</v>
      </c>
      <c r="Q320" s="344">
        <v>0.06</v>
      </c>
      <c r="R320" s="344">
        <v>0.05</v>
      </c>
      <c r="S320" s="344">
        <v>0.05</v>
      </c>
      <c r="T320" s="344">
        <v>7.0000000000000007E-2</v>
      </c>
      <c r="U320" s="106">
        <v>0.06</v>
      </c>
      <c r="V320" s="344">
        <v>0.09</v>
      </c>
      <c r="W320" s="344">
        <v>0.13</v>
      </c>
      <c r="X320" s="344">
        <v>0.24</v>
      </c>
      <c r="Y320" s="344">
        <v>0.12</v>
      </c>
      <c r="Z320" s="106">
        <v>0.15</v>
      </c>
      <c r="AA320" s="344">
        <v>0.08</v>
      </c>
      <c r="AB320" s="344">
        <v>0.12</v>
      </c>
      <c r="AC320" s="344">
        <v>0.15</v>
      </c>
      <c r="AD320" s="344">
        <v>0.09</v>
      </c>
      <c r="AE320" s="106">
        <v>0.11</v>
      </c>
      <c r="AF320" s="344"/>
      <c r="AG320" s="344"/>
      <c r="AH320" s="344">
        <v>0.1</v>
      </c>
      <c r="AI320" s="344">
        <v>0.08</v>
      </c>
      <c r="AJ320" s="106"/>
      <c r="AK320" s="344">
        <v>0.15</v>
      </c>
      <c r="AL320" s="344">
        <v>0.2</v>
      </c>
      <c r="AM320" s="344">
        <v>0.27</v>
      </c>
      <c r="AN320" s="344">
        <v>0.49</v>
      </c>
      <c r="AO320" s="436"/>
      <c r="AP320" s="344">
        <v>0.24</v>
      </c>
      <c r="AQ320" s="344">
        <v>0.23</v>
      </c>
      <c r="AR320" s="344">
        <v>0.16</v>
      </c>
      <c r="AS320" s="344">
        <v>7.0000000000000007E-2</v>
      </c>
      <c r="AT320" s="436"/>
      <c r="AU320" s="344">
        <v>0.01</v>
      </c>
      <c r="AV320" s="344">
        <v>0.06</v>
      </c>
      <c r="AW320" s="344">
        <v>0.04</v>
      </c>
      <c r="AX320" s="344">
        <v>0.05</v>
      </c>
      <c r="AY320" s="436"/>
      <c r="AZ320" s="344">
        <v>0.12</v>
      </c>
      <c r="BA320" s="344">
        <v>0.03</v>
      </c>
      <c r="BB320" s="344">
        <v>0.03</v>
      </c>
      <c r="BC320" s="344">
        <v>0.01</v>
      </c>
      <c r="BD320" s="436">
        <f>AVERAGE(AZ320:BC320)</f>
        <v>4.7500000000000001E-2</v>
      </c>
      <c r="BE320" s="344">
        <v>0.01</v>
      </c>
      <c r="BF320" s="344">
        <v>0.02</v>
      </c>
      <c r="BG320" s="344">
        <v>0.02</v>
      </c>
      <c r="BH320" s="344">
        <v>0.02</v>
      </c>
      <c r="BI320" s="436">
        <f>AVERAGE(BE320:BH320)</f>
        <v>1.7500000000000002E-2</v>
      </c>
      <c r="BJ320" s="344">
        <v>0.03</v>
      </c>
      <c r="BK320" s="344">
        <v>0.04</v>
      </c>
      <c r="BL320" s="344">
        <v>0.03</v>
      </c>
      <c r="BM320" s="344">
        <v>0.02</v>
      </c>
      <c r="BN320" s="724">
        <v>0.03</v>
      </c>
      <c r="BO320" s="344">
        <v>0.03</v>
      </c>
      <c r="BP320" s="344">
        <v>0.04</v>
      </c>
      <c r="BQ320" s="344">
        <v>0.05</v>
      </c>
      <c r="BR320" s="344">
        <v>7.0000000000000007E-2</v>
      </c>
      <c r="BS320" s="724">
        <v>0.05</v>
      </c>
      <c r="BT320" s="435"/>
      <c r="BU320" s="435"/>
      <c r="BV320" s="435"/>
      <c r="BW320" s="435"/>
      <c r="BX320" s="436"/>
      <c r="BY320" s="435"/>
      <c r="BZ320" s="435"/>
      <c r="CA320" s="435"/>
      <c r="CB320" s="435"/>
      <c r="CC320" s="436"/>
      <c r="CD320" s="435"/>
      <c r="CE320" s="435"/>
      <c r="CF320" s="435"/>
      <c r="CG320" s="435"/>
      <c r="CH320" s="436"/>
      <c r="CI320" s="435"/>
      <c r="CJ320" s="435"/>
      <c r="CK320" s="435"/>
      <c r="CL320" s="435"/>
      <c r="CM320" s="436"/>
      <c r="CN320" s="435"/>
      <c r="CO320" s="435"/>
      <c r="CP320" s="435"/>
      <c r="CQ320" s="435"/>
      <c r="CR320" s="436"/>
      <c r="CS320" s="435"/>
      <c r="CT320" s="435"/>
      <c r="CU320" s="435"/>
      <c r="CV320" s="435"/>
      <c r="CW320" s="436"/>
      <c r="CX320" s="435"/>
      <c r="CY320" s="435"/>
      <c r="CZ320" s="435"/>
      <c r="DA320" s="435"/>
      <c r="DB320" s="436"/>
      <c r="DC320" s="435"/>
      <c r="DD320" s="435"/>
      <c r="DE320" s="435"/>
      <c r="DF320" s="435"/>
      <c r="DG320" s="435"/>
      <c r="DH320" s="435"/>
      <c r="DI320" s="435"/>
      <c r="DJ320" s="435"/>
      <c r="DK320" s="414"/>
      <c r="DL320" s="414"/>
      <c r="DM320" s="61"/>
    </row>
    <row r="321" spans="1:117" outlineLevel="1">
      <c r="A321" s="35" t="s">
        <v>872</v>
      </c>
      <c r="B321" s="274"/>
      <c r="C321" s="272"/>
      <c r="D321" s="272"/>
      <c r="E321" s="272"/>
      <c r="F321" s="273"/>
      <c r="G321" s="274"/>
      <c r="H321" s="272"/>
      <c r="I321" s="272"/>
      <c r="J321" s="272"/>
      <c r="K321" s="273"/>
      <c r="L321" s="274"/>
      <c r="M321" s="272"/>
      <c r="N321" s="272"/>
      <c r="O321" s="272"/>
      <c r="P321" s="273"/>
      <c r="Q321" s="274"/>
      <c r="R321" s="272"/>
      <c r="S321" s="272"/>
      <c r="T321" s="272"/>
      <c r="U321" s="273"/>
      <c r="V321" s="274"/>
      <c r="W321" s="272"/>
      <c r="X321" s="272"/>
      <c r="Y321" s="272"/>
      <c r="Z321" s="273"/>
      <c r="AA321" s="274"/>
      <c r="AB321" s="272"/>
      <c r="AC321" s="272"/>
      <c r="AD321" s="18"/>
      <c r="AE321" s="127"/>
      <c r="AF321" s="18"/>
      <c r="AG321" s="18"/>
      <c r="AH321" s="272"/>
      <c r="AI321" s="18"/>
      <c r="AJ321" s="127"/>
      <c r="AK321" s="18"/>
      <c r="AL321" s="18"/>
      <c r="AM321" s="272"/>
      <c r="AN321" s="272"/>
      <c r="AO321" s="127"/>
      <c r="AP321" s="18"/>
      <c r="AQ321" s="18"/>
      <c r="AR321" s="272"/>
      <c r="AS321" s="272"/>
      <c r="AT321" s="127"/>
      <c r="AU321" s="18"/>
      <c r="AV321" s="18"/>
      <c r="AW321" s="272"/>
      <c r="AX321" s="272"/>
      <c r="AY321" s="127"/>
      <c r="AZ321" s="18"/>
      <c r="BA321" s="18"/>
      <c r="BB321" s="272"/>
      <c r="BC321" s="272"/>
      <c r="BD321" s="127"/>
      <c r="BE321" s="18"/>
      <c r="BF321" s="18"/>
      <c r="BG321" s="272"/>
      <c r="BH321" s="272"/>
      <c r="BI321" s="127"/>
      <c r="BJ321" s="18"/>
      <c r="BK321" s="18"/>
      <c r="BL321" s="18"/>
      <c r="BM321" s="18"/>
      <c r="BN321" s="127"/>
      <c r="BO321" s="18"/>
      <c r="BP321" s="18"/>
      <c r="BQ321" s="18"/>
      <c r="BR321" s="18"/>
      <c r="BS321" s="127"/>
      <c r="BT321" s="18"/>
      <c r="BU321" s="18"/>
      <c r="BV321" s="18"/>
      <c r="BW321" s="18"/>
      <c r="BX321" s="127"/>
      <c r="BY321" s="18"/>
      <c r="BZ321" s="18"/>
      <c r="CA321" s="18"/>
      <c r="CB321" s="18"/>
      <c r="CC321" s="127"/>
      <c r="CD321" s="18"/>
      <c r="CE321" s="18"/>
      <c r="CF321" s="18"/>
      <c r="CG321" s="18"/>
      <c r="CH321" s="127"/>
      <c r="CI321" s="18"/>
      <c r="CJ321" s="18"/>
      <c r="CK321" s="18"/>
      <c r="CL321" s="18"/>
      <c r="CM321" s="127"/>
      <c r="CN321" s="18"/>
      <c r="CO321" s="18"/>
      <c r="CP321" s="18"/>
      <c r="CQ321" s="18"/>
      <c r="CR321" s="127"/>
      <c r="CS321" s="18"/>
      <c r="CT321" s="18"/>
      <c r="CU321" s="18"/>
      <c r="CV321" s="18"/>
      <c r="CW321" s="127"/>
      <c r="CX321" s="18"/>
      <c r="CY321" s="18"/>
      <c r="CZ321" s="18"/>
      <c r="DA321" s="18"/>
      <c r="DB321" s="127"/>
      <c r="DC321" s="18"/>
      <c r="DD321" s="18"/>
      <c r="DE321" s="18"/>
      <c r="DF321" s="18"/>
      <c r="DG321" s="18"/>
      <c r="DH321" s="18"/>
      <c r="DI321" s="18"/>
      <c r="DJ321" s="18"/>
      <c r="DK321" s="61"/>
      <c r="DL321" s="61"/>
      <c r="DM321" s="61"/>
    </row>
    <row r="322" spans="1:117" outlineLevel="1">
      <c r="A322" s="33" t="s">
        <v>873</v>
      </c>
      <c r="B322" s="344">
        <v>0.62</v>
      </c>
      <c r="C322" s="344">
        <v>0.66</v>
      </c>
      <c r="D322" s="344">
        <v>0.76</v>
      </c>
      <c r="E322" s="344">
        <v>0.83</v>
      </c>
      <c r="F322" s="106">
        <v>0.72</v>
      </c>
      <c r="G322" s="344">
        <v>0.71</v>
      </c>
      <c r="H322" s="344">
        <v>0.79</v>
      </c>
      <c r="I322" s="344">
        <v>0.9</v>
      </c>
      <c r="J322" s="344">
        <v>1.04</v>
      </c>
      <c r="K322" s="106">
        <v>0.89</v>
      </c>
      <c r="L322" s="344">
        <v>0.87</v>
      </c>
      <c r="M322" s="344">
        <v>0.96</v>
      </c>
      <c r="N322" s="344">
        <v>1.02</v>
      </c>
      <c r="O322" s="344">
        <v>0.87</v>
      </c>
      <c r="P322" s="106">
        <v>0.93</v>
      </c>
      <c r="Q322" s="344">
        <v>0.82</v>
      </c>
      <c r="R322" s="344">
        <v>0.99</v>
      </c>
      <c r="S322" s="344">
        <v>1.0900000000000001</v>
      </c>
      <c r="T322" s="344">
        <v>1.31</v>
      </c>
      <c r="U322" s="106">
        <v>1.06</v>
      </c>
      <c r="V322" s="344">
        <v>1.33</v>
      </c>
      <c r="W322" s="344">
        <v>1.49</v>
      </c>
      <c r="X322" s="344">
        <v>1.51</v>
      </c>
      <c r="Y322" s="344">
        <v>0.78</v>
      </c>
      <c r="Z322" s="106">
        <v>1.27</v>
      </c>
      <c r="AA322" s="344">
        <v>0.66</v>
      </c>
      <c r="AB322" s="344">
        <v>0.69</v>
      </c>
      <c r="AC322" s="344">
        <v>0.76</v>
      </c>
      <c r="AD322" s="344">
        <v>1.01</v>
      </c>
      <c r="AE322" s="106">
        <v>0.9</v>
      </c>
      <c r="AF322" s="344">
        <v>0.99</v>
      </c>
      <c r="AG322" s="344">
        <v>0.9</v>
      </c>
      <c r="AH322" s="344">
        <v>0.87</v>
      </c>
      <c r="AI322" s="344">
        <v>1.01</v>
      </c>
      <c r="AJ322" s="106">
        <f>AVERAGE(AF322:AI322)</f>
        <v>0.94250000000000012</v>
      </c>
      <c r="AK322" s="344">
        <v>1.0900000000000001</v>
      </c>
      <c r="AL322" s="344">
        <v>1.0900000000000001</v>
      </c>
      <c r="AM322" s="344">
        <v>0.87</v>
      </c>
      <c r="AN322" s="344">
        <v>1.06</v>
      </c>
      <c r="AO322" s="436">
        <f>AVERAGE(AK322:AN322)</f>
        <v>1.0275000000000001</v>
      </c>
      <c r="AP322" s="344">
        <v>1.0900000000000001</v>
      </c>
      <c r="AQ322" s="344">
        <v>1.01</v>
      </c>
      <c r="AR322" s="344">
        <v>1.1000000000000001</v>
      </c>
      <c r="AS322" s="344">
        <v>1.05</v>
      </c>
      <c r="AT322" s="436">
        <f>AVERAGE(AP322:AS322)</f>
        <v>1.0625</v>
      </c>
      <c r="AU322" s="344">
        <v>0.85</v>
      </c>
      <c r="AV322" s="344">
        <v>0.85</v>
      </c>
      <c r="AW322" s="344">
        <v>0.9</v>
      </c>
      <c r="AX322" s="344">
        <v>0.87</v>
      </c>
      <c r="AY322" s="436">
        <f>AVERAGE(AU322:AX322)</f>
        <v>0.86750000000000005</v>
      </c>
      <c r="AZ322" s="344">
        <v>1.05</v>
      </c>
      <c r="BA322" s="344">
        <v>0.96</v>
      </c>
      <c r="BB322" s="344">
        <v>0.93</v>
      </c>
      <c r="BC322" s="344">
        <v>0.86</v>
      </c>
      <c r="BD322" s="436">
        <f>AVERAGE(AZ322:BC322)</f>
        <v>0.95</v>
      </c>
      <c r="BE322" s="344">
        <v>0.38</v>
      </c>
      <c r="BF322" s="344">
        <v>0.38</v>
      </c>
      <c r="BG322" s="344">
        <v>0.31</v>
      </c>
      <c r="BH322" s="344">
        <v>0.23</v>
      </c>
      <c r="BI322" s="436">
        <f>AVERAGE(BE322:BH322)</f>
        <v>0.32500000000000001</v>
      </c>
      <c r="BJ322" s="344">
        <v>0.2</v>
      </c>
      <c r="BK322" s="344">
        <v>0.24</v>
      </c>
      <c r="BL322" s="344">
        <v>0.23</v>
      </c>
      <c r="BM322" s="344">
        <v>0.25</v>
      </c>
      <c r="BN322" s="724">
        <v>0.23</v>
      </c>
      <c r="BO322" s="344">
        <v>0.19</v>
      </c>
      <c r="BP322" s="344">
        <v>0.24</v>
      </c>
      <c r="BQ322" s="344">
        <v>0.24</v>
      </c>
      <c r="BR322" s="344">
        <v>0.2</v>
      </c>
      <c r="BS322" s="724">
        <v>0.22</v>
      </c>
      <c r="BT322" s="435"/>
      <c r="BU322" s="435"/>
      <c r="BV322" s="435"/>
      <c r="BW322" s="435"/>
      <c r="BX322" s="436"/>
      <c r="BY322" s="435"/>
      <c r="BZ322" s="435"/>
      <c r="CA322" s="435"/>
      <c r="CB322" s="435"/>
      <c r="CC322" s="436"/>
      <c r="CD322" s="435"/>
      <c r="CE322" s="435"/>
      <c r="CF322" s="435"/>
      <c r="CG322" s="435"/>
      <c r="CH322" s="436"/>
      <c r="CI322" s="435"/>
      <c r="CJ322" s="435"/>
      <c r="CK322" s="435"/>
      <c r="CL322" s="435"/>
      <c r="CM322" s="436"/>
      <c r="CN322" s="435"/>
      <c r="CO322" s="435"/>
      <c r="CP322" s="435"/>
      <c r="CQ322" s="435"/>
      <c r="CR322" s="436"/>
      <c r="CS322" s="435"/>
      <c r="CT322" s="435"/>
      <c r="CU322" s="435"/>
      <c r="CV322" s="435"/>
      <c r="CW322" s="436"/>
      <c r="CX322" s="435"/>
      <c r="CY322" s="435"/>
      <c r="CZ322" s="435"/>
      <c r="DA322" s="435"/>
      <c r="DB322" s="436"/>
      <c r="DC322" s="435"/>
      <c r="DD322" s="435"/>
      <c r="DE322" s="435"/>
      <c r="DF322" s="435"/>
      <c r="DG322" s="435"/>
      <c r="DH322" s="435"/>
      <c r="DI322" s="435"/>
      <c r="DJ322" s="435"/>
      <c r="DK322" s="414"/>
      <c r="DL322" s="414"/>
      <c r="DM322" s="61"/>
    </row>
    <row r="323" spans="1:117" outlineLevel="1">
      <c r="A323" s="33" t="s">
        <v>668</v>
      </c>
      <c r="B323" s="344">
        <v>32.1</v>
      </c>
      <c r="C323" s="344">
        <v>35.450000000000003</v>
      </c>
      <c r="D323" s="344">
        <v>40.130000000000003</v>
      </c>
      <c r="E323" s="344">
        <v>45.1</v>
      </c>
      <c r="F323" s="106">
        <v>38.17</v>
      </c>
      <c r="G323" s="344">
        <v>44.06</v>
      </c>
      <c r="H323" s="344">
        <v>45.91</v>
      </c>
      <c r="I323" s="344">
        <v>46.18</v>
      </c>
      <c r="J323" s="344">
        <v>56.59</v>
      </c>
      <c r="K323" s="106">
        <v>52.69</v>
      </c>
      <c r="L323" s="344">
        <v>57.67</v>
      </c>
      <c r="M323" s="344">
        <v>59.83</v>
      </c>
      <c r="N323" s="344">
        <v>51.79</v>
      </c>
      <c r="O323" s="344">
        <v>60.79</v>
      </c>
      <c r="P323" s="106">
        <v>57.84</v>
      </c>
      <c r="Q323" s="344">
        <v>56.53</v>
      </c>
      <c r="R323" s="344">
        <v>59.79</v>
      </c>
      <c r="S323" s="344">
        <v>69.05</v>
      </c>
      <c r="T323" s="344">
        <v>85.16</v>
      </c>
      <c r="U323" s="106">
        <v>67.349999999999994</v>
      </c>
      <c r="V323" s="344">
        <v>87.51</v>
      </c>
      <c r="W323" s="344">
        <v>102.77</v>
      </c>
      <c r="X323" s="344">
        <v>99.61</v>
      </c>
      <c r="Y323" s="344">
        <v>63.05</v>
      </c>
      <c r="Z323" s="106">
        <v>89.3</v>
      </c>
      <c r="AA323" s="344">
        <v>62.24</v>
      </c>
      <c r="AB323" s="344">
        <v>72.150000000000006</v>
      </c>
      <c r="AC323" s="344">
        <v>79.459999999999994</v>
      </c>
      <c r="AD323" s="344">
        <v>84.28</v>
      </c>
      <c r="AE323" s="106">
        <v>78.349999999999994</v>
      </c>
      <c r="AF323" s="344">
        <v>62.39</v>
      </c>
      <c r="AG323" s="344">
        <v>63.45</v>
      </c>
      <c r="AH323" s="344">
        <v>65.14</v>
      </c>
      <c r="AI323" s="344">
        <v>64.34</v>
      </c>
      <c r="AJ323" s="106">
        <f>AVERAGE(AF323:AI323)</f>
        <v>63.830000000000005</v>
      </c>
      <c r="AK323" s="344">
        <v>76.25</v>
      </c>
      <c r="AL323" s="344">
        <v>82.43</v>
      </c>
      <c r="AM323" s="344">
        <v>65.14</v>
      </c>
      <c r="AN323" s="344">
        <v>85.39</v>
      </c>
      <c r="AO323" s="436">
        <f>AVERAGE(AK323:AN323)</f>
        <v>77.302499999999995</v>
      </c>
      <c r="AP323" s="344">
        <v>89.89</v>
      </c>
      <c r="AQ323" s="344">
        <v>86.17</v>
      </c>
      <c r="AR323" s="344">
        <v>86.54</v>
      </c>
      <c r="AS323" s="344">
        <v>90.21</v>
      </c>
      <c r="AT323" s="436">
        <f>AVERAGE(AP323:AS323)</f>
        <v>88.202500000000001</v>
      </c>
      <c r="AU323" s="344">
        <v>88.28</v>
      </c>
      <c r="AV323" s="344">
        <v>83.86</v>
      </c>
      <c r="AW323" s="344">
        <v>90.68</v>
      </c>
      <c r="AX323" s="344">
        <v>82.31</v>
      </c>
      <c r="AY323" s="436">
        <f>AVERAGE(AU323:AX323)</f>
        <v>86.282499999999999</v>
      </c>
      <c r="AZ323" s="344">
        <v>76.069999999999993</v>
      </c>
      <c r="BA323" s="344">
        <v>77.459999999999994</v>
      </c>
      <c r="BB323" s="344">
        <v>81.02</v>
      </c>
      <c r="BC323" s="344">
        <v>74.12</v>
      </c>
      <c r="BD323" s="436">
        <f>AVERAGE(AZ323:BC323)</f>
        <v>77.16749999999999</v>
      </c>
      <c r="BE323" s="344">
        <v>30.02</v>
      </c>
      <c r="BF323" s="344">
        <v>35.46</v>
      </c>
      <c r="BG323" s="344">
        <v>42.32</v>
      </c>
      <c r="BH323" s="344">
        <v>46.88</v>
      </c>
      <c r="BI323" s="436">
        <f>AVERAGE(BE323:BH323)</f>
        <v>38.67</v>
      </c>
      <c r="BJ323" s="344">
        <v>33.72</v>
      </c>
      <c r="BK323" s="344">
        <v>37.200000000000003</v>
      </c>
      <c r="BL323" s="344">
        <v>41.13</v>
      </c>
      <c r="BM323" s="344">
        <v>42.6</v>
      </c>
      <c r="BN323" s="724">
        <v>38.31</v>
      </c>
      <c r="BO323" s="344">
        <v>32.32</v>
      </c>
      <c r="BP323" s="344">
        <v>33.270000000000003</v>
      </c>
      <c r="BQ323" s="344">
        <v>33.83</v>
      </c>
      <c r="BR323" s="344">
        <v>38.93</v>
      </c>
      <c r="BS323" s="724">
        <v>35.22</v>
      </c>
      <c r="BT323" s="435"/>
      <c r="BU323" s="435"/>
      <c r="BV323" s="435"/>
      <c r="BW323" s="435"/>
      <c r="BX323" s="436"/>
      <c r="BY323" s="435"/>
      <c r="BZ323" s="435"/>
      <c r="CA323" s="435"/>
      <c r="CB323" s="435"/>
      <c r="CC323" s="436"/>
      <c r="CD323" s="435"/>
      <c r="CE323" s="435"/>
      <c r="CF323" s="435"/>
      <c r="CG323" s="435"/>
      <c r="CH323" s="436"/>
      <c r="CI323" s="435"/>
      <c r="CJ323" s="435"/>
      <c r="CK323" s="435"/>
      <c r="CL323" s="435"/>
      <c r="CM323" s="436"/>
      <c r="CN323" s="435"/>
      <c r="CO323" s="435"/>
      <c r="CP323" s="435"/>
      <c r="CQ323" s="435"/>
      <c r="CR323" s="436"/>
      <c r="CS323" s="435"/>
      <c r="CT323" s="435"/>
      <c r="CU323" s="435"/>
      <c r="CV323" s="435"/>
      <c r="CW323" s="436"/>
      <c r="CX323" s="435"/>
      <c r="CY323" s="435"/>
      <c r="CZ323" s="435"/>
      <c r="DA323" s="435"/>
      <c r="DB323" s="436"/>
      <c r="DC323" s="435"/>
      <c r="DD323" s="435"/>
      <c r="DE323" s="435"/>
      <c r="DF323" s="435"/>
      <c r="DG323" s="435"/>
      <c r="DH323" s="435"/>
      <c r="DI323" s="435"/>
      <c r="DJ323" s="435"/>
      <c r="DK323" s="414"/>
      <c r="DL323" s="414"/>
      <c r="DM323" s="61"/>
    </row>
    <row r="324" spans="1:117" outlineLevel="1">
      <c r="A324" s="33" t="s">
        <v>669</v>
      </c>
      <c r="B324" s="344">
        <v>5.22</v>
      </c>
      <c r="C324" s="344">
        <v>5.51</v>
      </c>
      <c r="D324" s="344">
        <v>5.43</v>
      </c>
      <c r="E324" s="344">
        <v>6.03</v>
      </c>
      <c r="F324" s="106">
        <v>5.54</v>
      </c>
      <c r="G324" s="344">
        <v>5.94</v>
      </c>
      <c r="H324" s="344">
        <v>6.26</v>
      </c>
      <c r="I324" s="344">
        <v>7.35</v>
      </c>
      <c r="J324" s="344">
        <v>9.8699999999999992</v>
      </c>
      <c r="K324" s="106">
        <v>7.3</v>
      </c>
      <c r="L324" s="344">
        <v>7.99</v>
      </c>
      <c r="M324" s="344">
        <v>5.81</v>
      </c>
      <c r="N324" s="344">
        <v>5.68</v>
      </c>
      <c r="O324" s="344">
        <v>5.83</v>
      </c>
      <c r="P324" s="106">
        <v>6.31</v>
      </c>
      <c r="Q324" s="344">
        <v>6.58</v>
      </c>
      <c r="R324" s="344">
        <v>6.83</v>
      </c>
      <c r="S324" s="344">
        <v>5.41</v>
      </c>
      <c r="T324" s="344">
        <v>6.24</v>
      </c>
      <c r="U324" s="106">
        <v>6.21</v>
      </c>
      <c r="V324" s="344">
        <v>7.4</v>
      </c>
      <c r="W324" s="344">
        <v>9.42</v>
      </c>
      <c r="X324" s="344">
        <v>8.33</v>
      </c>
      <c r="Y324" s="344">
        <v>4.42</v>
      </c>
      <c r="Z324" s="106">
        <v>7.34</v>
      </c>
      <c r="AA324" s="344">
        <v>3.59</v>
      </c>
      <c r="AB324" s="344">
        <v>2.79</v>
      </c>
      <c r="AC324" s="344">
        <v>2.99</v>
      </c>
      <c r="AD324" s="344">
        <v>4</v>
      </c>
      <c r="AE324" s="106">
        <v>3.55</v>
      </c>
      <c r="AF324" s="344">
        <v>5.2</v>
      </c>
      <c r="AG324" s="344">
        <v>5.37</v>
      </c>
      <c r="AH324" s="344">
        <v>5.6</v>
      </c>
      <c r="AI324" s="344">
        <v>6.01</v>
      </c>
      <c r="AJ324" s="106">
        <f>AVERAGE(AF324:AI324)</f>
        <v>5.5449999999999999</v>
      </c>
      <c r="AK324" s="344">
        <v>6.06</v>
      </c>
      <c r="AL324" s="344">
        <v>5.77</v>
      </c>
      <c r="AM324" s="344">
        <v>5.6</v>
      </c>
      <c r="AN324" s="344">
        <v>5.08</v>
      </c>
      <c r="AO324" s="436">
        <f>AVERAGE(AK324:AN324)</f>
        <v>5.6274999999999995</v>
      </c>
      <c r="AP324" s="344">
        <v>3.71</v>
      </c>
      <c r="AQ324" s="344">
        <v>3.79</v>
      </c>
      <c r="AR324" s="344">
        <v>3.69</v>
      </c>
      <c r="AS324" s="344">
        <v>4.2699999999999996</v>
      </c>
      <c r="AT324" s="436">
        <f>AVERAGE(AP324:AS324)</f>
        <v>3.8649999999999998</v>
      </c>
      <c r="AU324" s="344">
        <v>3.57</v>
      </c>
      <c r="AV324" s="344">
        <v>3.57</v>
      </c>
      <c r="AW324" s="344">
        <v>3.36</v>
      </c>
      <c r="AX324" s="344">
        <v>3.64</v>
      </c>
      <c r="AY324" s="436">
        <f>AVERAGE(AU324:AX324)</f>
        <v>3.5350000000000001</v>
      </c>
      <c r="AZ324" s="344">
        <v>3.6</v>
      </c>
      <c r="BA324" s="344">
        <v>4.07</v>
      </c>
      <c r="BB324" s="344">
        <v>3.92</v>
      </c>
      <c r="BC324" s="344">
        <v>3.9</v>
      </c>
      <c r="BD324" s="436">
        <f>AVERAGE(AZ324:BC324)</f>
        <v>3.8725000000000001</v>
      </c>
      <c r="BE324" s="344">
        <v>3.96</v>
      </c>
      <c r="BF324" s="344">
        <v>3.38</v>
      </c>
      <c r="BG324" s="344">
        <v>3.62</v>
      </c>
      <c r="BH324" s="344">
        <v>3.74</v>
      </c>
      <c r="BI324" s="436">
        <f>AVERAGE(BE324:BH324)</f>
        <v>3.6750000000000003</v>
      </c>
      <c r="BJ324" s="344">
        <v>2.62</v>
      </c>
      <c r="BK324" s="344">
        <v>2.86</v>
      </c>
      <c r="BL324" s="344">
        <v>2.84</v>
      </c>
      <c r="BM324" s="344">
        <v>2.95</v>
      </c>
      <c r="BN324" s="724">
        <v>2.8</v>
      </c>
      <c r="BO324" s="344">
        <v>2.38</v>
      </c>
      <c r="BP324" s="344">
        <v>2.65</v>
      </c>
      <c r="BQ324" s="344">
        <v>2.5099999999999998</v>
      </c>
      <c r="BR324" s="344">
        <v>2.35</v>
      </c>
      <c r="BS324" s="724">
        <v>2.48</v>
      </c>
      <c r="BT324" s="435"/>
      <c r="BU324" s="435"/>
      <c r="BV324" s="435"/>
      <c r="BW324" s="435"/>
      <c r="BX324" s="436"/>
      <c r="BY324" s="435"/>
      <c r="BZ324" s="435"/>
      <c r="CA324" s="435"/>
      <c r="CB324" s="435"/>
      <c r="CC324" s="436"/>
      <c r="CD324" s="435"/>
      <c r="CE324" s="435"/>
      <c r="CF324" s="435"/>
      <c r="CG324" s="435"/>
      <c r="CH324" s="436"/>
      <c r="CI324" s="435"/>
      <c r="CJ324" s="435"/>
      <c r="CK324" s="435"/>
      <c r="CL324" s="435"/>
      <c r="CM324" s="436"/>
      <c r="CN324" s="435"/>
      <c r="CO324" s="435"/>
      <c r="CP324" s="435"/>
      <c r="CQ324" s="435"/>
      <c r="CR324" s="436"/>
      <c r="CS324" s="435"/>
      <c r="CT324" s="435"/>
      <c r="CU324" s="435"/>
      <c r="CV324" s="435"/>
      <c r="CW324" s="436"/>
      <c r="CX324" s="435"/>
      <c r="CY324" s="435"/>
      <c r="CZ324" s="435"/>
      <c r="DA324" s="435"/>
      <c r="DB324" s="436"/>
      <c r="DC324" s="435"/>
      <c r="DD324" s="435"/>
      <c r="DE324" s="435"/>
      <c r="DF324" s="435"/>
      <c r="DG324" s="435"/>
      <c r="DH324" s="435"/>
      <c r="DI324" s="435"/>
      <c r="DJ324" s="435"/>
      <c r="DK324" s="414"/>
      <c r="DL324" s="414"/>
      <c r="DM324" s="9"/>
    </row>
    <row r="325" spans="1:117" outlineLevel="1">
      <c r="A325" s="33" t="s">
        <v>670</v>
      </c>
      <c r="B325" s="344">
        <v>1.7</v>
      </c>
      <c r="C325" s="344">
        <v>1.74</v>
      </c>
      <c r="D325" s="344">
        <v>3.07</v>
      </c>
      <c r="E325" s="344">
        <v>3.35</v>
      </c>
      <c r="F325" s="106">
        <v>2.4700000000000002</v>
      </c>
      <c r="G325" s="344">
        <v>2.94</v>
      </c>
      <c r="H325" s="344">
        <v>2.67</v>
      </c>
      <c r="I325" s="344">
        <v>3.65</v>
      </c>
      <c r="J325" s="344">
        <v>1.94</v>
      </c>
      <c r="K325" s="106">
        <v>2.77</v>
      </c>
      <c r="L325" s="344">
        <v>3.43</v>
      </c>
      <c r="M325" s="344">
        <v>6.11</v>
      </c>
      <c r="N325" s="344">
        <v>6.34</v>
      </c>
      <c r="O325" s="344">
        <v>4.51</v>
      </c>
      <c r="P325" s="106">
        <v>5.05</v>
      </c>
      <c r="Q325" s="344">
        <v>3.59</v>
      </c>
      <c r="R325" s="344">
        <v>4.55</v>
      </c>
      <c r="S325" s="344">
        <v>5.54</v>
      </c>
      <c r="T325" s="344">
        <v>7.14</v>
      </c>
      <c r="U325" s="106">
        <v>5.21</v>
      </c>
      <c r="V325" s="344">
        <v>7.43</v>
      </c>
      <c r="W325" s="344">
        <v>6.69</v>
      </c>
      <c r="X325" s="344">
        <v>6.69</v>
      </c>
      <c r="Y325" s="344">
        <v>9.15</v>
      </c>
      <c r="Z325" s="106">
        <v>7.47</v>
      </c>
      <c r="AA325" s="344">
        <v>6.59</v>
      </c>
      <c r="AB325" s="344">
        <v>6.34</v>
      </c>
      <c r="AC325" s="344">
        <v>6.47</v>
      </c>
      <c r="AD325" s="344">
        <v>7.24</v>
      </c>
      <c r="AE325" s="106">
        <v>6.63</v>
      </c>
      <c r="AF325" s="344">
        <v>6.37</v>
      </c>
      <c r="AG325" s="344">
        <v>3.48</v>
      </c>
      <c r="AH325" s="344">
        <v>5.67</v>
      </c>
      <c r="AI325" s="344">
        <v>7.71</v>
      </c>
      <c r="AJ325" s="106">
        <f>AVERAGE(AF325:AI325)</f>
        <v>5.8075000000000001</v>
      </c>
      <c r="AK325" s="344">
        <v>8.33</v>
      </c>
      <c r="AL325" s="344">
        <v>8.3800000000000008</v>
      </c>
      <c r="AM325" s="344">
        <v>5.67</v>
      </c>
      <c r="AN325" s="344">
        <v>7.79</v>
      </c>
      <c r="AO325" s="436">
        <f>AVERAGE(AK325:AN325)</f>
        <v>7.5425000000000004</v>
      </c>
      <c r="AP325" s="344">
        <v>8.59</v>
      </c>
      <c r="AQ325" s="344">
        <v>8.0299999999999994</v>
      </c>
      <c r="AR325" s="344">
        <v>8.14</v>
      </c>
      <c r="AS325" s="344">
        <v>7.51</v>
      </c>
      <c r="AT325" s="436">
        <f>AVERAGE(AP325:AS325)</f>
        <v>8.067499999999999</v>
      </c>
      <c r="AU325" s="435"/>
      <c r="AV325" s="435"/>
      <c r="AW325" s="435"/>
      <c r="AX325" s="435"/>
      <c r="AY325" s="436"/>
      <c r="AZ325" s="435"/>
      <c r="BA325" s="435"/>
      <c r="BB325" s="435"/>
      <c r="BC325" s="435"/>
      <c r="BD325" s="436"/>
      <c r="BE325" s="435"/>
      <c r="BF325" s="435"/>
      <c r="BG325" s="435"/>
      <c r="BH325" s="435"/>
      <c r="BI325" s="436"/>
      <c r="BJ325" s="435"/>
      <c r="BK325" s="435"/>
      <c r="BL325" s="435"/>
      <c r="BM325" s="435"/>
      <c r="BN325" s="436"/>
      <c r="BO325" s="435"/>
      <c r="BP325" s="435"/>
      <c r="BQ325" s="435"/>
      <c r="BR325" s="435"/>
      <c r="BS325" s="436"/>
      <c r="BT325" s="435"/>
      <c r="BU325" s="435"/>
      <c r="BV325" s="435"/>
      <c r="BW325" s="435"/>
      <c r="BX325" s="436"/>
      <c r="BY325" s="435"/>
      <c r="BZ325" s="435"/>
      <c r="CA325" s="435"/>
      <c r="CB325" s="435"/>
      <c r="CC325" s="436"/>
      <c r="CD325" s="435"/>
      <c r="CE325" s="435"/>
      <c r="CF325" s="435"/>
      <c r="CG325" s="435"/>
      <c r="CH325" s="436"/>
      <c r="CI325" s="435"/>
      <c r="CJ325" s="435"/>
      <c r="CK325" s="435"/>
      <c r="CL325" s="435"/>
      <c r="CM325" s="436"/>
      <c r="CN325" s="435"/>
      <c r="CO325" s="435"/>
      <c r="CP325" s="435"/>
      <c r="CQ325" s="435"/>
      <c r="CR325" s="436"/>
      <c r="CS325" s="435"/>
      <c r="CT325" s="435"/>
      <c r="CU325" s="435"/>
      <c r="CV325" s="435"/>
      <c r="CW325" s="436"/>
      <c r="CX325" s="435"/>
      <c r="CY325" s="435"/>
      <c r="CZ325" s="435"/>
      <c r="DA325" s="435"/>
      <c r="DB325" s="436"/>
      <c r="DC325" s="435"/>
      <c r="DD325" s="435"/>
      <c r="DE325" s="435"/>
      <c r="DF325" s="435"/>
      <c r="DG325" s="435"/>
      <c r="DH325" s="435"/>
      <c r="DI325" s="435"/>
      <c r="DJ325" s="435"/>
      <c r="DK325" s="414"/>
      <c r="DL325" s="414"/>
      <c r="DM325" s="61"/>
    </row>
    <row r="326" spans="1:117" outlineLevel="1">
      <c r="A326" s="12"/>
      <c r="B326" s="37"/>
      <c r="C326" s="38"/>
      <c r="D326" s="38"/>
      <c r="E326" s="38"/>
      <c r="F326" s="133"/>
      <c r="G326" s="37"/>
      <c r="H326" s="38"/>
      <c r="I326" s="38"/>
      <c r="J326" s="38"/>
      <c r="K326" s="133"/>
      <c r="L326" s="37"/>
      <c r="M326" s="38"/>
      <c r="N326" s="38"/>
      <c r="O326" s="38"/>
      <c r="P326" s="133"/>
      <c r="Q326" s="37"/>
      <c r="R326" s="38"/>
      <c r="S326" s="38"/>
      <c r="T326" s="38"/>
      <c r="U326" s="133"/>
      <c r="V326" s="37"/>
      <c r="W326" s="38"/>
      <c r="X326" s="38"/>
      <c r="Y326" s="38"/>
      <c r="Z326" s="133"/>
      <c r="AA326" s="37"/>
      <c r="AB326" s="18"/>
      <c r="AC326" s="18"/>
      <c r="AD326" s="18"/>
      <c r="AE326" s="127"/>
      <c r="AF326" s="19"/>
      <c r="AG326" s="18"/>
      <c r="AH326" s="18"/>
      <c r="AI326" s="18"/>
      <c r="AJ326" s="127"/>
      <c r="AK326" s="19"/>
      <c r="AL326" s="18"/>
      <c r="AM326" s="18"/>
      <c r="AN326" s="18"/>
      <c r="AO326" s="127"/>
      <c r="AP326" s="19"/>
      <c r="AQ326" s="18"/>
      <c r="AR326" s="18"/>
      <c r="AS326" s="18"/>
      <c r="AT326" s="127"/>
      <c r="AU326" s="19"/>
      <c r="AV326" s="18"/>
      <c r="AW326" s="18"/>
      <c r="AX326" s="18"/>
      <c r="AY326" s="127"/>
      <c r="AZ326" s="19"/>
      <c r="BA326" s="18"/>
      <c r="BB326" s="18"/>
      <c r="BC326" s="18"/>
      <c r="BD326" s="127"/>
      <c r="BE326" s="19"/>
      <c r="BF326" s="18"/>
      <c r="BG326" s="18"/>
      <c r="BH326" s="18"/>
      <c r="BI326" s="127"/>
      <c r="BJ326" s="19"/>
      <c r="BK326" s="18"/>
      <c r="BL326" s="18"/>
      <c r="BM326" s="18"/>
      <c r="BN326" s="127"/>
      <c r="BO326" s="19"/>
      <c r="BP326" s="18"/>
      <c r="BQ326" s="18"/>
      <c r="BR326" s="18"/>
      <c r="BS326" s="127"/>
      <c r="BT326" s="19"/>
      <c r="BU326" s="18"/>
      <c r="BV326" s="18"/>
      <c r="BW326" s="18"/>
      <c r="BX326" s="127"/>
      <c r="BY326" s="19"/>
      <c r="BZ326" s="18"/>
      <c r="CA326" s="18"/>
      <c r="CB326" s="18"/>
      <c r="CC326" s="127"/>
      <c r="CD326" s="19"/>
      <c r="CE326" s="18"/>
      <c r="CF326" s="18"/>
      <c r="CG326" s="18"/>
      <c r="CH326" s="127"/>
      <c r="CI326" s="19"/>
      <c r="CJ326" s="18"/>
      <c r="CK326" s="18"/>
      <c r="CL326" s="18"/>
      <c r="CM326" s="127"/>
      <c r="CN326" s="19"/>
      <c r="CO326" s="18"/>
      <c r="CP326" s="18"/>
      <c r="CQ326" s="18"/>
      <c r="CR326" s="127"/>
      <c r="CS326" s="19"/>
      <c r="CT326" s="18"/>
      <c r="CU326" s="18"/>
      <c r="CV326" s="18"/>
      <c r="CW326" s="127"/>
      <c r="CX326" s="19"/>
      <c r="CY326" s="18"/>
      <c r="CZ326" s="18"/>
      <c r="DA326" s="18"/>
      <c r="DB326" s="127"/>
      <c r="DC326" s="18"/>
      <c r="DD326" s="18"/>
      <c r="DE326" s="18"/>
      <c r="DF326" s="18"/>
      <c r="DG326" s="18"/>
      <c r="DH326" s="18"/>
      <c r="DI326" s="18"/>
      <c r="DJ326" s="18"/>
      <c r="DK326" s="61"/>
      <c r="DL326" s="61"/>
      <c r="DM326" s="61"/>
    </row>
    <row r="327" spans="1:117" outlineLevel="1">
      <c r="A327" s="109" t="s">
        <v>753</v>
      </c>
      <c r="B327" s="276"/>
      <c r="C327" s="275"/>
      <c r="D327" s="275"/>
      <c r="E327" s="275"/>
      <c r="F327" s="268"/>
      <c r="G327" s="276"/>
      <c r="H327" s="275"/>
      <c r="I327" s="275"/>
      <c r="J327" s="275"/>
      <c r="K327" s="268"/>
      <c r="L327" s="276"/>
      <c r="M327" s="275"/>
      <c r="N327" s="275"/>
      <c r="O327" s="275"/>
      <c r="P327" s="268"/>
      <c r="Q327" s="276"/>
      <c r="R327" s="275"/>
      <c r="S327" s="275"/>
      <c r="T327" s="275"/>
      <c r="U327" s="268"/>
      <c r="V327" s="276"/>
      <c r="W327" s="275"/>
      <c r="X327" s="275"/>
      <c r="Y327" s="275"/>
      <c r="Z327" s="268"/>
      <c r="AA327" s="276"/>
      <c r="AB327" s="110"/>
      <c r="AC327" s="110"/>
      <c r="AD327" s="110"/>
      <c r="AE327" s="137"/>
      <c r="AF327" s="111"/>
      <c r="AG327" s="110"/>
      <c r="AH327" s="110"/>
      <c r="AI327" s="110"/>
      <c r="AJ327" s="137"/>
      <c r="AK327" s="111"/>
      <c r="AL327" s="110"/>
      <c r="AM327" s="110"/>
      <c r="AN327" s="110"/>
      <c r="AO327" s="137"/>
      <c r="AP327" s="111"/>
      <c r="AQ327" s="110"/>
      <c r="AR327" s="110"/>
      <c r="AS327" s="110"/>
      <c r="AT327" s="137"/>
      <c r="AU327" s="111"/>
      <c r="AV327" s="110"/>
      <c r="AW327" s="110"/>
      <c r="AX327" s="110"/>
      <c r="AY327" s="137"/>
      <c r="AZ327" s="111"/>
      <c r="BA327" s="110"/>
      <c r="BB327" s="110"/>
      <c r="BC327" s="110"/>
      <c r="BD327" s="137"/>
      <c r="BE327" s="111"/>
      <c r="BF327" s="110"/>
      <c r="BG327" s="110"/>
      <c r="BH327" s="110"/>
      <c r="BI327" s="137"/>
      <c r="BJ327" s="111"/>
      <c r="BK327" s="110"/>
      <c r="BL327" s="110"/>
      <c r="BM327" s="110"/>
      <c r="BN327" s="137"/>
      <c r="BO327" s="111"/>
      <c r="BP327" s="110"/>
      <c r="BQ327" s="110"/>
      <c r="BR327" s="110"/>
      <c r="BS327" s="137"/>
      <c r="BT327" s="111"/>
      <c r="BU327" s="110"/>
      <c r="BV327" s="110"/>
      <c r="BW327" s="110"/>
      <c r="BX327" s="137"/>
      <c r="BY327" s="111"/>
      <c r="BZ327" s="110"/>
      <c r="CA327" s="110"/>
      <c r="CB327" s="110"/>
      <c r="CC327" s="137"/>
      <c r="CD327" s="111"/>
      <c r="CE327" s="110"/>
      <c r="CF327" s="110"/>
      <c r="CG327" s="110"/>
      <c r="CH327" s="137"/>
      <c r="CI327" s="111"/>
      <c r="CJ327" s="110"/>
      <c r="CK327" s="110"/>
      <c r="CL327" s="110"/>
      <c r="CM327" s="137"/>
      <c r="CN327" s="111"/>
      <c r="CO327" s="110"/>
      <c r="CP327" s="110"/>
      <c r="CQ327" s="110"/>
      <c r="CR327" s="137"/>
      <c r="CS327" s="111"/>
      <c r="CT327" s="110"/>
      <c r="CU327" s="110"/>
      <c r="CV327" s="110"/>
      <c r="CW327" s="137"/>
      <c r="CX327" s="111"/>
      <c r="CY327" s="110"/>
      <c r="CZ327" s="110"/>
      <c r="DA327" s="110"/>
      <c r="DB327" s="137"/>
      <c r="DC327" s="110"/>
      <c r="DD327" s="110"/>
      <c r="DE327" s="110"/>
      <c r="DF327" s="110"/>
      <c r="DG327" s="110"/>
      <c r="DH327" s="110"/>
      <c r="DI327" s="110"/>
      <c r="DJ327" s="110"/>
      <c r="DK327" s="61"/>
      <c r="DL327" s="61"/>
      <c r="DM327" s="61"/>
    </row>
    <row r="328" spans="1:117" outlineLevel="1">
      <c r="A328" s="34" t="s">
        <v>214</v>
      </c>
      <c r="B328" s="37">
        <v>781996</v>
      </c>
      <c r="C328" s="38">
        <v>307820</v>
      </c>
      <c r="D328" s="38">
        <v>247659</v>
      </c>
      <c r="E328" s="48">
        <f>F328-SUM(B328:D328)</f>
        <v>587027</v>
      </c>
      <c r="F328" s="133">
        <v>1924502</v>
      </c>
      <c r="G328" s="94">
        <f>1117924-H328</f>
        <v>778130</v>
      </c>
      <c r="H328" s="38">
        <v>339794</v>
      </c>
      <c r="I328" s="38">
        <v>316021</v>
      </c>
      <c r="J328" s="48">
        <f>K328-SUM(G328:I328)</f>
        <v>782262</v>
      </c>
      <c r="K328" s="133">
        <v>2216207</v>
      </c>
      <c r="L328" s="37">
        <v>787243</v>
      </c>
      <c r="M328" s="38">
        <v>317109</v>
      </c>
      <c r="N328" s="38">
        <v>252259</v>
      </c>
      <c r="O328" s="48">
        <f>P328-SUM(L328:N328)</f>
        <v>601581</v>
      </c>
      <c r="P328" s="133">
        <v>1958192</v>
      </c>
      <c r="Q328" s="37">
        <v>881022</v>
      </c>
      <c r="R328" s="38">
        <v>357267</v>
      </c>
      <c r="S328" s="38">
        <v>234064</v>
      </c>
      <c r="T328" s="48">
        <f>U328-SUM(Q328:S328)</f>
        <v>626703</v>
      </c>
      <c r="U328" s="133">
        <v>2099056</v>
      </c>
      <c r="V328" s="37">
        <v>913661</v>
      </c>
      <c r="W328" s="38">
        <v>374115</v>
      </c>
      <c r="X328" s="38">
        <v>270719</v>
      </c>
      <c r="Y328" s="48">
        <f>Z328-SUM(V328:X328)</f>
        <v>619120</v>
      </c>
      <c r="Z328" s="133">
        <v>2177615</v>
      </c>
      <c r="AA328" s="37">
        <v>754355</v>
      </c>
      <c r="AB328" s="38">
        <v>276599</v>
      </c>
      <c r="AC328" s="38">
        <v>214255</v>
      </c>
      <c r="AD328" s="48">
        <f>AE328-SUM(AA328:AC328)</f>
        <v>598220</v>
      </c>
      <c r="AE328" s="133">
        <v>1843429</v>
      </c>
      <c r="AF328" s="37">
        <v>997908</v>
      </c>
      <c r="AG328" s="38">
        <v>338476</v>
      </c>
      <c r="AH328" s="38">
        <v>301730</v>
      </c>
      <c r="AI328" s="48">
        <f>AJ328-SUM(AF328:AH328)</f>
        <v>523648</v>
      </c>
      <c r="AJ328" s="133">
        <v>2161762</v>
      </c>
      <c r="AK328" s="180">
        <v>785695</v>
      </c>
      <c r="AL328" s="65">
        <v>323596</v>
      </c>
      <c r="AM328" s="38">
        <v>277539</v>
      </c>
      <c r="AN328" s="48">
        <f>AO328-SUM(AK328:AM328)</f>
        <v>222798</v>
      </c>
      <c r="AO328" s="133">
        <v>1609628</v>
      </c>
      <c r="AP328" s="180">
        <v>516923</v>
      </c>
      <c r="AQ328" s="65">
        <v>222181</v>
      </c>
      <c r="AR328" s="65">
        <v>204930</v>
      </c>
      <c r="AS328" s="48">
        <f>AT328-SUM(AP328:AR328)</f>
        <v>435332</v>
      </c>
      <c r="AT328" s="133">
        <v>1379366</v>
      </c>
      <c r="AU328" s="180">
        <v>635931</v>
      </c>
      <c r="AV328" s="65">
        <v>311606</v>
      </c>
      <c r="AW328" s="65">
        <v>219724</v>
      </c>
      <c r="AX328" s="48">
        <f>AY328-SUM(AU328:AW328)</f>
        <v>522684</v>
      </c>
      <c r="AY328" s="133">
        <v>1689945</v>
      </c>
      <c r="AZ328" s="19"/>
      <c r="BA328" s="18"/>
      <c r="BB328" s="18"/>
      <c r="BC328" s="18"/>
      <c r="BD328" s="104"/>
      <c r="BE328" s="19"/>
      <c r="BF328" s="18"/>
      <c r="BG328" s="18"/>
      <c r="BH328" s="18"/>
      <c r="BI328" s="104"/>
      <c r="BJ328" s="19"/>
      <c r="BK328" s="18"/>
      <c r="BL328" s="18"/>
      <c r="BM328" s="18"/>
      <c r="BN328" s="104"/>
      <c r="BO328" s="19"/>
      <c r="BP328" s="18"/>
      <c r="BQ328" s="18"/>
      <c r="BR328" s="18"/>
      <c r="BS328" s="104"/>
      <c r="BT328" s="19"/>
      <c r="BU328" s="18"/>
      <c r="BV328" s="18"/>
      <c r="BW328" s="18"/>
      <c r="BX328" s="104"/>
      <c r="BY328" s="19"/>
      <c r="BZ328" s="18"/>
      <c r="CA328" s="18"/>
      <c r="CB328" s="18"/>
      <c r="CC328" s="104"/>
      <c r="CD328" s="19"/>
      <c r="CE328" s="18"/>
      <c r="CF328" s="18"/>
      <c r="CG328" s="18"/>
      <c r="CH328" s="104"/>
      <c r="CI328" s="19"/>
      <c r="CJ328" s="18"/>
      <c r="CK328" s="18"/>
      <c r="CL328" s="18"/>
      <c r="CM328" s="104"/>
      <c r="CN328" s="19"/>
      <c r="CO328" s="18"/>
      <c r="CP328" s="18"/>
      <c r="CQ328" s="18"/>
      <c r="CR328" s="104"/>
      <c r="CS328" s="19"/>
      <c r="CT328" s="18"/>
      <c r="CU328" s="18"/>
      <c r="CV328" s="18"/>
      <c r="CW328" s="104"/>
      <c r="CX328" s="19"/>
      <c r="CY328" s="18"/>
      <c r="CZ328" s="18"/>
      <c r="DA328" s="18"/>
      <c r="DB328" s="104"/>
      <c r="DC328" s="48"/>
      <c r="DD328" s="48"/>
      <c r="DE328" s="48"/>
      <c r="DF328" s="48"/>
      <c r="DG328" s="48"/>
      <c r="DH328" s="48"/>
      <c r="DI328" s="48"/>
      <c r="DJ328" s="48"/>
      <c r="DK328" s="99"/>
      <c r="DL328" s="99"/>
      <c r="DM328" s="61"/>
    </row>
    <row r="329" spans="1:117" outlineLevel="1">
      <c r="A329" s="34" t="s">
        <v>333</v>
      </c>
      <c r="B329" s="37">
        <v>0</v>
      </c>
      <c r="C329" s="38">
        <v>0</v>
      </c>
      <c r="D329" s="38">
        <v>0</v>
      </c>
      <c r="E329" s="48">
        <f>F329-SUM(B329:D329)</f>
        <v>0</v>
      </c>
      <c r="F329" s="133">
        <v>0</v>
      </c>
      <c r="G329" s="94">
        <f>0-H329</f>
        <v>0</v>
      </c>
      <c r="H329" s="38">
        <v>0</v>
      </c>
      <c r="I329" s="38">
        <v>0</v>
      </c>
      <c r="J329" s="48">
        <f>K329-SUM(G329:I329)</f>
        <v>0</v>
      </c>
      <c r="K329" s="133">
        <v>0</v>
      </c>
      <c r="L329" s="37">
        <v>0</v>
      </c>
      <c r="M329" s="38">
        <v>0</v>
      </c>
      <c r="N329" s="38">
        <v>2</v>
      </c>
      <c r="O329" s="48">
        <f>P329-SUM(L329:N329)</f>
        <v>5</v>
      </c>
      <c r="P329" s="133">
        <v>7</v>
      </c>
      <c r="Q329" s="37">
        <v>0</v>
      </c>
      <c r="R329" s="38">
        <v>4</v>
      </c>
      <c r="S329" s="38">
        <v>2</v>
      </c>
      <c r="T329" s="48">
        <f>U329-SUM(Q329:S329)</f>
        <v>1</v>
      </c>
      <c r="U329" s="133">
        <v>7</v>
      </c>
      <c r="V329" s="37">
        <v>2</v>
      </c>
      <c r="W329" s="38">
        <v>2</v>
      </c>
      <c r="X329" s="38">
        <v>2</v>
      </c>
      <c r="Y329" s="48">
        <f>Z329-SUM(V329:X329)</f>
        <v>1</v>
      </c>
      <c r="Z329" s="133">
        <v>7</v>
      </c>
      <c r="AA329" s="37">
        <v>2</v>
      </c>
      <c r="AB329" s="38">
        <v>2</v>
      </c>
      <c r="AC329" s="38">
        <v>1</v>
      </c>
      <c r="AD329" s="48">
        <f>AE329-SUM(AA329:AC329)</f>
        <v>2</v>
      </c>
      <c r="AE329" s="133">
        <v>7</v>
      </c>
      <c r="AF329" s="347">
        <v>3491</v>
      </c>
      <c r="AG329" s="372">
        <v>3757</v>
      </c>
      <c r="AH329" s="38">
        <v>951</v>
      </c>
      <c r="AI329" s="48">
        <f>AJ329-SUM(AF329:AH329)</f>
        <v>-1299</v>
      </c>
      <c r="AJ329" s="133">
        <v>6900</v>
      </c>
      <c r="AK329" s="347">
        <v>4775</v>
      </c>
      <c r="AL329" s="372">
        <v>3065</v>
      </c>
      <c r="AM329" s="38">
        <v>2176</v>
      </c>
      <c r="AN329" s="48">
        <f>AO329-SUM(AK329:AM329)</f>
        <v>1690</v>
      </c>
      <c r="AO329" s="133">
        <v>11706</v>
      </c>
      <c r="AP329" s="347">
        <v>841</v>
      </c>
      <c r="AQ329" s="372">
        <v>2</v>
      </c>
      <c r="AR329" s="372">
        <v>2</v>
      </c>
      <c r="AS329" s="48">
        <f>AT329-SUM(AP329:AR329)</f>
        <v>-3562</v>
      </c>
      <c r="AT329" s="133">
        <v>-2717</v>
      </c>
      <c r="AU329" s="347">
        <v>2</v>
      </c>
      <c r="AV329" s="372">
        <v>2</v>
      </c>
      <c r="AW329" s="372">
        <v>1</v>
      </c>
      <c r="AX329" s="48">
        <f>AY329-SUM(AU329:AW329)</f>
        <v>2</v>
      </c>
      <c r="AY329" s="133">
        <v>7</v>
      </c>
      <c r="AZ329" s="196"/>
      <c r="BA329" s="195"/>
      <c r="BB329" s="195"/>
      <c r="BC329" s="195"/>
      <c r="BD329" s="104"/>
      <c r="BE329" s="196"/>
      <c r="BF329" s="195"/>
      <c r="BG329" s="195"/>
      <c r="BH329" s="195"/>
      <c r="BI329" s="104"/>
      <c r="BJ329" s="196"/>
      <c r="BK329" s="195"/>
      <c r="BL329" s="195"/>
      <c r="BM329" s="195"/>
      <c r="BN329" s="104"/>
      <c r="BO329" s="196"/>
      <c r="BP329" s="195"/>
      <c r="BQ329" s="195"/>
      <c r="BR329" s="195"/>
      <c r="BS329" s="104"/>
      <c r="BT329" s="196"/>
      <c r="BU329" s="195"/>
      <c r="BV329" s="195"/>
      <c r="BW329" s="195"/>
      <c r="BX329" s="104"/>
      <c r="BY329" s="196"/>
      <c r="BZ329" s="195"/>
      <c r="CA329" s="195"/>
      <c r="CB329" s="195"/>
      <c r="CC329" s="104"/>
      <c r="CD329" s="196"/>
      <c r="CE329" s="195"/>
      <c r="CF329" s="195"/>
      <c r="CG329" s="195"/>
      <c r="CH329" s="104"/>
      <c r="CI329" s="196"/>
      <c r="CJ329" s="195"/>
      <c r="CK329" s="195"/>
      <c r="CL329" s="195"/>
      <c r="CM329" s="104"/>
      <c r="CN329" s="196"/>
      <c r="CO329" s="195"/>
      <c r="CP329" s="195"/>
      <c r="CQ329" s="195"/>
      <c r="CR329" s="104"/>
      <c r="CS329" s="196"/>
      <c r="CT329" s="195"/>
      <c r="CU329" s="195"/>
      <c r="CV329" s="195"/>
      <c r="CW329" s="104"/>
      <c r="CX329" s="196"/>
      <c r="CY329" s="195"/>
      <c r="CZ329" s="195"/>
      <c r="DA329" s="195"/>
      <c r="DB329" s="104"/>
      <c r="DC329" s="48"/>
      <c r="DD329" s="48"/>
      <c r="DE329" s="48"/>
      <c r="DF329" s="48"/>
      <c r="DG329" s="48"/>
      <c r="DH329" s="48"/>
      <c r="DI329" s="48"/>
      <c r="DJ329" s="48"/>
      <c r="DK329" s="99"/>
      <c r="DL329" s="99"/>
      <c r="DM329" s="61"/>
    </row>
    <row r="330" spans="1:117" outlineLevel="1">
      <c r="A330" s="28" t="s">
        <v>684</v>
      </c>
      <c r="B330" s="160">
        <f t="shared" ref="B330:Z330" si="591">SUM(B328:B329)</f>
        <v>781996</v>
      </c>
      <c r="C330" s="168">
        <f t="shared" si="591"/>
        <v>307820</v>
      </c>
      <c r="D330" s="168">
        <f t="shared" si="591"/>
        <v>247659</v>
      </c>
      <c r="E330" s="168">
        <f t="shared" si="591"/>
        <v>587027</v>
      </c>
      <c r="F330" s="235">
        <f t="shared" si="591"/>
        <v>1924502</v>
      </c>
      <c r="G330" s="160">
        <f t="shared" si="591"/>
        <v>778130</v>
      </c>
      <c r="H330" s="168">
        <f t="shared" si="591"/>
        <v>339794</v>
      </c>
      <c r="I330" s="168">
        <f t="shared" si="591"/>
        <v>316021</v>
      </c>
      <c r="J330" s="168">
        <f t="shared" si="591"/>
        <v>782262</v>
      </c>
      <c r="K330" s="235">
        <f t="shared" si="591"/>
        <v>2216207</v>
      </c>
      <c r="L330" s="160">
        <f t="shared" si="591"/>
        <v>787243</v>
      </c>
      <c r="M330" s="168">
        <f t="shared" si="591"/>
        <v>317109</v>
      </c>
      <c r="N330" s="168">
        <f t="shared" si="591"/>
        <v>252261</v>
      </c>
      <c r="O330" s="168">
        <f t="shared" si="591"/>
        <v>601586</v>
      </c>
      <c r="P330" s="235">
        <f t="shared" si="591"/>
        <v>1958199</v>
      </c>
      <c r="Q330" s="160">
        <f t="shared" si="591"/>
        <v>881022</v>
      </c>
      <c r="R330" s="168">
        <f t="shared" si="591"/>
        <v>357271</v>
      </c>
      <c r="S330" s="168">
        <f t="shared" si="591"/>
        <v>234066</v>
      </c>
      <c r="T330" s="168">
        <f t="shared" si="591"/>
        <v>626704</v>
      </c>
      <c r="U330" s="235">
        <f t="shared" si="591"/>
        <v>2099063</v>
      </c>
      <c r="V330" s="160">
        <f t="shared" si="591"/>
        <v>913663</v>
      </c>
      <c r="W330" s="168">
        <f t="shared" si="591"/>
        <v>374117</v>
      </c>
      <c r="X330" s="168">
        <f t="shared" si="591"/>
        <v>270721</v>
      </c>
      <c r="Y330" s="168">
        <f t="shared" si="591"/>
        <v>619121</v>
      </c>
      <c r="Z330" s="235">
        <f t="shared" si="591"/>
        <v>2177622</v>
      </c>
      <c r="AA330" s="160">
        <f t="shared" ref="AA330:AH330" si="592">SUM(AA328:AA329)</f>
        <v>754357</v>
      </c>
      <c r="AB330" s="168">
        <f t="shared" si="592"/>
        <v>276601</v>
      </c>
      <c r="AC330" s="168">
        <f t="shared" si="592"/>
        <v>214256</v>
      </c>
      <c r="AD330" s="168">
        <f t="shared" si="592"/>
        <v>598222</v>
      </c>
      <c r="AE330" s="235">
        <f t="shared" si="592"/>
        <v>1843436</v>
      </c>
      <c r="AF330" s="348">
        <f t="shared" si="592"/>
        <v>1001399</v>
      </c>
      <c r="AG330" s="371">
        <f t="shared" si="592"/>
        <v>342233</v>
      </c>
      <c r="AH330" s="168">
        <f t="shared" si="592"/>
        <v>302681</v>
      </c>
      <c r="AI330" s="168">
        <f t="shared" ref="AI330:AR330" si="593">SUM(AI328:AI329)</f>
        <v>522349</v>
      </c>
      <c r="AJ330" s="235">
        <f t="shared" si="593"/>
        <v>2168662</v>
      </c>
      <c r="AK330" s="348">
        <f t="shared" si="593"/>
        <v>790470</v>
      </c>
      <c r="AL330" s="371">
        <f t="shared" si="593"/>
        <v>326661</v>
      </c>
      <c r="AM330" s="371">
        <f t="shared" si="593"/>
        <v>279715</v>
      </c>
      <c r="AN330" s="168">
        <f t="shared" si="593"/>
        <v>224488</v>
      </c>
      <c r="AO330" s="235">
        <f t="shared" si="593"/>
        <v>1621334</v>
      </c>
      <c r="AP330" s="348">
        <f t="shared" si="593"/>
        <v>517764</v>
      </c>
      <c r="AQ330" s="371">
        <f t="shared" si="593"/>
        <v>222183</v>
      </c>
      <c r="AR330" s="371">
        <f t="shared" si="593"/>
        <v>204932</v>
      </c>
      <c r="AS330" s="168">
        <f t="shared" ref="AS330:AY330" si="594">SUM(AS328:AS329)</f>
        <v>431770</v>
      </c>
      <c r="AT330" s="235">
        <f t="shared" si="594"/>
        <v>1376649</v>
      </c>
      <c r="AU330" s="348">
        <f t="shared" si="594"/>
        <v>635933</v>
      </c>
      <c r="AV330" s="371">
        <f t="shared" si="594"/>
        <v>311608</v>
      </c>
      <c r="AW330" s="371">
        <f t="shared" si="594"/>
        <v>219725</v>
      </c>
      <c r="AX330" s="168">
        <f t="shared" si="594"/>
        <v>522686</v>
      </c>
      <c r="AY330" s="235">
        <f t="shared" si="594"/>
        <v>1689952</v>
      </c>
      <c r="AZ330" s="504"/>
      <c r="BA330" s="502"/>
      <c r="BB330" s="502"/>
      <c r="BC330" s="502"/>
      <c r="BD330" s="503"/>
      <c r="BE330" s="504"/>
      <c r="BF330" s="502"/>
      <c r="BG330" s="502"/>
      <c r="BH330" s="502"/>
      <c r="BI330" s="503"/>
      <c r="BJ330" s="504"/>
      <c r="BK330" s="502"/>
      <c r="BL330" s="502"/>
      <c r="BM330" s="502"/>
      <c r="BN330" s="503"/>
      <c r="BO330" s="504"/>
      <c r="BP330" s="502"/>
      <c r="BQ330" s="502"/>
      <c r="BR330" s="502"/>
      <c r="BS330" s="503"/>
      <c r="BT330" s="504"/>
      <c r="BU330" s="502"/>
      <c r="BV330" s="502"/>
      <c r="BW330" s="502"/>
      <c r="BX330" s="503"/>
      <c r="BY330" s="504"/>
      <c r="BZ330" s="502"/>
      <c r="CA330" s="502"/>
      <c r="CB330" s="502"/>
      <c r="CC330" s="503"/>
      <c r="CD330" s="504"/>
      <c r="CE330" s="502"/>
      <c r="CF330" s="502"/>
      <c r="CG330" s="502"/>
      <c r="CH330" s="503"/>
      <c r="CI330" s="504"/>
      <c r="CJ330" s="502"/>
      <c r="CK330" s="502"/>
      <c r="CL330" s="502"/>
      <c r="CM330" s="503"/>
      <c r="CN330" s="504"/>
      <c r="CO330" s="502"/>
      <c r="CP330" s="502"/>
      <c r="CQ330" s="502"/>
      <c r="CR330" s="503"/>
      <c r="CS330" s="504"/>
      <c r="CT330" s="502"/>
      <c r="CU330" s="502"/>
      <c r="CV330" s="502"/>
      <c r="CW330" s="503"/>
      <c r="CX330" s="504"/>
      <c r="CY330" s="502"/>
      <c r="CZ330" s="502"/>
      <c r="DA330" s="502"/>
      <c r="DB330" s="503"/>
      <c r="DC330" s="502"/>
      <c r="DD330" s="502"/>
      <c r="DE330" s="502"/>
      <c r="DF330" s="502"/>
      <c r="DG330" s="502"/>
      <c r="DH330" s="502"/>
      <c r="DI330" s="502"/>
      <c r="DJ330" s="502"/>
      <c r="DK330" s="406"/>
      <c r="DL330" s="406"/>
      <c r="DM330" s="9"/>
    </row>
    <row r="331" spans="1:117" outlineLevel="1">
      <c r="A331" s="107" t="s">
        <v>651</v>
      </c>
      <c r="B331" s="321"/>
      <c r="C331" s="322"/>
      <c r="D331" s="322"/>
      <c r="E331" s="322"/>
      <c r="F331" s="323"/>
      <c r="G331" s="302">
        <f t="shared" ref="G331:AC331" si="595">G330/B330-1</f>
        <v>-4.9437593031166349E-3</v>
      </c>
      <c r="H331" s="149">
        <f t="shared" si="595"/>
        <v>0.10387239295692297</v>
      </c>
      <c r="I331" s="149">
        <f t="shared" si="595"/>
        <v>0.276032770866393</v>
      </c>
      <c r="J331" s="149">
        <f t="shared" si="595"/>
        <v>0.33258265803787568</v>
      </c>
      <c r="K331" s="150">
        <f t="shared" si="595"/>
        <v>0.15157427739747731</v>
      </c>
      <c r="L331" s="302">
        <f t="shared" si="595"/>
        <v>1.1711410689730473E-2</v>
      </c>
      <c r="M331" s="149">
        <f t="shared" si="595"/>
        <v>-6.6761037569821768E-2</v>
      </c>
      <c r="N331" s="149">
        <f t="shared" si="595"/>
        <v>-0.20175874388094461</v>
      </c>
      <c r="O331" s="149">
        <f t="shared" si="595"/>
        <v>-0.23096609575819871</v>
      </c>
      <c r="P331" s="150">
        <f t="shared" si="595"/>
        <v>-0.11641872803397879</v>
      </c>
      <c r="Q331" s="302">
        <f t="shared" si="595"/>
        <v>0.11912332024546424</v>
      </c>
      <c r="R331" s="149">
        <f t="shared" si="595"/>
        <v>0.12665045772904593</v>
      </c>
      <c r="S331" s="149">
        <f t="shared" si="595"/>
        <v>-7.212767728661984E-2</v>
      </c>
      <c r="T331" s="149">
        <f t="shared" si="595"/>
        <v>4.1752966325679042E-2</v>
      </c>
      <c r="U331" s="150">
        <f t="shared" si="595"/>
        <v>7.1935487659834374E-2</v>
      </c>
      <c r="V331" s="302">
        <f t="shared" si="595"/>
        <v>3.7049018072193407E-2</v>
      </c>
      <c r="W331" s="149">
        <f t="shared" si="595"/>
        <v>4.7151881904772486E-2</v>
      </c>
      <c r="X331" s="149">
        <f t="shared" si="595"/>
        <v>0.15660112959592598</v>
      </c>
      <c r="Y331" s="149">
        <f t="shared" si="595"/>
        <v>-1.2099811075084843E-2</v>
      </c>
      <c r="Z331" s="150">
        <f t="shared" si="595"/>
        <v>3.7425746630758594E-2</v>
      </c>
      <c r="AA331" s="302">
        <f t="shared" si="595"/>
        <v>-0.17435969279701602</v>
      </c>
      <c r="AB331" s="149">
        <f t="shared" si="595"/>
        <v>-0.26065642566362934</v>
      </c>
      <c r="AC331" s="149">
        <f t="shared" si="595"/>
        <v>-0.20857266336929903</v>
      </c>
      <c r="AD331" s="149">
        <f t="shared" ref="AD331:AM331" si="596">AD330/Y330-1</f>
        <v>-3.3755921701896674E-2</v>
      </c>
      <c r="AE331" s="150">
        <f t="shared" si="596"/>
        <v>-0.1534637324567808</v>
      </c>
      <c r="AF331" s="349">
        <f t="shared" si="596"/>
        <v>0.32748685304172964</v>
      </c>
      <c r="AG331" s="373">
        <f t="shared" si="596"/>
        <v>0.23728041474904282</v>
      </c>
      <c r="AH331" s="373">
        <f t="shared" si="596"/>
        <v>0.41270722873571808</v>
      </c>
      <c r="AI331" s="149">
        <f t="shared" si="596"/>
        <v>-0.12683084206197703</v>
      </c>
      <c r="AJ331" s="150">
        <f t="shared" si="596"/>
        <v>0.17642380858353635</v>
      </c>
      <c r="AK331" s="349">
        <f t="shared" si="596"/>
        <v>-0.21063432258270676</v>
      </c>
      <c r="AL331" s="373">
        <f t="shared" si="596"/>
        <v>-4.5501164411380524E-2</v>
      </c>
      <c r="AM331" s="373">
        <f t="shared" si="596"/>
        <v>-7.5875261413831718E-2</v>
      </c>
      <c r="AN331" s="149">
        <f t="shared" ref="AN331:AW331" si="597">AN330/AI330-1</f>
        <v>-0.57023369433080184</v>
      </c>
      <c r="AO331" s="150">
        <f t="shared" si="597"/>
        <v>-0.25238050005026136</v>
      </c>
      <c r="AP331" s="149">
        <f t="shared" si="597"/>
        <v>-0.34499221981858896</v>
      </c>
      <c r="AQ331" s="373">
        <f t="shared" si="597"/>
        <v>-0.31983616042319096</v>
      </c>
      <c r="AR331" s="373">
        <f t="shared" si="597"/>
        <v>-0.26735427131187106</v>
      </c>
      <c r="AS331" s="149">
        <f t="shared" si="597"/>
        <v>0.92335447774491297</v>
      </c>
      <c r="AT331" s="150">
        <f t="shared" si="597"/>
        <v>-0.15091585077473246</v>
      </c>
      <c r="AU331" s="149">
        <f t="shared" si="597"/>
        <v>0.22822946361662844</v>
      </c>
      <c r="AV331" s="373">
        <f t="shared" si="597"/>
        <v>0.40248353834451778</v>
      </c>
      <c r="AW331" s="373">
        <f t="shared" si="597"/>
        <v>7.2184919875861286E-2</v>
      </c>
      <c r="AX331" s="149">
        <f>AX330/AS330-1</f>
        <v>0.21056581050096113</v>
      </c>
      <c r="AY331" s="150">
        <f>AY330/AT330-1</f>
        <v>0.22758379223752745</v>
      </c>
      <c r="AZ331" s="507"/>
      <c r="BA331" s="505"/>
      <c r="BB331" s="505"/>
      <c r="BC331" s="505"/>
      <c r="BD331" s="506"/>
      <c r="BE331" s="507"/>
      <c r="BF331" s="505"/>
      <c r="BG331" s="505"/>
      <c r="BH331" s="505"/>
      <c r="BI331" s="506"/>
      <c r="BJ331" s="507"/>
      <c r="BK331" s="505"/>
      <c r="BL331" s="505"/>
      <c r="BM331" s="505"/>
      <c r="BN331" s="506"/>
      <c r="BO331" s="507"/>
      <c r="BP331" s="505"/>
      <c r="BQ331" s="505"/>
      <c r="BR331" s="505"/>
      <c r="BS331" s="506"/>
      <c r="BT331" s="507"/>
      <c r="BU331" s="505"/>
      <c r="BV331" s="505"/>
      <c r="BW331" s="505"/>
      <c r="BX331" s="506"/>
      <c r="BY331" s="507"/>
      <c r="BZ331" s="505"/>
      <c r="CA331" s="505"/>
      <c r="CB331" s="505"/>
      <c r="CC331" s="506"/>
      <c r="CD331" s="507"/>
      <c r="CE331" s="505"/>
      <c r="CF331" s="505"/>
      <c r="CG331" s="505"/>
      <c r="CH331" s="506"/>
      <c r="CI331" s="507"/>
      <c r="CJ331" s="505"/>
      <c r="CK331" s="505"/>
      <c r="CL331" s="505"/>
      <c r="CM331" s="506"/>
      <c r="CN331" s="507"/>
      <c r="CO331" s="505"/>
      <c r="CP331" s="505"/>
      <c r="CQ331" s="505"/>
      <c r="CR331" s="506"/>
      <c r="CS331" s="507"/>
      <c r="CT331" s="505"/>
      <c r="CU331" s="505"/>
      <c r="CV331" s="505"/>
      <c r="CW331" s="506"/>
      <c r="CX331" s="507"/>
      <c r="CY331" s="505"/>
      <c r="CZ331" s="505"/>
      <c r="DA331" s="505"/>
      <c r="DB331" s="506"/>
      <c r="DC331" s="505"/>
      <c r="DD331" s="505"/>
      <c r="DE331" s="505"/>
      <c r="DF331" s="505"/>
      <c r="DG331" s="505"/>
      <c r="DH331" s="505"/>
      <c r="DI331" s="505"/>
      <c r="DJ331" s="505"/>
      <c r="DK331" s="400"/>
      <c r="DL331" s="400"/>
      <c r="DM331" s="108"/>
    </row>
    <row r="332" spans="1:117" outlineLevel="1">
      <c r="A332" s="36" t="s">
        <v>827</v>
      </c>
      <c r="B332" s="94">
        <f t="shared" ref="B332:U332" si="598">B330-B333</f>
        <v>578982</v>
      </c>
      <c r="C332" s="48">
        <f t="shared" si="598"/>
        <v>203848</v>
      </c>
      <c r="D332" s="48">
        <f t="shared" si="598"/>
        <v>159033</v>
      </c>
      <c r="E332" s="48">
        <f t="shared" si="598"/>
        <v>425323</v>
      </c>
      <c r="F332" s="104">
        <f t="shared" si="598"/>
        <v>1367186</v>
      </c>
      <c r="G332" s="94">
        <f t="shared" si="598"/>
        <v>576910</v>
      </c>
      <c r="H332" s="48">
        <f t="shared" si="598"/>
        <v>233302</v>
      </c>
      <c r="I332" s="48">
        <f t="shared" si="598"/>
        <v>210917</v>
      </c>
      <c r="J332" s="48">
        <f t="shared" si="598"/>
        <v>607378</v>
      </c>
      <c r="K332" s="104">
        <f t="shared" si="598"/>
        <v>1628507</v>
      </c>
      <c r="L332" s="94">
        <f t="shared" si="598"/>
        <v>591802</v>
      </c>
      <c r="M332" s="48">
        <f t="shared" si="598"/>
        <v>197478</v>
      </c>
      <c r="N332" s="48">
        <f t="shared" si="598"/>
        <v>145319</v>
      </c>
      <c r="O332" s="48">
        <f t="shared" si="598"/>
        <v>423803</v>
      </c>
      <c r="P332" s="104">
        <f t="shared" si="598"/>
        <v>1358402</v>
      </c>
      <c r="Q332" s="94">
        <f t="shared" si="598"/>
        <v>653794</v>
      </c>
      <c r="R332" s="48">
        <f t="shared" si="598"/>
        <v>226903</v>
      </c>
      <c r="S332" s="48">
        <f t="shared" si="598"/>
        <v>117056</v>
      </c>
      <c r="T332" s="48">
        <f t="shared" si="598"/>
        <v>437662</v>
      </c>
      <c r="U332" s="104">
        <f t="shared" si="598"/>
        <v>1435415</v>
      </c>
      <c r="V332" s="94">
        <f t="shared" ref="V332:AB332" si="599">V330-V333</f>
        <v>681975</v>
      </c>
      <c r="W332" s="48">
        <f t="shared" si="599"/>
        <v>239124</v>
      </c>
      <c r="X332" s="48">
        <f t="shared" si="599"/>
        <v>146792</v>
      </c>
      <c r="Y332" s="48">
        <f t="shared" si="599"/>
        <v>428760</v>
      </c>
      <c r="Z332" s="104">
        <f t="shared" si="599"/>
        <v>1496651</v>
      </c>
      <c r="AA332" s="94">
        <f t="shared" si="599"/>
        <v>519798</v>
      </c>
      <c r="AB332" s="48">
        <f t="shared" si="599"/>
        <v>137038</v>
      </c>
      <c r="AC332" s="48">
        <f t="shared" ref="AC332:AH332" si="600">AC330-AC333</f>
        <v>85777</v>
      </c>
      <c r="AD332" s="48">
        <f t="shared" si="600"/>
        <v>384795</v>
      </c>
      <c r="AE332" s="104">
        <f t="shared" si="600"/>
        <v>1127408</v>
      </c>
      <c r="AF332" s="350">
        <f t="shared" si="600"/>
        <v>754573</v>
      </c>
      <c r="AG332" s="48">
        <f t="shared" si="600"/>
        <v>180752</v>
      </c>
      <c r="AH332" s="48">
        <f t="shared" si="600"/>
        <v>151918</v>
      </c>
      <c r="AI332" s="48">
        <f t="shared" ref="AI332:AO332" si="601">AI330-AI333</f>
        <v>316131</v>
      </c>
      <c r="AJ332" s="104">
        <f t="shared" si="601"/>
        <v>1403374</v>
      </c>
      <c r="AK332" s="350">
        <f t="shared" si="601"/>
        <v>543064</v>
      </c>
      <c r="AL332" s="376">
        <f t="shared" si="601"/>
        <v>164705</v>
      </c>
      <c r="AM332" s="376">
        <f t="shared" si="601"/>
        <v>132938</v>
      </c>
      <c r="AN332" s="48">
        <f t="shared" si="601"/>
        <v>28792</v>
      </c>
      <c r="AO332" s="104">
        <f t="shared" si="601"/>
        <v>869499</v>
      </c>
      <c r="AP332" s="48">
        <f t="shared" ref="AP332:AY332" si="602">AP330-AP333</f>
        <v>280464</v>
      </c>
      <c r="AQ332" s="376">
        <f t="shared" si="602"/>
        <v>64683</v>
      </c>
      <c r="AR332" s="376">
        <f t="shared" si="602"/>
        <v>53945</v>
      </c>
      <c r="AS332" s="48">
        <f t="shared" si="602"/>
        <v>221157</v>
      </c>
      <c r="AT332" s="104">
        <f t="shared" si="602"/>
        <v>620249</v>
      </c>
      <c r="AU332" s="48">
        <f t="shared" si="602"/>
        <v>384233</v>
      </c>
      <c r="AV332" s="376">
        <f>AV330-AV333</f>
        <v>133208</v>
      </c>
      <c r="AW332" s="376">
        <f>AW330-AW333</f>
        <v>60525</v>
      </c>
      <c r="AX332" s="48">
        <f t="shared" si="602"/>
        <v>298986</v>
      </c>
      <c r="AY332" s="104">
        <f t="shared" si="602"/>
        <v>876952</v>
      </c>
      <c r="AZ332" s="510"/>
      <c r="BA332" s="508"/>
      <c r="BB332" s="508"/>
      <c r="BC332" s="508"/>
      <c r="BD332" s="509"/>
      <c r="BE332" s="510"/>
      <c r="BF332" s="508"/>
      <c r="BG332" s="508"/>
      <c r="BH332" s="508"/>
      <c r="BI332" s="509"/>
      <c r="BJ332" s="510"/>
      <c r="BK332" s="508"/>
      <c r="BL332" s="508"/>
      <c r="BM332" s="508"/>
      <c r="BN332" s="509"/>
      <c r="BO332" s="510"/>
      <c r="BP332" s="508"/>
      <c r="BQ332" s="508"/>
      <c r="BR332" s="508"/>
      <c r="BS332" s="509"/>
      <c r="BT332" s="510"/>
      <c r="BU332" s="508"/>
      <c r="BV332" s="508"/>
      <c r="BW332" s="508"/>
      <c r="BX332" s="509"/>
      <c r="BY332" s="510"/>
      <c r="BZ332" s="508"/>
      <c r="CA332" s="508"/>
      <c r="CB332" s="508"/>
      <c r="CC332" s="509"/>
      <c r="CD332" s="510"/>
      <c r="CE332" s="508"/>
      <c r="CF332" s="508"/>
      <c r="CG332" s="508"/>
      <c r="CH332" s="509"/>
      <c r="CI332" s="510"/>
      <c r="CJ332" s="508"/>
      <c r="CK332" s="508"/>
      <c r="CL332" s="508"/>
      <c r="CM332" s="509"/>
      <c r="CN332" s="510"/>
      <c r="CO332" s="508"/>
      <c r="CP332" s="508"/>
      <c r="CQ332" s="508"/>
      <c r="CR332" s="509"/>
      <c r="CS332" s="510"/>
      <c r="CT332" s="508"/>
      <c r="CU332" s="508"/>
      <c r="CV332" s="508"/>
      <c r="CW332" s="509"/>
      <c r="CX332" s="510"/>
      <c r="CY332" s="508"/>
      <c r="CZ332" s="508"/>
      <c r="DA332" s="508"/>
      <c r="DB332" s="509"/>
      <c r="DC332" s="508"/>
      <c r="DD332" s="508"/>
      <c r="DE332" s="508"/>
      <c r="DF332" s="508"/>
      <c r="DG332" s="508"/>
      <c r="DH332" s="508"/>
      <c r="DI332" s="508"/>
      <c r="DJ332" s="508"/>
      <c r="DK332" s="99"/>
      <c r="DL332" s="99"/>
      <c r="DM332" s="9"/>
    </row>
    <row r="333" spans="1:117" outlineLevel="1">
      <c r="A333" s="28" t="s">
        <v>763</v>
      </c>
      <c r="B333" s="212">
        <v>203014</v>
      </c>
      <c r="C333" s="176">
        <v>103972</v>
      </c>
      <c r="D333" s="176">
        <v>88626</v>
      </c>
      <c r="E333" s="168">
        <f>F333-SUM(B333:D333)</f>
        <v>161704</v>
      </c>
      <c r="F333" s="213">
        <v>557316</v>
      </c>
      <c r="G333" s="160">
        <f>307712-H333</f>
        <v>201220</v>
      </c>
      <c r="H333" s="176">
        <v>106492</v>
      </c>
      <c r="I333" s="176">
        <v>105104</v>
      </c>
      <c r="J333" s="168">
        <f>K333-SUM(G333:I333)</f>
        <v>174884</v>
      </c>
      <c r="K333" s="213">
        <v>587700</v>
      </c>
      <c r="L333" s="212">
        <v>195441</v>
      </c>
      <c r="M333" s="176">
        <v>119631</v>
      </c>
      <c r="N333" s="176">
        <v>106942</v>
      </c>
      <c r="O333" s="168">
        <f>P333-SUM(L333:N333)</f>
        <v>177783</v>
      </c>
      <c r="P333" s="213">
        <v>599797</v>
      </c>
      <c r="Q333" s="212">
        <v>227228</v>
      </c>
      <c r="R333" s="176">
        <v>130368</v>
      </c>
      <c r="S333" s="176">
        <v>117010</v>
      </c>
      <c r="T333" s="168">
        <f>U333-SUM(Q333:S333)</f>
        <v>189042</v>
      </c>
      <c r="U333" s="213">
        <v>663648</v>
      </c>
      <c r="V333" s="212">
        <v>231688</v>
      </c>
      <c r="W333" s="176">
        <v>134993</v>
      </c>
      <c r="X333" s="176">
        <v>123929</v>
      </c>
      <c r="Y333" s="168">
        <f>Z333-SUM(V333:X333)</f>
        <v>190361</v>
      </c>
      <c r="Z333" s="213">
        <v>680971</v>
      </c>
      <c r="AA333" s="212">
        <v>234559</v>
      </c>
      <c r="AB333" s="176">
        <v>139563</v>
      </c>
      <c r="AC333" s="176">
        <v>128479</v>
      </c>
      <c r="AD333" s="168">
        <f>AE333-SUM(AA333:AC333)</f>
        <v>213427</v>
      </c>
      <c r="AE333" s="213">
        <v>716028</v>
      </c>
      <c r="AF333" s="176">
        <v>246826</v>
      </c>
      <c r="AG333" s="176">
        <v>161481</v>
      </c>
      <c r="AH333" s="176">
        <v>150763</v>
      </c>
      <c r="AI333" s="168">
        <f>AJ333-SUM(AF333:AH333)</f>
        <v>206218</v>
      </c>
      <c r="AJ333" s="213">
        <v>765288</v>
      </c>
      <c r="AK333" s="176">
        <v>247406</v>
      </c>
      <c r="AL333" s="176">
        <v>161956</v>
      </c>
      <c r="AM333" s="176">
        <v>146777</v>
      </c>
      <c r="AN333" s="168">
        <f>AO333-SUM(AK333:AM333)</f>
        <v>195696</v>
      </c>
      <c r="AO333" s="213">
        <v>751835</v>
      </c>
      <c r="AP333" s="176">
        <v>237300</v>
      </c>
      <c r="AQ333" s="176">
        <v>157500</v>
      </c>
      <c r="AR333" s="176">
        <v>150987</v>
      </c>
      <c r="AS333" s="168">
        <f>AT333-SUM(AP333:AR333)</f>
        <v>210613</v>
      </c>
      <c r="AT333" s="213">
        <v>756400</v>
      </c>
      <c r="AU333" s="176">
        <v>251700</v>
      </c>
      <c r="AV333" s="176">
        <v>178400</v>
      </c>
      <c r="AW333" s="176">
        <v>159200</v>
      </c>
      <c r="AX333" s="168">
        <f>AY333-SUM(AU333:AW333)</f>
        <v>223700</v>
      </c>
      <c r="AY333" s="213">
        <v>813000</v>
      </c>
      <c r="AZ333" s="168"/>
      <c r="BA333" s="168"/>
      <c r="BB333" s="168"/>
      <c r="BC333" s="168"/>
      <c r="BD333" s="235"/>
      <c r="BE333" s="168"/>
      <c r="BF333" s="388"/>
      <c r="BG333" s="168"/>
      <c r="BH333" s="388"/>
      <c r="BI333" s="521"/>
      <c r="BJ333" s="168"/>
      <c r="BK333" s="388"/>
      <c r="BL333" s="168"/>
      <c r="BM333" s="168"/>
      <c r="BN333" s="235"/>
      <c r="BO333" s="168"/>
      <c r="BP333" s="168"/>
      <c r="BQ333" s="168"/>
      <c r="BR333" s="168"/>
      <c r="BS333" s="235"/>
      <c r="BT333" s="168"/>
      <c r="BU333" s="168"/>
      <c r="BV333" s="168"/>
      <c r="BW333" s="168"/>
      <c r="BX333" s="235"/>
      <c r="BY333" s="168"/>
      <c r="BZ333" s="168"/>
      <c r="CA333" s="168"/>
      <c r="CB333" s="168"/>
      <c r="CC333" s="235"/>
      <c r="CD333" s="168"/>
      <c r="CE333" s="168"/>
      <c r="CF333" s="168"/>
      <c r="CG333" s="168"/>
      <c r="CH333" s="235"/>
      <c r="CI333" s="168"/>
      <c r="CJ333" s="168"/>
      <c r="CK333" s="168"/>
      <c r="CL333" s="168"/>
      <c r="CM333" s="235"/>
      <c r="CN333" s="168"/>
      <c r="CO333" s="168"/>
      <c r="CP333" s="168"/>
      <c r="CQ333" s="168"/>
      <c r="CR333" s="235"/>
      <c r="CS333" s="168"/>
      <c r="CT333" s="168"/>
      <c r="CU333" s="168"/>
      <c r="CV333" s="168"/>
      <c r="CW333" s="235"/>
      <c r="CX333" s="168"/>
      <c r="CY333" s="168"/>
      <c r="CZ333" s="168"/>
      <c r="DA333" s="168"/>
      <c r="DB333" s="235"/>
      <c r="DC333" s="168"/>
      <c r="DD333" s="168"/>
      <c r="DE333" s="168"/>
      <c r="DF333" s="168"/>
      <c r="DG333" s="168"/>
      <c r="DH333" s="168"/>
      <c r="DI333" s="168"/>
      <c r="DJ333" s="168"/>
      <c r="DK333" s="406"/>
      <c r="DL333" s="406"/>
      <c r="DM333" s="61"/>
    </row>
    <row r="334" spans="1:117" outlineLevel="1">
      <c r="A334" s="107" t="s">
        <v>651</v>
      </c>
      <c r="B334" s="321"/>
      <c r="C334" s="322"/>
      <c r="D334" s="322"/>
      <c r="E334" s="322"/>
      <c r="F334" s="323"/>
      <c r="G334" s="302">
        <f t="shared" ref="G334:AN334" si="603">G333/B333-1</f>
        <v>-8.8368289871634254E-3</v>
      </c>
      <c r="H334" s="149">
        <f t="shared" si="603"/>
        <v>2.4237294656253683E-2</v>
      </c>
      <c r="I334" s="149">
        <f t="shared" si="603"/>
        <v>0.18592738022702138</v>
      </c>
      <c r="J334" s="149">
        <f t="shared" si="603"/>
        <v>8.1506950972146663E-2</v>
      </c>
      <c r="K334" s="150">
        <f t="shared" si="603"/>
        <v>5.4518441961113551E-2</v>
      </c>
      <c r="L334" s="302">
        <f t="shared" si="603"/>
        <v>-2.8719809164098997E-2</v>
      </c>
      <c r="M334" s="149">
        <f t="shared" si="603"/>
        <v>0.12338016001201968</v>
      </c>
      <c r="N334" s="149">
        <f t="shared" si="603"/>
        <v>1.7487441010808347E-2</v>
      </c>
      <c r="O334" s="149">
        <f t="shared" si="603"/>
        <v>1.6576702271219768E-2</v>
      </c>
      <c r="P334" s="150">
        <f t="shared" si="603"/>
        <v>2.0583631104304834E-2</v>
      </c>
      <c r="Q334" s="302">
        <f t="shared" si="603"/>
        <v>0.16264243428963221</v>
      </c>
      <c r="R334" s="149">
        <f t="shared" si="603"/>
        <v>8.9750984276650625E-2</v>
      </c>
      <c r="S334" s="149">
        <f t="shared" si="603"/>
        <v>9.4144489536384102E-2</v>
      </c>
      <c r="T334" s="149">
        <f t="shared" si="603"/>
        <v>6.3330014680818669E-2</v>
      </c>
      <c r="U334" s="150">
        <f t="shared" si="603"/>
        <v>0.10645435038854822</v>
      </c>
      <c r="V334" s="302">
        <f t="shared" si="603"/>
        <v>1.9627862763391901E-2</v>
      </c>
      <c r="W334" s="149">
        <f t="shared" si="603"/>
        <v>3.5476497299950838E-2</v>
      </c>
      <c r="X334" s="149">
        <f t="shared" si="603"/>
        <v>5.9131698145457712E-2</v>
      </c>
      <c r="Y334" s="149">
        <f t="shared" si="603"/>
        <v>6.9772854709535537E-3</v>
      </c>
      <c r="Z334" s="150">
        <f t="shared" si="603"/>
        <v>2.6102692993876353E-2</v>
      </c>
      <c r="AA334" s="302">
        <f t="shared" si="603"/>
        <v>1.2391664652463552E-2</v>
      </c>
      <c r="AB334" s="149">
        <f t="shared" si="603"/>
        <v>3.3853607224078264E-2</v>
      </c>
      <c r="AC334" s="149">
        <f t="shared" si="603"/>
        <v>3.6714570439525751E-2</v>
      </c>
      <c r="AD334" s="149">
        <f>AD333/Y333-1</f>
        <v>0.12116977742289659</v>
      </c>
      <c r="AE334" s="150">
        <f>AE333/Z333-1</f>
        <v>5.1480900067697455E-2</v>
      </c>
      <c r="AF334" s="355">
        <f>AF333/AA333-1</f>
        <v>5.2298142471616904E-2</v>
      </c>
      <c r="AG334" s="149">
        <f>AG333/AB333-1</f>
        <v>0.15704735495797606</v>
      </c>
      <c r="AH334" s="149">
        <f t="shared" si="603"/>
        <v>0.17344468745865083</v>
      </c>
      <c r="AI334" s="149">
        <f>AI333/AD333-1</f>
        <v>-3.3777357129135543E-2</v>
      </c>
      <c r="AJ334" s="150">
        <f>AJ333/AE333-1</f>
        <v>6.879619232767431E-2</v>
      </c>
      <c r="AK334" s="355">
        <f>AK333/AF333-1</f>
        <v>2.3498334859375358E-3</v>
      </c>
      <c r="AL334" s="149">
        <f>AL333/AG333-1</f>
        <v>2.9415225320625904E-3</v>
      </c>
      <c r="AM334" s="149">
        <f t="shared" si="603"/>
        <v>-2.6438847727890846E-2</v>
      </c>
      <c r="AN334" s="149">
        <f t="shared" si="603"/>
        <v>-5.1023673976083539E-2</v>
      </c>
      <c r="AO334" s="150">
        <f t="shared" ref="AO334:AW334" si="604">AO333/AJ333-1</f>
        <v>-1.7579002937456178E-2</v>
      </c>
      <c r="AP334" s="302">
        <f t="shared" si="604"/>
        <v>-4.0847837158355049E-2</v>
      </c>
      <c r="AQ334" s="149">
        <f t="shared" si="604"/>
        <v>-2.7513645681543131E-2</v>
      </c>
      <c r="AR334" s="149">
        <f t="shared" si="604"/>
        <v>2.8682968039951851E-2</v>
      </c>
      <c r="AS334" s="149">
        <f t="shared" si="604"/>
        <v>7.6225369961573142E-2</v>
      </c>
      <c r="AT334" s="150">
        <f t="shared" si="604"/>
        <v>6.0718109691622058E-3</v>
      </c>
      <c r="AU334" s="302">
        <f t="shared" si="604"/>
        <v>6.0682680151706636E-2</v>
      </c>
      <c r="AV334" s="149">
        <f t="shared" si="604"/>
        <v>0.13269841269841276</v>
      </c>
      <c r="AW334" s="149">
        <f t="shared" si="604"/>
        <v>5.4395411525495652E-2</v>
      </c>
      <c r="AX334" s="149">
        <f>AX333/AS333-1</f>
        <v>6.2137664816511728E-2</v>
      </c>
      <c r="AY334" s="150">
        <f>AY333/AT333-1</f>
        <v>7.4828133262824004E-2</v>
      </c>
      <c r="AZ334" s="302"/>
      <c r="BA334" s="149"/>
      <c r="BB334" s="149"/>
      <c r="BC334" s="149"/>
      <c r="BD334" s="150"/>
      <c r="BE334" s="302"/>
      <c r="BF334" s="540"/>
      <c r="BG334" s="149"/>
      <c r="BH334" s="540"/>
      <c r="BI334" s="534"/>
      <c r="BJ334" s="302"/>
      <c r="BK334" s="540"/>
      <c r="BL334" s="149"/>
      <c r="BM334" s="149"/>
      <c r="BN334" s="150"/>
      <c r="BO334" s="302"/>
      <c r="BP334" s="149"/>
      <c r="BQ334" s="149"/>
      <c r="BR334" s="149"/>
      <c r="BS334" s="150"/>
      <c r="BT334" s="302"/>
      <c r="BU334" s="149"/>
      <c r="BV334" s="149"/>
      <c r="BW334" s="149"/>
      <c r="BX334" s="150"/>
      <c r="BY334" s="302"/>
      <c r="BZ334" s="149"/>
      <c r="CA334" s="149"/>
      <c r="CB334" s="149"/>
      <c r="CC334" s="150"/>
      <c r="CD334" s="302"/>
      <c r="CE334" s="149"/>
      <c r="CF334" s="149"/>
      <c r="CG334" s="149"/>
      <c r="CH334" s="150"/>
      <c r="CI334" s="302"/>
      <c r="CJ334" s="149"/>
      <c r="CK334" s="149"/>
      <c r="CL334" s="149"/>
      <c r="CM334" s="150"/>
      <c r="CN334" s="302"/>
      <c r="CO334" s="149"/>
      <c r="CP334" s="149"/>
      <c r="CQ334" s="149"/>
      <c r="CR334" s="150"/>
      <c r="CS334" s="302"/>
      <c r="CT334" s="149"/>
      <c r="CU334" s="149"/>
      <c r="CV334" s="149"/>
      <c r="CW334" s="150"/>
      <c r="CX334" s="302"/>
      <c r="CY334" s="149"/>
      <c r="CZ334" s="149"/>
      <c r="DA334" s="149"/>
      <c r="DB334" s="150"/>
      <c r="DC334" s="149"/>
      <c r="DD334" s="149"/>
      <c r="DE334" s="149"/>
      <c r="DF334" s="149"/>
      <c r="DG334" s="149"/>
      <c r="DH334" s="149"/>
      <c r="DI334" s="149"/>
      <c r="DJ334" s="149"/>
      <c r="DK334" s="400"/>
      <c r="DL334" s="400"/>
      <c r="DM334" s="108"/>
    </row>
    <row r="335" spans="1:117" outlineLevel="1">
      <c r="A335" s="34" t="s">
        <v>761</v>
      </c>
      <c r="B335" s="37">
        <v>91071</v>
      </c>
      <c r="C335" s="38">
        <v>80734</v>
      </c>
      <c r="D335" s="38">
        <v>79711</v>
      </c>
      <c r="E335" s="48">
        <f>F335-SUM(B335:D335)</f>
        <v>90135</v>
      </c>
      <c r="F335" s="133">
        <v>341651</v>
      </c>
      <c r="G335" s="94">
        <f>174105-H335</f>
        <v>90628</v>
      </c>
      <c r="H335" s="38">
        <v>83477</v>
      </c>
      <c r="I335" s="38">
        <v>91596</v>
      </c>
      <c r="J335" s="48">
        <f>K335-SUM(G335:I335)</f>
        <v>94650</v>
      </c>
      <c r="K335" s="133">
        <v>360351</v>
      </c>
      <c r="L335" s="37">
        <v>90514</v>
      </c>
      <c r="M335" s="38">
        <v>91523</v>
      </c>
      <c r="N335" s="38">
        <v>88821</v>
      </c>
      <c r="O335" s="48">
        <f>P335-SUM(L335:N335)</f>
        <v>100602</v>
      </c>
      <c r="P335" s="133">
        <v>371460</v>
      </c>
      <c r="Q335" s="37">
        <v>95715</v>
      </c>
      <c r="R335" s="38">
        <v>91614</v>
      </c>
      <c r="S335" s="38">
        <v>91620</v>
      </c>
      <c r="T335" s="48">
        <f>U335-SUM(Q335:S335)</f>
        <v>98829</v>
      </c>
      <c r="U335" s="133">
        <v>377778</v>
      </c>
      <c r="V335" s="37">
        <v>94182</v>
      </c>
      <c r="W335" s="38">
        <v>93883</v>
      </c>
      <c r="X335" s="38">
        <v>97558</v>
      </c>
      <c r="Y335" s="48">
        <f>Z335-SUM(V335:X335)</f>
        <v>89705</v>
      </c>
      <c r="Z335" s="133">
        <v>375328</v>
      </c>
      <c r="AA335" s="37">
        <v>90077</v>
      </c>
      <c r="AB335" s="38">
        <v>99467</v>
      </c>
      <c r="AC335" s="38">
        <v>90976</v>
      </c>
      <c r="AD335" s="48">
        <f>AE335-SUM(AA335:AC335)</f>
        <v>103605</v>
      </c>
      <c r="AE335" s="133">
        <v>384125</v>
      </c>
      <c r="AF335" s="37">
        <v>99776</v>
      </c>
      <c r="AG335" s="38">
        <v>98245</v>
      </c>
      <c r="AH335" s="38">
        <v>98353</v>
      </c>
      <c r="AI335" s="48">
        <f>AJ335-SUM(AF335:AH335)</f>
        <v>111400</v>
      </c>
      <c r="AJ335" s="133">
        <v>407774</v>
      </c>
      <c r="AK335" s="37">
        <v>106629</v>
      </c>
      <c r="AL335" s="38">
        <v>106602</v>
      </c>
      <c r="AM335" s="38">
        <v>97137</v>
      </c>
      <c r="AN335" s="38">
        <v>117500</v>
      </c>
      <c r="AO335" s="104">
        <f>SUM(AK335:AN335)</f>
        <v>427868</v>
      </c>
      <c r="AP335" s="37">
        <v>105000</v>
      </c>
      <c r="AQ335" s="38">
        <v>103800</v>
      </c>
      <c r="AR335" s="38">
        <v>103373</v>
      </c>
      <c r="AS335" s="38">
        <v>98400</v>
      </c>
      <c r="AT335" s="104">
        <f>SUM(AP335:AS335)</f>
        <v>410573</v>
      </c>
      <c r="AU335" s="37">
        <v>116200</v>
      </c>
      <c r="AV335" s="38">
        <v>105000</v>
      </c>
      <c r="AW335" s="38">
        <v>109300</v>
      </c>
      <c r="AX335" s="38">
        <v>114400</v>
      </c>
      <c r="AY335" s="104">
        <f>SUM(AU335:AX335)</f>
        <v>444900</v>
      </c>
      <c r="AZ335" s="94"/>
      <c r="BA335" s="48"/>
      <c r="BB335" s="48"/>
      <c r="BC335" s="48"/>
      <c r="BD335" s="104"/>
      <c r="BE335" s="94"/>
      <c r="BF335" s="48"/>
      <c r="BG335" s="48"/>
      <c r="BH335" s="48"/>
      <c r="BI335" s="104"/>
      <c r="BJ335" s="94"/>
      <c r="BK335" s="48"/>
      <c r="BL335" s="48"/>
      <c r="BM335" s="48"/>
      <c r="BN335" s="104"/>
      <c r="BO335" s="94"/>
      <c r="BP335" s="48"/>
      <c r="BQ335" s="48"/>
      <c r="BR335" s="48"/>
      <c r="BS335" s="104"/>
      <c r="BT335" s="94"/>
      <c r="BU335" s="48"/>
      <c r="BV335" s="48"/>
      <c r="BW335" s="48"/>
      <c r="BX335" s="104"/>
      <c r="BY335" s="94"/>
      <c r="BZ335" s="48"/>
      <c r="CA335" s="48"/>
      <c r="CB335" s="48"/>
      <c r="CC335" s="104"/>
      <c r="CD335" s="94"/>
      <c r="CE335" s="48"/>
      <c r="CF335" s="48"/>
      <c r="CG335" s="48"/>
      <c r="CH335" s="104"/>
      <c r="CI335" s="94"/>
      <c r="CJ335" s="48"/>
      <c r="CK335" s="48"/>
      <c r="CL335" s="48"/>
      <c r="CM335" s="104"/>
      <c r="CN335" s="94"/>
      <c r="CO335" s="48"/>
      <c r="CP335" s="48"/>
      <c r="CQ335" s="48"/>
      <c r="CR335" s="104"/>
      <c r="CS335" s="94"/>
      <c r="CT335" s="48"/>
      <c r="CU335" s="48"/>
      <c r="CV335" s="48"/>
      <c r="CW335" s="104"/>
      <c r="CX335" s="94"/>
      <c r="CY335" s="48"/>
      <c r="CZ335" s="48"/>
      <c r="DA335" s="48"/>
      <c r="DB335" s="104"/>
      <c r="DC335" s="48"/>
      <c r="DD335" s="48"/>
      <c r="DE335" s="48"/>
      <c r="DF335" s="48"/>
      <c r="DG335" s="48"/>
      <c r="DH335" s="48"/>
      <c r="DI335" s="48"/>
      <c r="DJ335" s="48"/>
      <c r="DK335" s="99"/>
      <c r="DL335" s="99"/>
      <c r="DM335" s="61"/>
    </row>
    <row r="336" spans="1:117" outlineLevel="1">
      <c r="A336" s="113" t="s">
        <v>651</v>
      </c>
      <c r="B336" s="321"/>
      <c r="C336" s="322"/>
      <c r="D336" s="322"/>
      <c r="E336" s="322"/>
      <c r="F336" s="323"/>
      <c r="G336" s="302">
        <f t="shared" ref="G336:AC336" si="605">G335/B335-1</f>
        <v>-4.864336616485998E-3</v>
      </c>
      <c r="H336" s="149">
        <f t="shared" si="605"/>
        <v>3.3975772289246198E-2</v>
      </c>
      <c r="I336" s="149">
        <f t="shared" si="605"/>
        <v>0.1491011278242651</v>
      </c>
      <c r="J336" s="149">
        <f t="shared" si="605"/>
        <v>5.0091529372607857E-2</v>
      </c>
      <c r="K336" s="150">
        <f t="shared" si="605"/>
        <v>5.4734217081173542E-2</v>
      </c>
      <c r="L336" s="302">
        <f t="shared" si="605"/>
        <v>-1.2578893940062841E-3</v>
      </c>
      <c r="M336" s="149">
        <f t="shared" si="605"/>
        <v>9.6385830827653063E-2</v>
      </c>
      <c r="N336" s="149">
        <f t="shared" si="605"/>
        <v>-3.0296082798375479E-2</v>
      </c>
      <c r="O336" s="149">
        <f t="shared" si="605"/>
        <v>6.2884310618066541E-2</v>
      </c>
      <c r="P336" s="150">
        <f t="shared" si="605"/>
        <v>3.0828275764462898E-2</v>
      </c>
      <c r="Q336" s="302">
        <f t="shared" si="605"/>
        <v>5.7460724307841771E-2</v>
      </c>
      <c r="R336" s="149">
        <f t="shared" si="605"/>
        <v>9.9428558941472289E-4</v>
      </c>
      <c r="S336" s="149">
        <f t="shared" si="605"/>
        <v>3.1512817914682412E-2</v>
      </c>
      <c r="T336" s="149">
        <f t="shared" si="605"/>
        <v>-1.7623904097334053E-2</v>
      </c>
      <c r="U336" s="150">
        <f t="shared" si="605"/>
        <v>1.7008560814084861E-2</v>
      </c>
      <c r="V336" s="302">
        <f t="shared" si="605"/>
        <v>-1.6016298385832961E-2</v>
      </c>
      <c r="W336" s="149">
        <f t="shared" si="605"/>
        <v>2.4766957015303293E-2</v>
      </c>
      <c r="X336" s="149">
        <f t="shared" si="605"/>
        <v>6.4811176598995823E-2</v>
      </c>
      <c r="Y336" s="149">
        <f t="shared" si="605"/>
        <v>-9.2321079844984721E-2</v>
      </c>
      <c r="Z336" s="150">
        <f t="shared" si="605"/>
        <v>-6.4852903027704523E-3</v>
      </c>
      <c r="AA336" s="302">
        <f t="shared" si="605"/>
        <v>-4.3585823193391549E-2</v>
      </c>
      <c r="AB336" s="149">
        <f t="shared" si="605"/>
        <v>5.947828680378775E-2</v>
      </c>
      <c r="AC336" s="149">
        <f t="shared" si="605"/>
        <v>-6.746755776051172E-2</v>
      </c>
      <c r="AD336" s="149">
        <f t="shared" ref="AD336:AW336" si="606">AD335/Y335-1</f>
        <v>0.15495234379354561</v>
      </c>
      <c r="AE336" s="150">
        <f t="shared" si="606"/>
        <v>2.3438166084065237E-2</v>
      </c>
      <c r="AF336" s="355">
        <f t="shared" si="606"/>
        <v>0.10767454511140473</v>
      </c>
      <c r="AG336" s="361">
        <f t="shared" si="606"/>
        <v>-1.2285481617018701E-2</v>
      </c>
      <c r="AH336" s="361">
        <f t="shared" si="606"/>
        <v>8.1087319732676688E-2</v>
      </c>
      <c r="AI336" s="149">
        <f t="shared" si="606"/>
        <v>7.5237681579074289E-2</v>
      </c>
      <c r="AJ336" s="150">
        <f t="shared" si="606"/>
        <v>6.1565896518060548E-2</v>
      </c>
      <c r="AK336" s="355">
        <f t="shared" si="606"/>
        <v>6.8683851828094999E-2</v>
      </c>
      <c r="AL336" s="361">
        <f t="shared" si="606"/>
        <v>8.5062853071403044E-2</v>
      </c>
      <c r="AM336" s="361">
        <f t="shared" si="606"/>
        <v>-1.2363628969121465E-2</v>
      </c>
      <c r="AN336" s="361">
        <f t="shared" si="606"/>
        <v>5.4757630161579973E-2</v>
      </c>
      <c r="AO336" s="150">
        <f t="shared" si="606"/>
        <v>4.927729575696338E-2</v>
      </c>
      <c r="AP336" s="355">
        <f t="shared" si="606"/>
        <v>-1.5277269785893166E-2</v>
      </c>
      <c r="AQ336" s="361">
        <f t="shared" si="606"/>
        <v>-2.6284685090335991E-2</v>
      </c>
      <c r="AR336" s="361">
        <f t="shared" si="606"/>
        <v>6.4197988408124518E-2</v>
      </c>
      <c r="AS336" s="361">
        <f t="shared" si="606"/>
        <v>-0.16255319148936165</v>
      </c>
      <c r="AT336" s="150">
        <f t="shared" si="606"/>
        <v>-4.0421344900763767E-2</v>
      </c>
      <c r="AU336" s="355">
        <f t="shared" si="606"/>
        <v>0.10666666666666669</v>
      </c>
      <c r="AV336" s="361">
        <f t="shared" si="606"/>
        <v>1.1560693641618602E-2</v>
      </c>
      <c r="AW336" s="361">
        <f t="shared" si="606"/>
        <v>5.7336054869259856E-2</v>
      </c>
      <c r="AX336" s="361">
        <f>AX335/AS335-1</f>
        <v>0.16260162601626016</v>
      </c>
      <c r="AY336" s="150">
        <f>AY335/AT335-1</f>
        <v>8.3607543603695378E-2</v>
      </c>
      <c r="AZ336" s="269"/>
      <c r="BA336" s="188"/>
      <c r="BB336" s="188"/>
      <c r="BC336" s="188"/>
      <c r="BD336" s="150"/>
      <c r="BE336" s="269"/>
      <c r="BF336" s="188"/>
      <c r="BG336" s="188"/>
      <c r="BH336" s="188"/>
      <c r="BI336" s="534"/>
      <c r="BJ336" s="269"/>
      <c r="BK336" s="188"/>
      <c r="BL336" s="188"/>
      <c r="BM336" s="188"/>
      <c r="BN336" s="150"/>
      <c r="BO336" s="269"/>
      <c r="BP336" s="188"/>
      <c r="BQ336" s="188"/>
      <c r="BR336" s="188"/>
      <c r="BS336" s="150"/>
      <c r="BT336" s="269"/>
      <c r="BU336" s="188"/>
      <c r="BV336" s="188"/>
      <c r="BW336" s="188"/>
      <c r="BX336" s="150"/>
      <c r="BY336" s="269"/>
      <c r="BZ336" s="188"/>
      <c r="CA336" s="188"/>
      <c r="CB336" s="188"/>
      <c r="CC336" s="150"/>
      <c r="CD336" s="269"/>
      <c r="CE336" s="188"/>
      <c r="CF336" s="188"/>
      <c r="CG336" s="188"/>
      <c r="CH336" s="150"/>
      <c r="CI336" s="269"/>
      <c r="CJ336" s="188"/>
      <c r="CK336" s="188"/>
      <c r="CL336" s="188"/>
      <c r="CM336" s="150"/>
      <c r="CN336" s="269"/>
      <c r="CO336" s="188"/>
      <c r="CP336" s="188"/>
      <c r="CQ336" s="188"/>
      <c r="CR336" s="150"/>
      <c r="CS336" s="269"/>
      <c r="CT336" s="188"/>
      <c r="CU336" s="188"/>
      <c r="CV336" s="188"/>
      <c r="CW336" s="150"/>
      <c r="CX336" s="269"/>
      <c r="CY336" s="188"/>
      <c r="CZ336" s="188"/>
      <c r="DA336" s="188"/>
      <c r="DB336" s="150"/>
      <c r="DC336" s="149"/>
      <c r="DD336" s="149"/>
      <c r="DE336" s="149"/>
      <c r="DF336" s="149"/>
      <c r="DG336" s="149"/>
      <c r="DH336" s="149"/>
      <c r="DI336" s="149"/>
      <c r="DJ336" s="149"/>
      <c r="DK336" s="400"/>
      <c r="DL336" s="400"/>
      <c r="DM336" s="108"/>
    </row>
    <row r="337" spans="1:117" outlineLevel="1">
      <c r="A337" s="34" t="s">
        <v>762</v>
      </c>
      <c r="B337" s="37">
        <v>26219</v>
      </c>
      <c r="C337" s="38">
        <v>25932</v>
      </c>
      <c r="D337" s="38">
        <v>26518</v>
      </c>
      <c r="E337" s="48">
        <f>F337-SUM(B337:D337)</f>
        <v>26769</v>
      </c>
      <c r="F337" s="133">
        <v>105438</v>
      </c>
      <c r="G337" s="94">
        <f>60003-H337</f>
        <v>29989</v>
      </c>
      <c r="H337" s="38">
        <v>30014</v>
      </c>
      <c r="I337" s="38">
        <v>26298</v>
      </c>
      <c r="J337" s="48">
        <f>K337-SUM(G337:I337)</f>
        <v>27136</v>
      </c>
      <c r="K337" s="133">
        <v>113437</v>
      </c>
      <c r="L337" s="37">
        <v>28152</v>
      </c>
      <c r="M337" s="38">
        <v>27162</v>
      </c>
      <c r="N337" s="38">
        <v>27307</v>
      </c>
      <c r="O337" s="48">
        <f>P337-SUM(L337:N337)</f>
        <v>28237</v>
      </c>
      <c r="P337" s="133">
        <v>110858</v>
      </c>
      <c r="Q337" s="37">
        <v>28275</v>
      </c>
      <c r="R337" s="38">
        <v>26970</v>
      </c>
      <c r="S337" s="38">
        <v>26903</v>
      </c>
      <c r="T337" s="48">
        <f>U337-SUM(Q337:S337)</f>
        <v>29467</v>
      </c>
      <c r="U337" s="133">
        <v>111615</v>
      </c>
      <c r="V337" s="37">
        <v>28950</v>
      </c>
      <c r="W337" s="38">
        <v>29074</v>
      </c>
      <c r="X337" s="38">
        <v>29271</v>
      </c>
      <c r="Y337" s="48">
        <f>Z337-SUM(V337:X337)</f>
        <v>29487</v>
      </c>
      <c r="Z337" s="133">
        <v>116782</v>
      </c>
      <c r="AA337" s="37">
        <v>31612</v>
      </c>
      <c r="AB337" s="38">
        <v>30717</v>
      </c>
      <c r="AC337" s="38">
        <v>29911</v>
      </c>
      <c r="AD337" s="48">
        <f>AE337-SUM(AA337:AC337)</f>
        <v>30355</v>
      </c>
      <c r="AE337" s="133">
        <v>122595</v>
      </c>
      <c r="AF337" s="37">
        <v>33345</v>
      </c>
      <c r="AG337" s="38">
        <v>30877</v>
      </c>
      <c r="AH337" s="38">
        <v>32778</v>
      </c>
      <c r="AI337" s="48">
        <f>AJ337-SUM(AF337:AH337)</f>
        <v>34061</v>
      </c>
      <c r="AJ337" s="133">
        <v>131061</v>
      </c>
      <c r="AK337" s="37">
        <v>35980</v>
      </c>
      <c r="AL337" s="38">
        <v>34469</v>
      </c>
      <c r="AM337" s="38">
        <v>30287</v>
      </c>
      <c r="AN337" s="38">
        <v>31600</v>
      </c>
      <c r="AO337" s="104">
        <f>SUM(AK337:AN337)</f>
        <v>132336</v>
      </c>
      <c r="AP337" s="37">
        <v>33500</v>
      </c>
      <c r="AQ337" s="38">
        <v>32000</v>
      </c>
      <c r="AR337" s="38">
        <v>31962</v>
      </c>
      <c r="AS337" s="38">
        <v>32700</v>
      </c>
      <c r="AT337" s="104">
        <f>SUM(AP337:AS337)</f>
        <v>130162</v>
      </c>
      <c r="AU337" s="37">
        <v>34900</v>
      </c>
      <c r="AV337" s="38">
        <v>32900</v>
      </c>
      <c r="AW337" s="38">
        <v>32300</v>
      </c>
      <c r="AX337" s="38">
        <v>44600</v>
      </c>
      <c r="AY337" s="104">
        <f>SUM(AU337:AX337)</f>
        <v>144700</v>
      </c>
      <c r="AZ337" s="94"/>
      <c r="BA337" s="48"/>
      <c r="BB337" s="48"/>
      <c r="BC337" s="48"/>
      <c r="BD337" s="104"/>
      <c r="BE337" s="94"/>
      <c r="BF337" s="48"/>
      <c r="BG337" s="48"/>
      <c r="BH337" s="48"/>
      <c r="BI337" s="104"/>
      <c r="BJ337" s="94"/>
      <c r="BK337" s="48"/>
      <c r="BL337" s="48"/>
      <c r="BM337" s="48"/>
      <c r="BN337" s="104"/>
      <c r="BO337" s="94"/>
      <c r="BP337" s="48"/>
      <c r="BQ337" s="48"/>
      <c r="BR337" s="48"/>
      <c r="BS337" s="104"/>
      <c r="BT337" s="94"/>
      <c r="BU337" s="48"/>
      <c r="BV337" s="48"/>
      <c r="BW337" s="48"/>
      <c r="BX337" s="104"/>
      <c r="BY337" s="94"/>
      <c r="BZ337" s="48"/>
      <c r="CA337" s="48"/>
      <c r="CB337" s="48"/>
      <c r="CC337" s="104"/>
      <c r="CD337" s="94"/>
      <c r="CE337" s="48"/>
      <c r="CF337" s="48"/>
      <c r="CG337" s="48"/>
      <c r="CH337" s="104"/>
      <c r="CI337" s="94"/>
      <c r="CJ337" s="48"/>
      <c r="CK337" s="48"/>
      <c r="CL337" s="48"/>
      <c r="CM337" s="104"/>
      <c r="CN337" s="94"/>
      <c r="CO337" s="48"/>
      <c r="CP337" s="48"/>
      <c r="CQ337" s="48"/>
      <c r="CR337" s="104"/>
      <c r="CS337" s="94"/>
      <c r="CT337" s="48"/>
      <c r="CU337" s="48"/>
      <c r="CV337" s="48"/>
      <c r="CW337" s="104"/>
      <c r="CX337" s="94"/>
      <c r="CY337" s="48"/>
      <c r="CZ337" s="48"/>
      <c r="DA337" s="48"/>
      <c r="DB337" s="104"/>
      <c r="DC337" s="48"/>
      <c r="DD337" s="48"/>
      <c r="DE337" s="48"/>
      <c r="DF337" s="48"/>
      <c r="DG337" s="48"/>
      <c r="DH337" s="48"/>
      <c r="DI337" s="48"/>
      <c r="DJ337" s="48"/>
      <c r="DK337" s="99"/>
      <c r="DL337" s="99"/>
      <c r="DM337" s="61"/>
    </row>
    <row r="338" spans="1:117" outlineLevel="1">
      <c r="A338" s="113" t="s">
        <v>651</v>
      </c>
      <c r="B338" s="321"/>
      <c r="C338" s="322"/>
      <c r="D338" s="322"/>
      <c r="E338" s="322"/>
      <c r="F338" s="323"/>
      <c r="G338" s="302">
        <f t="shared" ref="G338:AC338" si="607">G337/B337-1</f>
        <v>0.1437888554101987</v>
      </c>
      <c r="H338" s="149">
        <f t="shared" si="607"/>
        <v>0.15741169211784678</v>
      </c>
      <c r="I338" s="149">
        <f t="shared" si="607"/>
        <v>-8.2962516026849897E-3</v>
      </c>
      <c r="J338" s="149">
        <f t="shared" si="607"/>
        <v>1.3709888303634843E-2</v>
      </c>
      <c r="K338" s="150">
        <f t="shared" si="607"/>
        <v>7.5864489083632192E-2</v>
      </c>
      <c r="L338" s="302">
        <f t="shared" si="607"/>
        <v>-6.1255793791056723E-2</v>
      </c>
      <c r="M338" s="149">
        <f t="shared" si="607"/>
        <v>-9.5022322915972568E-2</v>
      </c>
      <c r="N338" s="149">
        <f t="shared" si="607"/>
        <v>3.8367936725226315E-2</v>
      </c>
      <c r="O338" s="149">
        <f t="shared" si="607"/>
        <v>4.0573408018867996E-2</v>
      </c>
      <c r="P338" s="150">
        <f t="shared" si="607"/>
        <v>-2.2735086435642704E-2</v>
      </c>
      <c r="Q338" s="302">
        <f t="shared" si="607"/>
        <v>4.3691389599318509E-3</v>
      </c>
      <c r="R338" s="149">
        <f t="shared" si="607"/>
        <v>-7.0686989176055315E-3</v>
      </c>
      <c r="S338" s="149">
        <f t="shared" si="607"/>
        <v>-1.4794741275130918E-2</v>
      </c>
      <c r="T338" s="149">
        <f t="shared" si="607"/>
        <v>4.3559868257959433E-2</v>
      </c>
      <c r="U338" s="150">
        <f t="shared" si="607"/>
        <v>6.8285554493134892E-3</v>
      </c>
      <c r="V338" s="302">
        <f t="shared" si="607"/>
        <v>2.3872679045092937E-2</v>
      </c>
      <c r="W338" s="149">
        <f t="shared" si="607"/>
        <v>7.8012606599925816E-2</v>
      </c>
      <c r="X338" s="149">
        <f t="shared" si="607"/>
        <v>8.8019923428613867E-2</v>
      </c>
      <c r="Y338" s="149">
        <f t="shared" si="607"/>
        <v>6.7872535378565857E-4</v>
      </c>
      <c r="Z338" s="150">
        <f t="shared" si="607"/>
        <v>4.6293060968507715E-2</v>
      </c>
      <c r="AA338" s="302">
        <f t="shared" si="607"/>
        <v>9.1951640759931008E-2</v>
      </c>
      <c r="AB338" s="149">
        <f t="shared" si="607"/>
        <v>5.6510972002476345E-2</v>
      </c>
      <c r="AC338" s="149">
        <f t="shared" si="607"/>
        <v>2.1864644187079341E-2</v>
      </c>
      <c r="AD338" s="149">
        <f t="shared" ref="AD338:AR338" si="608">AD337/Y337-1</f>
        <v>2.9436700919049041E-2</v>
      </c>
      <c r="AE338" s="150">
        <f t="shared" si="608"/>
        <v>4.9776506653422592E-2</v>
      </c>
      <c r="AF338" s="355">
        <f t="shared" si="608"/>
        <v>5.4820954068075523E-2</v>
      </c>
      <c r="AG338" s="149">
        <f t="shared" si="608"/>
        <v>5.2088420093108212E-3</v>
      </c>
      <c r="AH338" s="149">
        <f t="shared" si="608"/>
        <v>9.5851024706629762E-2</v>
      </c>
      <c r="AI338" s="149">
        <f t="shared" si="608"/>
        <v>0.12208861802009552</v>
      </c>
      <c r="AJ338" s="150">
        <f t="shared" si="608"/>
        <v>6.9056649944940762E-2</v>
      </c>
      <c r="AK338" s="355">
        <f t="shared" si="608"/>
        <v>7.902234218023696E-2</v>
      </c>
      <c r="AL338" s="361">
        <f t="shared" si="608"/>
        <v>0.11633254526022596</v>
      </c>
      <c r="AM338" s="149">
        <f t="shared" si="608"/>
        <v>-7.5996094941729209E-2</v>
      </c>
      <c r="AN338" s="149">
        <f t="shared" si="608"/>
        <v>-7.225272305569419E-2</v>
      </c>
      <c r="AO338" s="150">
        <f>AO337/AJ337-1</f>
        <v>9.7282944583056974E-3</v>
      </c>
      <c r="AP338" s="355">
        <f t="shared" si="608"/>
        <v>-6.8927181767648671E-2</v>
      </c>
      <c r="AQ338" s="361">
        <f>AQ337/AL337-1</f>
        <v>-7.1629580202500764E-2</v>
      </c>
      <c r="AR338" s="361">
        <f t="shared" si="608"/>
        <v>5.5304255951398318E-2</v>
      </c>
      <c r="AS338" s="149">
        <f t="shared" ref="AS338:AY338" si="609">AS337/AN337-1</f>
        <v>3.4810126582278444E-2</v>
      </c>
      <c r="AT338" s="150">
        <f t="shared" si="609"/>
        <v>-1.6427880546487694E-2</v>
      </c>
      <c r="AU338" s="355">
        <f t="shared" si="609"/>
        <v>4.179104477611939E-2</v>
      </c>
      <c r="AV338" s="361">
        <f t="shared" si="609"/>
        <v>2.8124999999999956E-2</v>
      </c>
      <c r="AW338" s="361">
        <f t="shared" si="609"/>
        <v>1.0575057881234029E-2</v>
      </c>
      <c r="AX338" s="149">
        <f t="shared" si="609"/>
        <v>0.36391437308868491</v>
      </c>
      <c r="AY338" s="150">
        <f t="shared" si="609"/>
        <v>0.11169158433336923</v>
      </c>
      <c r="AZ338" s="269"/>
      <c r="BA338" s="188"/>
      <c r="BB338" s="188"/>
      <c r="BC338" s="188"/>
      <c r="BD338" s="150"/>
      <c r="BE338" s="269"/>
      <c r="BF338" s="188"/>
      <c r="BG338" s="188"/>
      <c r="BH338" s="188"/>
      <c r="BI338" s="534"/>
      <c r="BJ338" s="269"/>
      <c r="BK338" s="188"/>
      <c r="BL338" s="188"/>
      <c r="BM338" s="188"/>
      <c r="BN338" s="150"/>
      <c r="BO338" s="269"/>
      <c r="BP338" s="188"/>
      <c r="BQ338" s="188"/>
      <c r="BR338" s="188"/>
      <c r="BS338" s="150"/>
      <c r="BT338" s="269"/>
      <c r="BU338" s="188"/>
      <c r="BV338" s="188"/>
      <c r="BW338" s="188"/>
      <c r="BX338" s="150"/>
      <c r="BY338" s="269"/>
      <c r="BZ338" s="188"/>
      <c r="CA338" s="188"/>
      <c r="CB338" s="188"/>
      <c r="CC338" s="150"/>
      <c r="CD338" s="269"/>
      <c r="CE338" s="188"/>
      <c r="CF338" s="188"/>
      <c r="CG338" s="188"/>
      <c r="CH338" s="150"/>
      <c r="CI338" s="269"/>
      <c r="CJ338" s="188"/>
      <c r="CK338" s="188"/>
      <c r="CL338" s="188"/>
      <c r="CM338" s="150"/>
      <c r="CN338" s="269"/>
      <c r="CO338" s="188"/>
      <c r="CP338" s="188"/>
      <c r="CQ338" s="188"/>
      <c r="CR338" s="150"/>
      <c r="CS338" s="269"/>
      <c r="CT338" s="188"/>
      <c r="CU338" s="188"/>
      <c r="CV338" s="188"/>
      <c r="CW338" s="150"/>
      <c r="CX338" s="269"/>
      <c r="CY338" s="188"/>
      <c r="CZ338" s="188"/>
      <c r="DA338" s="188"/>
      <c r="DB338" s="150"/>
      <c r="DC338" s="149"/>
      <c r="DD338" s="149"/>
      <c r="DE338" s="149"/>
      <c r="DF338" s="149"/>
      <c r="DG338" s="149"/>
      <c r="DH338" s="149"/>
      <c r="DI338" s="149"/>
      <c r="DJ338" s="149"/>
      <c r="DK338" s="400"/>
      <c r="DL338" s="400"/>
      <c r="DM338" s="108"/>
    </row>
    <row r="339" spans="1:117" outlineLevel="1">
      <c r="A339" s="28" t="s">
        <v>848</v>
      </c>
      <c r="B339" s="160">
        <f t="shared" ref="B339:Z339" si="610">B333-B335-B337</f>
        <v>85724</v>
      </c>
      <c r="C339" s="304">
        <f t="shared" si="610"/>
        <v>-2694</v>
      </c>
      <c r="D339" s="304">
        <f t="shared" si="610"/>
        <v>-17603</v>
      </c>
      <c r="E339" s="304">
        <f t="shared" si="610"/>
        <v>44800</v>
      </c>
      <c r="F339" s="305">
        <f t="shared" si="610"/>
        <v>110227</v>
      </c>
      <c r="G339" s="303">
        <f t="shared" si="610"/>
        <v>80603</v>
      </c>
      <c r="H339" s="304">
        <f t="shared" si="610"/>
        <v>-6999</v>
      </c>
      <c r="I339" s="304">
        <f t="shared" si="610"/>
        <v>-12790</v>
      </c>
      <c r="J339" s="304">
        <f t="shared" si="610"/>
        <v>53098</v>
      </c>
      <c r="K339" s="305">
        <f t="shared" si="610"/>
        <v>113912</v>
      </c>
      <c r="L339" s="303">
        <f t="shared" si="610"/>
        <v>76775</v>
      </c>
      <c r="M339" s="304">
        <f t="shared" si="610"/>
        <v>946</v>
      </c>
      <c r="N339" s="304">
        <f t="shared" si="610"/>
        <v>-9186</v>
      </c>
      <c r="O339" s="304">
        <f t="shared" si="610"/>
        <v>48944</v>
      </c>
      <c r="P339" s="305">
        <f t="shared" si="610"/>
        <v>117479</v>
      </c>
      <c r="Q339" s="303">
        <f t="shared" si="610"/>
        <v>103238</v>
      </c>
      <c r="R339" s="304">
        <f t="shared" si="610"/>
        <v>11784</v>
      </c>
      <c r="S339" s="304">
        <f t="shared" si="610"/>
        <v>-1513</v>
      </c>
      <c r="T339" s="304">
        <f t="shared" si="610"/>
        <v>60746</v>
      </c>
      <c r="U339" s="305">
        <f t="shared" si="610"/>
        <v>174255</v>
      </c>
      <c r="V339" s="303">
        <f t="shared" si="610"/>
        <v>108556</v>
      </c>
      <c r="W339" s="304">
        <f t="shared" si="610"/>
        <v>12036</v>
      </c>
      <c r="X339" s="304">
        <f t="shared" si="610"/>
        <v>-2900</v>
      </c>
      <c r="Y339" s="304">
        <f t="shared" si="610"/>
        <v>71169</v>
      </c>
      <c r="Z339" s="305">
        <f t="shared" si="610"/>
        <v>188861</v>
      </c>
      <c r="AA339" s="303">
        <f t="shared" ref="AA339:AQ339" si="611">AA333-AA335-AA337</f>
        <v>112870</v>
      </c>
      <c r="AB339" s="304">
        <f t="shared" si="611"/>
        <v>9379</v>
      </c>
      <c r="AC339" s="304">
        <f t="shared" si="611"/>
        <v>7592</v>
      </c>
      <c r="AD339" s="304">
        <f t="shared" si="611"/>
        <v>79467</v>
      </c>
      <c r="AE339" s="305">
        <f t="shared" si="611"/>
        <v>209308</v>
      </c>
      <c r="AF339" s="360">
        <f t="shared" si="611"/>
        <v>113705</v>
      </c>
      <c r="AG339" s="304">
        <f t="shared" si="611"/>
        <v>32359</v>
      </c>
      <c r="AH339" s="304">
        <f t="shared" si="611"/>
        <v>19632</v>
      </c>
      <c r="AI339" s="304">
        <f t="shared" si="611"/>
        <v>60757</v>
      </c>
      <c r="AJ339" s="305">
        <f t="shared" si="611"/>
        <v>226453</v>
      </c>
      <c r="AK339" s="360">
        <f t="shared" si="611"/>
        <v>104797</v>
      </c>
      <c r="AL339" s="442">
        <f t="shared" si="611"/>
        <v>20885</v>
      </c>
      <c r="AM339" s="304">
        <f t="shared" si="611"/>
        <v>19353</v>
      </c>
      <c r="AN339" s="304">
        <f>AN333-AN335-AN337</f>
        <v>46596</v>
      </c>
      <c r="AO339" s="305">
        <f t="shared" si="611"/>
        <v>191631</v>
      </c>
      <c r="AP339" s="360">
        <f>AP333-AP335-AP337</f>
        <v>98800</v>
      </c>
      <c r="AQ339" s="442">
        <f t="shared" si="611"/>
        <v>21700</v>
      </c>
      <c r="AR339" s="442">
        <f t="shared" ref="AR339:AW339" si="612">AR333-AR335-AR337</f>
        <v>15652</v>
      </c>
      <c r="AS339" s="304">
        <f t="shared" si="612"/>
        <v>79513</v>
      </c>
      <c r="AT339" s="305">
        <f t="shared" si="612"/>
        <v>215665</v>
      </c>
      <c r="AU339" s="360">
        <f t="shared" si="612"/>
        <v>100600</v>
      </c>
      <c r="AV339" s="442">
        <f t="shared" si="612"/>
        <v>40500</v>
      </c>
      <c r="AW339" s="442">
        <f t="shared" si="612"/>
        <v>17600</v>
      </c>
      <c r="AX339" s="304">
        <f>AX333-AX335-AX337</f>
        <v>64700</v>
      </c>
      <c r="AY339" s="305">
        <f>AY333-AY335-AY337</f>
        <v>223400</v>
      </c>
      <c r="AZ339" s="303"/>
      <c r="BA339" s="304"/>
      <c r="BB339" s="304"/>
      <c r="BC339" s="304"/>
      <c r="BD339" s="305"/>
      <c r="BE339" s="303"/>
      <c r="BF339" s="584"/>
      <c r="BG339" s="304"/>
      <c r="BH339" s="584"/>
      <c r="BI339" s="603"/>
      <c r="BJ339" s="303"/>
      <c r="BK339" s="584"/>
      <c r="BL339" s="304"/>
      <c r="BM339" s="304"/>
      <c r="BN339" s="305"/>
      <c r="BO339" s="303"/>
      <c r="BP339" s="304"/>
      <c r="BQ339" s="304"/>
      <c r="BR339" s="304"/>
      <c r="BS339" s="305"/>
      <c r="BT339" s="303"/>
      <c r="BU339" s="304"/>
      <c r="BV339" s="304"/>
      <c r="BW339" s="304"/>
      <c r="BX339" s="305"/>
      <c r="BY339" s="303"/>
      <c r="BZ339" s="304"/>
      <c r="CA339" s="304"/>
      <c r="CB339" s="304"/>
      <c r="CC339" s="305"/>
      <c r="CD339" s="303"/>
      <c r="CE339" s="304"/>
      <c r="CF339" s="304"/>
      <c r="CG339" s="304"/>
      <c r="CH339" s="305"/>
      <c r="CI339" s="303"/>
      <c r="CJ339" s="304"/>
      <c r="CK339" s="304"/>
      <c r="CL339" s="304"/>
      <c r="CM339" s="305"/>
      <c r="CN339" s="303"/>
      <c r="CO339" s="304"/>
      <c r="CP339" s="304"/>
      <c r="CQ339" s="304"/>
      <c r="CR339" s="305"/>
      <c r="CS339" s="303"/>
      <c r="CT339" s="304"/>
      <c r="CU339" s="304"/>
      <c r="CV339" s="304"/>
      <c r="CW339" s="305"/>
      <c r="CX339" s="303"/>
      <c r="CY339" s="304"/>
      <c r="CZ339" s="304"/>
      <c r="DA339" s="304"/>
      <c r="DB339" s="305"/>
      <c r="DC339" s="304"/>
      <c r="DD339" s="304"/>
      <c r="DE339" s="304"/>
      <c r="DF339" s="304"/>
      <c r="DG339" s="304"/>
      <c r="DH339" s="304"/>
      <c r="DI339" s="304"/>
      <c r="DJ339" s="304"/>
      <c r="DK339" s="413"/>
      <c r="DL339" s="413"/>
      <c r="DM339" s="61"/>
    </row>
    <row r="340" spans="1:117" outlineLevel="1">
      <c r="A340" s="113" t="s">
        <v>651</v>
      </c>
      <c r="B340" s="321"/>
      <c r="C340" s="322"/>
      <c r="D340" s="322"/>
      <c r="E340" s="322"/>
      <c r="F340" s="323"/>
      <c r="G340" s="302">
        <f t="shared" ref="G340:AH340" si="613">G339/B339-1</f>
        <v>-5.9738229667304354E-2</v>
      </c>
      <c r="H340" s="149">
        <f t="shared" si="613"/>
        <v>1.5979955456570156</v>
      </c>
      <c r="I340" s="149">
        <f t="shared" si="613"/>
        <v>-0.27341930352780774</v>
      </c>
      <c r="J340" s="149">
        <f t="shared" si="613"/>
        <v>0.1852232142857142</v>
      </c>
      <c r="K340" s="150">
        <f t="shared" si="613"/>
        <v>3.3431010550953877E-2</v>
      </c>
      <c r="L340" s="302">
        <f t="shared" si="613"/>
        <v>-4.7492028832673672E-2</v>
      </c>
      <c r="M340" s="149">
        <f t="shared" si="613"/>
        <v>-1.1351621660237177</v>
      </c>
      <c r="N340" s="149">
        <f t="shared" si="613"/>
        <v>-0.28178264268960129</v>
      </c>
      <c r="O340" s="149">
        <f t="shared" si="613"/>
        <v>-7.823270179667785E-2</v>
      </c>
      <c r="P340" s="150">
        <f t="shared" si="613"/>
        <v>3.131364562118133E-2</v>
      </c>
      <c r="Q340" s="302">
        <f t="shared" si="613"/>
        <v>0.34468251383914028</v>
      </c>
      <c r="R340" s="149">
        <f t="shared" si="613"/>
        <v>11.456659619450317</v>
      </c>
      <c r="S340" s="149">
        <f t="shared" si="613"/>
        <v>-0.83529283692575662</v>
      </c>
      <c r="T340" s="149">
        <f t="shared" si="613"/>
        <v>0.24113272311212808</v>
      </c>
      <c r="U340" s="150">
        <f t="shared" si="613"/>
        <v>0.48328637458609625</v>
      </c>
      <c r="V340" s="302">
        <f t="shared" si="613"/>
        <v>5.1512040140258453E-2</v>
      </c>
      <c r="W340" s="149">
        <f t="shared" si="613"/>
        <v>2.1384928716904339E-2</v>
      </c>
      <c r="X340" s="149">
        <f t="shared" si="613"/>
        <v>0.91672174487772629</v>
      </c>
      <c r="Y340" s="149">
        <f t="shared" si="613"/>
        <v>0.17158331412767924</v>
      </c>
      <c r="Z340" s="150">
        <f t="shared" si="613"/>
        <v>8.3819689535450825E-2</v>
      </c>
      <c r="AA340" s="302">
        <f t="shared" si="613"/>
        <v>3.9739857769262033E-2</v>
      </c>
      <c r="AB340" s="149">
        <f t="shared" si="613"/>
        <v>-0.22075440345629782</v>
      </c>
      <c r="AC340" s="149">
        <f t="shared" si="613"/>
        <v>-3.6179310344827584</v>
      </c>
      <c r="AD340" s="149">
        <f>AD339/Y339-1</f>
        <v>0.11659570880580028</v>
      </c>
      <c r="AE340" s="150">
        <f>AE339/Z339-1</f>
        <v>0.10826480850996245</v>
      </c>
      <c r="AF340" s="355">
        <f>AF339/AA339-1</f>
        <v>7.3978913794630063E-3</v>
      </c>
      <c r="AG340" s="149">
        <f t="shared" si="613"/>
        <v>2.4501546007036996</v>
      </c>
      <c r="AH340" s="149">
        <f t="shared" si="613"/>
        <v>1.5858798735511064</v>
      </c>
      <c r="AI340" s="149">
        <f t="shared" ref="AI340:AR340" si="614">AI339/AD339-1</f>
        <v>-0.23544364327330847</v>
      </c>
      <c r="AJ340" s="150">
        <f t="shared" si="614"/>
        <v>8.1912779253540347E-2</v>
      </c>
      <c r="AK340" s="355">
        <f t="shared" si="614"/>
        <v>-7.8343080779209373E-2</v>
      </c>
      <c r="AL340" s="149">
        <f t="shared" si="614"/>
        <v>-0.3545845050835934</v>
      </c>
      <c r="AM340" s="149">
        <f t="shared" si="614"/>
        <v>-1.4211491442542745E-2</v>
      </c>
      <c r="AN340" s="149">
        <f t="shared" si="614"/>
        <v>-0.23307602416182494</v>
      </c>
      <c r="AO340" s="150">
        <f>AO339/AJ339-1</f>
        <v>-0.15377142276763833</v>
      </c>
      <c r="AP340" s="355">
        <f t="shared" si="614"/>
        <v>-5.7224920560703052E-2</v>
      </c>
      <c r="AQ340" s="361">
        <f>AQ339/AL339-1</f>
        <v>3.9023222408427038E-2</v>
      </c>
      <c r="AR340" s="361">
        <f t="shared" si="614"/>
        <v>-0.19123650080090937</v>
      </c>
      <c r="AS340" s="149">
        <f t="shared" ref="AS340:AY340" si="615">AS339/AN339-1</f>
        <v>0.70643402867198901</v>
      </c>
      <c r="AT340" s="150">
        <f t="shared" si="615"/>
        <v>0.12541812128517837</v>
      </c>
      <c r="AU340" s="355">
        <f t="shared" si="615"/>
        <v>1.8218623481781382E-2</v>
      </c>
      <c r="AV340" s="361">
        <f t="shared" si="615"/>
        <v>0.86635944700460832</v>
      </c>
      <c r="AW340" s="361">
        <f t="shared" si="615"/>
        <v>0.12445693841042682</v>
      </c>
      <c r="AX340" s="149">
        <f t="shared" si="615"/>
        <v>-0.18629658043338826</v>
      </c>
      <c r="AY340" s="150">
        <f t="shared" si="615"/>
        <v>3.5865810400389497E-2</v>
      </c>
      <c r="AZ340" s="302"/>
      <c r="BA340" s="149"/>
      <c r="BB340" s="149"/>
      <c r="BC340" s="149"/>
      <c r="BD340" s="150"/>
      <c r="BE340" s="302"/>
      <c r="BF340" s="540"/>
      <c r="BG340" s="149"/>
      <c r="BH340" s="540"/>
      <c r="BI340" s="534"/>
      <c r="BJ340" s="302"/>
      <c r="BK340" s="540"/>
      <c r="BL340" s="149"/>
      <c r="BM340" s="149"/>
      <c r="BN340" s="150"/>
      <c r="BO340" s="302"/>
      <c r="BP340" s="149"/>
      <c r="BQ340" s="149"/>
      <c r="BR340" s="149"/>
      <c r="BS340" s="150"/>
      <c r="BT340" s="302"/>
      <c r="BU340" s="149"/>
      <c r="BV340" s="149"/>
      <c r="BW340" s="149"/>
      <c r="BX340" s="150"/>
      <c r="BY340" s="302"/>
      <c r="BZ340" s="149"/>
      <c r="CA340" s="149"/>
      <c r="CB340" s="149"/>
      <c r="CC340" s="150"/>
      <c r="CD340" s="302"/>
      <c r="CE340" s="149"/>
      <c r="CF340" s="149"/>
      <c r="CG340" s="149"/>
      <c r="CH340" s="150"/>
      <c r="CI340" s="302"/>
      <c r="CJ340" s="149"/>
      <c r="CK340" s="149"/>
      <c r="CL340" s="149"/>
      <c r="CM340" s="150"/>
      <c r="CN340" s="302"/>
      <c r="CO340" s="149"/>
      <c r="CP340" s="149"/>
      <c r="CQ340" s="149"/>
      <c r="CR340" s="150"/>
      <c r="CS340" s="302"/>
      <c r="CT340" s="149"/>
      <c r="CU340" s="149"/>
      <c r="CV340" s="149"/>
      <c r="CW340" s="150"/>
      <c r="CX340" s="302"/>
      <c r="CY340" s="149"/>
      <c r="CZ340" s="149"/>
      <c r="DA340" s="149"/>
      <c r="DB340" s="150"/>
      <c r="DC340" s="149"/>
      <c r="DD340" s="149"/>
      <c r="DE340" s="149"/>
      <c r="DF340" s="149"/>
      <c r="DG340" s="149"/>
      <c r="DH340" s="149"/>
      <c r="DI340" s="149"/>
      <c r="DJ340" s="149"/>
      <c r="DK340" s="400"/>
      <c r="DL340" s="400"/>
      <c r="DM340" s="108"/>
    </row>
    <row r="341" spans="1:117" outlineLevel="1">
      <c r="A341" s="34" t="s">
        <v>826</v>
      </c>
      <c r="B341" s="37">
        <v>0</v>
      </c>
      <c r="C341" s="38">
        <v>0</v>
      </c>
      <c r="D341" s="38">
        <v>0</v>
      </c>
      <c r="E341" s="48">
        <f>F341-SUM(B341:D341)</f>
        <v>0</v>
      </c>
      <c r="F341" s="133">
        <v>0</v>
      </c>
      <c r="G341" s="94">
        <f>0-H341</f>
        <v>0</v>
      </c>
      <c r="H341" s="38">
        <v>0</v>
      </c>
      <c r="I341" s="38">
        <v>0</v>
      </c>
      <c r="J341" s="48">
        <f>K341-SUM(G341:I341)</f>
        <v>-5</v>
      </c>
      <c r="K341" s="133">
        <v>-5</v>
      </c>
      <c r="L341" s="37">
        <v>0</v>
      </c>
      <c r="M341" s="38">
        <v>1</v>
      </c>
      <c r="N341" s="38">
        <v>0</v>
      </c>
      <c r="O341" s="48">
        <f>P341-SUM(L341:N341)</f>
        <v>-19</v>
      </c>
      <c r="P341" s="133">
        <v>-18</v>
      </c>
      <c r="Q341" s="37">
        <v>0</v>
      </c>
      <c r="R341" s="38">
        <v>0</v>
      </c>
      <c r="S341" s="38">
        <v>56</v>
      </c>
      <c r="T341" s="48">
        <f>U341-SUM(Q341:S341)</f>
        <v>0</v>
      </c>
      <c r="U341" s="133">
        <v>56</v>
      </c>
      <c r="V341" s="37">
        <v>18</v>
      </c>
      <c r="W341" s="38">
        <v>0</v>
      </c>
      <c r="X341" s="38">
        <v>3</v>
      </c>
      <c r="Y341" s="48">
        <f>Z341-SUM(V341:X341)</f>
        <v>0</v>
      </c>
      <c r="Z341" s="133">
        <v>21</v>
      </c>
      <c r="AA341" s="37">
        <v>0</v>
      </c>
      <c r="AB341" s="38">
        <v>-486</v>
      </c>
      <c r="AC341" s="38">
        <v>0</v>
      </c>
      <c r="AD341" s="48">
        <f>AE341-SUM(AA341:AC341)</f>
        <v>972</v>
      </c>
      <c r="AE341" s="133">
        <v>486</v>
      </c>
      <c r="AF341" s="271">
        <v>0</v>
      </c>
      <c r="AG341" s="270">
        <v>13</v>
      </c>
      <c r="AH341" s="270">
        <v>0</v>
      </c>
      <c r="AI341" s="48">
        <f>AJ341-SUM(AF341:AH341)</f>
        <v>0</v>
      </c>
      <c r="AJ341" s="133">
        <v>13</v>
      </c>
      <c r="AK341" s="271">
        <v>0</v>
      </c>
      <c r="AL341" s="270">
        <v>0</v>
      </c>
      <c r="AM341" s="270">
        <v>0</v>
      </c>
      <c r="AN341" s="270">
        <v>0</v>
      </c>
      <c r="AO341" s="104">
        <f>SUM(AK341:AN341)</f>
        <v>0</v>
      </c>
      <c r="AP341" s="271">
        <v>0</v>
      </c>
      <c r="AQ341" s="270">
        <v>0</v>
      </c>
      <c r="AR341" s="270">
        <v>0</v>
      </c>
      <c r="AS341" s="270">
        <v>0</v>
      </c>
      <c r="AT341" s="104">
        <f>SUM(AP341:AS341)</f>
        <v>0</v>
      </c>
      <c r="AU341" s="271">
        <v>0</v>
      </c>
      <c r="AV341" s="270">
        <v>0</v>
      </c>
      <c r="AW341" s="270">
        <v>0</v>
      </c>
      <c r="AX341" s="270">
        <v>0</v>
      </c>
      <c r="AY341" s="104">
        <f>SUM(AU341:AX341)</f>
        <v>0</v>
      </c>
      <c r="AZ341" s="271"/>
      <c r="BA341" s="270"/>
      <c r="BB341" s="270"/>
      <c r="BC341" s="270"/>
      <c r="BD341" s="104"/>
      <c r="BE341" s="271"/>
      <c r="BF341" s="270"/>
      <c r="BG341" s="270"/>
      <c r="BH341" s="270"/>
      <c r="BI341" s="104"/>
      <c r="BJ341" s="271"/>
      <c r="BK341" s="270"/>
      <c r="BL341" s="270"/>
      <c r="BM341" s="270"/>
      <c r="BN341" s="104"/>
      <c r="BO341" s="271"/>
      <c r="BP341" s="270"/>
      <c r="BQ341" s="270"/>
      <c r="BR341" s="270"/>
      <c r="BS341" s="104"/>
      <c r="BT341" s="271"/>
      <c r="BU341" s="270"/>
      <c r="BV341" s="270"/>
      <c r="BW341" s="270"/>
      <c r="BX341" s="104"/>
      <c r="BY341" s="271"/>
      <c r="BZ341" s="270"/>
      <c r="CA341" s="270"/>
      <c r="CB341" s="270"/>
      <c r="CC341" s="104"/>
      <c r="CD341" s="271"/>
      <c r="CE341" s="270"/>
      <c r="CF341" s="270"/>
      <c r="CG341" s="270"/>
      <c r="CH341" s="104"/>
      <c r="CI341" s="271"/>
      <c r="CJ341" s="270"/>
      <c r="CK341" s="270"/>
      <c r="CL341" s="270"/>
      <c r="CM341" s="104"/>
      <c r="CN341" s="271"/>
      <c r="CO341" s="270"/>
      <c r="CP341" s="270"/>
      <c r="CQ341" s="270"/>
      <c r="CR341" s="104"/>
      <c r="CS341" s="271"/>
      <c r="CT341" s="270"/>
      <c r="CU341" s="270"/>
      <c r="CV341" s="270"/>
      <c r="CW341" s="104"/>
      <c r="CX341" s="271"/>
      <c r="CY341" s="270"/>
      <c r="CZ341" s="270"/>
      <c r="DA341" s="270"/>
      <c r="DB341" s="104"/>
      <c r="DC341" s="48"/>
      <c r="DD341" s="48"/>
      <c r="DE341" s="48"/>
      <c r="DF341" s="48"/>
      <c r="DG341" s="48"/>
      <c r="DH341" s="48"/>
      <c r="DI341" s="48"/>
      <c r="DJ341" s="48"/>
      <c r="DK341" s="99"/>
      <c r="DL341" s="99"/>
      <c r="DM341" s="61"/>
    </row>
    <row r="342" spans="1:117" outlineLevel="1">
      <c r="A342" s="28" t="s">
        <v>546</v>
      </c>
      <c r="B342" s="160">
        <f t="shared" ref="B342:Z342" si="616">B339-B341</f>
        <v>85724</v>
      </c>
      <c r="C342" s="168">
        <f t="shared" si="616"/>
        <v>-2694</v>
      </c>
      <c r="D342" s="168">
        <f t="shared" si="616"/>
        <v>-17603</v>
      </c>
      <c r="E342" s="168">
        <f t="shared" si="616"/>
        <v>44800</v>
      </c>
      <c r="F342" s="235">
        <f t="shared" si="616"/>
        <v>110227</v>
      </c>
      <c r="G342" s="160">
        <f t="shared" si="616"/>
        <v>80603</v>
      </c>
      <c r="H342" s="168">
        <f t="shared" si="616"/>
        <v>-6999</v>
      </c>
      <c r="I342" s="168">
        <f t="shared" si="616"/>
        <v>-12790</v>
      </c>
      <c r="J342" s="168">
        <f t="shared" si="616"/>
        <v>53103</v>
      </c>
      <c r="K342" s="235">
        <f t="shared" si="616"/>
        <v>113917</v>
      </c>
      <c r="L342" s="160">
        <f t="shared" si="616"/>
        <v>76775</v>
      </c>
      <c r="M342" s="168">
        <f t="shared" si="616"/>
        <v>945</v>
      </c>
      <c r="N342" s="168">
        <f t="shared" si="616"/>
        <v>-9186</v>
      </c>
      <c r="O342" s="168">
        <f t="shared" si="616"/>
        <v>48963</v>
      </c>
      <c r="P342" s="235">
        <f t="shared" si="616"/>
        <v>117497</v>
      </c>
      <c r="Q342" s="160">
        <f t="shared" si="616"/>
        <v>103238</v>
      </c>
      <c r="R342" s="168">
        <f t="shared" si="616"/>
        <v>11784</v>
      </c>
      <c r="S342" s="168">
        <f t="shared" si="616"/>
        <v>-1569</v>
      </c>
      <c r="T342" s="168">
        <f t="shared" si="616"/>
        <v>60746</v>
      </c>
      <c r="U342" s="235">
        <f t="shared" si="616"/>
        <v>174199</v>
      </c>
      <c r="V342" s="160">
        <f t="shared" si="616"/>
        <v>108538</v>
      </c>
      <c r="W342" s="168">
        <f t="shared" si="616"/>
        <v>12036</v>
      </c>
      <c r="X342" s="168">
        <f t="shared" si="616"/>
        <v>-2903</v>
      </c>
      <c r="Y342" s="168">
        <f t="shared" si="616"/>
        <v>71169</v>
      </c>
      <c r="Z342" s="235">
        <f t="shared" si="616"/>
        <v>188840</v>
      </c>
      <c r="AA342" s="160">
        <f t="shared" ref="AA342:AW342" si="617">AA339-AA341</f>
        <v>112870</v>
      </c>
      <c r="AB342" s="168">
        <f t="shared" si="617"/>
        <v>9865</v>
      </c>
      <c r="AC342" s="168">
        <f t="shared" si="617"/>
        <v>7592</v>
      </c>
      <c r="AD342" s="168">
        <f t="shared" si="617"/>
        <v>78495</v>
      </c>
      <c r="AE342" s="235">
        <f t="shared" si="617"/>
        <v>208822</v>
      </c>
      <c r="AF342" s="78">
        <f t="shared" si="617"/>
        <v>113705</v>
      </c>
      <c r="AG342" s="168">
        <f t="shared" si="617"/>
        <v>32346</v>
      </c>
      <c r="AH342" s="168">
        <f t="shared" si="617"/>
        <v>19632</v>
      </c>
      <c r="AI342" s="168">
        <f t="shared" si="617"/>
        <v>60757</v>
      </c>
      <c r="AJ342" s="235">
        <f t="shared" si="617"/>
        <v>226440</v>
      </c>
      <c r="AK342" s="78">
        <f t="shared" si="617"/>
        <v>104797</v>
      </c>
      <c r="AL342" s="168">
        <f t="shared" si="617"/>
        <v>20885</v>
      </c>
      <c r="AM342" s="168">
        <f t="shared" si="617"/>
        <v>19353</v>
      </c>
      <c r="AN342" s="168">
        <f t="shared" si="617"/>
        <v>46596</v>
      </c>
      <c r="AO342" s="235">
        <f t="shared" si="617"/>
        <v>191631</v>
      </c>
      <c r="AP342" s="78">
        <f t="shared" si="617"/>
        <v>98800</v>
      </c>
      <c r="AQ342" s="76">
        <f t="shared" si="617"/>
        <v>21700</v>
      </c>
      <c r="AR342" s="76">
        <f t="shared" si="617"/>
        <v>15652</v>
      </c>
      <c r="AS342" s="168">
        <f t="shared" si="617"/>
        <v>79513</v>
      </c>
      <c r="AT342" s="235">
        <f t="shared" si="617"/>
        <v>215665</v>
      </c>
      <c r="AU342" s="78">
        <f t="shared" si="617"/>
        <v>100600</v>
      </c>
      <c r="AV342" s="76">
        <f t="shared" si="617"/>
        <v>40500</v>
      </c>
      <c r="AW342" s="76">
        <f t="shared" si="617"/>
        <v>17600</v>
      </c>
      <c r="AX342" s="168">
        <f>AX339-AX341</f>
        <v>64700</v>
      </c>
      <c r="AY342" s="235">
        <f>AY339-AY341</f>
        <v>223400</v>
      </c>
      <c r="AZ342" s="160"/>
      <c r="BA342" s="168"/>
      <c r="BB342" s="168"/>
      <c r="BC342" s="168"/>
      <c r="BD342" s="235"/>
      <c r="BE342" s="160"/>
      <c r="BF342" s="388"/>
      <c r="BG342" s="168"/>
      <c r="BH342" s="388"/>
      <c r="BI342" s="521"/>
      <c r="BJ342" s="160"/>
      <c r="BK342" s="388"/>
      <c r="BL342" s="168"/>
      <c r="BM342" s="168"/>
      <c r="BN342" s="235"/>
      <c r="BO342" s="160"/>
      <c r="BP342" s="168"/>
      <c r="BQ342" s="168"/>
      <c r="BR342" s="168"/>
      <c r="BS342" s="235"/>
      <c r="BT342" s="160"/>
      <c r="BU342" s="168"/>
      <c r="BV342" s="168"/>
      <c r="BW342" s="168"/>
      <c r="BX342" s="235"/>
      <c r="BY342" s="160"/>
      <c r="BZ342" s="168"/>
      <c r="CA342" s="168"/>
      <c r="CB342" s="168"/>
      <c r="CC342" s="235"/>
      <c r="CD342" s="160"/>
      <c r="CE342" s="168"/>
      <c r="CF342" s="168"/>
      <c r="CG342" s="168"/>
      <c r="CH342" s="235"/>
      <c r="CI342" s="160"/>
      <c r="CJ342" s="168"/>
      <c r="CK342" s="168"/>
      <c r="CL342" s="168"/>
      <c r="CM342" s="235"/>
      <c r="CN342" s="160"/>
      <c r="CO342" s="168"/>
      <c r="CP342" s="168"/>
      <c r="CQ342" s="168"/>
      <c r="CR342" s="235"/>
      <c r="CS342" s="160"/>
      <c r="CT342" s="168"/>
      <c r="CU342" s="168"/>
      <c r="CV342" s="168"/>
      <c r="CW342" s="235"/>
      <c r="CX342" s="160"/>
      <c r="CY342" s="168"/>
      <c r="CZ342" s="168"/>
      <c r="DA342" s="168"/>
      <c r="DB342" s="235"/>
      <c r="DC342" s="168"/>
      <c r="DD342" s="168"/>
      <c r="DE342" s="168"/>
      <c r="DF342" s="168"/>
      <c r="DG342" s="168"/>
      <c r="DH342" s="168"/>
      <c r="DI342" s="168"/>
      <c r="DJ342" s="168"/>
      <c r="DK342" s="406"/>
      <c r="DL342" s="406"/>
      <c r="DM342" s="9"/>
    </row>
    <row r="343" spans="1:117" outlineLevel="1">
      <c r="A343" s="36" t="s">
        <v>814</v>
      </c>
      <c r="B343" s="271">
        <v>25872</v>
      </c>
      <c r="C343" s="38">
        <v>36728</v>
      </c>
      <c r="D343" s="38">
        <v>43732</v>
      </c>
      <c r="E343" s="48">
        <f>F343-SUM(B343:D343)</f>
        <v>36183</v>
      </c>
      <c r="F343" s="133">
        <v>142515</v>
      </c>
      <c r="G343" s="329">
        <f>64009-H343</f>
        <v>27686</v>
      </c>
      <c r="H343" s="38">
        <v>36323</v>
      </c>
      <c r="I343" s="38">
        <v>39069</v>
      </c>
      <c r="J343" s="48">
        <f>K343-SUM(G343:I343)</f>
        <v>40687</v>
      </c>
      <c r="K343" s="133">
        <v>143765</v>
      </c>
      <c r="L343" s="271">
        <v>36675</v>
      </c>
      <c r="M343" s="38">
        <v>41017</v>
      </c>
      <c r="N343" s="38">
        <v>37154</v>
      </c>
      <c r="O343" s="48">
        <f>P343-SUM(L343:N343)</f>
        <v>44180</v>
      </c>
      <c r="P343" s="133">
        <v>159026</v>
      </c>
      <c r="Q343" s="271">
        <v>25430</v>
      </c>
      <c r="R343" s="38">
        <v>42766</v>
      </c>
      <c r="S343" s="38">
        <v>40213</v>
      </c>
      <c r="T343" s="48">
        <f>U343-SUM(Q343:S343)</f>
        <v>53635</v>
      </c>
      <c r="U343" s="133">
        <v>162044</v>
      </c>
      <c r="V343" s="271">
        <v>30649</v>
      </c>
      <c r="W343" s="38">
        <v>39706</v>
      </c>
      <c r="X343" s="38">
        <v>56052</v>
      </c>
      <c r="Y343" s="48">
        <f>Z343-SUM(V343:X343)</f>
        <v>42642</v>
      </c>
      <c r="Z343" s="133">
        <v>169049</v>
      </c>
      <c r="AA343" s="271">
        <v>44652</v>
      </c>
      <c r="AB343" s="38">
        <v>32632</v>
      </c>
      <c r="AC343" s="38">
        <v>33603</v>
      </c>
      <c r="AD343" s="48">
        <f>AE343-SUM(AA343:AC343)</f>
        <v>46621</v>
      </c>
      <c r="AE343" s="133">
        <v>157508</v>
      </c>
      <c r="AF343" s="38">
        <v>31378</v>
      </c>
      <c r="AG343" s="38">
        <v>46947</v>
      </c>
      <c r="AH343" s="38">
        <v>67353</v>
      </c>
      <c r="AI343" s="48">
        <f>AJ343-SUM(AF343:AH343)</f>
        <v>69930</v>
      </c>
      <c r="AJ343" s="133">
        <v>215608</v>
      </c>
      <c r="AK343" s="38">
        <v>47150</v>
      </c>
      <c r="AL343" s="38">
        <v>61899</v>
      </c>
      <c r="AM343" s="38">
        <v>67459</v>
      </c>
      <c r="AN343" s="38">
        <v>66100</v>
      </c>
      <c r="AO343" s="104">
        <f>SUM(AK343:AN343)</f>
        <v>242608</v>
      </c>
      <c r="AP343" s="38">
        <v>58400</v>
      </c>
      <c r="AQ343" s="38">
        <v>72900</v>
      </c>
      <c r="AR343" s="38">
        <v>74287</v>
      </c>
      <c r="AS343" s="38">
        <v>74600</v>
      </c>
      <c r="AT343" s="104">
        <f>SUM(AP343:AS343)</f>
        <v>280187</v>
      </c>
      <c r="AU343" s="38">
        <v>53700</v>
      </c>
      <c r="AV343" s="38">
        <v>68900</v>
      </c>
      <c r="AW343" s="38">
        <v>83800</v>
      </c>
      <c r="AX343" s="38">
        <v>85700</v>
      </c>
      <c r="AY343" s="104">
        <f>SUM(AU343:AX343)</f>
        <v>292100</v>
      </c>
      <c r="AZ343" s="38"/>
      <c r="BA343" s="48"/>
      <c r="BB343" s="48"/>
      <c r="BC343" s="48"/>
      <c r="BD343" s="104"/>
      <c r="BE343" s="48"/>
      <c r="BF343" s="48"/>
      <c r="BG343" s="48"/>
      <c r="BH343" s="48"/>
      <c r="BI343" s="104"/>
      <c r="BJ343" s="48"/>
      <c r="BK343" s="48"/>
      <c r="BL343" s="48"/>
      <c r="BM343" s="48"/>
      <c r="BN343" s="104"/>
      <c r="BO343" s="48"/>
      <c r="BP343" s="48"/>
      <c r="BQ343" s="48"/>
      <c r="BR343" s="48"/>
      <c r="BS343" s="104"/>
      <c r="BT343" s="48"/>
      <c r="BU343" s="48"/>
      <c r="BV343" s="48"/>
      <c r="BW343" s="48"/>
      <c r="BX343" s="104"/>
      <c r="BY343" s="48"/>
      <c r="BZ343" s="48"/>
      <c r="CA343" s="48"/>
      <c r="CB343" s="48"/>
      <c r="CC343" s="104"/>
      <c r="CD343" s="48"/>
      <c r="CE343" s="48"/>
      <c r="CF343" s="48"/>
      <c r="CG343" s="48"/>
      <c r="CH343" s="104"/>
      <c r="CI343" s="48"/>
      <c r="CJ343" s="48"/>
      <c r="CK343" s="48"/>
      <c r="CL343" s="48"/>
      <c r="CM343" s="104"/>
      <c r="CN343" s="48"/>
      <c r="CO343" s="48"/>
      <c r="CP343" s="48"/>
      <c r="CQ343" s="48"/>
      <c r="CR343" s="104"/>
      <c r="CS343" s="48"/>
      <c r="CT343" s="48"/>
      <c r="CU343" s="48"/>
      <c r="CV343" s="48"/>
      <c r="CW343" s="104"/>
      <c r="CX343" s="48"/>
      <c r="CY343" s="48"/>
      <c r="CZ343" s="48"/>
      <c r="DA343" s="48"/>
      <c r="DB343" s="104"/>
      <c r="DC343" s="48"/>
      <c r="DD343" s="48"/>
      <c r="DE343" s="48"/>
      <c r="DF343" s="48"/>
      <c r="DG343" s="48"/>
      <c r="DH343" s="48"/>
      <c r="DI343" s="48"/>
      <c r="DJ343" s="48"/>
      <c r="DK343" s="99"/>
      <c r="DL343" s="99"/>
      <c r="DM343" s="9"/>
    </row>
    <row r="344" spans="1:117" outlineLevel="1">
      <c r="A344" s="28"/>
      <c r="B344" s="212"/>
      <c r="C344" s="176"/>
      <c r="D344" s="176"/>
      <c r="E344" s="176"/>
      <c r="F344" s="213"/>
      <c r="G344" s="212"/>
      <c r="H344" s="176"/>
      <c r="I344" s="176"/>
      <c r="J344" s="176"/>
      <c r="K344" s="213"/>
      <c r="L344" s="212"/>
      <c r="M344" s="176"/>
      <c r="N344" s="176"/>
      <c r="O344" s="176"/>
      <c r="P344" s="213"/>
      <c r="Q344" s="212"/>
      <c r="R344" s="176"/>
      <c r="S344" s="176"/>
      <c r="T344" s="176"/>
      <c r="U344" s="213"/>
      <c r="V344" s="212"/>
      <c r="W344" s="176"/>
      <c r="X344" s="176"/>
      <c r="Y344" s="176"/>
      <c r="Z344" s="213"/>
      <c r="AA344" s="212"/>
      <c r="AB344" s="18"/>
      <c r="AC344" s="18"/>
      <c r="AD344" s="18"/>
      <c r="AE344" s="127"/>
      <c r="AF344" s="19"/>
      <c r="AG344" s="18"/>
      <c r="AH344" s="18"/>
      <c r="AI344" s="18"/>
      <c r="AJ344" s="127"/>
      <c r="AK344" s="19"/>
      <c r="AL344" s="18"/>
      <c r="AM344" s="18"/>
      <c r="AN344" s="18"/>
      <c r="AO344" s="133"/>
      <c r="AP344" s="19"/>
      <c r="AQ344" s="18"/>
      <c r="AR344" s="18"/>
      <c r="AS344" s="18"/>
      <c r="AT344" s="127"/>
      <c r="AU344" s="19"/>
      <c r="AV344" s="18"/>
      <c r="AW344" s="18"/>
      <c r="AX344" s="18"/>
      <c r="AY344" s="127"/>
      <c r="AZ344" s="19"/>
      <c r="BA344" s="18"/>
      <c r="BB344" s="18"/>
      <c r="BC344" s="18"/>
      <c r="BD344" s="127"/>
      <c r="BE344" s="19"/>
      <c r="BF344" s="18"/>
      <c r="BG344" s="18"/>
      <c r="BH344" s="18"/>
      <c r="BI344" s="127"/>
      <c r="BJ344" s="19"/>
      <c r="BK344" s="18"/>
      <c r="BL344" s="18"/>
      <c r="BM344" s="18"/>
      <c r="BN344" s="127"/>
      <c r="BO344" s="19"/>
      <c r="BP344" s="18"/>
      <c r="BQ344" s="18"/>
      <c r="BR344" s="18"/>
      <c r="BS344" s="127"/>
      <c r="BT344" s="19"/>
      <c r="BU344" s="18"/>
      <c r="BV344" s="18"/>
      <c r="BW344" s="18"/>
      <c r="BX344" s="127"/>
      <c r="BY344" s="19"/>
      <c r="BZ344" s="18"/>
      <c r="CA344" s="18"/>
      <c r="CB344" s="18"/>
      <c r="CC344" s="127"/>
      <c r="CD344" s="19"/>
      <c r="CE344" s="18"/>
      <c r="CF344" s="18"/>
      <c r="CG344" s="18"/>
      <c r="CH344" s="127"/>
      <c r="CI344" s="19"/>
      <c r="CJ344" s="18"/>
      <c r="CK344" s="18"/>
      <c r="CL344" s="18"/>
      <c r="CM344" s="127"/>
      <c r="CN344" s="19"/>
      <c r="CO344" s="18"/>
      <c r="CP344" s="18"/>
      <c r="CQ344" s="18"/>
      <c r="CR344" s="127"/>
      <c r="CS344" s="19"/>
      <c r="CT344" s="18"/>
      <c r="CU344" s="18"/>
      <c r="CV344" s="18"/>
      <c r="CW344" s="127"/>
      <c r="CX344" s="19"/>
      <c r="CY344" s="18"/>
      <c r="CZ344" s="18"/>
      <c r="DA344" s="18"/>
      <c r="DB344" s="127"/>
      <c r="DC344" s="18"/>
      <c r="DD344" s="18"/>
      <c r="DE344" s="18"/>
      <c r="DF344" s="18"/>
      <c r="DG344" s="18"/>
      <c r="DH344" s="18"/>
      <c r="DI344" s="18"/>
      <c r="DJ344" s="18"/>
      <c r="DK344" s="61"/>
      <c r="DL344" s="61"/>
      <c r="DM344" s="9"/>
    </row>
    <row r="345" spans="1:117" outlineLevel="1">
      <c r="A345" s="28" t="s">
        <v>119</v>
      </c>
      <c r="B345" s="212"/>
      <c r="C345" s="176"/>
      <c r="D345" s="176"/>
      <c r="E345" s="176"/>
      <c r="F345" s="213"/>
      <c r="G345" s="212"/>
      <c r="H345" s="176"/>
      <c r="I345" s="176"/>
      <c r="J345" s="176"/>
      <c r="K345" s="213"/>
      <c r="L345" s="212"/>
      <c r="M345" s="176"/>
      <c r="N345" s="176"/>
      <c r="O345" s="176"/>
      <c r="P345" s="213"/>
      <c r="Q345" s="212"/>
      <c r="R345" s="176"/>
      <c r="S345" s="176"/>
      <c r="T345" s="176"/>
      <c r="U345" s="213"/>
      <c r="V345" s="212"/>
      <c r="W345" s="176"/>
      <c r="X345" s="176"/>
      <c r="Y345" s="176"/>
      <c r="Z345" s="213"/>
      <c r="AA345" s="212"/>
      <c r="AB345" s="18"/>
      <c r="AC345" s="18"/>
      <c r="AD345" s="18"/>
      <c r="AE345" s="127"/>
      <c r="AF345" s="19"/>
      <c r="AG345" s="18"/>
      <c r="AH345" s="18"/>
      <c r="AI345" s="18"/>
      <c r="AJ345" s="127"/>
      <c r="AK345" s="19"/>
      <c r="AL345" s="18"/>
      <c r="AM345" s="18"/>
      <c r="AN345" s="18"/>
      <c r="AO345" s="127"/>
      <c r="AP345" s="19"/>
      <c r="AQ345" s="18"/>
      <c r="AR345" s="18"/>
      <c r="AS345" s="18"/>
      <c r="AT345" s="127"/>
      <c r="AU345" s="19"/>
      <c r="AV345" s="18"/>
      <c r="AW345" s="18"/>
      <c r="AX345" s="18"/>
      <c r="AY345" s="127"/>
      <c r="AZ345" s="19"/>
      <c r="BA345" s="18"/>
      <c r="BB345" s="18"/>
      <c r="BC345" s="18"/>
      <c r="BD345" s="127"/>
      <c r="BE345" s="19"/>
      <c r="BF345" s="18"/>
      <c r="BG345" s="18"/>
      <c r="BH345" s="18"/>
      <c r="BI345" s="127"/>
      <c r="BJ345" s="19"/>
      <c r="BK345" s="18"/>
      <c r="BL345" s="18"/>
      <c r="BM345" s="18"/>
      <c r="BN345" s="127"/>
      <c r="BO345" s="19"/>
      <c r="BP345" s="18"/>
      <c r="BQ345" s="18"/>
      <c r="BR345" s="18"/>
      <c r="BS345" s="127"/>
      <c r="BT345" s="19"/>
      <c r="BU345" s="18"/>
      <c r="BV345" s="18"/>
      <c r="BW345" s="18"/>
      <c r="BX345" s="127"/>
      <c r="BY345" s="19"/>
      <c r="BZ345" s="18"/>
      <c r="CA345" s="18"/>
      <c r="CB345" s="18"/>
      <c r="CC345" s="127"/>
      <c r="CD345" s="19"/>
      <c r="CE345" s="18"/>
      <c r="CF345" s="18"/>
      <c r="CG345" s="18"/>
      <c r="CH345" s="127"/>
      <c r="CI345" s="19"/>
      <c r="CJ345" s="18"/>
      <c r="CK345" s="18"/>
      <c r="CL345" s="18"/>
      <c r="CM345" s="127"/>
      <c r="CN345" s="19"/>
      <c r="CO345" s="18"/>
      <c r="CP345" s="18"/>
      <c r="CQ345" s="18"/>
      <c r="CR345" s="127"/>
      <c r="CS345" s="19"/>
      <c r="CT345" s="18"/>
      <c r="CU345" s="18"/>
      <c r="CV345" s="18"/>
      <c r="CW345" s="127"/>
      <c r="CX345" s="19"/>
      <c r="CY345" s="18"/>
      <c r="CZ345" s="18"/>
      <c r="DA345" s="18"/>
      <c r="DB345" s="127"/>
      <c r="DC345" s="18"/>
      <c r="DD345" s="18"/>
      <c r="DE345" s="18"/>
      <c r="DF345" s="18"/>
      <c r="DG345" s="18"/>
      <c r="DH345" s="18"/>
      <c r="DI345" s="18"/>
      <c r="DJ345" s="18"/>
      <c r="DK345" s="61"/>
      <c r="DL345" s="61"/>
      <c r="DM345" s="9"/>
    </row>
    <row r="346" spans="1:117" outlineLevel="1">
      <c r="A346" s="36" t="s">
        <v>712</v>
      </c>
      <c r="B346" s="212"/>
      <c r="C346" s="176"/>
      <c r="D346" s="176"/>
      <c r="E346" s="176"/>
      <c r="F346" s="213"/>
      <c r="G346" s="212"/>
      <c r="H346" s="176"/>
      <c r="I346" s="176"/>
      <c r="J346" s="176"/>
      <c r="K346" s="213"/>
      <c r="L346" s="212"/>
      <c r="M346" s="176"/>
      <c r="N346" s="176"/>
      <c r="O346" s="176"/>
      <c r="P346" s="213"/>
      <c r="Q346" s="212"/>
      <c r="R346" s="176"/>
      <c r="S346" s="176"/>
      <c r="T346" s="176"/>
      <c r="U346" s="213"/>
      <c r="V346" s="212"/>
      <c r="W346" s="176"/>
      <c r="X346" s="176"/>
      <c r="Y346" s="176"/>
      <c r="Z346" s="213"/>
      <c r="AA346" s="212"/>
      <c r="AB346" s="18"/>
      <c r="AC346" s="18"/>
      <c r="AD346" s="18"/>
      <c r="AE346" s="127"/>
      <c r="AF346" s="19"/>
      <c r="AG346" s="18"/>
      <c r="AH346" s="18"/>
      <c r="AI346" s="18"/>
      <c r="AJ346" s="127"/>
      <c r="AK346" s="19"/>
      <c r="AL346" s="18"/>
      <c r="AM346" s="18"/>
      <c r="AN346" s="18"/>
      <c r="AO346" s="127"/>
      <c r="AP346" s="19"/>
      <c r="AQ346" s="18"/>
      <c r="AR346" s="18"/>
      <c r="AS346" s="18"/>
      <c r="AT346" s="127"/>
      <c r="AU346" s="19"/>
      <c r="AV346" s="18"/>
      <c r="AW346" s="18"/>
      <c r="AX346" s="18"/>
      <c r="AY346" s="127"/>
      <c r="AZ346" s="19"/>
      <c r="BA346" s="18"/>
      <c r="BB346" s="18"/>
      <c r="BC346" s="18"/>
      <c r="BD346" s="127"/>
      <c r="BE346" s="19"/>
      <c r="BF346" s="18"/>
      <c r="BG346" s="18"/>
      <c r="BH346" s="18"/>
      <c r="BI346" s="127"/>
      <c r="BJ346" s="19"/>
      <c r="BK346" s="18"/>
      <c r="BL346" s="18"/>
      <c r="BM346" s="18"/>
      <c r="BN346" s="127"/>
      <c r="BO346" s="19"/>
      <c r="BP346" s="18"/>
      <c r="BQ346" s="18"/>
      <c r="BR346" s="18"/>
      <c r="BS346" s="127"/>
      <c r="BT346" s="19"/>
      <c r="BU346" s="18"/>
      <c r="BV346" s="18"/>
      <c r="BW346" s="18"/>
      <c r="BX346" s="127"/>
      <c r="BY346" s="19"/>
      <c r="BZ346" s="18"/>
      <c r="CA346" s="18"/>
      <c r="CB346" s="18"/>
      <c r="CC346" s="127"/>
      <c r="CD346" s="19"/>
      <c r="CE346" s="18"/>
      <c r="CF346" s="18"/>
      <c r="CG346" s="18"/>
      <c r="CH346" s="127"/>
      <c r="CI346" s="19"/>
      <c r="CJ346" s="18"/>
      <c r="CK346" s="18"/>
      <c r="CL346" s="18"/>
      <c r="CM346" s="127"/>
      <c r="CN346" s="19"/>
      <c r="CO346" s="18"/>
      <c r="CP346" s="18"/>
      <c r="CQ346" s="18"/>
      <c r="CR346" s="127"/>
      <c r="CS346" s="19"/>
      <c r="CT346" s="18"/>
      <c r="CU346" s="18"/>
      <c r="CV346" s="18"/>
      <c r="CW346" s="127"/>
      <c r="CX346" s="19"/>
      <c r="CY346" s="18"/>
      <c r="CZ346" s="18"/>
      <c r="DA346" s="18"/>
      <c r="DB346" s="127"/>
      <c r="DC346" s="18"/>
      <c r="DD346" s="18"/>
      <c r="DE346" s="18"/>
      <c r="DF346" s="18"/>
      <c r="DG346" s="18"/>
      <c r="DH346" s="18"/>
      <c r="DI346" s="18"/>
      <c r="DJ346" s="18"/>
      <c r="DK346" s="61"/>
      <c r="DL346" s="61"/>
      <c r="DM346" s="9"/>
    </row>
    <row r="347" spans="1:117" outlineLevel="1">
      <c r="A347" s="34" t="s">
        <v>282</v>
      </c>
      <c r="B347" s="330">
        <f>75.113-C347</f>
        <v>61.488999999999997</v>
      </c>
      <c r="C347" s="277">
        <v>13.624000000000001</v>
      </c>
      <c r="D347" s="277">
        <v>8.0489999999999995</v>
      </c>
      <c r="E347" s="308">
        <f>F347-SUM(B347:D347)</f>
        <v>40.225999999999999</v>
      </c>
      <c r="F347" s="278">
        <v>123.38800000000001</v>
      </c>
      <c r="G347" s="279">
        <v>58.545000000000002</v>
      </c>
      <c r="H347" s="277">
        <v>14.502000000000001</v>
      </c>
      <c r="I347" s="277">
        <v>8.266</v>
      </c>
      <c r="J347" s="308">
        <f>K347-SUM(G347:I347)</f>
        <v>40.697000000000003</v>
      </c>
      <c r="K347" s="278">
        <v>122.01</v>
      </c>
      <c r="L347" s="279">
        <v>52.423000000000002</v>
      </c>
      <c r="M347" s="277">
        <v>12.506</v>
      </c>
      <c r="N347" s="277">
        <v>7.9530000000000003</v>
      </c>
      <c r="O347" s="308">
        <f>P347-SUM(L347:N347)</f>
        <v>37.241</v>
      </c>
      <c r="P347" s="278">
        <v>110.123</v>
      </c>
      <c r="Q347" s="279">
        <v>59.656999999999996</v>
      </c>
      <c r="R347" s="277">
        <v>13.347</v>
      </c>
      <c r="S347" s="277">
        <v>7.9</v>
      </c>
      <c r="T347" s="308">
        <f>U347-SUM(Q347:S347)</f>
        <v>40.683000000000007</v>
      </c>
      <c r="U347" s="278">
        <v>121.587</v>
      </c>
      <c r="V347" s="279">
        <v>61.28</v>
      </c>
      <c r="W347" s="277">
        <v>14.058</v>
      </c>
      <c r="X347" s="277">
        <v>7.6879999999999997</v>
      </c>
      <c r="Y347" s="308">
        <f>Z347-SUM(V347:X347)</f>
        <v>42.808000000000007</v>
      </c>
      <c r="Z347" s="278">
        <v>125.834</v>
      </c>
      <c r="AA347" s="279">
        <v>55.356999999999999</v>
      </c>
      <c r="AB347" s="277">
        <v>13.388</v>
      </c>
      <c r="AC347" s="338">
        <v>7.82</v>
      </c>
      <c r="AD347" s="308">
        <f>AE347-SUM(AA347:AC347)</f>
        <v>43.805000000000007</v>
      </c>
      <c r="AE347" s="339">
        <v>120.37</v>
      </c>
      <c r="AF347" s="351">
        <v>62.456000000000003</v>
      </c>
      <c r="AG347" s="375">
        <v>12.246</v>
      </c>
      <c r="AH347" s="338">
        <v>7.3840000000000003</v>
      </c>
      <c r="AI347" s="308">
        <f>AJ347-SUM(AF347:AH347)</f>
        <v>39.153999999999996</v>
      </c>
      <c r="AJ347" s="339">
        <v>121.24</v>
      </c>
      <c r="AK347" s="351">
        <v>58.465000000000003</v>
      </c>
      <c r="AL347" s="375">
        <v>12.336</v>
      </c>
      <c r="AM347" s="338">
        <v>7.2530000000000001</v>
      </c>
      <c r="AN347" s="308">
        <f>AO347-SUM(AK347:AM347)</f>
        <v>39.914999999999992</v>
      </c>
      <c r="AO347" s="339">
        <v>117.96899999999999</v>
      </c>
      <c r="AP347" s="351">
        <v>49.697000000000003</v>
      </c>
      <c r="AQ347" s="375">
        <v>9.0210000000000008</v>
      </c>
      <c r="AR347" s="338">
        <v>7.3419999999999996</v>
      </c>
      <c r="AS347" s="308">
        <f>AT347-SUM(AP347:AR347)</f>
        <v>37.739000000000004</v>
      </c>
      <c r="AT347" s="339">
        <v>103.79900000000001</v>
      </c>
      <c r="AU347" s="351">
        <v>55.225000000000001</v>
      </c>
      <c r="AV347" s="375">
        <v>16.366</v>
      </c>
      <c r="AW347" s="338">
        <v>7.5449999999999999</v>
      </c>
      <c r="AX347" s="308">
        <f>AY347-SUM(AU347:AW347)</f>
        <v>43.718999999999994</v>
      </c>
      <c r="AY347" s="339">
        <v>122.855</v>
      </c>
      <c r="AZ347" s="19"/>
      <c r="BA347" s="18"/>
      <c r="BB347" s="18"/>
      <c r="BC347" s="18"/>
      <c r="BD347" s="280"/>
      <c r="BE347" s="19"/>
      <c r="BF347" s="18"/>
      <c r="BG347" s="18"/>
      <c r="BH347" s="18"/>
      <c r="BI347" s="280"/>
      <c r="BJ347" s="19"/>
      <c r="BK347" s="18"/>
      <c r="BL347" s="18"/>
      <c r="BM347" s="18"/>
      <c r="BN347" s="280"/>
      <c r="BO347" s="19"/>
      <c r="BP347" s="18"/>
      <c r="BQ347" s="18"/>
      <c r="BR347" s="18"/>
      <c r="BS347" s="280"/>
      <c r="BT347" s="19"/>
      <c r="BU347" s="18"/>
      <c r="BV347" s="18"/>
      <c r="BW347" s="18"/>
      <c r="BX347" s="280"/>
      <c r="BY347" s="19"/>
      <c r="BZ347" s="18"/>
      <c r="CA347" s="18"/>
      <c r="CB347" s="18"/>
      <c r="CC347" s="280"/>
      <c r="CD347" s="19"/>
      <c r="CE347" s="18"/>
      <c r="CF347" s="18"/>
      <c r="CG347" s="18"/>
      <c r="CH347" s="280"/>
      <c r="CI347" s="19"/>
      <c r="CJ347" s="18"/>
      <c r="CK347" s="18"/>
      <c r="CL347" s="18"/>
      <c r="CM347" s="280"/>
      <c r="CN347" s="19"/>
      <c r="CO347" s="18"/>
      <c r="CP347" s="18"/>
      <c r="CQ347" s="18"/>
      <c r="CR347" s="280"/>
      <c r="CS347" s="19"/>
      <c r="CT347" s="18"/>
      <c r="CU347" s="18"/>
      <c r="CV347" s="18"/>
      <c r="CW347" s="280"/>
      <c r="CX347" s="19"/>
      <c r="CY347" s="18"/>
      <c r="CZ347" s="18"/>
      <c r="DA347" s="18"/>
      <c r="DB347" s="280"/>
      <c r="DC347" s="277"/>
      <c r="DD347" s="277"/>
      <c r="DE347" s="277"/>
      <c r="DF347" s="277"/>
      <c r="DG347" s="277"/>
      <c r="DH347" s="277"/>
      <c r="DI347" s="277"/>
      <c r="DJ347" s="277"/>
      <c r="DK347" s="415"/>
      <c r="DL347" s="415"/>
      <c r="DM347" s="9"/>
    </row>
    <row r="348" spans="1:117" outlineLevel="1">
      <c r="A348" s="34" t="s">
        <v>283</v>
      </c>
      <c r="B348" s="330">
        <f>25.303-C348</f>
        <v>20.267000000000003</v>
      </c>
      <c r="C348" s="277">
        <v>5.0359999999999996</v>
      </c>
      <c r="D348" s="277">
        <v>4.0590000000000002</v>
      </c>
      <c r="E348" s="308">
        <f t="shared" ref="E348:E354" si="618">F348-SUM(B348:D348)</f>
        <v>12.621999999999996</v>
      </c>
      <c r="F348" s="278">
        <v>41.984000000000002</v>
      </c>
      <c r="G348" s="279">
        <v>18.077999999999999</v>
      </c>
      <c r="H348" s="277">
        <v>5.2380000000000004</v>
      </c>
      <c r="I348" s="277">
        <v>3.6030000000000002</v>
      </c>
      <c r="J348" s="308">
        <f t="shared" ref="J348:J354" si="619">K348-SUM(G348:I348)</f>
        <v>12.374999999999996</v>
      </c>
      <c r="K348" s="278">
        <v>39.293999999999997</v>
      </c>
      <c r="L348" s="279">
        <v>15.307</v>
      </c>
      <c r="M348" s="277">
        <v>4.0869999999999997</v>
      </c>
      <c r="N348" s="277">
        <v>3.7669999999999999</v>
      </c>
      <c r="O348" s="308">
        <f t="shared" ref="O348:O354" si="620">P348-SUM(L348:N348)</f>
        <v>11.704000000000004</v>
      </c>
      <c r="P348" s="278">
        <v>34.865000000000002</v>
      </c>
      <c r="Q348" s="279">
        <v>17.245999999999999</v>
      </c>
      <c r="R348" s="277">
        <v>4.8810000000000002</v>
      </c>
      <c r="S348" s="277">
        <v>3.6419999999999999</v>
      </c>
      <c r="T348" s="308">
        <f t="shared" ref="T348:T354" si="621">U348-SUM(Q348:S348)</f>
        <v>11.526000000000003</v>
      </c>
      <c r="U348" s="278">
        <v>37.295000000000002</v>
      </c>
      <c r="V348" s="279">
        <v>17.77</v>
      </c>
      <c r="W348" s="277">
        <v>4.9370000000000003</v>
      </c>
      <c r="X348" s="277">
        <v>3.258</v>
      </c>
      <c r="Y348" s="308">
        <f t="shared" ref="Y348:Y354" si="622">Z348-SUM(V348:X348)</f>
        <v>11.793000000000003</v>
      </c>
      <c r="Z348" s="278">
        <v>37.758000000000003</v>
      </c>
      <c r="AA348" s="279">
        <v>15.752000000000001</v>
      </c>
      <c r="AB348" s="277">
        <v>4.4589999999999996</v>
      </c>
      <c r="AC348" s="338">
        <v>3.2040000000000002</v>
      </c>
      <c r="AD348" s="308">
        <f>AE348-SUM(AA348:AC348)</f>
        <v>11.999000000000002</v>
      </c>
      <c r="AE348" s="339">
        <v>35.414000000000001</v>
      </c>
      <c r="AF348" s="351">
        <v>17.178000000000001</v>
      </c>
      <c r="AG348" s="375">
        <v>4.2450000000000001</v>
      </c>
      <c r="AH348" s="338">
        <v>3.26</v>
      </c>
      <c r="AI348" s="308">
        <f>AJ348-SUM(AF348:AH348)</f>
        <v>10.54</v>
      </c>
      <c r="AJ348" s="339">
        <v>35.222999999999999</v>
      </c>
      <c r="AK348" s="351">
        <v>15.555</v>
      </c>
      <c r="AL348" s="375">
        <v>4.343</v>
      </c>
      <c r="AM348" s="338">
        <v>3.5110000000000001</v>
      </c>
      <c r="AN348" s="308">
        <f>AO348-SUM(AK348:AM348)</f>
        <v>10.396000000000001</v>
      </c>
      <c r="AO348" s="339">
        <v>33.805</v>
      </c>
      <c r="AP348" s="351">
        <v>13.097</v>
      </c>
      <c r="AQ348" s="375">
        <v>3.593</v>
      </c>
      <c r="AR348" s="338">
        <v>3.33</v>
      </c>
      <c r="AS348" s="308">
        <f>AT348-SUM(AP348:AR348)</f>
        <v>10.151000000000003</v>
      </c>
      <c r="AT348" s="339">
        <v>30.170999999999999</v>
      </c>
      <c r="AU348" s="351">
        <v>14.807</v>
      </c>
      <c r="AV348" s="375">
        <v>5.7850000000000001</v>
      </c>
      <c r="AW348" s="338">
        <v>3.7749999999999999</v>
      </c>
      <c r="AX348" s="308">
        <f>AY348-SUM(AU348:AW348)</f>
        <v>12.589000000000006</v>
      </c>
      <c r="AY348" s="339">
        <v>36.956000000000003</v>
      </c>
      <c r="AZ348" s="19"/>
      <c r="BA348" s="18"/>
      <c r="BB348" s="18"/>
      <c r="BC348" s="18"/>
      <c r="BD348" s="280"/>
      <c r="BE348" s="19"/>
      <c r="BF348" s="18"/>
      <c r="BG348" s="18"/>
      <c r="BH348" s="18"/>
      <c r="BI348" s="280"/>
      <c r="BJ348" s="19"/>
      <c r="BK348" s="18"/>
      <c r="BL348" s="18"/>
      <c r="BM348" s="18"/>
      <c r="BN348" s="280"/>
      <c r="BO348" s="19"/>
      <c r="BP348" s="18"/>
      <c r="BQ348" s="18"/>
      <c r="BR348" s="18"/>
      <c r="BS348" s="280"/>
      <c r="BT348" s="19"/>
      <c r="BU348" s="18"/>
      <c r="BV348" s="18"/>
      <c r="BW348" s="18"/>
      <c r="BX348" s="280"/>
      <c r="BY348" s="19"/>
      <c r="BZ348" s="18"/>
      <c r="CA348" s="18"/>
      <c r="CB348" s="18"/>
      <c r="CC348" s="280"/>
      <c r="CD348" s="19"/>
      <c r="CE348" s="18"/>
      <c r="CF348" s="18"/>
      <c r="CG348" s="18"/>
      <c r="CH348" s="280"/>
      <c r="CI348" s="19"/>
      <c r="CJ348" s="18"/>
      <c r="CK348" s="18"/>
      <c r="CL348" s="18"/>
      <c r="CM348" s="280"/>
      <c r="CN348" s="19"/>
      <c r="CO348" s="18"/>
      <c r="CP348" s="18"/>
      <c r="CQ348" s="18"/>
      <c r="CR348" s="280"/>
      <c r="CS348" s="19"/>
      <c r="CT348" s="18"/>
      <c r="CU348" s="18"/>
      <c r="CV348" s="18"/>
      <c r="CW348" s="280"/>
      <c r="CX348" s="19"/>
      <c r="CY348" s="18"/>
      <c r="CZ348" s="18"/>
      <c r="DA348" s="18"/>
      <c r="DB348" s="280"/>
      <c r="DC348" s="277"/>
      <c r="DD348" s="277"/>
      <c r="DE348" s="277"/>
      <c r="DF348" s="277"/>
      <c r="DG348" s="277"/>
      <c r="DH348" s="277"/>
      <c r="DI348" s="277"/>
      <c r="DJ348" s="277"/>
      <c r="DK348" s="415"/>
      <c r="DL348" s="415"/>
      <c r="DM348" s="9"/>
    </row>
    <row r="349" spans="1:117" outlineLevel="1">
      <c r="A349" s="34" t="s">
        <v>284</v>
      </c>
      <c r="B349" s="330">
        <f>1.36-C349</f>
        <v>0.96800000000000008</v>
      </c>
      <c r="C349" s="277">
        <v>0.39200000000000002</v>
      </c>
      <c r="D349" s="277">
        <v>0.60199999999999998</v>
      </c>
      <c r="E349" s="308">
        <f t="shared" si="618"/>
        <v>0.55099999999999971</v>
      </c>
      <c r="F349" s="278">
        <v>2.5129999999999999</v>
      </c>
      <c r="G349" s="279">
        <v>0.78200000000000003</v>
      </c>
      <c r="H349" s="277">
        <v>0.41899999999999998</v>
      </c>
      <c r="I349" s="277">
        <v>0.70599999999999996</v>
      </c>
      <c r="J349" s="308">
        <f t="shared" si="619"/>
        <v>0.52499999999999991</v>
      </c>
      <c r="K349" s="278">
        <v>2.4319999999999999</v>
      </c>
      <c r="L349" s="279">
        <v>0.57999999999999996</v>
      </c>
      <c r="M349" s="277">
        <v>0.38400000000000001</v>
      </c>
      <c r="N349" s="277">
        <v>7.9000000000000001E-2</v>
      </c>
      <c r="O349" s="308">
        <f t="shared" si="620"/>
        <v>0.58100000000000018</v>
      </c>
      <c r="P349" s="278">
        <v>1.6240000000000001</v>
      </c>
      <c r="Q349" s="279">
        <v>0.53200000000000003</v>
      </c>
      <c r="R349" s="277">
        <v>0.53900000000000003</v>
      </c>
      <c r="S349" s="277">
        <v>0.22600000000000001</v>
      </c>
      <c r="T349" s="308">
        <f t="shared" si="621"/>
        <v>0.46099999999999985</v>
      </c>
      <c r="U349" s="278">
        <v>1.758</v>
      </c>
      <c r="V349" s="279">
        <v>0.58599999999999997</v>
      </c>
      <c r="W349" s="277">
        <v>0.38800000000000001</v>
      </c>
      <c r="X349" s="277">
        <v>0.26</v>
      </c>
      <c r="Y349" s="308">
        <f t="shared" si="622"/>
        <v>0.16100000000000003</v>
      </c>
      <c r="Z349" s="278">
        <v>1.395</v>
      </c>
      <c r="AA349" s="279">
        <v>0.51200000000000001</v>
      </c>
      <c r="AB349" s="277">
        <v>0.156</v>
      </c>
      <c r="AC349" s="338">
        <v>0.29299999999999998</v>
      </c>
      <c r="AD349" s="308">
        <f>AE349-SUM(AA349:AC349)</f>
        <v>0.24699999999999989</v>
      </c>
      <c r="AE349" s="339">
        <v>1.208</v>
      </c>
      <c r="AF349" s="351">
        <v>0.39400000000000002</v>
      </c>
      <c r="AG349" s="375">
        <v>0.23200000000000001</v>
      </c>
      <c r="AH349" s="338">
        <v>0.315</v>
      </c>
      <c r="AI349" s="308">
        <f>AJ349-SUM(AF349:AH349)</f>
        <v>0.27</v>
      </c>
      <c r="AJ349" s="339">
        <v>1.2110000000000001</v>
      </c>
      <c r="AK349" s="351">
        <v>0.42299999999999999</v>
      </c>
      <c r="AL349" s="375">
        <v>0.28699999999999998</v>
      </c>
      <c r="AM349" s="338">
        <v>0.374</v>
      </c>
      <c r="AN349" s="308">
        <f>AO349-SUM(AK349:AM349)</f>
        <v>0.28299999999999992</v>
      </c>
      <c r="AO349" s="339">
        <v>1.367</v>
      </c>
      <c r="AP349" s="351">
        <v>0.34200000000000003</v>
      </c>
      <c r="AQ349" s="375">
        <v>0.38300000000000001</v>
      </c>
      <c r="AR349" s="338">
        <v>0.36299999999999999</v>
      </c>
      <c r="AS349" s="308">
        <f>AT349-SUM(AP349:AR349)</f>
        <v>0.19999999999999996</v>
      </c>
      <c r="AT349" s="339">
        <v>1.288</v>
      </c>
      <c r="AU349" s="351">
        <v>0.44</v>
      </c>
      <c r="AV349" s="375"/>
      <c r="AW349" s="338"/>
      <c r="AX349" s="308"/>
      <c r="AY349" s="339"/>
      <c r="AZ349" s="19"/>
      <c r="BA349" s="18"/>
      <c r="BB349" s="18"/>
      <c r="BC349" s="18"/>
      <c r="BD349" s="280"/>
      <c r="BE349" s="19"/>
      <c r="BF349" s="18"/>
      <c r="BG349" s="18"/>
      <c r="BH349" s="18"/>
      <c r="BI349" s="280"/>
      <c r="BJ349" s="19"/>
      <c r="BK349" s="18"/>
      <c r="BL349" s="18"/>
      <c r="BM349" s="18"/>
      <c r="BN349" s="280"/>
      <c r="BO349" s="19"/>
      <c r="BP349" s="18"/>
      <c r="BQ349" s="18"/>
      <c r="BR349" s="18"/>
      <c r="BS349" s="280"/>
      <c r="BT349" s="19"/>
      <c r="BU349" s="18"/>
      <c r="BV349" s="18"/>
      <c r="BW349" s="18"/>
      <c r="BX349" s="280"/>
      <c r="BY349" s="19"/>
      <c r="BZ349" s="18"/>
      <c r="CA349" s="18"/>
      <c r="CB349" s="18"/>
      <c r="CC349" s="280"/>
      <c r="CD349" s="19"/>
      <c r="CE349" s="18"/>
      <c r="CF349" s="18"/>
      <c r="CG349" s="18"/>
      <c r="CH349" s="280"/>
      <c r="CI349" s="19"/>
      <c r="CJ349" s="18"/>
      <c r="CK349" s="18"/>
      <c r="CL349" s="18"/>
      <c r="CM349" s="280"/>
      <c r="CN349" s="19"/>
      <c r="CO349" s="18"/>
      <c r="CP349" s="18"/>
      <c r="CQ349" s="18"/>
      <c r="CR349" s="280"/>
      <c r="CS349" s="19"/>
      <c r="CT349" s="18"/>
      <c r="CU349" s="18"/>
      <c r="CV349" s="18"/>
      <c r="CW349" s="280"/>
      <c r="CX349" s="19"/>
      <c r="CY349" s="18"/>
      <c r="CZ349" s="18"/>
      <c r="DA349" s="18"/>
      <c r="DB349" s="280"/>
      <c r="DC349" s="277"/>
      <c r="DD349" s="277"/>
      <c r="DE349" s="277"/>
      <c r="DF349" s="277"/>
      <c r="DG349" s="277"/>
      <c r="DH349" s="277"/>
      <c r="DI349" s="277"/>
      <c r="DJ349" s="277"/>
      <c r="DK349" s="415"/>
      <c r="DL349" s="415"/>
      <c r="DM349" s="9"/>
    </row>
    <row r="350" spans="1:117" outlineLevel="1">
      <c r="A350" s="34" t="s">
        <v>285</v>
      </c>
      <c r="B350" s="330">
        <f>15.405-C350</f>
        <v>4.6120000000000001</v>
      </c>
      <c r="C350" s="277">
        <v>10.792999999999999</v>
      </c>
      <c r="D350" s="277">
        <v>11.36</v>
      </c>
      <c r="E350" s="308">
        <f t="shared" si="618"/>
        <v>5.5</v>
      </c>
      <c r="F350" s="278">
        <v>32.265000000000001</v>
      </c>
      <c r="G350" s="279">
        <v>6.8719999999999999</v>
      </c>
      <c r="H350" s="277">
        <v>9.5839999999999996</v>
      </c>
      <c r="I350" s="277">
        <v>12.204000000000001</v>
      </c>
      <c r="J350" s="308">
        <f t="shared" si="619"/>
        <v>4.8610000000000007</v>
      </c>
      <c r="K350" s="278">
        <v>33.521000000000001</v>
      </c>
      <c r="L350" s="279">
        <v>4.9400000000000004</v>
      </c>
      <c r="M350" s="277">
        <v>11.567</v>
      </c>
      <c r="N350" s="277">
        <v>7.3940000000000001</v>
      </c>
      <c r="O350" s="308">
        <f t="shared" si="620"/>
        <v>5.3619999999999983</v>
      </c>
      <c r="P350" s="278">
        <v>29.263000000000002</v>
      </c>
      <c r="Q350" s="279">
        <v>0.31</v>
      </c>
      <c r="R350" s="277">
        <v>5.3739999999999997</v>
      </c>
      <c r="S350" s="277">
        <v>4.8099999999999996</v>
      </c>
      <c r="T350" s="308">
        <f t="shared" si="621"/>
        <v>2.7370000000000001</v>
      </c>
      <c r="U350" s="278">
        <v>13.231</v>
      </c>
      <c r="V350" s="279">
        <v>0.22600000000000001</v>
      </c>
      <c r="W350" s="277">
        <v>2.3330000000000002</v>
      </c>
      <c r="X350" s="277">
        <v>2.5209999999999999</v>
      </c>
      <c r="Y350" s="308">
        <f t="shared" si="622"/>
        <v>2.1059999999999999</v>
      </c>
      <c r="Z350" s="278">
        <v>7.1859999999999999</v>
      </c>
      <c r="AA350" s="279">
        <v>1.1339999999999999</v>
      </c>
      <c r="AB350" s="277">
        <v>3.5779999999999998</v>
      </c>
      <c r="AC350" s="338">
        <v>4</v>
      </c>
      <c r="AD350" s="308">
        <f>AE350-SUM(AA350:AC350)</f>
        <v>1.3200000000000003</v>
      </c>
      <c r="AE350" s="339">
        <v>10.032</v>
      </c>
      <c r="AF350" s="351">
        <v>0.24099999999999999</v>
      </c>
      <c r="AG350" s="375">
        <v>3.234</v>
      </c>
      <c r="AH350" s="338">
        <v>3.117</v>
      </c>
      <c r="AI350" s="308">
        <f>AJ350-SUM(AF350:AH350)</f>
        <v>2.6199999999999992</v>
      </c>
      <c r="AJ350" s="339">
        <v>9.2119999999999997</v>
      </c>
      <c r="AK350" s="351">
        <v>1.169</v>
      </c>
      <c r="AL350" s="375">
        <v>0.39300000000000002</v>
      </c>
      <c r="AM350" s="338">
        <v>0.28899999999999998</v>
      </c>
      <c r="AN350" s="308">
        <f>AO350-SUM(AK350:AM350)</f>
        <v>1.4359999999999999</v>
      </c>
      <c r="AO350" s="339">
        <v>3.2869999999999999</v>
      </c>
      <c r="AP350" s="351">
        <v>2.508</v>
      </c>
      <c r="AQ350" s="375">
        <v>2.3260000000000001</v>
      </c>
      <c r="AR350" s="338">
        <v>0.55500000000000005</v>
      </c>
      <c r="AS350" s="308">
        <f>AT350-SUM(AP350:AR350)</f>
        <v>0.74600000000000044</v>
      </c>
      <c r="AT350" s="339">
        <v>6.1349999999999998</v>
      </c>
      <c r="AU350" s="351">
        <v>2.4830000000000001</v>
      </c>
      <c r="AV350" s="375">
        <v>0.33700000000000002</v>
      </c>
      <c r="AW350" s="338">
        <v>0.27200000000000002</v>
      </c>
      <c r="AX350" s="308">
        <f>AY350-SUM(AU350:AW350)</f>
        <v>1.3109999999999991</v>
      </c>
      <c r="AY350" s="339">
        <v>4.4029999999999996</v>
      </c>
      <c r="AZ350" s="19"/>
      <c r="BA350" s="18"/>
      <c r="BB350" s="18"/>
      <c r="BC350" s="18"/>
      <c r="BD350" s="280"/>
      <c r="BE350" s="19"/>
      <c r="BF350" s="18"/>
      <c r="BG350" s="18"/>
      <c r="BH350" s="18"/>
      <c r="BI350" s="280"/>
      <c r="BJ350" s="19"/>
      <c r="BK350" s="18"/>
      <c r="BL350" s="18"/>
      <c r="BM350" s="18"/>
      <c r="BN350" s="280"/>
      <c r="BO350" s="19"/>
      <c r="BP350" s="18"/>
      <c r="BQ350" s="18"/>
      <c r="BR350" s="18"/>
      <c r="BS350" s="280"/>
      <c r="BT350" s="19"/>
      <c r="BU350" s="18"/>
      <c r="BV350" s="18"/>
      <c r="BW350" s="18"/>
      <c r="BX350" s="280"/>
      <c r="BY350" s="19"/>
      <c r="BZ350" s="18"/>
      <c r="CA350" s="18"/>
      <c r="CB350" s="18"/>
      <c r="CC350" s="280"/>
      <c r="CD350" s="19"/>
      <c r="CE350" s="18"/>
      <c r="CF350" s="18"/>
      <c r="CG350" s="18"/>
      <c r="CH350" s="280"/>
      <c r="CI350" s="19"/>
      <c r="CJ350" s="18"/>
      <c r="CK350" s="18"/>
      <c r="CL350" s="18"/>
      <c r="CM350" s="280"/>
      <c r="CN350" s="19"/>
      <c r="CO350" s="18"/>
      <c r="CP350" s="18"/>
      <c r="CQ350" s="18"/>
      <c r="CR350" s="280"/>
      <c r="CS350" s="19"/>
      <c r="CT350" s="18"/>
      <c r="CU350" s="18"/>
      <c r="CV350" s="18"/>
      <c r="CW350" s="280"/>
      <c r="CX350" s="19"/>
      <c r="CY350" s="18"/>
      <c r="CZ350" s="18"/>
      <c r="DA350" s="18"/>
      <c r="DB350" s="280"/>
      <c r="DC350" s="277"/>
      <c r="DD350" s="277"/>
      <c r="DE350" s="277"/>
      <c r="DF350" s="277"/>
      <c r="DG350" s="277"/>
      <c r="DH350" s="277"/>
      <c r="DI350" s="277"/>
      <c r="DJ350" s="277"/>
      <c r="DK350" s="415"/>
      <c r="DL350" s="415"/>
      <c r="DM350" s="9"/>
    </row>
    <row r="351" spans="1:117" outlineLevel="1">
      <c r="A351" s="34" t="s">
        <v>363</v>
      </c>
      <c r="B351" s="330">
        <f>1.342-C351</f>
        <v>0.99700000000000011</v>
      </c>
      <c r="C351" s="277">
        <v>0.34499999999999997</v>
      </c>
      <c r="D351" s="277">
        <v>0.26300000000000001</v>
      </c>
      <c r="E351" s="308">
        <f t="shared" si="618"/>
        <v>1.1430000000000002</v>
      </c>
      <c r="F351" s="278">
        <v>2.7480000000000002</v>
      </c>
      <c r="G351" s="279">
        <v>0.96499999999999997</v>
      </c>
      <c r="H351" s="277">
        <v>0.32300000000000001</v>
      </c>
      <c r="I351" s="277">
        <v>0.27900000000000003</v>
      </c>
      <c r="J351" s="308">
        <f t="shared" si="619"/>
        <v>0.99199999999999999</v>
      </c>
      <c r="K351" s="278">
        <v>2.5590000000000002</v>
      </c>
      <c r="L351" s="279">
        <v>0.88700000000000001</v>
      </c>
      <c r="M351" s="277">
        <v>0.28100000000000003</v>
      </c>
      <c r="N351" s="277">
        <v>0.26600000000000001</v>
      </c>
      <c r="O351" s="308">
        <f t="shared" si="620"/>
        <v>1.0859999999999999</v>
      </c>
      <c r="P351" s="278">
        <v>2.52</v>
      </c>
      <c r="Q351" s="279">
        <v>1.0289999999999999</v>
      </c>
      <c r="R351" s="277">
        <v>0.34699999999999998</v>
      </c>
      <c r="S351" s="277">
        <v>0.26400000000000001</v>
      </c>
      <c r="T351" s="308">
        <f t="shared" si="621"/>
        <v>1.0389999999999999</v>
      </c>
      <c r="U351" s="278">
        <v>2.6789999999999998</v>
      </c>
      <c r="V351" s="279">
        <v>0.999</v>
      </c>
      <c r="W351" s="277">
        <v>0.33600000000000002</v>
      </c>
      <c r="X351" s="277">
        <v>0.28799999999999998</v>
      </c>
      <c r="Y351" s="308">
        <f t="shared" si="622"/>
        <v>0.96900000000000008</v>
      </c>
      <c r="Z351" s="278">
        <v>2.5920000000000001</v>
      </c>
      <c r="AA351" s="279">
        <v>0.84699999999999998</v>
      </c>
      <c r="AB351" s="277">
        <v>0.371</v>
      </c>
      <c r="AC351" s="338">
        <v>0.312</v>
      </c>
      <c r="AD351" s="308">
        <f>AE351-SUM(AA351:AC351)</f>
        <v>1.143</v>
      </c>
      <c r="AE351" s="339">
        <v>2.673</v>
      </c>
      <c r="AF351" s="351">
        <v>1.2430000000000001</v>
      </c>
      <c r="AG351" s="375">
        <v>0.38700000000000001</v>
      </c>
      <c r="AH351" s="338">
        <v>0.31900000000000001</v>
      </c>
      <c r="AI351" s="308">
        <f>AJ351-SUM(AF351:AH351)</f>
        <v>0.8989999999999998</v>
      </c>
      <c r="AJ351" s="339">
        <v>2.8479999999999999</v>
      </c>
      <c r="AK351" s="351"/>
      <c r="AL351" s="18"/>
      <c r="AM351" s="338"/>
      <c r="AN351" s="308"/>
      <c r="AO351" s="339"/>
      <c r="AP351" s="19"/>
      <c r="AQ351" s="18"/>
      <c r="AR351" s="338"/>
      <c r="AS351" s="18"/>
      <c r="AT351" s="280"/>
      <c r="AU351" s="19"/>
      <c r="AV351" s="18"/>
      <c r="AW351" s="338"/>
      <c r="AX351" s="18"/>
      <c r="AY351" s="280"/>
      <c r="AZ351" s="19"/>
      <c r="BA351" s="18"/>
      <c r="BB351" s="18"/>
      <c r="BC351" s="18"/>
      <c r="BD351" s="280"/>
      <c r="BE351" s="19"/>
      <c r="BF351" s="18"/>
      <c r="BG351" s="18"/>
      <c r="BH351" s="18"/>
      <c r="BI351" s="280"/>
      <c r="BJ351" s="19"/>
      <c r="BK351" s="18"/>
      <c r="BL351" s="18"/>
      <c r="BM351" s="18"/>
      <c r="BN351" s="280"/>
      <c r="BO351" s="19"/>
      <c r="BP351" s="18"/>
      <c r="BQ351" s="18"/>
      <c r="BR351" s="18"/>
      <c r="BS351" s="280"/>
      <c r="BT351" s="19"/>
      <c r="BU351" s="18"/>
      <c r="BV351" s="18"/>
      <c r="BW351" s="18"/>
      <c r="BX351" s="280"/>
      <c r="BY351" s="19"/>
      <c r="BZ351" s="18"/>
      <c r="CA351" s="18"/>
      <c r="CB351" s="18"/>
      <c r="CC351" s="280"/>
      <c r="CD351" s="19"/>
      <c r="CE351" s="18"/>
      <c r="CF351" s="18"/>
      <c r="CG351" s="18"/>
      <c r="CH351" s="280"/>
      <c r="CI351" s="19"/>
      <c r="CJ351" s="18"/>
      <c r="CK351" s="18"/>
      <c r="CL351" s="18"/>
      <c r="CM351" s="280"/>
      <c r="CN351" s="19"/>
      <c r="CO351" s="18"/>
      <c r="CP351" s="18"/>
      <c r="CQ351" s="18"/>
      <c r="CR351" s="280"/>
      <c r="CS351" s="19"/>
      <c r="CT351" s="18"/>
      <c r="CU351" s="18"/>
      <c r="CV351" s="18"/>
      <c r="CW351" s="280"/>
      <c r="CX351" s="19"/>
      <c r="CY351" s="18"/>
      <c r="CZ351" s="18"/>
      <c r="DA351" s="18"/>
      <c r="DB351" s="280"/>
      <c r="DC351" s="277"/>
      <c r="DD351" s="277"/>
      <c r="DE351" s="277"/>
      <c r="DF351" s="277"/>
      <c r="DG351" s="277"/>
      <c r="DH351" s="277"/>
      <c r="DI351" s="277"/>
      <c r="DJ351" s="277"/>
      <c r="DK351" s="415"/>
      <c r="DL351" s="415"/>
      <c r="DM351" s="9"/>
    </row>
    <row r="352" spans="1:117" outlineLevel="1">
      <c r="A352" s="36" t="s">
        <v>121</v>
      </c>
      <c r="B352" s="330">
        <f t="shared" ref="B352:AC352" si="623">SUM(B347:B351)</f>
        <v>88.332999999999998</v>
      </c>
      <c r="C352" s="308">
        <f t="shared" si="623"/>
        <v>30.189999999999998</v>
      </c>
      <c r="D352" s="308">
        <f t="shared" si="623"/>
        <v>24.333000000000002</v>
      </c>
      <c r="E352" s="308">
        <f t="shared" si="623"/>
        <v>60.042000000000002</v>
      </c>
      <c r="F352" s="306">
        <f t="shared" si="623"/>
        <v>202.89800000000002</v>
      </c>
      <c r="G352" s="307">
        <f t="shared" si="623"/>
        <v>85.242000000000004</v>
      </c>
      <c r="H352" s="308">
        <f t="shared" si="623"/>
        <v>30.066000000000003</v>
      </c>
      <c r="I352" s="308">
        <f t="shared" si="623"/>
        <v>25.058</v>
      </c>
      <c r="J352" s="308">
        <f t="shared" si="623"/>
        <v>59.449999999999996</v>
      </c>
      <c r="K352" s="306">
        <f t="shared" si="623"/>
        <v>199.816</v>
      </c>
      <c r="L352" s="307">
        <f t="shared" si="623"/>
        <v>74.137</v>
      </c>
      <c r="M352" s="308">
        <f t="shared" si="623"/>
        <v>28.824999999999999</v>
      </c>
      <c r="N352" s="308">
        <f t="shared" si="623"/>
        <v>19.459000000000003</v>
      </c>
      <c r="O352" s="308">
        <f t="shared" si="623"/>
        <v>55.974000000000004</v>
      </c>
      <c r="P352" s="306">
        <f t="shared" si="623"/>
        <v>178.39500000000001</v>
      </c>
      <c r="Q352" s="307">
        <f t="shared" si="623"/>
        <v>78.773999999999987</v>
      </c>
      <c r="R352" s="308">
        <f t="shared" si="623"/>
        <v>24.488000000000003</v>
      </c>
      <c r="S352" s="308">
        <f t="shared" si="623"/>
        <v>16.841999999999999</v>
      </c>
      <c r="T352" s="308">
        <f t="shared" si="623"/>
        <v>56.446000000000012</v>
      </c>
      <c r="U352" s="306">
        <f t="shared" si="623"/>
        <v>176.55</v>
      </c>
      <c r="V352" s="307">
        <f t="shared" si="623"/>
        <v>80.86099999999999</v>
      </c>
      <c r="W352" s="308">
        <f t="shared" si="623"/>
        <v>22.052</v>
      </c>
      <c r="X352" s="308">
        <f t="shared" si="623"/>
        <v>14.015000000000001</v>
      </c>
      <c r="Y352" s="308">
        <f t="shared" si="623"/>
        <v>57.837000000000018</v>
      </c>
      <c r="Z352" s="306">
        <f t="shared" si="623"/>
        <v>174.76500000000004</v>
      </c>
      <c r="AA352" s="307">
        <f t="shared" si="623"/>
        <v>73.60199999999999</v>
      </c>
      <c r="AB352" s="308">
        <f t="shared" si="623"/>
        <v>21.951999999999998</v>
      </c>
      <c r="AC352" s="308">
        <f t="shared" si="623"/>
        <v>15.629</v>
      </c>
      <c r="AD352" s="308">
        <f t="shared" ref="AD352:AM352" si="624">SUM(AD347:AD351)</f>
        <v>58.51400000000001</v>
      </c>
      <c r="AE352" s="340">
        <f t="shared" si="624"/>
        <v>169.697</v>
      </c>
      <c r="AF352" s="352">
        <f t="shared" si="624"/>
        <v>81.512</v>
      </c>
      <c r="AG352" s="374">
        <f t="shared" si="624"/>
        <v>20.344000000000001</v>
      </c>
      <c r="AH352" s="374">
        <f t="shared" si="624"/>
        <v>14.395000000000001</v>
      </c>
      <c r="AI352" s="308">
        <f t="shared" si="624"/>
        <v>53.482999999999997</v>
      </c>
      <c r="AJ352" s="340">
        <f t="shared" si="624"/>
        <v>169.73400000000001</v>
      </c>
      <c r="AK352" s="352">
        <f t="shared" si="624"/>
        <v>75.612000000000009</v>
      </c>
      <c r="AL352" s="374">
        <f t="shared" si="624"/>
        <v>17.359000000000002</v>
      </c>
      <c r="AM352" s="374">
        <f t="shared" si="624"/>
        <v>11.427</v>
      </c>
      <c r="AN352" s="308">
        <f t="shared" ref="AN352:AW352" si="625">SUM(AN347:AN351)</f>
        <v>52.029999999999994</v>
      </c>
      <c r="AO352" s="340">
        <f t="shared" si="625"/>
        <v>156.428</v>
      </c>
      <c r="AP352" s="352">
        <f t="shared" si="625"/>
        <v>65.644000000000005</v>
      </c>
      <c r="AQ352" s="374">
        <f>SUM(AQ347:AQ351)</f>
        <v>15.323</v>
      </c>
      <c r="AR352" s="374">
        <f t="shared" si="625"/>
        <v>11.59</v>
      </c>
      <c r="AS352" s="308">
        <f t="shared" si="625"/>
        <v>48.836000000000013</v>
      </c>
      <c r="AT352" s="340">
        <f t="shared" si="625"/>
        <v>141.393</v>
      </c>
      <c r="AU352" s="352">
        <f t="shared" si="625"/>
        <v>72.954999999999998</v>
      </c>
      <c r="AV352" s="374">
        <f>SUM(AV347:AV351)</f>
        <v>22.488</v>
      </c>
      <c r="AW352" s="374">
        <f t="shared" si="625"/>
        <v>11.592000000000001</v>
      </c>
      <c r="AX352" s="308">
        <f>SUM(AX347:AX351)</f>
        <v>57.619</v>
      </c>
      <c r="AY352" s="340">
        <f>SUM(AY347:AY351)</f>
        <v>164.214</v>
      </c>
      <c r="AZ352" s="307"/>
      <c r="BA352" s="308"/>
      <c r="BB352" s="308"/>
      <c r="BC352" s="308"/>
      <c r="BD352" s="306"/>
      <c r="BE352" s="307"/>
      <c r="BF352" s="308"/>
      <c r="BG352" s="308"/>
      <c r="BH352" s="308"/>
      <c r="BI352" s="306"/>
      <c r="BJ352" s="307"/>
      <c r="BK352" s="308"/>
      <c r="BL352" s="308"/>
      <c r="BM352" s="308"/>
      <c r="BN352" s="306"/>
      <c r="BO352" s="307"/>
      <c r="BP352" s="308"/>
      <c r="BQ352" s="308"/>
      <c r="BR352" s="308"/>
      <c r="BS352" s="306"/>
      <c r="BT352" s="307"/>
      <c r="BU352" s="308"/>
      <c r="BV352" s="308"/>
      <c r="BW352" s="308"/>
      <c r="BX352" s="306"/>
      <c r="BY352" s="307"/>
      <c r="BZ352" s="308"/>
      <c r="CA352" s="308"/>
      <c r="CB352" s="308"/>
      <c r="CC352" s="306"/>
      <c r="CD352" s="307"/>
      <c r="CE352" s="308"/>
      <c r="CF352" s="308"/>
      <c r="CG352" s="308"/>
      <c r="CH352" s="306"/>
      <c r="CI352" s="307"/>
      <c r="CJ352" s="308"/>
      <c r="CK352" s="308"/>
      <c r="CL352" s="308"/>
      <c r="CM352" s="306"/>
      <c r="CN352" s="307"/>
      <c r="CO352" s="308"/>
      <c r="CP352" s="308"/>
      <c r="CQ352" s="308"/>
      <c r="CR352" s="306"/>
      <c r="CS352" s="307"/>
      <c r="CT352" s="308"/>
      <c r="CU352" s="308"/>
      <c r="CV352" s="308"/>
      <c r="CW352" s="306"/>
      <c r="CX352" s="307"/>
      <c r="CY352" s="308"/>
      <c r="CZ352" s="308"/>
      <c r="DA352" s="308"/>
      <c r="DB352" s="306"/>
      <c r="DC352" s="308"/>
      <c r="DD352" s="308"/>
      <c r="DE352" s="308"/>
      <c r="DF352" s="308"/>
      <c r="DG352" s="308"/>
      <c r="DH352" s="308"/>
      <c r="DI352" s="308"/>
      <c r="DJ352" s="308"/>
      <c r="DK352" s="416"/>
      <c r="DL352" s="416"/>
      <c r="DM352" s="9"/>
    </row>
    <row r="353" spans="1:117" outlineLevel="1">
      <c r="A353" s="107" t="s">
        <v>652</v>
      </c>
      <c r="B353" s="321"/>
      <c r="C353" s="322"/>
      <c r="D353" s="322"/>
      <c r="E353" s="322"/>
      <c r="F353" s="327"/>
      <c r="G353" s="302">
        <f>G352/B352-1</f>
        <v>-3.4992584877678756E-2</v>
      </c>
      <c r="H353" s="149">
        <f>H352/C352-1</f>
        <v>-4.1073203047364837E-3</v>
      </c>
      <c r="I353" s="149">
        <f>I352/D352-1</f>
        <v>2.9794928697653322E-2</v>
      </c>
      <c r="J353" s="149">
        <f>J352/E352-1</f>
        <v>-9.8597648312848118E-3</v>
      </c>
      <c r="K353" s="309">
        <f>K352/F352-1</f>
        <v>-1.5189898372581445E-2</v>
      </c>
      <c r="L353" s="302">
        <f t="shared" ref="L353:AC353" si="626">L352/G352-1</f>
        <v>-0.13027615494709188</v>
      </c>
      <c r="M353" s="149">
        <f t="shared" si="626"/>
        <v>-4.1275859775161461E-2</v>
      </c>
      <c r="N353" s="149">
        <f t="shared" si="626"/>
        <v>-0.22344161545215091</v>
      </c>
      <c r="O353" s="149">
        <f t="shared" si="626"/>
        <v>-5.8469301934398477E-2</v>
      </c>
      <c r="P353" s="309">
        <f t="shared" si="626"/>
        <v>-0.10720362733715016</v>
      </c>
      <c r="Q353" s="302">
        <f t="shared" si="626"/>
        <v>6.2546366861351066E-2</v>
      </c>
      <c r="R353" s="149">
        <f t="shared" si="626"/>
        <v>-0.15045967042497821</v>
      </c>
      <c r="S353" s="149">
        <f t="shared" si="626"/>
        <v>-0.13448789763091651</v>
      </c>
      <c r="T353" s="149">
        <f t="shared" si="626"/>
        <v>8.4324865115947834E-3</v>
      </c>
      <c r="U353" s="150">
        <f t="shared" si="626"/>
        <v>-1.0342218111494161E-2</v>
      </c>
      <c r="V353" s="302">
        <f t="shared" si="626"/>
        <v>2.6493513088074794E-2</v>
      </c>
      <c r="W353" s="149">
        <f t="shared" si="626"/>
        <v>-9.9477295001633603E-2</v>
      </c>
      <c r="X353" s="149">
        <f t="shared" si="626"/>
        <v>-0.16785417408858794</v>
      </c>
      <c r="Y353" s="149">
        <f t="shared" si="626"/>
        <v>2.4643021649009667E-2</v>
      </c>
      <c r="Z353" s="150">
        <f t="shared" si="626"/>
        <v>-1.0110450297366014E-2</v>
      </c>
      <c r="AA353" s="302">
        <f t="shared" si="626"/>
        <v>-8.9771335996339463E-2</v>
      </c>
      <c r="AB353" s="149">
        <f t="shared" si="626"/>
        <v>-4.5347360783603019E-3</v>
      </c>
      <c r="AC353" s="149">
        <f t="shared" si="626"/>
        <v>0.11516232607920074</v>
      </c>
      <c r="AD353" s="149">
        <f t="shared" ref="AD353:AR353" si="627">AD352/Y352-1</f>
        <v>1.1705309749814097E-2</v>
      </c>
      <c r="AE353" s="150">
        <f t="shared" si="627"/>
        <v>-2.8998941435642411E-2</v>
      </c>
      <c r="AF353" s="302">
        <f t="shared" si="627"/>
        <v>0.10746990570908421</v>
      </c>
      <c r="AG353" s="149">
        <f t="shared" si="627"/>
        <v>-7.325072886297368E-2</v>
      </c>
      <c r="AH353" s="149">
        <f t="shared" si="627"/>
        <v>-7.8955787318446324E-2</v>
      </c>
      <c r="AI353" s="149">
        <f t="shared" si="627"/>
        <v>-8.5979423727655102E-2</v>
      </c>
      <c r="AJ353" s="150">
        <f t="shared" si="627"/>
        <v>2.180356753507251E-4</v>
      </c>
      <c r="AK353" s="302">
        <f t="shared" si="627"/>
        <v>-7.2381980567278292E-2</v>
      </c>
      <c r="AL353" s="361">
        <f t="shared" si="627"/>
        <v>-0.14672630751081395</v>
      </c>
      <c r="AM353" s="149">
        <f t="shared" si="627"/>
        <v>-0.20618270232719704</v>
      </c>
      <c r="AN353" s="149">
        <f t="shared" si="627"/>
        <v>-2.7167511171774295E-2</v>
      </c>
      <c r="AO353" s="150">
        <f>AO352/AJ352-1</f>
        <v>-7.8393250615669263E-2</v>
      </c>
      <c r="AP353" s="302">
        <f>AP352/AK352-1</f>
        <v>-0.13183092630799342</v>
      </c>
      <c r="AQ353" s="149">
        <f t="shared" si="627"/>
        <v>-0.11728786220404408</v>
      </c>
      <c r="AR353" s="149">
        <f t="shared" si="627"/>
        <v>1.4264461363437508E-2</v>
      </c>
      <c r="AS353" s="149">
        <f t="shared" ref="AS353:AY353" si="628">AS352/AN352-1</f>
        <v>-6.1387660964827617E-2</v>
      </c>
      <c r="AT353" s="150">
        <f t="shared" si="628"/>
        <v>-9.611450635436114E-2</v>
      </c>
      <c r="AU353" s="302">
        <f t="shared" si="628"/>
        <v>0.11137346901468526</v>
      </c>
      <c r="AV353" s="149">
        <f t="shared" si="628"/>
        <v>0.46759772890426143</v>
      </c>
      <c r="AW353" s="149">
        <f t="shared" si="628"/>
        <v>1.7256255392594788E-4</v>
      </c>
      <c r="AX353" s="149">
        <f t="shared" si="628"/>
        <v>0.17984683430256343</v>
      </c>
      <c r="AY353" s="150">
        <f t="shared" si="628"/>
        <v>0.16140120090810717</v>
      </c>
      <c r="AZ353" s="269"/>
      <c r="BA353" s="188"/>
      <c r="BB353" s="188"/>
      <c r="BC353" s="188"/>
      <c r="BD353" s="150"/>
      <c r="BE353" s="269"/>
      <c r="BF353" s="188"/>
      <c r="BG353" s="188"/>
      <c r="BH353" s="188"/>
      <c r="BI353" s="534"/>
      <c r="BJ353" s="269"/>
      <c r="BK353" s="188"/>
      <c r="BL353" s="188"/>
      <c r="BM353" s="188"/>
      <c r="BN353" s="150"/>
      <c r="BO353" s="269"/>
      <c r="BP353" s="188"/>
      <c r="BQ353" s="188"/>
      <c r="BR353" s="188"/>
      <c r="BS353" s="150"/>
      <c r="BT353" s="269"/>
      <c r="BU353" s="188"/>
      <c r="BV353" s="188"/>
      <c r="BW353" s="188"/>
      <c r="BX353" s="150"/>
      <c r="BY353" s="269"/>
      <c r="BZ353" s="188"/>
      <c r="CA353" s="188"/>
      <c r="CB353" s="188"/>
      <c r="CC353" s="150"/>
      <c r="CD353" s="269"/>
      <c r="CE353" s="188"/>
      <c r="CF353" s="188"/>
      <c r="CG353" s="188"/>
      <c r="CH353" s="150"/>
      <c r="CI353" s="269"/>
      <c r="CJ353" s="188"/>
      <c r="CK353" s="188"/>
      <c r="CL353" s="188"/>
      <c r="CM353" s="150"/>
      <c r="CN353" s="269"/>
      <c r="CO353" s="188"/>
      <c r="CP353" s="188"/>
      <c r="CQ353" s="188"/>
      <c r="CR353" s="150"/>
      <c r="CS353" s="269"/>
      <c r="CT353" s="188"/>
      <c r="CU353" s="188"/>
      <c r="CV353" s="188"/>
      <c r="CW353" s="150"/>
      <c r="CX353" s="269"/>
      <c r="CY353" s="188"/>
      <c r="CZ353" s="188"/>
      <c r="DA353" s="188"/>
      <c r="DB353" s="150"/>
      <c r="DC353" s="149"/>
      <c r="DD353" s="149"/>
      <c r="DE353" s="149"/>
      <c r="DF353" s="149"/>
      <c r="DG353" s="149"/>
      <c r="DH353" s="149"/>
      <c r="DI353" s="149"/>
      <c r="DJ353" s="149"/>
      <c r="DK353" s="400"/>
      <c r="DL353" s="400"/>
      <c r="DM353" s="108"/>
    </row>
    <row r="354" spans="1:117" outlineLevel="1">
      <c r="A354" s="34" t="s">
        <v>713</v>
      </c>
      <c r="B354" s="330">
        <f>121.574-C354</f>
        <v>67.391999999999996</v>
      </c>
      <c r="C354" s="277">
        <v>54.182000000000002</v>
      </c>
      <c r="D354" s="277">
        <v>55.491999999999997</v>
      </c>
      <c r="E354" s="308">
        <f t="shared" si="618"/>
        <v>62.847999999999985</v>
      </c>
      <c r="F354" s="281">
        <v>239.91399999999999</v>
      </c>
      <c r="G354" s="279">
        <v>69.171999999999997</v>
      </c>
      <c r="H354" s="277">
        <v>58.418999999999997</v>
      </c>
      <c r="I354" s="277">
        <v>57.106999999999999</v>
      </c>
      <c r="J354" s="308">
        <f t="shared" si="619"/>
        <v>67.482000000000028</v>
      </c>
      <c r="K354" s="281">
        <v>252.18</v>
      </c>
      <c r="L354" s="279">
        <v>56.96</v>
      </c>
      <c r="M354" s="277">
        <v>46.552999999999997</v>
      </c>
      <c r="N354" s="277">
        <v>46.506</v>
      </c>
      <c r="O354" s="308">
        <f t="shared" si="620"/>
        <v>50.808999999999997</v>
      </c>
      <c r="P354" s="281">
        <v>200.828</v>
      </c>
      <c r="Q354" s="279">
        <v>57.609000000000002</v>
      </c>
      <c r="R354" s="277">
        <v>43.122999999999998</v>
      </c>
      <c r="S354" s="277">
        <v>47.953000000000003</v>
      </c>
      <c r="T354" s="308">
        <f t="shared" si="621"/>
        <v>55.364000000000004</v>
      </c>
      <c r="U354" s="281">
        <v>204.04900000000001</v>
      </c>
      <c r="V354" s="279">
        <v>62.116</v>
      </c>
      <c r="W354" s="277">
        <v>47.118000000000002</v>
      </c>
      <c r="X354" s="277">
        <v>50.344000000000001</v>
      </c>
      <c r="Y354" s="308">
        <f t="shared" si="622"/>
        <v>59.819999999999993</v>
      </c>
      <c r="Z354" s="280">
        <v>219.398</v>
      </c>
      <c r="AA354" s="279">
        <v>55.963999999999999</v>
      </c>
      <c r="AB354" s="277">
        <v>47.432000000000002</v>
      </c>
      <c r="AC354" s="277">
        <v>43.366</v>
      </c>
      <c r="AD354" s="308">
        <f>AE354-SUM(AA354:AC354)</f>
        <v>55.19</v>
      </c>
      <c r="AE354" s="280">
        <v>201.952</v>
      </c>
      <c r="AF354" s="279">
        <v>62.2</v>
      </c>
      <c r="AG354" s="277">
        <v>48.154000000000003</v>
      </c>
      <c r="AH354" s="277">
        <v>42.765999999999998</v>
      </c>
      <c r="AI354" s="308">
        <f>AJ354-SUM(AF354:AH354)</f>
        <v>52.572000000000003</v>
      </c>
      <c r="AJ354" s="280">
        <v>205.69200000000001</v>
      </c>
      <c r="AK354" s="279">
        <v>62.448999999999998</v>
      </c>
      <c r="AL354" s="277">
        <v>46.433</v>
      </c>
      <c r="AM354" s="277">
        <v>44.3</v>
      </c>
      <c r="AN354" s="277">
        <v>50.5</v>
      </c>
      <c r="AO354" s="306">
        <f>SUM(AK354:AN354)</f>
        <v>203.68200000000002</v>
      </c>
      <c r="AP354" s="279">
        <v>57.531999999999996</v>
      </c>
      <c r="AQ354" s="277">
        <v>45.8</v>
      </c>
      <c r="AR354" s="277">
        <v>45.792000000000002</v>
      </c>
      <c r="AS354" s="277">
        <v>50.2</v>
      </c>
      <c r="AT354" s="306">
        <f>SUM(AP354:AS354)</f>
        <v>199.32400000000001</v>
      </c>
      <c r="AU354" s="279">
        <v>58.7</v>
      </c>
      <c r="AV354" s="277">
        <v>49.8</v>
      </c>
      <c r="AW354" s="277">
        <v>43.1</v>
      </c>
      <c r="AX354" s="277">
        <v>54.3</v>
      </c>
      <c r="AY354" s="306">
        <f>SUM(AU354:AX354)</f>
        <v>205.89999999999998</v>
      </c>
      <c r="AZ354" s="307"/>
      <c r="BA354" s="308"/>
      <c r="BB354" s="308"/>
      <c r="BC354" s="308"/>
      <c r="BD354" s="306"/>
      <c r="BE354" s="307"/>
      <c r="BF354" s="308"/>
      <c r="BG354" s="308"/>
      <c r="BH354" s="308"/>
      <c r="BI354" s="306"/>
      <c r="BJ354" s="307"/>
      <c r="BK354" s="308"/>
      <c r="BL354" s="308"/>
      <c r="BM354" s="308"/>
      <c r="BN354" s="306"/>
      <c r="BO354" s="307"/>
      <c r="BP354" s="308"/>
      <c r="BQ354" s="308"/>
      <c r="BR354" s="308"/>
      <c r="BS354" s="306"/>
      <c r="BT354" s="307"/>
      <c r="BU354" s="308"/>
      <c r="BV354" s="308"/>
      <c r="BW354" s="308"/>
      <c r="BX354" s="306"/>
      <c r="BY354" s="307"/>
      <c r="BZ354" s="308"/>
      <c r="CA354" s="308"/>
      <c r="CB354" s="308"/>
      <c r="CC354" s="306"/>
      <c r="CD354" s="307"/>
      <c r="CE354" s="308"/>
      <c r="CF354" s="308"/>
      <c r="CG354" s="308"/>
      <c r="CH354" s="306"/>
      <c r="CI354" s="307"/>
      <c r="CJ354" s="308"/>
      <c r="CK354" s="308"/>
      <c r="CL354" s="308"/>
      <c r="CM354" s="306"/>
      <c r="CN354" s="307"/>
      <c r="CO354" s="308"/>
      <c r="CP354" s="308"/>
      <c r="CQ354" s="308"/>
      <c r="CR354" s="306"/>
      <c r="CS354" s="307"/>
      <c r="CT354" s="308"/>
      <c r="CU354" s="308"/>
      <c r="CV354" s="308"/>
      <c r="CW354" s="306"/>
      <c r="CX354" s="307"/>
      <c r="CY354" s="308"/>
      <c r="CZ354" s="308"/>
      <c r="DA354" s="308"/>
      <c r="DB354" s="306"/>
      <c r="DC354" s="308"/>
      <c r="DD354" s="308"/>
      <c r="DE354" s="308"/>
      <c r="DF354" s="308"/>
      <c r="DG354" s="308"/>
      <c r="DH354" s="308"/>
      <c r="DI354" s="308"/>
      <c r="DJ354" s="308"/>
      <c r="DK354" s="416"/>
      <c r="DL354" s="416"/>
      <c r="DM354" s="9"/>
    </row>
    <row r="355" spans="1:117" outlineLevel="1">
      <c r="A355" s="107" t="s">
        <v>652</v>
      </c>
      <c r="B355" s="321"/>
      <c r="C355" s="322"/>
      <c r="D355" s="322"/>
      <c r="E355" s="322"/>
      <c r="F355" s="327"/>
      <c r="G355" s="302">
        <f t="shared" ref="G355:AF355" si="629">G354/B354-1</f>
        <v>2.6412630579297325E-2</v>
      </c>
      <c r="H355" s="149">
        <f t="shared" si="629"/>
        <v>7.8199402015429298E-2</v>
      </c>
      <c r="I355" s="149">
        <f t="shared" si="629"/>
        <v>2.9103294168528748E-2</v>
      </c>
      <c r="J355" s="149">
        <f t="shared" si="629"/>
        <v>7.3733452138493583E-2</v>
      </c>
      <c r="K355" s="309">
        <f t="shared" si="629"/>
        <v>5.1126653717582293E-2</v>
      </c>
      <c r="L355" s="302">
        <f t="shared" si="629"/>
        <v>-0.17654542300352738</v>
      </c>
      <c r="M355" s="149">
        <f t="shared" si="629"/>
        <v>-0.20311884831989591</v>
      </c>
      <c r="N355" s="149">
        <f t="shared" si="629"/>
        <v>-0.18563398532579189</v>
      </c>
      <c r="O355" s="149">
        <f t="shared" si="629"/>
        <v>-0.24707329361903951</v>
      </c>
      <c r="P355" s="309">
        <f t="shared" si="629"/>
        <v>-0.20363232611626614</v>
      </c>
      <c r="Q355" s="302">
        <f t="shared" si="629"/>
        <v>1.1393960674157322E-2</v>
      </c>
      <c r="R355" s="149">
        <f t="shared" si="629"/>
        <v>-7.3679462118445671E-2</v>
      </c>
      <c r="S355" s="149">
        <f t="shared" si="629"/>
        <v>3.1114264826044069E-2</v>
      </c>
      <c r="T355" s="149">
        <f t="shared" si="629"/>
        <v>8.9649471550315996E-2</v>
      </c>
      <c r="U355" s="309">
        <f t="shared" si="629"/>
        <v>1.6038600195191988E-2</v>
      </c>
      <c r="V355" s="302">
        <f t="shared" si="629"/>
        <v>7.8234303667829685E-2</v>
      </c>
      <c r="W355" s="149">
        <f t="shared" si="629"/>
        <v>9.2641977598961311E-2</v>
      </c>
      <c r="X355" s="149">
        <f t="shared" si="629"/>
        <v>4.9861322544991982E-2</v>
      </c>
      <c r="Y355" s="149">
        <f t="shared" si="629"/>
        <v>8.0485514052452745E-2</v>
      </c>
      <c r="Z355" s="150">
        <f t="shared" si="629"/>
        <v>7.5222128018270107E-2</v>
      </c>
      <c r="AA355" s="302">
        <f t="shared" si="629"/>
        <v>-9.9040504861871326E-2</v>
      </c>
      <c r="AB355" s="149">
        <f t="shared" si="629"/>
        <v>6.6641198692642956E-3</v>
      </c>
      <c r="AC355" s="149">
        <f t="shared" si="629"/>
        <v>-0.13860638805021452</v>
      </c>
      <c r="AD355" s="149">
        <f t="shared" si="629"/>
        <v>-7.7398863256435857E-2</v>
      </c>
      <c r="AE355" s="150">
        <f t="shared" si="629"/>
        <v>-7.9517589039097891E-2</v>
      </c>
      <c r="AF355" s="302">
        <f t="shared" si="629"/>
        <v>0.11142877564148379</v>
      </c>
      <c r="AG355" s="149">
        <f t="shared" ref="AG355:AR355" si="630">AG354/AB354-1</f>
        <v>1.5221791195817236E-2</v>
      </c>
      <c r="AH355" s="149">
        <f t="shared" si="630"/>
        <v>-1.3835723838952152E-2</v>
      </c>
      <c r="AI355" s="149">
        <f t="shared" si="630"/>
        <v>-4.7436129733647303E-2</v>
      </c>
      <c r="AJ355" s="150">
        <f t="shared" si="630"/>
        <v>1.8519252099508776E-2</v>
      </c>
      <c r="AK355" s="302">
        <f t="shared" si="630"/>
        <v>4.0032154340834403E-3</v>
      </c>
      <c r="AL355" s="361">
        <f t="shared" si="630"/>
        <v>-3.5739502429704806E-2</v>
      </c>
      <c r="AM355" s="149">
        <f t="shared" si="630"/>
        <v>3.5869616050133279E-2</v>
      </c>
      <c r="AN355" s="149">
        <f t="shared" si="630"/>
        <v>-3.9412615080270941E-2</v>
      </c>
      <c r="AO355" s="150">
        <f>AO354/AJ354-1</f>
        <v>-9.7718919549617533E-3</v>
      </c>
      <c r="AP355" s="302">
        <f>AP354/AK354-1</f>
        <v>-7.8736248779003648E-2</v>
      </c>
      <c r="AQ355" s="149">
        <f t="shared" si="630"/>
        <v>-1.3632545818706543E-2</v>
      </c>
      <c r="AR355" s="149">
        <f t="shared" si="630"/>
        <v>3.3679458239277649E-2</v>
      </c>
      <c r="AS355" s="149">
        <f t="shared" ref="AS355:AY355" si="631">AS354/AN354-1</f>
        <v>-5.9405940594058348E-3</v>
      </c>
      <c r="AT355" s="150">
        <f t="shared" si="631"/>
        <v>-2.1396097838787931E-2</v>
      </c>
      <c r="AU355" s="302">
        <f t="shared" si="631"/>
        <v>2.0301745115761882E-2</v>
      </c>
      <c r="AV355" s="149">
        <f t="shared" si="631"/>
        <v>8.7336244541484698E-2</v>
      </c>
      <c r="AW355" s="149">
        <f t="shared" si="631"/>
        <v>-5.8787561146051659E-2</v>
      </c>
      <c r="AX355" s="149">
        <f t="shared" si="631"/>
        <v>8.1673306772908294E-2</v>
      </c>
      <c r="AY355" s="150">
        <f t="shared" si="631"/>
        <v>3.2991511308221533E-2</v>
      </c>
      <c r="AZ355" s="269"/>
      <c r="BA355" s="188"/>
      <c r="BB355" s="188"/>
      <c r="BC355" s="188"/>
      <c r="BD355" s="150"/>
      <c r="BE355" s="269"/>
      <c r="BF355" s="188"/>
      <c r="BG355" s="188"/>
      <c r="BH355" s="188"/>
      <c r="BI355" s="534"/>
      <c r="BJ355" s="269"/>
      <c r="BK355" s="188"/>
      <c r="BL355" s="188"/>
      <c r="BM355" s="188"/>
      <c r="BN355" s="150"/>
      <c r="BO355" s="269"/>
      <c r="BP355" s="188"/>
      <c r="BQ355" s="188"/>
      <c r="BR355" s="188"/>
      <c r="BS355" s="150"/>
      <c r="BT355" s="269"/>
      <c r="BU355" s="188"/>
      <c r="BV355" s="188"/>
      <c r="BW355" s="188"/>
      <c r="BX355" s="150"/>
      <c r="BY355" s="269"/>
      <c r="BZ355" s="188"/>
      <c r="CA355" s="188"/>
      <c r="CB355" s="188"/>
      <c r="CC355" s="150"/>
      <c r="CD355" s="269"/>
      <c r="CE355" s="188"/>
      <c r="CF355" s="188"/>
      <c r="CG355" s="188"/>
      <c r="CH355" s="150"/>
      <c r="CI355" s="269"/>
      <c r="CJ355" s="188"/>
      <c r="CK355" s="188"/>
      <c r="CL355" s="188"/>
      <c r="CM355" s="150"/>
      <c r="CN355" s="269"/>
      <c r="CO355" s="188"/>
      <c r="CP355" s="188"/>
      <c r="CQ355" s="188"/>
      <c r="CR355" s="150"/>
      <c r="CS355" s="269"/>
      <c r="CT355" s="188"/>
      <c r="CU355" s="188"/>
      <c r="CV355" s="188"/>
      <c r="CW355" s="150"/>
      <c r="CX355" s="269"/>
      <c r="CY355" s="188"/>
      <c r="CZ355" s="188"/>
      <c r="DA355" s="188"/>
      <c r="DB355" s="150"/>
      <c r="DC355" s="149"/>
      <c r="DD355" s="149"/>
      <c r="DE355" s="149"/>
      <c r="DF355" s="149"/>
      <c r="DG355" s="149"/>
      <c r="DH355" s="149"/>
      <c r="DI355" s="149"/>
      <c r="DJ355" s="149"/>
      <c r="DK355" s="400"/>
      <c r="DL355" s="400"/>
      <c r="DM355" s="108"/>
    </row>
    <row r="356" spans="1:117" outlineLevel="1">
      <c r="A356" s="36" t="s">
        <v>234</v>
      </c>
      <c r="B356" s="330">
        <f>B352+B354</f>
        <v>155.72499999999999</v>
      </c>
      <c r="C356" s="308">
        <f t="shared" ref="C356:AC356" si="632">C352+C354</f>
        <v>84.372</v>
      </c>
      <c r="D356" s="308">
        <f t="shared" si="632"/>
        <v>79.825000000000003</v>
      </c>
      <c r="E356" s="308">
        <f t="shared" si="632"/>
        <v>122.88999999999999</v>
      </c>
      <c r="F356" s="310">
        <f t="shared" si="632"/>
        <v>442.81200000000001</v>
      </c>
      <c r="G356" s="307">
        <f t="shared" si="632"/>
        <v>154.41399999999999</v>
      </c>
      <c r="H356" s="308">
        <f t="shared" si="632"/>
        <v>88.484999999999999</v>
      </c>
      <c r="I356" s="308">
        <f t="shared" si="632"/>
        <v>82.164999999999992</v>
      </c>
      <c r="J356" s="308">
        <f t="shared" si="632"/>
        <v>126.93200000000002</v>
      </c>
      <c r="K356" s="310">
        <f t="shared" si="632"/>
        <v>451.99599999999998</v>
      </c>
      <c r="L356" s="307">
        <f t="shared" si="632"/>
        <v>131.09700000000001</v>
      </c>
      <c r="M356" s="308">
        <f t="shared" si="632"/>
        <v>75.378</v>
      </c>
      <c r="N356" s="308">
        <f t="shared" si="632"/>
        <v>65.965000000000003</v>
      </c>
      <c r="O356" s="308">
        <f t="shared" si="632"/>
        <v>106.783</v>
      </c>
      <c r="P356" s="310">
        <f t="shared" si="632"/>
        <v>379.22300000000001</v>
      </c>
      <c r="Q356" s="307">
        <f t="shared" si="632"/>
        <v>136.38299999999998</v>
      </c>
      <c r="R356" s="308">
        <f t="shared" si="632"/>
        <v>67.611000000000004</v>
      </c>
      <c r="S356" s="308">
        <f t="shared" si="632"/>
        <v>64.795000000000002</v>
      </c>
      <c r="T356" s="308">
        <f t="shared" si="632"/>
        <v>111.81000000000002</v>
      </c>
      <c r="U356" s="310">
        <f t="shared" si="632"/>
        <v>380.59900000000005</v>
      </c>
      <c r="V356" s="307">
        <f t="shared" si="632"/>
        <v>142.97699999999998</v>
      </c>
      <c r="W356" s="308">
        <f t="shared" si="632"/>
        <v>69.17</v>
      </c>
      <c r="X356" s="308">
        <f t="shared" si="632"/>
        <v>64.359000000000009</v>
      </c>
      <c r="Y356" s="308">
        <f t="shared" si="632"/>
        <v>117.65700000000001</v>
      </c>
      <c r="Z356" s="306">
        <f t="shared" si="632"/>
        <v>394.16300000000001</v>
      </c>
      <c r="AA356" s="307">
        <f t="shared" si="632"/>
        <v>129.56599999999997</v>
      </c>
      <c r="AB356" s="308">
        <f t="shared" si="632"/>
        <v>69.384</v>
      </c>
      <c r="AC356" s="308">
        <f t="shared" si="632"/>
        <v>58.994999999999997</v>
      </c>
      <c r="AD356" s="308">
        <f>AD352+AD354</f>
        <v>113.70400000000001</v>
      </c>
      <c r="AE356" s="306">
        <f>AE352+AE354</f>
        <v>371.649</v>
      </c>
      <c r="AF356" s="307">
        <f>AF352+AF354</f>
        <v>143.71199999999999</v>
      </c>
      <c r="AG356" s="308">
        <f>AG352+AG354</f>
        <v>68.498000000000005</v>
      </c>
      <c r="AH356" s="308">
        <f>AH352+AH354</f>
        <v>57.161000000000001</v>
      </c>
      <c r="AI356" s="308">
        <f t="shared" ref="AI356:AN356" si="633">AI352+AI354</f>
        <v>106.05500000000001</v>
      </c>
      <c r="AJ356" s="306">
        <f t="shared" si="633"/>
        <v>375.42600000000004</v>
      </c>
      <c r="AK356" s="307">
        <f t="shared" si="633"/>
        <v>138.06100000000001</v>
      </c>
      <c r="AL356" s="443">
        <f t="shared" si="633"/>
        <v>63.792000000000002</v>
      </c>
      <c r="AM356" s="308">
        <f t="shared" si="633"/>
        <v>55.726999999999997</v>
      </c>
      <c r="AN356" s="308">
        <f t="shared" si="633"/>
        <v>102.53</v>
      </c>
      <c r="AO356" s="306">
        <f t="shared" ref="AO356:AW356" si="634">AO352+AO354</f>
        <v>360.11</v>
      </c>
      <c r="AP356" s="307">
        <f t="shared" si="634"/>
        <v>123.176</v>
      </c>
      <c r="AQ356" s="308">
        <f t="shared" si="634"/>
        <v>61.122999999999998</v>
      </c>
      <c r="AR356" s="308">
        <f t="shared" si="634"/>
        <v>57.382000000000005</v>
      </c>
      <c r="AS356" s="308">
        <f t="shared" si="634"/>
        <v>99.036000000000016</v>
      </c>
      <c r="AT356" s="306">
        <f t="shared" si="634"/>
        <v>340.71699999999998</v>
      </c>
      <c r="AU356" s="307">
        <f>AU352+AU354</f>
        <v>131.655</v>
      </c>
      <c r="AV356" s="308">
        <f>AV352+AV354</f>
        <v>72.287999999999997</v>
      </c>
      <c r="AW356" s="308">
        <f t="shared" si="634"/>
        <v>54.692</v>
      </c>
      <c r="AX356" s="308">
        <f>AX352+AX354</f>
        <v>111.919</v>
      </c>
      <c r="AY356" s="306">
        <f>AY352+AY354</f>
        <v>370.11399999999998</v>
      </c>
      <c r="AZ356" s="307"/>
      <c r="BA356" s="308"/>
      <c r="BB356" s="308"/>
      <c r="BC356" s="308"/>
      <c r="BD356" s="306"/>
      <c r="BE356" s="307"/>
      <c r="BF356" s="308"/>
      <c r="BG356" s="308"/>
      <c r="BH356" s="308"/>
      <c r="BI356" s="306"/>
      <c r="BJ356" s="307"/>
      <c r="BK356" s="308"/>
      <c r="BL356" s="308"/>
      <c r="BM356" s="308"/>
      <c r="BN356" s="306"/>
      <c r="BO356" s="307"/>
      <c r="BP356" s="308"/>
      <c r="BQ356" s="308"/>
      <c r="BR356" s="308"/>
      <c r="BS356" s="306"/>
      <c r="BT356" s="307"/>
      <c r="BU356" s="308"/>
      <c r="BV356" s="308"/>
      <c r="BW356" s="308"/>
      <c r="BX356" s="306"/>
      <c r="BY356" s="307"/>
      <c r="BZ356" s="308"/>
      <c r="CA356" s="308"/>
      <c r="CB356" s="308"/>
      <c r="CC356" s="306"/>
      <c r="CD356" s="307"/>
      <c r="CE356" s="308"/>
      <c r="CF356" s="308"/>
      <c r="CG356" s="308"/>
      <c r="CH356" s="306"/>
      <c r="CI356" s="307"/>
      <c r="CJ356" s="308"/>
      <c r="CK356" s="308"/>
      <c r="CL356" s="308"/>
      <c r="CM356" s="306"/>
      <c r="CN356" s="307"/>
      <c r="CO356" s="308"/>
      <c r="CP356" s="308"/>
      <c r="CQ356" s="308"/>
      <c r="CR356" s="306"/>
      <c r="CS356" s="307"/>
      <c r="CT356" s="308"/>
      <c r="CU356" s="308"/>
      <c r="CV356" s="308"/>
      <c r="CW356" s="306"/>
      <c r="CX356" s="307"/>
      <c r="CY356" s="308"/>
      <c r="CZ356" s="308"/>
      <c r="DA356" s="308"/>
      <c r="DB356" s="306"/>
      <c r="DC356" s="308"/>
      <c r="DD356" s="308"/>
      <c r="DE356" s="308"/>
      <c r="DF356" s="308"/>
      <c r="DG356" s="308"/>
      <c r="DH356" s="308"/>
      <c r="DI356" s="308"/>
      <c r="DJ356" s="308"/>
      <c r="DK356" s="416"/>
      <c r="DL356" s="416"/>
      <c r="DM356" s="9"/>
    </row>
    <row r="357" spans="1:117" outlineLevel="1">
      <c r="A357" s="107" t="s">
        <v>652</v>
      </c>
      <c r="B357" s="321"/>
      <c r="C357" s="322"/>
      <c r="D357" s="322"/>
      <c r="E357" s="322"/>
      <c r="F357" s="327"/>
      <c r="G357" s="302">
        <f t="shared" ref="G357:AH357" si="635">G356/B356-1</f>
        <v>-8.4186867876063776E-3</v>
      </c>
      <c r="H357" s="149">
        <f t="shared" si="635"/>
        <v>4.8748399943109089E-2</v>
      </c>
      <c r="I357" s="149">
        <f t="shared" si="635"/>
        <v>2.9314124647666695E-2</v>
      </c>
      <c r="J357" s="149">
        <f t="shared" si="635"/>
        <v>3.2891203515339251E-2</v>
      </c>
      <c r="K357" s="309">
        <f t="shared" si="635"/>
        <v>2.0740178676277976E-2</v>
      </c>
      <c r="L357" s="302">
        <f t="shared" si="635"/>
        <v>-0.15100314738300924</v>
      </c>
      <c r="M357" s="149">
        <f t="shared" si="635"/>
        <v>-0.1481268011527378</v>
      </c>
      <c r="N357" s="149">
        <f t="shared" si="635"/>
        <v>-0.19716424268240729</v>
      </c>
      <c r="O357" s="149">
        <f t="shared" si="635"/>
        <v>-0.15873853716950814</v>
      </c>
      <c r="P357" s="309">
        <f t="shared" si="635"/>
        <v>-0.16100363720032917</v>
      </c>
      <c r="Q357" s="302">
        <f t="shared" si="635"/>
        <v>4.0321288816677514E-2</v>
      </c>
      <c r="R357" s="149">
        <f t="shared" si="635"/>
        <v>-0.10304067499800995</v>
      </c>
      <c r="S357" s="149">
        <f t="shared" si="635"/>
        <v>-1.7736678541650952E-2</v>
      </c>
      <c r="T357" s="149">
        <f t="shared" si="635"/>
        <v>4.7076781884757057E-2</v>
      </c>
      <c r="U357" s="309">
        <f t="shared" si="635"/>
        <v>3.6284719017571909E-3</v>
      </c>
      <c r="V357" s="302">
        <f t="shared" si="635"/>
        <v>4.8349134422911888E-2</v>
      </c>
      <c r="W357" s="149">
        <f t="shared" si="635"/>
        <v>2.3058378074573671E-2</v>
      </c>
      <c r="X357" s="149">
        <f t="shared" si="635"/>
        <v>-6.7289142680760916E-3</v>
      </c>
      <c r="Y357" s="149">
        <f t="shared" si="635"/>
        <v>5.2294070297826512E-2</v>
      </c>
      <c r="Z357" s="150">
        <f t="shared" si="635"/>
        <v>3.5638559218494903E-2</v>
      </c>
      <c r="AA357" s="302">
        <f t="shared" si="635"/>
        <v>-9.3798303223595392E-2</v>
      </c>
      <c r="AB357" s="149">
        <f t="shared" si="635"/>
        <v>3.093826803527433E-3</v>
      </c>
      <c r="AC357" s="149">
        <f t="shared" si="635"/>
        <v>-8.3344986715144898E-2</v>
      </c>
      <c r="AD357" s="149">
        <f t="shared" si="635"/>
        <v>-3.3597660997645717E-2</v>
      </c>
      <c r="AE357" s="150">
        <f t="shared" si="635"/>
        <v>-5.7118501736591276E-2</v>
      </c>
      <c r="AF357" s="302">
        <f t="shared" si="635"/>
        <v>0.1091798774369821</v>
      </c>
      <c r="AG357" s="149">
        <f t="shared" si="635"/>
        <v>-1.2769514585495134E-2</v>
      </c>
      <c r="AH357" s="149">
        <f t="shared" si="635"/>
        <v>-3.108738028646485E-2</v>
      </c>
      <c r="AI357" s="149">
        <f t="shared" ref="AI357:AN357" si="636">AI356/AD356-1</f>
        <v>-6.7271160205445768E-2</v>
      </c>
      <c r="AJ357" s="150">
        <f t="shared" si="636"/>
        <v>1.0162814914072227E-2</v>
      </c>
      <c r="AK357" s="302">
        <f t="shared" si="636"/>
        <v>-3.9321698953462381E-2</v>
      </c>
      <c r="AL357" s="361">
        <f t="shared" si="636"/>
        <v>-6.8702735846302154E-2</v>
      </c>
      <c r="AM357" s="149">
        <f t="shared" si="636"/>
        <v>-2.5087034866429936E-2</v>
      </c>
      <c r="AN357" s="149">
        <f t="shared" si="636"/>
        <v>-3.323747112347375E-2</v>
      </c>
      <c r="AO357" s="150">
        <f t="shared" ref="AO357:AW357" si="637">AO356/AJ356-1</f>
        <v>-4.0796322044823863E-2</v>
      </c>
      <c r="AP357" s="302">
        <f t="shared" si="637"/>
        <v>-0.10781466163507436</v>
      </c>
      <c r="AQ357" s="149">
        <f t="shared" si="637"/>
        <v>-4.1839102081765778E-2</v>
      </c>
      <c r="AR357" s="149">
        <f t="shared" si="637"/>
        <v>2.9698350889156178E-2</v>
      </c>
      <c r="AS357" s="149">
        <f t="shared" si="637"/>
        <v>-3.4077830878767035E-2</v>
      </c>
      <c r="AT357" s="150">
        <f t="shared" si="637"/>
        <v>-5.3852989364361004E-2</v>
      </c>
      <c r="AU357" s="302">
        <f t="shared" si="637"/>
        <v>6.8836461648372982E-2</v>
      </c>
      <c r="AV357" s="149">
        <f t="shared" si="637"/>
        <v>0.18266446345892717</v>
      </c>
      <c r="AW357" s="149">
        <f t="shared" si="637"/>
        <v>-4.6878812171064155E-2</v>
      </c>
      <c r="AX357" s="149">
        <f>AX356/AS356-1</f>
        <v>0.13008400985500201</v>
      </c>
      <c r="AY357" s="150">
        <f>AY356/AT356-1</f>
        <v>8.6279815800209603E-2</v>
      </c>
      <c r="AZ357" s="302"/>
      <c r="BA357" s="149"/>
      <c r="BB357" s="149"/>
      <c r="BC357" s="149"/>
      <c r="BD357" s="150"/>
      <c r="BE357" s="302"/>
      <c r="BF357" s="540"/>
      <c r="BG357" s="149"/>
      <c r="BH357" s="540"/>
      <c r="BI357" s="534"/>
      <c r="BJ357" s="302"/>
      <c r="BK357" s="540"/>
      <c r="BL357" s="149"/>
      <c r="BM357" s="149"/>
      <c r="BN357" s="150"/>
      <c r="BO357" s="302"/>
      <c r="BP357" s="149"/>
      <c r="BQ357" s="149"/>
      <c r="BR357" s="149"/>
      <c r="BS357" s="150"/>
      <c r="BT357" s="302"/>
      <c r="BU357" s="149"/>
      <c r="BV357" s="149"/>
      <c r="BW357" s="149"/>
      <c r="BX357" s="150"/>
      <c r="BY357" s="302"/>
      <c r="BZ357" s="149"/>
      <c r="CA357" s="149"/>
      <c r="CB357" s="149"/>
      <c r="CC357" s="150"/>
      <c r="CD357" s="302"/>
      <c r="CE357" s="149"/>
      <c r="CF357" s="149"/>
      <c r="CG357" s="149"/>
      <c r="CH357" s="150"/>
      <c r="CI357" s="302"/>
      <c r="CJ357" s="149"/>
      <c r="CK357" s="149"/>
      <c r="CL357" s="149"/>
      <c r="CM357" s="150"/>
      <c r="CN357" s="302"/>
      <c r="CO357" s="149"/>
      <c r="CP357" s="149"/>
      <c r="CQ357" s="149"/>
      <c r="CR357" s="150"/>
      <c r="CS357" s="302"/>
      <c r="CT357" s="149"/>
      <c r="CU357" s="149"/>
      <c r="CV357" s="149"/>
      <c r="CW357" s="150"/>
      <c r="CX357" s="302"/>
      <c r="CY357" s="149"/>
      <c r="CZ357" s="149"/>
      <c r="DA357" s="149"/>
      <c r="DB357" s="150"/>
      <c r="DC357" s="149"/>
      <c r="DD357" s="149"/>
      <c r="DE357" s="149"/>
      <c r="DF357" s="149"/>
      <c r="DG357" s="149"/>
      <c r="DH357" s="149"/>
      <c r="DI357" s="149"/>
      <c r="DJ357" s="149"/>
      <c r="DK357" s="400"/>
      <c r="DL357" s="400"/>
      <c r="DM357" s="108"/>
    </row>
    <row r="358" spans="1:117" outlineLevel="1">
      <c r="A358" s="107"/>
      <c r="B358" s="321"/>
      <c r="C358" s="322"/>
      <c r="D358" s="322"/>
      <c r="E358" s="322"/>
      <c r="F358" s="327"/>
      <c r="G358" s="269"/>
      <c r="H358" s="188"/>
      <c r="I358" s="188"/>
      <c r="J358" s="188"/>
      <c r="K358" s="282"/>
      <c r="L358" s="269"/>
      <c r="M358" s="188"/>
      <c r="N358" s="188"/>
      <c r="O358" s="188"/>
      <c r="P358" s="282"/>
      <c r="Q358" s="269"/>
      <c r="R358" s="188"/>
      <c r="S358" s="188"/>
      <c r="T358" s="188"/>
      <c r="U358" s="282"/>
      <c r="V358" s="269"/>
      <c r="W358" s="188"/>
      <c r="X358" s="188"/>
      <c r="Y358" s="188"/>
      <c r="Z358" s="189"/>
      <c r="AA358" s="269"/>
      <c r="AB358" s="188"/>
      <c r="AC358" s="188"/>
      <c r="AD358" s="188"/>
      <c r="AE358" s="189"/>
      <c r="AF358" s="269"/>
      <c r="AG358" s="188"/>
      <c r="AH358" s="188"/>
      <c r="AI358" s="188"/>
      <c r="AJ358" s="189"/>
      <c r="AK358" s="269"/>
      <c r="AL358" s="188"/>
      <c r="AM358" s="188"/>
      <c r="AN358" s="188"/>
      <c r="AO358" s="189"/>
      <c r="AP358" s="269"/>
      <c r="AQ358" s="188"/>
      <c r="AR358" s="188"/>
      <c r="AS358" s="188"/>
      <c r="AT358" s="189"/>
      <c r="AU358" s="269"/>
      <c r="AV358" s="188"/>
      <c r="AW358" s="188"/>
      <c r="AX358" s="188"/>
      <c r="AY358" s="189"/>
      <c r="AZ358" s="269"/>
      <c r="BA358" s="188"/>
      <c r="BB358" s="188"/>
      <c r="BC358" s="188"/>
      <c r="BD358" s="189"/>
      <c r="BE358" s="269"/>
      <c r="BF358" s="188"/>
      <c r="BG358" s="188"/>
      <c r="BH358" s="188"/>
      <c r="BI358" s="189"/>
      <c r="BJ358" s="269"/>
      <c r="BK358" s="188"/>
      <c r="BL358" s="188"/>
      <c r="BM358" s="188"/>
      <c r="BN358" s="189"/>
      <c r="BO358" s="269"/>
      <c r="BP358" s="188"/>
      <c r="BQ358" s="188"/>
      <c r="BR358" s="188"/>
      <c r="BS358" s="189"/>
      <c r="BT358" s="269"/>
      <c r="BU358" s="188"/>
      <c r="BV358" s="188"/>
      <c r="BW358" s="188"/>
      <c r="BX358" s="189"/>
      <c r="BY358" s="269"/>
      <c r="BZ358" s="188"/>
      <c r="CA358" s="188"/>
      <c r="CB358" s="188"/>
      <c r="CC358" s="189"/>
      <c r="CD358" s="269"/>
      <c r="CE358" s="188"/>
      <c r="CF358" s="188"/>
      <c r="CG358" s="188"/>
      <c r="CH358" s="189"/>
      <c r="CI358" s="269"/>
      <c r="CJ358" s="188"/>
      <c r="CK358" s="188"/>
      <c r="CL358" s="188"/>
      <c r="CM358" s="189"/>
      <c r="CN358" s="269"/>
      <c r="CO358" s="188"/>
      <c r="CP358" s="188"/>
      <c r="CQ358" s="188"/>
      <c r="CR358" s="189"/>
      <c r="CS358" s="269"/>
      <c r="CT358" s="188"/>
      <c r="CU358" s="188"/>
      <c r="CV358" s="188"/>
      <c r="CW358" s="189"/>
      <c r="CX358" s="269"/>
      <c r="CY358" s="188"/>
      <c r="CZ358" s="188"/>
      <c r="DA358" s="188"/>
      <c r="DB358" s="189"/>
      <c r="DC358" s="188"/>
      <c r="DD358" s="188"/>
      <c r="DE358" s="188"/>
      <c r="DF358" s="188"/>
      <c r="DG358" s="188"/>
      <c r="DH358" s="188"/>
      <c r="DI358" s="188"/>
      <c r="DJ358" s="188"/>
      <c r="DK358" s="417"/>
      <c r="DL358" s="417"/>
      <c r="DM358" s="108"/>
    </row>
    <row r="359" spans="1:117" outlineLevel="1">
      <c r="A359" s="28" t="s">
        <v>260</v>
      </c>
      <c r="B359" s="212"/>
      <c r="C359" s="176"/>
      <c r="D359" s="176"/>
      <c r="E359" s="176"/>
      <c r="F359" s="283"/>
      <c r="G359" s="212"/>
      <c r="H359" s="176"/>
      <c r="I359" s="176"/>
      <c r="J359" s="176"/>
      <c r="K359" s="283"/>
      <c r="L359" s="212"/>
      <c r="M359" s="176"/>
      <c r="N359" s="176"/>
      <c r="O359" s="176"/>
      <c r="P359" s="283"/>
      <c r="Q359" s="212"/>
      <c r="R359" s="176"/>
      <c r="S359" s="176"/>
      <c r="T359" s="176"/>
      <c r="U359" s="283"/>
      <c r="V359" s="212"/>
      <c r="W359" s="176"/>
      <c r="X359" s="176"/>
      <c r="Y359" s="176"/>
      <c r="Z359" s="213"/>
      <c r="AA359" s="212"/>
      <c r="AB359" s="18"/>
      <c r="AC359" s="18"/>
      <c r="AD359" s="176"/>
      <c r="AE359" s="213"/>
      <c r="AF359" s="19"/>
      <c r="AG359" s="18"/>
      <c r="AH359" s="18"/>
      <c r="AI359" s="18"/>
      <c r="AJ359" s="127"/>
      <c r="AK359" s="19"/>
      <c r="AL359" s="18"/>
      <c r="AM359" s="18"/>
      <c r="AN359" s="18"/>
      <c r="AO359" s="127"/>
      <c r="AP359" s="19"/>
      <c r="AQ359" s="18"/>
      <c r="AR359" s="18"/>
      <c r="AS359" s="18"/>
      <c r="AT359" s="127"/>
      <c r="AU359" s="19"/>
      <c r="AV359" s="18"/>
      <c r="AW359" s="18"/>
      <c r="AX359" s="18"/>
      <c r="AY359" s="127"/>
      <c r="AZ359" s="19"/>
      <c r="BA359" s="18"/>
      <c r="BB359" s="18"/>
      <c r="BC359" s="18"/>
      <c r="BD359" s="127"/>
      <c r="BE359" s="19"/>
      <c r="BF359" s="18"/>
      <c r="BG359" s="18"/>
      <c r="BH359" s="18"/>
      <c r="BI359" s="127"/>
      <c r="BJ359" s="19"/>
      <c r="BK359" s="18"/>
      <c r="BL359" s="18"/>
      <c r="BM359" s="18"/>
      <c r="BN359" s="127"/>
      <c r="BO359" s="19"/>
      <c r="BP359" s="18"/>
      <c r="BQ359" s="18"/>
      <c r="BR359" s="18"/>
      <c r="BS359" s="127"/>
      <c r="BT359" s="19"/>
      <c r="BU359" s="18"/>
      <c r="BV359" s="18"/>
      <c r="BW359" s="18"/>
      <c r="BX359" s="127"/>
      <c r="BY359" s="19"/>
      <c r="BZ359" s="18"/>
      <c r="CA359" s="18"/>
      <c r="CB359" s="18"/>
      <c r="CC359" s="127"/>
      <c r="CD359" s="19"/>
      <c r="CE359" s="18"/>
      <c r="CF359" s="18"/>
      <c r="CG359" s="18"/>
      <c r="CH359" s="127"/>
      <c r="CI359" s="19"/>
      <c r="CJ359" s="18"/>
      <c r="CK359" s="18"/>
      <c r="CL359" s="18"/>
      <c r="CM359" s="127"/>
      <c r="CN359" s="19"/>
      <c r="CO359" s="18"/>
      <c r="CP359" s="18"/>
      <c r="CQ359" s="18"/>
      <c r="CR359" s="127"/>
      <c r="CS359" s="19"/>
      <c r="CT359" s="18"/>
      <c r="CU359" s="18"/>
      <c r="CV359" s="18"/>
      <c r="CW359" s="127"/>
      <c r="CX359" s="19"/>
      <c r="CY359" s="18"/>
      <c r="CZ359" s="18"/>
      <c r="DA359" s="18"/>
      <c r="DB359" s="127"/>
      <c r="DC359" s="18"/>
      <c r="DD359" s="18"/>
      <c r="DE359" s="18"/>
      <c r="DF359" s="18"/>
      <c r="DG359" s="18"/>
      <c r="DH359" s="18"/>
      <c r="DI359" s="18"/>
      <c r="DJ359" s="18"/>
      <c r="DK359" s="61"/>
      <c r="DL359" s="61"/>
      <c r="DM359" s="9"/>
    </row>
    <row r="360" spans="1:117" outlineLevel="1">
      <c r="A360" s="36" t="s">
        <v>261</v>
      </c>
      <c r="B360" s="146">
        <f>B372/B352</f>
        <v>1.9434639375997642</v>
      </c>
      <c r="C360" s="147">
        <f t="shared" ref="C360:L360" si="638">C372/C352</f>
        <v>2.6964226565087781</v>
      </c>
      <c r="D360" s="147">
        <f t="shared" si="638"/>
        <v>2.7505445280072327</v>
      </c>
      <c r="E360" s="147">
        <f t="shared" si="638"/>
        <v>2.2681955964158425</v>
      </c>
      <c r="F360" s="153">
        <f t="shared" si="638"/>
        <v>2.2483858884759829</v>
      </c>
      <c r="G360" s="146">
        <f>G372/G352</f>
        <v>1.9787663358438328</v>
      </c>
      <c r="H360" s="147">
        <f t="shared" si="638"/>
        <v>2.7688086210337253</v>
      </c>
      <c r="I360" s="147">
        <f t="shared" si="638"/>
        <v>3.274563013807966</v>
      </c>
      <c r="J360" s="147">
        <f t="shared" si="638"/>
        <v>2.4507148864592105</v>
      </c>
      <c r="K360" s="153">
        <f t="shared" si="638"/>
        <v>2.4005585138327263</v>
      </c>
      <c r="L360" s="146">
        <f t="shared" si="638"/>
        <v>2.19633920984124</v>
      </c>
      <c r="M360" s="147">
        <f t="shared" ref="M360:AB360" si="639">M372/M352</f>
        <v>3.3322116218560276</v>
      </c>
      <c r="N360" s="147">
        <f t="shared" si="639"/>
        <v>4.2638881751374678</v>
      </c>
      <c r="O360" s="147">
        <f t="shared" si="639"/>
        <v>2.6449422946367953</v>
      </c>
      <c r="P360" s="153">
        <f t="shared" si="639"/>
        <v>2.7461531993609682</v>
      </c>
      <c r="Q360" s="146">
        <f t="shared" si="639"/>
        <v>2.4564957981059741</v>
      </c>
      <c r="R360" s="147">
        <f t="shared" si="639"/>
        <v>4.2678046390068589</v>
      </c>
      <c r="S360" s="147">
        <f t="shared" si="639"/>
        <v>5.4617622610141314</v>
      </c>
      <c r="T360" s="147">
        <f t="shared" si="639"/>
        <v>2.7919604577826584</v>
      </c>
      <c r="U360" s="153">
        <f t="shared" si="639"/>
        <v>3.1016709147550268</v>
      </c>
      <c r="V360" s="146">
        <f t="shared" si="639"/>
        <v>2.3997477152149989</v>
      </c>
      <c r="W360" s="147">
        <f t="shared" si="639"/>
        <v>4.7974786867404324</v>
      </c>
      <c r="X360" s="147">
        <f t="shared" si="639"/>
        <v>6.8474491616125572</v>
      </c>
      <c r="Y360" s="147">
        <f t="shared" si="639"/>
        <v>2.705759289036429</v>
      </c>
      <c r="Z360" s="148">
        <f t="shared" si="639"/>
        <v>3.1602437559007801</v>
      </c>
      <c r="AA360" s="146">
        <f t="shared" si="639"/>
        <v>2.6643297736474558</v>
      </c>
      <c r="AB360" s="147">
        <f t="shared" si="639"/>
        <v>4.9608236151603498</v>
      </c>
      <c r="AC360" s="147">
        <f t="shared" ref="AC360:AH360" si="640">AC372/AC352</f>
        <v>6.4111587433616997</v>
      </c>
      <c r="AD360" s="147">
        <f t="shared" si="640"/>
        <v>3.088149844481662</v>
      </c>
      <c r="AE360" s="148">
        <f t="shared" si="640"/>
        <v>3.4526243834599315</v>
      </c>
      <c r="AF360" s="146">
        <f t="shared" si="640"/>
        <v>2.4990185494160366</v>
      </c>
      <c r="AG360" s="147">
        <f t="shared" si="640"/>
        <v>6.3900904443570585</v>
      </c>
      <c r="AH360" s="147">
        <f t="shared" si="640"/>
        <v>8.3362278568947517</v>
      </c>
      <c r="AI360" s="147">
        <f t="shared" ref="AI360:AO360" si="641">AI372/AI352</f>
        <v>3.201017145635062</v>
      </c>
      <c r="AJ360" s="148">
        <f t="shared" si="641"/>
        <v>3.6816430414648806</v>
      </c>
      <c r="AK360" s="146">
        <f t="shared" si="641"/>
        <v>2.6993069883087335</v>
      </c>
      <c r="AL360" s="147">
        <f t="shared" si="641"/>
        <v>7.5177141540411307</v>
      </c>
      <c r="AM360" s="147">
        <f t="shared" si="641"/>
        <v>10.448936728800209</v>
      </c>
      <c r="AN360" s="147">
        <f t="shared" si="641"/>
        <v>3.2481260811070527</v>
      </c>
      <c r="AO360" s="148">
        <f t="shared" si="641"/>
        <v>3.982662950366942</v>
      </c>
      <c r="AP360" s="146">
        <f t="shared" ref="AP360:AU360" si="642">AP372/AP352</f>
        <v>3.061970629455852</v>
      </c>
      <c r="AQ360" s="147">
        <f t="shared" si="642"/>
        <v>8.5231351563009845</v>
      </c>
      <c r="AR360" s="147">
        <f t="shared" si="642"/>
        <v>10.647109577221743</v>
      </c>
      <c r="AS360" s="147">
        <f t="shared" si="642"/>
        <v>3.6202801212220486</v>
      </c>
      <c r="AT360" s="148">
        <f t="shared" si="642"/>
        <v>4.4683965967197805</v>
      </c>
      <c r="AU360" s="146">
        <f t="shared" si="642"/>
        <v>2.9333150572270577</v>
      </c>
      <c r="AV360" s="147">
        <f>AV372/AV352</f>
        <v>6.5635005336179297</v>
      </c>
      <c r="AW360" s="147">
        <f>AW372/AW352</f>
        <v>11.361283643892339</v>
      </c>
      <c r="AX360" s="147">
        <f>AX372/AX352</f>
        <v>3.2680192297679587</v>
      </c>
      <c r="AY360" s="148">
        <f>AY372/AY352</f>
        <v>4.1506814278928719</v>
      </c>
      <c r="AZ360" s="147"/>
      <c r="BA360" s="147"/>
      <c r="BB360" s="147"/>
      <c r="BC360" s="147"/>
      <c r="BD360" s="148"/>
      <c r="BE360" s="147"/>
      <c r="BF360" s="147"/>
      <c r="BG360" s="147"/>
      <c r="BH360" s="147"/>
      <c r="BI360" s="148"/>
      <c r="BJ360" s="147"/>
      <c r="BK360" s="147"/>
      <c r="BL360" s="147"/>
      <c r="BM360" s="147"/>
      <c r="BN360" s="148"/>
      <c r="BO360" s="147"/>
      <c r="BP360" s="147"/>
      <c r="BQ360" s="147"/>
      <c r="BR360" s="147"/>
      <c r="BS360" s="148"/>
      <c r="BT360" s="147"/>
      <c r="BU360" s="147"/>
      <c r="BV360" s="147"/>
      <c r="BW360" s="147"/>
      <c r="BX360" s="148"/>
      <c r="BY360" s="147"/>
      <c r="BZ360" s="147"/>
      <c r="CA360" s="147"/>
      <c r="CB360" s="147"/>
      <c r="CC360" s="148"/>
      <c r="CD360" s="147"/>
      <c r="CE360" s="147"/>
      <c r="CF360" s="147"/>
      <c r="CG360" s="147"/>
      <c r="CH360" s="148"/>
      <c r="CI360" s="147"/>
      <c r="CJ360" s="147"/>
      <c r="CK360" s="147"/>
      <c r="CL360" s="147"/>
      <c r="CM360" s="148"/>
      <c r="CN360" s="147"/>
      <c r="CO360" s="147"/>
      <c r="CP360" s="147"/>
      <c r="CQ360" s="147"/>
      <c r="CR360" s="148"/>
      <c r="CS360" s="147"/>
      <c r="CT360" s="147"/>
      <c r="CU360" s="147"/>
      <c r="CV360" s="147"/>
      <c r="CW360" s="148"/>
      <c r="CX360" s="147"/>
      <c r="CY360" s="147"/>
      <c r="CZ360" s="147"/>
      <c r="DA360" s="147"/>
      <c r="DB360" s="148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9"/>
    </row>
    <row r="361" spans="1:117" outlineLevel="1">
      <c r="A361" s="107" t="s">
        <v>652</v>
      </c>
      <c r="B361" s="321"/>
      <c r="C361" s="322"/>
      <c r="D361" s="322"/>
      <c r="E361" s="322"/>
      <c r="F361" s="327"/>
      <c r="G361" s="302">
        <f t="shared" ref="G361:AC361" si="643">G360/B360-1</f>
        <v>1.8164678829939218E-2</v>
      </c>
      <c r="H361" s="149">
        <f t="shared" si="643"/>
        <v>2.6845184804473288E-2</v>
      </c>
      <c r="I361" s="149">
        <f t="shared" si="643"/>
        <v>0.19051445285286261</v>
      </c>
      <c r="J361" s="149">
        <f t="shared" si="643"/>
        <v>8.0468937657661277E-2</v>
      </c>
      <c r="K361" s="309">
        <f t="shared" si="643"/>
        <v>6.7680831007123077E-2</v>
      </c>
      <c r="L361" s="302">
        <f t="shared" si="643"/>
        <v>0.10995379800850746</v>
      </c>
      <c r="M361" s="149">
        <f t="shared" si="643"/>
        <v>0.20348210293131697</v>
      </c>
      <c r="N361" s="149">
        <f t="shared" si="643"/>
        <v>0.30212433144751816</v>
      </c>
      <c r="O361" s="149">
        <f t="shared" si="643"/>
        <v>7.9253367762499805E-2</v>
      </c>
      <c r="P361" s="309">
        <f t="shared" si="643"/>
        <v>0.14396428311862564</v>
      </c>
      <c r="Q361" s="302">
        <f t="shared" si="643"/>
        <v>0.11845009509416315</v>
      </c>
      <c r="R361" s="149">
        <f t="shared" si="643"/>
        <v>0.28077238882856737</v>
      </c>
      <c r="S361" s="149">
        <f t="shared" si="643"/>
        <v>0.28093468605987648</v>
      </c>
      <c r="T361" s="149">
        <f t="shared" si="643"/>
        <v>5.5584639197601815E-2</v>
      </c>
      <c r="U361" s="309">
        <f t="shared" si="643"/>
        <v>0.12946026298779967</v>
      </c>
      <c r="V361" s="302">
        <f t="shared" si="643"/>
        <v>-2.3101233445923075E-2</v>
      </c>
      <c r="W361" s="149">
        <f t="shared" si="643"/>
        <v>0.12410925347717683</v>
      </c>
      <c r="X361" s="149">
        <f t="shared" si="643"/>
        <v>0.2537069235857099</v>
      </c>
      <c r="Y361" s="149">
        <f t="shared" si="643"/>
        <v>-3.0874781376627802E-2</v>
      </c>
      <c r="Z361" s="150">
        <f t="shared" si="643"/>
        <v>1.888428616560045E-2</v>
      </c>
      <c r="AA361" s="302">
        <f t="shared" si="643"/>
        <v>0.11025411411163799</v>
      </c>
      <c r="AB361" s="149">
        <f t="shared" si="643"/>
        <v>3.4048077977163249E-2</v>
      </c>
      <c r="AC361" s="149">
        <f t="shared" si="643"/>
        <v>-6.3715758664809496E-2</v>
      </c>
      <c r="AD361" s="149">
        <f t="shared" ref="AD361:AR361" si="644">AD360/Y360-1</f>
        <v>0.14132467621737677</v>
      </c>
      <c r="AE361" s="150">
        <f t="shared" si="644"/>
        <v>9.2518378372940635E-2</v>
      </c>
      <c r="AF361" s="302">
        <f t="shared" si="644"/>
        <v>-6.2046082232947053E-2</v>
      </c>
      <c r="AG361" s="149">
        <f t="shared" si="644"/>
        <v>0.28811079370547432</v>
      </c>
      <c r="AH361" s="149">
        <f t="shared" si="644"/>
        <v>0.30026851472463134</v>
      </c>
      <c r="AI361" s="149">
        <f t="shared" si="644"/>
        <v>3.6548518315938194E-2</v>
      </c>
      <c r="AJ361" s="150">
        <f t="shared" si="644"/>
        <v>6.6331761746826867E-2</v>
      </c>
      <c r="AK361" s="302">
        <f t="shared" si="644"/>
        <v>8.0146839622098787E-2</v>
      </c>
      <c r="AL361" s="149">
        <f>AL360/AG360-1</f>
        <v>0.17646443653702137</v>
      </c>
      <c r="AM361" s="149">
        <f t="shared" si="644"/>
        <v>0.25343703509232562</v>
      </c>
      <c r="AN361" s="149">
        <f t="shared" si="644"/>
        <v>1.4716864461731705E-2</v>
      </c>
      <c r="AO361" s="150">
        <f>AO360/AJ360-1</f>
        <v>8.1762383129432736E-2</v>
      </c>
      <c r="AP361" s="302">
        <f t="shared" si="644"/>
        <v>0.13435435195696188</v>
      </c>
      <c r="AQ361" s="149">
        <f t="shared" si="644"/>
        <v>0.13374025423930114</v>
      </c>
      <c r="AR361" s="149">
        <f t="shared" si="644"/>
        <v>1.8965838684362302E-2</v>
      </c>
      <c r="AS361" s="149">
        <f t="shared" ref="AS361:AY361" si="645">AS360/AN360-1</f>
        <v>0.11457499826735651</v>
      </c>
      <c r="AT361" s="150">
        <f t="shared" si="645"/>
        <v>0.12196202701714576</v>
      </c>
      <c r="AU361" s="302">
        <f t="shared" si="645"/>
        <v>-4.2017245688492411E-2</v>
      </c>
      <c r="AV361" s="149">
        <f t="shared" si="645"/>
        <v>-0.2299194588313358</v>
      </c>
      <c r="AW361" s="149">
        <f t="shared" si="645"/>
        <v>6.7076802534134616E-2</v>
      </c>
      <c r="AX361" s="149">
        <f t="shared" si="645"/>
        <v>-9.7302109134909109E-2</v>
      </c>
      <c r="AY361" s="150">
        <f t="shared" si="645"/>
        <v>-7.1102723751097052E-2</v>
      </c>
      <c r="AZ361" s="269"/>
      <c r="BA361" s="188"/>
      <c r="BB361" s="188"/>
      <c r="BC361" s="188"/>
      <c r="BD361" s="150"/>
      <c r="BE361" s="269"/>
      <c r="BF361" s="188"/>
      <c r="BG361" s="188"/>
      <c r="BH361" s="188"/>
      <c r="BI361" s="534"/>
      <c r="BJ361" s="269"/>
      <c r="BK361" s="188"/>
      <c r="BL361" s="188"/>
      <c r="BM361" s="188"/>
      <c r="BN361" s="150"/>
      <c r="BO361" s="269"/>
      <c r="BP361" s="188"/>
      <c r="BQ361" s="188"/>
      <c r="BR361" s="188"/>
      <c r="BS361" s="150"/>
      <c r="BT361" s="269"/>
      <c r="BU361" s="188"/>
      <c r="BV361" s="188"/>
      <c r="BW361" s="188"/>
      <c r="BX361" s="150"/>
      <c r="BY361" s="269"/>
      <c r="BZ361" s="188"/>
      <c r="CA361" s="188"/>
      <c r="CB361" s="188"/>
      <c r="CC361" s="150"/>
      <c r="CD361" s="269"/>
      <c r="CE361" s="188"/>
      <c r="CF361" s="188"/>
      <c r="CG361" s="188"/>
      <c r="CH361" s="150"/>
      <c r="CI361" s="269"/>
      <c r="CJ361" s="188"/>
      <c r="CK361" s="188"/>
      <c r="CL361" s="188"/>
      <c r="CM361" s="150"/>
      <c r="CN361" s="269"/>
      <c r="CO361" s="188"/>
      <c r="CP361" s="188"/>
      <c r="CQ361" s="188"/>
      <c r="CR361" s="150"/>
      <c r="CS361" s="269"/>
      <c r="CT361" s="188"/>
      <c r="CU361" s="188"/>
      <c r="CV361" s="188"/>
      <c r="CW361" s="150"/>
      <c r="CX361" s="269"/>
      <c r="CY361" s="188"/>
      <c r="CZ361" s="188"/>
      <c r="DA361" s="188"/>
      <c r="DB361" s="150"/>
      <c r="DC361" s="149"/>
      <c r="DD361" s="149"/>
      <c r="DE361" s="149"/>
      <c r="DF361" s="149"/>
      <c r="DG361" s="149"/>
      <c r="DH361" s="149"/>
      <c r="DI361" s="149"/>
      <c r="DJ361" s="149"/>
      <c r="DK361" s="400"/>
      <c r="DL361" s="400"/>
      <c r="DM361" s="108"/>
    </row>
    <row r="362" spans="1:117" outlineLevel="1">
      <c r="A362" s="36" t="s">
        <v>713</v>
      </c>
      <c r="B362" s="146">
        <f>B374/B354</f>
        <v>0.34624287749287758</v>
      </c>
      <c r="C362" s="147">
        <f t="shared" ref="C362:L362" si="646">C374/C354</f>
        <v>0.29186814809346279</v>
      </c>
      <c r="D362" s="147">
        <f t="shared" si="646"/>
        <v>0.29328551863331648</v>
      </c>
      <c r="E362" s="147">
        <f t="shared" si="646"/>
        <v>0.31665287678207743</v>
      </c>
      <c r="F362" s="153">
        <f t="shared" si="646"/>
        <v>0.31396250323032421</v>
      </c>
      <c r="G362" s="146">
        <f>G374/G354</f>
        <v>0.36276238940611816</v>
      </c>
      <c r="H362" s="147">
        <f t="shared" si="646"/>
        <v>0.27895034149848508</v>
      </c>
      <c r="I362" s="147">
        <f t="shared" si="646"/>
        <v>0.29513019419685854</v>
      </c>
      <c r="J362" s="147">
        <f t="shared" si="646"/>
        <v>0.32402714798020188</v>
      </c>
      <c r="K362" s="153">
        <f t="shared" si="646"/>
        <v>0.31766595289079225</v>
      </c>
      <c r="L362" s="146">
        <f t="shared" si="646"/>
        <v>0.39489115168539324</v>
      </c>
      <c r="M362" s="147">
        <f t="shared" ref="M362:AB362" si="647">M374/M354</f>
        <v>0.34057955448628446</v>
      </c>
      <c r="N362" s="147">
        <f t="shared" si="647"/>
        <v>0.36842557949511889</v>
      </c>
      <c r="O362" s="147">
        <f t="shared" si="647"/>
        <v>0.421539491035053</v>
      </c>
      <c r="P362" s="153">
        <f t="shared" si="647"/>
        <v>0.38291473300535783</v>
      </c>
      <c r="Q362" s="146">
        <f t="shared" si="647"/>
        <v>0.42824905830686177</v>
      </c>
      <c r="R362" s="147">
        <f t="shared" si="647"/>
        <v>0.39480091830345754</v>
      </c>
      <c r="S362" s="147">
        <f t="shared" si="647"/>
        <v>0.35664087752591078</v>
      </c>
      <c r="T362" s="147">
        <f t="shared" si="647"/>
        <v>0.39379380102593725</v>
      </c>
      <c r="U362" s="153">
        <f t="shared" si="647"/>
        <v>0.39500316100544475</v>
      </c>
      <c r="V362" s="146">
        <f t="shared" si="647"/>
        <v>0.43871144310644605</v>
      </c>
      <c r="W362" s="147">
        <f t="shared" si="647"/>
        <v>0.39891336644169956</v>
      </c>
      <c r="X362" s="147">
        <f t="shared" si="647"/>
        <v>0.35944700460829493</v>
      </c>
      <c r="Y362" s="147">
        <f t="shared" si="647"/>
        <v>0.38711133400200598</v>
      </c>
      <c r="Z362" s="148">
        <f t="shared" si="647"/>
        <v>0.39790700006381097</v>
      </c>
      <c r="AA362" s="146">
        <f t="shared" si="647"/>
        <v>0.47351869058680579</v>
      </c>
      <c r="AB362" s="147">
        <f t="shared" si="647"/>
        <v>0.40479001517962554</v>
      </c>
      <c r="AC362" s="147">
        <f t="shared" ref="AC362:AH362" si="648">AC374/AC354</f>
        <v>0.41045980722224784</v>
      </c>
      <c r="AD362" s="147">
        <f t="shared" si="648"/>
        <v>0.43667331038231555</v>
      </c>
      <c r="AE362" s="148">
        <f t="shared" si="648"/>
        <v>0.43376643954999206</v>
      </c>
      <c r="AF362" s="146">
        <f t="shared" si="648"/>
        <v>0.47588424437299037</v>
      </c>
      <c r="AG362" s="147">
        <f t="shared" si="648"/>
        <v>0.38418407608921373</v>
      </c>
      <c r="AH362" s="147">
        <f t="shared" si="648"/>
        <v>0.44427816489734839</v>
      </c>
      <c r="AI362" s="147">
        <f t="shared" ref="AI362:AO362" si="649">AI374/AI354</f>
        <v>0.46412538994141378</v>
      </c>
      <c r="AJ362" s="148">
        <f t="shared" si="649"/>
        <v>0.44483985765124556</v>
      </c>
      <c r="AK362" s="146">
        <f t="shared" si="649"/>
        <v>0.46437893320949897</v>
      </c>
      <c r="AL362" s="147">
        <f t="shared" si="649"/>
        <v>0.40919173863416103</v>
      </c>
      <c r="AM362" s="147">
        <f t="shared" si="649"/>
        <v>0.43566591422121903</v>
      </c>
      <c r="AN362" s="147">
        <f t="shared" si="649"/>
        <v>0.46732673267326735</v>
      </c>
      <c r="AO362" s="148">
        <f t="shared" si="649"/>
        <v>0.44628391315874744</v>
      </c>
      <c r="AP362" s="146">
        <f t="shared" ref="AP362:AU362" si="650">AP374/AP354</f>
        <v>0.46930403949106586</v>
      </c>
      <c r="AQ362" s="147">
        <f t="shared" si="650"/>
        <v>0.39956331877729262</v>
      </c>
      <c r="AR362" s="147">
        <f t="shared" si="650"/>
        <v>0.43457372466806427</v>
      </c>
      <c r="AS362" s="147">
        <f t="shared" si="650"/>
        <v>0.47011952191235062</v>
      </c>
      <c r="AT362" s="148">
        <f t="shared" si="650"/>
        <v>0.44550580963657149</v>
      </c>
      <c r="AU362" s="146">
        <f t="shared" si="650"/>
        <v>0.49914821124361158</v>
      </c>
      <c r="AV362" s="147">
        <f>AV374/AV354</f>
        <v>0.45783132530120485</v>
      </c>
      <c r="AW362" s="147">
        <f>AW374/AW354</f>
        <v>0.45707656612529002</v>
      </c>
      <c r="AX362" s="147">
        <f>AX374/AX354</f>
        <v>0.49539594843462248</v>
      </c>
      <c r="AY362" s="148">
        <f>AY374/AY354</f>
        <v>0.47935891209324916</v>
      </c>
      <c r="AZ362" s="147"/>
      <c r="BA362" s="147"/>
      <c r="BB362" s="147"/>
      <c r="BC362" s="147"/>
      <c r="BD362" s="148"/>
      <c r="BE362" s="147"/>
      <c r="BF362" s="147"/>
      <c r="BG362" s="147"/>
      <c r="BH362" s="147"/>
      <c r="BI362" s="148"/>
      <c r="BJ362" s="147"/>
      <c r="BK362" s="147"/>
      <c r="BL362" s="147"/>
      <c r="BM362" s="147"/>
      <c r="BN362" s="148"/>
      <c r="BO362" s="147"/>
      <c r="BP362" s="147"/>
      <c r="BQ362" s="147"/>
      <c r="BR362" s="147"/>
      <c r="BS362" s="148"/>
      <c r="BT362" s="147"/>
      <c r="BU362" s="147"/>
      <c r="BV362" s="147"/>
      <c r="BW362" s="147"/>
      <c r="BX362" s="148"/>
      <c r="BY362" s="147"/>
      <c r="BZ362" s="147"/>
      <c r="CA362" s="147"/>
      <c r="CB362" s="147"/>
      <c r="CC362" s="148"/>
      <c r="CD362" s="147"/>
      <c r="CE362" s="147"/>
      <c r="CF362" s="147"/>
      <c r="CG362" s="147"/>
      <c r="CH362" s="148"/>
      <c r="CI362" s="147"/>
      <c r="CJ362" s="147"/>
      <c r="CK362" s="147"/>
      <c r="CL362" s="147"/>
      <c r="CM362" s="148"/>
      <c r="CN362" s="147"/>
      <c r="CO362" s="147"/>
      <c r="CP362" s="147"/>
      <c r="CQ362" s="147"/>
      <c r="CR362" s="148"/>
      <c r="CS362" s="147"/>
      <c r="CT362" s="147"/>
      <c r="CU362" s="147"/>
      <c r="CV362" s="147"/>
      <c r="CW362" s="148"/>
      <c r="CX362" s="147"/>
      <c r="CY362" s="147"/>
      <c r="CZ362" s="147"/>
      <c r="DA362" s="147"/>
      <c r="DB362" s="148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9"/>
    </row>
    <row r="363" spans="1:117" outlineLevel="1">
      <c r="A363" s="107" t="s">
        <v>652</v>
      </c>
      <c r="B363" s="321"/>
      <c r="C363" s="322"/>
      <c r="D363" s="322"/>
      <c r="E363" s="322"/>
      <c r="F363" s="327"/>
      <c r="G363" s="302">
        <f t="shared" ref="G363:AC363" si="651">G362/B362-1</f>
        <v>4.7710763129215294E-2</v>
      </c>
      <c r="H363" s="149">
        <f t="shared" si="651"/>
        <v>-4.4259048749783925E-2</v>
      </c>
      <c r="I363" s="149">
        <f t="shared" si="651"/>
        <v>6.2896919429846765E-3</v>
      </c>
      <c r="J363" s="149">
        <f t="shared" si="651"/>
        <v>2.3288186335346239E-2</v>
      </c>
      <c r="K363" s="309">
        <f t="shared" si="651"/>
        <v>1.1795834287100071E-2</v>
      </c>
      <c r="L363" s="302">
        <f t="shared" si="651"/>
        <v>8.8566960681545348E-2</v>
      </c>
      <c r="M363" s="149">
        <f t="shared" si="651"/>
        <v>0.22093255974068815</v>
      </c>
      <c r="N363" s="149">
        <f t="shared" si="651"/>
        <v>0.24834932765086948</v>
      </c>
      <c r="O363" s="149">
        <f t="shared" si="651"/>
        <v>0.30093880609290546</v>
      </c>
      <c r="P363" s="309">
        <f t="shared" si="651"/>
        <v>0.20540060878666755</v>
      </c>
      <c r="Q363" s="302">
        <f t="shared" si="651"/>
        <v>8.4473674528024123E-2</v>
      </c>
      <c r="R363" s="149">
        <f t="shared" si="651"/>
        <v>0.15920322609781512</v>
      </c>
      <c r="S363" s="149">
        <f t="shared" si="651"/>
        <v>-3.1986655175673673E-2</v>
      </c>
      <c r="T363" s="149">
        <f t="shared" si="651"/>
        <v>-6.581990679209837E-2</v>
      </c>
      <c r="U363" s="309">
        <f t="shared" si="651"/>
        <v>3.1569503490265882E-2</v>
      </c>
      <c r="V363" s="302">
        <f t="shared" si="651"/>
        <v>2.4430607835890239E-2</v>
      </c>
      <c r="W363" s="149">
        <f t="shared" si="651"/>
        <v>1.0416511075794999E-2</v>
      </c>
      <c r="X363" s="149">
        <f t="shared" si="651"/>
        <v>7.8682149445425953E-3</v>
      </c>
      <c r="Y363" s="149">
        <f t="shared" si="651"/>
        <v>-1.6969457128379606E-2</v>
      </c>
      <c r="Z363" s="150">
        <f t="shared" si="651"/>
        <v>7.3514324568308975E-3</v>
      </c>
      <c r="AA363" s="302">
        <f t="shared" si="651"/>
        <v>7.9339730082933713E-2</v>
      </c>
      <c r="AB363" s="149">
        <f t="shared" si="651"/>
        <v>1.4731641585103095E-2</v>
      </c>
      <c r="AC363" s="149">
        <f t="shared" si="651"/>
        <v>0.14192023291317679</v>
      </c>
      <c r="AD363" s="149">
        <f t="shared" ref="AD363:AR363" si="652">AD362/Y362-1</f>
        <v>0.12803029006650779</v>
      </c>
      <c r="AE363" s="150">
        <f t="shared" si="652"/>
        <v>9.0120152398501352E-2</v>
      </c>
      <c r="AF363" s="302">
        <f t="shared" si="652"/>
        <v>4.9956925316994027E-3</v>
      </c>
      <c r="AG363" s="149">
        <f t="shared" si="652"/>
        <v>-5.0905255361271551E-2</v>
      </c>
      <c r="AH363" s="149">
        <f t="shared" si="652"/>
        <v>8.2391398816764605E-2</v>
      </c>
      <c r="AI363" s="149">
        <f t="shared" si="652"/>
        <v>6.2866401280773143E-2</v>
      </c>
      <c r="AJ363" s="150">
        <f t="shared" si="652"/>
        <v>2.5528526625392178E-2</v>
      </c>
      <c r="AK363" s="302">
        <f t="shared" si="652"/>
        <v>-2.4176701161120473E-2</v>
      </c>
      <c r="AL363" s="149">
        <f t="shared" si="652"/>
        <v>6.5092917956183438E-2</v>
      </c>
      <c r="AM363" s="149">
        <f t="shared" si="652"/>
        <v>-1.9384816442913122E-2</v>
      </c>
      <c r="AN363" s="149">
        <f t="shared" si="652"/>
        <v>6.897581561434718E-3</v>
      </c>
      <c r="AO363" s="150">
        <f>AO362/AJ362-1</f>
        <v>3.2462367808641091E-3</v>
      </c>
      <c r="AP363" s="302">
        <f t="shared" si="652"/>
        <v>1.0605791799226605E-2</v>
      </c>
      <c r="AQ363" s="149">
        <f t="shared" si="652"/>
        <v>-2.3530337853366889E-2</v>
      </c>
      <c r="AR363" s="149">
        <f t="shared" si="652"/>
        <v>-2.5069428603500254E-3</v>
      </c>
      <c r="AS363" s="149">
        <f t="shared" ref="AS363:AY363" si="653">AS362/AN362-1</f>
        <v>5.9760956175298752E-3</v>
      </c>
      <c r="AT363" s="150">
        <f t="shared" si="653"/>
        <v>-1.7435168493271647E-3</v>
      </c>
      <c r="AU363" s="302">
        <f t="shared" si="653"/>
        <v>6.3592403306202305E-2</v>
      </c>
      <c r="AV363" s="149">
        <f t="shared" si="653"/>
        <v>0.14582921851339781</v>
      </c>
      <c r="AW363" s="149">
        <f t="shared" si="653"/>
        <v>5.178141286478799E-2</v>
      </c>
      <c r="AX363" s="149">
        <f t="shared" si="653"/>
        <v>5.3765958110934209E-2</v>
      </c>
      <c r="AY363" s="150">
        <f t="shared" si="653"/>
        <v>7.5988015699040679E-2</v>
      </c>
      <c r="AZ363" s="269"/>
      <c r="BA363" s="188"/>
      <c r="BB363" s="188"/>
      <c r="BC363" s="188"/>
      <c r="BD363" s="150"/>
      <c r="BE363" s="269"/>
      <c r="BF363" s="188"/>
      <c r="BG363" s="188"/>
      <c r="BH363" s="188"/>
      <c r="BI363" s="534"/>
      <c r="BJ363" s="269"/>
      <c r="BK363" s="188"/>
      <c r="BL363" s="188"/>
      <c r="BM363" s="188"/>
      <c r="BN363" s="150"/>
      <c r="BO363" s="269"/>
      <c r="BP363" s="188"/>
      <c r="BQ363" s="188"/>
      <c r="BR363" s="188"/>
      <c r="BS363" s="150"/>
      <c r="BT363" s="269"/>
      <c r="BU363" s="188"/>
      <c r="BV363" s="188"/>
      <c r="BW363" s="188"/>
      <c r="BX363" s="150"/>
      <c r="BY363" s="269"/>
      <c r="BZ363" s="188"/>
      <c r="CA363" s="188"/>
      <c r="CB363" s="188"/>
      <c r="CC363" s="150"/>
      <c r="CD363" s="269"/>
      <c r="CE363" s="188"/>
      <c r="CF363" s="188"/>
      <c r="CG363" s="188"/>
      <c r="CH363" s="150"/>
      <c r="CI363" s="269"/>
      <c r="CJ363" s="188"/>
      <c r="CK363" s="188"/>
      <c r="CL363" s="188"/>
      <c r="CM363" s="150"/>
      <c r="CN363" s="269"/>
      <c r="CO363" s="188"/>
      <c r="CP363" s="188"/>
      <c r="CQ363" s="188"/>
      <c r="CR363" s="150"/>
      <c r="CS363" s="269"/>
      <c r="CT363" s="188"/>
      <c r="CU363" s="188"/>
      <c r="CV363" s="188"/>
      <c r="CW363" s="150"/>
      <c r="CX363" s="269"/>
      <c r="CY363" s="188"/>
      <c r="CZ363" s="188"/>
      <c r="DA363" s="188"/>
      <c r="DB363" s="150"/>
      <c r="DC363" s="149"/>
      <c r="DD363" s="149"/>
      <c r="DE363" s="149"/>
      <c r="DF363" s="149"/>
      <c r="DG363" s="149"/>
      <c r="DH363" s="149"/>
      <c r="DI363" s="149"/>
      <c r="DJ363" s="149"/>
      <c r="DK363" s="400"/>
      <c r="DL363" s="400"/>
      <c r="DM363" s="108"/>
    </row>
    <row r="364" spans="1:117" outlineLevel="1">
      <c r="A364" s="107"/>
      <c r="B364" s="286"/>
      <c r="C364" s="284"/>
      <c r="D364" s="284"/>
      <c r="E364" s="284"/>
      <c r="F364" s="285"/>
      <c r="G364" s="286"/>
      <c r="H364" s="284"/>
      <c r="I364" s="284"/>
      <c r="J364" s="284"/>
      <c r="K364" s="285"/>
      <c r="L364" s="286"/>
      <c r="M364" s="284"/>
      <c r="N364" s="284"/>
      <c r="O364" s="284"/>
      <c r="P364" s="285"/>
      <c r="Q364" s="286"/>
      <c r="R364" s="284"/>
      <c r="S364" s="284"/>
      <c r="T364" s="284"/>
      <c r="U364" s="285"/>
      <c r="V364" s="286"/>
      <c r="W364" s="284"/>
      <c r="X364" s="284"/>
      <c r="Y364" s="284"/>
      <c r="Z364" s="428"/>
      <c r="AA364" s="286"/>
      <c r="AB364" s="284"/>
      <c r="AC364" s="284"/>
      <c r="AD364" s="284"/>
      <c r="AE364" s="428"/>
      <c r="AF364" s="269"/>
      <c r="AG364" s="188"/>
      <c r="AH364" s="188"/>
      <c r="AI364" s="188"/>
      <c r="AJ364" s="189"/>
      <c r="AK364" s="269"/>
      <c r="AL364" s="188"/>
      <c r="AM364" s="188"/>
      <c r="AN364" s="188"/>
      <c r="AO364" s="189"/>
      <c r="AP364" s="269"/>
      <c r="AQ364" s="188"/>
      <c r="AR364" s="188"/>
      <c r="AS364" s="188"/>
      <c r="AT364" s="189"/>
      <c r="AU364" s="269"/>
      <c r="AV364" s="188"/>
      <c r="AW364" s="188"/>
      <c r="AX364" s="188"/>
      <c r="AY364" s="189"/>
      <c r="AZ364" s="269"/>
      <c r="BA364" s="188"/>
      <c r="BB364" s="188"/>
      <c r="BC364" s="188"/>
      <c r="BD364" s="189"/>
      <c r="BE364" s="269"/>
      <c r="BF364" s="188"/>
      <c r="BG364" s="188"/>
      <c r="BH364" s="188"/>
      <c r="BI364" s="189"/>
      <c r="BJ364" s="269"/>
      <c r="BK364" s="188"/>
      <c r="BL364" s="188"/>
      <c r="BM364" s="188"/>
      <c r="BN364" s="189"/>
      <c r="BO364" s="269"/>
      <c r="BP364" s="188"/>
      <c r="BQ364" s="188"/>
      <c r="BR364" s="188"/>
      <c r="BS364" s="189"/>
      <c r="BT364" s="269"/>
      <c r="BU364" s="188"/>
      <c r="BV364" s="188"/>
      <c r="BW364" s="188"/>
      <c r="BX364" s="189"/>
      <c r="BY364" s="269"/>
      <c r="BZ364" s="188"/>
      <c r="CA364" s="188"/>
      <c r="CB364" s="188"/>
      <c r="CC364" s="189"/>
      <c r="CD364" s="269"/>
      <c r="CE364" s="188"/>
      <c r="CF364" s="188"/>
      <c r="CG364" s="188"/>
      <c r="CH364" s="189"/>
      <c r="CI364" s="269"/>
      <c r="CJ364" s="188"/>
      <c r="CK364" s="188"/>
      <c r="CL364" s="188"/>
      <c r="CM364" s="189"/>
      <c r="CN364" s="269"/>
      <c r="CO364" s="188"/>
      <c r="CP364" s="188"/>
      <c r="CQ364" s="188"/>
      <c r="CR364" s="189"/>
      <c r="CS364" s="269"/>
      <c r="CT364" s="188"/>
      <c r="CU364" s="188"/>
      <c r="CV364" s="188"/>
      <c r="CW364" s="189"/>
      <c r="CX364" s="269"/>
      <c r="CY364" s="188"/>
      <c r="CZ364" s="188"/>
      <c r="DA364" s="188"/>
      <c r="DB364" s="189"/>
      <c r="DC364" s="188"/>
      <c r="DD364" s="188"/>
      <c r="DE364" s="188"/>
      <c r="DF364" s="188"/>
      <c r="DG364" s="188"/>
      <c r="DH364" s="188"/>
      <c r="DI364" s="188"/>
      <c r="DJ364" s="188"/>
      <c r="DK364" s="417"/>
      <c r="DL364" s="417"/>
      <c r="DM364" s="108"/>
    </row>
    <row r="365" spans="1:117" outlineLevel="1">
      <c r="A365" s="28" t="s">
        <v>100</v>
      </c>
      <c r="B365" s="326"/>
      <c r="C365" s="277"/>
      <c r="D365" s="277"/>
      <c r="E365" s="277"/>
      <c r="F365" s="281"/>
      <c r="G365" s="279"/>
      <c r="H365" s="277"/>
      <c r="I365" s="277"/>
      <c r="J365" s="277"/>
      <c r="K365" s="281"/>
      <c r="L365" s="279"/>
      <c r="M365" s="277"/>
      <c r="N365" s="277"/>
      <c r="O365" s="277"/>
      <c r="P365" s="281"/>
      <c r="Q365" s="279"/>
      <c r="R365" s="277"/>
      <c r="S365" s="277"/>
      <c r="T365" s="277"/>
      <c r="U365" s="281"/>
      <c r="V365" s="279"/>
      <c r="W365" s="277"/>
      <c r="X365" s="277"/>
      <c r="Y365" s="277"/>
      <c r="Z365" s="280"/>
      <c r="AA365" s="279"/>
      <c r="AB365" s="277"/>
      <c r="AC365" s="18"/>
      <c r="AD365" s="277"/>
      <c r="AE365" s="280"/>
      <c r="AF365" s="19"/>
      <c r="AG365" s="18"/>
      <c r="AH365" s="18"/>
      <c r="AI365" s="18"/>
      <c r="AJ365" s="127"/>
      <c r="AK365" s="19"/>
      <c r="AL365" s="18"/>
      <c r="AM365" s="18"/>
      <c r="AN365" s="18"/>
      <c r="AO365" s="127"/>
      <c r="AP365" s="19"/>
      <c r="AQ365" s="18"/>
      <c r="AR365" s="18"/>
      <c r="AS365" s="18"/>
      <c r="AT365" s="127"/>
      <c r="AU365" s="19"/>
      <c r="AV365" s="18"/>
      <c r="AW365" s="18"/>
      <c r="AX365" s="18"/>
      <c r="AY365" s="127"/>
      <c r="AZ365" s="19"/>
      <c r="BA365" s="18"/>
      <c r="BB365" s="18"/>
      <c r="BC365" s="18"/>
      <c r="BD365" s="127"/>
      <c r="BE365" s="19"/>
      <c r="BF365" s="18"/>
      <c r="BG365" s="18"/>
      <c r="BH365" s="18"/>
      <c r="BI365" s="127"/>
      <c r="BJ365" s="19"/>
      <c r="BK365" s="18"/>
      <c r="BL365" s="18"/>
      <c r="BM365" s="18"/>
      <c r="BN365" s="127"/>
      <c r="BO365" s="19"/>
      <c r="BP365" s="18"/>
      <c r="BQ365" s="18"/>
      <c r="BR365" s="18"/>
      <c r="BS365" s="127"/>
      <c r="BT365" s="19"/>
      <c r="BU365" s="18"/>
      <c r="BV365" s="18"/>
      <c r="BW365" s="18"/>
      <c r="BX365" s="127"/>
      <c r="BY365" s="19"/>
      <c r="BZ365" s="18"/>
      <c r="CA365" s="18"/>
      <c r="CB365" s="18"/>
      <c r="CC365" s="127"/>
      <c r="CD365" s="19"/>
      <c r="CE365" s="18"/>
      <c r="CF365" s="18"/>
      <c r="CG365" s="18"/>
      <c r="CH365" s="127"/>
      <c r="CI365" s="19"/>
      <c r="CJ365" s="18"/>
      <c r="CK365" s="18"/>
      <c r="CL365" s="18"/>
      <c r="CM365" s="127"/>
      <c r="CN365" s="19"/>
      <c r="CO365" s="18"/>
      <c r="CP365" s="18"/>
      <c r="CQ365" s="18"/>
      <c r="CR365" s="127"/>
      <c r="CS365" s="19"/>
      <c r="CT365" s="18"/>
      <c r="CU365" s="18"/>
      <c r="CV365" s="18"/>
      <c r="CW365" s="127"/>
      <c r="CX365" s="19"/>
      <c r="CY365" s="18"/>
      <c r="CZ365" s="18"/>
      <c r="DA365" s="18"/>
      <c r="DB365" s="127"/>
      <c r="DC365" s="18"/>
      <c r="DD365" s="18"/>
      <c r="DE365" s="18"/>
      <c r="DF365" s="18"/>
      <c r="DG365" s="18"/>
      <c r="DH365" s="18"/>
      <c r="DI365" s="18"/>
      <c r="DJ365" s="18"/>
      <c r="DK365" s="61"/>
      <c r="DL365" s="61"/>
      <c r="DM365" s="9"/>
    </row>
    <row r="366" spans="1:117" outlineLevel="1">
      <c r="A366" s="36" t="s">
        <v>712</v>
      </c>
      <c r="B366" s="326"/>
      <c r="C366" s="277"/>
      <c r="D366" s="277"/>
      <c r="E366" s="277"/>
      <c r="F366" s="281"/>
      <c r="G366" s="279"/>
      <c r="H366" s="277"/>
      <c r="I366" s="277"/>
      <c r="J366" s="277"/>
      <c r="K366" s="281"/>
      <c r="L366" s="279"/>
      <c r="M366" s="277"/>
      <c r="N366" s="277"/>
      <c r="O366" s="277"/>
      <c r="P366" s="281"/>
      <c r="Q366" s="279"/>
      <c r="R366" s="277"/>
      <c r="S366" s="277"/>
      <c r="T366" s="277"/>
      <c r="U366" s="281"/>
      <c r="V366" s="279"/>
      <c r="W366" s="277"/>
      <c r="X366" s="277"/>
      <c r="Y366" s="277"/>
      <c r="Z366" s="280"/>
      <c r="AA366" s="279"/>
      <c r="AB366" s="277"/>
      <c r="AC366" s="18"/>
      <c r="AD366" s="277"/>
      <c r="AE366" s="280"/>
      <c r="AF366" s="19"/>
      <c r="AG366" s="18"/>
      <c r="AH366" s="18"/>
      <c r="AI366" s="18"/>
      <c r="AJ366" s="127"/>
      <c r="AK366" s="19"/>
      <c r="AL366" s="18"/>
      <c r="AM366" s="18"/>
      <c r="AN366" s="18"/>
      <c r="AO366" s="127"/>
      <c r="AP366" s="19"/>
      <c r="AQ366" s="18"/>
      <c r="AR366" s="18"/>
      <c r="AS366" s="18"/>
      <c r="AT366" s="127"/>
      <c r="AU366" s="19"/>
      <c r="AV366" s="18"/>
      <c r="AW366" s="18"/>
      <c r="AX366" s="18"/>
      <c r="AY366" s="127"/>
      <c r="AZ366" s="19"/>
      <c r="BA366" s="18"/>
      <c r="BB366" s="18"/>
      <c r="BC366" s="18"/>
      <c r="BD366" s="127"/>
      <c r="BE366" s="19"/>
      <c r="BF366" s="18"/>
      <c r="BG366" s="18"/>
      <c r="BH366" s="18"/>
      <c r="BI366" s="127"/>
      <c r="BJ366" s="19"/>
      <c r="BK366" s="18"/>
      <c r="BL366" s="18"/>
      <c r="BM366" s="18"/>
      <c r="BN366" s="127"/>
      <c r="BO366" s="19"/>
      <c r="BP366" s="18"/>
      <c r="BQ366" s="18"/>
      <c r="BR366" s="18"/>
      <c r="BS366" s="127"/>
      <c r="BT366" s="19"/>
      <c r="BU366" s="18"/>
      <c r="BV366" s="18"/>
      <c r="BW366" s="18"/>
      <c r="BX366" s="127"/>
      <c r="BY366" s="19"/>
      <c r="BZ366" s="18"/>
      <c r="CA366" s="18"/>
      <c r="CB366" s="18"/>
      <c r="CC366" s="127"/>
      <c r="CD366" s="19"/>
      <c r="CE366" s="18"/>
      <c r="CF366" s="18"/>
      <c r="CG366" s="18"/>
      <c r="CH366" s="127"/>
      <c r="CI366" s="19"/>
      <c r="CJ366" s="18"/>
      <c r="CK366" s="18"/>
      <c r="CL366" s="18"/>
      <c r="CM366" s="127"/>
      <c r="CN366" s="19"/>
      <c r="CO366" s="18"/>
      <c r="CP366" s="18"/>
      <c r="CQ366" s="18"/>
      <c r="CR366" s="127"/>
      <c r="CS366" s="19"/>
      <c r="CT366" s="18"/>
      <c r="CU366" s="18"/>
      <c r="CV366" s="18"/>
      <c r="CW366" s="127"/>
      <c r="CX366" s="19"/>
      <c r="CY366" s="18"/>
      <c r="CZ366" s="18"/>
      <c r="DA366" s="18"/>
      <c r="DB366" s="127"/>
      <c r="DC366" s="18"/>
      <c r="DD366" s="18"/>
      <c r="DE366" s="18"/>
      <c r="DF366" s="18"/>
      <c r="DG366" s="18"/>
      <c r="DH366" s="18"/>
      <c r="DI366" s="18"/>
      <c r="DJ366" s="18"/>
      <c r="DK366" s="61"/>
      <c r="DL366" s="61"/>
      <c r="DM366" s="9"/>
    </row>
    <row r="367" spans="1:117" outlineLevel="1">
      <c r="A367" s="34" t="s">
        <v>282</v>
      </c>
      <c r="B367" s="331">
        <f>191.452-C367</f>
        <v>127.83199999999999</v>
      </c>
      <c r="C367" s="287">
        <v>63.62</v>
      </c>
      <c r="D367" s="287">
        <v>53.158000000000001</v>
      </c>
      <c r="E367" s="313">
        <f>F367-SUM(B367:D367)</f>
        <v>104.75999999999999</v>
      </c>
      <c r="F367" s="288">
        <v>349.37</v>
      </c>
      <c r="G367" s="312">
        <f>193.38-H367</f>
        <v>126.991</v>
      </c>
      <c r="H367" s="287">
        <v>66.388999999999996</v>
      </c>
      <c r="I367" s="287">
        <v>65.275000000000006</v>
      </c>
      <c r="J367" s="313">
        <f>K367-SUM(G367:I367)</f>
        <v>115.15700000000004</v>
      </c>
      <c r="K367" s="288">
        <v>373.81200000000001</v>
      </c>
      <c r="L367" s="289">
        <v>128.40600000000001</v>
      </c>
      <c r="M367" s="287">
        <v>76.81</v>
      </c>
      <c r="N367" s="287">
        <v>66.429000000000002</v>
      </c>
      <c r="O367" s="313">
        <f>P367-SUM(L367:N367)</f>
        <v>118.55500000000001</v>
      </c>
      <c r="P367" s="288">
        <v>390.2</v>
      </c>
      <c r="Q367" s="289">
        <v>154.88800000000001</v>
      </c>
      <c r="R367" s="287">
        <v>84.617999999999995</v>
      </c>
      <c r="S367" s="287">
        <v>74.578000000000003</v>
      </c>
      <c r="T367" s="313">
        <f>U367-SUM(Q367:S367)</f>
        <v>126.81599999999997</v>
      </c>
      <c r="U367" s="288">
        <v>440.9</v>
      </c>
      <c r="V367" s="289">
        <v>153.941</v>
      </c>
      <c r="W367" s="287">
        <v>85.555000000000007</v>
      </c>
      <c r="X367" s="287">
        <v>77.834999999999994</v>
      </c>
      <c r="Y367" s="313">
        <f>Z367-SUM(V367:X367)</f>
        <v>126.66899999999998</v>
      </c>
      <c r="Z367" s="290">
        <v>444</v>
      </c>
      <c r="AA367" s="289">
        <v>156.5</v>
      </c>
      <c r="AB367" s="287">
        <v>88.4</v>
      </c>
      <c r="AC367" s="287">
        <v>81.400000000000006</v>
      </c>
      <c r="AD367" s="313">
        <f>AE367-SUM(AA367:AC367)</f>
        <v>147.5</v>
      </c>
      <c r="AE367" s="290">
        <v>473.8</v>
      </c>
      <c r="AF367" s="353">
        <v>165</v>
      </c>
      <c r="AG367" s="287">
        <v>106</v>
      </c>
      <c r="AH367" s="287">
        <v>98.1</v>
      </c>
      <c r="AI367" s="313">
        <f>AJ367-SUM(AF367:AH367)</f>
        <v>140</v>
      </c>
      <c r="AJ367" s="290">
        <v>509.1</v>
      </c>
      <c r="AK367" s="353">
        <v>165.2</v>
      </c>
      <c r="AL367" s="287">
        <v>105.9</v>
      </c>
      <c r="AM367" s="287">
        <v>97.6</v>
      </c>
      <c r="AN367" s="313">
        <f>AO367-SUM(AK367:AM367)</f>
        <v>141.79999999999995</v>
      </c>
      <c r="AO367" s="290">
        <v>510.5</v>
      </c>
      <c r="AP367" s="289">
        <v>165.1</v>
      </c>
      <c r="AQ367" s="287">
        <v>107.9</v>
      </c>
      <c r="AR367" s="287">
        <v>102.3</v>
      </c>
      <c r="AS367" s="313">
        <f>AT367-SUM(AP367:AR367)</f>
        <v>148.09999999999997</v>
      </c>
      <c r="AT367" s="290">
        <v>523.4</v>
      </c>
      <c r="AU367" s="289">
        <v>176.3</v>
      </c>
      <c r="AV367" s="287">
        <v>122.2</v>
      </c>
      <c r="AW367" s="287">
        <v>109.1</v>
      </c>
      <c r="AX367" s="313">
        <f>AY367-SUM(AU367:AW367)</f>
        <v>156.89999999999998</v>
      </c>
      <c r="AY367" s="290">
        <v>564.5</v>
      </c>
      <c r="AZ367" s="289"/>
      <c r="BA367" s="287"/>
      <c r="BB367" s="287"/>
      <c r="BC367" s="287"/>
      <c r="BD367" s="291"/>
      <c r="BE367" s="289"/>
      <c r="BF367" s="287"/>
      <c r="BG367" s="287"/>
      <c r="BH367" s="287"/>
      <c r="BI367" s="291"/>
      <c r="BJ367" s="289"/>
      <c r="BK367" s="287"/>
      <c r="BL367" s="287"/>
      <c r="BM367" s="287"/>
      <c r="BN367" s="291"/>
      <c r="BO367" s="289"/>
      <c r="BP367" s="287"/>
      <c r="BQ367" s="287"/>
      <c r="BR367" s="287"/>
      <c r="BS367" s="291"/>
      <c r="BT367" s="289"/>
      <c r="BU367" s="287"/>
      <c r="BV367" s="287"/>
      <c r="BW367" s="287"/>
      <c r="BX367" s="291"/>
      <c r="BY367" s="289"/>
      <c r="BZ367" s="287"/>
      <c r="CA367" s="287"/>
      <c r="CB367" s="287"/>
      <c r="CC367" s="291"/>
      <c r="CD367" s="289"/>
      <c r="CE367" s="287"/>
      <c r="CF367" s="287"/>
      <c r="CG367" s="287"/>
      <c r="CH367" s="291"/>
      <c r="CI367" s="289"/>
      <c r="CJ367" s="287"/>
      <c r="CK367" s="287"/>
      <c r="CL367" s="287"/>
      <c r="CM367" s="291"/>
      <c r="CN367" s="289"/>
      <c r="CO367" s="287"/>
      <c r="CP367" s="287"/>
      <c r="CQ367" s="287"/>
      <c r="CR367" s="291"/>
      <c r="CS367" s="289"/>
      <c r="CT367" s="287"/>
      <c r="CU367" s="287"/>
      <c r="CV367" s="287"/>
      <c r="CW367" s="291"/>
      <c r="CX367" s="289"/>
      <c r="CY367" s="287"/>
      <c r="CZ367" s="287"/>
      <c r="DA367" s="287"/>
      <c r="DB367" s="291"/>
      <c r="DC367" s="287"/>
      <c r="DD367" s="287"/>
      <c r="DE367" s="287"/>
      <c r="DF367" s="287"/>
      <c r="DG367" s="287"/>
      <c r="DH367" s="287"/>
      <c r="DI367" s="287"/>
      <c r="DJ367" s="287"/>
      <c r="DK367" s="345"/>
      <c r="DL367" s="345"/>
      <c r="DM367" s="9"/>
    </row>
    <row r="368" spans="1:117" outlineLevel="1">
      <c r="A368" s="34" t="s">
        <v>283</v>
      </c>
      <c r="B368" s="331">
        <f>55.121-C368</f>
        <v>40.353999999999999</v>
      </c>
      <c r="C368" s="287">
        <v>14.766999999999999</v>
      </c>
      <c r="D368" s="287">
        <v>11.329000000000001</v>
      </c>
      <c r="E368" s="313">
        <f t="shared" ref="E368:E374" si="654">F368-SUM(B368:D368)</f>
        <v>27.992000000000004</v>
      </c>
      <c r="F368" s="288">
        <v>94.441999999999993</v>
      </c>
      <c r="G368" s="312">
        <f>52.195-H368</f>
        <v>37.855000000000004</v>
      </c>
      <c r="H368" s="287">
        <v>14.34</v>
      </c>
      <c r="I368" s="287">
        <v>13.73</v>
      </c>
      <c r="J368" s="313">
        <f t="shared" ref="J368:J374" si="655">K368-SUM(G368:I368)</f>
        <v>27.088999999999984</v>
      </c>
      <c r="K368" s="288">
        <v>93.013999999999996</v>
      </c>
      <c r="L368" s="289">
        <v>31.876999999999999</v>
      </c>
      <c r="M368" s="287">
        <v>16.088000000000001</v>
      </c>
      <c r="N368" s="287">
        <v>14.173999999999999</v>
      </c>
      <c r="O368" s="313">
        <f t="shared" ref="O368:O374" si="656">P368-SUM(L368:N368)</f>
        <v>26.660999999999994</v>
      </c>
      <c r="P368" s="288">
        <v>88.8</v>
      </c>
      <c r="Q368" s="289">
        <v>36.593000000000004</v>
      </c>
      <c r="R368" s="287">
        <v>18.140999999999998</v>
      </c>
      <c r="S368" s="287">
        <v>16.146000000000001</v>
      </c>
      <c r="T368" s="313">
        <f t="shared" ref="T368:T374" si="657">U368-SUM(Q368:S368)</f>
        <v>28.620000000000005</v>
      </c>
      <c r="U368" s="288">
        <v>99.5</v>
      </c>
      <c r="V368" s="289">
        <v>37.863</v>
      </c>
      <c r="W368" s="287">
        <v>18.646999999999998</v>
      </c>
      <c r="X368" s="287">
        <v>16.838999999999999</v>
      </c>
      <c r="Y368" s="313">
        <f t="shared" ref="Y368:Y374" si="658">Z368-SUM(V368:X368)</f>
        <v>27.951000000000008</v>
      </c>
      <c r="Z368" s="290">
        <v>101.3</v>
      </c>
      <c r="AA368" s="289">
        <v>37.4</v>
      </c>
      <c r="AB368" s="287">
        <v>19.100000000000001</v>
      </c>
      <c r="AC368" s="287">
        <v>17.399999999999999</v>
      </c>
      <c r="AD368" s="313">
        <f t="shared" ref="AD368:AD374" si="659">AE368-SUM(AA368:AC368)</f>
        <v>31.199999999999989</v>
      </c>
      <c r="AE368" s="290">
        <v>105.1</v>
      </c>
      <c r="AF368" s="353">
        <v>36.4</v>
      </c>
      <c r="AG368" s="287">
        <v>22.5</v>
      </c>
      <c r="AH368" s="287">
        <v>20.6</v>
      </c>
      <c r="AI368" s="313">
        <f>AJ368-SUM(AF368:AH368)</f>
        <v>29.400000000000006</v>
      </c>
      <c r="AJ368" s="290">
        <v>108.9</v>
      </c>
      <c r="AK368" s="353">
        <v>36.6</v>
      </c>
      <c r="AL368" s="287">
        <v>23.2</v>
      </c>
      <c r="AM368" s="287">
        <v>19</v>
      </c>
      <c r="AN368" s="313">
        <f>AO368-SUM(AK368:AM368)</f>
        <v>26.700000000000003</v>
      </c>
      <c r="AO368" s="290">
        <v>105.5</v>
      </c>
      <c r="AP368" s="289">
        <v>33.6</v>
      </c>
      <c r="AQ368" s="287">
        <v>21.3</v>
      </c>
      <c r="AR368" s="287">
        <v>19.7</v>
      </c>
      <c r="AS368" s="313">
        <f>AT368-SUM(AP368:AR368)</f>
        <v>26.999999999999986</v>
      </c>
      <c r="AT368" s="290">
        <v>101.6</v>
      </c>
      <c r="AU368" s="289">
        <v>35.1</v>
      </c>
      <c r="AV368" s="287">
        <v>24.6</v>
      </c>
      <c r="AW368" s="287">
        <v>21.8</v>
      </c>
      <c r="AX368" s="313">
        <f>AY368-SUM(AU368:AW368)</f>
        <v>30</v>
      </c>
      <c r="AY368" s="290">
        <v>111.5</v>
      </c>
      <c r="AZ368" s="289"/>
      <c r="BA368" s="287"/>
      <c r="BB368" s="287"/>
      <c r="BC368" s="287"/>
      <c r="BD368" s="291"/>
      <c r="BE368" s="289"/>
      <c r="BF368" s="287"/>
      <c r="BG368" s="287"/>
      <c r="BH368" s="287"/>
      <c r="BI368" s="291"/>
      <c r="BJ368" s="289"/>
      <c r="BK368" s="287"/>
      <c r="BL368" s="287"/>
      <c r="BM368" s="287"/>
      <c r="BN368" s="291"/>
      <c r="BO368" s="289"/>
      <c r="BP368" s="287"/>
      <c r="BQ368" s="287"/>
      <c r="BR368" s="287"/>
      <c r="BS368" s="291"/>
      <c r="BT368" s="289"/>
      <c r="BU368" s="287"/>
      <c r="BV368" s="287"/>
      <c r="BW368" s="287"/>
      <c r="BX368" s="291"/>
      <c r="BY368" s="289"/>
      <c r="BZ368" s="287"/>
      <c r="CA368" s="287"/>
      <c r="CB368" s="287"/>
      <c r="CC368" s="291"/>
      <c r="CD368" s="289"/>
      <c r="CE368" s="287"/>
      <c r="CF368" s="287"/>
      <c r="CG368" s="287"/>
      <c r="CH368" s="291"/>
      <c r="CI368" s="289"/>
      <c r="CJ368" s="287"/>
      <c r="CK368" s="287"/>
      <c r="CL368" s="287"/>
      <c r="CM368" s="291"/>
      <c r="CN368" s="289"/>
      <c r="CO368" s="287"/>
      <c r="CP368" s="287"/>
      <c r="CQ368" s="287"/>
      <c r="CR368" s="291"/>
      <c r="CS368" s="289"/>
      <c r="CT368" s="287"/>
      <c r="CU368" s="287"/>
      <c r="CV368" s="287"/>
      <c r="CW368" s="291"/>
      <c r="CX368" s="289"/>
      <c r="CY368" s="287"/>
      <c r="CZ368" s="287"/>
      <c r="DA368" s="287"/>
      <c r="DB368" s="291"/>
      <c r="DC368" s="287"/>
      <c r="DD368" s="287"/>
      <c r="DE368" s="287"/>
      <c r="DF368" s="287"/>
      <c r="DG368" s="287"/>
      <c r="DH368" s="287"/>
      <c r="DI368" s="287"/>
      <c r="DJ368" s="287"/>
      <c r="DK368" s="345"/>
      <c r="DL368" s="345"/>
      <c r="DM368" s="9"/>
    </row>
    <row r="369" spans="1:117" outlineLevel="1">
      <c r="A369" s="34" t="s">
        <v>284</v>
      </c>
      <c r="B369" s="331">
        <f>2.135-C369</f>
        <v>1.4599999999999997</v>
      </c>
      <c r="C369" s="287">
        <v>0.67500000000000004</v>
      </c>
      <c r="D369" s="287">
        <v>0.40799999999999997</v>
      </c>
      <c r="E369" s="313">
        <f t="shared" si="654"/>
        <v>1.1020000000000003</v>
      </c>
      <c r="F369" s="288">
        <v>3.645</v>
      </c>
      <c r="G369" s="312">
        <f>1.589-H369</f>
        <v>1.26</v>
      </c>
      <c r="H369" s="287">
        <v>0.32900000000000001</v>
      </c>
      <c r="I369" s="287">
        <v>0.496</v>
      </c>
      <c r="J369" s="313">
        <f t="shared" si="655"/>
        <v>1.0180000000000002</v>
      </c>
      <c r="K369" s="288">
        <v>3.1030000000000002</v>
      </c>
      <c r="L369" s="289">
        <v>0.85799999999999998</v>
      </c>
      <c r="M369" s="287">
        <v>0.75</v>
      </c>
      <c r="N369" s="287">
        <v>0.503</v>
      </c>
      <c r="O369" s="313">
        <f t="shared" si="656"/>
        <v>0.7889999999999997</v>
      </c>
      <c r="P369" s="288">
        <v>2.9</v>
      </c>
      <c r="Q369" s="289">
        <v>0.75700000000000001</v>
      </c>
      <c r="R369" s="287">
        <v>0.68100000000000005</v>
      </c>
      <c r="S369" s="287">
        <v>0.42199999999999999</v>
      </c>
      <c r="T369" s="313">
        <f t="shared" si="657"/>
        <v>0.43999999999999972</v>
      </c>
      <c r="U369" s="288">
        <v>2.2999999999999998</v>
      </c>
      <c r="V369" s="289">
        <v>0.88200000000000001</v>
      </c>
      <c r="W369" s="287">
        <v>0.77500000000000002</v>
      </c>
      <c r="X369" s="287">
        <v>0.53400000000000003</v>
      </c>
      <c r="Y369" s="313">
        <f t="shared" si="658"/>
        <v>0.40900000000000025</v>
      </c>
      <c r="Z369" s="290">
        <v>2.6</v>
      </c>
      <c r="AA369" s="289">
        <v>0.8</v>
      </c>
      <c r="AB369" s="287">
        <v>0.6</v>
      </c>
      <c r="AC369" s="287">
        <v>0.6</v>
      </c>
      <c r="AD369" s="313">
        <f t="shared" si="659"/>
        <v>0.5</v>
      </c>
      <c r="AE369" s="290">
        <v>2.5</v>
      </c>
      <c r="AF369" s="353">
        <v>0.7</v>
      </c>
      <c r="AG369" s="287">
        <v>0.6</v>
      </c>
      <c r="AH369" s="287">
        <v>0.6</v>
      </c>
      <c r="AI369" s="313">
        <f>AJ369-SUM(AF369:AH369)</f>
        <v>0.30000000000000027</v>
      </c>
      <c r="AJ369" s="290">
        <v>2.2000000000000002</v>
      </c>
      <c r="AK369" s="353">
        <v>0.8</v>
      </c>
      <c r="AL369" s="287">
        <v>0.8</v>
      </c>
      <c r="AM369" s="287">
        <v>0.6</v>
      </c>
      <c r="AN369" s="313">
        <f>AO369-SUM(AK369:AM369)</f>
        <v>0.19999999999999973</v>
      </c>
      <c r="AO369" s="290">
        <v>2.4</v>
      </c>
      <c r="AP369" s="289">
        <v>0.6</v>
      </c>
      <c r="AQ369" s="287">
        <v>0.8</v>
      </c>
      <c r="AR369" s="287">
        <v>0.6</v>
      </c>
      <c r="AS369" s="313">
        <f>AT369-SUM(AP369:AR369)</f>
        <v>0.20000000000000018</v>
      </c>
      <c r="AT369" s="290">
        <v>2.2000000000000002</v>
      </c>
      <c r="AU369" s="289">
        <v>0.7</v>
      </c>
      <c r="AV369" s="287"/>
      <c r="AW369" s="287"/>
      <c r="AX369" s="313"/>
      <c r="AY369" s="290"/>
      <c r="AZ369" s="289"/>
      <c r="BA369" s="287"/>
      <c r="BB369" s="287"/>
      <c r="BC369" s="287"/>
      <c r="BD369" s="291"/>
      <c r="BE369" s="289"/>
      <c r="BF369" s="287"/>
      <c r="BG369" s="287"/>
      <c r="BH369" s="287"/>
      <c r="BI369" s="291"/>
      <c r="BJ369" s="289"/>
      <c r="BK369" s="287"/>
      <c r="BL369" s="287"/>
      <c r="BM369" s="287"/>
      <c r="BN369" s="291"/>
      <c r="BO369" s="289"/>
      <c r="BP369" s="287"/>
      <c r="BQ369" s="287"/>
      <c r="BR369" s="287"/>
      <c r="BS369" s="291"/>
      <c r="BT369" s="289"/>
      <c r="BU369" s="287"/>
      <c r="BV369" s="287"/>
      <c r="BW369" s="287"/>
      <c r="BX369" s="291"/>
      <c r="BY369" s="289"/>
      <c r="BZ369" s="287"/>
      <c r="CA369" s="287"/>
      <c r="CB369" s="287"/>
      <c r="CC369" s="291"/>
      <c r="CD369" s="289"/>
      <c r="CE369" s="287"/>
      <c r="CF369" s="287"/>
      <c r="CG369" s="287"/>
      <c r="CH369" s="291"/>
      <c r="CI369" s="289"/>
      <c r="CJ369" s="287"/>
      <c r="CK369" s="287"/>
      <c r="CL369" s="287"/>
      <c r="CM369" s="291"/>
      <c r="CN369" s="289"/>
      <c r="CO369" s="287"/>
      <c r="CP369" s="287"/>
      <c r="CQ369" s="287"/>
      <c r="CR369" s="291"/>
      <c r="CS369" s="289"/>
      <c r="CT369" s="287"/>
      <c r="CU369" s="287"/>
      <c r="CV369" s="287"/>
      <c r="CW369" s="291"/>
      <c r="CX369" s="289"/>
      <c r="CY369" s="287"/>
      <c r="CZ369" s="287"/>
      <c r="DA369" s="287"/>
      <c r="DB369" s="291"/>
      <c r="DC369" s="287"/>
      <c r="DD369" s="287"/>
      <c r="DE369" s="287"/>
      <c r="DF369" s="287"/>
      <c r="DG369" s="287"/>
      <c r="DH369" s="287"/>
      <c r="DI369" s="287"/>
      <c r="DJ369" s="287"/>
      <c r="DK369" s="345"/>
      <c r="DL369" s="345"/>
      <c r="DM369" s="9"/>
    </row>
    <row r="370" spans="1:117" outlineLevel="1">
      <c r="A370" s="34" t="s">
        <v>285</v>
      </c>
      <c r="B370" s="331">
        <f>2.636-C370</f>
        <v>0.87400000000000011</v>
      </c>
      <c r="C370" s="287">
        <v>1.762</v>
      </c>
      <c r="D370" s="287">
        <v>1.6160000000000001</v>
      </c>
      <c r="E370" s="313">
        <f t="shared" si="654"/>
        <v>1.0949999999999998</v>
      </c>
      <c r="F370" s="288">
        <v>5.3470000000000004</v>
      </c>
      <c r="G370" s="289">
        <v>1.58</v>
      </c>
      <c r="H370" s="287">
        <v>1.6160000000000001</v>
      </c>
      <c r="I370" s="287">
        <v>2.2839999999999998</v>
      </c>
      <c r="J370" s="313">
        <f t="shared" si="655"/>
        <v>1.1919999999999993</v>
      </c>
      <c r="K370" s="290">
        <v>6.6719999999999997</v>
      </c>
      <c r="L370" s="289">
        <v>0.87</v>
      </c>
      <c r="M370" s="287">
        <v>1.9430000000000001</v>
      </c>
      <c r="N370" s="287">
        <v>1.4490000000000001</v>
      </c>
      <c r="O370" s="313">
        <f t="shared" si="656"/>
        <v>0.53799999999999937</v>
      </c>
      <c r="P370" s="288">
        <v>4.8</v>
      </c>
      <c r="Q370" s="289">
        <v>8.7999999999999995E-2</v>
      </c>
      <c r="R370" s="287">
        <v>0.49399999999999999</v>
      </c>
      <c r="S370" s="287">
        <v>0.35899999999999999</v>
      </c>
      <c r="T370" s="313">
        <f t="shared" si="657"/>
        <v>0.25900000000000001</v>
      </c>
      <c r="U370" s="290">
        <v>1.2</v>
      </c>
      <c r="V370" s="289">
        <v>5.7000000000000002E-2</v>
      </c>
      <c r="W370" s="287">
        <v>0.20899999999999999</v>
      </c>
      <c r="X370" s="287">
        <v>0.188</v>
      </c>
      <c r="Y370" s="313">
        <f t="shared" si="658"/>
        <v>0.14599999999999996</v>
      </c>
      <c r="Z370" s="290">
        <v>0.6</v>
      </c>
      <c r="AA370" s="289">
        <v>0.1</v>
      </c>
      <c r="AB370" s="287">
        <v>0.1</v>
      </c>
      <c r="AC370" s="287">
        <v>0.1</v>
      </c>
      <c r="AD370" s="313">
        <f t="shared" si="659"/>
        <v>9.9999999999999978E-2</v>
      </c>
      <c r="AE370" s="290">
        <v>0.4</v>
      </c>
      <c r="AF370" s="353">
        <v>0.1</v>
      </c>
      <c r="AG370" s="287">
        <v>0.1</v>
      </c>
      <c r="AH370" s="287">
        <v>0.1</v>
      </c>
      <c r="AI370" s="313">
        <f>AJ370-SUM(AF370:AH370)</f>
        <v>0.19999999999999996</v>
      </c>
      <c r="AJ370" s="290">
        <v>0.5</v>
      </c>
      <c r="AK370" s="353">
        <v>1.5</v>
      </c>
      <c r="AL370" s="287">
        <v>0.6</v>
      </c>
      <c r="AM370" s="287">
        <f>0.8+1.4</f>
        <v>2.2000000000000002</v>
      </c>
      <c r="AN370" s="313">
        <f>AO370-SUM(AK370:AM370)</f>
        <v>0.29999999999999893</v>
      </c>
      <c r="AO370" s="290">
        <v>4.5999999999999996</v>
      </c>
      <c r="AP370" s="289">
        <v>1.7</v>
      </c>
      <c r="AQ370" s="287">
        <v>0.6</v>
      </c>
      <c r="AR370" s="287">
        <v>0.8</v>
      </c>
      <c r="AS370" s="313">
        <f>AT370-SUM(AP370:AR370)</f>
        <v>1.5</v>
      </c>
      <c r="AT370" s="290">
        <v>4.5999999999999996</v>
      </c>
      <c r="AU370" s="289">
        <v>1.9</v>
      </c>
      <c r="AV370" s="287">
        <v>0.8</v>
      </c>
      <c r="AW370" s="287">
        <v>0.8</v>
      </c>
      <c r="AX370" s="313">
        <f>AY370-SUM(AU370:AW370)</f>
        <v>2.0999999999999996</v>
      </c>
      <c r="AY370" s="290">
        <v>5.6</v>
      </c>
      <c r="AZ370" s="289"/>
      <c r="BA370" s="287"/>
      <c r="BB370" s="287"/>
      <c r="BC370" s="287"/>
      <c r="BD370" s="291"/>
      <c r="BE370" s="289"/>
      <c r="BF370" s="287"/>
      <c r="BG370" s="287"/>
      <c r="BH370" s="287"/>
      <c r="BI370" s="291"/>
      <c r="BJ370" s="289"/>
      <c r="BK370" s="287"/>
      <c r="BL370" s="287"/>
      <c r="BM370" s="287"/>
      <c r="BN370" s="291"/>
      <c r="BO370" s="289"/>
      <c r="BP370" s="287"/>
      <c r="BQ370" s="287"/>
      <c r="BR370" s="287"/>
      <c r="BS370" s="291"/>
      <c r="BT370" s="289"/>
      <c r="BU370" s="287"/>
      <c r="BV370" s="287"/>
      <c r="BW370" s="287"/>
      <c r="BX370" s="291"/>
      <c r="BY370" s="289"/>
      <c r="BZ370" s="287"/>
      <c r="CA370" s="287"/>
      <c r="CB370" s="287"/>
      <c r="CC370" s="291"/>
      <c r="CD370" s="289"/>
      <c r="CE370" s="287"/>
      <c r="CF370" s="287"/>
      <c r="CG370" s="287"/>
      <c r="CH370" s="291"/>
      <c r="CI370" s="289"/>
      <c r="CJ370" s="287"/>
      <c r="CK370" s="287"/>
      <c r="CL370" s="287"/>
      <c r="CM370" s="291"/>
      <c r="CN370" s="289"/>
      <c r="CO370" s="287"/>
      <c r="CP370" s="287"/>
      <c r="CQ370" s="287"/>
      <c r="CR370" s="291"/>
      <c r="CS370" s="289"/>
      <c r="CT370" s="287"/>
      <c r="CU370" s="287"/>
      <c r="CV370" s="287"/>
      <c r="CW370" s="291"/>
      <c r="CX370" s="289"/>
      <c r="CY370" s="287"/>
      <c r="CZ370" s="287"/>
      <c r="DA370" s="287"/>
      <c r="DB370" s="291"/>
      <c r="DC370" s="287"/>
      <c r="DD370" s="287"/>
      <c r="DE370" s="287"/>
      <c r="DF370" s="287"/>
      <c r="DG370" s="287"/>
      <c r="DH370" s="287"/>
      <c r="DI370" s="287"/>
      <c r="DJ370" s="287"/>
      <c r="DK370" s="345"/>
      <c r="DL370" s="345"/>
      <c r="DM370" s="9"/>
    </row>
    <row r="371" spans="1:117" outlineLevel="1">
      <c r="A371" s="34" t="s">
        <v>363</v>
      </c>
      <c r="B371" s="331">
        <f>1.733-C371</f>
        <v>1.1520000000000001</v>
      </c>
      <c r="C371" s="287">
        <v>0.58099999999999996</v>
      </c>
      <c r="D371" s="287">
        <v>0.41799999999999998</v>
      </c>
      <c r="E371" s="313">
        <f t="shared" si="654"/>
        <v>1.2379999999999995</v>
      </c>
      <c r="F371" s="288">
        <v>3.3889999999999998</v>
      </c>
      <c r="G371" s="289">
        <v>0.98799999999999999</v>
      </c>
      <c r="H371" s="287">
        <v>0.57299999999999995</v>
      </c>
      <c r="I371" s="287">
        <v>0.26900000000000002</v>
      </c>
      <c r="J371" s="313">
        <f t="shared" si="655"/>
        <v>1.2389999999999999</v>
      </c>
      <c r="K371" s="290">
        <v>3.069</v>
      </c>
      <c r="L371" s="289">
        <v>0.81899999999999995</v>
      </c>
      <c r="M371" s="287">
        <v>0.46</v>
      </c>
      <c r="N371" s="287">
        <v>0.41599999999999998</v>
      </c>
      <c r="O371" s="313">
        <f t="shared" si="656"/>
        <v>1.5050000000000003</v>
      </c>
      <c r="P371" s="288">
        <v>3.2</v>
      </c>
      <c r="Q371" s="289">
        <v>1.1819999999999999</v>
      </c>
      <c r="R371" s="287">
        <v>0.57599999999999996</v>
      </c>
      <c r="S371" s="287">
        <v>0.48199999999999998</v>
      </c>
      <c r="T371" s="313">
        <f t="shared" si="657"/>
        <v>1.46</v>
      </c>
      <c r="U371" s="290">
        <v>3.7</v>
      </c>
      <c r="V371" s="289">
        <v>1.3029999999999999</v>
      </c>
      <c r="W371" s="287">
        <v>0.60799999999999998</v>
      </c>
      <c r="X371" s="287">
        <v>0.57099999999999995</v>
      </c>
      <c r="Y371" s="313">
        <f t="shared" si="658"/>
        <v>1.3179999999999996</v>
      </c>
      <c r="Z371" s="290">
        <v>3.8</v>
      </c>
      <c r="AA371" s="289">
        <v>1.3</v>
      </c>
      <c r="AB371" s="287">
        <v>0.7</v>
      </c>
      <c r="AC371" s="287">
        <v>0.7</v>
      </c>
      <c r="AD371" s="313">
        <f t="shared" si="659"/>
        <v>1.3999999999999995</v>
      </c>
      <c r="AE371" s="290">
        <v>4.0999999999999996</v>
      </c>
      <c r="AF371" s="353">
        <v>1.5</v>
      </c>
      <c r="AG371" s="287">
        <v>0.8</v>
      </c>
      <c r="AH371" s="287">
        <v>0.6</v>
      </c>
      <c r="AI371" s="313">
        <f>AJ371-SUM(AF371:AH371)</f>
        <v>1.3000000000000003</v>
      </c>
      <c r="AJ371" s="290">
        <v>4.2</v>
      </c>
      <c r="AK371" s="353"/>
      <c r="AL371" s="287"/>
      <c r="AM371" s="287"/>
      <c r="AN371" s="313"/>
      <c r="AO371" s="290"/>
      <c r="AP371" s="289"/>
      <c r="AQ371" s="287"/>
      <c r="AR371" s="287"/>
      <c r="AS371" s="287"/>
      <c r="AT371" s="291"/>
      <c r="AU371" s="289"/>
      <c r="AV371" s="287"/>
      <c r="AW371" s="287"/>
      <c r="AX371" s="287"/>
      <c r="AY371" s="291"/>
      <c r="AZ371" s="289"/>
      <c r="BA371" s="287"/>
      <c r="BB371" s="287"/>
      <c r="BC371" s="287"/>
      <c r="BD371" s="291"/>
      <c r="BE371" s="289"/>
      <c r="BF371" s="287"/>
      <c r="BG371" s="287"/>
      <c r="BH371" s="287"/>
      <c r="BI371" s="291"/>
      <c r="BJ371" s="289"/>
      <c r="BK371" s="287"/>
      <c r="BL371" s="287"/>
      <c r="BM371" s="287"/>
      <c r="BN371" s="291"/>
      <c r="BO371" s="289"/>
      <c r="BP371" s="287"/>
      <c r="BQ371" s="287"/>
      <c r="BR371" s="287"/>
      <c r="BS371" s="291"/>
      <c r="BT371" s="289"/>
      <c r="BU371" s="287"/>
      <c r="BV371" s="287"/>
      <c r="BW371" s="287"/>
      <c r="BX371" s="291"/>
      <c r="BY371" s="289"/>
      <c r="BZ371" s="287"/>
      <c r="CA371" s="287"/>
      <c r="CB371" s="287"/>
      <c r="CC371" s="291"/>
      <c r="CD371" s="289"/>
      <c r="CE371" s="287"/>
      <c r="CF371" s="287"/>
      <c r="CG371" s="287"/>
      <c r="CH371" s="291"/>
      <c r="CI371" s="289"/>
      <c r="CJ371" s="287"/>
      <c r="CK371" s="287"/>
      <c r="CL371" s="287"/>
      <c r="CM371" s="291"/>
      <c r="CN371" s="289"/>
      <c r="CO371" s="287"/>
      <c r="CP371" s="287"/>
      <c r="CQ371" s="287"/>
      <c r="CR371" s="291"/>
      <c r="CS371" s="289"/>
      <c r="CT371" s="287"/>
      <c r="CU371" s="287"/>
      <c r="CV371" s="287"/>
      <c r="CW371" s="291"/>
      <c r="CX371" s="289"/>
      <c r="CY371" s="287"/>
      <c r="CZ371" s="287"/>
      <c r="DA371" s="287"/>
      <c r="DB371" s="291"/>
      <c r="DC371" s="287"/>
      <c r="DD371" s="287"/>
      <c r="DE371" s="287"/>
      <c r="DF371" s="287"/>
      <c r="DG371" s="287"/>
      <c r="DH371" s="287"/>
      <c r="DI371" s="287"/>
      <c r="DJ371" s="287"/>
      <c r="DK371" s="345"/>
      <c r="DL371" s="345"/>
      <c r="DM371" s="9"/>
    </row>
    <row r="372" spans="1:117" outlineLevel="1">
      <c r="A372" s="36" t="s">
        <v>55</v>
      </c>
      <c r="B372" s="331">
        <f t="shared" ref="B372:AH372" si="660">SUM(B367:B371)</f>
        <v>171.67199999999997</v>
      </c>
      <c r="C372" s="313">
        <f t="shared" si="660"/>
        <v>81.405000000000001</v>
      </c>
      <c r="D372" s="313">
        <f t="shared" si="660"/>
        <v>66.929000000000002</v>
      </c>
      <c r="E372" s="313">
        <f t="shared" si="660"/>
        <v>136.18700000000001</v>
      </c>
      <c r="F372" s="332">
        <f t="shared" si="660"/>
        <v>456.19299999999998</v>
      </c>
      <c r="G372" s="312">
        <f t="shared" si="660"/>
        <v>168.67400000000001</v>
      </c>
      <c r="H372" s="313">
        <f t="shared" si="660"/>
        <v>83.246999999999986</v>
      </c>
      <c r="I372" s="313">
        <f t="shared" si="660"/>
        <v>82.054000000000016</v>
      </c>
      <c r="J372" s="313">
        <f t="shared" si="660"/>
        <v>145.69500000000005</v>
      </c>
      <c r="K372" s="311">
        <f t="shared" si="660"/>
        <v>479.67000000000007</v>
      </c>
      <c r="L372" s="312">
        <f t="shared" si="660"/>
        <v>162.83000000000001</v>
      </c>
      <c r="M372" s="313">
        <f t="shared" si="660"/>
        <v>96.050999999999988</v>
      </c>
      <c r="N372" s="313">
        <f t="shared" si="660"/>
        <v>82.971000000000004</v>
      </c>
      <c r="O372" s="313">
        <f t="shared" si="660"/>
        <v>148.048</v>
      </c>
      <c r="P372" s="332">
        <f t="shared" si="660"/>
        <v>489.9</v>
      </c>
      <c r="Q372" s="312">
        <f t="shared" si="660"/>
        <v>193.50799999999998</v>
      </c>
      <c r="R372" s="313">
        <f t="shared" si="660"/>
        <v>104.50999999999998</v>
      </c>
      <c r="S372" s="313">
        <f t="shared" si="660"/>
        <v>91.986999999999995</v>
      </c>
      <c r="T372" s="313">
        <f t="shared" si="660"/>
        <v>157.59499999999997</v>
      </c>
      <c r="U372" s="311">
        <f t="shared" si="660"/>
        <v>547.6</v>
      </c>
      <c r="V372" s="312">
        <f t="shared" si="660"/>
        <v>194.04599999999999</v>
      </c>
      <c r="W372" s="313">
        <f t="shared" si="660"/>
        <v>105.79400000000001</v>
      </c>
      <c r="X372" s="313">
        <f t="shared" si="660"/>
        <v>95.966999999999999</v>
      </c>
      <c r="Y372" s="313">
        <f t="shared" si="660"/>
        <v>156.49299999999999</v>
      </c>
      <c r="Z372" s="311">
        <f t="shared" si="660"/>
        <v>552.29999999999995</v>
      </c>
      <c r="AA372" s="312">
        <f t="shared" si="660"/>
        <v>196.10000000000002</v>
      </c>
      <c r="AB372" s="313">
        <f t="shared" si="660"/>
        <v>108.89999999999999</v>
      </c>
      <c r="AC372" s="313">
        <f t="shared" si="660"/>
        <v>100.2</v>
      </c>
      <c r="AD372" s="313">
        <f t="shared" si="660"/>
        <v>180.7</v>
      </c>
      <c r="AE372" s="311">
        <f t="shared" si="660"/>
        <v>585.9</v>
      </c>
      <c r="AF372" s="354">
        <f t="shared" si="660"/>
        <v>203.7</v>
      </c>
      <c r="AG372" s="354">
        <f t="shared" si="660"/>
        <v>130</v>
      </c>
      <c r="AH372" s="354">
        <f t="shared" si="660"/>
        <v>119.99999999999997</v>
      </c>
      <c r="AI372" s="313">
        <f t="shared" ref="AI372:AP372" si="661">SUM(AI367:AI371)</f>
        <v>171.20000000000002</v>
      </c>
      <c r="AJ372" s="311">
        <f t="shared" si="661"/>
        <v>624.90000000000009</v>
      </c>
      <c r="AK372" s="354">
        <f t="shared" si="661"/>
        <v>204.1</v>
      </c>
      <c r="AL372" s="354">
        <f t="shared" si="661"/>
        <v>130.5</v>
      </c>
      <c r="AM372" s="354">
        <f t="shared" si="661"/>
        <v>119.39999999999999</v>
      </c>
      <c r="AN372" s="313">
        <f t="shared" si="661"/>
        <v>168.99999999999994</v>
      </c>
      <c r="AO372" s="311">
        <f t="shared" si="661"/>
        <v>623</v>
      </c>
      <c r="AP372" s="287">
        <f t="shared" si="661"/>
        <v>200.99999999999997</v>
      </c>
      <c r="AQ372" s="287">
        <v>130.6</v>
      </c>
      <c r="AR372" s="287">
        <v>123.4</v>
      </c>
      <c r="AS372" s="287">
        <v>176.8</v>
      </c>
      <c r="AT372" s="311">
        <f>SUM(AP372:AS372)</f>
        <v>631.79999999999995</v>
      </c>
      <c r="AU372" s="287">
        <f>SUM(AU367:AU371)</f>
        <v>214</v>
      </c>
      <c r="AV372" s="287">
        <v>147.6</v>
      </c>
      <c r="AW372" s="287">
        <v>131.69999999999999</v>
      </c>
      <c r="AX372" s="287">
        <v>188.3</v>
      </c>
      <c r="AY372" s="311">
        <f>SUM(AU372:AX372)</f>
        <v>681.6</v>
      </c>
      <c r="AZ372" s="313"/>
      <c r="BA372" s="313"/>
      <c r="BB372" s="313"/>
      <c r="BC372" s="313"/>
      <c r="BD372" s="311"/>
      <c r="BE372" s="313"/>
      <c r="BF372" s="313"/>
      <c r="BG372" s="313"/>
      <c r="BH372" s="313"/>
      <c r="BI372" s="311"/>
      <c r="BJ372" s="313"/>
      <c r="BK372" s="313"/>
      <c r="BL372" s="313"/>
      <c r="BM372" s="313"/>
      <c r="BN372" s="311"/>
      <c r="BO372" s="313"/>
      <c r="BP372" s="313"/>
      <c r="BQ372" s="313"/>
      <c r="BR372" s="313"/>
      <c r="BS372" s="311"/>
      <c r="BT372" s="313"/>
      <c r="BU372" s="313"/>
      <c r="BV372" s="313"/>
      <c r="BW372" s="313"/>
      <c r="BX372" s="311"/>
      <c r="BY372" s="313"/>
      <c r="BZ372" s="313"/>
      <c r="CA372" s="313"/>
      <c r="CB372" s="313"/>
      <c r="CC372" s="311"/>
      <c r="CD372" s="313"/>
      <c r="CE372" s="313"/>
      <c r="CF372" s="313"/>
      <c r="CG372" s="313"/>
      <c r="CH372" s="311"/>
      <c r="CI372" s="313"/>
      <c r="CJ372" s="313"/>
      <c r="CK372" s="313"/>
      <c r="CL372" s="313"/>
      <c r="CM372" s="311"/>
      <c r="CN372" s="313"/>
      <c r="CO372" s="313"/>
      <c r="CP372" s="313"/>
      <c r="CQ372" s="313"/>
      <c r="CR372" s="311"/>
      <c r="CS372" s="313"/>
      <c r="CT372" s="313"/>
      <c r="CU372" s="313"/>
      <c r="CV372" s="313"/>
      <c r="CW372" s="311"/>
      <c r="CX372" s="313"/>
      <c r="CY372" s="313"/>
      <c r="CZ372" s="313"/>
      <c r="DA372" s="313"/>
      <c r="DB372" s="311"/>
      <c r="DC372" s="313"/>
      <c r="DD372" s="313"/>
      <c r="DE372" s="313"/>
      <c r="DF372" s="313"/>
      <c r="DG372" s="313"/>
      <c r="DH372" s="313"/>
      <c r="DI372" s="313"/>
      <c r="DJ372" s="313"/>
      <c r="DK372" s="418"/>
      <c r="DL372" s="418"/>
      <c r="DM372" s="9"/>
    </row>
    <row r="373" spans="1:117" outlineLevel="1">
      <c r="A373" s="107" t="s">
        <v>652</v>
      </c>
      <c r="B373" s="321"/>
      <c r="C373" s="322"/>
      <c r="D373" s="322"/>
      <c r="E373" s="322"/>
      <c r="F373" s="327"/>
      <c r="G373" s="302">
        <f t="shared" ref="G373:Z373" si="662">G372/B372-1</f>
        <v>-1.7463535113471984E-2</v>
      </c>
      <c r="H373" s="149">
        <f t="shared" si="662"/>
        <v>2.2627602727105067E-2</v>
      </c>
      <c r="I373" s="149">
        <f t="shared" si="662"/>
        <v>0.22598574608913946</v>
      </c>
      <c r="J373" s="149">
        <f t="shared" si="662"/>
        <v>6.9815768024848568E-2</v>
      </c>
      <c r="K373" s="150">
        <f t="shared" si="662"/>
        <v>5.1462867689771929E-2</v>
      </c>
      <c r="L373" s="302">
        <f t="shared" si="662"/>
        <v>-3.4646714964961967E-2</v>
      </c>
      <c r="M373" s="149">
        <f t="shared" si="662"/>
        <v>0.1538073444088075</v>
      </c>
      <c r="N373" s="149">
        <f t="shared" si="662"/>
        <v>1.1175567309332779E-2</v>
      </c>
      <c r="O373" s="149">
        <f t="shared" si="662"/>
        <v>1.6150176739077926E-2</v>
      </c>
      <c r="P373" s="150">
        <f t="shared" si="662"/>
        <v>2.1327162424166435E-2</v>
      </c>
      <c r="Q373" s="302">
        <f t="shared" si="662"/>
        <v>0.18840508505803588</v>
      </c>
      <c r="R373" s="149">
        <f t="shared" si="662"/>
        <v>8.8067797316009111E-2</v>
      </c>
      <c r="S373" s="149">
        <f t="shared" si="662"/>
        <v>0.1086644731291655</v>
      </c>
      <c r="T373" s="149">
        <f t="shared" si="662"/>
        <v>6.4485842429482076E-2</v>
      </c>
      <c r="U373" s="150">
        <f t="shared" si="662"/>
        <v>0.11777913859971423</v>
      </c>
      <c r="V373" s="302">
        <f t="shared" si="662"/>
        <v>2.7802468115014634E-3</v>
      </c>
      <c r="W373" s="149">
        <f t="shared" si="662"/>
        <v>1.2285905654961571E-2</v>
      </c>
      <c r="X373" s="149">
        <f t="shared" si="662"/>
        <v>4.3266983378086099E-2</v>
      </c>
      <c r="Y373" s="149">
        <f t="shared" si="662"/>
        <v>-6.9926076334907439E-3</v>
      </c>
      <c r="Z373" s="150">
        <f t="shared" si="662"/>
        <v>8.5829072315557475E-3</v>
      </c>
      <c r="AA373" s="302">
        <f t="shared" ref="AA373:AW373" si="663">AA372/V372-1</f>
        <v>1.0585118992403997E-2</v>
      </c>
      <c r="AB373" s="149">
        <f t="shared" si="663"/>
        <v>2.9358942851201109E-2</v>
      </c>
      <c r="AC373" s="149">
        <f t="shared" si="663"/>
        <v>4.4108912438650894E-2</v>
      </c>
      <c r="AD373" s="149">
        <f t="shared" si="663"/>
        <v>0.1546842350776072</v>
      </c>
      <c r="AE373" s="150">
        <f t="shared" si="663"/>
        <v>6.083650190114076E-2</v>
      </c>
      <c r="AF373" s="355">
        <f t="shared" si="663"/>
        <v>3.8755736868944179E-2</v>
      </c>
      <c r="AG373" s="149">
        <f t="shared" si="663"/>
        <v>0.19375573921028466</v>
      </c>
      <c r="AH373" s="149">
        <f t="shared" si="663"/>
        <v>0.19760479041916135</v>
      </c>
      <c r="AI373" s="149">
        <f>AI372/AD372-1</f>
        <v>-5.257332595462072E-2</v>
      </c>
      <c r="AJ373" s="150">
        <f>AJ372/AE372-1</f>
        <v>6.6564260112647489E-2</v>
      </c>
      <c r="AK373" s="355">
        <f>AK372/AF372-1</f>
        <v>1.9636720667648433E-3</v>
      </c>
      <c r="AL373" s="361">
        <f>AL372/AG372-1</f>
        <v>3.8461538461538325E-3</v>
      </c>
      <c r="AM373" s="149">
        <f t="shared" si="663"/>
        <v>-4.9999999999997824E-3</v>
      </c>
      <c r="AN373" s="149">
        <f>AN372/AI372-1</f>
        <v>-1.2850467289720058E-2</v>
      </c>
      <c r="AO373" s="150">
        <f>AO372/AJ372-1</f>
        <v>-3.0404864778366125E-3</v>
      </c>
      <c r="AP373" s="302">
        <f>AP372/AK372-1</f>
        <v>-1.5188633023028086E-2</v>
      </c>
      <c r="AQ373" s="149">
        <f t="shared" si="663"/>
        <v>7.6628352490426543E-4</v>
      </c>
      <c r="AR373" s="149">
        <f t="shared" si="663"/>
        <v>3.3500837520938243E-2</v>
      </c>
      <c r="AS373" s="149">
        <f t="shared" si="663"/>
        <v>4.6153846153846656E-2</v>
      </c>
      <c r="AT373" s="150">
        <f t="shared" si="663"/>
        <v>1.412520064205447E-2</v>
      </c>
      <c r="AU373" s="302">
        <f>AU372/AP372-1</f>
        <v>6.4676616915423146E-2</v>
      </c>
      <c r="AV373" s="149">
        <f t="shared" si="663"/>
        <v>0.13016845329249627</v>
      </c>
      <c r="AW373" s="149">
        <f t="shared" si="663"/>
        <v>6.7260940032414673E-2</v>
      </c>
      <c r="AX373" s="149">
        <f>AX372/AS372-1</f>
        <v>6.5045248868778272E-2</v>
      </c>
      <c r="AY373" s="150">
        <f>AY372/AT372-1</f>
        <v>7.8822412155745702E-2</v>
      </c>
      <c r="AZ373" s="302"/>
      <c r="BA373" s="149"/>
      <c r="BB373" s="149"/>
      <c r="BC373" s="149"/>
      <c r="BD373" s="150"/>
      <c r="BE373" s="302"/>
      <c r="BF373" s="540"/>
      <c r="BG373" s="149"/>
      <c r="BH373" s="540"/>
      <c r="BI373" s="534"/>
      <c r="BJ373" s="302"/>
      <c r="BK373" s="540"/>
      <c r="BL373" s="149"/>
      <c r="BM373" s="149"/>
      <c r="BN373" s="150"/>
      <c r="BO373" s="302"/>
      <c r="BP373" s="149"/>
      <c r="BQ373" s="149"/>
      <c r="BR373" s="149"/>
      <c r="BS373" s="150"/>
      <c r="BT373" s="302"/>
      <c r="BU373" s="149"/>
      <c r="BV373" s="149"/>
      <c r="BW373" s="149"/>
      <c r="BX373" s="150"/>
      <c r="BY373" s="302"/>
      <c r="BZ373" s="149"/>
      <c r="CA373" s="149"/>
      <c r="CB373" s="149"/>
      <c r="CC373" s="150"/>
      <c r="CD373" s="302"/>
      <c r="CE373" s="149"/>
      <c r="CF373" s="149"/>
      <c r="CG373" s="149"/>
      <c r="CH373" s="150"/>
      <c r="CI373" s="302"/>
      <c r="CJ373" s="149"/>
      <c r="CK373" s="149"/>
      <c r="CL373" s="149"/>
      <c r="CM373" s="150"/>
      <c r="CN373" s="302"/>
      <c r="CO373" s="149"/>
      <c r="CP373" s="149"/>
      <c r="CQ373" s="149"/>
      <c r="CR373" s="150"/>
      <c r="CS373" s="302"/>
      <c r="CT373" s="149"/>
      <c r="CU373" s="149"/>
      <c r="CV373" s="149"/>
      <c r="CW373" s="150"/>
      <c r="CX373" s="302"/>
      <c r="CY373" s="149"/>
      <c r="CZ373" s="149"/>
      <c r="DA373" s="149"/>
      <c r="DB373" s="150"/>
      <c r="DC373" s="149"/>
      <c r="DD373" s="149"/>
      <c r="DE373" s="149"/>
      <c r="DF373" s="149"/>
      <c r="DG373" s="149"/>
      <c r="DH373" s="149"/>
      <c r="DI373" s="149"/>
      <c r="DJ373" s="149"/>
      <c r="DK373" s="400"/>
      <c r="DL373" s="400"/>
      <c r="DM373" s="108"/>
    </row>
    <row r="374" spans="1:117" outlineLevel="1">
      <c r="A374" s="34" t="s">
        <v>713</v>
      </c>
      <c r="B374" s="331">
        <f>39.148-C374</f>
        <v>23.334000000000003</v>
      </c>
      <c r="C374" s="287">
        <v>15.814</v>
      </c>
      <c r="D374" s="287">
        <v>16.274999999999999</v>
      </c>
      <c r="E374" s="313">
        <f t="shared" si="654"/>
        <v>19.900999999999996</v>
      </c>
      <c r="F374" s="288">
        <v>75.323999999999998</v>
      </c>
      <c r="G374" s="312">
        <f>41.389-H374</f>
        <v>25.093000000000004</v>
      </c>
      <c r="H374" s="287">
        <v>16.295999999999999</v>
      </c>
      <c r="I374" s="287">
        <v>16.853999999999999</v>
      </c>
      <c r="J374" s="313">
        <f t="shared" si="655"/>
        <v>21.865999999999993</v>
      </c>
      <c r="K374" s="290">
        <v>80.108999999999995</v>
      </c>
      <c r="L374" s="289">
        <v>22.492999999999999</v>
      </c>
      <c r="M374" s="287">
        <v>15.855</v>
      </c>
      <c r="N374" s="287">
        <v>17.134</v>
      </c>
      <c r="O374" s="313">
        <f t="shared" si="656"/>
        <v>21.418000000000006</v>
      </c>
      <c r="P374" s="290">
        <v>76.900000000000006</v>
      </c>
      <c r="Q374" s="289">
        <v>24.670999999999999</v>
      </c>
      <c r="R374" s="287">
        <v>17.024999999999999</v>
      </c>
      <c r="S374" s="287">
        <v>17.102</v>
      </c>
      <c r="T374" s="313">
        <f t="shared" si="657"/>
        <v>21.801999999999992</v>
      </c>
      <c r="U374" s="290">
        <v>80.599999999999994</v>
      </c>
      <c r="V374" s="289">
        <v>27.251000000000001</v>
      </c>
      <c r="W374" s="287">
        <v>18.795999999999999</v>
      </c>
      <c r="X374" s="287">
        <v>18.096</v>
      </c>
      <c r="Y374" s="313">
        <f t="shared" si="658"/>
        <v>23.156999999999996</v>
      </c>
      <c r="Z374" s="290">
        <v>87.3</v>
      </c>
      <c r="AA374" s="289">
        <v>26.5</v>
      </c>
      <c r="AB374" s="287">
        <v>19.2</v>
      </c>
      <c r="AC374" s="287">
        <v>17.8</v>
      </c>
      <c r="AD374" s="313">
        <f t="shared" si="659"/>
        <v>24.099999999999994</v>
      </c>
      <c r="AE374" s="290">
        <v>87.6</v>
      </c>
      <c r="AF374" s="345">
        <v>29.6</v>
      </c>
      <c r="AG374" s="287">
        <v>18.5</v>
      </c>
      <c r="AH374" s="287">
        <v>19</v>
      </c>
      <c r="AI374" s="313">
        <f>AJ374-SUM(AF374:AH374)</f>
        <v>24.400000000000006</v>
      </c>
      <c r="AJ374" s="290">
        <v>91.5</v>
      </c>
      <c r="AK374" s="345">
        <v>29</v>
      </c>
      <c r="AL374" s="287">
        <v>19</v>
      </c>
      <c r="AM374" s="287">
        <v>19.3</v>
      </c>
      <c r="AN374" s="287">
        <v>23.6</v>
      </c>
      <c r="AO374" s="311">
        <f>SUM(AK374:AN374)</f>
        <v>90.9</v>
      </c>
      <c r="AP374" s="345">
        <v>27</v>
      </c>
      <c r="AQ374" s="345">
        <v>18.3</v>
      </c>
      <c r="AR374" s="345">
        <v>19.899999999999999</v>
      </c>
      <c r="AS374" s="345">
        <v>23.6</v>
      </c>
      <c r="AT374" s="311">
        <f>SUM(AP374:AS374)</f>
        <v>88.799999999999983</v>
      </c>
      <c r="AU374" s="345">
        <v>29.3</v>
      </c>
      <c r="AV374" s="345">
        <v>22.8</v>
      </c>
      <c r="AW374" s="345">
        <v>19.7</v>
      </c>
      <c r="AX374" s="345">
        <v>26.9</v>
      </c>
      <c r="AY374" s="311">
        <f>SUM(AU374:AX374)</f>
        <v>98.699999999999989</v>
      </c>
      <c r="AZ374" s="313"/>
      <c r="BA374" s="313"/>
      <c r="BB374" s="313"/>
      <c r="BC374" s="313"/>
      <c r="BD374" s="311"/>
      <c r="BE374" s="313"/>
      <c r="BF374" s="313"/>
      <c r="BG374" s="313"/>
      <c r="BH374" s="313"/>
      <c r="BI374" s="311"/>
      <c r="BJ374" s="313"/>
      <c r="BK374" s="313"/>
      <c r="BL374" s="313"/>
      <c r="BM374" s="313"/>
      <c r="BN374" s="311"/>
      <c r="BO374" s="313"/>
      <c r="BP374" s="313"/>
      <c r="BQ374" s="313"/>
      <c r="BR374" s="313"/>
      <c r="BS374" s="311"/>
      <c r="BT374" s="313"/>
      <c r="BU374" s="313"/>
      <c r="BV374" s="313"/>
      <c r="BW374" s="313"/>
      <c r="BX374" s="311"/>
      <c r="BY374" s="313"/>
      <c r="BZ374" s="313"/>
      <c r="CA374" s="313"/>
      <c r="CB374" s="313"/>
      <c r="CC374" s="311"/>
      <c r="CD374" s="313"/>
      <c r="CE374" s="313"/>
      <c r="CF374" s="313"/>
      <c r="CG374" s="313"/>
      <c r="CH374" s="311"/>
      <c r="CI374" s="313"/>
      <c r="CJ374" s="313"/>
      <c r="CK374" s="313"/>
      <c r="CL374" s="313"/>
      <c r="CM374" s="311"/>
      <c r="CN374" s="313"/>
      <c r="CO374" s="313"/>
      <c r="CP374" s="313"/>
      <c r="CQ374" s="313"/>
      <c r="CR374" s="311"/>
      <c r="CS374" s="313"/>
      <c r="CT374" s="313"/>
      <c r="CU374" s="313"/>
      <c r="CV374" s="313"/>
      <c r="CW374" s="311"/>
      <c r="CX374" s="313"/>
      <c r="CY374" s="313"/>
      <c r="CZ374" s="313"/>
      <c r="DA374" s="313"/>
      <c r="DB374" s="311"/>
      <c r="DC374" s="313"/>
      <c r="DD374" s="313"/>
      <c r="DE374" s="313"/>
      <c r="DF374" s="313"/>
      <c r="DG374" s="313"/>
      <c r="DH374" s="313"/>
      <c r="DI374" s="313"/>
      <c r="DJ374" s="313"/>
      <c r="DK374" s="418"/>
      <c r="DL374" s="418"/>
      <c r="DM374" s="9"/>
    </row>
    <row r="375" spans="1:117" outlineLevel="1">
      <c r="A375" s="107" t="s">
        <v>652</v>
      </c>
      <c r="B375" s="321"/>
      <c r="C375" s="322"/>
      <c r="D375" s="322"/>
      <c r="E375" s="322"/>
      <c r="F375" s="327"/>
      <c r="G375" s="302">
        <f t="shared" ref="G375:AF375" si="664">G374/B374-1</f>
        <v>7.538356046970085E-2</v>
      </c>
      <c r="H375" s="149">
        <f t="shared" si="664"/>
        <v>3.0479322119640884E-2</v>
      </c>
      <c r="I375" s="149">
        <f t="shared" si="664"/>
        <v>3.5576036866359573E-2</v>
      </c>
      <c r="J375" s="149">
        <f t="shared" si="664"/>
        <v>9.8738756846389553E-2</v>
      </c>
      <c r="K375" s="150">
        <f t="shared" si="664"/>
        <v>6.3525569539588878E-2</v>
      </c>
      <c r="L375" s="302">
        <f t="shared" si="664"/>
        <v>-0.10361455385964236</v>
      </c>
      <c r="M375" s="149">
        <f t="shared" si="664"/>
        <v>-2.7061855670102997E-2</v>
      </c>
      <c r="N375" s="149">
        <f t="shared" si="664"/>
        <v>1.6613266880265876E-2</v>
      </c>
      <c r="O375" s="149">
        <f t="shared" si="664"/>
        <v>-2.0488429525289731E-2</v>
      </c>
      <c r="P375" s="150">
        <f t="shared" si="664"/>
        <v>-4.0057921082524928E-2</v>
      </c>
      <c r="Q375" s="302">
        <f t="shared" si="664"/>
        <v>9.6830124927755445E-2</v>
      </c>
      <c r="R375" s="149">
        <f t="shared" si="664"/>
        <v>7.3793755912961112E-2</v>
      </c>
      <c r="S375" s="149">
        <f t="shared" si="664"/>
        <v>-1.8676316096649659E-3</v>
      </c>
      <c r="T375" s="149">
        <f t="shared" si="664"/>
        <v>1.7928844896815122E-2</v>
      </c>
      <c r="U375" s="150">
        <f t="shared" si="664"/>
        <v>4.8114434330298828E-2</v>
      </c>
      <c r="V375" s="302">
        <f t="shared" si="664"/>
        <v>0.10457622309594261</v>
      </c>
      <c r="W375" s="149">
        <f t="shared" si="664"/>
        <v>0.10402349486049922</v>
      </c>
      <c r="X375" s="149">
        <f t="shared" si="664"/>
        <v>5.8121857092737761E-2</v>
      </c>
      <c r="Y375" s="149">
        <f t="shared" si="664"/>
        <v>6.2150261443904453E-2</v>
      </c>
      <c r="Z375" s="150">
        <f t="shared" si="664"/>
        <v>8.3126550868486415E-2</v>
      </c>
      <c r="AA375" s="302">
        <f t="shared" si="664"/>
        <v>-2.7558621701955888E-2</v>
      </c>
      <c r="AB375" s="149">
        <f t="shared" si="664"/>
        <v>2.1493934879761589E-2</v>
      </c>
      <c r="AC375" s="149">
        <f t="shared" ref="AC375:AW375" si="665">AC374/X374-1</f>
        <v>-1.6357206012378445E-2</v>
      </c>
      <c r="AD375" s="149">
        <f t="shared" si="664"/>
        <v>4.0722027896532342E-2</v>
      </c>
      <c r="AE375" s="150">
        <f t="shared" si="664"/>
        <v>3.4364261168384758E-3</v>
      </c>
      <c r="AF375" s="355">
        <f t="shared" si="664"/>
        <v>0.11698113207547167</v>
      </c>
      <c r="AG375" s="149">
        <f t="shared" si="665"/>
        <v>-3.6458333333333259E-2</v>
      </c>
      <c r="AH375" s="149">
        <f t="shared" si="665"/>
        <v>6.7415730337078594E-2</v>
      </c>
      <c r="AI375" s="149">
        <f>AI374/AD374-1</f>
        <v>1.2448132780083387E-2</v>
      </c>
      <c r="AJ375" s="150">
        <f>AJ374/AE374-1</f>
        <v>4.4520547945205546E-2</v>
      </c>
      <c r="AK375" s="355">
        <f>AK374/AF374-1</f>
        <v>-2.0270270270270285E-2</v>
      </c>
      <c r="AL375" s="361">
        <f>AL374/AG374-1</f>
        <v>2.7027027027026973E-2</v>
      </c>
      <c r="AM375" s="149">
        <f t="shared" si="665"/>
        <v>1.5789473684210575E-2</v>
      </c>
      <c r="AN375" s="149">
        <f t="shared" si="665"/>
        <v>-3.2786885245901787E-2</v>
      </c>
      <c r="AO375" s="150">
        <f t="shared" si="665"/>
        <v>-6.5573770491802463E-3</v>
      </c>
      <c r="AP375" s="302">
        <f t="shared" si="665"/>
        <v>-6.8965517241379337E-2</v>
      </c>
      <c r="AQ375" s="149">
        <f t="shared" si="665"/>
        <v>-3.6842105263157898E-2</v>
      </c>
      <c r="AR375" s="149">
        <f t="shared" si="665"/>
        <v>3.1088082901554293E-2</v>
      </c>
      <c r="AS375" s="149">
        <f t="shared" si="665"/>
        <v>0</v>
      </c>
      <c r="AT375" s="150">
        <f t="shared" si="665"/>
        <v>-2.3102310231023382E-2</v>
      </c>
      <c r="AU375" s="302">
        <f t="shared" si="665"/>
        <v>8.5185185185185253E-2</v>
      </c>
      <c r="AV375" s="149">
        <f t="shared" si="665"/>
        <v>0.24590163934426235</v>
      </c>
      <c r="AW375" s="149">
        <f t="shared" si="665"/>
        <v>-1.005025125628134E-2</v>
      </c>
      <c r="AX375" s="149">
        <f>AX374/AS374-1</f>
        <v>0.13983050847457612</v>
      </c>
      <c r="AY375" s="150">
        <f>AY374/AT374-1</f>
        <v>0.11148648648648662</v>
      </c>
      <c r="AZ375" s="302"/>
      <c r="BA375" s="149"/>
      <c r="BB375" s="149"/>
      <c r="BC375" s="149"/>
      <c r="BD375" s="150"/>
      <c r="BE375" s="302"/>
      <c r="BF375" s="540"/>
      <c r="BG375" s="149"/>
      <c r="BH375" s="540"/>
      <c r="BI375" s="534"/>
      <c r="BJ375" s="302"/>
      <c r="BK375" s="540"/>
      <c r="BL375" s="149"/>
      <c r="BM375" s="149"/>
      <c r="BN375" s="150"/>
      <c r="BO375" s="302"/>
      <c r="BP375" s="149"/>
      <c r="BQ375" s="149"/>
      <c r="BR375" s="149"/>
      <c r="BS375" s="150"/>
      <c r="BT375" s="302"/>
      <c r="BU375" s="149"/>
      <c r="BV375" s="149"/>
      <c r="BW375" s="149"/>
      <c r="BX375" s="150"/>
      <c r="BY375" s="302"/>
      <c r="BZ375" s="149"/>
      <c r="CA375" s="149"/>
      <c r="CB375" s="149"/>
      <c r="CC375" s="150"/>
      <c r="CD375" s="302"/>
      <c r="CE375" s="149"/>
      <c r="CF375" s="149"/>
      <c r="CG375" s="149"/>
      <c r="CH375" s="150"/>
      <c r="CI375" s="302"/>
      <c r="CJ375" s="149"/>
      <c r="CK375" s="149"/>
      <c r="CL375" s="149"/>
      <c r="CM375" s="150"/>
      <c r="CN375" s="302"/>
      <c r="CO375" s="149"/>
      <c r="CP375" s="149"/>
      <c r="CQ375" s="149"/>
      <c r="CR375" s="150"/>
      <c r="CS375" s="302"/>
      <c r="CT375" s="149"/>
      <c r="CU375" s="149"/>
      <c r="CV375" s="149"/>
      <c r="CW375" s="150"/>
      <c r="CX375" s="302"/>
      <c r="CY375" s="149"/>
      <c r="CZ375" s="149"/>
      <c r="DA375" s="149"/>
      <c r="DB375" s="150"/>
      <c r="DC375" s="149"/>
      <c r="DD375" s="149"/>
      <c r="DE375" s="149"/>
      <c r="DF375" s="149"/>
      <c r="DG375" s="149"/>
      <c r="DH375" s="149"/>
      <c r="DI375" s="149"/>
      <c r="DJ375" s="149"/>
      <c r="DK375" s="400"/>
      <c r="DL375" s="400"/>
      <c r="DM375" s="108"/>
    </row>
    <row r="376" spans="1:117" outlineLevel="1">
      <c r="A376" s="28" t="s">
        <v>729</v>
      </c>
      <c r="B376" s="142">
        <f t="shared" ref="B376:AB376" si="666">B372+B374</f>
        <v>195.00599999999997</v>
      </c>
      <c r="C376" s="143">
        <f t="shared" si="666"/>
        <v>97.218999999999994</v>
      </c>
      <c r="D376" s="143">
        <f t="shared" si="666"/>
        <v>83.204000000000008</v>
      </c>
      <c r="E376" s="143">
        <f t="shared" si="666"/>
        <v>156.08800000000002</v>
      </c>
      <c r="F376" s="144">
        <f t="shared" si="666"/>
        <v>531.51699999999994</v>
      </c>
      <c r="G376" s="145">
        <f t="shared" si="666"/>
        <v>193.767</v>
      </c>
      <c r="H376" s="143">
        <f t="shared" si="666"/>
        <v>99.542999999999978</v>
      </c>
      <c r="I376" s="143">
        <f t="shared" si="666"/>
        <v>98.908000000000015</v>
      </c>
      <c r="J376" s="143">
        <f t="shared" si="666"/>
        <v>167.56100000000004</v>
      </c>
      <c r="K376" s="144">
        <f t="shared" si="666"/>
        <v>559.77900000000011</v>
      </c>
      <c r="L376" s="145">
        <f t="shared" si="666"/>
        <v>185.32300000000001</v>
      </c>
      <c r="M376" s="143">
        <f t="shared" si="666"/>
        <v>111.90599999999999</v>
      </c>
      <c r="N376" s="143">
        <f t="shared" si="666"/>
        <v>100.105</v>
      </c>
      <c r="O376" s="143">
        <f t="shared" si="666"/>
        <v>169.46600000000001</v>
      </c>
      <c r="P376" s="144">
        <f t="shared" si="666"/>
        <v>566.79999999999995</v>
      </c>
      <c r="Q376" s="145">
        <f t="shared" si="666"/>
        <v>218.17899999999997</v>
      </c>
      <c r="R376" s="143">
        <f t="shared" si="666"/>
        <v>121.53499999999997</v>
      </c>
      <c r="S376" s="143">
        <f t="shared" si="666"/>
        <v>109.089</v>
      </c>
      <c r="T376" s="143">
        <f t="shared" si="666"/>
        <v>179.39699999999996</v>
      </c>
      <c r="U376" s="144">
        <f t="shared" si="666"/>
        <v>628.20000000000005</v>
      </c>
      <c r="V376" s="145">
        <f t="shared" si="666"/>
        <v>221.297</v>
      </c>
      <c r="W376" s="143">
        <f t="shared" si="666"/>
        <v>124.59</v>
      </c>
      <c r="X376" s="143">
        <f t="shared" si="666"/>
        <v>114.063</v>
      </c>
      <c r="Y376" s="143">
        <f t="shared" si="666"/>
        <v>179.64999999999998</v>
      </c>
      <c r="Z376" s="144">
        <f t="shared" si="666"/>
        <v>639.59999999999991</v>
      </c>
      <c r="AA376" s="145">
        <f>AA372+AA374</f>
        <v>222.60000000000002</v>
      </c>
      <c r="AB376" s="143">
        <f t="shared" si="666"/>
        <v>128.1</v>
      </c>
      <c r="AC376" s="143">
        <f t="shared" ref="AC376:AH376" si="667">AC372+AC374</f>
        <v>118</v>
      </c>
      <c r="AD376" s="143">
        <f t="shared" si="667"/>
        <v>204.79999999999998</v>
      </c>
      <c r="AE376" s="144">
        <f t="shared" si="667"/>
        <v>673.5</v>
      </c>
      <c r="AF376" s="356">
        <f t="shared" si="667"/>
        <v>233.29999999999998</v>
      </c>
      <c r="AG376" s="143">
        <f t="shared" si="667"/>
        <v>148.5</v>
      </c>
      <c r="AH376" s="143">
        <f t="shared" si="667"/>
        <v>138.99999999999997</v>
      </c>
      <c r="AI376" s="143">
        <f t="shared" ref="AI376:AY376" si="668">AI372+AI374</f>
        <v>195.60000000000002</v>
      </c>
      <c r="AJ376" s="144">
        <f t="shared" si="668"/>
        <v>716.40000000000009</v>
      </c>
      <c r="AK376" s="356">
        <f t="shared" si="668"/>
        <v>233.1</v>
      </c>
      <c r="AL376" s="444">
        <f t="shared" si="668"/>
        <v>149.5</v>
      </c>
      <c r="AM376" s="143">
        <f t="shared" si="668"/>
        <v>138.69999999999999</v>
      </c>
      <c r="AN376" s="143">
        <f t="shared" si="668"/>
        <v>192.59999999999994</v>
      </c>
      <c r="AO376" s="314">
        <f t="shared" si="668"/>
        <v>713.9</v>
      </c>
      <c r="AP376" s="145">
        <f t="shared" si="668"/>
        <v>227.99999999999997</v>
      </c>
      <c r="AQ376" s="143">
        <f t="shared" si="668"/>
        <v>148.9</v>
      </c>
      <c r="AR376" s="143">
        <f t="shared" si="668"/>
        <v>143.30000000000001</v>
      </c>
      <c r="AS376" s="143">
        <f t="shared" si="668"/>
        <v>200.4</v>
      </c>
      <c r="AT376" s="314">
        <f t="shared" si="668"/>
        <v>720.59999999999991</v>
      </c>
      <c r="AU376" s="145">
        <f t="shared" si="668"/>
        <v>243.3</v>
      </c>
      <c r="AV376" s="143">
        <f t="shared" si="668"/>
        <v>170.4</v>
      </c>
      <c r="AW376" s="143">
        <f t="shared" si="668"/>
        <v>151.39999999999998</v>
      </c>
      <c r="AX376" s="143">
        <f t="shared" si="668"/>
        <v>215.20000000000002</v>
      </c>
      <c r="AY376" s="314">
        <f t="shared" si="668"/>
        <v>780.3</v>
      </c>
      <c r="AZ376" s="145"/>
      <c r="BA376" s="143"/>
      <c r="BB376" s="143"/>
      <c r="BC376" s="143"/>
      <c r="BD376" s="314"/>
      <c r="BE376" s="145"/>
      <c r="BF376" s="585"/>
      <c r="BG376" s="143"/>
      <c r="BH376" s="585"/>
      <c r="BI376" s="604"/>
      <c r="BJ376" s="145"/>
      <c r="BK376" s="585"/>
      <c r="BL376" s="143"/>
      <c r="BM376" s="143"/>
      <c r="BN376" s="314"/>
      <c r="BO376" s="145"/>
      <c r="BP376" s="143"/>
      <c r="BQ376" s="143"/>
      <c r="BR376" s="143"/>
      <c r="BS376" s="314"/>
      <c r="BT376" s="145"/>
      <c r="BU376" s="143"/>
      <c r="BV376" s="143"/>
      <c r="BW376" s="143"/>
      <c r="BX376" s="314"/>
      <c r="BY376" s="145"/>
      <c r="BZ376" s="143"/>
      <c r="CA376" s="143"/>
      <c r="CB376" s="143"/>
      <c r="CC376" s="314"/>
      <c r="CD376" s="145"/>
      <c r="CE376" s="143"/>
      <c r="CF376" s="143"/>
      <c r="CG376" s="143"/>
      <c r="CH376" s="314"/>
      <c r="CI376" s="145"/>
      <c r="CJ376" s="143"/>
      <c r="CK376" s="143"/>
      <c r="CL376" s="143"/>
      <c r="CM376" s="314"/>
      <c r="CN376" s="145"/>
      <c r="CO376" s="143"/>
      <c r="CP376" s="143"/>
      <c r="CQ376" s="143"/>
      <c r="CR376" s="314"/>
      <c r="CS376" s="145"/>
      <c r="CT376" s="143"/>
      <c r="CU376" s="143"/>
      <c r="CV376" s="143"/>
      <c r="CW376" s="314"/>
      <c r="CX376" s="145"/>
      <c r="CY376" s="143"/>
      <c r="CZ376" s="143"/>
      <c r="DA376" s="143"/>
      <c r="DB376" s="314"/>
      <c r="DC376" s="143"/>
      <c r="DD376" s="143"/>
      <c r="DE376" s="143"/>
      <c r="DF376" s="143"/>
      <c r="DG376" s="143"/>
      <c r="DH376" s="143"/>
      <c r="DI376" s="143"/>
      <c r="DJ376" s="143"/>
      <c r="DK376" s="419"/>
      <c r="DL376" s="419"/>
      <c r="DM376" s="62"/>
    </row>
    <row r="377" spans="1:117" outlineLevel="1">
      <c r="A377" s="107" t="s">
        <v>652</v>
      </c>
      <c r="B377" s="321"/>
      <c r="C377" s="322"/>
      <c r="D377" s="322"/>
      <c r="E377" s="322"/>
      <c r="F377" s="323"/>
      <c r="G377" s="302">
        <f t="shared" ref="G377:AH377" si="669">G376/B376-1</f>
        <v>-6.3536506569027429E-3</v>
      </c>
      <c r="H377" s="149">
        <f t="shared" si="669"/>
        <v>2.3904792273115261E-2</v>
      </c>
      <c r="I377" s="149">
        <f t="shared" si="669"/>
        <v>0.18874092591702341</v>
      </c>
      <c r="J377" s="149">
        <f t="shared" si="669"/>
        <v>7.3503408333760456E-2</v>
      </c>
      <c r="K377" s="150">
        <f t="shared" si="669"/>
        <v>5.3172335033498719E-2</v>
      </c>
      <c r="L377" s="302">
        <f t="shared" si="669"/>
        <v>-4.3578111855991919E-2</v>
      </c>
      <c r="M377" s="149">
        <f t="shared" si="669"/>
        <v>0.12419758295410044</v>
      </c>
      <c r="N377" s="149">
        <f t="shared" si="669"/>
        <v>1.2102155538480153E-2</v>
      </c>
      <c r="O377" s="149">
        <f t="shared" si="669"/>
        <v>1.1368993978312147E-2</v>
      </c>
      <c r="P377" s="150">
        <f t="shared" si="669"/>
        <v>1.2542449788219612E-2</v>
      </c>
      <c r="Q377" s="302">
        <f t="shared" si="669"/>
        <v>0.17729046043934082</v>
      </c>
      <c r="R377" s="149">
        <f t="shared" si="669"/>
        <v>8.6045430986720683E-2</v>
      </c>
      <c r="S377" s="149">
        <f t="shared" si="669"/>
        <v>8.9745766944707928E-2</v>
      </c>
      <c r="T377" s="149">
        <f t="shared" si="669"/>
        <v>5.8601725419847872E-2</v>
      </c>
      <c r="U377" s="150">
        <f t="shared" si="669"/>
        <v>0.10832745236414976</v>
      </c>
      <c r="V377" s="302">
        <f t="shared" si="669"/>
        <v>1.4291017925648353E-2</v>
      </c>
      <c r="W377" s="149">
        <f t="shared" si="669"/>
        <v>2.5136791870654873E-2</v>
      </c>
      <c r="X377" s="149">
        <f t="shared" si="669"/>
        <v>4.5595797926463844E-2</v>
      </c>
      <c r="Y377" s="149">
        <f t="shared" si="669"/>
        <v>1.4102799935340471E-3</v>
      </c>
      <c r="Z377" s="150">
        <f t="shared" si="669"/>
        <v>1.8147086914995114E-2</v>
      </c>
      <c r="AA377" s="302">
        <f t="shared" si="669"/>
        <v>5.8880147494093649E-3</v>
      </c>
      <c r="AB377" s="149">
        <f t="shared" si="669"/>
        <v>2.8172405490007213E-2</v>
      </c>
      <c r="AC377" s="149">
        <f t="shared" si="669"/>
        <v>3.4516013080490682E-2</v>
      </c>
      <c r="AD377" s="149">
        <f t="shared" si="669"/>
        <v>0.13999443362092956</v>
      </c>
      <c r="AE377" s="150">
        <f t="shared" si="669"/>
        <v>5.3001876172608098E-2</v>
      </c>
      <c r="AF377" s="355">
        <f t="shared" si="669"/>
        <v>4.8068283917340304E-2</v>
      </c>
      <c r="AG377" s="149">
        <f t="shared" si="669"/>
        <v>0.15925058548009363</v>
      </c>
      <c r="AH377" s="149">
        <f t="shared" si="669"/>
        <v>0.177966101694915</v>
      </c>
      <c r="AI377" s="149">
        <f t="shared" ref="AI377:AY377" si="670">AI376/AD376-1</f>
        <v>-4.4921874999999778E-2</v>
      </c>
      <c r="AJ377" s="150">
        <f t="shared" si="670"/>
        <v>6.3697104677060246E-2</v>
      </c>
      <c r="AK377" s="355">
        <f t="shared" si="670"/>
        <v>-8.5726532361762864E-4</v>
      </c>
      <c r="AL377" s="361">
        <f t="shared" si="670"/>
        <v>6.7340067340067034E-3</v>
      </c>
      <c r="AM377" s="149">
        <f t="shared" si="670"/>
        <v>-2.1582733812948174E-3</v>
      </c>
      <c r="AN377" s="149">
        <f t="shared" si="670"/>
        <v>-1.5337423312883902E-2</v>
      </c>
      <c r="AO377" s="150">
        <f t="shared" si="670"/>
        <v>-3.4896705750978585E-3</v>
      </c>
      <c r="AP377" s="302">
        <f t="shared" si="670"/>
        <v>-2.187902187902202E-2</v>
      </c>
      <c r="AQ377" s="149">
        <f t="shared" si="670"/>
        <v>-4.0133779264213132E-3</v>
      </c>
      <c r="AR377" s="149">
        <f t="shared" si="670"/>
        <v>3.316510454217747E-2</v>
      </c>
      <c r="AS377" s="149">
        <f t="shared" si="670"/>
        <v>4.0498442367601584E-2</v>
      </c>
      <c r="AT377" s="150">
        <f t="shared" si="670"/>
        <v>9.3850679366858092E-3</v>
      </c>
      <c r="AU377" s="302">
        <f t="shared" si="670"/>
        <v>6.7105263157895001E-2</v>
      </c>
      <c r="AV377" s="149">
        <f t="shared" si="670"/>
        <v>0.1443922095366017</v>
      </c>
      <c r="AW377" s="149">
        <f t="shared" si="670"/>
        <v>5.6524773203070255E-2</v>
      </c>
      <c r="AX377" s="149">
        <f t="shared" si="670"/>
        <v>7.385229540918159E-2</v>
      </c>
      <c r="AY377" s="150">
        <f t="shared" si="670"/>
        <v>8.2847626977518907E-2</v>
      </c>
      <c r="AZ377" s="302"/>
      <c r="BA377" s="149"/>
      <c r="BB377" s="149"/>
      <c r="BC377" s="149"/>
      <c r="BD377" s="150"/>
      <c r="BE377" s="302"/>
      <c r="BF377" s="540"/>
      <c r="BG377" s="149"/>
      <c r="BH377" s="540"/>
      <c r="BI377" s="534"/>
      <c r="BJ377" s="302"/>
      <c r="BK377" s="540"/>
      <c r="BL377" s="149"/>
      <c r="BM377" s="149"/>
      <c r="BN377" s="150"/>
      <c r="BO377" s="302"/>
      <c r="BP377" s="149"/>
      <c r="BQ377" s="149"/>
      <c r="BR377" s="149"/>
      <c r="BS377" s="150"/>
      <c r="BT377" s="302"/>
      <c r="BU377" s="149"/>
      <c r="BV377" s="149"/>
      <c r="BW377" s="149"/>
      <c r="BX377" s="150"/>
      <c r="BY377" s="302"/>
      <c r="BZ377" s="149"/>
      <c r="CA377" s="149"/>
      <c r="CB377" s="149"/>
      <c r="CC377" s="150"/>
      <c r="CD377" s="302"/>
      <c r="CE377" s="149"/>
      <c r="CF377" s="149"/>
      <c r="CG377" s="149"/>
      <c r="CH377" s="150"/>
      <c r="CI377" s="302"/>
      <c r="CJ377" s="149"/>
      <c r="CK377" s="149"/>
      <c r="CL377" s="149"/>
      <c r="CM377" s="150"/>
      <c r="CN377" s="302"/>
      <c r="CO377" s="149"/>
      <c r="CP377" s="149"/>
      <c r="CQ377" s="149"/>
      <c r="CR377" s="150"/>
      <c r="CS377" s="302"/>
      <c r="CT377" s="149"/>
      <c r="CU377" s="149"/>
      <c r="CV377" s="149"/>
      <c r="CW377" s="150"/>
      <c r="CX377" s="302"/>
      <c r="CY377" s="149"/>
      <c r="CZ377" s="149"/>
      <c r="DA377" s="149"/>
      <c r="DB377" s="150"/>
      <c r="DC377" s="149"/>
      <c r="DD377" s="149"/>
      <c r="DE377" s="149"/>
      <c r="DF377" s="149"/>
      <c r="DG377" s="149"/>
      <c r="DH377" s="149"/>
      <c r="DI377" s="149"/>
      <c r="DJ377" s="149"/>
      <c r="DK377" s="400"/>
      <c r="DL377" s="400"/>
      <c r="DM377" s="108"/>
    </row>
    <row r="378" spans="1:117" outlineLevel="1">
      <c r="A378" s="34" t="s">
        <v>760</v>
      </c>
      <c r="B378" s="326"/>
      <c r="C378" s="277"/>
      <c r="D378" s="277"/>
      <c r="E378" s="277"/>
      <c r="F378" s="280"/>
      <c r="G378" s="307">
        <f>G379-G376</f>
        <v>7.453000000000003</v>
      </c>
      <c r="H378" s="308">
        <f>H379-H376</f>
        <v>6.9490000000000265</v>
      </c>
      <c r="I378" s="308">
        <f>I379-I376</f>
        <v>6.1959999999999837</v>
      </c>
      <c r="J378" s="308">
        <f>J379-J376</f>
        <v>7.3229999999999507</v>
      </c>
      <c r="K378" s="308">
        <f>SUM(G378:J378)</f>
        <v>27.920999999999964</v>
      </c>
      <c r="L378" s="307">
        <f>L379-L376</f>
        <v>10.117999999999995</v>
      </c>
      <c r="M378" s="308">
        <f>M379-M376</f>
        <v>7.7250000000000085</v>
      </c>
      <c r="N378" s="308">
        <f>N379-N376</f>
        <v>6.8369999999999891</v>
      </c>
      <c r="O378" s="308">
        <f>O379-O376</f>
        <v>8.3169999999999789</v>
      </c>
      <c r="P378" s="308">
        <f>SUM(L378:O378)</f>
        <v>32.996999999999971</v>
      </c>
      <c r="Q378" s="307">
        <f>Q379-Q376</f>
        <v>9.049000000000035</v>
      </c>
      <c r="R378" s="308">
        <f>R379-R376</f>
        <v>8.8330000000000268</v>
      </c>
      <c r="S378" s="308">
        <f>S379-S376</f>
        <v>7.9210000000000065</v>
      </c>
      <c r="T378" s="308">
        <f>T379-T376</f>
        <v>9.6450000000000387</v>
      </c>
      <c r="U378" s="308">
        <f>SUM(Q378:T378)</f>
        <v>35.448000000000107</v>
      </c>
      <c r="V378" s="307">
        <f>V379-V376</f>
        <v>10.390999999999991</v>
      </c>
      <c r="W378" s="308">
        <f>W379-W376</f>
        <v>10.402999999999992</v>
      </c>
      <c r="X378" s="308">
        <f>X379-X376</f>
        <v>9.8659999999999997</v>
      </c>
      <c r="Y378" s="308">
        <f>Y379-Y376</f>
        <v>10.711000000000013</v>
      </c>
      <c r="Z378" s="306">
        <f>SUM(V378:Y378)</f>
        <v>41.370999999999995</v>
      </c>
      <c r="AA378" s="307">
        <f>AA379-AA376</f>
        <v>11.958999999999975</v>
      </c>
      <c r="AB378" s="308">
        <f>AB379-AB376</f>
        <v>11.462999999999994</v>
      </c>
      <c r="AC378" s="308">
        <f>AC379-AC376</f>
        <v>10.479000000000013</v>
      </c>
      <c r="AD378" s="308">
        <f>AD379-AD376</f>
        <v>8.6270000000000095</v>
      </c>
      <c r="AE378" s="306">
        <f>SUM(AA378:AD378)</f>
        <v>42.527999999999992</v>
      </c>
      <c r="AF378" s="357">
        <f>AF379-AF376</f>
        <v>13.52600000000001</v>
      </c>
      <c r="AG378" s="308">
        <f>AG379-AG376</f>
        <v>12.980999999999995</v>
      </c>
      <c r="AH378" s="308">
        <f>AH379-AH376</f>
        <v>11.763000000000034</v>
      </c>
      <c r="AI378" s="308">
        <f>AI379-AI376</f>
        <v>10.617999999999967</v>
      </c>
      <c r="AJ378" s="306">
        <f>SUM(AF378:AI378)</f>
        <v>48.888000000000005</v>
      </c>
      <c r="AK378" s="357">
        <f>AK379-AK376</f>
        <v>14.306000000000012</v>
      </c>
      <c r="AL378" s="374">
        <f>AL379-AL376</f>
        <v>12.455999999999989</v>
      </c>
      <c r="AM378" s="416">
        <f>AH378*1.005</f>
        <v>11.821815000000033</v>
      </c>
      <c r="AN378" s="416">
        <f>AI378*1.005</f>
        <v>10.671089999999966</v>
      </c>
      <c r="AO378" s="306">
        <f>SUM(AK378:AN378)</f>
        <v>49.254904999999994</v>
      </c>
      <c r="AP378" s="307">
        <f>AP379-AP376</f>
        <v>9.3000000000000398</v>
      </c>
      <c r="AQ378" s="416">
        <f>AL378*1.005</f>
        <v>12.518279999999988</v>
      </c>
      <c r="AR378" s="416">
        <f>AM378*1.005</f>
        <v>11.880924075000031</v>
      </c>
      <c r="AS378" s="416">
        <f>AN378*1.005</f>
        <v>10.724445449999964</v>
      </c>
      <c r="AT378" s="306">
        <f>SUM(AP378:AS378)</f>
        <v>44.423649525000023</v>
      </c>
      <c r="AU378" s="307">
        <f>AU379-AU376</f>
        <v>8.3999999999999773</v>
      </c>
      <c r="AV378" s="416">
        <f>AQ378*1.005</f>
        <v>12.580871399999987</v>
      </c>
      <c r="AW378" s="416">
        <f>AR378*1.005</f>
        <v>11.94032869537503</v>
      </c>
      <c r="AX378" s="416">
        <f>AS378*1.005</f>
        <v>10.778067677249963</v>
      </c>
      <c r="AY378" s="306">
        <f>SUM(AU378:AX378)</f>
        <v>43.699267772624957</v>
      </c>
      <c r="AZ378" s="307"/>
      <c r="BA378" s="416"/>
      <c r="BB378" s="416"/>
      <c r="BC378" s="416"/>
      <c r="BD378" s="306"/>
      <c r="BE378" s="307"/>
      <c r="BF378" s="416"/>
      <c r="BG378" s="416"/>
      <c r="BH378" s="416"/>
      <c r="BI378" s="306"/>
      <c r="BJ378" s="307"/>
      <c r="BK378" s="416"/>
      <c r="BL378" s="416"/>
      <c r="BM378" s="416"/>
      <c r="BN378" s="306"/>
      <c r="BO378" s="307"/>
      <c r="BP378" s="416"/>
      <c r="BQ378" s="416"/>
      <c r="BR378" s="416"/>
      <c r="BS378" s="306"/>
      <c r="BT378" s="307"/>
      <c r="BU378" s="416"/>
      <c r="BV378" s="416"/>
      <c r="BW378" s="416"/>
      <c r="BX378" s="306"/>
      <c r="BY378" s="307"/>
      <c r="BZ378" s="416"/>
      <c r="CA378" s="416"/>
      <c r="CB378" s="416"/>
      <c r="CC378" s="306"/>
      <c r="CD378" s="307"/>
      <c r="CE378" s="416"/>
      <c r="CF378" s="416"/>
      <c r="CG378" s="416"/>
      <c r="CH378" s="306"/>
      <c r="CI378" s="307"/>
      <c r="CJ378" s="416"/>
      <c r="CK378" s="416"/>
      <c r="CL378" s="416"/>
      <c r="CM378" s="306"/>
      <c r="CN378" s="307"/>
      <c r="CO378" s="416"/>
      <c r="CP378" s="416"/>
      <c r="CQ378" s="416"/>
      <c r="CR378" s="306"/>
      <c r="CS378" s="307"/>
      <c r="CT378" s="416"/>
      <c r="CU378" s="416"/>
      <c r="CV378" s="416"/>
      <c r="CW378" s="306"/>
      <c r="CX378" s="307"/>
      <c r="CY378" s="416"/>
      <c r="CZ378" s="416"/>
      <c r="DA378" s="416"/>
      <c r="DB378" s="306"/>
      <c r="DC378" s="308"/>
      <c r="DD378" s="308"/>
      <c r="DE378" s="308"/>
      <c r="DF378" s="308"/>
      <c r="DG378" s="308"/>
      <c r="DH378" s="308"/>
      <c r="DI378" s="308"/>
      <c r="DJ378" s="308"/>
      <c r="DK378" s="416"/>
      <c r="DL378" s="416"/>
      <c r="DM378" s="9"/>
    </row>
    <row r="379" spans="1:117" outlineLevel="1">
      <c r="A379" s="28" t="s">
        <v>759</v>
      </c>
      <c r="B379" s="328"/>
      <c r="C379" s="292"/>
      <c r="D379" s="292"/>
      <c r="E379" s="292"/>
      <c r="F379" s="293"/>
      <c r="G379" s="145">
        <f>G333/1000</f>
        <v>201.22</v>
      </c>
      <c r="H379" s="143">
        <f>H333/1000</f>
        <v>106.492</v>
      </c>
      <c r="I379" s="143">
        <f>I333/1000</f>
        <v>105.104</v>
      </c>
      <c r="J379" s="143">
        <f>J333/1000</f>
        <v>174.88399999999999</v>
      </c>
      <c r="K379" s="144">
        <f>SUM(G379:J379)</f>
        <v>587.69999999999993</v>
      </c>
      <c r="L379" s="145">
        <f>L333/1000</f>
        <v>195.441</v>
      </c>
      <c r="M379" s="143">
        <f>M333/1000</f>
        <v>119.631</v>
      </c>
      <c r="N379" s="143">
        <f>N333/1000</f>
        <v>106.94199999999999</v>
      </c>
      <c r="O379" s="143">
        <f>O333/1000</f>
        <v>177.78299999999999</v>
      </c>
      <c r="P379" s="144">
        <f>SUM(L379:O379)</f>
        <v>599.79700000000003</v>
      </c>
      <c r="Q379" s="145">
        <f>Q333/1000</f>
        <v>227.22800000000001</v>
      </c>
      <c r="R379" s="143">
        <f>R333/1000</f>
        <v>130.36799999999999</v>
      </c>
      <c r="S379" s="143">
        <f>S333/1000</f>
        <v>117.01</v>
      </c>
      <c r="T379" s="143">
        <f>T333/1000</f>
        <v>189.042</v>
      </c>
      <c r="U379" s="144">
        <f>SUM(Q379:T379)</f>
        <v>663.64800000000002</v>
      </c>
      <c r="V379" s="145">
        <f>V333/1000</f>
        <v>231.68799999999999</v>
      </c>
      <c r="W379" s="143">
        <f>W333/1000</f>
        <v>134.99299999999999</v>
      </c>
      <c r="X379" s="143">
        <f>X333/1000</f>
        <v>123.929</v>
      </c>
      <c r="Y379" s="143">
        <f>Y333/1000</f>
        <v>190.36099999999999</v>
      </c>
      <c r="Z379" s="144">
        <f>SUM(V379:Y379)</f>
        <v>680.971</v>
      </c>
      <c r="AA379" s="145">
        <f>AA333/1000</f>
        <v>234.559</v>
      </c>
      <c r="AB379" s="143">
        <f>AB333/1000</f>
        <v>139.56299999999999</v>
      </c>
      <c r="AC379" s="143">
        <f>AC333/1000</f>
        <v>128.47900000000001</v>
      </c>
      <c r="AD379" s="143">
        <f>AD333/1000</f>
        <v>213.42699999999999</v>
      </c>
      <c r="AE379" s="144">
        <f>SUM(AA379:AD379)</f>
        <v>716.02800000000002</v>
      </c>
      <c r="AF379" s="356">
        <f>AF333/1000</f>
        <v>246.82599999999999</v>
      </c>
      <c r="AG379" s="143">
        <f>AG333/1000</f>
        <v>161.48099999999999</v>
      </c>
      <c r="AH379" s="143">
        <f>AH333/1000</f>
        <v>150.76300000000001</v>
      </c>
      <c r="AI379" s="143">
        <f>AI333/1000</f>
        <v>206.21799999999999</v>
      </c>
      <c r="AJ379" s="144">
        <f>SUM(AF379:AI379)</f>
        <v>765.28800000000001</v>
      </c>
      <c r="AK379" s="356">
        <f>AK333/1000</f>
        <v>247.40600000000001</v>
      </c>
      <c r="AL379" s="444">
        <f>AL333/1000</f>
        <v>161.95599999999999</v>
      </c>
      <c r="AM379" s="143">
        <f>AM376+AM378</f>
        <v>150.52181500000003</v>
      </c>
      <c r="AN379" s="143">
        <f>AN376+AN378</f>
        <v>203.2710899999999</v>
      </c>
      <c r="AO379" s="314">
        <f>SUM(AK379:AN379)</f>
        <v>763.15490499999987</v>
      </c>
      <c r="AP379" s="145">
        <f>AP333/1000</f>
        <v>237.3</v>
      </c>
      <c r="AQ379" s="143">
        <f>AQ376+AQ378</f>
        <v>161.41827999999998</v>
      </c>
      <c r="AR379" s="143">
        <f>AR376+AR378</f>
        <v>155.18092407500004</v>
      </c>
      <c r="AS379" s="143">
        <f>AS376+AS378</f>
        <v>211.12444544999997</v>
      </c>
      <c r="AT379" s="314">
        <f>SUM(AP379:AS379)</f>
        <v>765.023649525</v>
      </c>
      <c r="AU379" s="145">
        <f>AU333/1000</f>
        <v>251.7</v>
      </c>
      <c r="AV379" s="143">
        <f>AV376+AV378</f>
        <v>182.98087139999998</v>
      </c>
      <c r="AW379" s="143">
        <f>AW376+AW378</f>
        <v>163.34032869537501</v>
      </c>
      <c r="AX379" s="143">
        <f>AX376+AX378</f>
        <v>225.97806767724998</v>
      </c>
      <c r="AY379" s="314">
        <f>SUM(AU379:AX379)</f>
        <v>823.99926777262499</v>
      </c>
      <c r="AZ379" s="145"/>
      <c r="BA379" s="143"/>
      <c r="BB379" s="143"/>
      <c r="BC379" s="143"/>
      <c r="BD379" s="314"/>
      <c r="BE379" s="145"/>
      <c r="BF379" s="585"/>
      <c r="BG379" s="143"/>
      <c r="BH379" s="585"/>
      <c r="BI379" s="604"/>
      <c r="BJ379" s="145"/>
      <c r="BK379" s="585"/>
      <c r="BL379" s="143"/>
      <c r="BM379" s="143"/>
      <c r="BN379" s="314"/>
      <c r="BO379" s="145"/>
      <c r="BP379" s="143"/>
      <c r="BQ379" s="143"/>
      <c r="BR379" s="143"/>
      <c r="BS379" s="314"/>
      <c r="BT379" s="145"/>
      <c r="BU379" s="143"/>
      <c r="BV379" s="143"/>
      <c r="BW379" s="143"/>
      <c r="BX379" s="314"/>
      <c r="BY379" s="145"/>
      <c r="BZ379" s="143"/>
      <c r="CA379" s="143"/>
      <c r="CB379" s="143"/>
      <c r="CC379" s="314"/>
      <c r="CD379" s="145"/>
      <c r="CE379" s="143"/>
      <c r="CF379" s="143"/>
      <c r="CG379" s="143"/>
      <c r="CH379" s="314"/>
      <c r="CI379" s="145"/>
      <c r="CJ379" s="143"/>
      <c r="CK379" s="143"/>
      <c r="CL379" s="143"/>
      <c r="CM379" s="314"/>
      <c r="CN379" s="145"/>
      <c r="CO379" s="143"/>
      <c r="CP379" s="143"/>
      <c r="CQ379" s="143"/>
      <c r="CR379" s="314"/>
      <c r="CS379" s="145"/>
      <c r="CT379" s="143"/>
      <c r="CU379" s="143"/>
      <c r="CV379" s="143"/>
      <c r="CW379" s="314"/>
      <c r="CX379" s="145"/>
      <c r="CY379" s="143"/>
      <c r="CZ379" s="143"/>
      <c r="DA379" s="143"/>
      <c r="DB379" s="314"/>
      <c r="DC379" s="143"/>
      <c r="DD379" s="143"/>
      <c r="DE379" s="143"/>
      <c r="DF379" s="143"/>
      <c r="DG379" s="143"/>
      <c r="DH379" s="143"/>
      <c r="DI379" s="143"/>
      <c r="DJ379" s="143"/>
      <c r="DK379" s="419"/>
      <c r="DL379" s="419"/>
      <c r="DM379" s="62"/>
    </row>
    <row r="380" spans="1:117" outlineLevel="1">
      <c r="A380" s="107" t="s">
        <v>652</v>
      </c>
      <c r="B380" s="321"/>
      <c r="C380" s="322"/>
      <c r="D380" s="322"/>
      <c r="E380" s="322"/>
      <c r="F380" s="323"/>
      <c r="G380" s="269"/>
      <c r="H380" s="188"/>
      <c r="I380" s="188"/>
      <c r="J380" s="188"/>
      <c r="K380" s="189"/>
      <c r="L380" s="302">
        <f t="shared" ref="L380:AU380" si="671">L379/G379-1</f>
        <v>-2.8719809164098997E-2</v>
      </c>
      <c r="M380" s="149">
        <f t="shared" si="671"/>
        <v>0.12338016001201968</v>
      </c>
      <c r="N380" s="149">
        <f t="shared" si="671"/>
        <v>1.7487441010808347E-2</v>
      </c>
      <c r="O380" s="149">
        <f t="shared" si="671"/>
        <v>1.6576702271219768E-2</v>
      </c>
      <c r="P380" s="150">
        <f t="shared" si="671"/>
        <v>2.0583631104305056E-2</v>
      </c>
      <c r="Q380" s="302">
        <f t="shared" si="671"/>
        <v>0.16264243428963221</v>
      </c>
      <c r="R380" s="149">
        <f t="shared" si="671"/>
        <v>8.9750984276650625E-2</v>
      </c>
      <c r="S380" s="149">
        <f t="shared" si="671"/>
        <v>9.4144489536384324E-2</v>
      </c>
      <c r="T380" s="149">
        <f t="shared" si="671"/>
        <v>6.3330014680818891E-2</v>
      </c>
      <c r="U380" s="150">
        <f t="shared" si="671"/>
        <v>0.10645435038854822</v>
      </c>
      <c r="V380" s="302">
        <f t="shared" si="671"/>
        <v>1.9627862763391679E-2</v>
      </c>
      <c r="W380" s="149">
        <f t="shared" si="671"/>
        <v>3.5476497299950838E-2</v>
      </c>
      <c r="X380" s="149">
        <f t="shared" si="671"/>
        <v>5.9131698145457712E-2</v>
      </c>
      <c r="Y380" s="149">
        <f t="shared" si="671"/>
        <v>6.9772854709535537E-3</v>
      </c>
      <c r="Z380" s="150">
        <f t="shared" si="671"/>
        <v>2.6102692993876131E-2</v>
      </c>
      <c r="AA380" s="302">
        <f t="shared" si="671"/>
        <v>1.2391664652463774E-2</v>
      </c>
      <c r="AB380" s="149">
        <f t="shared" si="671"/>
        <v>3.3853607224078264E-2</v>
      </c>
      <c r="AC380" s="149">
        <f t="shared" si="671"/>
        <v>3.6714570439525973E-2</v>
      </c>
      <c r="AD380" s="149">
        <f t="shared" si="671"/>
        <v>0.12116977742289659</v>
      </c>
      <c r="AE380" s="150">
        <f t="shared" si="671"/>
        <v>5.1480900067697455E-2</v>
      </c>
      <c r="AF380" s="355">
        <f t="shared" si="671"/>
        <v>5.2298142471616904E-2</v>
      </c>
      <c r="AG380" s="149">
        <f t="shared" si="671"/>
        <v>0.15704735495797606</v>
      </c>
      <c r="AH380" s="149">
        <f t="shared" si="671"/>
        <v>0.17344468745865083</v>
      </c>
      <c r="AI380" s="149">
        <f>AI379/AD379-1</f>
        <v>-3.3777357129135543E-2</v>
      </c>
      <c r="AJ380" s="150">
        <f>AJ379/AE379-1</f>
        <v>6.879619232767431E-2</v>
      </c>
      <c r="AK380" s="355">
        <f>AK379/AF379-1</f>
        <v>2.3498334859375358E-3</v>
      </c>
      <c r="AL380" s="361">
        <f>AL379/AG379-1</f>
        <v>2.9415225320625904E-3</v>
      </c>
      <c r="AM380" s="149">
        <f t="shared" si="671"/>
        <v>-1.5997625412068617E-3</v>
      </c>
      <c r="AN380" s="149">
        <f t="shared" si="671"/>
        <v>-1.429026564121505E-2</v>
      </c>
      <c r="AO380" s="150">
        <f t="shared" si="671"/>
        <v>-2.7873101368375286E-3</v>
      </c>
      <c r="AP380" s="302">
        <f t="shared" si="671"/>
        <v>-4.0847837158355049E-2</v>
      </c>
      <c r="AQ380" s="149">
        <f t="shared" si="671"/>
        <v>-3.3201610313913221E-3</v>
      </c>
      <c r="AR380" s="149">
        <f t="shared" si="671"/>
        <v>3.0953048732504262E-2</v>
      </c>
      <c r="AS380" s="149">
        <f t="shared" si="671"/>
        <v>3.8634886298883231E-2</v>
      </c>
      <c r="AT380" s="150">
        <f>AT379/AO379-1</f>
        <v>2.4487093154437201E-3</v>
      </c>
      <c r="AU380" s="302">
        <f t="shared" si="671"/>
        <v>6.0682680151706636E-2</v>
      </c>
      <c r="AV380" s="149">
        <f>AV379/AQ379-1</f>
        <v>0.13358209119809739</v>
      </c>
      <c r="AW380" s="149">
        <f>AW379/AR379-1</f>
        <v>5.2579946079142292E-2</v>
      </c>
      <c r="AX380" s="149">
        <f>AX379/AS379-1</f>
        <v>7.0354819384322642E-2</v>
      </c>
      <c r="AY380" s="150">
        <f>AY379/AT379-1</f>
        <v>7.7089928245019257E-2</v>
      </c>
      <c r="AZ380" s="302"/>
      <c r="BA380" s="149"/>
      <c r="BB380" s="149"/>
      <c r="BC380" s="149"/>
      <c r="BD380" s="150"/>
      <c r="BE380" s="302"/>
      <c r="BF380" s="540"/>
      <c r="BG380" s="149"/>
      <c r="BH380" s="540"/>
      <c r="BI380" s="534"/>
      <c r="BJ380" s="302"/>
      <c r="BK380" s="540"/>
      <c r="BL380" s="149"/>
      <c r="BM380" s="149"/>
      <c r="BN380" s="150"/>
      <c r="BO380" s="302"/>
      <c r="BP380" s="149"/>
      <c r="BQ380" s="149"/>
      <c r="BR380" s="149"/>
      <c r="BS380" s="150"/>
      <c r="BT380" s="302"/>
      <c r="BU380" s="149"/>
      <c r="BV380" s="149"/>
      <c r="BW380" s="149"/>
      <c r="BX380" s="150"/>
      <c r="BY380" s="302"/>
      <c r="BZ380" s="149"/>
      <c r="CA380" s="149"/>
      <c r="CB380" s="149"/>
      <c r="CC380" s="150"/>
      <c r="CD380" s="302"/>
      <c r="CE380" s="149"/>
      <c r="CF380" s="149"/>
      <c r="CG380" s="149"/>
      <c r="CH380" s="150"/>
      <c r="CI380" s="302"/>
      <c r="CJ380" s="149"/>
      <c r="CK380" s="149"/>
      <c r="CL380" s="149"/>
      <c r="CM380" s="150"/>
      <c r="CN380" s="302"/>
      <c r="CO380" s="149"/>
      <c r="CP380" s="149"/>
      <c r="CQ380" s="149"/>
      <c r="CR380" s="150"/>
      <c r="CS380" s="302"/>
      <c r="CT380" s="149"/>
      <c r="CU380" s="149"/>
      <c r="CV380" s="149"/>
      <c r="CW380" s="150"/>
      <c r="CX380" s="302"/>
      <c r="CY380" s="149"/>
      <c r="CZ380" s="149"/>
      <c r="DA380" s="149"/>
      <c r="DB380" s="150"/>
      <c r="DC380" s="149"/>
      <c r="DD380" s="149"/>
      <c r="DE380" s="149"/>
      <c r="DF380" s="149"/>
      <c r="DG380" s="149"/>
      <c r="DH380" s="149"/>
      <c r="DI380" s="149"/>
      <c r="DJ380" s="149"/>
      <c r="DK380" s="400"/>
      <c r="DL380" s="400"/>
      <c r="DM380" s="108"/>
    </row>
    <row r="381" spans="1:117" outlineLevel="1">
      <c r="A381" s="107"/>
      <c r="B381" s="321"/>
      <c r="C381" s="322"/>
      <c r="D381" s="322"/>
      <c r="E381" s="322"/>
      <c r="F381" s="323"/>
      <c r="G381" s="269"/>
      <c r="H381" s="188"/>
      <c r="I381" s="188"/>
      <c r="J381" s="188"/>
      <c r="K381" s="189"/>
      <c r="L381" s="269"/>
      <c r="M381" s="188"/>
      <c r="N381" s="188"/>
      <c r="O381" s="188"/>
      <c r="P381" s="189"/>
      <c r="Q381" s="269"/>
      <c r="R381" s="188"/>
      <c r="S381" s="188"/>
      <c r="T381" s="188"/>
      <c r="U381" s="189"/>
      <c r="V381" s="269"/>
      <c r="W381" s="188"/>
      <c r="X381" s="188"/>
      <c r="Y381" s="188"/>
      <c r="Z381" s="189"/>
      <c r="AA381" s="269"/>
      <c r="AB381" s="188"/>
      <c r="AC381" s="188"/>
      <c r="AD381" s="188"/>
      <c r="AE381" s="189"/>
      <c r="AF381" s="269"/>
      <c r="AG381" s="188"/>
      <c r="AH381" s="188"/>
      <c r="AI381" s="188"/>
      <c r="AJ381" s="189"/>
      <c r="AK381" s="269"/>
      <c r="AL381" s="188"/>
      <c r="AM381" s="188"/>
      <c r="AN381" s="188"/>
      <c r="AO381" s="189"/>
      <c r="AP381" s="269"/>
      <c r="AQ381" s="188"/>
      <c r="AR381" s="188"/>
      <c r="AS381" s="188"/>
      <c r="AT381" s="189"/>
      <c r="AU381" s="269"/>
      <c r="AV381" s="188"/>
      <c r="AW381" s="188"/>
      <c r="AX381" s="188"/>
      <c r="AY381" s="189"/>
      <c r="AZ381" s="269"/>
      <c r="BA381" s="188"/>
      <c r="BB381" s="188"/>
      <c r="BC381" s="188"/>
      <c r="BD381" s="189"/>
      <c r="BE381" s="269"/>
      <c r="BF381" s="188"/>
      <c r="BG381" s="188"/>
      <c r="BH381" s="188"/>
      <c r="BI381" s="189"/>
      <c r="BJ381" s="269"/>
      <c r="BK381" s="188"/>
      <c r="BL381" s="188"/>
      <c r="BM381" s="188"/>
      <c r="BN381" s="189"/>
      <c r="BO381" s="269"/>
      <c r="BP381" s="188"/>
      <c r="BQ381" s="188"/>
      <c r="BR381" s="188"/>
      <c r="BS381" s="189"/>
      <c r="BT381" s="269"/>
      <c r="BU381" s="188"/>
      <c r="BV381" s="188"/>
      <c r="BW381" s="188"/>
      <c r="BX381" s="189"/>
      <c r="BY381" s="269"/>
      <c r="BZ381" s="188"/>
      <c r="CA381" s="188"/>
      <c r="CB381" s="188"/>
      <c r="CC381" s="189"/>
      <c r="CD381" s="269"/>
      <c r="CE381" s="188"/>
      <c r="CF381" s="188"/>
      <c r="CG381" s="188"/>
      <c r="CH381" s="189"/>
      <c r="CI381" s="269"/>
      <c r="CJ381" s="188"/>
      <c r="CK381" s="188"/>
      <c r="CL381" s="188"/>
      <c r="CM381" s="189"/>
      <c r="CN381" s="269"/>
      <c r="CO381" s="188"/>
      <c r="CP381" s="188"/>
      <c r="CQ381" s="188"/>
      <c r="CR381" s="189"/>
      <c r="CS381" s="269"/>
      <c r="CT381" s="188"/>
      <c r="CU381" s="188"/>
      <c r="CV381" s="188"/>
      <c r="CW381" s="189"/>
      <c r="CX381" s="269"/>
      <c r="CY381" s="188"/>
      <c r="CZ381" s="188"/>
      <c r="DA381" s="188"/>
      <c r="DB381" s="189"/>
      <c r="DC381" s="188"/>
      <c r="DD381" s="188"/>
      <c r="DE381" s="188"/>
      <c r="DF381" s="188"/>
      <c r="DG381" s="188"/>
      <c r="DH381" s="188"/>
      <c r="DI381" s="188"/>
      <c r="DJ381" s="188"/>
      <c r="DK381" s="417"/>
      <c r="DL381" s="417"/>
      <c r="DM381" s="108"/>
    </row>
    <row r="382" spans="1:117" outlineLevel="1">
      <c r="A382" s="28" t="s">
        <v>62</v>
      </c>
      <c r="B382" s="326"/>
      <c r="C382" s="277"/>
      <c r="D382" s="277"/>
      <c r="E382" s="277"/>
      <c r="F382" s="280"/>
      <c r="G382" s="279"/>
      <c r="H382" s="277"/>
      <c r="I382" s="277"/>
      <c r="J382" s="277"/>
      <c r="K382" s="280"/>
      <c r="L382" s="279"/>
      <c r="M382" s="277"/>
      <c r="N382" s="277"/>
      <c r="O382" s="277"/>
      <c r="P382" s="280"/>
      <c r="Q382" s="279"/>
      <c r="R382" s="277"/>
      <c r="S382" s="277"/>
      <c r="T382" s="277"/>
      <c r="U382" s="280"/>
      <c r="V382" s="279"/>
      <c r="W382" s="277"/>
      <c r="X382" s="277"/>
      <c r="Y382" s="277"/>
      <c r="Z382" s="280"/>
      <c r="AA382" s="279"/>
      <c r="AB382" s="18"/>
      <c r="AC382" s="18"/>
      <c r="AD382" s="277"/>
      <c r="AE382" s="280"/>
      <c r="AF382" s="19"/>
      <c r="AG382" s="18"/>
      <c r="AH382" s="18"/>
      <c r="AI382" s="18"/>
      <c r="AJ382" s="127"/>
      <c r="AK382" s="19"/>
      <c r="AL382" s="18"/>
      <c r="AM382" s="18"/>
      <c r="AN382" s="18"/>
      <c r="AO382" s="127"/>
      <c r="AP382" s="19"/>
      <c r="AQ382" s="18"/>
      <c r="AR382" s="18"/>
      <c r="AS382" s="18"/>
      <c r="AT382" s="127"/>
      <c r="AU382" s="19"/>
      <c r="AV382" s="18"/>
      <c r="AW382" s="18"/>
      <c r="AX382" s="18"/>
      <c r="AY382" s="127"/>
      <c r="AZ382" s="19"/>
      <c r="BA382" s="18"/>
      <c r="BB382" s="18"/>
      <c r="BC382" s="18"/>
      <c r="BD382" s="127"/>
      <c r="BE382" s="19"/>
      <c r="BF382" s="18"/>
      <c r="BG382" s="18"/>
      <c r="BH382" s="18"/>
      <c r="BI382" s="127"/>
      <c r="BJ382" s="19"/>
      <c r="BK382" s="18"/>
      <c r="BL382" s="18"/>
      <c r="BM382" s="18"/>
      <c r="BN382" s="127"/>
      <c r="BO382" s="19"/>
      <c r="BP382" s="18"/>
      <c r="BQ382" s="18"/>
      <c r="BR382" s="18"/>
      <c r="BS382" s="127"/>
      <c r="BT382" s="19"/>
      <c r="BU382" s="18"/>
      <c r="BV382" s="18"/>
      <c r="BW382" s="18"/>
      <c r="BX382" s="127"/>
      <c r="BY382" s="19"/>
      <c r="BZ382" s="18"/>
      <c r="CA382" s="18"/>
      <c r="CB382" s="18"/>
      <c r="CC382" s="127"/>
      <c r="CD382" s="19"/>
      <c r="CE382" s="18"/>
      <c r="CF382" s="18"/>
      <c r="CG382" s="18"/>
      <c r="CH382" s="127"/>
      <c r="CI382" s="19"/>
      <c r="CJ382" s="18"/>
      <c r="CK382" s="18"/>
      <c r="CL382" s="18"/>
      <c r="CM382" s="127"/>
      <c r="CN382" s="19"/>
      <c r="CO382" s="18"/>
      <c r="CP382" s="18"/>
      <c r="CQ382" s="18"/>
      <c r="CR382" s="127"/>
      <c r="CS382" s="19"/>
      <c r="CT382" s="18"/>
      <c r="CU382" s="18"/>
      <c r="CV382" s="18"/>
      <c r="CW382" s="127"/>
      <c r="CX382" s="19"/>
      <c r="CY382" s="18"/>
      <c r="CZ382" s="18"/>
      <c r="DA382" s="18"/>
      <c r="DB382" s="127"/>
      <c r="DC382" s="18"/>
      <c r="DD382" s="18"/>
      <c r="DE382" s="18"/>
      <c r="DF382" s="18"/>
      <c r="DG382" s="18"/>
      <c r="DH382" s="18"/>
      <c r="DI382" s="18"/>
      <c r="DJ382" s="18"/>
      <c r="DK382" s="61"/>
      <c r="DL382" s="61"/>
      <c r="DM382" s="9"/>
    </row>
    <row r="383" spans="1:117" outlineLevel="1">
      <c r="A383" s="34" t="s">
        <v>282</v>
      </c>
      <c r="B383" s="41" t="s">
        <v>277</v>
      </c>
      <c r="C383" s="40" t="s">
        <v>277</v>
      </c>
      <c r="D383" s="40" t="s">
        <v>277</v>
      </c>
      <c r="E383" s="40" t="s">
        <v>277</v>
      </c>
      <c r="F383" s="118" t="s">
        <v>277</v>
      </c>
      <c r="G383" s="41" t="s">
        <v>277</v>
      </c>
      <c r="H383" s="40" t="s">
        <v>277</v>
      </c>
      <c r="I383" s="40" t="s">
        <v>277</v>
      </c>
      <c r="J383" s="40" t="s">
        <v>277</v>
      </c>
      <c r="K383" s="118" t="s">
        <v>277</v>
      </c>
      <c r="L383" s="41" t="s">
        <v>277</v>
      </c>
      <c r="M383" s="40" t="s">
        <v>277</v>
      </c>
      <c r="N383" s="40" t="s">
        <v>277</v>
      </c>
      <c r="O383" s="40" t="s">
        <v>277</v>
      </c>
      <c r="P383" s="133">
        <v>1859480</v>
      </c>
      <c r="Q383" s="41" t="s">
        <v>277</v>
      </c>
      <c r="R383" s="40" t="s">
        <v>277</v>
      </c>
      <c r="S383" s="40" t="s">
        <v>277</v>
      </c>
      <c r="T383" s="40" t="s">
        <v>277</v>
      </c>
      <c r="U383" s="133">
        <v>1876054</v>
      </c>
      <c r="V383" s="37">
        <v>1903146</v>
      </c>
      <c r="W383" s="40">
        <v>1892404</v>
      </c>
      <c r="X383" s="40" t="s">
        <v>277</v>
      </c>
      <c r="Y383" s="40" t="s">
        <v>277</v>
      </c>
      <c r="Z383" s="133">
        <v>1886118</v>
      </c>
      <c r="AA383" s="37">
        <v>1913351</v>
      </c>
      <c r="AB383" s="40">
        <v>1904675</v>
      </c>
      <c r="AC383" s="40">
        <v>1883674</v>
      </c>
      <c r="AD383" s="40" t="s">
        <v>277</v>
      </c>
      <c r="AE383" s="133">
        <v>1901782</v>
      </c>
      <c r="AF383" s="37">
        <v>1930678</v>
      </c>
      <c r="AG383" s="38">
        <v>1917053</v>
      </c>
      <c r="AH383" s="38">
        <v>1893290</v>
      </c>
      <c r="AI383" s="40" t="s">
        <v>277</v>
      </c>
      <c r="AJ383" s="133">
        <v>1912205</v>
      </c>
      <c r="AK383" s="180">
        <v>1938529</v>
      </c>
      <c r="AL383" s="65">
        <v>1924608</v>
      </c>
      <c r="AM383" s="65">
        <v>1902709</v>
      </c>
      <c r="AN383" s="40" t="s">
        <v>277</v>
      </c>
      <c r="AO383" s="133">
        <v>1921017</v>
      </c>
      <c r="AP383" s="65">
        <v>1944754</v>
      </c>
      <c r="AQ383" s="65">
        <v>1933646</v>
      </c>
      <c r="AR383" s="65">
        <v>1918486</v>
      </c>
      <c r="AS383" s="40" t="s">
        <v>277</v>
      </c>
      <c r="AT383" s="133">
        <v>1932484</v>
      </c>
      <c r="AU383" s="65">
        <v>1955909</v>
      </c>
      <c r="AV383" s="65">
        <v>1951119</v>
      </c>
      <c r="AW383" s="65">
        <v>1929864</v>
      </c>
      <c r="AX383" s="40" t="s">
        <v>277</v>
      </c>
      <c r="AY383" s="133">
        <v>1943930</v>
      </c>
      <c r="AZ383" s="19"/>
      <c r="BA383" s="18"/>
      <c r="BB383" s="18"/>
      <c r="BC383" s="18"/>
      <c r="BD383" s="127"/>
      <c r="BE383" s="19"/>
      <c r="BF383" s="18"/>
      <c r="BG383" s="18"/>
      <c r="BH383" s="18"/>
      <c r="BI383" s="127"/>
      <c r="BJ383" s="19"/>
      <c r="BK383" s="18"/>
      <c r="BL383" s="18"/>
      <c r="BM383" s="18"/>
      <c r="BN383" s="127"/>
      <c r="BO383" s="19"/>
      <c r="BP383" s="18"/>
      <c r="BQ383" s="18"/>
      <c r="BR383" s="18"/>
      <c r="BS383" s="127"/>
      <c r="BT383" s="19"/>
      <c r="BU383" s="18"/>
      <c r="BV383" s="18"/>
      <c r="BW383" s="18"/>
      <c r="BX383" s="127"/>
      <c r="BY383" s="19"/>
      <c r="BZ383" s="18"/>
      <c r="CA383" s="18"/>
      <c r="CB383" s="18"/>
      <c r="CC383" s="127"/>
      <c r="CD383" s="19"/>
      <c r="CE383" s="18"/>
      <c r="CF383" s="18"/>
      <c r="CG383" s="18"/>
      <c r="CH383" s="127"/>
      <c r="CI383" s="19"/>
      <c r="CJ383" s="18"/>
      <c r="CK383" s="18"/>
      <c r="CL383" s="18"/>
      <c r="CM383" s="127"/>
      <c r="CN383" s="19"/>
      <c r="CO383" s="18"/>
      <c r="CP383" s="18"/>
      <c r="CQ383" s="18"/>
      <c r="CR383" s="127"/>
      <c r="CS383" s="19"/>
      <c r="CT383" s="18"/>
      <c r="CU383" s="18"/>
      <c r="CV383" s="18"/>
      <c r="CW383" s="127"/>
      <c r="CX383" s="19"/>
      <c r="CY383" s="18"/>
      <c r="CZ383" s="18"/>
      <c r="DA383" s="18"/>
      <c r="DB383" s="127"/>
      <c r="DC383" s="18"/>
      <c r="DD383" s="18"/>
      <c r="DE383" s="18"/>
      <c r="DF383" s="18"/>
      <c r="DG383" s="18"/>
      <c r="DH383" s="18"/>
      <c r="DI383" s="18"/>
      <c r="DJ383" s="18"/>
      <c r="DK383" s="61"/>
      <c r="DL383" s="61"/>
      <c r="DM383" s="9"/>
    </row>
    <row r="384" spans="1:117" outlineLevel="1">
      <c r="A384" s="34" t="s">
        <v>283</v>
      </c>
      <c r="B384" s="41" t="s">
        <v>277</v>
      </c>
      <c r="C384" s="40" t="s">
        <v>277</v>
      </c>
      <c r="D384" s="40" t="s">
        <v>277</v>
      </c>
      <c r="E384" s="40" t="s">
        <v>277</v>
      </c>
      <c r="F384" s="118" t="s">
        <v>277</v>
      </c>
      <c r="G384" s="41" t="s">
        <v>277</v>
      </c>
      <c r="H384" s="40" t="s">
        <v>277</v>
      </c>
      <c r="I384" s="40" t="s">
        <v>277</v>
      </c>
      <c r="J384" s="40" t="s">
        <v>277</v>
      </c>
      <c r="K384" s="118" t="s">
        <v>277</v>
      </c>
      <c r="L384" s="41" t="s">
        <v>277</v>
      </c>
      <c r="M384" s="40" t="s">
        <v>277</v>
      </c>
      <c r="N384" s="40" t="s">
        <v>277</v>
      </c>
      <c r="O384" s="40" t="s">
        <v>277</v>
      </c>
      <c r="P384" s="133">
        <v>159214</v>
      </c>
      <c r="Q384" s="41" t="s">
        <v>277</v>
      </c>
      <c r="R384" s="40" t="s">
        <v>277</v>
      </c>
      <c r="S384" s="40" t="s">
        <v>277</v>
      </c>
      <c r="T384" s="40" t="s">
        <v>277</v>
      </c>
      <c r="U384" s="133">
        <v>160517</v>
      </c>
      <c r="V384" s="37">
        <v>164652</v>
      </c>
      <c r="W384" s="40">
        <v>160538</v>
      </c>
      <c r="X384" s="40" t="s">
        <v>277</v>
      </c>
      <c r="Y384" s="40" t="s">
        <v>277</v>
      </c>
      <c r="Z384" s="133">
        <v>159748</v>
      </c>
      <c r="AA384" s="37">
        <v>160450</v>
      </c>
      <c r="AB384" s="40">
        <v>157463</v>
      </c>
      <c r="AC384" s="40">
        <v>153319</v>
      </c>
      <c r="AD384" s="40" t="s">
        <v>277</v>
      </c>
      <c r="AE384" s="133">
        <v>156337</v>
      </c>
      <c r="AF384" s="37">
        <v>157488</v>
      </c>
      <c r="AG384" s="38">
        <v>154231</v>
      </c>
      <c r="AH384" s="38">
        <v>150748</v>
      </c>
      <c r="AI384" s="40" t="s">
        <v>277</v>
      </c>
      <c r="AJ384" s="133">
        <v>153650</v>
      </c>
      <c r="AK384" s="180">
        <v>156440</v>
      </c>
      <c r="AL384" s="65">
        <v>153734</v>
      </c>
      <c r="AM384" s="65">
        <v>150740</v>
      </c>
      <c r="AN384" s="40" t="s">
        <v>277</v>
      </c>
      <c r="AO384" s="133">
        <v>153227</v>
      </c>
      <c r="AP384" s="65">
        <v>155894</v>
      </c>
      <c r="AQ384" s="65">
        <v>153020</v>
      </c>
      <c r="AR384" s="65">
        <v>150705</v>
      </c>
      <c r="AS384" s="40" t="s">
        <v>277</v>
      </c>
      <c r="AT384" s="133">
        <v>153032</v>
      </c>
      <c r="AU384" s="65">
        <v>156425</v>
      </c>
      <c r="AV384" s="65">
        <v>155776</v>
      </c>
      <c r="AW384" s="65">
        <v>152808</v>
      </c>
      <c r="AX384" s="40" t="s">
        <v>277</v>
      </c>
      <c r="AY384" s="133">
        <v>155196</v>
      </c>
      <c r="AZ384" s="19"/>
      <c r="BA384" s="18"/>
      <c r="BB384" s="18"/>
      <c r="BC384" s="18"/>
      <c r="BD384" s="127"/>
      <c r="BE384" s="19"/>
      <c r="BF384" s="18"/>
      <c r="BG384" s="18"/>
      <c r="BH384" s="18"/>
      <c r="BI384" s="127"/>
      <c r="BJ384" s="19"/>
      <c r="BK384" s="18"/>
      <c r="BL384" s="18"/>
      <c r="BM384" s="18"/>
      <c r="BN384" s="127"/>
      <c r="BO384" s="19"/>
      <c r="BP384" s="18"/>
      <c r="BQ384" s="18"/>
      <c r="BR384" s="18"/>
      <c r="BS384" s="127"/>
      <c r="BT384" s="19"/>
      <c r="BU384" s="18"/>
      <c r="BV384" s="18"/>
      <c r="BW384" s="18"/>
      <c r="BX384" s="127"/>
      <c r="BY384" s="19"/>
      <c r="BZ384" s="18"/>
      <c r="CA384" s="18"/>
      <c r="CB384" s="18"/>
      <c r="CC384" s="127"/>
      <c r="CD384" s="19"/>
      <c r="CE384" s="18"/>
      <c r="CF384" s="18"/>
      <c r="CG384" s="18"/>
      <c r="CH384" s="127"/>
      <c r="CI384" s="19"/>
      <c r="CJ384" s="18"/>
      <c r="CK384" s="18"/>
      <c r="CL384" s="18"/>
      <c r="CM384" s="127"/>
      <c r="CN384" s="19"/>
      <c r="CO384" s="18"/>
      <c r="CP384" s="18"/>
      <c r="CQ384" s="18"/>
      <c r="CR384" s="127"/>
      <c r="CS384" s="19"/>
      <c r="CT384" s="18"/>
      <c r="CU384" s="18"/>
      <c r="CV384" s="18"/>
      <c r="CW384" s="127"/>
      <c r="CX384" s="19"/>
      <c r="CY384" s="18"/>
      <c r="CZ384" s="18"/>
      <c r="DA384" s="18"/>
      <c r="DB384" s="127"/>
      <c r="DC384" s="18"/>
      <c r="DD384" s="18"/>
      <c r="DE384" s="18"/>
      <c r="DF384" s="18"/>
      <c r="DG384" s="18"/>
      <c r="DH384" s="18"/>
      <c r="DI384" s="18"/>
      <c r="DJ384" s="18"/>
      <c r="DK384" s="61"/>
      <c r="DL384" s="61"/>
      <c r="DM384" s="9"/>
    </row>
    <row r="385" spans="1:117" outlineLevel="1">
      <c r="A385" s="34" t="s">
        <v>284</v>
      </c>
      <c r="B385" s="41" t="s">
        <v>277</v>
      </c>
      <c r="C385" s="40" t="s">
        <v>277</v>
      </c>
      <c r="D385" s="40" t="s">
        <v>277</v>
      </c>
      <c r="E385" s="40" t="s">
        <v>277</v>
      </c>
      <c r="F385" s="118" t="s">
        <v>277</v>
      </c>
      <c r="G385" s="41" t="s">
        <v>277</v>
      </c>
      <c r="H385" s="40" t="s">
        <v>277</v>
      </c>
      <c r="I385" s="40" t="s">
        <v>277</v>
      </c>
      <c r="J385" s="40" t="s">
        <v>277</v>
      </c>
      <c r="K385" s="118" t="s">
        <v>277</v>
      </c>
      <c r="L385" s="41" t="s">
        <v>277</v>
      </c>
      <c r="M385" s="40" t="s">
        <v>277</v>
      </c>
      <c r="N385" s="40" t="s">
        <v>277</v>
      </c>
      <c r="O385" s="40" t="s">
        <v>277</v>
      </c>
      <c r="P385" s="133">
        <v>1528</v>
      </c>
      <c r="Q385" s="41" t="s">
        <v>277</v>
      </c>
      <c r="R385" s="40" t="s">
        <v>277</v>
      </c>
      <c r="S385" s="40" t="s">
        <v>277</v>
      </c>
      <c r="T385" s="40" t="s">
        <v>277</v>
      </c>
      <c r="U385" s="133">
        <v>1455</v>
      </c>
      <c r="V385" s="37">
        <v>1444</v>
      </c>
      <c r="W385" s="40">
        <v>1444</v>
      </c>
      <c r="X385" s="40" t="s">
        <v>277</v>
      </c>
      <c r="Y385" s="40" t="s">
        <v>277</v>
      </c>
      <c r="Z385" s="133">
        <v>1420</v>
      </c>
      <c r="AA385" s="37">
        <v>1368</v>
      </c>
      <c r="AB385" s="40">
        <v>1364</v>
      </c>
      <c r="AC385" s="40">
        <v>1323</v>
      </c>
      <c r="AD385" s="40" t="s">
        <v>277</v>
      </c>
      <c r="AE385" s="133">
        <v>1343</v>
      </c>
      <c r="AF385" s="37">
        <v>1296</v>
      </c>
      <c r="AG385" s="38">
        <v>1282</v>
      </c>
      <c r="AH385" s="38">
        <v>1258</v>
      </c>
      <c r="AI385" s="40" t="s">
        <v>277</v>
      </c>
      <c r="AJ385" s="133">
        <v>1271</v>
      </c>
      <c r="AK385" s="180">
        <v>1247</v>
      </c>
      <c r="AL385" s="65">
        <v>1237</v>
      </c>
      <c r="AM385" s="65">
        <v>1244</v>
      </c>
      <c r="AN385" s="40" t="s">
        <v>277</v>
      </c>
      <c r="AO385" s="133">
        <v>1248</v>
      </c>
      <c r="AP385" s="65">
        <v>1250</v>
      </c>
      <c r="AQ385" s="65">
        <v>1214</v>
      </c>
      <c r="AR385" s="65">
        <v>1208</v>
      </c>
      <c r="AS385" s="40" t="s">
        <v>277</v>
      </c>
      <c r="AT385" s="133">
        <v>1220</v>
      </c>
      <c r="AU385" s="65">
        <v>1166</v>
      </c>
      <c r="AV385" s="65">
        <v>0</v>
      </c>
      <c r="AW385" s="65">
        <v>0</v>
      </c>
      <c r="AX385" s="40" t="s">
        <v>277</v>
      </c>
      <c r="AY385" s="133">
        <v>0</v>
      </c>
      <c r="AZ385" s="19"/>
      <c r="BA385" s="18"/>
      <c r="BB385" s="18"/>
      <c r="BC385" s="18"/>
      <c r="BD385" s="127"/>
      <c r="BE385" s="19"/>
      <c r="BF385" s="18"/>
      <c r="BG385" s="18"/>
      <c r="BH385" s="18"/>
      <c r="BI385" s="127"/>
      <c r="BJ385" s="19"/>
      <c r="BK385" s="18"/>
      <c r="BL385" s="18"/>
      <c r="BM385" s="18"/>
      <c r="BN385" s="127"/>
      <c r="BO385" s="19"/>
      <c r="BP385" s="18"/>
      <c r="BQ385" s="18"/>
      <c r="BR385" s="18"/>
      <c r="BS385" s="127"/>
      <c r="BT385" s="19"/>
      <c r="BU385" s="18"/>
      <c r="BV385" s="18"/>
      <c r="BW385" s="18"/>
      <c r="BX385" s="127"/>
      <c r="BY385" s="19"/>
      <c r="BZ385" s="18"/>
      <c r="CA385" s="18"/>
      <c r="CB385" s="18"/>
      <c r="CC385" s="127"/>
      <c r="CD385" s="19"/>
      <c r="CE385" s="18"/>
      <c r="CF385" s="18"/>
      <c r="CG385" s="18"/>
      <c r="CH385" s="127"/>
      <c r="CI385" s="19"/>
      <c r="CJ385" s="18"/>
      <c r="CK385" s="18"/>
      <c r="CL385" s="18"/>
      <c r="CM385" s="127"/>
      <c r="CN385" s="19"/>
      <c r="CO385" s="18"/>
      <c r="CP385" s="18"/>
      <c r="CQ385" s="18"/>
      <c r="CR385" s="127"/>
      <c r="CS385" s="19"/>
      <c r="CT385" s="18"/>
      <c r="CU385" s="18"/>
      <c r="CV385" s="18"/>
      <c r="CW385" s="127"/>
      <c r="CX385" s="19"/>
      <c r="CY385" s="18"/>
      <c r="CZ385" s="18"/>
      <c r="DA385" s="18"/>
      <c r="DB385" s="127"/>
      <c r="DC385" s="18"/>
      <c r="DD385" s="18"/>
      <c r="DE385" s="18"/>
      <c r="DF385" s="18"/>
      <c r="DG385" s="18"/>
      <c r="DH385" s="18"/>
      <c r="DI385" s="18"/>
      <c r="DJ385" s="18"/>
      <c r="DK385" s="61"/>
      <c r="DL385" s="61"/>
      <c r="DM385" s="9"/>
    </row>
    <row r="386" spans="1:117" outlineLevel="1">
      <c r="A386" s="34" t="s">
        <v>285</v>
      </c>
      <c r="B386" s="41" t="s">
        <v>277</v>
      </c>
      <c r="C386" s="40" t="s">
        <v>277</v>
      </c>
      <c r="D386" s="40" t="s">
        <v>277</v>
      </c>
      <c r="E386" s="40" t="s">
        <v>277</v>
      </c>
      <c r="F386" s="118" t="s">
        <v>277</v>
      </c>
      <c r="G386" s="41" t="s">
        <v>277</v>
      </c>
      <c r="H386" s="40" t="s">
        <v>277</v>
      </c>
      <c r="I386" s="40" t="s">
        <v>277</v>
      </c>
      <c r="J386" s="40" t="s">
        <v>277</v>
      </c>
      <c r="K386" s="118" t="s">
        <v>277</v>
      </c>
      <c r="L386" s="41" t="s">
        <v>277</v>
      </c>
      <c r="M386" s="40" t="s">
        <v>277</v>
      </c>
      <c r="N386" s="40" t="s">
        <v>277</v>
      </c>
      <c r="O386" s="40" t="s">
        <v>277</v>
      </c>
      <c r="P386" s="133">
        <v>18</v>
      </c>
      <c r="Q386" s="41" t="s">
        <v>277</v>
      </c>
      <c r="R386" s="40" t="s">
        <v>277</v>
      </c>
      <c r="S386" s="40" t="s">
        <v>277</v>
      </c>
      <c r="T386" s="40" t="s">
        <v>277</v>
      </c>
      <c r="U386" s="133">
        <v>27</v>
      </c>
      <c r="V386" s="37">
        <v>29</v>
      </c>
      <c r="W386" s="40">
        <v>27</v>
      </c>
      <c r="X386" s="40" t="s">
        <v>277</v>
      </c>
      <c r="Y386" s="40" t="s">
        <v>277</v>
      </c>
      <c r="Z386" s="133">
        <v>28</v>
      </c>
      <c r="AA386" s="37">
        <v>27</v>
      </c>
      <c r="AB386" s="40">
        <v>27</v>
      </c>
      <c r="AC386" s="40">
        <v>26</v>
      </c>
      <c r="AD386" s="40" t="s">
        <v>277</v>
      </c>
      <c r="AE386" s="133">
        <v>27</v>
      </c>
      <c r="AF386" s="37">
        <v>35</v>
      </c>
      <c r="AG386" s="38">
        <v>35</v>
      </c>
      <c r="AH386" s="38">
        <v>34</v>
      </c>
      <c r="AI386" s="40" t="s">
        <v>277</v>
      </c>
      <c r="AJ386" s="133">
        <v>35</v>
      </c>
      <c r="AK386" s="180">
        <v>0</v>
      </c>
      <c r="AL386" s="65">
        <v>0</v>
      </c>
      <c r="AM386" s="65">
        <v>0</v>
      </c>
      <c r="AN386" s="40" t="s">
        <v>277</v>
      </c>
      <c r="AO386" s="133">
        <v>0</v>
      </c>
      <c r="AP386" s="65">
        <v>0</v>
      </c>
      <c r="AQ386" s="65">
        <v>0</v>
      </c>
      <c r="AR386" s="65">
        <v>0</v>
      </c>
      <c r="AS386" s="40" t="s">
        <v>277</v>
      </c>
      <c r="AT386" s="133">
        <v>0</v>
      </c>
      <c r="AU386" s="65">
        <v>0</v>
      </c>
      <c r="AV386" s="65">
        <v>0</v>
      </c>
      <c r="AW386" s="65">
        <v>0</v>
      </c>
      <c r="AX386" s="40" t="s">
        <v>277</v>
      </c>
      <c r="AY386" s="133">
        <v>0</v>
      </c>
      <c r="AZ386" s="19"/>
      <c r="BA386" s="18"/>
      <c r="BB386" s="18"/>
      <c r="BC386" s="18"/>
      <c r="BD386" s="127"/>
      <c r="BE386" s="19"/>
      <c r="BF386" s="18"/>
      <c r="BG386" s="18"/>
      <c r="BH386" s="18"/>
      <c r="BI386" s="127"/>
      <c r="BJ386" s="19"/>
      <c r="BK386" s="18"/>
      <c r="BL386" s="18"/>
      <c r="BM386" s="18"/>
      <c r="BN386" s="127"/>
      <c r="BO386" s="19"/>
      <c r="BP386" s="18"/>
      <c r="BQ386" s="18"/>
      <c r="BR386" s="18"/>
      <c r="BS386" s="127"/>
      <c r="BT386" s="19"/>
      <c r="BU386" s="18"/>
      <c r="BV386" s="18"/>
      <c r="BW386" s="18"/>
      <c r="BX386" s="127"/>
      <c r="BY386" s="19"/>
      <c r="BZ386" s="18"/>
      <c r="CA386" s="18"/>
      <c r="CB386" s="18"/>
      <c r="CC386" s="127"/>
      <c r="CD386" s="19"/>
      <c r="CE386" s="18"/>
      <c r="CF386" s="18"/>
      <c r="CG386" s="18"/>
      <c r="CH386" s="127"/>
      <c r="CI386" s="19"/>
      <c r="CJ386" s="18"/>
      <c r="CK386" s="18"/>
      <c r="CL386" s="18"/>
      <c r="CM386" s="127"/>
      <c r="CN386" s="19"/>
      <c r="CO386" s="18"/>
      <c r="CP386" s="18"/>
      <c r="CQ386" s="18"/>
      <c r="CR386" s="127"/>
      <c r="CS386" s="19"/>
      <c r="CT386" s="18"/>
      <c r="CU386" s="18"/>
      <c r="CV386" s="18"/>
      <c r="CW386" s="127"/>
      <c r="CX386" s="19"/>
      <c r="CY386" s="18"/>
      <c r="CZ386" s="18"/>
      <c r="DA386" s="18"/>
      <c r="DB386" s="127"/>
      <c r="DC386" s="18"/>
      <c r="DD386" s="18"/>
      <c r="DE386" s="18"/>
      <c r="DF386" s="18"/>
      <c r="DG386" s="18"/>
      <c r="DH386" s="18"/>
      <c r="DI386" s="18"/>
      <c r="DJ386" s="18"/>
      <c r="DK386" s="61"/>
      <c r="DL386" s="61"/>
      <c r="DM386" s="9"/>
    </row>
    <row r="387" spans="1:117" outlineLevel="1">
      <c r="A387" s="34" t="s">
        <v>363</v>
      </c>
      <c r="B387" s="41" t="s">
        <v>277</v>
      </c>
      <c r="C387" s="40" t="s">
        <v>277</v>
      </c>
      <c r="D387" s="40" t="s">
        <v>277</v>
      </c>
      <c r="E387" s="40" t="s">
        <v>277</v>
      </c>
      <c r="F387" s="118" t="s">
        <v>277</v>
      </c>
      <c r="G387" s="41" t="s">
        <v>277</v>
      </c>
      <c r="H387" s="40" t="s">
        <v>277</v>
      </c>
      <c r="I387" s="40" t="s">
        <v>277</v>
      </c>
      <c r="J387" s="40" t="s">
        <v>277</v>
      </c>
      <c r="K387" s="118" t="s">
        <v>277</v>
      </c>
      <c r="L387" s="41" t="s">
        <v>277</v>
      </c>
      <c r="M387" s="40" t="s">
        <v>277</v>
      </c>
      <c r="N387" s="40" t="s">
        <v>277</v>
      </c>
      <c r="O387" s="40" t="s">
        <v>277</v>
      </c>
      <c r="P387" s="133">
        <v>2645</v>
      </c>
      <c r="Q387" s="41" t="s">
        <v>277</v>
      </c>
      <c r="R387" s="40" t="s">
        <v>277</v>
      </c>
      <c r="S387" s="40" t="s">
        <v>277</v>
      </c>
      <c r="T387" s="40" t="s">
        <v>277</v>
      </c>
      <c r="U387" s="133">
        <v>2952</v>
      </c>
      <c r="V387" s="37">
        <v>2938</v>
      </c>
      <c r="W387" s="40">
        <v>3035</v>
      </c>
      <c r="X387" s="40" t="s">
        <v>277</v>
      </c>
      <c r="Y387" s="40" t="s">
        <v>277</v>
      </c>
      <c r="Z387" s="133">
        <v>2963</v>
      </c>
      <c r="AA387" s="37">
        <v>2949</v>
      </c>
      <c r="AB387" s="40">
        <v>2858</v>
      </c>
      <c r="AC387" s="40">
        <v>2564</v>
      </c>
      <c r="AD387" s="40" t="s">
        <v>277</v>
      </c>
      <c r="AE387" s="133">
        <v>2740</v>
      </c>
      <c r="AF387" s="37">
        <v>2622</v>
      </c>
      <c r="AG387" s="38">
        <v>2680</v>
      </c>
      <c r="AH387" s="38">
        <v>2679</v>
      </c>
      <c r="AI387" s="40" t="s">
        <v>277</v>
      </c>
      <c r="AJ387" s="133">
        <v>2666</v>
      </c>
      <c r="AK387" s="180">
        <v>2784</v>
      </c>
      <c r="AL387" s="65">
        <v>2736</v>
      </c>
      <c r="AM387" s="65">
        <v>2713</v>
      </c>
      <c r="AN387" s="40" t="s">
        <v>277</v>
      </c>
      <c r="AO387" s="133">
        <v>2730</v>
      </c>
      <c r="AP387" s="65">
        <v>2703</v>
      </c>
      <c r="AQ387" s="65">
        <v>2750</v>
      </c>
      <c r="AR387" s="65">
        <v>2765</v>
      </c>
      <c r="AS387" s="40" t="s">
        <v>277</v>
      </c>
      <c r="AT387" s="133">
        <v>2737</v>
      </c>
      <c r="AU387" s="65">
        <v>2763</v>
      </c>
      <c r="AV387" s="65">
        <v>2761</v>
      </c>
      <c r="AW387" s="65">
        <v>2758</v>
      </c>
      <c r="AX387" s="40" t="s">
        <v>277</v>
      </c>
      <c r="AY387" s="133">
        <v>2755</v>
      </c>
      <c r="AZ387" s="19"/>
      <c r="BA387" s="18"/>
      <c r="BB387" s="18"/>
      <c r="BC387" s="18"/>
      <c r="BD387" s="127"/>
      <c r="BE387" s="19"/>
      <c r="BF387" s="18"/>
      <c r="BG387" s="18"/>
      <c r="BH387" s="18"/>
      <c r="BI387" s="127"/>
      <c r="BJ387" s="19"/>
      <c r="BK387" s="18"/>
      <c r="BL387" s="18"/>
      <c r="BM387" s="18"/>
      <c r="BN387" s="127"/>
      <c r="BO387" s="19"/>
      <c r="BP387" s="18"/>
      <c r="BQ387" s="18"/>
      <c r="BR387" s="18"/>
      <c r="BS387" s="127"/>
      <c r="BT387" s="19"/>
      <c r="BU387" s="18"/>
      <c r="BV387" s="18"/>
      <c r="BW387" s="18"/>
      <c r="BX387" s="127"/>
      <c r="BY387" s="19"/>
      <c r="BZ387" s="18"/>
      <c r="CA387" s="18"/>
      <c r="CB387" s="18"/>
      <c r="CC387" s="127"/>
      <c r="CD387" s="19"/>
      <c r="CE387" s="18"/>
      <c r="CF387" s="18"/>
      <c r="CG387" s="18"/>
      <c r="CH387" s="127"/>
      <c r="CI387" s="19"/>
      <c r="CJ387" s="18"/>
      <c r="CK387" s="18"/>
      <c r="CL387" s="18"/>
      <c r="CM387" s="127"/>
      <c r="CN387" s="19"/>
      <c r="CO387" s="18"/>
      <c r="CP387" s="18"/>
      <c r="CQ387" s="18"/>
      <c r="CR387" s="127"/>
      <c r="CS387" s="19"/>
      <c r="CT387" s="18"/>
      <c r="CU387" s="18"/>
      <c r="CV387" s="18"/>
      <c r="CW387" s="127"/>
      <c r="CX387" s="19"/>
      <c r="CY387" s="18"/>
      <c r="CZ387" s="18"/>
      <c r="DA387" s="18"/>
      <c r="DB387" s="127"/>
      <c r="DC387" s="18"/>
      <c r="DD387" s="18"/>
      <c r="DE387" s="18"/>
      <c r="DF387" s="18"/>
      <c r="DG387" s="18"/>
      <c r="DH387" s="18"/>
      <c r="DI387" s="18"/>
      <c r="DJ387" s="18"/>
      <c r="DK387" s="61"/>
      <c r="DL387" s="61"/>
      <c r="DM387" s="9"/>
    </row>
    <row r="388" spans="1:117" outlineLevel="1">
      <c r="A388" s="34" t="s">
        <v>713</v>
      </c>
      <c r="B388" s="41" t="s">
        <v>277</v>
      </c>
      <c r="C388" s="40" t="s">
        <v>277</v>
      </c>
      <c r="D388" s="40" t="s">
        <v>277</v>
      </c>
      <c r="E388" s="40" t="s">
        <v>277</v>
      </c>
      <c r="F388" s="118" t="s">
        <v>277</v>
      </c>
      <c r="G388" s="41" t="s">
        <v>277</v>
      </c>
      <c r="H388" s="40" t="s">
        <v>277</v>
      </c>
      <c r="I388" s="40" t="s">
        <v>277</v>
      </c>
      <c r="J388" s="40" t="s">
        <v>277</v>
      </c>
      <c r="K388" s="118" t="s">
        <v>277</v>
      </c>
      <c r="L388" s="41" t="s">
        <v>277</v>
      </c>
      <c r="M388" s="40" t="s">
        <v>277</v>
      </c>
      <c r="N388" s="40" t="s">
        <v>277</v>
      </c>
      <c r="O388" s="40" t="s">
        <v>277</v>
      </c>
      <c r="P388" s="133">
        <v>8666</v>
      </c>
      <c r="Q388" s="41" t="s">
        <v>277</v>
      </c>
      <c r="R388" s="40" t="s">
        <v>277</v>
      </c>
      <c r="S388" s="40" t="s">
        <v>277</v>
      </c>
      <c r="T388" s="40" t="s">
        <v>277</v>
      </c>
      <c r="U388" s="133">
        <v>9762</v>
      </c>
      <c r="V388" s="37">
        <v>10136</v>
      </c>
      <c r="W388" s="40">
        <v>10331</v>
      </c>
      <c r="X388" s="40" t="s">
        <v>277</v>
      </c>
      <c r="Y388" s="40" t="s">
        <v>277</v>
      </c>
      <c r="Z388" s="133">
        <v>10376</v>
      </c>
      <c r="AA388" s="37">
        <v>10746</v>
      </c>
      <c r="AB388" s="40">
        <v>9075</v>
      </c>
      <c r="AC388" s="40">
        <v>10882</v>
      </c>
      <c r="AD388" s="40" t="s">
        <v>277</v>
      </c>
      <c r="AE388" s="133">
        <v>10410</v>
      </c>
      <c r="AF388" s="37">
        <v>9406</v>
      </c>
      <c r="AG388" s="38">
        <v>7757</v>
      </c>
      <c r="AH388" s="38">
        <v>11357</v>
      </c>
      <c r="AI388" s="40" t="s">
        <v>277</v>
      </c>
      <c r="AJ388" s="133">
        <v>11308</v>
      </c>
      <c r="AK388" s="180">
        <v>11607</v>
      </c>
      <c r="AL388" s="65">
        <v>11677</v>
      </c>
      <c r="AM388" s="65">
        <v>11738</v>
      </c>
      <c r="AN388" s="40" t="s">
        <v>277</v>
      </c>
      <c r="AO388" s="133">
        <v>11708</v>
      </c>
      <c r="AP388" s="65">
        <v>11878</v>
      </c>
      <c r="AQ388" s="65">
        <v>11911</v>
      </c>
      <c r="AR388" s="65">
        <v>11934</v>
      </c>
      <c r="AS388" s="40" t="s">
        <v>277</v>
      </c>
      <c r="AT388" s="133">
        <v>11926</v>
      </c>
      <c r="AU388" s="65">
        <v>12006</v>
      </c>
      <c r="AV388" s="65">
        <v>12015</v>
      </c>
      <c r="AW388" s="65">
        <v>12042</v>
      </c>
      <c r="AX388" s="40" t="s">
        <v>277</v>
      </c>
      <c r="AY388" s="133">
        <v>12031</v>
      </c>
      <c r="AZ388" s="19"/>
      <c r="BA388" s="18"/>
      <c r="BB388" s="18"/>
      <c r="BC388" s="18"/>
      <c r="BD388" s="127"/>
      <c r="BE388" s="19"/>
      <c r="BF388" s="18"/>
      <c r="BG388" s="18"/>
      <c r="BH388" s="18"/>
      <c r="BI388" s="127"/>
      <c r="BJ388" s="19"/>
      <c r="BK388" s="18"/>
      <c r="BL388" s="18"/>
      <c r="BM388" s="18"/>
      <c r="BN388" s="127"/>
      <c r="BO388" s="19"/>
      <c r="BP388" s="18"/>
      <c r="BQ388" s="18"/>
      <c r="BR388" s="18"/>
      <c r="BS388" s="127"/>
      <c r="BT388" s="19"/>
      <c r="BU388" s="18"/>
      <c r="BV388" s="18"/>
      <c r="BW388" s="18"/>
      <c r="BX388" s="127"/>
      <c r="BY388" s="19"/>
      <c r="BZ388" s="18"/>
      <c r="CA388" s="18"/>
      <c r="CB388" s="18"/>
      <c r="CC388" s="127"/>
      <c r="CD388" s="19"/>
      <c r="CE388" s="18"/>
      <c r="CF388" s="18"/>
      <c r="CG388" s="18"/>
      <c r="CH388" s="127"/>
      <c r="CI388" s="19"/>
      <c r="CJ388" s="18"/>
      <c r="CK388" s="18"/>
      <c r="CL388" s="18"/>
      <c r="CM388" s="127"/>
      <c r="CN388" s="19"/>
      <c r="CO388" s="18"/>
      <c r="CP388" s="18"/>
      <c r="CQ388" s="18"/>
      <c r="CR388" s="127"/>
      <c r="CS388" s="19"/>
      <c r="CT388" s="18"/>
      <c r="CU388" s="18"/>
      <c r="CV388" s="18"/>
      <c r="CW388" s="127"/>
      <c r="CX388" s="19"/>
      <c r="CY388" s="18"/>
      <c r="CZ388" s="18"/>
      <c r="DA388" s="18"/>
      <c r="DB388" s="127"/>
      <c r="DC388" s="18"/>
      <c r="DD388" s="18"/>
      <c r="DE388" s="18"/>
      <c r="DF388" s="18"/>
      <c r="DG388" s="18"/>
      <c r="DH388" s="18"/>
      <c r="DI388" s="18"/>
      <c r="DJ388" s="18"/>
      <c r="DK388" s="61"/>
      <c r="DL388" s="61"/>
      <c r="DM388" s="9"/>
    </row>
    <row r="389" spans="1:117" outlineLevel="1">
      <c r="A389" s="36" t="s">
        <v>63</v>
      </c>
      <c r="B389" s="37">
        <v>2021496</v>
      </c>
      <c r="C389" s="38">
        <v>2004683</v>
      </c>
      <c r="D389" s="38">
        <v>1991117</v>
      </c>
      <c r="E389" s="48">
        <f>F389</f>
        <v>2008835</v>
      </c>
      <c r="F389" s="133">
        <v>2008835</v>
      </c>
      <c r="G389" s="37">
        <v>2043466</v>
      </c>
      <c r="H389" s="38">
        <v>2019953</v>
      </c>
      <c r="I389" s="38">
        <v>1993496</v>
      </c>
      <c r="J389" s="48">
        <f>K389</f>
        <v>2018900</v>
      </c>
      <c r="K389" s="133">
        <v>2018900</v>
      </c>
      <c r="L389" s="37">
        <v>2050494</v>
      </c>
      <c r="M389" s="38">
        <v>2031795</v>
      </c>
      <c r="N389" s="38">
        <v>2007720</v>
      </c>
      <c r="O389" s="48">
        <f>P389</f>
        <v>2031551</v>
      </c>
      <c r="P389" s="104">
        <f>SUM(P383:P388)</f>
        <v>2031551</v>
      </c>
      <c r="Q389" s="37">
        <v>2072811</v>
      </c>
      <c r="R389" s="38">
        <v>2051633</v>
      </c>
      <c r="S389" s="38">
        <v>2022615</v>
      </c>
      <c r="T389" s="48">
        <f>U389</f>
        <v>2050767</v>
      </c>
      <c r="U389" s="104">
        <f>SUM(U383:U388)</f>
        <v>2050767</v>
      </c>
      <c r="V389" s="94">
        <f>SUM(V383:V388)</f>
        <v>2082345</v>
      </c>
      <c r="W389" s="48">
        <f>SUM(W383:W388)</f>
        <v>2067779</v>
      </c>
      <c r="X389" s="38">
        <v>2038929</v>
      </c>
      <c r="Y389" s="48">
        <f>Z389</f>
        <v>2060653</v>
      </c>
      <c r="Z389" s="104">
        <f>SUM(Z383:Z388)</f>
        <v>2060653</v>
      </c>
      <c r="AA389" s="94">
        <f>SUM(AA383:AA388)</f>
        <v>2088891</v>
      </c>
      <c r="AB389" s="48">
        <f>SUM(AB383:AB388)</f>
        <v>2075462</v>
      </c>
      <c r="AC389" s="48">
        <f>SUM(AC383:AC388)</f>
        <v>2051788</v>
      </c>
      <c r="AD389" s="48">
        <f>AE389</f>
        <v>2072639</v>
      </c>
      <c r="AE389" s="104">
        <f>SUM(AE383:AE388)</f>
        <v>2072639</v>
      </c>
      <c r="AF389" s="79">
        <f>SUM(AF383:AF388)</f>
        <v>2101525</v>
      </c>
      <c r="AG389" s="77">
        <f>SUM(AG383:AG388)</f>
        <v>2083038</v>
      </c>
      <c r="AH389" s="77">
        <f>SUM(AH383:AH388)</f>
        <v>2059366</v>
      </c>
      <c r="AI389" s="48">
        <f>AJ389</f>
        <v>2081135</v>
      </c>
      <c r="AJ389" s="104">
        <f>SUM(AJ383:AJ388)</f>
        <v>2081135</v>
      </c>
      <c r="AK389" s="79">
        <f>SUM(AK383:AK388)</f>
        <v>2110607</v>
      </c>
      <c r="AL389" s="77">
        <f>SUM(AL383:AL388)</f>
        <v>2093992</v>
      </c>
      <c r="AM389" s="77">
        <f>SUM(AM383:AM388)</f>
        <v>2069144</v>
      </c>
      <c r="AN389" s="48">
        <f>AO389</f>
        <v>2089930</v>
      </c>
      <c r="AO389" s="104">
        <f>SUM(AO383:AO388)</f>
        <v>2089930</v>
      </c>
      <c r="AP389" s="77">
        <f>SUM(AP383:AP388)</f>
        <v>2116479</v>
      </c>
      <c r="AQ389" s="77">
        <f>SUM(AQ383:AQ388)</f>
        <v>2102541</v>
      </c>
      <c r="AR389" s="77">
        <f>SUM(AR383:AR388)</f>
        <v>2085098</v>
      </c>
      <c r="AS389" s="48">
        <f>AT389</f>
        <v>2101399</v>
      </c>
      <c r="AT389" s="104">
        <f>SUM(AT383:AT388)</f>
        <v>2101399</v>
      </c>
      <c r="AU389" s="77">
        <f>SUM(AU383:AU388)</f>
        <v>2128269</v>
      </c>
      <c r="AV389" s="77">
        <f>SUM(AV383:AV388)</f>
        <v>2121671</v>
      </c>
      <c r="AW389" s="77">
        <f>SUM(AW383:AW388)</f>
        <v>2097472</v>
      </c>
      <c r="AX389" s="48">
        <f>AY389</f>
        <v>2113912</v>
      </c>
      <c r="AY389" s="104">
        <f>SUM(AY383:AY388)</f>
        <v>2113912</v>
      </c>
      <c r="AZ389" s="37"/>
      <c r="BA389" s="38"/>
      <c r="BB389" s="38"/>
      <c r="BC389" s="38"/>
      <c r="BD389" s="133"/>
      <c r="BE389" s="37"/>
      <c r="BF389" s="38"/>
      <c r="BG389" s="38"/>
      <c r="BH389" s="38"/>
      <c r="BI389" s="133"/>
      <c r="BJ389" s="37"/>
      <c r="BK389" s="38"/>
      <c r="BL389" s="38"/>
      <c r="BM389" s="38"/>
      <c r="BN389" s="133"/>
      <c r="BO389" s="37"/>
      <c r="BP389" s="38"/>
      <c r="BQ389" s="38"/>
      <c r="BR389" s="38"/>
      <c r="BS389" s="133"/>
      <c r="BT389" s="37"/>
      <c r="BU389" s="38"/>
      <c r="BV389" s="38"/>
      <c r="BW389" s="38"/>
      <c r="BX389" s="133"/>
      <c r="BY389" s="37"/>
      <c r="BZ389" s="38"/>
      <c r="CA389" s="38"/>
      <c r="CB389" s="38"/>
      <c r="CC389" s="133"/>
      <c r="CD389" s="37"/>
      <c r="CE389" s="38"/>
      <c r="CF389" s="38"/>
      <c r="CG389" s="38"/>
      <c r="CH389" s="133"/>
      <c r="CI389" s="37"/>
      <c r="CJ389" s="38"/>
      <c r="CK389" s="38"/>
      <c r="CL389" s="38"/>
      <c r="CM389" s="133"/>
      <c r="CN389" s="37"/>
      <c r="CO389" s="38"/>
      <c r="CP389" s="38"/>
      <c r="CQ389" s="38"/>
      <c r="CR389" s="133"/>
      <c r="CS389" s="37"/>
      <c r="CT389" s="38"/>
      <c r="CU389" s="38"/>
      <c r="CV389" s="38"/>
      <c r="CW389" s="133"/>
      <c r="CX389" s="37"/>
      <c r="CY389" s="38"/>
      <c r="CZ389" s="38"/>
      <c r="DA389" s="38"/>
      <c r="DB389" s="133"/>
      <c r="DC389" s="38"/>
      <c r="DD389" s="38"/>
      <c r="DE389" s="38"/>
      <c r="DF389" s="38"/>
      <c r="DG389" s="38"/>
      <c r="DH389" s="38"/>
      <c r="DI389" s="38"/>
      <c r="DJ389" s="38"/>
      <c r="DK389" s="65"/>
      <c r="DL389" s="65"/>
      <c r="DM389" s="9"/>
    </row>
    <row r="390" spans="1:117" outlineLevel="1">
      <c r="A390" s="36" t="s">
        <v>114</v>
      </c>
      <c r="B390" s="37">
        <v>663</v>
      </c>
      <c r="C390" s="38">
        <v>664</v>
      </c>
      <c r="D390" s="38">
        <v>659</v>
      </c>
      <c r="E390" s="48">
        <f>F390</f>
        <v>664</v>
      </c>
      <c r="F390" s="133">
        <v>664</v>
      </c>
      <c r="G390" s="37">
        <v>688</v>
      </c>
      <c r="H390" s="38">
        <v>688</v>
      </c>
      <c r="I390" s="38">
        <v>683</v>
      </c>
      <c r="J390" s="48">
        <f>K390</f>
        <v>689</v>
      </c>
      <c r="K390" s="133">
        <v>689</v>
      </c>
      <c r="L390" s="37">
        <v>712</v>
      </c>
      <c r="M390" s="38">
        <v>709</v>
      </c>
      <c r="N390" s="38">
        <v>706</v>
      </c>
      <c r="O390" s="48">
        <f>P390</f>
        <v>713</v>
      </c>
      <c r="P390" s="133">
        <v>713</v>
      </c>
      <c r="Q390" s="37">
        <v>745</v>
      </c>
      <c r="R390" s="38">
        <v>733</v>
      </c>
      <c r="S390" s="38">
        <v>721</v>
      </c>
      <c r="T390" s="48">
        <f>U390</f>
        <v>732</v>
      </c>
      <c r="U390" s="133">
        <v>732</v>
      </c>
      <c r="V390" s="37">
        <v>732</v>
      </c>
      <c r="W390" s="38">
        <v>727</v>
      </c>
      <c r="X390" s="38">
        <v>707</v>
      </c>
      <c r="Y390" s="48">
        <f>Z390</f>
        <v>719</v>
      </c>
      <c r="Z390" s="133">
        <v>719</v>
      </c>
      <c r="AA390" s="41" t="s">
        <v>277</v>
      </c>
      <c r="AB390" s="40" t="s">
        <v>277</v>
      </c>
      <c r="AC390" s="40" t="s">
        <v>277</v>
      </c>
      <c r="AD390" s="40" t="s">
        <v>277</v>
      </c>
      <c r="AE390" s="118" t="s">
        <v>277</v>
      </c>
      <c r="AF390" s="41" t="s">
        <v>277</v>
      </c>
      <c r="AG390" s="40" t="s">
        <v>277</v>
      </c>
      <c r="AH390" s="40" t="s">
        <v>277</v>
      </c>
      <c r="AI390" s="40" t="s">
        <v>277</v>
      </c>
      <c r="AJ390" s="118" t="s">
        <v>277</v>
      </c>
      <c r="AK390" s="41" t="s">
        <v>277</v>
      </c>
      <c r="AL390" s="40" t="s">
        <v>277</v>
      </c>
      <c r="AM390" s="40" t="s">
        <v>277</v>
      </c>
      <c r="AN390" s="40" t="s">
        <v>277</v>
      </c>
      <c r="AO390" s="118" t="s">
        <v>277</v>
      </c>
      <c r="AP390" s="41" t="s">
        <v>277</v>
      </c>
      <c r="AQ390" s="40" t="s">
        <v>277</v>
      </c>
      <c r="AR390" s="40" t="s">
        <v>277</v>
      </c>
      <c r="AS390" s="40" t="s">
        <v>277</v>
      </c>
      <c r="AT390" s="118" t="s">
        <v>277</v>
      </c>
      <c r="AU390" s="41" t="s">
        <v>277</v>
      </c>
      <c r="AV390" s="40" t="s">
        <v>277</v>
      </c>
      <c r="AW390" s="40" t="s">
        <v>277</v>
      </c>
      <c r="AX390" s="40" t="s">
        <v>277</v>
      </c>
      <c r="AY390" s="118" t="s">
        <v>277</v>
      </c>
      <c r="AZ390" s="19"/>
      <c r="BA390" s="18"/>
      <c r="BB390" s="18"/>
      <c r="BC390" s="18"/>
      <c r="BD390" s="127"/>
      <c r="BE390" s="19"/>
      <c r="BF390" s="18"/>
      <c r="BG390" s="18"/>
      <c r="BH390" s="18"/>
      <c r="BI390" s="127"/>
      <c r="BJ390" s="19"/>
      <c r="BK390" s="18"/>
      <c r="BL390" s="18"/>
      <c r="BM390" s="18"/>
      <c r="BN390" s="127"/>
      <c r="BO390" s="19"/>
      <c r="BP390" s="18"/>
      <c r="BQ390" s="18"/>
      <c r="BR390" s="18"/>
      <c r="BS390" s="127"/>
      <c r="BT390" s="19"/>
      <c r="BU390" s="18"/>
      <c r="BV390" s="18"/>
      <c r="BW390" s="18"/>
      <c r="BX390" s="127"/>
      <c r="BY390" s="19"/>
      <c r="BZ390" s="18"/>
      <c r="CA390" s="18"/>
      <c r="CB390" s="18"/>
      <c r="CC390" s="127"/>
      <c r="CD390" s="19"/>
      <c r="CE390" s="18"/>
      <c r="CF390" s="18"/>
      <c r="CG390" s="18"/>
      <c r="CH390" s="127"/>
      <c r="CI390" s="19"/>
      <c r="CJ390" s="18"/>
      <c r="CK390" s="18"/>
      <c r="CL390" s="18"/>
      <c r="CM390" s="127"/>
      <c r="CN390" s="19"/>
      <c r="CO390" s="18"/>
      <c r="CP390" s="18"/>
      <c r="CQ390" s="18"/>
      <c r="CR390" s="127"/>
      <c r="CS390" s="19"/>
      <c r="CT390" s="18"/>
      <c r="CU390" s="18"/>
      <c r="CV390" s="18"/>
      <c r="CW390" s="127"/>
      <c r="CX390" s="19"/>
      <c r="CY390" s="18"/>
      <c r="CZ390" s="18"/>
      <c r="DA390" s="18"/>
      <c r="DB390" s="127"/>
      <c r="DC390" s="18"/>
      <c r="DD390" s="18"/>
      <c r="DE390" s="18"/>
      <c r="DF390" s="18"/>
      <c r="DG390" s="18"/>
      <c r="DH390" s="18"/>
      <c r="DI390" s="18"/>
      <c r="DJ390" s="18"/>
      <c r="DK390" s="61"/>
      <c r="DL390" s="61"/>
      <c r="DM390" s="9"/>
    </row>
    <row r="391" spans="1:117" outlineLevel="1">
      <c r="A391" s="12"/>
      <c r="B391" s="37"/>
      <c r="C391" s="38"/>
      <c r="D391" s="38"/>
      <c r="E391" s="38"/>
      <c r="F391" s="133"/>
      <c r="G391" s="37"/>
      <c r="H391" s="38"/>
      <c r="I391" s="38"/>
      <c r="J391" s="38"/>
      <c r="K391" s="133"/>
      <c r="L391" s="37"/>
      <c r="M391" s="38"/>
      <c r="N391" s="38"/>
      <c r="O391" s="38"/>
      <c r="P391" s="133"/>
      <c r="Q391" s="37"/>
      <c r="R391" s="38"/>
      <c r="S391" s="38"/>
      <c r="T391" s="38"/>
      <c r="U391" s="133"/>
      <c r="V391" s="37"/>
      <c r="W391" s="38"/>
      <c r="X391" s="38"/>
      <c r="Y391" s="38"/>
      <c r="Z391" s="133"/>
      <c r="AA391" s="37"/>
      <c r="AB391" s="18"/>
      <c r="AC391" s="18"/>
      <c r="AD391" s="18"/>
      <c r="AE391" s="127"/>
      <c r="AF391" s="19"/>
      <c r="AG391" s="18"/>
      <c r="AH391" s="18"/>
      <c r="AI391" s="18"/>
      <c r="AJ391" s="127"/>
      <c r="AK391" s="19"/>
      <c r="AL391" s="18"/>
      <c r="AM391" s="18"/>
      <c r="AN391" s="18"/>
      <c r="AO391" s="127"/>
      <c r="AP391" s="19"/>
      <c r="AQ391" s="18"/>
      <c r="AR391" s="18"/>
      <c r="AS391" s="18"/>
      <c r="AT391" s="127"/>
      <c r="AU391" s="19"/>
      <c r="AV391" s="18"/>
      <c r="AW391" s="18"/>
      <c r="AX391" s="18"/>
      <c r="AY391" s="127"/>
      <c r="AZ391" s="19"/>
      <c r="BA391" s="18"/>
      <c r="BB391" s="18"/>
      <c r="BC391" s="18"/>
      <c r="BD391" s="127"/>
      <c r="BE391" s="19"/>
      <c r="BF391" s="18"/>
      <c r="BG391" s="18"/>
      <c r="BH391" s="18"/>
      <c r="BI391" s="127"/>
      <c r="BJ391" s="19"/>
      <c r="BK391" s="18"/>
      <c r="BL391" s="18"/>
      <c r="BM391" s="18"/>
      <c r="BN391" s="127"/>
      <c r="BO391" s="19"/>
      <c r="BP391" s="18"/>
      <c r="BQ391" s="18"/>
      <c r="BR391" s="18"/>
      <c r="BS391" s="127"/>
      <c r="BT391" s="19"/>
      <c r="BU391" s="18"/>
      <c r="BV391" s="18"/>
      <c r="BW391" s="18"/>
      <c r="BX391" s="127"/>
      <c r="BY391" s="19"/>
      <c r="BZ391" s="18"/>
      <c r="CA391" s="18"/>
      <c r="CB391" s="18"/>
      <c r="CC391" s="127"/>
      <c r="CD391" s="19"/>
      <c r="CE391" s="18"/>
      <c r="CF391" s="18"/>
      <c r="CG391" s="18"/>
      <c r="CH391" s="127"/>
      <c r="CI391" s="19"/>
      <c r="CJ391" s="18"/>
      <c r="CK391" s="18"/>
      <c r="CL391" s="18"/>
      <c r="CM391" s="127"/>
      <c r="CN391" s="19"/>
      <c r="CO391" s="18"/>
      <c r="CP391" s="18"/>
      <c r="CQ391" s="18"/>
      <c r="CR391" s="127"/>
      <c r="CS391" s="19"/>
      <c r="CT391" s="18"/>
      <c r="CU391" s="18"/>
      <c r="CV391" s="18"/>
      <c r="CW391" s="127"/>
      <c r="CX391" s="19"/>
      <c r="CY391" s="18"/>
      <c r="CZ391" s="18"/>
      <c r="DA391" s="18"/>
      <c r="DB391" s="127"/>
      <c r="DC391" s="18"/>
      <c r="DD391" s="18"/>
      <c r="DE391" s="18"/>
      <c r="DF391" s="18"/>
      <c r="DG391" s="18"/>
      <c r="DH391" s="18"/>
      <c r="DI391" s="18"/>
      <c r="DJ391" s="18"/>
      <c r="DK391" s="61"/>
      <c r="DL391" s="61"/>
      <c r="DM391" s="61"/>
    </row>
    <row r="392" spans="1:117" outlineLevel="1">
      <c r="A392" s="109" t="s">
        <v>754</v>
      </c>
      <c r="B392" s="276"/>
      <c r="C392" s="275"/>
      <c r="D392" s="275"/>
      <c r="E392" s="275"/>
      <c r="F392" s="268"/>
      <c r="G392" s="276"/>
      <c r="H392" s="275"/>
      <c r="I392" s="275"/>
      <c r="J392" s="275"/>
      <c r="K392" s="268"/>
      <c r="L392" s="276"/>
      <c r="M392" s="275"/>
      <c r="N392" s="275"/>
      <c r="O392" s="275"/>
      <c r="P392" s="268"/>
      <c r="Q392" s="276"/>
      <c r="R392" s="275"/>
      <c r="S392" s="275"/>
      <c r="T392" s="275"/>
      <c r="U392" s="268"/>
      <c r="V392" s="276"/>
      <c r="W392" s="275"/>
      <c r="X392" s="275"/>
      <c r="Y392" s="275"/>
      <c r="Z392" s="268"/>
      <c r="AA392" s="276"/>
      <c r="AB392" s="110"/>
      <c r="AC392" s="110"/>
      <c r="AD392" s="110"/>
      <c r="AE392" s="137"/>
      <c r="AF392" s="111"/>
      <c r="AG392" s="110"/>
      <c r="AH392" s="110"/>
      <c r="AI392" s="110"/>
      <c r="AJ392" s="137"/>
      <c r="AK392" s="111"/>
      <c r="AL392" s="110"/>
      <c r="AM392" s="110"/>
      <c r="AN392" s="110"/>
      <c r="AO392" s="137"/>
      <c r="AP392" s="111"/>
      <c r="AQ392" s="110"/>
      <c r="AR392" s="110"/>
      <c r="AS392" s="110"/>
      <c r="AT392" s="137"/>
      <c r="AU392" s="111"/>
      <c r="AV392" s="110"/>
      <c r="AW392" s="110"/>
      <c r="AX392" s="110"/>
      <c r="AY392" s="137"/>
      <c r="AZ392" s="111"/>
      <c r="BA392" s="110"/>
      <c r="BB392" s="110"/>
      <c r="BC392" s="110"/>
      <c r="BD392" s="137"/>
      <c r="BE392" s="111"/>
      <c r="BF392" s="110"/>
      <c r="BG392" s="110"/>
      <c r="BH392" s="110"/>
      <c r="BI392" s="137"/>
      <c r="BJ392" s="111"/>
      <c r="BK392" s="110"/>
      <c r="BL392" s="110"/>
      <c r="BM392" s="110"/>
      <c r="BN392" s="137"/>
      <c r="BO392" s="111"/>
      <c r="BP392" s="110"/>
      <c r="BQ392" s="110"/>
      <c r="BR392" s="110"/>
      <c r="BS392" s="137"/>
      <c r="BT392" s="111"/>
      <c r="BU392" s="110"/>
      <c r="BV392" s="110"/>
      <c r="BW392" s="110"/>
      <c r="BX392" s="137"/>
      <c r="BY392" s="111"/>
      <c r="BZ392" s="110"/>
      <c r="CA392" s="110"/>
      <c r="CB392" s="110"/>
      <c r="CC392" s="137"/>
      <c r="CD392" s="111"/>
      <c r="CE392" s="110"/>
      <c r="CF392" s="110"/>
      <c r="CG392" s="110"/>
      <c r="CH392" s="137"/>
      <c r="CI392" s="111"/>
      <c r="CJ392" s="110"/>
      <c r="CK392" s="110"/>
      <c r="CL392" s="110"/>
      <c r="CM392" s="137"/>
      <c r="CN392" s="111"/>
      <c r="CO392" s="110"/>
      <c r="CP392" s="110"/>
      <c r="CQ392" s="110"/>
      <c r="CR392" s="137"/>
      <c r="CS392" s="111"/>
      <c r="CT392" s="110"/>
      <c r="CU392" s="110"/>
      <c r="CV392" s="110"/>
      <c r="CW392" s="137"/>
      <c r="CX392" s="111"/>
      <c r="CY392" s="110"/>
      <c r="CZ392" s="110"/>
      <c r="DA392" s="110"/>
      <c r="DB392" s="137"/>
      <c r="DC392" s="110"/>
      <c r="DD392" s="110"/>
      <c r="DE392" s="110"/>
      <c r="DF392" s="110"/>
      <c r="DG392" s="110"/>
      <c r="DH392" s="110"/>
      <c r="DI392" s="110"/>
      <c r="DJ392" s="110"/>
      <c r="DK392" s="61"/>
      <c r="DL392" s="61"/>
      <c r="DM392" s="61"/>
    </row>
    <row r="393" spans="1:117" outlineLevel="1">
      <c r="A393" s="34" t="s">
        <v>214</v>
      </c>
      <c r="B393" s="37">
        <v>35284</v>
      </c>
      <c r="C393" s="38">
        <v>47265</v>
      </c>
      <c r="D393" s="38">
        <v>998784</v>
      </c>
      <c r="E393" s="48">
        <f>F393-SUM(B393:D393)</f>
        <v>1418547</v>
      </c>
      <c r="F393" s="133">
        <v>2499880</v>
      </c>
      <c r="G393" s="94">
        <f>2919829-H393</f>
        <v>1536356</v>
      </c>
      <c r="H393" s="38">
        <v>1383473</v>
      </c>
      <c r="I393" s="38">
        <v>1897038</v>
      </c>
      <c r="J393" s="48">
        <f>K393-SUM(G393:I393)</f>
        <v>2821844</v>
      </c>
      <c r="K393" s="133">
        <v>7638711</v>
      </c>
      <c r="L393" s="37">
        <v>2063482</v>
      </c>
      <c r="M393" s="38">
        <v>1056458</v>
      </c>
      <c r="N393" s="38">
        <v>1360641</v>
      </c>
      <c r="O393" s="48">
        <f>P393-SUM(L393:N393)</f>
        <v>1365677</v>
      </c>
      <c r="P393" s="133">
        <v>5846258</v>
      </c>
      <c r="Q393" s="37">
        <v>1910547</v>
      </c>
      <c r="R393" s="38">
        <v>1307664</v>
      </c>
      <c r="S393" s="38">
        <v>1335371</v>
      </c>
      <c r="T393" s="48">
        <f>U393-SUM(Q393:S393)</f>
        <v>1616502</v>
      </c>
      <c r="U393" s="133">
        <v>6170084</v>
      </c>
      <c r="V393" s="37">
        <v>2111844</v>
      </c>
      <c r="W393" s="38">
        <v>1858380</v>
      </c>
      <c r="X393" s="38">
        <v>1935414</v>
      </c>
      <c r="Y393" s="48">
        <f>Z393-SUM(V393:X393)</f>
        <v>1095658</v>
      </c>
      <c r="Z393" s="133">
        <v>7001296</v>
      </c>
      <c r="AA393" s="37">
        <v>927981</v>
      </c>
      <c r="AB393" s="38">
        <v>660772</v>
      </c>
      <c r="AC393" s="38">
        <v>706334</v>
      </c>
      <c r="AD393" s="48">
        <f>AE393-SUM(AA393:AC393)</f>
        <v>971430</v>
      </c>
      <c r="AE393" s="133">
        <v>3266517</v>
      </c>
      <c r="AF393" s="37">
        <v>858232</v>
      </c>
      <c r="AG393" s="38">
        <v>520856</v>
      </c>
      <c r="AH393" s="38">
        <v>688293</v>
      </c>
      <c r="AI393" s="48">
        <f>AJ393-SUM(AF393:AH393)</f>
        <v>580079</v>
      </c>
      <c r="AJ393" s="133">
        <v>2647460</v>
      </c>
      <c r="AK393" s="180">
        <v>677800</v>
      </c>
      <c r="AL393" s="65">
        <v>504756</v>
      </c>
      <c r="AM393" s="38">
        <v>524667</v>
      </c>
      <c r="AN393" s="48">
        <f>AO393-SUM(AK393:AM393)</f>
        <v>567576</v>
      </c>
      <c r="AO393" s="133">
        <v>2274799</v>
      </c>
      <c r="AP393" s="180">
        <v>378698</v>
      </c>
      <c r="AQ393" s="65">
        <v>263897</v>
      </c>
      <c r="AR393" s="65">
        <v>366955</v>
      </c>
      <c r="AS393" s="48">
        <f>AT393-SUM(AP393:AR393)</f>
        <v>411621</v>
      </c>
      <c r="AT393" s="133">
        <v>1421171</v>
      </c>
      <c r="AU393" s="180">
        <v>470195</v>
      </c>
      <c r="AV393" s="65">
        <v>359984</v>
      </c>
      <c r="AW393" s="65">
        <v>298146</v>
      </c>
      <c r="AX393" s="48">
        <f>AY393-SUM(AU393:AW393)</f>
        <v>253311</v>
      </c>
      <c r="AY393" s="133">
        <v>1381636</v>
      </c>
      <c r="AZ393" s="19"/>
      <c r="BA393" s="18"/>
      <c r="BB393" s="18"/>
      <c r="BC393" s="18"/>
      <c r="BD393" s="104"/>
      <c r="BE393" s="19"/>
      <c r="BF393" s="18"/>
      <c r="BG393" s="18"/>
      <c r="BH393" s="18"/>
      <c r="BI393" s="104"/>
      <c r="BJ393" s="19"/>
      <c r="BK393" s="18"/>
      <c r="BL393" s="18"/>
      <c r="BM393" s="18"/>
      <c r="BN393" s="104"/>
      <c r="BO393" s="19"/>
      <c r="BP393" s="18"/>
      <c r="BQ393" s="18"/>
      <c r="BR393" s="18"/>
      <c r="BS393" s="104"/>
      <c r="BT393" s="19"/>
      <c r="BU393" s="18"/>
      <c r="BV393" s="18"/>
      <c r="BW393" s="18"/>
      <c r="BX393" s="104"/>
      <c r="BY393" s="19"/>
      <c r="BZ393" s="18"/>
      <c r="CA393" s="18"/>
      <c r="CB393" s="18"/>
      <c r="CC393" s="104"/>
      <c r="CD393" s="19"/>
      <c r="CE393" s="18"/>
      <c r="CF393" s="18"/>
      <c r="CG393" s="18"/>
      <c r="CH393" s="104"/>
      <c r="CI393" s="19"/>
      <c r="CJ393" s="18"/>
      <c r="CK393" s="18"/>
      <c r="CL393" s="18"/>
      <c r="CM393" s="104"/>
      <c r="CN393" s="19"/>
      <c r="CO393" s="18"/>
      <c r="CP393" s="18"/>
      <c r="CQ393" s="18"/>
      <c r="CR393" s="104"/>
      <c r="CS393" s="19"/>
      <c r="CT393" s="18"/>
      <c r="CU393" s="18"/>
      <c r="CV393" s="18"/>
      <c r="CW393" s="104"/>
      <c r="CX393" s="19"/>
      <c r="CY393" s="18"/>
      <c r="CZ393" s="18"/>
      <c r="DA393" s="18"/>
      <c r="DB393" s="104"/>
      <c r="DC393" s="48"/>
      <c r="DD393" s="48"/>
      <c r="DE393" s="48"/>
      <c r="DF393" s="48"/>
      <c r="DG393" s="48"/>
      <c r="DH393" s="48"/>
      <c r="DI393" s="48"/>
      <c r="DJ393" s="48"/>
      <c r="DK393" s="99"/>
      <c r="DL393" s="99"/>
      <c r="DM393" s="64"/>
    </row>
    <row r="394" spans="1:117" outlineLevel="1">
      <c r="A394" s="34" t="s">
        <v>281</v>
      </c>
      <c r="B394" s="37">
        <v>75264</v>
      </c>
      <c r="C394" s="38">
        <v>13908</v>
      </c>
      <c r="D394" s="38">
        <v>17411</v>
      </c>
      <c r="E394" s="48">
        <f>F394-SUM(B394:D394)</f>
        <v>7231</v>
      </c>
      <c r="F394" s="133">
        <v>113814</v>
      </c>
      <c r="G394" s="94">
        <f>408-H394</f>
        <v>9192</v>
      </c>
      <c r="H394" s="38">
        <v>-8784</v>
      </c>
      <c r="I394" s="38">
        <v>10615</v>
      </c>
      <c r="J394" s="48">
        <f>K394-SUM(G394:I394)</f>
        <v>1657</v>
      </c>
      <c r="K394" s="133">
        <v>12680</v>
      </c>
      <c r="L394" s="37">
        <v>7370</v>
      </c>
      <c r="M394" s="38">
        <v>4112</v>
      </c>
      <c r="N394" s="38">
        <v>-8435</v>
      </c>
      <c r="O394" s="48">
        <f>P394-SUM(L394:N394)</f>
        <v>-3047</v>
      </c>
      <c r="P394" s="133">
        <v>0</v>
      </c>
      <c r="Q394" s="37">
        <v>1348</v>
      </c>
      <c r="R394" s="38">
        <v>0</v>
      </c>
      <c r="S394" s="38">
        <v>0</v>
      </c>
      <c r="T394" s="48">
        <f>U394-SUM(Q394:S394)</f>
        <v>-1348</v>
      </c>
      <c r="U394" s="133">
        <v>0</v>
      </c>
      <c r="V394" s="37">
        <v>0</v>
      </c>
      <c r="W394" s="38">
        <v>0</v>
      </c>
      <c r="X394" s="38">
        <v>0</v>
      </c>
      <c r="Y394" s="48">
        <f>Z394-SUM(V394:X394)</f>
        <v>0</v>
      </c>
      <c r="Z394" s="133">
        <v>0</v>
      </c>
      <c r="AA394" s="37">
        <v>0</v>
      </c>
      <c r="AB394" s="38">
        <v>0</v>
      </c>
      <c r="AC394" s="38">
        <v>0</v>
      </c>
      <c r="AD394" s="48">
        <f>AE394-SUM(AA394:AC394)</f>
        <v>0</v>
      </c>
      <c r="AE394" s="133">
        <v>0</v>
      </c>
      <c r="AF394" s="37">
        <v>0</v>
      </c>
      <c r="AG394" s="38">
        <v>0</v>
      </c>
      <c r="AH394" s="38">
        <v>0</v>
      </c>
      <c r="AI394" s="48">
        <f>AJ394-SUM(AF394:AH394)</f>
        <v>0</v>
      </c>
      <c r="AJ394" s="133">
        <v>0</v>
      </c>
      <c r="AK394" s="64"/>
      <c r="AL394" s="64"/>
      <c r="AM394" s="38"/>
      <c r="AN394" s="48"/>
      <c r="AO394" s="133"/>
      <c r="AP394" s="19"/>
      <c r="AQ394" s="64"/>
      <c r="AR394" s="64"/>
      <c r="AS394" s="48"/>
      <c r="AT394" s="133"/>
      <c r="AU394" s="19"/>
      <c r="AV394" s="64"/>
      <c r="AW394" s="64"/>
      <c r="AX394" s="48"/>
      <c r="AY394" s="133"/>
      <c r="AZ394" s="19"/>
      <c r="BA394" s="18"/>
      <c r="BB394" s="18"/>
      <c r="BC394" s="18"/>
      <c r="BD394" s="104"/>
      <c r="BE394" s="19"/>
      <c r="BF394" s="18"/>
      <c r="BG394" s="18"/>
      <c r="BH394" s="18"/>
      <c r="BI394" s="104"/>
      <c r="BJ394" s="19"/>
      <c r="BK394" s="18"/>
      <c r="BL394" s="18"/>
      <c r="BM394" s="18"/>
      <c r="BN394" s="104"/>
      <c r="BO394" s="19"/>
      <c r="BP394" s="18"/>
      <c r="BQ394" s="18"/>
      <c r="BR394" s="18"/>
      <c r="BS394" s="104"/>
      <c r="BT394" s="19"/>
      <c r="BU394" s="18"/>
      <c r="BV394" s="18"/>
      <c r="BW394" s="18"/>
      <c r="BX394" s="104"/>
      <c r="BY394" s="19"/>
      <c r="BZ394" s="18"/>
      <c r="CA394" s="18"/>
      <c r="CB394" s="18"/>
      <c r="CC394" s="104"/>
      <c r="CD394" s="19"/>
      <c r="CE394" s="18"/>
      <c r="CF394" s="18"/>
      <c r="CG394" s="18"/>
      <c r="CH394" s="104"/>
      <c r="CI394" s="19"/>
      <c r="CJ394" s="18"/>
      <c r="CK394" s="18"/>
      <c r="CL394" s="18"/>
      <c r="CM394" s="104"/>
      <c r="CN394" s="19"/>
      <c r="CO394" s="18"/>
      <c r="CP394" s="18"/>
      <c r="CQ394" s="18"/>
      <c r="CR394" s="104"/>
      <c r="CS394" s="19"/>
      <c r="CT394" s="18"/>
      <c r="CU394" s="18"/>
      <c r="CV394" s="18"/>
      <c r="CW394" s="104"/>
      <c r="CX394" s="19"/>
      <c r="CY394" s="18"/>
      <c r="CZ394" s="18"/>
      <c r="DA394" s="18"/>
      <c r="DB394" s="104"/>
      <c r="DC394" s="48"/>
      <c r="DD394" s="48"/>
      <c r="DE394" s="48"/>
      <c r="DF394" s="48"/>
      <c r="DG394" s="48"/>
      <c r="DH394" s="48"/>
      <c r="DI394" s="48"/>
      <c r="DJ394" s="48"/>
      <c r="DK394" s="99"/>
      <c r="DL394" s="99"/>
      <c r="DM394" s="64"/>
    </row>
    <row r="395" spans="1:117" outlineLevel="1">
      <c r="A395" s="34" t="s">
        <v>333</v>
      </c>
      <c r="B395" s="37">
        <v>0</v>
      </c>
      <c r="C395" s="38">
        <v>0</v>
      </c>
      <c r="D395" s="38">
        <v>91863</v>
      </c>
      <c r="E395" s="48">
        <f>F395-SUM(B395:D395)</f>
        <v>129735</v>
      </c>
      <c r="F395" s="133">
        <v>221598</v>
      </c>
      <c r="G395" s="94">
        <f>377165-H395</f>
        <v>205908</v>
      </c>
      <c r="H395" s="38">
        <v>171257</v>
      </c>
      <c r="I395" s="38">
        <v>110083</v>
      </c>
      <c r="J395" s="48">
        <f>K395-SUM(G395:I395)</f>
        <v>220112</v>
      </c>
      <c r="K395" s="133">
        <v>707360</v>
      </c>
      <c r="L395" s="37">
        <v>244363</v>
      </c>
      <c r="M395" s="38">
        <v>134209</v>
      </c>
      <c r="N395" s="38">
        <v>42053</v>
      </c>
      <c r="O395" s="48">
        <f>P395-SUM(L395:N395)</f>
        <v>68924</v>
      </c>
      <c r="P395" s="133">
        <v>489549</v>
      </c>
      <c r="Q395" s="37">
        <v>199811</v>
      </c>
      <c r="R395" s="38">
        <v>109806</v>
      </c>
      <c r="S395" s="38">
        <v>63783</v>
      </c>
      <c r="T395" s="48">
        <f>U395-SUM(Q395:S395)</f>
        <v>85919</v>
      </c>
      <c r="U395" s="133">
        <v>459319</v>
      </c>
      <c r="V395" s="37">
        <v>231959</v>
      </c>
      <c r="W395" s="38">
        <v>167284</v>
      </c>
      <c r="X395" s="38">
        <v>103033</v>
      </c>
      <c r="Y395" s="48">
        <f>Z395-SUM(V395:X395)</f>
        <v>82231</v>
      </c>
      <c r="Z395" s="133">
        <v>584507</v>
      </c>
      <c r="AA395" s="37">
        <v>185413</v>
      </c>
      <c r="AB395" s="38">
        <v>66339</v>
      </c>
      <c r="AC395" s="38">
        <v>21328</v>
      </c>
      <c r="AD395" s="48">
        <f>AE395-SUM(AA395:AC395)</f>
        <v>55921</v>
      </c>
      <c r="AE395" s="133">
        <v>329001</v>
      </c>
      <c r="AF395" s="37">
        <v>335602</v>
      </c>
      <c r="AG395" s="38">
        <v>134885</v>
      </c>
      <c r="AH395" s="38">
        <v>85485</v>
      </c>
      <c r="AI395" s="48">
        <f>AJ395-SUM(AF395:AH395)</f>
        <v>97745</v>
      </c>
      <c r="AJ395" s="133">
        <v>653717</v>
      </c>
      <c r="AK395" s="180">
        <v>213939</v>
      </c>
      <c r="AL395" s="65">
        <v>111273</v>
      </c>
      <c r="AM395" s="38">
        <v>83522</v>
      </c>
      <c r="AN395" s="48">
        <f>AO395-SUM(AK395:AM395)</f>
        <v>93684</v>
      </c>
      <c r="AO395" s="133">
        <v>502418</v>
      </c>
      <c r="AP395" s="180">
        <v>82110</v>
      </c>
      <c r="AQ395" s="65">
        <v>5028</v>
      </c>
      <c r="AR395" s="65">
        <v>-3116</v>
      </c>
      <c r="AS395" s="48">
        <f>AT395-SUM(AP395:AR395)</f>
        <v>21380</v>
      </c>
      <c r="AT395" s="133">
        <v>105402</v>
      </c>
      <c r="AU395" s="180">
        <v>77385</v>
      </c>
      <c r="AV395" s="65">
        <v>50941</v>
      </c>
      <c r="AW395" s="65">
        <v>34050</v>
      </c>
      <c r="AX395" s="48">
        <f>AY395-SUM(AU395:AW395)</f>
        <v>33550</v>
      </c>
      <c r="AY395" s="133">
        <v>195926</v>
      </c>
      <c r="AZ395" s="19"/>
      <c r="BA395" s="18"/>
      <c r="BB395" s="18"/>
      <c r="BC395" s="18"/>
      <c r="BD395" s="104"/>
      <c r="BE395" s="19"/>
      <c r="BF395" s="18"/>
      <c r="BG395" s="18"/>
      <c r="BH395" s="18"/>
      <c r="BI395" s="104"/>
      <c r="BJ395" s="19"/>
      <c r="BK395" s="18"/>
      <c r="BL395" s="18"/>
      <c r="BM395" s="18"/>
      <c r="BN395" s="104"/>
      <c r="BO395" s="19"/>
      <c r="BP395" s="18"/>
      <c r="BQ395" s="18"/>
      <c r="BR395" s="18"/>
      <c r="BS395" s="104"/>
      <c r="BT395" s="19"/>
      <c r="BU395" s="18"/>
      <c r="BV395" s="18"/>
      <c r="BW395" s="18"/>
      <c r="BX395" s="104"/>
      <c r="BY395" s="19"/>
      <c r="BZ395" s="18"/>
      <c r="CA395" s="18"/>
      <c r="CB395" s="18"/>
      <c r="CC395" s="104"/>
      <c r="CD395" s="19"/>
      <c r="CE395" s="18"/>
      <c r="CF395" s="18"/>
      <c r="CG395" s="18"/>
      <c r="CH395" s="104"/>
      <c r="CI395" s="19"/>
      <c r="CJ395" s="18"/>
      <c r="CK395" s="18"/>
      <c r="CL395" s="18"/>
      <c r="CM395" s="104"/>
      <c r="CN395" s="19"/>
      <c r="CO395" s="18"/>
      <c r="CP395" s="18"/>
      <c r="CQ395" s="18"/>
      <c r="CR395" s="104"/>
      <c r="CS395" s="19"/>
      <c r="CT395" s="18"/>
      <c r="CU395" s="18"/>
      <c r="CV395" s="18"/>
      <c r="CW395" s="104"/>
      <c r="CX395" s="19"/>
      <c r="CY395" s="18"/>
      <c r="CZ395" s="18"/>
      <c r="DA395" s="18"/>
      <c r="DB395" s="104"/>
      <c r="DC395" s="48"/>
      <c r="DD395" s="48"/>
      <c r="DE395" s="48"/>
      <c r="DF395" s="48"/>
      <c r="DG395" s="48"/>
      <c r="DH395" s="48"/>
      <c r="DI395" s="48"/>
      <c r="DJ395" s="48"/>
      <c r="DK395" s="99"/>
      <c r="DL395" s="99"/>
      <c r="DM395" s="64"/>
    </row>
    <row r="396" spans="1:117" outlineLevel="1">
      <c r="A396" s="28" t="s">
        <v>684</v>
      </c>
      <c r="B396" s="160">
        <f t="shared" ref="B396:U396" si="672">SUM(B393:B395)</f>
        <v>110548</v>
      </c>
      <c r="C396" s="168">
        <f t="shared" si="672"/>
        <v>61173</v>
      </c>
      <c r="D396" s="168">
        <f t="shared" si="672"/>
        <v>1108058</v>
      </c>
      <c r="E396" s="168">
        <f t="shared" si="672"/>
        <v>1555513</v>
      </c>
      <c r="F396" s="235">
        <f t="shared" si="672"/>
        <v>2835292</v>
      </c>
      <c r="G396" s="160">
        <f t="shared" si="672"/>
        <v>1751456</v>
      </c>
      <c r="H396" s="168">
        <f t="shared" si="672"/>
        <v>1545946</v>
      </c>
      <c r="I396" s="168">
        <f t="shared" si="672"/>
        <v>2017736</v>
      </c>
      <c r="J396" s="168">
        <f t="shared" si="672"/>
        <v>3043613</v>
      </c>
      <c r="K396" s="235">
        <f t="shared" si="672"/>
        <v>8358751</v>
      </c>
      <c r="L396" s="160">
        <f t="shared" si="672"/>
        <v>2315215</v>
      </c>
      <c r="M396" s="168">
        <f t="shared" si="672"/>
        <v>1194779</v>
      </c>
      <c r="N396" s="168">
        <f t="shared" si="672"/>
        <v>1394259</v>
      </c>
      <c r="O396" s="168">
        <f t="shared" si="672"/>
        <v>1431554</v>
      </c>
      <c r="P396" s="235">
        <f t="shared" si="672"/>
        <v>6335807</v>
      </c>
      <c r="Q396" s="160">
        <f t="shared" si="672"/>
        <v>2111706</v>
      </c>
      <c r="R396" s="168">
        <f t="shared" si="672"/>
        <v>1417470</v>
      </c>
      <c r="S396" s="168">
        <f t="shared" si="672"/>
        <v>1399154</v>
      </c>
      <c r="T396" s="168">
        <f t="shared" si="672"/>
        <v>1701073</v>
      </c>
      <c r="U396" s="235">
        <f t="shared" si="672"/>
        <v>6629403</v>
      </c>
      <c r="V396" s="160">
        <f t="shared" ref="V396:AC396" si="673">SUM(V393:V395)</f>
        <v>2343803</v>
      </c>
      <c r="W396" s="168">
        <f t="shared" si="673"/>
        <v>2025664</v>
      </c>
      <c r="X396" s="168">
        <f t="shared" si="673"/>
        <v>2038447</v>
      </c>
      <c r="Y396" s="168">
        <f t="shared" si="673"/>
        <v>1177889</v>
      </c>
      <c r="Z396" s="235">
        <f t="shared" si="673"/>
        <v>7585803</v>
      </c>
      <c r="AA396" s="160">
        <f t="shared" si="673"/>
        <v>1113394</v>
      </c>
      <c r="AB396" s="168">
        <f t="shared" si="673"/>
        <v>727111</v>
      </c>
      <c r="AC396" s="168">
        <f t="shared" si="673"/>
        <v>727662</v>
      </c>
      <c r="AD396" s="168">
        <f t="shared" ref="AD396:AM396" si="674">SUM(AD393:AD395)</f>
        <v>1027351</v>
      </c>
      <c r="AE396" s="235">
        <f t="shared" si="674"/>
        <v>3595518</v>
      </c>
      <c r="AF396" s="348">
        <f t="shared" si="674"/>
        <v>1193834</v>
      </c>
      <c r="AG396" s="371">
        <f t="shared" si="674"/>
        <v>655741</v>
      </c>
      <c r="AH396" s="168">
        <f t="shared" si="674"/>
        <v>773778</v>
      </c>
      <c r="AI396" s="168">
        <f t="shared" si="674"/>
        <v>677824</v>
      </c>
      <c r="AJ396" s="235">
        <f t="shared" si="674"/>
        <v>3301177</v>
      </c>
      <c r="AK396" s="348">
        <f t="shared" si="674"/>
        <v>891739</v>
      </c>
      <c r="AL396" s="371">
        <f t="shared" si="674"/>
        <v>616029</v>
      </c>
      <c r="AM396" s="168">
        <f t="shared" si="674"/>
        <v>608189</v>
      </c>
      <c r="AN396" s="168">
        <f t="shared" ref="AN396:AW396" si="675">SUM(AN393:AN395)</f>
        <v>661260</v>
      </c>
      <c r="AO396" s="235">
        <f t="shared" si="675"/>
        <v>2777217</v>
      </c>
      <c r="AP396" s="160">
        <f t="shared" si="675"/>
        <v>460808</v>
      </c>
      <c r="AQ396" s="371">
        <f t="shared" si="675"/>
        <v>268925</v>
      </c>
      <c r="AR396" s="371">
        <f t="shared" si="675"/>
        <v>363839</v>
      </c>
      <c r="AS396" s="168">
        <f t="shared" si="675"/>
        <v>433001</v>
      </c>
      <c r="AT396" s="235">
        <f t="shared" si="675"/>
        <v>1526573</v>
      </c>
      <c r="AU396" s="160">
        <f t="shared" si="675"/>
        <v>547580</v>
      </c>
      <c r="AV396" s="371">
        <f t="shared" si="675"/>
        <v>410925</v>
      </c>
      <c r="AW396" s="371">
        <f t="shared" si="675"/>
        <v>332196</v>
      </c>
      <c r="AX396" s="168">
        <f>SUM(AX393:AX395)</f>
        <v>286861</v>
      </c>
      <c r="AY396" s="235">
        <f>SUM(AY393:AY395)</f>
        <v>1577562</v>
      </c>
      <c r="AZ396" s="160"/>
      <c r="BA396" s="168"/>
      <c r="BB396" s="168"/>
      <c r="BC396" s="168"/>
      <c r="BD396" s="235"/>
      <c r="BE396" s="160"/>
      <c r="BF396" s="388"/>
      <c r="BG396" s="168"/>
      <c r="BH396" s="388"/>
      <c r="BI396" s="521"/>
      <c r="BJ396" s="160"/>
      <c r="BK396" s="388"/>
      <c r="BL396" s="168"/>
      <c r="BM396" s="168"/>
      <c r="BN396" s="235"/>
      <c r="BO396" s="160"/>
      <c r="BP396" s="168"/>
      <c r="BQ396" s="168"/>
      <c r="BR396" s="168"/>
      <c r="BS396" s="235"/>
      <c r="BT396" s="160"/>
      <c r="BU396" s="168"/>
      <c r="BV396" s="168"/>
      <c r="BW396" s="168"/>
      <c r="BX396" s="235"/>
      <c r="BY396" s="160"/>
      <c r="BZ396" s="168"/>
      <c r="CA396" s="168"/>
      <c r="CB396" s="168"/>
      <c r="CC396" s="235"/>
      <c r="CD396" s="160"/>
      <c r="CE396" s="168"/>
      <c r="CF396" s="168"/>
      <c r="CG396" s="168"/>
      <c r="CH396" s="235"/>
      <c r="CI396" s="160"/>
      <c r="CJ396" s="168"/>
      <c r="CK396" s="168"/>
      <c r="CL396" s="168"/>
      <c r="CM396" s="235"/>
      <c r="CN396" s="160"/>
      <c r="CO396" s="168"/>
      <c r="CP396" s="168"/>
      <c r="CQ396" s="168"/>
      <c r="CR396" s="235"/>
      <c r="CS396" s="160"/>
      <c r="CT396" s="168"/>
      <c r="CU396" s="168"/>
      <c r="CV396" s="168"/>
      <c r="CW396" s="235"/>
      <c r="CX396" s="160"/>
      <c r="CY396" s="168"/>
      <c r="CZ396" s="168"/>
      <c r="DA396" s="168"/>
      <c r="DB396" s="235"/>
      <c r="DC396" s="168"/>
      <c r="DD396" s="168"/>
      <c r="DE396" s="168"/>
      <c r="DF396" s="168"/>
      <c r="DG396" s="168"/>
      <c r="DH396" s="168"/>
      <c r="DI396" s="168"/>
      <c r="DJ396" s="168"/>
      <c r="DK396" s="406"/>
      <c r="DL396" s="406"/>
      <c r="DM396" s="63"/>
    </row>
    <row r="397" spans="1:117" outlineLevel="1">
      <c r="A397" s="107" t="s">
        <v>651</v>
      </c>
      <c r="B397" s="321"/>
      <c r="C397" s="322"/>
      <c r="D397" s="322"/>
      <c r="E397" s="322"/>
      <c r="F397" s="323"/>
      <c r="G397" s="302">
        <f t="shared" ref="G397:AC397" si="676">G396/B396-1</f>
        <v>14.843398342801317</v>
      </c>
      <c r="H397" s="149">
        <f t="shared" si="676"/>
        <v>24.271704837101336</v>
      </c>
      <c r="I397" s="149">
        <f t="shared" si="676"/>
        <v>0.82096605051360116</v>
      </c>
      <c r="J397" s="149">
        <f t="shared" si="676"/>
        <v>0.95666188582159073</v>
      </c>
      <c r="K397" s="150">
        <f t="shared" si="676"/>
        <v>1.948109401077561</v>
      </c>
      <c r="L397" s="302">
        <f t="shared" si="676"/>
        <v>0.32188019567719661</v>
      </c>
      <c r="M397" s="149">
        <f t="shared" si="676"/>
        <v>-0.22715347107855</v>
      </c>
      <c r="N397" s="149">
        <f t="shared" si="676"/>
        <v>-0.30899830304856535</v>
      </c>
      <c r="O397" s="149">
        <f t="shared" si="676"/>
        <v>-0.52965308007292644</v>
      </c>
      <c r="P397" s="150">
        <f t="shared" si="676"/>
        <v>-0.24201510488827815</v>
      </c>
      <c r="Q397" s="302">
        <f t="shared" si="676"/>
        <v>-8.7900691728413971E-2</v>
      </c>
      <c r="R397" s="149">
        <f t="shared" si="676"/>
        <v>0.18638677110997093</v>
      </c>
      <c r="S397" s="149">
        <f t="shared" si="676"/>
        <v>3.5108254635616287E-3</v>
      </c>
      <c r="T397" s="149">
        <f t="shared" si="676"/>
        <v>0.18827022941502736</v>
      </c>
      <c r="U397" s="150">
        <f t="shared" si="676"/>
        <v>4.6339164055975823E-2</v>
      </c>
      <c r="V397" s="302">
        <f t="shared" si="676"/>
        <v>0.10990971281040074</v>
      </c>
      <c r="W397" s="149">
        <f t="shared" si="676"/>
        <v>0.42907010377644683</v>
      </c>
      <c r="X397" s="149">
        <f t="shared" si="676"/>
        <v>0.45691396372379312</v>
      </c>
      <c r="Y397" s="149">
        <f t="shared" si="676"/>
        <v>-0.30756116874466877</v>
      </c>
      <c r="Z397" s="150">
        <f t="shared" si="676"/>
        <v>0.14426638416762416</v>
      </c>
      <c r="AA397" s="302">
        <f t="shared" si="676"/>
        <v>-0.52496263551160227</v>
      </c>
      <c r="AB397" s="149">
        <f t="shared" si="676"/>
        <v>-0.64105053947742574</v>
      </c>
      <c r="AC397" s="149">
        <f t="shared" si="676"/>
        <v>-0.64303118992056207</v>
      </c>
      <c r="AD397" s="149">
        <f t="shared" ref="AD397:AM397" si="677">AD396/Y396-1</f>
        <v>-0.12780321405497463</v>
      </c>
      <c r="AE397" s="150">
        <f t="shared" si="677"/>
        <v>-0.52602011942572191</v>
      </c>
      <c r="AF397" s="349">
        <f t="shared" si="677"/>
        <v>7.2247560162889357E-2</v>
      </c>
      <c r="AG397" s="373">
        <f t="shared" si="677"/>
        <v>-9.8155577346512479E-2</v>
      </c>
      <c r="AH397" s="149">
        <f t="shared" si="677"/>
        <v>6.3375578221756879E-2</v>
      </c>
      <c r="AI397" s="149">
        <f t="shared" si="677"/>
        <v>-0.34022159904453297</v>
      </c>
      <c r="AJ397" s="150">
        <f t="shared" si="677"/>
        <v>-8.1863308708230664E-2</v>
      </c>
      <c r="AK397" s="349">
        <f t="shared" si="677"/>
        <v>-0.25304606838136623</v>
      </c>
      <c r="AL397" s="373">
        <f t="shared" si="677"/>
        <v>-6.0560495683509186E-2</v>
      </c>
      <c r="AM397" s="149">
        <f t="shared" si="677"/>
        <v>-0.21400065651905331</v>
      </c>
      <c r="AN397" s="149">
        <f t="shared" ref="AN397:AW397" si="678">AN396/AI396-1</f>
        <v>-2.4437021999811126E-2</v>
      </c>
      <c r="AO397" s="150">
        <f t="shared" si="678"/>
        <v>-0.15871914774639473</v>
      </c>
      <c r="AP397" s="349">
        <f t="shared" si="678"/>
        <v>-0.48324790101139459</v>
      </c>
      <c r="AQ397" s="373">
        <f t="shared" si="678"/>
        <v>-0.56345399323733136</v>
      </c>
      <c r="AR397" s="373">
        <f t="shared" si="678"/>
        <v>-0.40176655611989032</v>
      </c>
      <c r="AS397" s="149">
        <f t="shared" si="678"/>
        <v>-0.34518797447297589</v>
      </c>
      <c r="AT397" s="150">
        <f t="shared" si="678"/>
        <v>-0.4503227511570036</v>
      </c>
      <c r="AU397" s="349">
        <f t="shared" si="678"/>
        <v>0.18830402249960931</v>
      </c>
      <c r="AV397" s="373">
        <f t="shared" si="678"/>
        <v>0.52802826066747244</v>
      </c>
      <c r="AW397" s="373">
        <f t="shared" si="678"/>
        <v>-8.6969786086703138E-2</v>
      </c>
      <c r="AX397" s="149">
        <f>AX396/AS396-1</f>
        <v>-0.33750499421479396</v>
      </c>
      <c r="AY397" s="150">
        <f>AY396/AT396-1</f>
        <v>3.3400957569667433E-2</v>
      </c>
      <c r="AZ397" s="269"/>
      <c r="BA397" s="188"/>
      <c r="BB397" s="188"/>
      <c r="BC397" s="188"/>
      <c r="BD397" s="150"/>
      <c r="BE397" s="269"/>
      <c r="BF397" s="188"/>
      <c r="BG397" s="188"/>
      <c r="BH397" s="188"/>
      <c r="BI397" s="534"/>
      <c r="BJ397" s="269"/>
      <c r="BK397" s="188"/>
      <c r="BL397" s="188"/>
      <c r="BM397" s="188"/>
      <c r="BN397" s="150"/>
      <c r="BO397" s="269"/>
      <c r="BP397" s="188"/>
      <c r="BQ397" s="188"/>
      <c r="BR397" s="188"/>
      <c r="BS397" s="150"/>
      <c r="BT397" s="269"/>
      <c r="BU397" s="188"/>
      <c r="BV397" s="188"/>
      <c r="BW397" s="188"/>
      <c r="BX397" s="150"/>
      <c r="BY397" s="269"/>
      <c r="BZ397" s="188"/>
      <c r="CA397" s="188"/>
      <c r="CB397" s="188"/>
      <c r="CC397" s="150"/>
      <c r="CD397" s="269"/>
      <c r="CE397" s="188"/>
      <c r="CF397" s="188"/>
      <c r="CG397" s="188"/>
      <c r="CH397" s="150"/>
      <c r="CI397" s="269"/>
      <c r="CJ397" s="188"/>
      <c r="CK397" s="188"/>
      <c r="CL397" s="188"/>
      <c r="CM397" s="150"/>
      <c r="CN397" s="269"/>
      <c r="CO397" s="188"/>
      <c r="CP397" s="188"/>
      <c r="CQ397" s="188"/>
      <c r="CR397" s="150"/>
      <c r="CS397" s="269"/>
      <c r="CT397" s="188"/>
      <c r="CU397" s="188"/>
      <c r="CV397" s="188"/>
      <c r="CW397" s="150"/>
      <c r="CX397" s="269"/>
      <c r="CY397" s="188"/>
      <c r="CZ397" s="188"/>
      <c r="DA397" s="188"/>
      <c r="DB397" s="150"/>
      <c r="DC397" s="149"/>
      <c r="DD397" s="149"/>
      <c r="DE397" s="149"/>
      <c r="DF397" s="149"/>
      <c r="DG397" s="149"/>
      <c r="DH397" s="149"/>
      <c r="DI397" s="149"/>
      <c r="DJ397" s="149"/>
      <c r="DK397" s="400"/>
      <c r="DL397" s="400"/>
      <c r="DM397" s="108"/>
    </row>
    <row r="398" spans="1:117" outlineLevel="1">
      <c r="A398" s="36" t="s">
        <v>827</v>
      </c>
      <c r="B398" s="94">
        <f t="shared" ref="B398:U398" si="679">B396-B399</f>
        <v>35214</v>
      </c>
      <c r="C398" s="48">
        <f t="shared" si="679"/>
        <v>46891</v>
      </c>
      <c r="D398" s="48">
        <f t="shared" si="679"/>
        <v>1089942</v>
      </c>
      <c r="E398" s="48">
        <f t="shared" si="679"/>
        <v>1489239</v>
      </c>
      <c r="F398" s="104">
        <f t="shared" si="679"/>
        <v>2661286</v>
      </c>
      <c r="G398" s="94">
        <f t="shared" si="679"/>
        <v>1690261</v>
      </c>
      <c r="H398" s="48">
        <f t="shared" si="679"/>
        <v>1534698</v>
      </c>
      <c r="I398" s="48">
        <f t="shared" si="679"/>
        <v>1962696</v>
      </c>
      <c r="J398" s="48">
        <f t="shared" si="679"/>
        <v>2964736</v>
      </c>
      <c r="K398" s="104">
        <f t="shared" si="679"/>
        <v>8152391</v>
      </c>
      <c r="L398" s="94">
        <f t="shared" si="679"/>
        <v>2212061</v>
      </c>
      <c r="M398" s="48">
        <f t="shared" si="679"/>
        <v>1130452</v>
      </c>
      <c r="N398" s="48">
        <f t="shared" si="679"/>
        <v>1363534</v>
      </c>
      <c r="O398" s="48">
        <f t="shared" si="679"/>
        <v>1355942</v>
      </c>
      <c r="P398" s="104">
        <f t="shared" si="679"/>
        <v>6061989</v>
      </c>
      <c r="Q398" s="94">
        <f t="shared" si="679"/>
        <v>1980302</v>
      </c>
      <c r="R398" s="48">
        <f t="shared" si="679"/>
        <v>1398412</v>
      </c>
      <c r="S398" s="48">
        <f t="shared" si="679"/>
        <v>1390699</v>
      </c>
      <c r="T398" s="48">
        <f t="shared" si="679"/>
        <v>1612588</v>
      </c>
      <c r="U398" s="104">
        <f t="shared" si="679"/>
        <v>6382001</v>
      </c>
      <c r="V398" s="94">
        <f t="shared" ref="V398:AB398" si="680">V396-V399</f>
        <v>2258938</v>
      </c>
      <c r="W398" s="48">
        <f t="shared" si="680"/>
        <v>2021491</v>
      </c>
      <c r="X398" s="48">
        <f t="shared" si="680"/>
        <v>2033628</v>
      </c>
      <c r="Y398" s="48">
        <f t="shared" si="680"/>
        <v>1161030</v>
      </c>
      <c r="Z398" s="104">
        <f t="shared" si="680"/>
        <v>7475087</v>
      </c>
      <c r="AA398" s="94">
        <f t="shared" si="680"/>
        <v>1050826</v>
      </c>
      <c r="AB398" s="48">
        <f t="shared" si="680"/>
        <v>696997</v>
      </c>
      <c r="AC398" s="48">
        <f t="shared" ref="AC398:AH398" si="681">AC396-AC399</f>
        <v>697913</v>
      </c>
      <c r="AD398" s="48">
        <f t="shared" si="681"/>
        <v>972139</v>
      </c>
      <c r="AE398" s="104">
        <f t="shared" si="681"/>
        <v>3417875</v>
      </c>
      <c r="AF398" s="79">
        <f t="shared" si="681"/>
        <v>1083216</v>
      </c>
      <c r="AG398" s="48">
        <f t="shared" si="681"/>
        <v>648072</v>
      </c>
      <c r="AH398" s="48">
        <f t="shared" si="681"/>
        <v>759695</v>
      </c>
      <c r="AI398" s="48">
        <f t="shared" ref="AI398:AU398" si="682">AI396-AI399</f>
        <v>650455</v>
      </c>
      <c r="AJ398" s="104">
        <f t="shared" si="682"/>
        <v>3141438</v>
      </c>
      <c r="AK398" s="79">
        <f t="shared" si="682"/>
        <v>835790</v>
      </c>
      <c r="AL398" s="77">
        <f t="shared" si="682"/>
        <v>616462</v>
      </c>
      <c r="AM398" s="48">
        <f t="shared" si="682"/>
        <v>615562</v>
      </c>
      <c r="AN398" s="48">
        <f t="shared" si="682"/>
        <v>660703</v>
      </c>
      <c r="AO398" s="104">
        <f t="shared" si="682"/>
        <v>2728517</v>
      </c>
      <c r="AP398" s="79">
        <f t="shared" si="682"/>
        <v>476208</v>
      </c>
      <c r="AQ398" s="77">
        <f t="shared" si="682"/>
        <v>279325</v>
      </c>
      <c r="AR398" s="77">
        <f t="shared" si="682"/>
        <v>381114</v>
      </c>
      <c r="AS398" s="48">
        <f t="shared" si="682"/>
        <v>439226</v>
      </c>
      <c r="AT398" s="104">
        <f t="shared" si="682"/>
        <v>1575873</v>
      </c>
      <c r="AU398" s="79">
        <f t="shared" si="682"/>
        <v>546880</v>
      </c>
      <c r="AV398" s="77">
        <f>AV396-AV399</f>
        <v>548725</v>
      </c>
      <c r="AW398" s="77">
        <f>AW396-AW399</f>
        <v>354496</v>
      </c>
      <c r="AX398" s="48">
        <f>AX396-AX399</f>
        <v>300461</v>
      </c>
      <c r="AY398" s="104">
        <f>AY396-AY399</f>
        <v>1750562</v>
      </c>
      <c r="AZ398" s="94"/>
      <c r="BA398" s="48"/>
      <c r="BB398" s="48"/>
      <c r="BC398" s="48"/>
      <c r="BD398" s="104"/>
      <c r="BE398" s="94"/>
      <c r="BF398" s="48"/>
      <c r="BG398" s="48"/>
      <c r="BH398" s="48"/>
      <c r="BI398" s="104"/>
      <c r="BJ398" s="94"/>
      <c r="BK398" s="48"/>
      <c r="BL398" s="48"/>
      <c r="BM398" s="48"/>
      <c r="BN398" s="104"/>
      <c r="BO398" s="94"/>
      <c r="BP398" s="48"/>
      <c r="BQ398" s="48"/>
      <c r="BR398" s="48"/>
      <c r="BS398" s="104"/>
      <c r="BT398" s="94"/>
      <c r="BU398" s="48"/>
      <c r="BV398" s="48"/>
      <c r="BW398" s="48"/>
      <c r="BX398" s="104"/>
      <c r="BY398" s="94"/>
      <c r="BZ398" s="48"/>
      <c r="CA398" s="48"/>
      <c r="CB398" s="48"/>
      <c r="CC398" s="104"/>
      <c r="CD398" s="94"/>
      <c r="CE398" s="48"/>
      <c r="CF398" s="48"/>
      <c r="CG398" s="48"/>
      <c r="CH398" s="104"/>
      <c r="CI398" s="94"/>
      <c r="CJ398" s="48"/>
      <c r="CK398" s="48"/>
      <c r="CL398" s="48"/>
      <c r="CM398" s="104"/>
      <c r="CN398" s="94"/>
      <c r="CO398" s="48"/>
      <c r="CP398" s="48"/>
      <c r="CQ398" s="48"/>
      <c r="CR398" s="104"/>
      <c r="CS398" s="94"/>
      <c r="CT398" s="48"/>
      <c r="CU398" s="48"/>
      <c r="CV398" s="48"/>
      <c r="CW398" s="104"/>
      <c r="CX398" s="94"/>
      <c r="CY398" s="48"/>
      <c r="CZ398" s="48"/>
      <c r="DA398" s="48"/>
      <c r="DB398" s="104"/>
      <c r="DC398" s="48"/>
      <c r="DD398" s="48"/>
      <c r="DE398" s="48"/>
      <c r="DF398" s="48"/>
      <c r="DG398" s="48"/>
      <c r="DH398" s="48"/>
      <c r="DI398" s="48"/>
      <c r="DJ398" s="48"/>
      <c r="DK398" s="99"/>
      <c r="DL398" s="99"/>
      <c r="DM398" s="64"/>
    </row>
    <row r="399" spans="1:117" outlineLevel="1">
      <c r="A399" s="28" t="s">
        <v>763</v>
      </c>
      <c r="B399" s="212">
        <v>75334</v>
      </c>
      <c r="C399" s="176">
        <v>14282</v>
      </c>
      <c r="D399" s="176">
        <v>18116</v>
      </c>
      <c r="E399" s="168">
        <f>F399-SUM(B399:D399)</f>
        <v>66274</v>
      </c>
      <c r="F399" s="213">
        <v>174006</v>
      </c>
      <c r="G399" s="160">
        <f>72443-H399</f>
        <v>61195</v>
      </c>
      <c r="H399" s="176">
        <v>11248</v>
      </c>
      <c r="I399" s="176">
        <v>55040</v>
      </c>
      <c r="J399" s="168">
        <f>K399-SUM(G399:I399)</f>
        <v>78877</v>
      </c>
      <c r="K399" s="213">
        <v>206360</v>
      </c>
      <c r="L399" s="212">
        <v>103154</v>
      </c>
      <c r="M399" s="176">
        <v>64327</v>
      </c>
      <c r="N399" s="176">
        <v>30725</v>
      </c>
      <c r="O399" s="168">
        <f>P399-SUM(L399:N399)</f>
        <v>75612</v>
      </c>
      <c r="P399" s="213">
        <v>273818</v>
      </c>
      <c r="Q399" s="212">
        <v>131404</v>
      </c>
      <c r="R399" s="176">
        <v>19058</v>
      </c>
      <c r="S399" s="176">
        <v>8455</v>
      </c>
      <c r="T399" s="168">
        <f>U399-SUM(Q399:S399)</f>
        <v>88485</v>
      </c>
      <c r="U399" s="213">
        <v>247402</v>
      </c>
      <c r="V399" s="212">
        <v>84865</v>
      </c>
      <c r="W399" s="176">
        <v>4173</v>
      </c>
      <c r="X399" s="176">
        <v>4819</v>
      </c>
      <c r="Y399" s="168">
        <f>Z399-SUM(V399:X399)</f>
        <v>16859</v>
      </c>
      <c r="Z399" s="213">
        <v>110716</v>
      </c>
      <c r="AA399" s="212">
        <v>62568</v>
      </c>
      <c r="AB399" s="176">
        <v>30114</v>
      </c>
      <c r="AC399" s="176">
        <v>29749</v>
      </c>
      <c r="AD399" s="168">
        <f>AE399-SUM(AA399:AC399)</f>
        <v>55212</v>
      </c>
      <c r="AE399" s="213">
        <v>177643</v>
      </c>
      <c r="AF399" s="176">
        <v>110618</v>
      </c>
      <c r="AG399" s="176">
        <v>7669</v>
      </c>
      <c r="AH399" s="176">
        <v>14083</v>
      </c>
      <c r="AI399" s="168">
        <f>AJ399-SUM(AF399:AH399)</f>
        <v>27369</v>
      </c>
      <c r="AJ399" s="213">
        <v>159739</v>
      </c>
      <c r="AK399" s="176">
        <v>55949</v>
      </c>
      <c r="AL399" s="176">
        <v>-433</v>
      </c>
      <c r="AM399" s="176">
        <v>-7373</v>
      </c>
      <c r="AN399" s="168">
        <f>AO399-SUM(AK399:AM399)</f>
        <v>557</v>
      </c>
      <c r="AO399" s="213">
        <v>48700</v>
      </c>
      <c r="AP399" s="176">
        <v>-15400</v>
      </c>
      <c r="AQ399" s="176">
        <v>-10400</v>
      </c>
      <c r="AR399" s="176">
        <v>-17275</v>
      </c>
      <c r="AS399" s="168">
        <f>AT399-SUM(AP399:AR399)</f>
        <v>-6225</v>
      </c>
      <c r="AT399" s="213">
        <v>-49300</v>
      </c>
      <c r="AU399" s="176">
        <v>700</v>
      </c>
      <c r="AV399" s="176">
        <f>-137800</f>
        <v>-137800</v>
      </c>
      <c r="AW399" s="176">
        <v>-22300</v>
      </c>
      <c r="AX399" s="168">
        <f>AY399-SUM(AU399:AW399)</f>
        <v>-13600</v>
      </c>
      <c r="AY399" s="213">
        <v>-173000</v>
      </c>
      <c r="AZ399" s="168"/>
      <c r="BA399" s="168"/>
      <c r="BB399" s="168"/>
      <c r="BC399" s="168"/>
      <c r="BD399" s="235"/>
      <c r="BE399" s="168"/>
      <c r="BF399" s="388"/>
      <c r="BG399" s="168"/>
      <c r="BH399" s="388"/>
      <c r="BI399" s="521"/>
      <c r="BJ399" s="168"/>
      <c r="BK399" s="388"/>
      <c r="BL399" s="168"/>
      <c r="BM399" s="168"/>
      <c r="BN399" s="235"/>
      <c r="BO399" s="168"/>
      <c r="BP399" s="168"/>
      <c r="BQ399" s="168"/>
      <c r="BR399" s="168"/>
      <c r="BS399" s="235"/>
      <c r="BT399" s="168"/>
      <c r="BU399" s="168"/>
      <c r="BV399" s="168"/>
      <c r="BW399" s="168"/>
      <c r="BX399" s="235"/>
      <c r="BY399" s="168"/>
      <c r="BZ399" s="168"/>
      <c r="CA399" s="168"/>
      <c r="CB399" s="168"/>
      <c r="CC399" s="235"/>
      <c r="CD399" s="168"/>
      <c r="CE399" s="168"/>
      <c r="CF399" s="168"/>
      <c r="CG399" s="168"/>
      <c r="CH399" s="235"/>
      <c r="CI399" s="168"/>
      <c r="CJ399" s="168"/>
      <c r="CK399" s="168"/>
      <c r="CL399" s="168"/>
      <c r="CM399" s="235"/>
      <c r="CN399" s="168"/>
      <c r="CO399" s="168"/>
      <c r="CP399" s="168"/>
      <c r="CQ399" s="168"/>
      <c r="CR399" s="235"/>
      <c r="CS399" s="168"/>
      <c r="CT399" s="168"/>
      <c r="CU399" s="168"/>
      <c r="CV399" s="168"/>
      <c r="CW399" s="235"/>
      <c r="CX399" s="168"/>
      <c r="CY399" s="168"/>
      <c r="CZ399" s="168"/>
      <c r="DA399" s="168"/>
      <c r="DB399" s="235"/>
      <c r="DC399" s="168"/>
      <c r="DD399" s="168"/>
      <c r="DE399" s="168"/>
      <c r="DF399" s="168"/>
      <c r="DG399" s="168"/>
      <c r="DH399" s="168"/>
      <c r="DI399" s="168"/>
      <c r="DJ399" s="168"/>
      <c r="DK399" s="406"/>
      <c r="DL399" s="406"/>
      <c r="DM399" s="63"/>
    </row>
    <row r="400" spans="1:117" outlineLevel="1">
      <c r="A400" s="107" t="s">
        <v>651</v>
      </c>
      <c r="B400" s="321"/>
      <c r="C400" s="322"/>
      <c r="D400" s="322"/>
      <c r="E400" s="322"/>
      <c r="F400" s="323"/>
      <c r="G400" s="302">
        <f t="shared" ref="G400:AH400" si="683">G399/B399-1</f>
        <v>-0.18768417978601959</v>
      </c>
      <c r="H400" s="149">
        <f t="shared" si="683"/>
        <v>-0.21243523316062174</v>
      </c>
      <c r="I400" s="149">
        <f t="shared" si="683"/>
        <v>2.038198277765511</v>
      </c>
      <c r="J400" s="149">
        <f t="shared" si="683"/>
        <v>0.19016507227570401</v>
      </c>
      <c r="K400" s="150">
        <f t="shared" si="683"/>
        <v>0.18593611714538572</v>
      </c>
      <c r="L400" s="302">
        <f t="shared" si="683"/>
        <v>0.68566059318571781</v>
      </c>
      <c r="M400" s="149">
        <f t="shared" si="683"/>
        <v>4.7189722617354199</v>
      </c>
      <c r="N400" s="149">
        <f t="shared" si="683"/>
        <v>-0.44176962209302328</v>
      </c>
      <c r="O400" s="149">
        <f t="shared" si="683"/>
        <v>-4.1393562128377082E-2</v>
      </c>
      <c r="P400" s="150">
        <f t="shared" si="683"/>
        <v>0.32689474704400068</v>
      </c>
      <c r="Q400" s="302">
        <f t="shared" si="683"/>
        <v>0.27386238051844813</v>
      </c>
      <c r="R400" s="149">
        <f t="shared" si="683"/>
        <v>-0.70373249179971087</v>
      </c>
      <c r="S400" s="149">
        <f t="shared" si="683"/>
        <v>-0.72481692432872258</v>
      </c>
      <c r="T400" s="149">
        <f t="shared" si="683"/>
        <v>0.17025075384859556</v>
      </c>
      <c r="U400" s="150">
        <f t="shared" si="683"/>
        <v>-9.6472839623399476E-2</v>
      </c>
      <c r="V400" s="302">
        <f t="shared" si="683"/>
        <v>-0.35416730084320114</v>
      </c>
      <c r="W400" s="149">
        <f t="shared" si="683"/>
        <v>-0.78103683492496589</v>
      </c>
      <c r="X400" s="149">
        <f t="shared" si="683"/>
        <v>-0.43004139562389121</v>
      </c>
      <c r="Y400" s="149">
        <f t="shared" si="683"/>
        <v>-0.80947053172854155</v>
      </c>
      <c r="Z400" s="150">
        <f t="shared" si="683"/>
        <v>-0.55248542857373828</v>
      </c>
      <c r="AA400" s="302">
        <f t="shared" si="683"/>
        <v>-0.26273493195074527</v>
      </c>
      <c r="AB400" s="149">
        <f t="shared" si="683"/>
        <v>6.2163910855499642</v>
      </c>
      <c r="AC400" s="149">
        <f t="shared" si="683"/>
        <v>5.173272463166632</v>
      </c>
      <c r="AD400" s="149">
        <f>AD399/Y399-1</f>
        <v>2.2749273385135536</v>
      </c>
      <c r="AE400" s="150">
        <f>AE399/Z399-1</f>
        <v>0.60449257559882952</v>
      </c>
      <c r="AF400" s="355">
        <f>AF399/AA399-1</f>
        <v>0.76796445467331553</v>
      </c>
      <c r="AG400" s="149">
        <f t="shared" si="683"/>
        <v>-0.74533439596201101</v>
      </c>
      <c r="AH400" s="149">
        <f t="shared" si="683"/>
        <v>-0.52660593633399444</v>
      </c>
      <c r="AI400" s="149">
        <f t="shared" ref="AI400:AP400" si="684">AI399/AD399-1</f>
        <v>-0.50429254509889154</v>
      </c>
      <c r="AJ400" s="150">
        <f t="shared" si="684"/>
        <v>-0.10078640869609268</v>
      </c>
      <c r="AK400" s="355">
        <f t="shared" si="684"/>
        <v>-0.49421432316621161</v>
      </c>
      <c r="AL400" s="361">
        <f t="shared" si="684"/>
        <v>-1.0564610770635023</v>
      </c>
      <c r="AM400" s="149">
        <f t="shared" si="684"/>
        <v>-1.5235390186749982</v>
      </c>
      <c r="AN400" s="149">
        <f t="shared" si="684"/>
        <v>-0.97964850743541965</v>
      </c>
      <c r="AO400" s="150">
        <f>AO399/AJ399-1</f>
        <v>-0.69512767702314404</v>
      </c>
      <c r="AP400" s="355">
        <f t="shared" si="684"/>
        <v>-1.2752506747216215</v>
      </c>
      <c r="AQ400" s="149">
        <f t="shared" ref="AQ400:AW400" si="685">AQ399/AL399-1</f>
        <v>23.018475750577366</v>
      </c>
      <c r="AR400" s="149">
        <f t="shared" si="685"/>
        <v>1.3430082734300828</v>
      </c>
      <c r="AS400" s="149">
        <f t="shared" si="685"/>
        <v>-12.175942549371634</v>
      </c>
      <c r="AT400" s="150">
        <f t="shared" si="685"/>
        <v>-2.0123203285420947</v>
      </c>
      <c r="AU400" s="355">
        <f t="shared" si="685"/>
        <v>-1.0454545454545454</v>
      </c>
      <c r="AV400" s="149">
        <f t="shared" si="685"/>
        <v>12.25</v>
      </c>
      <c r="AW400" s="149">
        <f t="shared" si="685"/>
        <v>0.29088277858176559</v>
      </c>
      <c r="AX400" s="149">
        <f>AX399/AS399-1</f>
        <v>1.1847389558232932</v>
      </c>
      <c r="AY400" s="150">
        <f>AY399/AT399-1</f>
        <v>2.5091277890466532</v>
      </c>
      <c r="AZ400" s="302"/>
      <c r="BA400" s="149"/>
      <c r="BB400" s="149"/>
      <c r="BC400" s="149"/>
      <c r="BD400" s="150"/>
      <c r="BE400" s="302"/>
      <c r="BF400" s="540"/>
      <c r="BG400" s="149"/>
      <c r="BH400" s="540"/>
      <c r="BI400" s="534"/>
      <c r="BJ400" s="302"/>
      <c r="BK400" s="540"/>
      <c r="BL400" s="149"/>
      <c r="BM400" s="149"/>
      <c r="BN400" s="150"/>
      <c r="BO400" s="302"/>
      <c r="BP400" s="149"/>
      <c r="BQ400" s="149"/>
      <c r="BR400" s="149"/>
      <c r="BS400" s="150"/>
      <c r="BT400" s="302"/>
      <c r="BU400" s="149"/>
      <c r="BV400" s="149"/>
      <c r="BW400" s="149"/>
      <c r="BX400" s="150"/>
      <c r="BY400" s="302"/>
      <c r="BZ400" s="149"/>
      <c r="CA400" s="149"/>
      <c r="CB400" s="149"/>
      <c r="CC400" s="150"/>
      <c r="CD400" s="302"/>
      <c r="CE400" s="149"/>
      <c r="CF400" s="149"/>
      <c r="CG400" s="149"/>
      <c r="CH400" s="150"/>
      <c r="CI400" s="302"/>
      <c r="CJ400" s="149"/>
      <c r="CK400" s="149"/>
      <c r="CL400" s="149"/>
      <c r="CM400" s="150"/>
      <c r="CN400" s="302"/>
      <c r="CO400" s="149"/>
      <c r="CP400" s="149"/>
      <c r="CQ400" s="149"/>
      <c r="CR400" s="150"/>
      <c r="CS400" s="302"/>
      <c r="CT400" s="149"/>
      <c r="CU400" s="149"/>
      <c r="CV400" s="149"/>
      <c r="CW400" s="150"/>
      <c r="CX400" s="302"/>
      <c r="CY400" s="149"/>
      <c r="CZ400" s="149"/>
      <c r="DA400" s="149"/>
      <c r="DB400" s="150"/>
      <c r="DC400" s="149"/>
      <c r="DD400" s="149"/>
      <c r="DE400" s="149"/>
      <c r="DF400" s="149"/>
      <c r="DG400" s="149"/>
      <c r="DH400" s="149"/>
      <c r="DI400" s="149"/>
      <c r="DJ400" s="149"/>
      <c r="DK400" s="400"/>
      <c r="DL400" s="400"/>
      <c r="DM400" s="108"/>
    </row>
    <row r="401" spans="1:117" outlineLevel="1">
      <c r="A401" s="34" t="s">
        <v>761</v>
      </c>
      <c r="B401" s="37">
        <v>10553</v>
      </c>
      <c r="C401" s="38">
        <v>7919</v>
      </c>
      <c r="D401" s="38">
        <v>6882</v>
      </c>
      <c r="E401" s="48">
        <f>F401-SUM(B401:D401)</f>
        <v>7907</v>
      </c>
      <c r="F401" s="133">
        <v>33261</v>
      </c>
      <c r="G401" s="94">
        <f>15826-H401</f>
        <v>8043</v>
      </c>
      <c r="H401" s="38">
        <v>7783</v>
      </c>
      <c r="I401" s="38">
        <v>12451</v>
      </c>
      <c r="J401" s="48">
        <f>K401-SUM(G401:I401)</f>
        <v>10442</v>
      </c>
      <c r="K401" s="133">
        <v>38719</v>
      </c>
      <c r="L401" s="37">
        <v>9294</v>
      </c>
      <c r="M401" s="38">
        <v>10334</v>
      </c>
      <c r="N401" s="38">
        <v>8671</v>
      </c>
      <c r="O401" s="48">
        <f>P401-SUM(L401:N401)</f>
        <v>14165</v>
      </c>
      <c r="P401" s="133">
        <v>42464</v>
      </c>
      <c r="Q401" s="37">
        <v>10729</v>
      </c>
      <c r="R401" s="38">
        <v>8355</v>
      </c>
      <c r="S401" s="38">
        <v>8599</v>
      </c>
      <c r="T401" s="48">
        <f>U401-SUM(Q401:S401)</f>
        <v>12237</v>
      </c>
      <c r="U401" s="133">
        <v>39920</v>
      </c>
      <c r="V401" s="37">
        <v>10165</v>
      </c>
      <c r="W401" s="38">
        <v>8357</v>
      </c>
      <c r="X401" s="38">
        <v>9465</v>
      </c>
      <c r="Y401" s="48">
        <f>Z401-SUM(V401:X401)</f>
        <v>7606</v>
      </c>
      <c r="Z401" s="133">
        <v>35593</v>
      </c>
      <c r="AA401" s="37">
        <v>7506</v>
      </c>
      <c r="AB401" s="38">
        <v>10530</v>
      </c>
      <c r="AC401" s="38">
        <v>8371</v>
      </c>
      <c r="AD401" s="48">
        <f>AE401-SUM(AA401:AC401)</f>
        <v>15297</v>
      </c>
      <c r="AE401" s="133">
        <v>41704</v>
      </c>
      <c r="AF401" s="37">
        <v>7426</v>
      </c>
      <c r="AG401" s="38">
        <v>6544</v>
      </c>
      <c r="AH401" s="38">
        <v>7011</v>
      </c>
      <c r="AI401" s="48">
        <f>AJ401-SUM(AF401:AH401)</f>
        <v>7403</v>
      </c>
      <c r="AJ401" s="133">
        <v>28384</v>
      </c>
      <c r="AK401" s="37">
        <v>8004</v>
      </c>
      <c r="AL401" s="38">
        <v>5298</v>
      </c>
      <c r="AM401" s="38">
        <v>5252</v>
      </c>
      <c r="AN401" s="38">
        <v>6000</v>
      </c>
      <c r="AO401" s="104">
        <f>SUM(AK401:AN401)</f>
        <v>24554</v>
      </c>
      <c r="AP401" s="37">
        <v>4800</v>
      </c>
      <c r="AQ401" s="38">
        <v>4600</v>
      </c>
      <c r="AR401" s="38">
        <v>4424</v>
      </c>
      <c r="AS401" s="38">
        <v>4100</v>
      </c>
      <c r="AT401" s="104">
        <f>SUM(AP401:AS401)</f>
        <v>17924</v>
      </c>
      <c r="AU401" s="37">
        <v>5000</v>
      </c>
      <c r="AV401" s="38">
        <v>3600</v>
      </c>
      <c r="AW401" s="38">
        <v>2300</v>
      </c>
      <c r="AX401" s="38">
        <v>2200</v>
      </c>
      <c r="AY401" s="104">
        <f>SUM(AU401:AX401)</f>
        <v>13100</v>
      </c>
      <c r="AZ401" s="94"/>
      <c r="BA401" s="48"/>
      <c r="BB401" s="48"/>
      <c r="BC401" s="48"/>
      <c r="BD401" s="104"/>
      <c r="BE401" s="94"/>
      <c r="BF401" s="48"/>
      <c r="BG401" s="48"/>
      <c r="BH401" s="48"/>
      <c r="BI401" s="104"/>
      <c r="BJ401" s="94"/>
      <c r="BK401" s="48"/>
      <c r="BL401" s="48"/>
      <c r="BM401" s="48"/>
      <c r="BN401" s="104"/>
      <c r="BO401" s="94"/>
      <c r="BP401" s="48"/>
      <c r="BQ401" s="48"/>
      <c r="BR401" s="48"/>
      <c r="BS401" s="104"/>
      <c r="BT401" s="94"/>
      <c r="BU401" s="48"/>
      <c r="BV401" s="48"/>
      <c r="BW401" s="48"/>
      <c r="BX401" s="104"/>
      <c r="BY401" s="94"/>
      <c r="BZ401" s="48"/>
      <c r="CA401" s="48"/>
      <c r="CB401" s="48"/>
      <c r="CC401" s="104"/>
      <c r="CD401" s="94"/>
      <c r="CE401" s="48"/>
      <c r="CF401" s="48"/>
      <c r="CG401" s="48"/>
      <c r="CH401" s="104"/>
      <c r="CI401" s="94"/>
      <c r="CJ401" s="48"/>
      <c r="CK401" s="48"/>
      <c r="CL401" s="48"/>
      <c r="CM401" s="104"/>
      <c r="CN401" s="94"/>
      <c r="CO401" s="48"/>
      <c r="CP401" s="48"/>
      <c r="CQ401" s="48"/>
      <c r="CR401" s="104"/>
      <c r="CS401" s="94"/>
      <c r="CT401" s="48"/>
      <c r="CU401" s="48"/>
      <c r="CV401" s="48"/>
      <c r="CW401" s="104"/>
      <c r="CX401" s="94"/>
      <c r="CY401" s="48"/>
      <c r="CZ401" s="48"/>
      <c r="DA401" s="48"/>
      <c r="DB401" s="104"/>
      <c r="DC401" s="48"/>
      <c r="DD401" s="48"/>
      <c r="DE401" s="48"/>
      <c r="DF401" s="48"/>
      <c r="DG401" s="48"/>
      <c r="DH401" s="48"/>
      <c r="DI401" s="48"/>
      <c r="DJ401" s="48"/>
      <c r="DK401" s="99"/>
      <c r="DL401" s="99"/>
      <c r="DM401" s="64"/>
    </row>
    <row r="402" spans="1:117" outlineLevel="1">
      <c r="A402" s="113" t="s">
        <v>651</v>
      </c>
      <c r="B402" s="321"/>
      <c r="C402" s="322"/>
      <c r="D402" s="322"/>
      <c r="E402" s="322"/>
      <c r="F402" s="323"/>
      <c r="G402" s="302">
        <f t="shared" ref="G402:AC402" si="686">G401/B401-1</f>
        <v>-0.2378470577087084</v>
      </c>
      <c r="H402" s="149">
        <f t="shared" si="686"/>
        <v>-1.7173885591615146E-2</v>
      </c>
      <c r="I402" s="149">
        <f t="shared" si="686"/>
        <v>0.80921243824469635</v>
      </c>
      <c r="J402" s="149">
        <f t="shared" si="686"/>
        <v>0.32060199822941704</v>
      </c>
      <c r="K402" s="150">
        <f t="shared" si="686"/>
        <v>0.16409608851207125</v>
      </c>
      <c r="L402" s="302">
        <f t="shared" si="686"/>
        <v>0.15553897799328609</v>
      </c>
      <c r="M402" s="149">
        <f t="shared" si="686"/>
        <v>0.32776564306822564</v>
      </c>
      <c r="N402" s="149">
        <f t="shared" si="686"/>
        <v>-0.3035900730864991</v>
      </c>
      <c r="O402" s="149">
        <f t="shared" si="686"/>
        <v>0.35654089254932009</v>
      </c>
      <c r="P402" s="150">
        <f t="shared" si="686"/>
        <v>9.6722539321780099E-2</v>
      </c>
      <c r="Q402" s="302">
        <f t="shared" si="686"/>
        <v>0.15440068861631162</v>
      </c>
      <c r="R402" s="149">
        <f t="shared" si="686"/>
        <v>-0.19150377395006779</v>
      </c>
      <c r="S402" s="149">
        <f t="shared" si="686"/>
        <v>-8.3035405374235483E-3</v>
      </c>
      <c r="T402" s="149">
        <f t="shared" si="686"/>
        <v>-0.13611013060360044</v>
      </c>
      <c r="U402" s="150">
        <f t="shared" si="686"/>
        <v>-5.9909570459683481E-2</v>
      </c>
      <c r="V402" s="302">
        <f t="shared" si="686"/>
        <v>-5.2567806878553447E-2</v>
      </c>
      <c r="W402" s="149">
        <f t="shared" si="686"/>
        <v>2.3937761819259329E-4</v>
      </c>
      <c r="X402" s="149">
        <f t="shared" si="686"/>
        <v>0.10070938481218739</v>
      </c>
      <c r="Y402" s="149">
        <f t="shared" si="686"/>
        <v>-0.37844242869984468</v>
      </c>
      <c r="Z402" s="150">
        <f t="shared" si="686"/>
        <v>-0.1083917835671343</v>
      </c>
      <c r="AA402" s="302">
        <f t="shared" si="686"/>
        <v>-0.26158386620757501</v>
      </c>
      <c r="AB402" s="149">
        <f t="shared" si="686"/>
        <v>0.26002153882972356</v>
      </c>
      <c r="AC402" s="149">
        <f t="shared" si="686"/>
        <v>-0.11558372952984686</v>
      </c>
      <c r="AD402" s="149">
        <f t="shared" ref="AD402:AR402" si="687">AD401/Y401-1</f>
        <v>1.0111753878516963</v>
      </c>
      <c r="AE402" s="150">
        <f t="shared" si="687"/>
        <v>0.17169106284943658</v>
      </c>
      <c r="AF402" s="355">
        <f t="shared" si="687"/>
        <v>-1.0658140154543028E-2</v>
      </c>
      <c r="AG402" s="149">
        <f t="shared" si="687"/>
        <v>-0.37853751187084517</v>
      </c>
      <c r="AH402" s="149">
        <f t="shared" si="687"/>
        <v>-0.16246565523832279</v>
      </c>
      <c r="AI402" s="149">
        <f t="shared" si="687"/>
        <v>-0.51604889847682545</v>
      </c>
      <c r="AJ402" s="150">
        <f t="shared" si="687"/>
        <v>-0.31939382313447151</v>
      </c>
      <c r="AK402" s="355">
        <f t="shared" si="687"/>
        <v>7.7834635065984425E-2</v>
      </c>
      <c r="AL402" s="361">
        <f t="shared" si="687"/>
        <v>-0.19040342298288504</v>
      </c>
      <c r="AM402" s="149">
        <f t="shared" si="687"/>
        <v>-0.25089145628298393</v>
      </c>
      <c r="AN402" s="149">
        <f t="shared" si="687"/>
        <v>-0.18951776306902612</v>
      </c>
      <c r="AO402" s="150">
        <f t="shared" si="687"/>
        <v>-0.13493517474633598</v>
      </c>
      <c r="AP402" s="355">
        <f t="shared" si="687"/>
        <v>-0.40029985007496249</v>
      </c>
      <c r="AQ402" s="149">
        <f t="shared" si="687"/>
        <v>-0.13174782936957341</v>
      </c>
      <c r="AR402" s="149">
        <f t="shared" si="687"/>
        <v>-0.15765422696115761</v>
      </c>
      <c r="AS402" s="149">
        <f t="shared" ref="AS402:AY402" si="688">AS401/AN401-1</f>
        <v>-0.31666666666666665</v>
      </c>
      <c r="AT402" s="150">
        <f t="shared" si="688"/>
        <v>-0.27001710515598276</v>
      </c>
      <c r="AU402" s="355">
        <f t="shared" si="688"/>
        <v>4.1666666666666741E-2</v>
      </c>
      <c r="AV402" s="149">
        <f t="shared" si="688"/>
        <v>-0.21739130434782605</v>
      </c>
      <c r="AW402" s="149">
        <f t="shared" si="688"/>
        <v>-0.48010849909584086</v>
      </c>
      <c r="AX402" s="149">
        <f t="shared" si="688"/>
        <v>-0.46341463414634143</v>
      </c>
      <c r="AY402" s="150">
        <f t="shared" si="688"/>
        <v>-0.26913635349252396</v>
      </c>
      <c r="AZ402" s="269"/>
      <c r="BA402" s="188"/>
      <c r="BB402" s="188"/>
      <c r="BC402" s="188"/>
      <c r="BD402" s="150"/>
      <c r="BE402" s="269"/>
      <c r="BF402" s="188"/>
      <c r="BG402" s="188"/>
      <c r="BH402" s="188"/>
      <c r="BI402" s="534"/>
      <c r="BJ402" s="269"/>
      <c r="BK402" s="188"/>
      <c r="BL402" s="188"/>
      <c r="BM402" s="188"/>
      <c r="BN402" s="150"/>
      <c r="BO402" s="269"/>
      <c r="BP402" s="188"/>
      <c r="BQ402" s="188"/>
      <c r="BR402" s="188"/>
      <c r="BS402" s="150"/>
      <c r="BT402" s="269"/>
      <c r="BU402" s="188"/>
      <c r="BV402" s="188"/>
      <c r="BW402" s="188"/>
      <c r="BX402" s="150"/>
      <c r="BY402" s="269"/>
      <c r="BZ402" s="188"/>
      <c r="CA402" s="188"/>
      <c r="CB402" s="188"/>
      <c r="CC402" s="150"/>
      <c r="CD402" s="269"/>
      <c r="CE402" s="188"/>
      <c r="CF402" s="188"/>
      <c r="CG402" s="188"/>
      <c r="CH402" s="150"/>
      <c r="CI402" s="269"/>
      <c r="CJ402" s="188"/>
      <c r="CK402" s="188"/>
      <c r="CL402" s="188"/>
      <c r="CM402" s="150"/>
      <c r="CN402" s="269"/>
      <c r="CO402" s="188"/>
      <c r="CP402" s="188"/>
      <c r="CQ402" s="188"/>
      <c r="CR402" s="150"/>
      <c r="CS402" s="269"/>
      <c r="CT402" s="188"/>
      <c r="CU402" s="188"/>
      <c r="CV402" s="188"/>
      <c r="CW402" s="150"/>
      <c r="CX402" s="269"/>
      <c r="CY402" s="188"/>
      <c r="CZ402" s="188"/>
      <c r="DA402" s="188"/>
      <c r="DB402" s="150"/>
      <c r="DC402" s="149"/>
      <c r="DD402" s="149"/>
      <c r="DE402" s="149"/>
      <c r="DF402" s="149"/>
      <c r="DG402" s="149"/>
      <c r="DH402" s="149"/>
      <c r="DI402" s="149"/>
      <c r="DJ402" s="149"/>
      <c r="DK402" s="400"/>
      <c r="DL402" s="400"/>
      <c r="DM402" s="108"/>
    </row>
    <row r="403" spans="1:117" outlineLevel="1">
      <c r="A403" s="34" t="s">
        <v>762</v>
      </c>
      <c r="B403" s="37">
        <v>1391</v>
      </c>
      <c r="C403" s="38">
        <v>1424</v>
      </c>
      <c r="D403" s="38">
        <v>402</v>
      </c>
      <c r="E403" s="48">
        <f>F403-SUM(B403:D403)</f>
        <v>-1663</v>
      </c>
      <c r="F403" s="133">
        <v>1554</v>
      </c>
      <c r="G403" s="94">
        <f>970-H403</f>
        <v>401</v>
      </c>
      <c r="H403" s="38">
        <v>569</v>
      </c>
      <c r="I403" s="38">
        <v>533</v>
      </c>
      <c r="J403" s="48">
        <f>K403-SUM(G403:I403)</f>
        <v>568</v>
      </c>
      <c r="K403" s="133">
        <v>2071</v>
      </c>
      <c r="L403" s="37">
        <v>575</v>
      </c>
      <c r="M403" s="38">
        <v>529</v>
      </c>
      <c r="N403" s="38">
        <v>524</v>
      </c>
      <c r="O403" s="48">
        <f>P403-SUM(L403:N403)</f>
        <v>521</v>
      </c>
      <c r="P403" s="133">
        <v>2149</v>
      </c>
      <c r="Q403" s="37">
        <v>538</v>
      </c>
      <c r="R403" s="38">
        <v>537</v>
      </c>
      <c r="S403" s="38">
        <v>537</v>
      </c>
      <c r="T403" s="48">
        <f>U403-SUM(Q403:S403)</f>
        <v>535</v>
      </c>
      <c r="U403" s="133">
        <v>2147</v>
      </c>
      <c r="V403" s="37">
        <v>378</v>
      </c>
      <c r="W403" s="38">
        <v>198</v>
      </c>
      <c r="X403" s="38">
        <v>178</v>
      </c>
      <c r="Y403" s="48">
        <f>Z403-SUM(V403:X403)</f>
        <v>167</v>
      </c>
      <c r="Z403" s="133">
        <v>921</v>
      </c>
      <c r="AA403" s="37">
        <v>145</v>
      </c>
      <c r="AB403" s="38">
        <v>146</v>
      </c>
      <c r="AC403" s="38">
        <v>154</v>
      </c>
      <c r="AD403" s="48">
        <f>AE403-SUM(AA403:AC403)</f>
        <v>163</v>
      </c>
      <c r="AE403" s="133">
        <v>608</v>
      </c>
      <c r="AF403" s="37">
        <v>153</v>
      </c>
      <c r="AG403" s="38">
        <v>193</v>
      </c>
      <c r="AH403" s="38">
        <v>179</v>
      </c>
      <c r="AI403" s="48">
        <f>AJ403-SUM(AF403:AH403)</f>
        <v>169</v>
      </c>
      <c r="AJ403" s="133">
        <v>694</v>
      </c>
      <c r="AK403" s="37">
        <v>149</v>
      </c>
      <c r="AL403" s="38">
        <v>111</v>
      </c>
      <c r="AM403" s="38">
        <v>100</v>
      </c>
      <c r="AN403" s="38">
        <v>100</v>
      </c>
      <c r="AO403" s="104">
        <f>SUM(AK403:AN403)</f>
        <v>460</v>
      </c>
      <c r="AP403" s="37">
        <v>200</v>
      </c>
      <c r="AQ403" s="38">
        <v>100</v>
      </c>
      <c r="AR403" s="38">
        <v>78</v>
      </c>
      <c r="AS403" s="38">
        <v>100</v>
      </c>
      <c r="AT403" s="104">
        <f>SUM(AP403:AS403)</f>
        <v>478</v>
      </c>
      <c r="AU403" s="37">
        <v>100</v>
      </c>
      <c r="AV403" s="38">
        <v>100</v>
      </c>
      <c r="AW403" s="38">
        <v>100</v>
      </c>
      <c r="AX403" s="38">
        <v>100</v>
      </c>
      <c r="AY403" s="104">
        <f>SUM(AU403:AX403)</f>
        <v>400</v>
      </c>
      <c r="AZ403" s="94"/>
      <c r="BA403" s="48"/>
      <c r="BB403" s="48"/>
      <c r="BC403" s="48"/>
      <c r="BD403" s="104"/>
      <c r="BE403" s="94"/>
      <c r="BF403" s="48"/>
      <c r="BG403" s="48"/>
      <c r="BH403" s="48"/>
      <c r="BI403" s="104"/>
      <c r="BJ403" s="94"/>
      <c r="BK403" s="48"/>
      <c r="BL403" s="48"/>
      <c r="BM403" s="48"/>
      <c r="BN403" s="104"/>
      <c r="BO403" s="94"/>
      <c r="BP403" s="48"/>
      <c r="BQ403" s="48"/>
      <c r="BR403" s="48"/>
      <c r="BS403" s="104"/>
      <c r="BT403" s="94"/>
      <c r="BU403" s="48"/>
      <c r="BV403" s="48"/>
      <c r="BW403" s="48"/>
      <c r="BX403" s="104"/>
      <c r="BY403" s="94"/>
      <c r="BZ403" s="48"/>
      <c r="CA403" s="48"/>
      <c r="CB403" s="48"/>
      <c r="CC403" s="104"/>
      <c r="CD403" s="94"/>
      <c r="CE403" s="48"/>
      <c r="CF403" s="48"/>
      <c r="CG403" s="48"/>
      <c r="CH403" s="104"/>
      <c r="CI403" s="94"/>
      <c r="CJ403" s="48"/>
      <c r="CK403" s="48"/>
      <c r="CL403" s="48"/>
      <c r="CM403" s="104"/>
      <c r="CN403" s="94"/>
      <c r="CO403" s="48"/>
      <c r="CP403" s="48"/>
      <c r="CQ403" s="48"/>
      <c r="CR403" s="104"/>
      <c r="CS403" s="94"/>
      <c r="CT403" s="48"/>
      <c r="CU403" s="48"/>
      <c r="CV403" s="48"/>
      <c r="CW403" s="104"/>
      <c r="CX403" s="94"/>
      <c r="CY403" s="48"/>
      <c r="CZ403" s="48"/>
      <c r="DA403" s="48"/>
      <c r="DB403" s="104"/>
      <c r="DC403" s="48"/>
      <c r="DD403" s="48"/>
      <c r="DE403" s="48"/>
      <c r="DF403" s="48"/>
      <c r="DG403" s="48"/>
      <c r="DH403" s="48"/>
      <c r="DI403" s="48"/>
      <c r="DJ403" s="48"/>
      <c r="DK403" s="99"/>
      <c r="DL403" s="99"/>
      <c r="DM403" s="64"/>
    </row>
    <row r="404" spans="1:117" outlineLevel="1">
      <c r="A404" s="113" t="s">
        <v>651</v>
      </c>
      <c r="B404" s="321"/>
      <c r="C404" s="322"/>
      <c r="D404" s="322"/>
      <c r="E404" s="322"/>
      <c r="F404" s="323"/>
      <c r="G404" s="302">
        <f t="shared" ref="G404:AC404" si="689">G403/B403-1</f>
        <v>-0.71171818835370237</v>
      </c>
      <c r="H404" s="149">
        <f t="shared" si="689"/>
        <v>-0.60042134831460681</v>
      </c>
      <c r="I404" s="149">
        <f t="shared" si="689"/>
        <v>0.32587064676616917</v>
      </c>
      <c r="J404" s="149">
        <f t="shared" si="689"/>
        <v>-1.3415514131088395</v>
      </c>
      <c r="K404" s="150">
        <f t="shared" si="689"/>
        <v>0.33268983268983265</v>
      </c>
      <c r="L404" s="302">
        <f t="shared" si="689"/>
        <v>0.43391521197007488</v>
      </c>
      <c r="M404" s="149">
        <f t="shared" si="689"/>
        <v>-7.0298769771529046E-2</v>
      </c>
      <c r="N404" s="149">
        <f t="shared" si="689"/>
        <v>-1.6885553470919357E-2</v>
      </c>
      <c r="O404" s="149">
        <f t="shared" si="689"/>
        <v>-8.2746478873239382E-2</v>
      </c>
      <c r="P404" s="150">
        <f t="shared" si="689"/>
        <v>3.7662964751327799E-2</v>
      </c>
      <c r="Q404" s="302">
        <f t="shared" si="689"/>
        <v>-6.434782608695655E-2</v>
      </c>
      <c r="R404" s="149">
        <f t="shared" si="689"/>
        <v>1.512287334593565E-2</v>
      </c>
      <c r="S404" s="149">
        <f t="shared" si="689"/>
        <v>2.4809160305343525E-2</v>
      </c>
      <c r="T404" s="149">
        <f t="shared" si="689"/>
        <v>2.6871401151631558E-2</v>
      </c>
      <c r="U404" s="150">
        <f t="shared" si="689"/>
        <v>-9.3066542577946443E-4</v>
      </c>
      <c r="V404" s="302">
        <f t="shared" si="689"/>
        <v>-0.29739776951672858</v>
      </c>
      <c r="W404" s="149">
        <f t="shared" si="689"/>
        <v>-0.63128491620111737</v>
      </c>
      <c r="X404" s="149">
        <f t="shared" si="689"/>
        <v>-0.66852886405959033</v>
      </c>
      <c r="Y404" s="149">
        <f t="shared" si="689"/>
        <v>-0.68785046728971966</v>
      </c>
      <c r="Z404" s="150">
        <f t="shared" si="689"/>
        <v>-0.57102934326967869</v>
      </c>
      <c r="AA404" s="302">
        <f t="shared" si="689"/>
        <v>-0.6164021164021164</v>
      </c>
      <c r="AB404" s="149">
        <f t="shared" si="689"/>
        <v>-0.26262626262626265</v>
      </c>
      <c r="AC404" s="149">
        <f t="shared" si="689"/>
        <v>-0.1348314606741573</v>
      </c>
      <c r="AD404" s="149">
        <f t="shared" ref="AD404:AP404" si="690">AD403/Y403-1</f>
        <v>-2.39520958083832E-2</v>
      </c>
      <c r="AE404" s="150">
        <f t="shared" si="690"/>
        <v>-0.3398479913137894</v>
      </c>
      <c r="AF404" s="355">
        <f t="shared" si="690"/>
        <v>5.5172413793103559E-2</v>
      </c>
      <c r="AG404" s="149">
        <f t="shared" si="690"/>
        <v>0.32191780821917804</v>
      </c>
      <c r="AH404" s="149">
        <f t="shared" si="690"/>
        <v>0.16233766233766245</v>
      </c>
      <c r="AI404" s="149">
        <f t="shared" si="690"/>
        <v>3.6809815950920255E-2</v>
      </c>
      <c r="AJ404" s="150">
        <f t="shared" si="690"/>
        <v>0.14144736842105265</v>
      </c>
      <c r="AK404" s="355">
        <f t="shared" si="690"/>
        <v>-2.6143790849673221E-2</v>
      </c>
      <c r="AL404" s="361">
        <f t="shared" si="690"/>
        <v>-0.42487046632124348</v>
      </c>
      <c r="AM404" s="149">
        <f t="shared" si="690"/>
        <v>-0.44134078212290506</v>
      </c>
      <c r="AN404" s="149">
        <f t="shared" si="690"/>
        <v>-0.40828402366863903</v>
      </c>
      <c r="AO404" s="150">
        <f>AO403/AJ403-1</f>
        <v>-0.33717579250720464</v>
      </c>
      <c r="AP404" s="355">
        <f t="shared" si="690"/>
        <v>0.34228187919463093</v>
      </c>
      <c r="AQ404" s="149">
        <f t="shared" ref="AQ404:AW404" si="691">AQ403/AL403-1</f>
        <v>-9.9099099099099086E-2</v>
      </c>
      <c r="AR404" s="149">
        <f t="shared" si="691"/>
        <v>-0.21999999999999997</v>
      </c>
      <c r="AS404" s="149">
        <f t="shared" si="691"/>
        <v>0</v>
      </c>
      <c r="AT404" s="150">
        <f t="shared" si="691"/>
        <v>3.9130434782608692E-2</v>
      </c>
      <c r="AU404" s="355">
        <f t="shared" si="691"/>
        <v>-0.5</v>
      </c>
      <c r="AV404" s="149">
        <f t="shared" si="691"/>
        <v>0</v>
      </c>
      <c r="AW404" s="149">
        <f t="shared" si="691"/>
        <v>0.28205128205128216</v>
      </c>
      <c r="AX404" s="149">
        <f>AX403/AS403-1</f>
        <v>0</v>
      </c>
      <c r="AY404" s="150">
        <f>AY403/AT403-1</f>
        <v>-0.16317991631799167</v>
      </c>
      <c r="AZ404" s="269"/>
      <c r="BA404" s="188"/>
      <c r="BB404" s="188"/>
      <c r="BC404" s="188"/>
      <c r="BD404" s="150"/>
      <c r="BE404" s="269"/>
      <c r="BF404" s="188"/>
      <c r="BG404" s="188"/>
      <c r="BH404" s="188"/>
      <c r="BI404" s="534"/>
      <c r="BJ404" s="269"/>
      <c r="BK404" s="188"/>
      <c r="BL404" s="188"/>
      <c r="BM404" s="188"/>
      <c r="BN404" s="150"/>
      <c r="BO404" s="269"/>
      <c r="BP404" s="188"/>
      <c r="BQ404" s="188"/>
      <c r="BR404" s="188"/>
      <c r="BS404" s="150"/>
      <c r="BT404" s="269"/>
      <c r="BU404" s="188"/>
      <c r="BV404" s="188"/>
      <c r="BW404" s="188"/>
      <c r="BX404" s="150"/>
      <c r="BY404" s="269"/>
      <c r="BZ404" s="188"/>
      <c r="CA404" s="188"/>
      <c r="CB404" s="188"/>
      <c r="CC404" s="150"/>
      <c r="CD404" s="269"/>
      <c r="CE404" s="188"/>
      <c r="CF404" s="188"/>
      <c r="CG404" s="188"/>
      <c r="CH404" s="150"/>
      <c r="CI404" s="269"/>
      <c r="CJ404" s="188"/>
      <c r="CK404" s="188"/>
      <c r="CL404" s="188"/>
      <c r="CM404" s="150"/>
      <c r="CN404" s="269"/>
      <c r="CO404" s="188"/>
      <c r="CP404" s="188"/>
      <c r="CQ404" s="188"/>
      <c r="CR404" s="150"/>
      <c r="CS404" s="269"/>
      <c r="CT404" s="188"/>
      <c r="CU404" s="188"/>
      <c r="CV404" s="188"/>
      <c r="CW404" s="150"/>
      <c r="CX404" s="269"/>
      <c r="CY404" s="188"/>
      <c r="CZ404" s="188"/>
      <c r="DA404" s="188"/>
      <c r="DB404" s="150"/>
      <c r="DC404" s="149"/>
      <c r="DD404" s="149"/>
      <c r="DE404" s="149"/>
      <c r="DF404" s="149"/>
      <c r="DG404" s="149"/>
      <c r="DH404" s="149"/>
      <c r="DI404" s="149"/>
      <c r="DJ404" s="149"/>
      <c r="DK404" s="400"/>
      <c r="DL404" s="400"/>
      <c r="DM404" s="108"/>
    </row>
    <row r="405" spans="1:117" outlineLevel="1">
      <c r="A405" s="28" t="s">
        <v>848</v>
      </c>
      <c r="B405" s="160">
        <f t="shared" ref="B405:Z405" si="692">B399-B401-B403</f>
        <v>63390</v>
      </c>
      <c r="C405" s="304">
        <f t="shared" si="692"/>
        <v>4939</v>
      </c>
      <c r="D405" s="304">
        <f t="shared" si="692"/>
        <v>10832</v>
      </c>
      <c r="E405" s="304">
        <f t="shared" si="692"/>
        <v>60030</v>
      </c>
      <c r="F405" s="305">
        <f t="shared" si="692"/>
        <v>139191</v>
      </c>
      <c r="G405" s="303">
        <f t="shared" si="692"/>
        <v>52751</v>
      </c>
      <c r="H405" s="304">
        <f t="shared" si="692"/>
        <v>2896</v>
      </c>
      <c r="I405" s="304">
        <f t="shared" si="692"/>
        <v>42056</v>
      </c>
      <c r="J405" s="304">
        <f t="shared" si="692"/>
        <v>67867</v>
      </c>
      <c r="K405" s="305">
        <f t="shared" si="692"/>
        <v>165570</v>
      </c>
      <c r="L405" s="303">
        <f t="shared" si="692"/>
        <v>93285</v>
      </c>
      <c r="M405" s="304">
        <f t="shared" si="692"/>
        <v>53464</v>
      </c>
      <c r="N405" s="304">
        <f t="shared" si="692"/>
        <v>21530</v>
      </c>
      <c r="O405" s="304">
        <f t="shared" si="692"/>
        <v>60926</v>
      </c>
      <c r="P405" s="305">
        <f t="shared" si="692"/>
        <v>229205</v>
      </c>
      <c r="Q405" s="303">
        <f t="shared" si="692"/>
        <v>120137</v>
      </c>
      <c r="R405" s="304">
        <f t="shared" si="692"/>
        <v>10166</v>
      </c>
      <c r="S405" s="304">
        <f t="shared" si="692"/>
        <v>-681</v>
      </c>
      <c r="T405" s="304">
        <f t="shared" si="692"/>
        <v>75713</v>
      </c>
      <c r="U405" s="305">
        <f t="shared" si="692"/>
        <v>205335</v>
      </c>
      <c r="V405" s="303">
        <f t="shared" si="692"/>
        <v>74322</v>
      </c>
      <c r="W405" s="304">
        <f t="shared" si="692"/>
        <v>-4382</v>
      </c>
      <c r="X405" s="304">
        <f t="shared" si="692"/>
        <v>-4824</v>
      </c>
      <c r="Y405" s="304">
        <f t="shared" si="692"/>
        <v>9086</v>
      </c>
      <c r="Z405" s="305">
        <f t="shared" si="692"/>
        <v>74202</v>
      </c>
      <c r="AA405" s="303">
        <f t="shared" ref="AA405:AH405" si="693">AA399-AA401-AA403</f>
        <v>54917</v>
      </c>
      <c r="AB405" s="304">
        <f t="shared" si="693"/>
        <v>19438</v>
      </c>
      <c r="AC405" s="304">
        <f t="shared" si="693"/>
        <v>21224</v>
      </c>
      <c r="AD405" s="304">
        <f t="shared" si="693"/>
        <v>39752</v>
      </c>
      <c r="AE405" s="305">
        <f t="shared" si="693"/>
        <v>135331</v>
      </c>
      <c r="AF405" s="360">
        <f t="shared" si="693"/>
        <v>103039</v>
      </c>
      <c r="AG405" s="304">
        <f t="shared" si="693"/>
        <v>932</v>
      </c>
      <c r="AH405" s="304">
        <f t="shared" si="693"/>
        <v>6893</v>
      </c>
      <c r="AI405" s="304">
        <f t="shared" ref="AI405:AN405" si="694">AI399-AI401-AI403</f>
        <v>19797</v>
      </c>
      <c r="AJ405" s="305">
        <f t="shared" si="694"/>
        <v>130661</v>
      </c>
      <c r="AK405" s="360">
        <f t="shared" si="694"/>
        <v>47796</v>
      </c>
      <c r="AL405" s="442">
        <f t="shared" si="694"/>
        <v>-5842</v>
      </c>
      <c r="AM405" s="304">
        <f t="shared" si="694"/>
        <v>-12725</v>
      </c>
      <c r="AN405" s="304">
        <f t="shared" si="694"/>
        <v>-5543</v>
      </c>
      <c r="AO405" s="305">
        <f t="shared" ref="AO405:AU405" si="695">AO399-AO401-AO403</f>
        <v>23686</v>
      </c>
      <c r="AP405" s="360">
        <f t="shared" si="695"/>
        <v>-20400</v>
      </c>
      <c r="AQ405" s="304">
        <f t="shared" si="695"/>
        <v>-15100</v>
      </c>
      <c r="AR405" s="304">
        <f t="shared" si="695"/>
        <v>-21777</v>
      </c>
      <c r="AS405" s="304">
        <f t="shared" si="695"/>
        <v>-10425</v>
      </c>
      <c r="AT405" s="305">
        <f t="shared" si="695"/>
        <v>-67702</v>
      </c>
      <c r="AU405" s="360">
        <f t="shared" si="695"/>
        <v>-4400</v>
      </c>
      <c r="AV405" s="304">
        <f>AV399-AV401-AV403</f>
        <v>-141500</v>
      </c>
      <c r="AW405" s="304">
        <f>AW399-AW401-AW403</f>
        <v>-24700</v>
      </c>
      <c r="AX405" s="304">
        <f>AX399-AX401-AX403</f>
        <v>-15900</v>
      </c>
      <c r="AY405" s="305">
        <f>AY399-AY401-AY403</f>
        <v>-186500</v>
      </c>
      <c r="AZ405" s="303"/>
      <c r="BA405" s="304"/>
      <c r="BB405" s="304"/>
      <c r="BC405" s="304"/>
      <c r="BD405" s="305"/>
      <c r="BE405" s="303"/>
      <c r="BF405" s="584"/>
      <c r="BG405" s="304"/>
      <c r="BH405" s="584"/>
      <c r="BI405" s="603"/>
      <c r="BJ405" s="303"/>
      <c r="BK405" s="584"/>
      <c r="BL405" s="304"/>
      <c r="BM405" s="304"/>
      <c r="BN405" s="305"/>
      <c r="BO405" s="303"/>
      <c r="BP405" s="304"/>
      <c r="BQ405" s="304"/>
      <c r="BR405" s="304"/>
      <c r="BS405" s="305"/>
      <c r="BT405" s="303"/>
      <c r="BU405" s="304"/>
      <c r="BV405" s="304"/>
      <c r="BW405" s="304"/>
      <c r="BX405" s="305"/>
      <c r="BY405" s="303"/>
      <c r="BZ405" s="304"/>
      <c r="CA405" s="304"/>
      <c r="CB405" s="304"/>
      <c r="CC405" s="305"/>
      <c r="CD405" s="303"/>
      <c r="CE405" s="304"/>
      <c r="CF405" s="304"/>
      <c r="CG405" s="304"/>
      <c r="CH405" s="305"/>
      <c r="CI405" s="303"/>
      <c r="CJ405" s="304"/>
      <c r="CK405" s="304"/>
      <c r="CL405" s="304"/>
      <c r="CM405" s="305"/>
      <c r="CN405" s="303"/>
      <c r="CO405" s="304"/>
      <c r="CP405" s="304"/>
      <c r="CQ405" s="304"/>
      <c r="CR405" s="305"/>
      <c r="CS405" s="303"/>
      <c r="CT405" s="304"/>
      <c r="CU405" s="304"/>
      <c r="CV405" s="304"/>
      <c r="CW405" s="305"/>
      <c r="CX405" s="303"/>
      <c r="CY405" s="304"/>
      <c r="CZ405" s="304"/>
      <c r="DA405" s="304"/>
      <c r="DB405" s="305"/>
      <c r="DC405" s="304"/>
      <c r="DD405" s="304"/>
      <c r="DE405" s="304"/>
      <c r="DF405" s="304"/>
      <c r="DG405" s="304"/>
      <c r="DH405" s="304"/>
      <c r="DI405" s="304"/>
      <c r="DJ405" s="304"/>
      <c r="DK405" s="413"/>
      <c r="DL405" s="413"/>
      <c r="DM405" s="64"/>
    </row>
    <row r="406" spans="1:117" outlineLevel="1">
      <c r="A406" s="113" t="s">
        <v>651</v>
      </c>
      <c r="B406" s="321"/>
      <c r="C406" s="322"/>
      <c r="D406" s="322"/>
      <c r="E406" s="322"/>
      <c r="F406" s="323"/>
      <c r="G406" s="302">
        <f t="shared" ref="G406:AH406" si="696">G405/B405-1</f>
        <v>-0.16783404322448336</v>
      </c>
      <c r="H406" s="149">
        <f t="shared" si="696"/>
        <v>-0.41364648714314634</v>
      </c>
      <c r="I406" s="149">
        <f t="shared" si="696"/>
        <v>2.8825701624815361</v>
      </c>
      <c r="J406" s="149">
        <f t="shared" si="696"/>
        <v>0.13055139097118107</v>
      </c>
      <c r="K406" s="150">
        <f t="shared" si="696"/>
        <v>0.18951656357092062</v>
      </c>
      <c r="L406" s="302">
        <f t="shared" si="696"/>
        <v>0.76840249473943611</v>
      </c>
      <c r="M406" s="149">
        <f t="shared" si="696"/>
        <v>17.461325966850829</v>
      </c>
      <c r="N406" s="149">
        <f t="shared" si="696"/>
        <v>-0.48806353433517213</v>
      </c>
      <c r="O406" s="149">
        <f t="shared" si="696"/>
        <v>-0.10227356447168723</v>
      </c>
      <c r="P406" s="150">
        <f t="shared" si="696"/>
        <v>0.38433895029292753</v>
      </c>
      <c r="Q406" s="302">
        <f t="shared" si="696"/>
        <v>0.28784906469421667</v>
      </c>
      <c r="R406" s="149">
        <f t="shared" si="696"/>
        <v>-0.80985335926978896</v>
      </c>
      <c r="S406" s="149">
        <f t="shared" si="696"/>
        <v>-1.0316302833255921</v>
      </c>
      <c r="T406" s="149">
        <f t="shared" si="696"/>
        <v>0.24270426418934443</v>
      </c>
      <c r="U406" s="150">
        <f t="shared" si="696"/>
        <v>-0.10414257978665387</v>
      </c>
      <c r="V406" s="302">
        <f t="shared" si="696"/>
        <v>-0.38135628490806328</v>
      </c>
      <c r="W406" s="149">
        <f t="shared" si="696"/>
        <v>-1.4310446586661421</v>
      </c>
      <c r="X406" s="149">
        <f t="shared" si="696"/>
        <v>6.0837004405286343</v>
      </c>
      <c r="Y406" s="149">
        <f t="shared" si="696"/>
        <v>-0.87999418858056078</v>
      </c>
      <c r="Z406" s="150">
        <f t="shared" si="696"/>
        <v>-0.63862955657827447</v>
      </c>
      <c r="AA406" s="302">
        <f t="shared" si="696"/>
        <v>-0.26109361965501465</v>
      </c>
      <c r="AB406" s="149">
        <f t="shared" si="696"/>
        <v>-5.4358740301232311</v>
      </c>
      <c r="AC406" s="149">
        <f t="shared" si="696"/>
        <v>-5.3996683250414597</v>
      </c>
      <c r="AD406" s="149">
        <f>AD405/Y405-1</f>
        <v>3.3750825445740702</v>
      </c>
      <c r="AE406" s="150">
        <f>AE405/Z405-1</f>
        <v>0.82381876499285744</v>
      </c>
      <c r="AF406" s="355">
        <f>AF405/AA405-1</f>
        <v>0.87626782235009193</v>
      </c>
      <c r="AG406" s="149">
        <f t="shared" si="696"/>
        <v>-0.95205268031690504</v>
      </c>
      <c r="AH406" s="149">
        <f t="shared" si="696"/>
        <v>-0.67522615906520922</v>
      </c>
      <c r="AI406" s="149">
        <f t="shared" ref="AI406:AP406" si="697">AI405/AD405-1</f>
        <v>-0.50198732139263436</v>
      </c>
      <c r="AJ406" s="150">
        <f t="shared" si="697"/>
        <v>-3.4507984127805202E-2</v>
      </c>
      <c r="AK406" s="355">
        <f t="shared" si="697"/>
        <v>-0.53613680256990071</v>
      </c>
      <c r="AL406" s="361">
        <f t="shared" si="697"/>
        <v>-7.2682403433476397</v>
      </c>
      <c r="AM406" s="149">
        <f t="shared" si="697"/>
        <v>-2.846075729000435</v>
      </c>
      <c r="AN406" s="149">
        <f t="shared" si="697"/>
        <v>-1.2799919179673687</v>
      </c>
      <c r="AO406" s="150">
        <f>AO405/AJ405-1</f>
        <v>-0.81872173027911921</v>
      </c>
      <c r="AP406" s="355">
        <f t="shared" si="697"/>
        <v>-1.4268139593271403</v>
      </c>
      <c r="AQ406" s="149">
        <f t="shared" ref="AQ406:AW406" si="698">AQ405/AL405-1</f>
        <v>1.5847312564190346</v>
      </c>
      <c r="AR406" s="149">
        <f t="shared" si="698"/>
        <v>0.71135559921414537</v>
      </c>
      <c r="AS406" s="149">
        <f t="shared" si="698"/>
        <v>0.88075049612123402</v>
      </c>
      <c r="AT406" s="150">
        <f t="shared" si="698"/>
        <v>-3.8583129274677024</v>
      </c>
      <c r="AU406" s="355">
        <f t="shared" si="698"/>
        <v>-0.78431372549019607</v>
      </c>
      <c r="AV406" s="149">
        <f t="shared" si="698"/>
        <v>8.370860927152318</v>
      </c>
      <c r="AW406" s="149">
        <f t="shared" si="698"/>
        <v>0.13422418147586912</v>
      </c>
      <c r="AX406" s="149">
        <f>AX405/AS405-1</f>
        <v>0.52517985611510798</v>
      </c>
      <c r="AY406" s="150">
        <f>AY405/AT405-1</f>
        <v>1.7547192106584739</v>
      </c>
      <c r="AZ406" s="302"/>
      <c r="BA406" s="149"/>
      <c r="BB406" s="149"/>
      <c r="BC406" s="149"/>
      <c r="BD406" s="150"/>
      <c r="BE406" s="302"/>
      <c r="BF406" s="540"/>
      <c r="BG406" s="149"/>
      <c r="BH406" s="540"/>
      <c r="BI406" s="534"/>
      <c r="BJ406" s="302"/>
      <c r="BK406" s="540"/>
      <c r="BL406" s="149"/>
      <c r="BM406" s="149"/>
      <c r="BN406" s="150"/>
      <c r="BO406" s="302"/>
      <c r="BP406" s="149"/>
      <c r="BQ406" s="149"/>
      <c r="BR406" s="149"/>
      <c r="BS406" s="150"/>
      <c r="BT406" s="302"/>
      <c r="BU406" s="149"/>
      <c r="BV406" s="149"/>
      <c r="BW406" s="149"/>
      <c r="BX406" s="150"/>
      <c r="BY406" s="302"/>
      <c r="BZ406" s="149"/>
      <c r="CA406" s="149"/>
      <c r="CB406" s="149"/>
      <c r="CC406" s="150"/>
      <c r="CD406" s="302"/>
      <c r="CE406" s="149"/>
      <c r="CF406" s="149"/>
      <c r="CG406" s="149"/>
      <c r="CH406" s="150"/>
      <c r="CI406" s="302"/>
      <c r="CJ406" s="149"/>
      <c r="CK406" s="149"/>
      <c r="CL406" s="149"/>
      <c r="CM406" s="150"/>
      <c r="CN406" s="302"/>
      <c r="CO406" s="149"/>
      <c r="CP406" s="149"/>
      <c r="CQ406" s="149"/>
      <c r="CR406" s="150"/>
      <c r="CS406" s="302"/>
      <c r="CT406" s="149"/>
      <c r="CU406" s="149"/>
      <c r="CV406" s="149"/>
      <c r="CW406" s="150"/>
      <c r="CX406" s="302"/>
      <c r="CY406" s="149"/>
      <c r="CZ406" s="149"/>
      <c r="DA406" s="149"/>
      <c r="DB406" s="150"/>
      <c r="DC406" s="149"/>
      <c r="DD406" s="149"/>
      <c r="DE406" s="149"/>
      <c r="DF406" s="149"/>
      <c r="DG406" s="149"/>
      <c r="DH406" s="149"/>
      <c r="DI406" s="149"/>
      <c r="DJ406" s="149"/>
      <c r="DK406" s="400"/>
      <c r="DL406" s="400"/>
      <c r="DM406" s="108"/>
    </row>
    <row r="407" spans="1:117" outlineLevel="1">
      <c r="A407" s="34" t="s">
        <v>826</v>
      </c>
      <c r="B407" s="37">
        <v>0</v>
      </c>
      <c r="C407" s="38">
        <v>0</v>
      </c>
      <c r="D407" s="38">
        <v>0</v>
      </c>
      <c r="E407" s="48">
        <f>F407-SUM(B407:D407)</f>
        <v>0</v>
      </c>
      <c r="F407" s="133">
        <v>0</v>
      </c>
      <c r="G407" s="94">
        <f>0-H407</f>
        <v>0</v>
      </c>
      <c r="H407" s="38">
        <v>0</v>
      </c>
      <c r="I407" s="38">
        <v>0</v>
      </c>
      <c r="J407" s="48">
        <f>K407-SUM(G407:I407)</f>
        <v>0</v>
      </c>
      <c r="K407" s="133">
        <v>0</v>
      </c>
      <c r="L407" s="37">
        <v>0</v>
      </c>
      <c r="M407" s="38">
        <v>0</v>
      </c>
      <c r="N407" s="38">
        <v>0</v>
      </c>
      <c r="O407" s="48">
        <f>P407-SUM(L407:N407)</f>
        <v>0</v>
      </c>
      <c r="P407" s="133">
        <v>0</v>
      </c>
      <c r="Q407" s="37">
        <v>0</v>
      </c>
      <c r="R407" s="38">
        <v>0</v>
      </c>
      <c r="S407" s="38">
        <v>0</v>
      </c>
      <c r="T407" s="48">
        <f>U407-SUM(Q407:S407)</f>
        <v>0</v>
      </c>
      <c r="U407" s="133">
        <v>0</v>
      </c>
      <c r="V407" s="37">
        <v>0</v>
      </c>
      <c r="W407" s="38">
        <v>0</v>
      </c>
      <c r="X407" s="38">
        <v>-1288</v>
      </c>
      <c r="Y407" s="48">
        <f>Z407-SUM(V407:X407)</f>
        <v>-212</v>
      </c>
      <c r="Z407" s="133">
        <v>-1500</v>
      </c>
      <c r="AA407" s="37">
        <v>0</v>
      </c>
      <c r="AB407" s="38">
        <v>0</v>
      </c>
      <c r="AC407" s="38">
        <v>0</v>
      </c>
      <c r="AD407" s="48">
        <f>AE407-SUM(AA407:AC407)</f>
        <v>0</v>
      </c>
      <c r="AE407" s="133">
        <v>0</v>
      </c>
      <c r="AF407" s="271">
        <v>0</v>
      </c>
      <c r="AG407" s="270">
        <v>0</v>
      </c>
      <c r="AH407" s="270">
        <v>0</v>
      </c>
      <c r="AI407" s="48">
        <f>AJ407-SUM(AF407:AH407)</f>
        <v>0</v>
      </c>
      <c r="AJ407" s="133">
        <v>0</v>
      </c>
      <c r="AK407" s="271">
        <v>0</v>
      </c>
      <c r="AL407" s="270">
        <v>0</v>
      </c>
      <c r="AM407" s="270">
        <v>0</v>
      </c>
      <c r="AN407" s="270">
        <v>0</v>
      </c>
      <c r="AO407" s="104">
        <f>SUM(AK407:AN407)</f>
        <v>0</v>
      </c>
      <c r="AP407" s="271">
        <v>0</v>
      </c>
      <c r="AQ407" s="270">
        <v>0</v>
      </c>
      <c r="AR407" s="270">
        <v>0</v>
      </c>
      <c r="AS407" s="270">
        <v>0</v>
      </c>
      <c r="AT407" s="104">
        <f>SUM(AP407:AS407)</f>
        <v>0</v>
      </c>
      <c r="AU407" s="271">
        <v>0</v>
      </c>
      <c r="AV407" s="270">
        <v>0</v>
      </c>
      <c r="AW407" s="270">
        <v>0</v>
      </c>
      <c r="AX407" s="270">
        <v>0</v>
      </c>
      <c r="AY407" s="104">
        <f>SUM(AU407:AX407)</f>
        <v>0</v>
      </c>
      <c r="AZ407" s="271"/>
      <c r="BA407" s="270"/>
      <c r="BB407" s="270"/>
      <c r="BC407" s="270"/>
      <c r="BD407" s="104"/>
      <c r="BE407" s="271"/>
      <c r="BF407" s="270"/>
      <c r="BG407" s="270"/>
      <c r="BH407" s="270"/>
      <c r="BI407" s="104"/>
      <c r="BJ407" s="271"/>
      <c r="BK407" s="270"/>
      <c r="BL407" s="270"/>
      <c r="BM407" s="270"/>
      <c r="BN407" s="104"/>
      <c r="BO407" s="271"/>
      <c r="BP407" s="270"/>
      <c r="BQ407" s="270"/>
      <c r="BR407" s="270"/>
      <c r="BS407" s="104"/>
      <c r="BT407" s="271"/>
      <c r="BU407" s="270"/>
      <c r="BV407" s="270"/>
      <c r="BW407" s="270"/>
      <c r="BX407" s="104"/>
      <c r="BY407" s="271"/>
      <c r="BZ407" s="270"/>
      <c r="CA407" s="270"/>
      <c r="CB407" s="270"/>
      <c r="CC407" s="104"/>
      <c r="CD407" s="271"/>
      <c r="CE407" s="270"/>
      <c r="CF407" s="270"/>
      <c r="CG407" s="270"/>
      <c r="CH407" s="104"/>
      <c r="CI407" s="271"/>
      <c r="CJ407" s="270"/>
      <c r="CK407" s="270"/>
      <c r="CL407" s="270"/>
      <c r="CM407" s="104"/>
      <c r="CN407" s="271"/>
      <c r="CO407" s="270"/>
      <c r="CP407" s="270"/>
      <c r="CQ407" s="270"/>
      <c r="CR407" s="104"/>
      <c r="CS407" s="271"/>
      <c r="CT407" s="270"/>
      <c r="CU407" s="270"/>
      <c r="CV407" s="270"/>
      <c r="CW407" s="104"/>
      <c r="CX407" s="271"/>
      <c r="CY407" s="270"/>
      <c r="CZ407" s="270"/>
      <c r="DA407" s="270"/>
      <c r="DB407" s="104"/>
      <c r="DC407" s="48"/>
      <c r="DD407" s="48"/>
      <c r="DE407" s="48"/>
      <c r="DF407" s="48"/>
      <c r="DG407" s="48"/>
      <c r="DH407" s="48"/>
      <c r="DI407" s="48"/>
      <c r="DJ407" s="48"/>
      <c r="DK407" s="99"/>
      <c r="DL407" s="99"/>
      <c r="DM407" s="64"/>
    </row>
    <row r="408" spans="1:117" outlineLevel="1">
      <c r="A408" s="28" t="s">
        <v>546</v>
      </c>
      <c r="B408" s="160">
        <f t="shared" ref="B408:Z408" si="699">B405-B407</f>
        <v>63390</v>
      </c>
      <c r="C408" s="168">
        <f t="shared" si="699"/>
        <v>4939</v>
      </c>
      <c r="D408" s="168">
        <f t="shared" si="699"/>
        <v>10832</v>
      </c>
      <c r="E408" s="168">
        <f t="shared" si="699"/>
        <v>60030</v>
      </c>
      <c r="F408" s="235">
        <f t="shared" si="699"/>
        <v>139191</v>
      </c>
      <c r="G408" s="160">
        <f t="shared" si="699"/>
        <v>52751</v>
      </c>
      <c r="H408" s="168">
        <f t="shared" si="699"/>
        <v>2896</v>
      </c>
      <c r="I408" s="168">
        <f t="shared" si="699"/>
        <v>42056</v>
      </c>
      <c r="J408" s="168">
        <f t="shared" si="699"/>
        <v>67867</v>
      </c>
      <c r="K408" s="235">
        <f t="shared" si="699"/>
        <v>165570</v>
      </c>
      <c r="L408" s="160">
        <f t="shared" si="699"/>
        <v>93285</v>
      </c>
      <c r="M408" s="168">
        <f t="shared" si="699"/>
        <v>53464</v>
      </c>
      <c r="N408" s="168">
        <f t="shared" si="699"/>
        <v>21530</v>
      </c>
      <c r="O408" s="168">
        <f t="shared" si="699"/>
        <v>60926</v>
      </c>
      <c r="P408" s="235">
        <f t="shared" si="699"/>
        <v>229205</v>
      </c>
      <c r="Q408" s="160">
        <f t="shared" si="699"/>
        <v>120137</v>
      </c>
      <c r="R408" s="168">
        <f t="shared" si="699"/>
        <v>10166</v>
      </c>
      <c r="S408" s="168">
        <f t="shared" si="699"/>
        <v>-681</v>
      </c>
      <c r="T408" s="168">
        <f t="shared" si="699"/>
        <v>75713</v>
      </c>
      <c r="U408" s="235">
        <f t="shared" si="699"/>
        <v>205335</v>
      </c>
      <c r="V408" s="160">
        <f t="shared" si="699"/>
        <v>74322</v>
      </c>
      <c r="W408" s="168">
        <f t="shared" si="699"/>
        <v>-4382</v>
      </c>
      <c r="X408" s="168">
        <f t="shared" si="699"/>
        <v>-3536</v>
      </c>
      <c r="Y408" s="168">
        <f t="shared" si="699"/>
        <v>9298</v>
      </c>
      <c r="Z408" s="235">
        <f t="shared" si="699"/>
        <v>75702</v>
      </c>
      <c r="AA408" s="160">
        <f t="shared" ref="AA408:AO408" si="700">AA405-AA407</f>
        <v>54917</v>
      </c>
      <c r="AB408" s="168">
        <f t="shared" si="700"/>
        <v>19438</v>
      </c>
      <c r="AC408" s="168">
        <f t="shared" si="700"/>
        <v>21224</v>
      </c>
      <c r="AD408" s="168">
        <f t="shared" si="700"/>
        <v>39752</v>
      </c>
      <c r="AE408" s="235">
        <f t="shared" si="700"/>
        <v>135331</v>
      </c>
      <c r="AF408" s="78">
        <f t="shared" si="700"/>
        <v>103039</v>
      </c>
      <c r="AG408" s="168">
        <f t="shared" si="700"/>
        <v>932</v>
      </c>
      <c r="AH408" s="168">
        <f t="shared" si="700"/>
        <v>6893</v>
      </c>
      <c r="AI408" s="168">
        <f t="shared" si="700"/>
        <v>19797</v>
      </c>
      <c r="AJ408" s="235">
        <f t="shared" si="700"/>
        <v>130661</v>
      </c>
      <c r="AK408" s="78">
        <f t="shared" si="700"/>
        <v>47796</v>
      </c>
      <c r="AL408" s="76">
        <f t="shared" si="700"/>
        <v>-5842</v>
      </c>
      <c r="AM408" s="168">
        <f t="shared" si="700"/>
        <v>-12725</v>
      </c>
      <c r="AN408" s="168">
        <f t="shared" si="700"/>
        <v>-5543</v>
      </c>
      <c r="AO408" s="235">
        <f t="shared" si="700"/>
        <v>23686</v>
      </c>
      <c r="AP408" s="160">
        <f t="shared" ref="AP408:AW408" si="701">AP405-AP407</f>
        <v>-20400</v>
      </c>
      <c r="AQ408" s="168">
        <f t="shared" si="701"/>
        <v>-15100</v>
      </c>
      <c r="AR408" s="168">
        <f t="shared" si="701"/>
        <v>-21777</v>
      </c>
      <c r="AS408" s="168">
        <f t="shared" si="701"/>
        <v>-10425</v>
      </c>
      <c r="AT408" s="235">
        <f t="shared" si="701"/>
        <v>-67702</v>
      </c>
      <c r="AU408" s="160">
        <f t="shared" si="701"/>
        <v>-4400</v>
      </c>
      <c r="AV408" s="168">
        <f t="shared" si="701"/>
        <v>-141500</v>
      </c>
      <c r="AW408" s="168">
        <f t="shared" si="701"/>
        <v>-24700</v>
      </c>
      <c r="AX408" s="168">
        <f>AX405-AX407</f>
        <v>-15900</v>
      </c>
      <c r="AY408" s="235">
        <f>AY405-AY407</f>
        <v>-186500</v>
      </c>
      <c r="AZ408" s="160"/>
      <c r="BA408" s="168"/>
      <c r="BB408" s="168"/>
      <c r="BC408" s="168"/>
      <c r="BD408" s="235"/>
      <c r="BE408" s="160"/>
      <c r="BF408" s="388"/>
      <c r="BG408" s="168"/>
      <c r="BH408" s="388"/>
      <c r="BI408" s="521"/>
      <c r="BJ408" s="160"/>
      <c r="BK408" s="388"/>
      <c r="BL408" s="168"/>
      <c r="BM408" s="168"/>
      <c r="BN408" s="235"/>
      <c r="BO408" s="160"/>
      <c r="BP408" s="168"/>
      <c r="BQ408" s="168"/>
      <c r="BR408" s="168"/>
      <c r="BS408" s="235"/>
      <c r="BT408" s="160"/>
      <c r="BU408" s="168"/>
      <c r="BV408" s="168"/>
      <c r="BW408" s="168"/>
      <c r="BX408" s="235"/>
      <c r="BY408" s="160"/>
      <c r="BZ408" s="168"/>
      <c r="CA408" s="168"/>
      <c r="CB408" s="168"/>
      <c r="CC408" s="235"/>
      <c r="CD408" s="160"/>
      <c r="CE408" s="168"/>
      <c r="CF408" s="168"/>
      <c r="CG408" s="168"/>
      <c r="CH408" s="235"/>
      <c r="CI408" s="160"/>
      <c r="CJ408" s="168"/>
      <c r="CK408" s="168"/>
      <c r="CL408" s="168"/>
      <c r="CM408" s="235"/>
      <c r="CN408" s="160"/>
      <c r="CO408" s="168"/>
      <c r="CP408" s="168"/>
      <c r="CQ408" s="168"/>
      <c r="CR408" s="235"/>
      <c r="CS408" s="160"/>
      <c r="CT408" s="168"/>
      <c r="CU408" s="168"/>
      <c r="CV408" s="168"/>
      <c r="CW408" s="235"/>
      <c r="CX408" s="160"/>
      <c r="CY408" s="168"/>
      <c r="CZ408" s="168"/>
      <c r="DA408" s="168"/>
      <c r="DB408" s="235"/>
      <c r="DC408" s="168"/>
      <c r="DD408" s="168"/>
      <c r="DE408" s="168"/>
      <c r="DF408" s="168"/>
      <c r="DG408" s="168"/>
      <c r="DH408" s="168"/>
      <c r="DI408" s="168"/>
      <c r="DJ408" s="168"/>
      <c r="DK408" s="406"/>
      <c r="DL408" s="406"/>
      <c r="DM408" s="63"/>
    </row>
    <row r="409" spans="1:117" outlineLevel="1">
      <c r="A409" s="36" t="s">
        <v>814</v>
      </c>
      <c r="B409" s="271">
        <v>110</v>
      </c>
      <c r="C409" s="38">
        <v>704</v>
      </c>
      <c r="D409" s="38">
        <v>558</v>
      </c>
      <c r="E409" s="48">
        <f>F409-SUM(B409:D409)</f>
        <v>434</v>
      </c>
      <c r="F409" s="133">
        <v>1806</v>
      </c>
      <c r="G409" s="329">
        <f>159-H409</f>
        <v>27</v>
      </c>
      <c r="H409" s="38">
        <v>132</v>
      </c>
      <c r="I409" s="38">
        <v>0</v>
      </c>
      <c r="J409" s="48">
        <f>K409-SUM(G409:I409)</f>
        <v>0</v>
      </c>
      <c r="K409" s="133">
        <v>159</v>
      </c>
      <c r="L409" s="271">
        <v>0</v>
      </c>
      <c r="M409" s="38">
        <v>0</v>
      </c>
      <c r="N409" s="38">
        <v>0</v>
      </c>
      <c r="O409" s="48">
        <f>P409-SUM(L409:N409)</f>
        <v>0</v>
      </c>
      <c r="P409" s="133">
        <v>0</v>
      </c>
      <c r="Q409" s="271">
        <v>0</v>
      </c>
      <c r="R409" s="38">
        <v>0</v>
      </c>
      <c r="S409" s="38">
        <v>0</v>
      </c>
      <c r="T409" s="48">
        <f>U409-SUM(Q409:S409)</f>
        <v>158</v>
      </c>
      <c r="U409" s="133">
        <v>158</v>
      </c>
      <c r="V409" s="271">
        <v>0</v>
      </c>
      <c r="W409" s="38">
        <v>15</v>
      </c>
      <c r="X409" s="38">
        <v>0</v>
      </c>
      <c r="Y409" s="48">
        <f>Z409-SUM(V409:X409)</f>
        <v>47</v>
      </c>
      <c r="Z409" s="133">
        <v>62</v>
      </c>
      <c r="AA409" s="271"/>
      <c r="AB409" s="38"/>
      <c r="AC409" s="20"/>
      <c r="AD409" s="48"/>
      <c r="AE409" s="133">
        <v>105</v>
      </c>
      <c r="AF409" s="177"/>
      <c r="AG409" s="20"/>
      <c r="AH409" s="20"/>
      <c r="AI409" s="20"/>
      <c r="AJ409" s="104">
        <f>SUM(AF409:AI409)</f>
        <v>0</v>
      </c>
      <c r="AK409" s="177"/>
      <c r="AL409" s="30">
        <v>3</v>
      </c>
      <c r="AM409" s="30">
        <v>21</v>
      </c>
      <c r="AN409" s="20"/>
      <c r="AO409" s="104">
        <f>SUM(AK409:AN409)</f>
        <v>24</v>
      </c>
      <c r="AP409" s="177"/>
      <c r="AQ409" s="20"/>
      <c r="AR409" s="20"/>
      <c r="AS409" s="20"/>
      <c r="AT409" s="104">
        <f>SUM(AP409:AS409)</f>
        <v>0</v>
      </c>
      <c r="AU409" s="177"/>
      <c r="AV409" s="20"/>
      <c r="AW409" s="20"/>
      <c r="AX409" s="20"/>
      <c r="AY409" s="104">
        <f>SUM(AU409:AX409)</f>
        <v>0</v>
      </c>
      <c r="AZ409" s="177"/>
      <c r="BA409" s="20"/>
      <c r="BB409" s="20"/>
      <c r="BC409" s="20"/>
      <c r="BD409" s="104"/>
      <c r="BE409" s="177"/>
      <c r="BF409" s="20"/>
      <c r="BG409" s="20"/>
      <c r="BH409" s="20"/>
      <c r="BI409" s="104"/>
      <c r="BJ409" s="177"/>
      <c r="BK409" s="20"/>
      <c r="BL409" s="20"/>
      <c r="BM409" s="20"/>
      <c r="BN409" s="104"/>
      <c r="BO409" s="177"/>
      <c r="BP409" s="20"/>
      <c r="BQ409" s="20"/>
      <c r="BR409" s="20"/>
      <c r="BS409" s="104"/>
      <c r="BT409" s="177"/>
      <c r="BU409" s="20"/>
      <c r="BV409" s="20"/>
      <c r="BW409" s="20"/>
      <c r="BX409" s="104"/>
      <c r="BY409" s="177"/>
      <c r="BZ409" s="20"/>
      <c r="CA409" s="20"/>
      <c r="CB409" s="20"/>
      <c r="CC409" s="104"/>
      <c r="CD409" s="177"/>
      <c r="CE409" s="20"/>
      <c r="CF409" s="20"/>
      <c r="CG409" s="20"/>
      <c r="CH409" s="104"/>
      <c r="CI409" s="177"/>
      <c r="CJ409" s="20"/>
      <c r="CK409" s="20"/>
      <c r="CL409" s="20"/>
      <c r="CM409" s="104"/>
      <c r="CN409" s="177"/>
      <c r="CO409" s="20"/>
      <c r="CP409" s="20"/>
      <c r="CQ409" s="20"/>
      <c r="CR409" s="104"/>
      <c r="CS409" s="177"/>
      <c r="CT409" s="20"/>
      <c r="CU409" s="20"/>
      <c r="CV409" s="20"/>
      <c r="CW409" s="104"/>
      <c r="CX409" s="177"/>
      <c r="CY409" s="20"/>
      <c r="CZ409" s="20"/>
      <c r="DA409" s="20"/>
      <c r="DB409" s="104"/>
      <c r="DC409" s="48"/>
      <c r="DD409" s="48"/>
      <c r="DE409" s="48"/>
      <c r="DF409" s="48"/>
      <c r="DG409" s="48"/>
      <c r="DH409" s="48"/>
      <c r="DI409" s="48"/>
      <c r="DJ409" s="48"/>
      <c r="DK409" s="99"/>
      <c r="DL409" s="99"/>
      <c r="DM409" s="63"/>
    </row>
    <row r="410" spans="1:117" outlineLevel="1">
      <c r="A410" s="28"/>
      <c r="B410" s="212"/>
      <c r="C410" s="176"/>
      <c r="D410" s="176"/>
      <c r="E410" s="176"/>
      <c r="F410" s="213"/>
      <c r="G410" s="212"/>
      <c r="H410" s="176"/>
      <c r="I410" s="176"/>
      <c r="J410" s="176"/>
      <c r="K410" s="213"/>
      <c r="L410" s="212"/>
      <c r="M410" s="176"/>
      <c r="N410" s="176"/>
      <c r="O410" s="176"/>
      <c r="P410" s="213"/>
      <c r="Q410" s="212"/>
      <c r="R410" s="176"/>
      <c r="S410" s="176"/>
      <c r="T410" s="176"/>
      <c r="U410" s="213"/>
      <c r="V410" s="212"/>
      <c r="W410" s="176"/>
      <c r="X410" s="176"/>
      <c r="Y410" s="176"/>
      <c r="Z410" s="213"/>
      <c r="AA410" s="212"/>
      <c r="AB410" s="176"/>
      <c r="AC410" s="20"/>
      <c r="AD410" s="20"/>
      <c r="AE410" s="294"/>
      <c r="AF410" s="177"/>
      <c r="AG410" s="20"/>
      <c r="AH410" s="20"/>
      <c r="AI410" s="20"/>
      <c r="AJ410" s="294"/>
      <c r="AK410" s="177"/>
      <c r="AL410" s="20"/>
      <c r="AM410" s="20"/>
      <c r="AN410" s="20"/>
      <c r="AO410" s="213"/>
      <c r="AP410" s="177"/>
      <c r="AQ410" s="20"/>
      <c r="AR410" s="20"/>
      <c r="AS410" s="20"/>
      <c r="AT410" s="213"/>
      <c r="AU410" s="177"/>
      <c r="AV410" s="20"/>
      <c r="AW410" s="20"/>
      <c r="AX410" s="20"/>
      <c r="AY410" s="213"/>
      <c r="AZ410" s="177"/>
      <c r="BA410" s="20"/>
      <c r="BB410" s="20"/>
      <c r="BC410" s="20"/>
      <c r="BD410" s="294"/>
      <c r="BE410" s="177"/>
      <c r="BF410" s="20"/>
      <c r="BG410" s="20"/>
      <c r="BH410" s="20"/>
      <c r="BI410" s="294"/>
      <c r="BJ410" s="177"/>
      <c r="BK410" s="20"/>
      <c r="BL410" s="20"/>
      <c r="BM410" s="20"/>
      <c r="BN410" s="294"/>
      <c r="BO410" s="177"/>
      <c r="BP410" s="20"/>
      <c r="BQ410" s="20"/>
      <c r="BR410" s="20"/>
      <c r="BS410" s="294"/>
      <c r="BT410" s="177"/>
      <c r="BU410" s="20"/>
      <c r="BV410" s="20"/>
      <c r="BW410" s="20"/>
      <c r="BX410" s="294"/>
      <c r="BY410" s="177"/>
      <c r="BZ410" s="20"/>
      <c r="CA410" s="20"/>
      <c r="CB410" s="20"/>
      <c r="CC410" s="294"/>
      <c r="CD410" s="177"/>
      <c r="CE410" s="20"/>
      <c r="CF410" s="20"/>
      <c r="CG410" s="20"/>
      <c r="CH410" s="294"/>
      <c r="CI410" s="177"/>
      <c r="CJ410" s="20"/>
      <c r="CK410" s="20"/>
      <c r="CL410" s="20"/>
      <c r="CM410" s="294"/>
      <c r="CN410" s="177"/>
      <c r="CO410" s="20"/>
      <c r="CP410" s="20"/>
      <c r="CQ410" s="20"/>
      <c r="CR410" s="294"/>
      <c r="CS410" s="177"/>
      <c r="CT410" s="20"/>
      <c r="CU410" s="20"/>
      <c r="CV410" s="20"/>
      <c r="CW410" s="294"/>
      <c r="CX410" s="177"/>
      <c r="CY410" s="20"/>
      <c r="CZ410" s="20"/>
      <c r="DA410" s="20"/>
      <c r="DB410" s="294"/>
      <c r="DC410" s="20"/>
      <c r="DD410" s="20"/>
      <c r="DE410" s="20"/>
      <c r="DF410" s="20"/>
      <c r="DG410" s="20"/>
      <c r="DH410" s="20"/>
      <c r="DI410" s="20"/>
      <c r="DJ410" s="20"/>
      <c r="DK410" s="68"/>
      <c r="DL410" s="68"/>
      <c r="DM410" s="63"/>
    </row>
    <row r="411" spans="1:117" outlineLevel="1">
      <c r="A411" s="36" t="s">
        <v>829</v>
      </c>
      <c r="B411" s="37">
        <v>286</v>
      </c>
      <c r="C411" s="38">
        <v>249</v>
      </c>
      <c r="D411" s="38">
        <v>240</v>
      </c>
      <c r="E411" s="48">
        <f>F411-SUM(B411:D411)</f>
        <v>298</v>
      </c>
      <c r="F411" s="133">
        <v>1073</v>
      </c>
      <c r="G411" s="37">
        <v>325</v>
      </c>
      <c r="H411" s="38">
        <v>275</v>
      </c>
      <c r="I411" s="38">
        <v>279</v>
      </c>
      <c r="J411" s="48">
        <f>K411-SUM(G411:I411)</f>
        <v>312</v>
      </c>
      <c r="K411" s="133">
        <v>1191</v>
      </c>
      <c r="L411" s="37">
        <v>310</v>
      </c>
      <c r="M411" s="38">
        <v>254</v>
      </c>
      <c r="N411" s="38">
        <v>275</v>
      </c>
      <c r="O411" s="48">
        <f>P411-SUM(L411:N411)</f>
        <v>293</v>
      </c>
      <c r="P411" s="133">
        <v>1132</v>
      </c>
      <c r="Q411" s="37">
        <v>337</v>
      </c>
      <c r="R411" s="38">
        <v>258</v>
      </c>
      <c r="S411" s="38">
        <v>291</v>
      </c>
      <c r="T411" s="48">
        <f>U411-SUM(Q411:S411)</f>
        <v>305</v>
      </c>
      <c r="U411" s="133">
        <v>1191</v>
      </c>
      <c r="V411" s="37">
        <v>340</v>
      </c>
      <c r="W411" s="38">
        <v>265</v>
      </c>
      <c r="X411" s="38">
        <v>261</v>
      </c>
      <c r="Y411" s="48">
        <f>Z411-SUM(V411:X411)</f>
        <v>294</v>
      </c>
      <c r="Z411" s="133">
        <v>1160</v>
      </c>
      <c r="AA411" s="37">
        <v>329</v>
      </c>
      <c r="AB411" s="38">
        <v>258</v>
      </c>
      <c r="AC411" s="38">
        <v>255</v>
      </c>
      <c r="AD411" s="48">
        <f>AE411-SUM(AA411:AC411)</f>
        <v>265</v>
      </c>
      <c r="AE411" s="133">
        <v>1107</v>
      </c>
      <c r="AF411" s="37">
        <v>244</v>
      </c>
      <c r="AG411" s="38">
        <v>201</v>
      </c>
      <c r="AH411" s="38">
        <v>224</v>
      </c>
      <c r="AI411" s="38">
        <v>226</v>
      </c>
      <c r="AJ411" s="104">
        <f>SUM(AF411:AI411)</f>
        <v>895</v>
      </c>
      <c r="AK411" s="37">
        <v>259</v>
      </c>
      <c r="AL411" s="38">
        <v>192</v>
      </c>
      <c r="AM411" s="38">
        <v>187</v>
      </c>
      <c r="AN411" s="38">
        <v>206</v>
      </c>
      <c r="AO411" s="104">
        <f>SUM(AK411:AN411)</f>
        <v>844</v>
      </c>
      <c r="AP411" s="37">
        <v>218</v>
      </c>
      <c r="AQ411" s="38">
        <v>150</v>
      </c>
      <c r="AR411" s="38">
        <v>162</v>
      </c>
      <c r="AS411" s="38">
        <v>179</v>
      </c>
      <c r="AT411" s="104">
        <f>SUM(AP411:AS411)</f>
        <v>709</v>
      </c>
      <c r="AU411" s="37">
        <v>202</v>
      </c>
      <c r="AV411" s="20"/>
      <c r="AW411" s="20"/>
      <c r="AX411" s="48"/>
      <c r="AY411" s="213"/>
      <c r="AZ411" s="94"/>
      <c r="BA411" s="48"/>
      <c r="BB411" s="48"/>
      <c r="BC411" s="48"/>
      <c r="BD411" s="104"/>
      <c r="BE411" s="94"/>
      <c r="BF411" s="48"/>
      <c r="BG411" s="48"/>
      <c r="BH411" s="48"/>
      <c r="BI411" s="104"/>
      <c r="BJ411" s="94"/>
      <c r="BK411" s="48"/>
      <c r="BL411" s="48"/>
      <c r="BM411" s="48"/>
      <c r="BN411" s="104"/>
      <c r="BO411" s="94"/>
      <c r="BP411" s="48"/>
      <c r="BQ411" s="48"/>
      <c r="BR411" s="48"/>
      <c r="BS411" s="104"/>
      <c r="BT411" s="94"/>
      <c r="BU411" s="48"/>
      <c r="BV411" s="48"/>
      <c r="BW411" s="48"/>
      <c r="BX411" s="104"/>
      <c r="BY411" s="94"/>
      <c r="BZ411" s="48"/>
      <c r="CA411" s="48"/>
      <c r="CB411" s="48"/>
      <c r="CC411" s="104"/>
      <c r="CD411" s="94"/>
      <c r="CE411" s="48"/>
      <c r="CF411" s="48"/>
      <c r="CG411" s="48"/>
      <c r="CH411" s="104"/>
      <c r="CI411" s="94"/>
      <c r="CJ411" s="48"/>
      <c r="CK411" s="48"/>
      <c r="CL411" s="48"/>
      <c r="CM411" s="104"/>
      <c r="CN411" s="94"/>
      <c r="CO411" s="48"/>
      <c r="CP411" s="48"/>
      <c r="CQ411" s="48"/>
      <c r="CR411" s="104"/>
      <c r="CS411" s="94"/>
      <c r="CT411" s="48"/>
      <c r="CU411" s="48"/>
      <c r="CV411" s="48"/>
      <c r="CW411" s="104"/>
      <c r="CX411" s="94"/>
      <c r="CY411" s="48"/>
      <c r="CZ411" s="48"/>
      <c r="DA411" s="48"/>
      <c r="DB411" s="104"/>
      <c r="DC411" s="48"/>
      <c r="DD411" s="48"/>
      <c r="DE411" s="48"/>
      <c r="DF411" s="48"/>
      <c r="DG411" s="48"/>
      <c r="DH411" s="48"/>
      <c r="DI411" s="48"/>
      <c r="DJ411" s="48"/>
      <c r="DK411" s="99"/>
      <c r="DL411" s="99"/>
      <c r="DM411" s="64"/>
    </row>
    <row r="412" spans="1:117" outlineLevel="1">
      <c r="A412" s="107" t="s">
        <v>651</v>
      </c>
      <c r="B412" s="321"/>
      <c r="C412" s="322"/>
      <c r="D412" s="322"/>
      <c r="E412" s="322"/>
      <c r="F412" s="323"/>
      <c r="G412" s="302">
        <f t="shared" ref="G412:AC412" si="702">G411/B411-1</f>
        <v>0.13636363636363646</v>
      </c>
      <c r="H412" s="149">
        <f t="shared" si="702"/>
        <v>0.10441767068273089</v>
      </c>
      <c r="I412" s="149">
        <f t="shared" si="702"/>
        <v>0.16250000000000009</v>
      </c>
      <c r="J412" s="149">
        <f t="shared" si="702"/>
        <v>4.6979865771812124E-2</v>
      </c>
      <c r="K412" s="150">
        <f t="shared" si="702"/>
        <v>0.10997204100652369</v>
      </c>
      <c r="L412" s="302">
        <f t="shared" si="702"/>
        <v>-4.6153846153846101E-2</v>
      </c>
      <c r="M412" s="149">
        <f t="shared" si="702"/>
        <v>-7.6363636363636411E-2</v>
      </c>
      <c r="N412" s="149">
        <f t="shared" si="702"/>
        <v>-1.4336917562724039E-2</v>
      </c>
      <c r="O412" s="149">
        <f t="shared" si="702"/>
        <v>-6.0897435897435903E-2</v>
      </c>
      <c r="P412" s="150">
        <f t="shared" si="702"/>
        <v>-4.9538203190596097E-2</v>
      </c>
      <c r="Q412" s="302">
        <f t="shared" si="702"/>
        <v>8.7096774193548443E-2</v>
      </c>
      <c r="R412" s="149">
        <f t="shared" si="702"/>
        <v>1.5748031496062964E-2</v>
      </c>
      <c r="S412" s="149">
        <f t="shared" si="702"/>
        <v>5.8181818181818112E-2</v>
      </c>
      <c r="T412" s="149">
        <f t="shared" si="702"/>
        <v>4.0955631399317349E-2</v>
      </c>
      <c r="U412" s="150">
        <f t="shared" si="702"/>
        <v>5.212014134275611E-2</v>
      </c>
      <c r="V412" s="302">
        <f t="shared" si="702"/>
        <v>8.9020771513352859E-3</v>
      </c>
      <c r="W412" s="149">
        <f t="shared" si="702"/>
        <v>2.7131782945736482E-2</v>
      </c>
      <c r="X412" s="149">
        <f t="shared" si="702"/>
        <v>-0.10309278350515461</v>
      </c>
      <c r="Y412" s="149">
        <f t="shared" si="702"/>
        <v>-3.6065573770491799E-2</v>
      </c>
      <c r="Z412" s="150">
        <f t="shared" si="702"/>
        <v>-2.6028547439126748E-2</v>
      </c>
      <c r="AA412" s="302">
        <f t="shared" si="702"/>
        <v>-3.2352941176470584E-2</v>
      </c>
      <c r="AB412" s="149">
        <f t="shared" si="702"/>
        <v>-2.6415094339622636E-2</v>
      </c>
      <c r="AC412" s="149">
        <f t="shared" si="702"/>
        <v>-2.2988505747126409E-2</v>
      </c>
      <c r="AD412" s="149">
        <f t="shared" ref="AD412:AR412" si="703">AD411/Y411-1</f>
        <v>-9.8639455782312924E-2</v>
      </c>
      <c r="AE412" s="150">
        <f t="shared" si="703"/>
        <v>-4.5689655172413746E-2</v>
      </c>
      <c r="AF412" s="302">
        <f t="shared" si="703"/>
        <v>-0.25835866261398177</v>
      </c>
      <c r="AG412" s="149">
        <f t="shared" si="703"/>
        <v>-0.22093023255813948</v>
      </c>
      <c r="AH412" s="149">
        <f t="shared" si="703"/>
        <v>-0.1215686274509804</v>
      </c>
      <c r="AI412" s="149">
        <f t="shared" si="703"/>
        <v>-0.14716981132075468</v>
      </c>
      <c r="AJ412" s="150">
        <f t="shared" si="703"/>
        <v>-0.1915085817524842</v>
      </c>
      <c r="AK412" s="302">
        <f t="shared" si="703"/>
        <v>6.1475409836065475E-2</v>
      </c>
      <c r="AL412" s="149">
        <f t="shared" si="703"/>
        <v>-4.4776119402985093E-2</v>
      </c>
      <c r="AM412" s="149">
        <f t="shared" si="703"/>
        <v>-0.1651785714285714</v>
      </c>
      <c r="AN412" s="149">
        <f t="shared" si="703"/>
        <v>-8.8495575221238965E-2</v>
      </c>
      <c r="AO412" s="150">
        <f>AO411/AJ411-1</f>
        <v>-5.6983240223463683E-2</v>
      </c>
      <c r="AP412" s="302">
        <f t="shared" si="703"/>
        <v>-0.15830115830115832</v>
      </c>
      <c r="AQ412" s="149">
        <f t="shared" si="703"/>
        <v>-0.21875</v>
      </c>
      <c r="AR412" s="149">
        <f t="shared" si="703"/>
        <v>-0.13368983957219249</v>
      </c>
      <c r="AS412" s="149">
        <f>AS411/AN411-1</f>
        <v>-0.1310679611650486</v>
      </c>
      <c r="AT412" s="150">
        <f>AT411/AO411-1</f>
        <v>-0.15995260663507105</v>
      </c>
      <c r="AU412" s="302">
        <f>AU411/AP411-1</f>
        <v>-7.3394495412844041E-2</v>
      </c>
      <c r="AV412" s="20"/>
      <c r="AW412" s="20"/>
      <c r="AX412" s="188"/>
      <c r="AY412" s="213"/>
      <c r="AZ412" s="269"/>
      <c r="BA412" s="188"/>
      <c r="BB412" s="188"/>
      <c r="BC412" s="188"/>
      <c r="BD412" s="150"/>
      <c r="BE412" s="269"/>
      <c r="BF412" s="188"/>
      <c r="BG412" s="188"/>
      <c r="BH412" s="188"/>
      <c r="BI412" s="534"/>
      <c r="BJ412" s="269"/>
      <c r="BK412" s="188"/>
      <c r="BL412" s="188"/>
      <c r="BM412" s="188"/>
      <c r="BN412" s="150"/>
      <c r="BO412" s="269"/>
      <c r="BP412" s="188"/>
      <c r="BQ412" s="188"/>
      <c r="BR412" s="188"/>
      <c r="BS412" s="150"/>
      <c r="BT412" s="269"/>
      <c r="BU412" s="188"/>
      <c r="BV412" s="188"/>
      <c r="BW412" s="188"/>
      <c r="BX412" s="150"/>
      <c r="BY412" s="269"/>
      <c r="BZ412" s="188"/>
      <c r="CA412" s="188"/>
      <c r="CB412" s="188"/>
      <c r="CC412" s="150"/>
      <c r="CD412" s="269"/>
      <c r="CE412" s="188"/>
      <c r="CF412" s="188"/>
      <c r="CG412" s="188"/>
      <c r="CH412" s="150"/>
      <c r="CI412" s="269"/>
      <c r="CJ412" s="188"/>
      <c r="CK412" s="188"/>
      <c r="CL412" s="188"/>
      <c r="CM412" s="150"/>
      <c r="CN412" s="269"/>
      <c r="CO412" s="188"/>
      <c r="CP412" s="188"/>
      <c r="CQ412" s="188"/>
      <c r="CR412" s="150"/>
      <c r="CS412" s="269"/>
      <c r="CT412" s="188"/>
      <c r="CU412" s="188"/>
      <c r="CV412" s="188"/>
      <c r="CW412" s="150"/>
      <c r="CX412" s="269"/>
      <c r="CY412" s="188"/>
      <c r="CZ412" s="188"/>
      <c r="DA412" s="188"/>
      <c r="DB412" s="150"/>
      <c r="DC412" s="149"/>
      <c r="DD412" s="149"/>
      <c r="DE412" s="149"/>
      <c r="DF412" s="149"/>
      <c r="DG412" s="149"/>
      <c r="DH412" s="149"/>
      <c r="DI412" s="149"/>
      <c r="DJ412" s="149"/>
      <c r="DK412" s="400"/>
      <c r="DL412" s="400"/>
      <c r="DM412" s="108"/>
    </row>
    <row r="413" spans="1:117" outlineLevel="1">
      <c r="A413" s="36" t="s">
        <v>118</v>
      </c>
      <c r="B413" s="37">
        <v>540</v>
      </c>
      <c r="C413" s="38">
        <v>511</v>
      </c>
      <c r="D413" s="38">
        <v>508</v>
      </c>
      <c r="E413" s="48">
        <f>F413-SUM(B413:D413)</f>
        <v>598</v>
      </c>
      <c r="F413" s="133">
        <v>2157</v>
      </c>
      <c r="G413" s="37">
        <v>625</v>
      </c>
      <c r="H413" s="38">
        <v>574</v>
      </c>
      <c r="I413" s="38">
        <v>560</v>
      </c>
      <c r="J413" s="48">
        <f>K413-SUM(G413:I413)</f>
        <v>628</v>
      </c>
      <c r="K413" s="133">
        <v>2387</v>
      </c>
      <c r="L413" s="37">
        <v>602</v>
      </c>
      <c r="M413" s="38">
        <v>536</v>
      </c>
      <c r="N413" s="38">
        <v>564</v>
      </c>
      <c r="O413" s="48">
        <f>P413-SUM(L413:N413)</f>
        <v>586</v>
      </c>
      <c r="P413" s="133">
        <v>2288</v>
      </c>
      <c r="Q413" s="37">
        <v>639</v>
      </c>
      <c r="R413" s="38">
        <v>550</v>
      </c>
      <c r="S413" s="38">
        <v>605</v>
      </c>
      <c r="T413" s="48">
        <f>U413-SUM(Q413:S413)</f>
        <v>576</v>
      </c>
      <c r="U413" s="133">
        <v>2370</v>
      </c>
      <c r="V413" s="37">
        <v>636</v>
      </c>
      <c r="W413" s="38">
        <v>561</v>
      </c>
      <c r="X413" s="38">
        <v>560</v>
      </c>
      <c r="Y413" s="48">
        <f>Z413-SUM(V413:X413)</f>
        <v>602</v>
      </c>
      <c r="Z413" s="133">
        <v>2359</v>
      </c>
      <c r="AA413" s="37">
        <v>634</v>
      </c>
      <c r="AB413" s="38">
        <v>544</v>
      </c>
      <c r="AC413" s="38">
        <v>524</v>
      </c>
      <c r="AD413" s="48">
        <f>AE413-SUM(AA413:AC413)</f>
        <v>520</v>
      </c>
      <c r="AE413" s="133">
        <v>2222</v>
      </c>
      <c r="AF413" s="37">
        <v>485</v>
      </c>
      <c r="AG413" s="38">
        <v>435</v>
      </c>
      <c r="AH413" s="38">
        <v>470</v>
      </c>
      <c r="AI413" s="38">
        <v>460</v>
      </c>
      <c r="AJ413" s="104">
        <f>SUM(AF413:AI413)</f>
        <v>1850</v>
      </c>
      <c r="AK413" s="37">
        <v>494</v>
      </c>
      <c r="AL413" s="38">
        <v>405</v>
      </c>
      <c r="AM413" s="38">
        <v>395</v>
      </c>
      <c r="AN413" s="38">
        <v>429</v>
      </c>
      <c r="AO413" s="104">
        <f>SUM(AK413:AN413)</f>
        <v>1723</v>
      </c>
      <c r="AP413" s="37">
        <v>417</v>
      </c>
      <c r="AQ413" s="38">
        <v>322</v>
      </c>
      <c r="AR413" s="38">
        <v>338</v>
      </c>
      <c r="AS413" s="38">
        <v>356</v>
      </c>
      <c r="AT413" s="104">
        <f>SUM(AP413:AS413)</f>
        <v>1433</v>
      </c>
      <c r="AU413" s="37">
        <v>369</v>
      </c>
      <c r="AV413" s="20"/>
      <c r="AW413" s="20"/>
      <c r="AX413" s="48"/>
      <c r="AY413" s="213"/>
      <c r="AZ413" s="94"/>
      <c r="BA413" s="48"/>
      <c r="BB413" s="48"/>
      <c r="BC413" s="48"/>
      <c r="BD413" s="104"/>
      <c r="BE413" s="94"/>
      <c r="BF413" s="48"/>
      <c r="BG413" s="48"/>
      <c r="BH413" s="48"/>
      <c r="BI413" s="104"/>
      <c r="BJ413" s="94"/>
      <c r="BK413" s="48"/>
      <c r="BL413" s="48"/>
      <c r="BM413" s="48"/>
      <c r="BN413" s="104"/>
      <c r="BO413" s="94"/>
      <c r="BP413" s="48"/>
      <c r="BQ413" s="48"/>
      <c r="BR413" s="48"/>
      <c r="BS413" s="104"/>
      <c r="BT413" s="94"/>
      <c r="BU413" s="48"/>
      <c r="BV413" s="48"/>
      <c r="BW413" s="48"/>
      <c r="BX413" s="104"/>
      <c r="BY413" s="94"/>
      <c r="BZ413" s="48"/>
      <c r="CA413" s="48"/>
      <c r="CB413" s="48"/>
      <c r="CC413" s="104"/>
      <c r="CD413" s="94"/>
      <c r="CE413" s="48"/>
      <c r="CF413" s="48"/>
      <c r="CG413" s="48"/>
      <c r="CH413" s="104"/>
      <c r="CI413" s="94"/>
      <c r="CJ413" s="48"/>
      <c r="CK413" s="48"/>
      <c r="CL413" s="48"/>
      <c r="CM413" s="104"/>
      <c r="CN413" s="94"/>
      <c r="CO413" s="48"/>
      <c r="CP413" s="48"/>
      <c r="CQ413" s="48"/>
      <c r="CR413" s="104"/>
      <c r="CS413" s="94"/>
      <c r="CT413" s="48"/>
      <c r="CU413" s="48"/>
      <c r="CV413" s="48"/>
      <c r="CW413" s="104"/>
      <c r="CX413" s="94"/>
      <c r="CY413" s="48"/>
      <c r="CZ413" s="48"/>
      <c r="DA413" s="48"/>
      <c r="DB413" s="104"/>
      <c r="DC413" s="48"/>
      <c r="DD413" s="48"/>
      <c r="DE413" s="48"/>
      <c r="DF413" s="48"/>
      <c r="DG413" s="48"/>
      <c r="DH413" s="48"/>
      <c r="DI413" s="48"/>
      <c r="DJ413" s="48"/>
      <c r="DK413" s="99"/>
      <c r="DL413" s="99"/>
      <c r="DM413" s="63"/>
    </row>
    <row r="414" spans="1:117" outlineLevel="1">
      <c r="A414" s="107" t="s">
        <v>651</v>
      </c>
      <c r="B414" s="321"/>
      <c r="C414" s="322"/>
      <c r="D414" s="322"/>
      <c r="E414" s="322"/>
      <c r="F414" s="323"/>
      <c r="G414" s="302">
        <f t="shared" ref="G414:AC414" si="704">G413/B413-1</f>
        <v>0.15740740740740744</v>
      </c>
      <c r="H414" s="149">
        <f t="shared" si="704"/>
        <v>0.12328767123287676</v>
      </c>
      <c r="I414" s="149">
        <f t="shared" si="704"/>
        <v>0.10236220472440949</v>
      </c>
      <c r="J414" s="149">
        <f t="shared" si="704"/>
        <v>5.0167224080267525E-2</v>
      </c>
      <c r="K414" s="150">
        <f t="shared" si="704"/>
        <v>0.1066295781177562</v>
      </c>
      <c r="L414" s="302">
        <f t="shared" si="704"/>
        <v>-3.6800000000000055E-2</v>
      </c>
      <c r="M414" s="149">
        <f t="shared" si="704"/>
        <v>-6.6202090592334506E-2</v>
      </c>
      <c r="N414" s="149">
        <f t="shared" si="704"/>
        <v>7.1428571428571175E-3</v>
      </c>
      <c r="O414" s="149">
        <f t="shared" si="704"/>
        <v>-6.687898089171973E-2</v>
      </c>
      <c r="P414" s="150">
        <f t="shared" si="704"/>
        <v>-4.1474654377880227E-2</v>
      </c>
      <c r="Q414" s="302">
        <f t="shared" si="704"/>
        <v>6.1461794019933569E-2</v>
      </c>
      <c r="R414" s="149">
        <f t="shared" si="704"/>
        <v>2.6119402985074647E-2</v>
      </c>
      <c r="S414" s="149">
        <f t="shared" si="704"/>
        <v>7.2695035460992985E-2</v>
      </c>
      <c r="T414" s="149">
        <f t="shared" si="704"/>
        <v>-1.7064846416382284E-2</v>
      </c>
      <c r="U414" s="150">
        <f t="shared" si="704"/>
        <v>3.5839160839160833E-2</v>
      </c>
      <c r="V414" s="302">
        <f t="shared" si="704"/>
        <v>-4.6948356807511304E-3</v>
      </c>
      <c r="W414" s="149">
        <f t="shared" si="704"/>
        <v>2.0000000000000018E-2</v>
      </c>
      <c r="X414" s="149">
        <f t="shared" si="704"/>
        <v>-7.4380165289256173E-2</v>
      </c>
      <c r="Y414" s="149">
        <f t="shared" si="704"/>
        <v>4.513888888888884E-2</v>
      </c>
      <c r="Z414" s="150">
        <f t="shared" si="704"/>
        <v>-4.6413502109704519E-3</v>
      </c>
      <c r="AA414" s="302">
        <f t="shared" si="704"/>
        <v>-3.1446540880503138E-3</v>
      </c>
      <c r="AB414" s="149">
        <f t="shared" si="704"/>
        <v>-3.0303030303030276E-2</v>
      </c>
      <c r="AC414" s="149">
        <f t="shared" si="704"/>
        <v>-6.4285714285714279E-2</v>
      </c>
      <c r="AD414" s="149">
        <f t="shared" ref="AD414:AP414" si="705">AD413/Y413-1</f>
        <v>-0.13621262458471761</v>
      </c>
      <c r="AE414" s="150">
        <f t="shared" si="705"/>
        <v>-5.8075455701568468E-2</v>
      </c>
      <c r="AF414" s="302">
        <f t="shared" si="705"/>
        <v>-0.23501577287066244</v>
      </c>
      <c r="AG414" s="149">
        <f t="shared" si="705"/>
        <v>-0.20036764705882348</v>
      </c>
      <c r="AH414" s="149">
        <f t="shared" si="705"/>
        <v>-0.10305343511450382</v>
      </c>
      <c r="AI414" s="149">
        <f t="shared" si="705"/>
        <v>-0.11538461538461542</v>
      </c>
      <c r="AJ414" s="150">
        <f t="shared" si="705"/>
        <v>-0.16741674167416742</v>
      </c>
      <c r="AK414" s="302">
        <f t="shared" si="705"/>
        <v>1.8556701030927769E-2</v>
      </c>
      <c r="AL414" s="149">
        <f>AL412</f>
        <v>-4.4776119402985093E-2</v>
      </c>
      <c r="AM414" s="149">
        <f t="shared" si="705"/>
        <v>-0.15957446808510634</v>
      </c>
      <c r="AN414" s="149">
        <f t="shared" si="705"/>
        <v>-6.7391304347826142E-2</v>
      </c>
      <c r="AO414" s="150">
        <f>AO413/AJ413-1</f>
        <v>-6.8648648648648614E-2</v>
      </c>
      <c r="AP414" s="302">
        <f t="shared" si="705"/>
        <v>-0.15587044534412953</v>
      </c>
      <c r="AQ414" s="149">
        <f>AQ412</f>
        <v>-0.21875</v>
      </c>
      <c r="AR414" s="149">
        <f>AR412</f>
        <v>-0.13368983957219249</v>
      </c>
      <c r="AS414" s="149">
        <f>AS413/AN413-1</f>
        <v>-0.17016317016317017</v>
      </c>
      <c r="AT414" s="150">
        <f>AT413/AO413-1</f>
        <v>-0.16831108531630878</v>
      </c>
      <c r="AU414" s="302">
        <f>AU413/AP413-1</f>
        <v>-0.1151079136690647</v>
      </c>
      <c r="AV414" s="20"/>
      <c r="AW414" s="20"/>
      <c r="AX414" s="188"/>
      <c r="AY414" s="213"/>
      <c r="AZ414" s="149"/>
      <c r="BA414" s="149"/>
      <c r="BB414" s="149"/>
      <c r="BC414" s="149"/>
      <c r="BD414" s="150"/>
      <c r="BE414" s="149"/>
      <c r="BF414" s="540"/>
      <c r="BG414" s="149"/>
      <c r="BH414" s="540"/>
      <c r="BI414" s="534"/>
      <c r="BJ414" s="149"/>
      <c r="BK414" s="540"/>
      <c r="BL414" s="149"/>
      <c r="BM414" s="149"/>
      <c r="BN414" s="150"/>
      <c r="BO414" s="149"/>
      <c r="BP414" s="149"/>
      <c r="BQ414" s="149"/>
      <c r="BR414" s="149"/>
      <c r="BS414" s="150"/>
      <c r="BT414" s="149"/>
      <c r="BU414" s="149"/>
      <c r="BV414" s="149"/>
      <c r="BW414" s="149"/>
      <c r="BX414" s="150"/>
      <c r="BY414" s="149"/>
      <c r="BZ414" s="149"/>
      <c r="CA414" s="149"/>
      <c r="CB414" s="149"/>
      <c r="CC414" s="150"/>
      <c r="CD414" s="149"/>
      <c r="CE414" s="149"/>
      <c r="CF414" s="149"/>
      <c r="CG414" s="149"/>
      <c r="CH414" s="150"/>
      <c r="CI414" s="149"/>
      <c r="CJ414" s="149"/>
      <c r="CK414" s="149"/>
      <c r="CL414" s="149"/>
      <c r="CM414" s="150"/>
      <c r="CN414" s="149"/>
      <c r="CO414" s="149"/>
      <c r="CP414" s="149"/>
      <c r="CQ414" s="149"/>
      <c r="CR414" s="150"/>
      <c r="CS414" s="149"/>
      <c r="CT414" s="149"/>
      <c r="CU414" s="149"/>
      <c r="CV414" s="149"/>
      <c r="CW414" s="150"/>
      <c r="CX414" s="149"/>
      <c r="CY414" s="149"/>
      <c r="CZ414" s="149"/>
      <c r="DA414" s="149"/>
      <c r="DB414" s="150"/>
      <c r="DC414" s="149"/>
      <c r="DD414" s="149"/>
      <c r="DE414" s="149"/>
      <c r="DF414" s="149"/>
      <c r="DG414" s="149"/>
      <c r="DH414" s="149"/>
      <c r="DI414" s="149"/>
      <c r="DJ414" s="149"/>
      <c r="DK414" s="400"/>
      <c r="DL414" s="400"/>
      <c r="DM414" s="108"/>
    </row>
    <row r="415" spans="1:117" outlineLevel="1">
      <c r="A415" s="36" t="s">
        <v>542</v>
      </c>
      <c r="B415" s="297">
        <v>0.2</v>
      </c>
      <c r="C415" s="295">
        <v>0.05</v>
      </c>
      <c r="D415" s="295">
        <v>7.0000000000000007E-2</v>
      </c>
      <c r="E415" s="295">
        <v>0.2</v>
      </c>
      <c r="F415" s="296">
        <v>0.14000000000000001</v>
      </c>
      <c r="G415" s="297">
        <v>0.15</v>
      </c>
      <c r="H415" s="295">
        <v>0.02</v>
      </c>
      <c r="I415" s="295">
        <v>0.21</v>
      </c>
      <c r="J415" s="295">
        <v>0.21</v>
      </c>
      <c r="K415" s="296">
        <v>0.14000000000000001</v>
      </c>
      <c r="L415" s="297">
        <v>0.28000000000000003</v>
      </c>
      <c r="M415" s="295">
        <v>0.25</v>
      </c>
      <c r="N415" s="295">
        <v>0.11</v>
      </c>
      <c r="O415" s="295">
        <v>0.22</v>
      </c>
      <c r="P415" s="296">
        <v>0.22</v>
      </c>
      <c r="Q415" s="297">
        <v>0.34</v>
      </c>
      <c r="R415" s="295">
        <v>7.0000000000000007E-2</v>
      </c>
      <c r="S415" s="295">
        <v>0.03</v>
      </c>
      <c r="T415" s="295">
        <v>0.28999999999999998</v>
      </c>
      <c r="U415" s="296">
        <v>0.19</v>
      </c>
      <c r="V415" s="297">
        <v>0.17</v>
      </c>
      <c r="W415" s="295">
        <v>0.01</v>
      </c>
      <c r="X415" s="295">
        <v>0.02</v>
      </c>
      <c r="Y415" s="295">
        <v>0.04</v>
      </c>
      <c r="Z415" s="296">
        <v>7.0000000000000007E-2</v>
      </c>
      <c r="AA415" s="297">
        <v>0.19</v>
      </c>
      <c r="AB415" s="295">
        <v>0.11</v>
      </c>
      <c r="AC415" s="295">
        <v>0.11</v>
      </c>
      <c r="AD415" s="295">
        <v>0.04</v>
      </c>
      <c r="AE415" s="296">
        <v>0.14000000000000001</v>
      </c>
      <c r="AF415" s="297">
        <v>0.46</v>
      </c>
      <c r="AG415" s="295">
        <v>0.04</v>
      </c>
      <c r="AH415" s="295">
        <v>7.0000000000000007E-2</v>
      </c>
      <c r="AI415" s="427">
        <v>0.12</v>
      </c>
      <c r="AJ415" s="317">
        <f>AVERAGE(AF415:AI415)</f>
        <v>0.17250000000000001</v>
      </c>
      <c r="AK415" s="297">
        <v>0.22</v>
      </c>
      <c r="AL415" s="448">
        <v>0</v>
      </c>
      <c r="AM415" s="295">
        <v>-0.03</v>
      </c>
      <c r="AN415" s="295">
        <v>0.01</v>
      </c>
      <c r="AO415" s="317">
        <f>AVERAGE(AK415:AN415)</f>
        <v>0.05</v>
      </c>
      <c r="AP415" s="297">
        <v>-7.0000000000000007E-2</v>
      </c>
      <c r="AQ415" s="295">
        <v>-0.06</v>
      </c>
      <c r="AR415" s="295">
        <v>-0.1</v>
      </c>
      <c r="AS415" s="295">
        <v>-0.03</v>
      </c>
      <c r="AT415" s="317">
        <f>AVERAGE(AP415:AS415)</f>
        <v>-6.5000000000000002E-2</v>
      </c>
      <c r="AU415" s="297">
        <v>0.01</v>
      </c>
      <c r="AV415" s="20"/>
      <c r="AW415" s="20"/>
      <c r="AX415" s="316"/>
      <c r="AY415" s="213"/>
      <c r="AZ415" s="315"/>
      <c r="BA415" s="316"/>
      <c r="BB415" s="316"/>
      <c r="BC415" s="316"/>
      <c r="BD415" s="317"/>
      <c r="BE415" s="315"/>
      <c r="BF415" s="316"/>
      <c r="BG415" s="316"/>
      <c r="BH415" s="316"/>
      <c r="BI415" s="317"/>
      <c r="BJ415" s="315"/>
      <c r="BK415" s="316"/>
      <c r="BL415" s="316"/>
      <c r="BM415" s="316"/>
      <c r="BN415" s="317"/>
      <c r="BO415" s="315"/>
      <c r="BP415" s="316"/>
      <c r="BQ415" s="316"/>
      <c r="BR415" s="316"/>
      <c r="BS415" s="317"/>
      <c r="BT415" s="315"/>
      <c r="BU415" s="316"/>
      <c r="BV415" s="316"/>
      <c r="BW415" s="316"/>
      <c r="BX415" s="317"/>
      <c r="BY415" s="315"/>
      <c r="BZ415" s="316"/>
      <c r="CA415" s="316"/>
      <c r="CB415" s="316"/>
      <c r="CC415" s="317"/>
      <c r="CD415" s="315"/>
      <c r="CE415" s="316"/>
      <c r="CF415" s="316"/>
      <c r="CG415" s="316"/>
      <c r="CH415" s="317"/>
      <c r="CI415" s="315"/>
      <c r="CJ415" s="316"/>
      <c r="CK415" s="316"/>
      <c r="CL415" s="316"/>
      <c r="CM415" s="317"/>
      <c r="CN415" s="315"/>
      <c r="CO415" s="316"/>
      <c r="CP415" s="316"/>
      <c r="CQ415" s="316"/>
      <c r="CR415" s="317"/>
      <c r="CS415" s="315"/>
      <c r="CT415" s="316"/>
      <c r="CU415" s="316"/>
      <c r="CV415" s="316"/>
      <c r="CW415" s="317"/>
      <c r="CX415" s="315"/>
      <c r="CY415" s="316"/>
      <c r="CZ415" s="316"/>
      <c r="DA415" s="316"/>
      <c r="DB415" s="317"/>
      <c r="DC415" s="316"/>
      <c r="DD415" s="316"/>
      <c r="DE415" s="316"/>
      <c r="DF415" s="316"/>
      <c r="DG415" s="316"/>
      <c r="DH415" s="316"/>
      <c r="DI415" s="316"/>
      <c r="DJ415" s="316"/>
      <c r="DK415" s="147"/>
      <c r="DL415" s="147"/>
      <c r="DM415" s="63"/>
    </row>
    <row r="416" spans="1:117" outlineLevel="1">
      <c r="A416" s="107" t="s">
        <v>651</v>
      </c>
      <c r="B416" s="321"/>
      <c r="C416" s="322"/>
      <c r="D416" s="322"/>
      <c r="E416" s="322"/>
      <c r="F416" s="323"/>
      <c r="G416" s="302">
        <f t="shared" ref="G416:AC416" si="706">G415/B415-1</f>
        <v>-0.25000000000000011</v>
      </c>
      <c r="H416" s="149">
        <f t="shared" si="706"/>
        <v>-0.60000000000000009</v>
      </c>
      <c r="I416" s="149">
        <f t="shared" si="706"/>
        <v>1.9999999999999996</v>
      </c>
      <c r="J416" s="149">
        <f t="shared" si="706"/>
        <v>4.9999999999999822E-2</v>
      </c>
      <c r="K416" s="150">
        <f t="shared" si="706"/>
        <v>0</v>
      </c>
      <c r="L416" s="302">
        <f t="shared" si="706"/>
        <v>0.86666666666666692</v>
      </c>
      <c r="M416" s="149">
        <f t="shared" si="706"/>
        <v>11.5</v>
      </c>
      <c r="N416" s="149">
        <f t="shared" si="706"/>
        <v>-0.47619047619047616</v>
      </c>
      <c r="O416" s="149">
        <f t="shared" si="706"/>
        <v>4.7619047619047672E-2</v>
      </c>
      <c r="P416" s="150">
        <f t="shared" si="706"/>
        <v>0.5714285714285714</v>
      </c>
      <c r="Q416" s="302">
        <f t="shared" si="706"/>
        <v>0.21428571428571419</v>
      </c>
      <c r="R416" s="149">
        <f t="shared" si="706"/>
        <v>-0.72</v>
      </c>
      <c r="S416" s="149">
        <f t="shared" si="706"/>
        <v>-0.72727272727272729</v>
      </c>
      <c r="T416" s="149">
        <f t="shared" si="706"/>
        <v>0.31818181818181812</v>
      </c>
      <c r="U416" s="150">
        <f t="shared" si="706"/>
        <v>-0.13636363636363635</v>
      </c>
      <c r="V416" s="302">
        <f t="shared" si="706"/>
        <v>-0.5</v>
      </c>
      <c r="W416" s="149">
        <f t="shared" si="706"/>
        <v>-0.85714285714285721</v>
      </c>
      <c r="X416" s="149">
        <f t="shared" si="706"/>
        <v>-0.33333333333333326</v>
      </c>
      <c r="Y416" s="149">
        <f t="shared" si="706"/>
        <v>-0.86206896551724133</v>
      </c>
      <c r="Z416" s="150">
        <f t="shared" si="706"/>
        <v>-0.63157894736842102</v>
      </c>
      <c r="AA416" s="302">
        <f t="shared" si="706"/>
        <v>0.11764705882352944</v>
      </c>
      <c r="AB416" s="149">
        <f t="shared" si="706"/>
        <v>10</v>
      </c>
      <c r="AC416" s="149">
        <f t="shared" si="706"/>
        <v>4.5</v>
      </c>
      <c r="AD416" s="149">
        <f t="shared" ref="AD416:AP416" si="707">AD415/Y415-1</f>
        <v>0</v>
      </c>
      <c r="AE416" s="150">
        <f t="shared" si="707"/>
        <v>1</v>
      </c>
      <c r="AF416" s="302">
        <f t="shared" si="707"/>
        <v>1.4210526315789473</v>
      </c>
      <c r="AG416" s="149">
        <f t="shared" si="707"/>
        <v>-0.63636363636363635</v>
      </c>
      <c r="AH416" s="149">
        <f t="shared" si="707"/>
        <v>-0.36363636363636354</v>
      </c>
      <c r="AI416" s="149">
        <f t="shared" si="707"/>
        <v>2</v>
      </c>
      <c r="AJ416" s="150">
        <f>AJ415/AE415-1</f>
        <v>0.23214285714285721</v>
      </c>
      <c r="AK416" s="302">
        <f t="shared" si="707"/>
        <v>-0.52173913043478271</v>
      </c>
      <c r="AL416" s="149">
        <f>AL418</f>
        <v>-1.0606433790682064</v>
      </c>
      <c r="AM416" s="149">
        <f t="shared" si="707"/>
        <v>-1.4285714285714284</v>
      </c>
      <c r="AN416" s="149">
        <f t="shared" si="707"/>
        <v>-0.91666666666666663</v>
      </c>
      <c r="AO416" s="150">
        <f>AO415/AJ415-1</f>
        <v>-0.71014492753623193</v>
      </c>
      <c r="AP416" s="302">
        <f t="shared" si="707"/>
        <v>-1.3181818181818183</v>
      </c>
      <c r="AQ416" s="149">
        <f>AQ418</f>
        <v>29.209573537216876</v>
      </c>
      <c r="AR416" s="149">
        <f>AR418</f>
        <v>1.7381309704286472</v>
      </c>
      <c r="AS416" s="149">
        <f>AS415/AN415-1</f>
        <v>-4</v>
      </c>
      <c r="AT416" s="150">
        <f>AT415/AO415-1</f>
        <v>-2.2999999999999998</v>
      </c>
      <c r="AU416" s="149">
        <f>AU418</f>
        <v>-1.0513673318551366</v>
      </c>
      <c r="AV416" s="20"/>
      <c r="AW416" s="20"/>
      <c r="AX416" s="149"/>
      <c r="AY416" s="213"/>
      <c r="AZ416" s="149"/>
      <c r="BA416" s="149"/>
      <c r="BB416" s="149"/>
      <c r="BC416" s="149"/>
      <c r="BD416" s="150"/>
      <c r="BE416" s="149"/>
      <c r="BF416" s="540"/>
      <c r="BG416" s="149"/>
      <c r="BH416" s="540"/>
      <c r="BI416" s="534"/>
      <c r="BJ416" s="149"/>
      <c r="BK416" s="540"/>
      <c r="BL416" s="149"/>
      <c r="BM416" s="149"/>
      <c r="BN416" s="150"/>
      <c r="BO416" s="149"/>
      <c r="BP416" s="149"/>
      <c r="BQ416" s="149"/>
      <c r="BR416" s="149"/>
      <c r="BS416" s="150"/>
      <c r="BT416" s="149"/>
      <c r="BU416" s="149"/>
      <c r="BV416" s="149"/>
      <c r="BW416" s="149"/>
      <c r="BX416" s="150"/>
      <c r="BY416" s="149"/>
      <c r="BZ416" s="149"/>
      <c r="CA416" s="149"/>
      <c r="CB416" s="149"/>
      <c r="CC416" s="150"/>
      <c r="CD416" s="149"/>
      <c r="CE416" s="149"/>
      <c r="CF416" s="149"/>
      <c r="CG416" s="149"/>
      <c r="CH416" s="150"/>
      <c r="CI416" s="149"/>
      <c r="CJ416" s="149"/>
      <c r="CK416" s="149"/>
      <c r="CL416" s="149"/>
      <c r="CM416" s="150"/>
      <c r="CN416" s="149"/>
      <c r="CO416" s="149"/>
      <c r="CP416" s="149"/>
      <c r="CQ416" s="149"/>
      <c r="CR416" s="150"/>
      <c r="CS416" s="149"/>
      <c r="CT416" s="149"/>
      <c r="CU416" s="149"/>
      <c r="CV416" s="149"/>
      <c r="CW416" s="150"/>
      <c r="CX416" s="149"/>
      <c r="CY416" s="149"/>
      <c r="CZ416" s="149"/>
      <c r="DA416" s="149"/>
      <c r="DB416" s="150"/>
      <c r="DC416" s="149"/>
      <c r="DD416" s="149"/>
      <c r="DE416" s="149"/>
      <c r="DF416" s="149"/>
      <c r="DG416" s="149"/>
      <c r="DH416" s="149"/>
      <c r="DI416" s="149"/>
      <c r="DJ416" s="149"/>
      <c r="DK416" s="400"/>
      <c r="DL416" s="400"/>
      <c r="DM416" s="108"/>
    </row>
    <row r="417" spans="1:117" outlineLevel="1">
      <c r="A417" s="36" t="s">
        <v>262</v>
      </c>
      <c r="B417" s="151">
        <f>B399/(B413*1000)</f>
        <v>0.13950740740740741</v>
      </c>
      <c r="C417" s="152">
        <f t="shared" ref="C417:AA417" si="708">C399/(C413*1000)</f>
        <v>2.7949119373776907E-2</v>
      </c>
      <c r="D417" s="152">
        <f t="shared" si="708"/>
        <v>3.5661417322834649E-2</v>
      </c>
      <c r="E417" s="152">
        <f t="shared" si="708"/>
        <v>0.11082608695652174</v>
      </c>
      <c r="F417" s="317">
        <f>AVERAGE(B417:E417)</f>
        <v>7.8486007765135174E-2</v>
      </c>
      <c r="G417" s="151">
        <f>G399/(G413*1000)</f>
        <v>9.7911999999999999E-2</v>
      </c>
      <c r="H417" s="152">
        <f t="shared" si="708"/>
        <v>1.9595818815331012E-2</v>
      </c>
      <c r="I417" s="152">
        <f t="shared" si="708"/>
        <v>9.8285714285714282E-2</v>
      </c>
      <c r="J417" s="152">
        <f t="shared" si="708"/>
        <v>0.12560031847133757</v>
      </c>
      <c r="K417" s="317">
        <f>AVERAGE(G417:J417)</f>
        <v>8.5348462893095722E-2</v>
      </c>
      <c r="L417" s="151">
        <f t="shared" si="708"/>
        <v>0.17135215946843854</v>
      </c>
      <c r="M417" s="152">
        <f t="shared" si="708"/>
        <v>0.12001305970149254</v>
      </c>
      <c r="N417" s="152">
        <f t="shared" si="708"/>
        <v>5.4476950354609928E-2</v>
      </c>
      <c r="O417" s="152">
        <f t="shared" si="708"/>
        <v>0.12903071672354949</v>
      </c>
      <c r="P417" s="317">
        <f>AVERAGE(L417:O417)</f>
        <v>0.11871822156202262</v>
      </c>
      <c r="Q417" s="151">
        <f t="shared" si="708"/>
        <v>0.20564006259780906</v>
      </c>
      <c r="R417" s="152">
        <f t="shared" si="708"/>
        <v>3.4650909090909093E-2</v>
      </c>
      <c r="S417" s="152">
        <f t="shared" si="708"/>
        <v>1.3975206611570248E-2</v>
      </c>
      <c r="T417" s="152">
        <f t="shared" si="708"/>
        <v>0.15361979166666667</v>
      </c>
      <c r="U417" s="317">
        <f>AVERAGE(Q417:T417)</f>
        <v>0.10197149249173877</v>
      </c>
      <c r="V417" s="151">
        <f t="shared" si="708"/>
        <v>0.13343553459119498</v>
      </c>
      <c r="W417" s="152">
        <f t="shared" si="708"/>
        <v>7.4385026737967914E-3</v>
      </c>
      <c r="X417" s="152">
        <f t="shared" si="708"/>
        <v>8.605357142857142E-3</v>
      </c>
      <c r="Y417" s="152">
        <f>Y399/(Y413*1000)</f>
        <v>2.8004983388704319E-2</v>
      </c>
      <c r="Z417" s="317">
        <f>AVERAGE(V417:Y417)</f>
        <v>4.437109444913831E-2</v>
      </c>
      <c r="AA417" s="151">
        <f t="shared" si="708"/>
        <v>9.8687697160883284E-2</v>
      </c>
      <c r="AB417" s="152">
        <f>AB399/(AB413*1000)</f>
        <v>5.5356617647058827E-2</v>
      </c>
      <c r="AC417" s="152">
        <f>AC399/(AC413*1000)</f>
        <v>5.677290076335878E-2</v>
      </c>
      <c r="AD417" s="152">
        <f>AD399/(AD413*1000)</f>
        <v>0.10617692307692307</v>
      </c>
      <c r="AE417" s="317">
        <f>AVERAGE(AA417:AD417)</f>
        <v>7.9248534662055989E-2</v>
      </c>
      <c r="AF417" s="151">
        <f>AF399/(AF413*1000)</f>
        <v>0.22807835051546391</v>
      </c>
      <c r="AG417" s="152">
        <f>AG399/(AG413*1000)</f>
        <v>1.7629885057471265E-2</v>
      </c>
      <c r="AH417" s="152">
        <f>AH399/(AH413*1000)</f>
        <v>2.9963829787234043E-2</v>
      </c>
      <c r="AI417" s="152">
        <f>AI399/(AI413*1000)</f>
        <v>5.9497826086956522E-2</v>
      </c>
      <c r="AJ417" s="317">
        <f>AVERAGE(AF417:AI417)</f>
        <v>8.3792472861781431E-2</v>
      </c>
      <c r="AK417" s="151">
        <f>AK399/(AK413*1000)</f>
        <v>0.11325708502024291</v>
      </c>
      <c r="AL417" s="152">
        <f>AL399/(AL413*1000)</f>
        <v>-1.0691358024691358E-3</v>
      </c>
      <c r="AM417" s="152">
        <f>AM399/(AM413*1000)</f>
        <v>-1.8665822784810125E-2</v>
      </c>
      <c r="AN417" s="152">
        <f>AN399/(AN413*1000)</f>
        <v>1.2983682983682984E-3</v>
      </c>
      <c r="AO417" s="317">
        <f>AVERAGE(AK417:AN417)</f>
        <v>2.3705123682832986E-2</v>
      </c>
      <c r="AP417" s="151">
        <f>AP399/(AP413*1000)</f>
        <v>-3.6930455635491605E-2</v>
      </c>
      <c r="AQ417" s="152">
        <f>AQ399/(AQ413*1000)</f>
        <v>-3.2298136645962733E-2</v>
      </c>
      <c r="AR417" s="152">
        <f>AR399/(AR413*1000)</f>
        <v>-5.1109467455621303E-2</v>
      </c>
      <c r="AS417" s="152">
        <f>AS399/(AS413*1000)</f>
        <v>-1.7485955056179774E-2</v>
      </c>
      <c r="AT417" s="317">
        <f>AVERAGE(AP417:AS417)</f>
        <v>-3.4456003698313857E-2</v>
      </c>
      <c r="AU417" s="151">
        <f>AU399/(AU413*1000)</f>
        <v>1.8970189701897019E-3</v>
      </c>
      <c r="AV417" s="20"/>
      <c r="AW417" s="20"/>
      <c r="AX417" s="316"/>
      <c r="AY417" s="213"/>
      <c r="AZ417" s="315"/>
      <c r="BA417" s="489"/>
      <c r="BB417" s="489"/>
      <c r="BC417" s="489"/>
      <c r="BD417" s="317"/>
      <c r="BE417" s="488"/>
      <c r="BF417" s="489"/>
      <c r="BG417" s="489"/>
      <c r="BH417" s="489"/>
      <c r="BI417" s="317"/>
      <c r="BJ417" s="315"/>
      <c r="BK417" s="316"/>
      <c r="BL417" s="316"/>
      <c r="BM417" s="316"/>
      <c r="BN417" s="317"/>
      <c r="BO417" s="315"/>
      <c r="BP417" s="316"/>
      <c r="BQ417" s="316"/>
      <c r="BR417" s="316"/>
      <c r="BS417" s="317"/>
      <c r="BT417" s="315"/>
      <c r="BU417" s="316"/>
      <c r="BV417" s="316"/>
      <c r="BW417" s="316"/>
      <c r="BX417" s="317"/>
      <c r="BY417" s="315"/>
      <c r="BZ417" s="316"/>
      <c r="CA417" s="316"/>
      <c r="CB417" s="316"/>
      <c r="CC417" s="317"/>
      <c r="CD417" s="315"/>
      <c r="CE417" s="316"/>
      <c r="CF417" s="316"/>
      <c r="CG417" s="316"/>
      <c r="CH417" s="317"/>
      <c r="CI417" s="315"/>
      <c r="CJ417" s="316"/>
      <c r="CK417" s="316"/>
      <c r="CL417" s="316"/>
      <c r="CM417" s="317"/>
      <c r="CN417" s="315"/>
      <c r="CO417" s="316"/>
      <c r="CP417" s="316"/>
      <c r="CQ417" s="316"/>
      <c r="CR417" s="317"/>
      <c r="CS417" s="315"/>
      <c r="CT417" s="316"/>
      <c r="CU417" s="316"/>
      <c r="CV417" s="316"/>
      <c r="CW417" s="317"/>
      <c r="CX417" s="315"/>
      <c r="CY417" s="316"/>
      <c r="CZ417" s="316"/>
      <c r="DA417" s="316"/>
      <c r="DB417" s="317"/>
      <c r="DC417" s="316"/>
      <c r="DD417" s="316"/>
      <c r="DE417" s="316"/>
      <c r="DF417" s="316"/>
      <c r="DG417" s="316"/>
      <c r="DH417" s="316"/>
      <c r="DI417" s="316"/>
      <c r="DJ417" s="316"/>
      <c r="DK417" s="147"/>
      <c r="DL417" s="147"/>
      <c r="DM417" s="63"/>
    </row>
    <row r="418" spans="1:117" outlineLevel="1">
      <c r="A418" s="107" t="s">
        <v>651</v>
      </c>
      <c r="B418" s="321"/>
      <c r="C418" s="322"/>
      <c r="D418" s="322"/>
      <c r="E418" s="322"/>
      <c r="F418" s="323"/>
      <c r="G418" s="302">
        <f t="shared" ref="G418:AC418" si="709">G417/B417-1</f>
        <v>-0.29815913133512095</v>
      </c>
      <c r="H418" s="149">
        <f t="shared" si="709"/>
        <v>-0.29887526854543145</v>
      </c>
      <c r="I418" s="149">
        <f t="shared" si="709"/>
        <v>1.7560798662587134</v>
      </c>
      <c r="J418" s="149">
        <f t="shared" si="709"/>
        <v>0.13331005289947595</v>
      </c>
      <c r="K418" s="150">
        <f t="shared" si="709"/>
        <v>8.7435395471967992E-2</v>
      </c>
      <c r="L418" s="302">
        <f t="shared" si="709"/>
        <v>0.75006290820776345</v>
      </c>
      <c r="M418" s="149">
        <f t="shared" si="709"/>
        <v>5.1244217877539748</v>
      </c>
      <c r="N418" s="149">
        <f t="shared" si="709"/>
        <v>-0.44572870278739896</v>
      </c>
      <c r="O418" s="149">
        <f t="shared" si="709"/>
        <v>2.7312018742968069E-2</v>
      </c>
      <c r="P418" s="150">
        <f t="shared" si="709"/>
        <v>0.39098253838179375</v>
      </c>
      <c r="Q418" s="302">
        <f t="shared" si="709"/>
        <v>0.20010196098921074</v>
      </c>
      <c r="R418" s="149">
        <f t="shared" si="709"/>
        <v>-0.71127384655390002</v>
      </c>
      <c r="S418" s="149">
        <f t="shared" si="709"/>
        <v>-0.7434656947461149</v>
      </c>
      <c r="T418" s="149">
        <f t="shared" si="709"/>
        <v>0.19056760721402255</v>
      </c>
      <c r="U418" s="150">
        <f t="shared" si="709"/>
        <v>-0.14106283643690509</v>
      </c>
      <c r="V418" s="302">
        <f t="shared" si="709"/>
        <v>-0.35112092018680108</v>
      </c>
      <c r="W418" s="149">
        <f t="shared" si="709"/>
        <v>-0.78533023031859406</v>
      </c>
      <c r="X418" s="149">
        <f t="shared" si="709"/>
        <v>-0.38424115062938247</v>
      </c>
      <c r="Y418" s="149">
        <f t="shared" si="709"/>
        <v>-0.81769937919541524</v>
      </c>
      <c r="Z418" s="150">
        <f t="shared" si="709"/>
        <v>-0.56486765698037578</v>
      </c>
      <c r="AA418" s="302">
        <f t="shared" si="709"/>
        <v>-0.26040917463828706</v>
      </c>
      <c r="AB418" s="149">
        <f t="shared" si="709"/>
        <v>6.4419033069734013</v>
      </c>
      <c r="AC418" s="149">
        <f t="shared" si="709"/>
        <v>5.5973904186513632</v>
      </c>
      <c r="AD418" s="149">
        <f t="shared" ref="AD418:AR418" si="710">AD417/Y417-1</f>
        <v>2.7913581880483829</v>
      </c>
      <c r="AE418" s="150">
        <f t="shared" si="710"/>
        <v>0.7860396649196244</v>
      </c>
      <c r="AF418" s="302">
        <f t="shared" si="710"/>
        <v>1.3111122974492408</v>
      </c>
      <c r="AG418" s="149">
        <f t="shared" si="710"/>
        <v>-0.68152163540996313</v>
      </c>
      <c r="AH418" s="149">
        <f t="shared" si="710"/>
        <v>-0.47221598008300658</v>
      </c>
      <c r="AI418" s="149">
        <f t="shared" si="710"/>
        <v>-0.43963505098135558</v>
      </c>
      <c r="AJ418" s="150">
        <f t="shared" si="710"/>
        <v>5.7337819798213507E-2</v>
      </c>
      <c r="AK418" s="302">
        <f t="shared" si="710"/>
        <v>-0.50342904197492433</v>
      </c>
      <c r="AL418" s="149">
        <f t="shared" si="710"/>
        <v>-1.0606433790682064</v>
      </c>
      <c r="AM418" s="149">
        <f t="shared" si="710"/>
        <v>-1.6229451614613901</v>
      </c>
      <c r="AN418" s="149">
        <f t="shared" si="710"/>
        <v>-0.97817788676058981</v>
      </c>
      <c r="AO418" s="150">
        <f>AO417/AJ417-1</f>
        <v>-0.71709721800506587</v>
      </c>
      <c r="AP418" s="302">
        <f t="shared" si="710"/>
        <v>-1.3260763388788512</v>
      </c>
      <c r="AQ418" s="149">
        <f t="shared" si="710"/>
        <v>29.209573537216876</v>
      </c>
      <c r="AR418" s="149">
        <f t="shared" si="710"/>
        <v>1.7381309704286472</v>
      </c>
      <c r="AS418" s="149">
        <f>AS417/AN417-1</f>
        <v>-14.467638633933793</v>
      </c>
      <c r="AT418" s="150">
        <f>AT417/AO417-1</f>
        <v>-2.453525582035522</v>
      </c>
      <c r="AU418" s="302">
        <f>AU417/AP417-1</f>
        <v>-1.0513673318551366</v>
      </c>
      <c r="AV418" s="20"/>
      <c r="AW418" s="20"/>
      <c r="AX418" s="188"/>
      <c r="AY418" s="213"/>
      <c r="AZ418" s="269"/>
      <c r="BA418" s="188"/>
      <c r="BB418" s="188"/>
      <c r="BC418" s="188"/>
      <c r="BD418" s="150"/>
      <c r="BE418" s="269"/>
      <c r="BF418" s="188"/>
      <c r="BG418" s="188"/>
      <c r="BH418" s="188"/>
      <c r="BI418" s="534"/>
      <c r="BJ418" s="269"/>
      <c r="BK418" s="188"/>
      <c r="BL418" s="188"/>
      <c r="BM418" s="188"/>
      <c r="BN418" s="150"/>
      <c r="BO418" s="269"/>
      <c r="BP418" s="188"/>
      <c r="BQ418" s="188"/>
      <c r="BR418" s="188"/>
      <c r="BS418" s="150"/>
      <c r="BT418" s="269"/>
      <c r="BU418" s="188"/>
      <c r="BV418" s="188"/>
      <c r="BW418" s="188"/>
      <c r="BX418" s="150"/>
      <c r="BY418" s="269"/>
      <c r="BZ418" s="188"/>
      <c r="CA418" s="188"/>
      <c r="CB418" s="188"/>
      <c r="CC418" s="150"/>
      <c r="CD418" s="269"/>
      <c r="CE418" s="188"/>
      <c r="CF418" s="188"/>
      <c r="CG418" s="188"/>
      <c r="CH418" s="150"/>
      <c r="CI418" s="269"/>
      <c r="CJ418" s="188"/>
      <c r="CK418" s="188"/>
      <c r="CL418" s="188"/>
      <c r="CM418" s="150"/>
      <c r="CN418" s="269"/>
      <c r="CO418" s="188"/>
      <c r="CP418" s="188"/>
      <c r="CQ418" s="188"/>
      <c r="CR418" s="150"/>
      <c r="CS418" s="269"/>
      <c r="CT418" s="188"/>
      <c r="CU418" s="188"/>
      <c r="CV418" s="188"/>
      <c r="CW418" s="150"/>
      <c r="CX418" s="269"/>
      <c r="CY418" s="188"/>
      <c r="CZ418" s="188"/>
      <c r="DA418" s="188"/>
      <c r="DB418" s="150"/>
      <c r="DC418" s="149"/>
      <c r="DD418" s="149"/>
      <c r="DE418" s="149"/>
      <c r="DF418" s="149"/>
      <c r="DG418" s="149"/>
      <c r="DH418" s="149"/>
      <c r="DI418" s="149"/>
      <c r="DJ418" s="149"/>
      <c r="DK418" s="400"/>
      <c r="DL418" s="400"/>
      <c r="DM418" s="108"/>
    </row>
    <row r="419" spans="1:117" outlineLevel="1">
      <c r="A419" s="36"/>
      <c r="B419" s="37"/>
      <c r="C419" s="38"/>
      <c r="D419" s="38"/>
      <c r="E419" s="38"/>
      <c r="F419" s="133"/>
      <c r="G419" s="37"/>
      <c r="H419" s="38"/>
      <c r="I419" s="38"/>
      <c r="J419" s="38"/>
      <c r="K419" s="133"/>
      <c r="L419" s="37"/>
      <c r="M419" s="38"/>
      <c r="N419" s="38"/>
      <c r="O419" s="38"/>
      <c r="P419" s="133"/>
      <c r="Q419" s="37"/>
      <c r="R419" s="38"/>
      <c r="S419" s="38"/>
      <c r="T419" s="38"/>
      <c r="U419" s="133"/>
      <c r="V419" s="37"/>
      <c r="W419" s="38"/>
      <c r="X419" s="38"/>
      <c r="Y419" s="38"/>
      <c r="Z419" s="133"/>
      <c r="AA419" s="37"/>
      <c r="AB419" s="38"/>
      <c r="AC419" s="20"/>
      <c r="AD419" s="38"/>
      <c r="AE419" s="133"/>
      <c r="AF419" s="177"/>
      <c r="AG419" s="20"/>
      <c r="AH419" s="20"/>
      <c r="AI419" s="20"/>
      <c r="AJ419" s="133"/>
      <c r="AK419" s="177"/>
      <c r="AL419" s="20"/>
      <c r="AM419" s="20"/>
      <c r="AN419" s="20"/>
      <c r="AO419" s="133"/>
      <c r="AP419" s="177"/>
      <c r="AQ419" s="20"/>
      <c r="AR419" s="20"/>
      <c r="AS419" s="20"/>
      <c r="AT419" s="133"/>
      <c r="AU419" s="177"/>
      <c r="AV419" s="20"/>
      <c r="AW419" s="20"/>
      <c r="AX419" s="20"/>
      <c r="AY419" s="213"/>
      <c r="AZ419" s="177"/>
      <c r="BA419" s="20"/>
      <c r="BB419" s="20"/>
      <c r="BC419" s="20"/>
      <c r="BD419" s="133"/>
      <c r="BE419" s="177"/>
      <c r="BF419" s="20"/>
      <c r="BG419" s="20"/>
      <c r="BH419" s="20"/>
      <c r="BI419" s="133"/>
      <c r="BJ419" s="177"/>
      <c r="BK419" s="20"/>
      <c r="BL419" s="20"/>
      <c r="BM419" s="20"/>
      <c r="BN419" s="133"/>
      <c r="BO419" s="177"/>
      <c r="BP419" s="20"/>
      <c r="BQ419" s="20"/>
      <c r="BR419" s="20"/>
      <c r="BS419" s="133"/>
      <c r="BT419" s="177"/>
      <c r="BU419" s="20"/>
      <c r="BV419" s="20"/>
      <c r="BW419" s="20"/>
      <c r="BX419" s="133"/>
      <c r="BY419" s="177"/>
      <c r="BZ419" s="20"/>
      <c r="CA419" s="20"/>
      <c r="CB419" s="20"/>
      <c r="CC419" s="133"/>
      <c r="CD419" s="177"/>
      <c r="CE419" s="20"/>
      <c r="CF419" s="20"/>
      <c r="CG419" s="20"/>
      <c r="CH419" s="133"/>
      <c r="CI419" s="177"/>
      <c r="CJ419" s="20"/>
      <c r="CK419" s="20"/>
      <c r="CL419" s="20"/>
      <c r="CM419" s="133"/>
      <c r="CN419" s="177"/>
      <c r="CO419" s="20"/>
      <c r="CP419" s="20"/>
      <c r="CQ419" s="20"/>
      <c r="CR419" s="133"/>
      <c r="CS419" s="177"/>
      <c r="CT419" s="20"/>
      <c r="CU419" s="20"/>
      <c r="CV419" s="20"/>
      <c r="CW419" s="133"/>
      <c r="CX419" s="177"/>
      <c r="CY419" s="20"/>
      <c r="CZ419" s="20"/>
      <c r="DA419" s="20"/>
      <c r="DB419" s="133"/>
      <c r="DC419" s="38"/>
      <c r="DD419" s="38"/>
      <c r="DE419" s="38"/>
      <c r="DF419" s="38"/>
      <c r="DG419" s="38"/>
      <c r="DH419" s="38"/>
      <c r="DI419" s="38"/>
      <c r="DJ419" s="38"/>
      <c r="DK419" s="65"/>
      <c r="DL419" s="65"/>
      <c r="DM419" s="63"/>
    </row>
    <row r="420" spans="1:117" outlineLevel="1">
      <c r="A420" s="28" t="s">
        <v>113</v>
      </c>
      <c r="B420" s="37"/>
      <c r="C420" s="38"/>
      <c r="D420" s="38"/>
      <c r="E420" s="38"/>
      <c r="F420" s="133"/>
      <c r="G420" s="37"/>
      <c r="H420" s="38"/>
      <c r="I420" s="38"/>
      <c r="J420" s="38"/>
      <c r="K420" s="133"/>
      <c r="L420" s="37"/>
      <c r="M420" s="38"/>
      <c r="N420" s="38"/>
      <c r="O420" s="38"/>
      <c r="P420" s="133"/>
      <c r="Q420" s="37"/>
      <c r="R420" s="38"/>
      <c r="S420" s="38"/>
      <c r="T420" s="38"/>
      <c r="U420" s="133"/>
      <c r="V420" s="37"/>
      <c r="W420" s="38"/>
      <c r="X420" s="38"/>
      <c r="Y420" s="38"/>
      <c r="Z420" s="133"/>
      <c r="AA420" s="37"/>
      <c r="AB420" s="38"/>
      <c r="AC420" s="20"/>
      <c r="AD420" s="38"/>
      <c r="AE420" s="133"/>
      <c r="AF420" s="177"/>
      <c r="AG420" s="20"/>
      <c r="AH420" s="20"/>
      <c r="AI420" s="20"/>
      <c r="AJ420" s="294"/>
      <c r="AK420" s="177"/>
      <c r="AL420" s="20"/>
      <c r="AM420" s="20"/>
      <c r="AN420" s="20"/>
      <c r="AO420" s="294"/>
      <c r="AP420" s="177"/>
      <c r="AQ420" s="20"/>
      <c r="AR420" s="20"/>
      <c r="AS420" s="20"/>
      <c r="AT420" s="294"/>
      <c r="AU420" s="177"/>
      <c r="AV420" s="20"/>
      <c r="AW420" s="20"/>
      <c r="AX420" s="20"/>
      <c r="AY420" s="213"/>
      <c r="AZ420" s="177"/>
      <c r="BA420" s="20"/>
      <c r="BB420" s="20"/>
      <c r="BC420" s="20"/>
      <c r="BD420" s="294"/>
      <c r="BE420" s="177"/>
      <c r="BF420" s="20"/>
      <c r="BG420" s="20"/>
      <c r="BH420" s="20"/>
      <c r="BI420" s="294"/>
      <c r="BJ420" s="177"/>
      <c r="BK420" s="20"/>
      <c r="BL420" s="20"/>
      <c r="BM420" s="20"/>
      <c r="BN420" s="294"/>
      <c r="BO420" s="177"/>
      <c r="BP420" s="20"/>
      <c r="BQ420" s="20"/>
      <c r="BR420" s="20"/>
      <c r="BS420" s="294"/>
      <c r="BT420" s="177"/>
      <c r="BU420" s="20"/>
      <c r="BV420" s="20"/>
      <c r="BW420" s="20"/>
      <c r="BX420" s="294"/>
      <c r="BY420" s="177"/>
      <c r="BZ420" s="20"/>
      <c r="CA420" s="20"/>
      <c r="CB420" s="20"/>
      <c r="CC420" s="294"/>
      <c r="CD420" s="177"/>
      <c r="CE420" s="20"/>
      <c r="CF420" s="20"/>
      <c r="CG420" s="20"/>
      <c r="CH420" s="294"/>
      <c r="CI420" s="177"/>
      <c r="CJ420" s="20"/>
      <c r="CK420" s="20"/>
      <c r="CL420" s="20"/>
      <c r="CM420" s="294"/>
      <c r="CN420" s="177"/>
      <c r="CO420" s="20"/>
      <c r="CP420" s="20"/>
      <c r="CQ420" s="20"/>
      <c r="CR420" s="294"/>
      <c r="CS420" s="177"/>
      <c r="CT420" s="20"/>
      <c r="CU420" s="20"/>
      <c r="CV420" s="20"/>
      <c r="CW420" s="294"/>
      <c r="CX420" s="177"/>
      <c r="CY420" s="20"/>
      <c r="CZ420" s="20"/>
      <c r="DA420" s="20"/>
      <c r="DB420" s="294"/>
      <c r="DC420" s="20"/>
      <c r="DD420" s="20"/>
      <c r="DE420" s="20"/>
      <c r="DF420" s="20"/>
      <c r="DG420" s="20"/>
      <c r="DH420" s="20"/>
      <c r="DI420" s="20"/>
      <c r="DJ420" s="20"/>
      <c r="DK420" s="68"/>
      <c r="DL420" s="68"/>
      <c r="DM420" s="63"/>
    </row>
    <row r="421" spans="1:117" outlineLevel="1">
      <c r="A421" s="36" t="s">
        <v>730</v>
      </c>
      <c r="B421" s="41" t="s">
        <v>277</v>
      </c>
      <c r="C421" s="40" t="s">
        <v>277</v>
      </c>
      <c r="D421" s="38">
        <v>28420</v>
      </c>
      <c r="E421" s="40" t="s">
        <v>277</v>
      </c>
      <c r="F421" s="118" t="s">
        <v>277</v>
      </c>
      <c r="G421" s="37">
        <v>91487</v>
      </c>
      <c r="H421" s="38">
        <v>52952</v>
      </c>
      <c r="I421" s="38">
        <v>83447</v>
      </c>
      <c r="J421" s="48">
        <f>K421-SUM(G421:I421)</f>
        <v>122341</v>
      </c>
      <c r="K421" s="133">
        <v>350227</v>
      </c>
      <c r="L421" s="37">
        <v>135068</v>
      </c>
      <c r="M421" s="38">
        <v>95637</v>
      </c>
      <c r="N421" s="38">
        <v>72303</v>
      </c>
      <c r="O421" s="48">
        <f>P421-SUM(L421:N421)</f>
        <v>111943</v>
      </c>
      <c r="P421" s="133">
        <v>414951</v>
      </c>
      <c r="Q421" s="37">
        <v>177106</v>
      </c>
      <c r="R421" s="38">
        <v>59172</v>
      </c>
      <c r="S421" s="38">
        <v>38328</v>
      </c>
      <c r="T421" s="48">
        <f>U421-SUM(Q421:S421)</f>
        <v>134445</v>
      </c>
      <c r="U421" s="133">
        <v>409051</v>
      </c>
      <c r="V421" s="37">
        <v>137678</v>
      </c>
      <c r="W421" s="38">
        <v>51152</v>
      </c>
      <c r="X421" s="38">
        <v>57268</v>
      </c>
      <c r="Y421" s="48">
        <f>Z421-SUM(V421:X421)</f>
        <v>67302</v>
      </c>
      <c r="Z421" s="133">
        <v>313400</v>
      </c>
      <c r="AA421" s="37">
        <v>111900</v>
      </c>
      <c r="AB421" s="38">
        <v>74700</v>
      </c>
      <c r="AC421" s="38">
        <v>79700</v>
      </c>
      <c r="AD421" s="48">
        <f>AE421-SUM(AA421:AC421)</f>
        <v>101400</v>
      </c>
      <c r="AE421" s="133">
        <v>367700</v>
      </c>
      <c r="AF421" s="37">
        <v>163400</v>
      </c>
      <c r="AG421" s="38">
        <v>51600</v>
      </c>
      <c r="AH421" s="38">
        <v>57600</v>
      </c>
      <c r="AI421" s="48">
        <f>AJ421-SUM(AF421:AH421)</f>
        <v>70300</v>
      </c>
      <c r="AJ421" s="133">
        <v>342900</v>
      </c>
      <c r="AK421" s="37">
        <v>97300</v>
      </c>
      <c r="AL421" s="38">
        <v>39400</v>
      </c>
      <c r="AM421" s="38">
        <v>30600</v>
      </c>
      <c r="AN421" s="48">
        <f>AO421-SUM(AK421:AM421)</f>
        <v>40700</v>
      </c>
      <c r="AO421" s="133">
        <v>208000</v>
      </c>
      <c r="AP421" s="37">
        <v>28800</v>
      </c>
      <c r="AQ421" s="38">
        <v>26700</v>
      </c>
      <c r="AR421" s="38">
        <v>19100</v>
      </c>
      <c r="AS421" s="48">
        <f>AT421-SUM(AP421:AR421)</f>
        <v>31000</v>
      </c>
      <c r="AT421" s="133">
        <v>105600</v>
      </c>
      <c r="AU421" s="177"/>
      <c r="AV421" s="20"/>
      <c r="AW421" s="20"/>
      <c r="AX421" s="20"/>
      <c r="AY421" s="133"/>
      <c r="AZ421" s="177"/>
      <c r="BA421" s="20"/>
      <c r="BB421" s="20"/>
      <c r="BC421" s="20"/>
      <c r="BD421" s="133"/>
      <c r="BE421" s="177"/>
      <c r="BF421" s="20"/>
      <c r="BG421" s="20"/>
      <c r="BH421" s="20"/>
      <c r="BI421" s="133"/>
      <c r="BJ421" s="177"/>
      <c r="BK421" s="20"/>
      <c r="BL421" s="20"/>
      <c r="BM421" s="20"/>
      <c r="BN421" s="133"/>
      <c r="BO421" s="177"/>
      <c r="BP421" s="20"/>
      <c r="BQ421" s="20"/>
      <c r="BR421" s="20"/>
      <c r="BS421" s="133"/>
      <c r="BT421" s="177"/>
      <c r="BU421" s="20"/>
      <c r="BV421" s="20"/>
      <c r="BW421" s="20"/>
      <c r="BX421" s="133"/>
      <c r="BY421" s="177"/>
      <c r="BZ421" s="20"/>
      <c r="CA421" s="20"/>
      <c r="CB421" s="20"/>
      <c r="CC421" s="133"/>
      <c r="CD421" s="177"/>
      <c r="CE421" s="20"/>
      <c r="CF421" s="20"/>
      <c r="CG421" s="20"/>
      <c r="CH421" s="133"/>
      <c r="CI421" s="177"/>
      <c r="CJ421" s="20"/>
      <c r="CK421" s="20"/>
      <c r="CL421" s="20"/>
      <c r="CM421" s="133"/>
      <c r="CN421" s="177"/>
      <c r="CO421" s="20"/>
      <c r="CP421" s="20"/>
      <c r="CQ421" s="20"/>
      <c r="CR421" s="133"/>
      <c r="CS421" s="177"/>
      <c r="CT421" s="20"/>
      <c r="CU421" s="20"/>
      <c r="CV421" s="20"/>
      <c r="CW421" s="133"/>
      <c r="CX421" s="177"/>
      <c r="CY421" s="20"/>
      <c r="CZ421" s="20"/>
      <c r="DA421" s="20"/>
      <c r="DB421" s="133"/>
      <c r="DC421" s="38"/>
      <c r="DD421" s="38"/>
      <c r="DE421" s="38"/>
      <c r="DF421" s="38"/>
      <c r="DG421" s="38"/>
      <c r="DH421" s="38"/>
      <c r="DI421" s="38"/>
      <c r="DJ421" s="38"/>
      <c r="DK421" s="65"/>
      <c r="DL421" s="65"/>
      <c r="DM421" s="63"/>
    </row>
    <row r="422" spans="1:117" outlineLevel="1">
      <c r="A422" s="36" t="s">
        <v>73</v>
      </c>
      <c r="B422" s="41" t="s">
        <v>277</v>
      </c>
      <c r="C422" s="40" t="s">
        <v>277</v>
      </c>
      <c r="D422" s="38">
        <v>31944</v>
      </c>
      <c r="E422" s="40" t="s">
        <v>277</v>
      </c>
      <c r="F422" s="118" t="s">
        <v>277</v>
      </c>
      <c r="G422" s="37">
        <v>43302</v>
      </c>
      <c r="H422" s="38">
        <v>40074</v>
      </c>
      <c r="I422" s="38">
        <v>40263</v>
      </c>
      <c r="J422" s="48">
        <f>K422-SUM(G422:I422)</f>
        <v>51199</v>
      </c>
      <c r="K422" s="133">
        <v>174838</v>
      </c>
      <c r="L422" s="37">
        <v>49259</v>
      </c>
      <c r="M422" s="38">
        <v>44282</v>
      </c>
      <c r="N422" s="38">
        <v>43088</v>
      </c>
      <c r="O422" s="48">
        <f>P422-SUM(L422:N422)</f>
        <v>44079</v>
      </c>
      <c r="P422" s="133">
        <v>180708</v>
      </c>
      <c r="Q422" s="37">
        <v>52713</v>
      </c>
      <c r="R422" s="38">
        <v>45306</v>
      </c>
      <c r="S422" s="38">
        <v>43390</v>
      </c>
      <c r="T422" s="48">
        <f>U422-SUM(Q422:S422)</f>
        <v>50454</v>
      </c>
      <c r="U422" s="133">
        <v>191863</v>
      </c>
      <c r="V422" s="37">
        <v>54275</v>
      </c>
      <c r="W422" s="38">
        <v>54283</v>
      </c>
      <c r="X422" s="38">
        <v>54577</v>
      </c>
      <c r="Y422" s="48">
        <f>Z422-SUM(V422:X422)</f>
        <v>56665</v>
      </c>
      <c r="Z422" s="133">
        <v>219800</v>
      </c>
      <c r="AA422" s="37">
        <v>57000</v>
      </c>
      <c r="AB422" s="38">
        <v>51600</v>
      </c>
      <c r="AC422" s="38">
        <v>53100</v>
      </c>
      <c r="AD422" s="48">
        <f>AE422-SUM(AA422:AC422)</f>
        <v>49500</v>
      </c>
      <c r="AE422" s="133">
        <v>211200</v>
      </c>
      <c r="AF422" s="37">
        <v>54700</v>
      </c>
      <c r="AG422" s="38">
        <v>45300</v>
      </c>
      <c r="AH422" s="38">
        <v>45900</v>
      </c>
      <c r="AI422" s="48">
        <f>AJ422-SUM(AF422:AH422)</f>
        <v>43500</v>
      </c>
      <c r="AJ422" s="133">
        <v>189400</v>
      </c>
      <c r="AK422" s="37">
        <v>41900</v>
      </c>
      <c r="AL422" s="38">
        <v>39600</v>
      </c>
      <c r="AM422" s="38">
        <v>39400</v>
      </c>
      <c r="AN422" s="48">
        <f>AO422-SUM(AK422:AM422)</f>
        <v>40300</v>
      </c>
      <c r="AO422" s="133">
        <v>161200</v>
      </c>
      <c r="AP422" s="37">
        <v>44500</v>
      </c>
      <c r="AQ422" s="38">
        <v>37600</v>
      </c>
      <c r="AR422" s="38">
        <v>37300</v>
      </c>
      <c r="AS422" s="48">
        <f>AT422-SUM(AP422:AR422)</f>
        <v>37900</v>
      </c>
      <c r="AT422" s="133">
        <v>157300</v>
      </c>
      <c r="AU422" s="177"/>
      <c r="AV422" s="20"/>
      <c r="AW422" s="20"/>
      <c r="AX422" s="20"/>
      <c r="AY422" s="133"/>
      <c r="AZ422" s="177"/>
      <c r="BA422" s="20"/>
      <c r="BB422" s="20"/>
      <c r="BC422" s="20"/>
      <c r="BD422" s="133"/>
      <c r="BE422" s="177"/>
      <c r="BF422" s="20"/>
      <c r="BG422" s="20"/>
      <c r="BH422" s="20"/>
      <c r="BI422" s="133"/>
      <c r="BJ422" s="177"/>
      <c r="BK422" s="20"/>
      <c r="BL422" s="20"/>
      <c r="BM422" s="20"/>
      <c r="BN422" s="133"/>
      <c r="BO422" s="177"/>
      <c r="BP422" s="20"/>
      <c r="BQ422" s="20"/>
      <c r="BR422" s="20"/>
      <c r="BS422" s="133"/>
      <c r="BT422" s="177"/>
      <c r="BU422" s="20"/>
      <c r="BV422" s="20"/>
      <c r="BW422" s="20"/>
      <c r="BX422" s="133"/>
      <c r="BY422" s="177"/>
      <c r="BZ422" s="20"/>
      <c r="CA422" s="20"/>
      <c r="CB422" s="20"/>
      <c r="CC422" s="133"/>
      <c r="CD422" s="177"/>
      <c r="CE422" s="20"/>
      <c r="CF422" s="20"/>
      <c r="CG422" s="20"/>
      <c r="CH422" s="133"/>
      <c r="CI422" s="177"/>
      <c r="CJ422" s="20"/>
      <c r="CK422" s="20"/>
      <c r="CL422" s="20"/>
      <c r="CM422" s="133"/>
      <c r="CN422" s="177"/>
      <c r="CO422" s="20"/>
      <c r="CP422" s="20"/>
      <c r="CQ422" s="20"/>
      <c r="CR422" s="133"/>
      <c r="CS422" s="177"/>
      <c r="CT422" s="20"/>
      <c r="CU422" s="20"/>
      <c r="CV422" s="20"/>
      <c r="CW422" s="133"/>
      <c r="CX422" s="177"/>
      <c r="CY422" s="20"/>
      <c r="CZ422" s="20"/>
      <c r="DA422" s="20"/>
      <c r="DB422" s="133"/>
      <c r="DC422" s="38"/>
      <c r="DD422" s="38"/>
      <c r="DE422" s="38"/>
      <c r="DF422" s="38"/>
      <c r="DG422" s="38"/>
      <c r="DH422" s="38"/>
      <c r="DI422" s="38"/>
      <c r="DJ422" s="38"/>
      <c r="DK422" s="65"/>
      <c r="DL422" s="65"/>
      <c r="DM422" s="63"/>
    </row>
    <row r="423" spans="1:117" outlineLevel="1">
      <c r="A423" s="36" t="s">
        <v>663</v>
      </c>
      <c r="B423" s="41" t="s">
        <v>277</v>
      </c>
      <c r="C423" s="40" t="s">
        <v>277</v>
      </c>
      <c r="D423" s="48">
        <f>D421-D422</f>
        <v>-3524</v>
      </c>
      <c r="E423" s="40" t="s">
        <v>277</v>
      </c>
      <c r="F423" s="118" t="s">
        <v>277</v>
      </c>
      <c r="G423" s="94">
        <f t="shared" ref="G423:AC423" si="711">G421-G422</f>
        <v>48185</v>
      </c>
      <c r="H423" s="48">
        <f t="shared" si="711"/>
        <v>12878</v>
      </c>
      <c r="I423" s="48">
        <f t="shared" si="711"/>
        <v>43184</v>
      </c>
      <c r="J423" s="48">
        <f t="shared" si="711"/>
        <v>71142</v>
      </c>
      <c r="K423" s="104">
        <f t="shared" si="711"/>
        <v>175389</v>
      </c>
      <c r="L423" s="94">
        <f t="shared" si="711"/>
        <v>85809</v>
      </c>
      <c r="M423" s="48">
        <f t="shared" si="711"/>
        <v>51355</v>
      </c>
      <c r="N423" s="48">
        <f t="shared" si="711"/>
        <v>29215</v>
      </c>
      <c r="O423" s="48">
        <f t="shared" si="711"/>
        <v>67864</v>
      </c>
      <c r="P423" s="104">
        <f t="shared" si="711"/>
        <v>234243</v>
      </c>
      <c r="Q423" s="94">
        <f t="shared" si="711"/>
        <v>124393</v>
      </c>
      <c r="R423" s="48">
        <f t="shared" si="711"/>
        <v>13866</v>
      </c>
      <c r="S423" s="48">
        <f t="shared" si="711"/>
        <v>-5062</v>
      </c>
      <c r="T423" s="48">
        <f t="shared" si="711"/>
        <v>83991</v>
      </c>
      <c r="U423" s="104">
        <f t="shared" si="711"/>
        <v>217188</v>
      </c>
      <c r="V423" s="94">
        <f t="shared" si="711"/>
        <v>83403</v>
      </c>
      <c r="W423" s="48">
        <f t="shared" si="711"/>
        <v>-3131</v>
      </c>
      <c r="X423" s="48">
        <f t="shared" si="711"/>
        <v>2691</v>
      </c>
      <c r="Y423" s="48">
        <f t="shared" si="711"/>
        <v>10637</v>
      </c>
      <c r="Z423" s="104">
        <f t="shared" si="711"/>
        <v>93600</v>
      </c>
      <c r="AA423" s="94">
        <f t="shared" si="711"/>
        <v>54900</v>
      </c>
      <c r="AB423" s="48">
        <f t="shared" si="711"/>
        <v>23100</v>
      </c>
      <c r="AC423" s="48">
        <f t="shared" si="711"/>
        <v>26600</v>
      </c>
      <c r="AD423" s="48">
        <f t="shared" ref="AD423:AM423" si="712">AD421-AD422</f>
        <v>51900</v>
      </c>
      <c r="AE423" s="104">
        <f t="shared" si="712"/>
        <v>156500</v>
      </c>
      <c r="AF423" s="79">
        <f t="shared" si="712"/>
        <v>108700</v>
      </c>
      <c r="AG423" s="77">
        <f t="shared" si="712"/>
        <v>6300</v>
      </c>
      <c r="AH423" s="48">
        <f t="shared" si="712"/>
        <v>11700</v>
      </c>
      <c r="AI423" s="48">
        <f t="shared" si="712"/>
        <v>26800</v>
      </c>
      <c r="AJ423" s="104">
        <f t="shared" si="712"/>
        <v>153500</v>
      </c>
      <c r="AK423" s="79">
        <f t="shared" si="712"/>
        <v>55400</v>
      </c>
      <c r="AL423" s="77">
        <f t="shared" si="712"/>
        <v>-200</v>
      </c>
      <c r="AM423" s="48">
        <f t="shared" si="712"/>
        <v>-8800</v>
      </c>
      <c r="AN423" s="48">
        <f>AN421-AN422</f>
        <v>400</v>
      </c>
      <c r="AO423" s="104">
        <f>AO421-AO422</f>
        <v>46800</v>
      </c>
      <c r="AP423" s="79">
        <v>-15700</v>
      </c>
      <c r="AQ423" s="77">
        <f>AQ421-AQ422</f>
        <v>-10900</v>
      </c>
      <c r="AR423" s="77">
        <f>AR421-AR422</f>
        <v>-18200</v>
      </c>
      <c r="AS423" s="48">
        <f>AS421-AS422</f>
        <v>-6900</v>
      </c>
      <c r="AT423" s="104">
        <f>AT421-AT422</f>
        <v>-51700</v>
      </c>
      <c r="AU423" s="177"/>
      <c r="AV423" s="38"/>
      <c r="AW423" s="38"/>
      <c r="AX423" s="38"/>
      <c r="AY423" s="133"/>
      <c r="AZ423" s="37"/>
      <c r="BA423" s="38"/>
      <c r="BB423" s="38"/>
      <c r="BC423" s="38"/>
      <c r="BD423" s="133"/>
      <c r="BE423" s="37"/>
      <c r="BF423" s="38"/>
      <c r="BG423" s="38"/>
      <c r="BH423" s="38"/>
      <c r="BI423" s="133"/>
      <c r="BJ423" s="37"/>
      <c r="BK423" s="38"/>
      <c r="BL423" s="38"/>
      <c r="BM423" s="38"/>
      <c r="BN423" s="133"/>
      <c r="BO423" s="37"/>
      <c r="BP423" s="38"/>
      <c r="BQ423" s="38"/>
      <c r="BR423" s="38"/>
      <c r="BS423" s="133"/>
      <c r="BT423" s="37"/>
      <c r="BU423" s="38"/>
      <c r="BV423" s="38"/>
      <c r="BW423" s="38"/>
      <c r="BX423" s="133"/>
      <c r="BY423" s="37"/>
      <c r="BZ423" s="38"/>
      <c r="CA423" s="38"/>
      <c r="CB423" s="38"/>
      <c r="CC423" s="133"/>
      <c r="CD423" s="37"/>
      <c r="CE423" s="38"/>
      <c r="CF423" s="38"/>
      <c r="CG423" s="38"/>
      <c r="CH423" s="133"/>
      <c r="CI423" s="37"/>
      <c r="CJ423" s="38"/>
      <c r="CK423" s="38"/>
      <c r="CL423" s="38"/>
      <c r="CM423" s="133"/>
      <c r="CN423" s="37"/>
      <c r="CO423" s="38"/>
      <c r="CP423" s="38"/>
      <c r="CQ423" s="38"/>
      <c r="CR423" s="133"/>
      <c r="CS423" s="37"/>
      <c r="CT423" s="38"/>
      <c r="CU423" s="38"/>
      <c r="CV423" s="38"/>
      <c r="CW423" s="133"/>
      <c r="CX423" s="37"/>
      <c r="CY423" s="38"/>
      <c r="CZ423" s="38"/>
      <c r="DA423" s="38"/>
      <c r="DB423" s="133"/>
      <c r="DC423" s="38"/>
      <c r="DD423" s="38"/>
      <c r="DE423" s="38"/>
      <c r="DF423" s="38"/>
      <c r="DG423" s="38"/>
      <c r="DH423" s="38"/>
      <c r="DI423" s="38"/>
      <c r="DJ423" s="38"/>
      <c r="DK423" s="65"/>
      <c r="DL423" s="65"/>
      <c r="DM423" s="63"/>
    </row>
    <row r="424" spans="1:117" outlineLevel="1">
      <c r="A424" s="36" t="s">
        <v>664</v>
      </c>
      <c r="B424" s="41" t="s">
        <v>277</v>
      </c>
      <c r="C424" s="40" t="s">
        <v>277</v>
      </c>
      <c r="D424" s="38">
        <v>3051</v>
      </c>
      <c r="E424" s="40" t="s">
        <v>277</v>
      </c>
      <c r="F424" s="118" t="s">
        <v>277</v>
      </c>
      <c r="G424" s="37">
        <v>5210</v>
      </c>
      <c r="H424" s="38">
        <v>3047</v>
      </c>
      <c r="I424" s="38">
        <v>3535</v>
      </c>
      <c r="J424" s="48">
        <f>K424-SUM(G424:I424)</f>
        <v>5734</v>
      </c>
      <c r="K424" s="133">
        <v>17526</v>
      </c>
      <c r="L424" s="37">
        <v>5449</v>
      </c>
      <c r="M424" s="38">
        <v>4310</v>
      </c>
      <c r="N424" s="38">
        <v>3442</v>
      </c>
      <c r="O424" s="48">
        <f>P424-SUM(L424:N424)</f>
        <v>5805</v>
      </c>
      <c r="P424" s="133">
        <v>19006</v>
      </c>
      <c r="Q424" s="37">
        <v>2994</v>
      </c>
      <c r="R424" s="38">
        <v>3179</v>
      </c>
      <c r="S424" s="38">
        <v>3204</v>
      </c>
      <c r="T424" s="48">
        <f>U424-SUM(Q424:S424)</f>
        <v>4613</v>
      </c>
      <c r="U424" s="133">
        <v>13990</v>
      </c>
      <c r="V424" s="37">
        <v>5213</v>
      </c>
      <c r="W424" s="38">
        <v>2404</v>
      </c>
      <c r="X424" s="38">
        <v>1715</v>
      </c>
      <c r="Y424" s="48">
        <f>Z424-SUM(V424:X424)</f>
        <v>5468</v>
      </c>
      <c r="Z424" s="133">
        <v>14800</v>
      </c>
      <c r="AA424" s="37">
        <v>4400</v>
      </c>
      <c r="AB424" s="38">
        <v>6800</v>
      </c>
      <c r="AC424" s="38">
        <v>3100</v>
      </c>
      <c r="AD424" s="48">
        <f>AE424-SUM(AA424:AC424)</f>
        <v>3700</v>
      </c>
      <c r="AE424" s="133">
        <v>18000</v>
      </c>
      <c r="AF424" s="37">
        <v>0</v>
      </c>
      <c r="AG424" s="38">
        <v>0</v>
      </c>
      <c r="AH424" s="38">
        <v>0</v>
      </c>
      <c r="AI424" s="48">
        <f>AJ424-SUM(AF424:AH424)</f>
        <v>0</v>
      </c>
      <c r="AJ424" s="133">
        <v>0</v>
      </c>
      <c r="AK424" s="37">
        <v>0</v>
      </c>
      <c r="AL424" s="48">
        <v>0</v>
      </c>
      <c r="AM424" s="38">
        <v>0</v>
      </c>
      <c r="AN424" s="48">
        <v>0</v>
      </c>
      <c r="AO424" s="133">
        <v>0</v>
      </c>
      <c r="AP424" s="37">
        <v>0</v>
      </c>
      <c r="AQ424" s="48">
        <v>0</v>
      </c>
      <c r="AR424" s="38">
        <v>0</v>
      </c>
      <c r="AS424" s="48">
        <v>0</v>
      </c>
      <c r="AT424" s="133">
        <v>0</v>
      </c>
      <c r="AU424" s="177"/>
      <c r="AV424" s="20"/>
      <c r="AW424" s="20"/>
      <c r="AX424" s="20"/>
      <c r="AY424" s="133"/>
      <c r="AZ424" s="177"/>
      <c r="BA424" s="20"/>
      <c r="BB424" s="20"/>
      <c r="BC424" s="20"/>
      <c r="BD424" s="133"/>
      <c r="BE424" s="177"/>
      <c r="BF424" s="20"/>
      <c r="BG424" s="20"/>
      <c r="BH424" s="20"/>
      <c r="BI424" s="133"/>
      <c r="BJ424" s="177"/>
      <c r="BK424" s="20"/>
      <c r="BL424" s="20"/>
      <c r="BM424" s="20"/>
      <c r="BN424" s="133"/>
      <c r="BO424" s="177"/>
      <c r="BP424" s="20"/>
      <c r="BQ424" s="20"/>
      <c r="BR424" s="20"/>
      <c r="BS424" s="133"/>
      <c r="BT424" s="177"/>
      <c r="BU424" s="20"/>
      <c r="BV424" s="20"/>
      <c r="BW424" s="20"/>
      <c r="BX424" s="133"/>
      <c r="BY424" s="177"/>
      <c r="BZ424" s="20"/>
      <c r="CA424" s="20"/>
      <c r="CB424" s="20"/>
      <c r="CC424" s="133"/>
      <c r="CD424" s="177"/>
      <c r="CE424" s="20"/>
      <c r="CF424" s="20"/>
      <c r="CG424" s="20"/>
      <c r="CH424" s="133"/>
      <c r="CI424" s="177"/>
      <c r="CJ424" s="20"/>
      <c r="CK424" s="20"/>
      <c r="CL424" s="20"/>
      <c r="CM424" s="133"/>
      <c r="CN424" s="177"/>
      <c r="CO424" s="20"/>
      <c r="CP424" s="20"/>
      <c r="CQ424" s="20"/>
      <c r="CR424" s="133"/>
      <c r="CS424" s="177"/>
      <c r="CT424" s="20"/>
      <c r="CU424" s="20"/>
      <c r="CV424" s="20"/>
      <c r="CW424" s="133"/>
      <c r="CX424" s="177"/>
      <c r="CY424" s="20"/>
      <c r="CZ424" s="20"/>
      <c r="DA424" s="20"/>
      <c r="DB424" s="133"/>
      <c r="DC424" s="38"/>
      <c r="DD424" s="38"/>
      <c r="DE424" s="38"/>
      <c r="DF424" s="38"/>
      <c r="DG424" s="38"/>
      <c r="DH424" s="38"/>
      <c r="DI424" s="38"/>
      <c r="DJ424" s="38"/>
      <c r="DK424" s="65"/>
      <c r="DL424" s="65"/>
      <c r="DM424" s="63"/>
    </row>
    <row r="425" spans="1:117" outlineLevel="1">
      <c r="A425" s="36" t="s">
        <v>112</v>
      </c>
      <c r="B425" s="41" t="s">
        <v>277</v>
      </c>
      <c r="C425" s="40" t="s">
        <v>277</v>
      </c>
      <c r="D425" s="38">
        <v>18589</v>
      </c>
      <c r="E425" s="40" t="s">
        <v>277</v>
      </c>
      <c r="F425" s="118" t="s">
        <v>277</v>
      </c>
      <c r="G425" s="37">
        <v>7800</v>
      </c>
      <c r="H425" s="38">
        <v>-4677</v>
      </c>
      <c r="I425" s="38">
        <v>8321</v>
      </c>
      <c r="J425" s="48">
        <f>K425-SUM(G425:I425)</f>
        <v>2001</v>
      </c>
      <c r="K425" s="133">
        <v>13445</v>
      </c>
      <c r="L425" s="37">
        <v>11896</v>
      </c>
      <c r="M425" s="38">
        <v>8662</v>
      </c>
      <c r="N425" s="38">
        <v>-1932</v>
      </c>
      <c r="O425" s="48">
        <f>P425-SUM(L425:N425)</f>
        <v>1943</v>
      </c>
      <c r="P425" s="133">
        <v>20569</v>
      </c>
      <c r="Q425" s="37">
        <v>4017</v>
      </c>
      <c r="R425" s="38">
        <v>2013</v>
      </c>
      <c r="S425" s="38">
        <v>10313</v>
      </c>
      <c r="T425" s="48">
        <f>U425-SUM(Q425:S425)</f>
        <v>-119</v>
      </c>
      <c r="U425" s="133">
        <v>16224</v>
      </c>
      <c r="V425" s="37">
        <v>-3751</v>
      </c>
      <c r="W425" s="38">
        <v>4900</v>
      </c>
      <c r="X425" s="38">
        <v>413</v>
      </c>
      <c r="Y425" s="48">
        <f>Z425-SUM(V425:X425)</f>
        <v>738</v>
      </c>
      <c r="Z425" s="133">
        <v>2300</v>
      </c>
      <c r="AA425" s="37">
        <v>3200</v>
      </c>
      <c r="AB425" s="38">
        <v>200</v>
      </c>
      <c r="AC425" s="38">
        <v>0</v>
      </c>
      <c r="AD425" s="48">
        <f>AE425-SUM(AA425:AC425)</f>
        <v>-300</v>
      </c>
      <c r="AE425" s="133">
        <v>3100</v>
      </c>
      <c r="AF425" s="37">
        <v>1900</v>
      </c>
      <c r="AG425" s="38">
        <v>1300</v>
      </c>
      <c r="AH425" s="38">
        <v>2400</v>
      </c>
      <c r="AI425" s="48">
        <f>AJ425-SUM(AF425:AH425)</f>
        <v>600</v>
      </c>
      <c r="AJ425" s="133">
        <v>6200</v>
      </c>
      <c r="AK425" s="37">
        <v>500</v>
      </c>
      <c r="AL425" s="449">
        <v>-200</v>
      </c>
      <c r="AM425" s="38">
        <v>1400</v>
      </c>
      <c r="AN425" s="48">
        <f>AO425-SUM(AK425:AM425)</f>
        <v>200</v>
      </c>
      <c r="AO425" s="133">
        <v>1900</v>
      </c>
      <c r="AP425" s="37">
        <v>300</v>
      </c>
      <c r="AQ425" s="449">
        <v>500</v>
      </c>
      <c r="AR425" s="449">
        <v>900</v>
      </c>
      <c r="AS425" s="48">
        <f>AT425-SUM(AP425:AR425)</f>
        <v>700</v>
      </c>
      <c r="AT425" s="133">
        <v>2400</v>
      </c>
      <c r="AU425" s="177"/>
      <c r="AV425" s="20"/>
      <c r="AW425" s="20"/>
      <c r="AX425" s="20"/>
      <c r="AY425" s="133"/>
      <c r="AZ425" s="177"/>
      <c r="BA425" s="20"/>
      <c r="BB425" s="20"/>
      <c r="BC425" s="20"/>
      <c r="BD425" s="133"/>
      <c r="BE425" s="177"/>
      <c r="BF425" s="20"/>
      <c r="BG425" s="20"/>
      <c r="BH425" s="20"/>
      <c r="BI425" s="133"/>
      <c r="BJ425" s="177"/>
      <c r="BK425" s="20"/>
      <c r="BL425" s="20"/>
      <c r="BM425" s="20"/>
      <c r="BN425" s="133"/>
      <c r="BO425" s="177"/>
      <c r="BP425" s="20"/>
      <c r="BQ425" s="20"/>
      <c r="BR425" s="20"/>
      <c r="BS425" s="133"/>
      <c r="BT425" s="177"/>
      <c r="BU425" s="20"/>
      <c r="BV425" s="20"/>
      <c r="BW425" s="20"/>
      <c r="BX425" s="133"/>
      <c r="BY425" s="177"/>
      <c r="BZ425" s="20"/>
      <c r="CA425" s="20"/>
      <c r="CB425" s="20"/>
      <c r="CC425" s="133"/>
      <c r="CD425" s="177"/>
      <c r="CE425" s="20"/>
      <c r="CF425" s="20"/>
      <c r="CG425" s="20"/>
      <c r="CH425" s="133"/>
      <c r="CI425" s="177"/>
      <c r="CJ425" s="20"/>
      <c r="CK425" s="20"/>
      <c r="CL425" s="20"/>
      <c r="CM425" s="133"/>
      <c r="CN425" s="177"/>
      <c r="CO425" s="20"/>
      <c r="CP425" s="20"/>
      <c r="CQ425" s="20"/>
      <c r="CR425" s="133"/>
      <c r="CS425" s="177"/>
      <c r="CT425" s="20"/>
      <c r="CU425" s="20"/>
      <c r="CV425" s="20"/>
      <c r="CW425" s="133"/>
      <c r="CX425" s="177"/>
      <c r="CY425" s="20"/>
      <c r="CZ425" s="20"/>
      <c r="DA425" s="20"/>
      <c r="DB425" s="133"/>
      <c r="DC425" s="38"/>
      <c r="DD425" s="38"/>
      <c r="DE425" s="38"/>
      <c r="DF425" s="38"/>
      <c r="DG425" s="38"/>
      <c r="DH425" s="38"/>
      <c r="DI425" s="38"/>
      <c r="DJ425" s="38"/>
      <c r="DK425" s="65"/>
      <c r="DL425" s="65"/>
      <c r="DM425" s="63"/>
    </row>
    <row r="426" spans="1:117" outlineLevel="1">
      <c r="A426" s="16" t="s">
        <v>763</v>
      </c>
      <c r="B426" s="41" t="s">
        <v>277</v>
      </c>
      <c r="C426" s="40" t="s">
        <v>277</v>
      </c>
      <c r="D426" s="168">
        <f>SUM(D423:D425)</f>
        <v>18116</v>
      </c>
      <c r="E426" s="39" t="s">
        <v>277</v>
      </c>
      <c r="F426" s="187" t="s">
        <v>277</v>
      </c>
      <c r="G426" s="160">
        <f t="shared" ref="G426:AC426" si="713">SUM(G423:G425)</f>
        <v>61195</v>
      </c>
      <c r="H426" s="168">
        <f t="shared" si="713"/>
        <v>11248</v>
      </c>
      <c r="I426" s="168">
        <f t="shared" si="713"/>
        <v>55040</v>
      </c>
      <c r="J426" s="168">
        <f t="shared" si="713"/>
        <v>78877</v>
      </c>
      <c r="K426" s="235">
        <f t="shared" si="713"/>
        <v>206360</v>
      </c>
      <c r="L426" s="160">
        <f t="shared" si="713"/>
        <v>103154</v>
      </c>
      <c r="M426" s="168">
        <f t="shared" si="713"/>
        <v>64327</v>
      </c>
      <c r="N426" s="168">
        <f t="shared" si="713"/>
        <v>30725</v>
      </c>
      <c r="O426" s="168">
        <f t="shared" si="713"/>
        <v>75612</v>
      </c>
      <c r="P426" s="235">
        <f t="shared" si="713"/>
        <v>273818</v>
      </c>
      <c r="Q426" s="160">
        <f t="shared" si="713"/>
        <v>131404</v>
      </c>
      <c r="R426" s="168">
        <f t="shared" si="713"/>
        <v>19058</v>
      </c>
      <c r="S426" s="168">
        <f t="shared" si="713"/>
        <v>8455</v>
      </c>
      <c r="T426" s="168">
        <f t="shared" si="713"/>
        <v>88485</v>
      </c>
      <c r="U426" s="235">
        <f t="shared" si="713"/>
        <v>247402</v>
      </c>
      <c r="V426" s="160">
        <f t="shared" si="713"/>
        <v>84865</v>
      </c>
      <c r="W426" s="168">
        <f t="shared" si="713"/>
        <v>4173</v>
      </c>
      <c r="X426" s="168">
        <f t="shared" si="713"/>
        <v>4819</v>
      </c>
      <c r="Y426" s="168">
        <f t="shared" si="713"/>
        <v>16843</v>
      </c>
      <c r="Z426" s="235">
        <f t="shared" si="713"/>
        <v>110700</v>
      </c>
      <c r="AA426" s="160">
        <f t="shared" si="713"/>
        <v>62500</v>
      </c>
      <c r="AB426" s="168">
        <f t="shared" si="713"/>
        <v>30100</v>
      </c>
      <c r="AC426" s="168">
        <f t="shared" si="713"/>
        <v>29700</v>
      </c>
      <c r="AD426" s="168">
        <f t="shared" ref="AD426:AM426" si="714">SUM(AD423:AD425)</f>
        <v>55300</v>
      </c>
      <c r="AE426" s="235">
        <f t="shared" si="714"/>
        <v>177600</v>
      </c>
      <c r="AF426" s="78">
        <f t="shared" si="714"/>
        <v>110600</v>
      </c>
      <c r="AG426" s="76">
        <f t="shared" si="714"/>
        <v>7600</v>
      </c>
      <c r="AH426" s="168">
        <f t="shared" si="714"/>
        <v>14100</v>
      </c>
      <c r="AI426" s="168">
        <f t="shared" si="714"/>
        <v>27400</v>
      </c>
      <c r="AJ426" s="235">
        <f t="shared" si="714"/>
        <v>159700</v>
      </c>
      <c r="AK426" s="78">
        <f t="shared" si="714"/>
        <v>55900</v>
      </c>
      <c r="AL426" s="76">
        <f>SUM(AL423:AL425)</f>
        <v>-400</v>
      </c>
      <c r="AM426" s="168">
        <f t="shared" si="714"/>
        <v>-7400</v>
      </c>
      <c r="AN426" s="168">
        <f t="shared" ref="AN426:AT426" si="715">SUM(AN423:AN425)</f>
        <v>600</v>
      </c>
      <c r="AO426" s="235">
        <f t="shared" si="715"/>
        <v>48700</v>
      </c>
      <c r="AP426" s="78">
        <f t="shared" si="715"/>
        <v>-15400</v>
      </c>
      <c r="AQ426" s="76">
        <f t="shared" si="715"/>
        <v>-10400</v>
      </c>
      <c r="AR426" s="76">
        <f t="shared" si="715"/>
        <v>-17300</v>
      </c>
      <c r="AS426" s="168">
        <f t="shared" si="715"/>
        <v>-6200</v>
      </c>
      <c r="AT426" s="235">
        <f t="shared" si="715"/>
        <v>-49300</v>
      </c>
      <c r="AU426" s="177"/>
      <c r="AV426" s="176"/>
      <c r="AW426" s="176"/>
      <c r="AX426" s="176"/>
      <c r="AY426" s="213"/>
      <c r="AZ426" s="212"/>
      <c r="BA426" s="176"/>
      <c r="BB426" s="176"/>
      <c r="BC426" s="176"/>
      <c r="BD426" s="213"/>
      <c r="BE426" s="212"/>
      <c r="BF426" s="176"/>
      <c r="BG426" s="176"/>
      <c r="BH426" s="176"/>
      <c r="BI426" s="213"/>
      <c r="BJ426" s="212"/>
      <c r="BK426" s="176"/>
      <c r="BL426" s="176"/>
      <c r="BM426" s="176"/>
      <c r="BN426" s="213"/>
      <c r="BO426" s="212"/>
      <c r="BP426" s="176"/>
      <c r="BQ426" s="176"/>
      <c r="BR426" s="176"/>
      <c r="BS426" s="213"/>
      <c r="BT426" s="212"/>
      <c r="BU426" s="176"/>
      <c r="BV426" s="176"/>
      <c r="BW426" s="176"/>
      <c r="BX426" s="213"/>
      <c r="BY426" s="212"/>
      <c r="BZ426" s="176"/>
      <c r="CA426" s="176"/>
      <c r="CB426" s="176"/>
      <c r="CC426" s="213"/>
      <c r="CD426" s="212"/>
      <c r="CE426" s="176"/>
      <c r="CF426" s="176"/>
      <c r="CG426" s="176"/>
      <c r="CH426" s="213"/>
      <c r="CI426" s="212"/>
      <c r="CJ426" s="176"/>
      <c r="CK426" s="176"/>
      <c r="CL426" s="176"/>
      <c r="CM426" s="213"/>
      <c r="CN426" s="212"/>
      <c r="CO426" s="176"/>
      <c r="CP426" s="176"/>
      <c r="CQ426" s="176"/>
      <c r="CR426" s="213"/>
      <c r="CS426" s="212"/>
      <c r="CT426" s="176"/>
      <c r="CU426" s="176"/>
      <c r="CV426" s="176"/>
      <c r="CW426" s="213"/>
      <c r="CX426" s="212"/>
      <c r="CY426" s="176"/>
      <c r="CZ426" s="176"/>
      <c r="DA426" s="176"/>
      <c r="DB426" s="213"/>
      <c r="DC426" s="176"/>
      <c r="DD426" s="176"/>
      <c r="DE426" s="176"/>
      <c r="DF426" s="176"/>
      <c r="DG426" s="176"/>
      <c r="DH426" s="176"/>
      <c r="DI426" s="176"/>
      <c r="DJ426" s="176"/>
      <c r="DK426" s="420"/>
      <c r="DL426" s="420"/>
      <c r="DM426" s="82"/>
    </row>
    <row r="427" spans="1:117" outlineLevel="1">
      <c r="A427" s="17"/>
      <c r="B427" s="37"/>
      <c r="C427" s="38"/>
      <c r="D427" s="38"/>
      <c r="E427" s="38"/>
      <c r="F427" s="133"/>
      <c r="G427" s="37"/>
      <c r="H427" s="38"/>
      <c r="I427" s="38"/>
      <c r="J427" s="38"/>
      <c r="K427" s="133"/>
      <c r="L427" s="37"/>
      <c r="M427" s="38"/>
      <c r="N427" s="38"/>
      <c r="O427" s="38"/>
      <c r="P427" s="133"/>
      <c r="Q427" s="37"/>
      <c r="R427" s="38"/>
      <c r="S427" s="38"/>
      <c r="T427" s="38"/>
      <c r="U427" s="133"/>
      <c r="V427" s="37"/>
      <c r="W427" s="38"/>
      <c r="X427" s="38"/>
      <c r="Y427" s="38"/>
      <c r="Z427" s="133"/>
      <c r="AA427" s="37"/>
      <c r="AB427" s="18"/>
      <c r="AC427" s="18"/>
      <c r="AD427" s="18"/>
      <c r="AE427" s="127"/>
      <c r="AF427" s="19"/>
      <c r="AG427" s="18"/>
      <c r="AH427" s="18"/>
      <c r="AI427" s="18"/>
      <c r="AJ427" s="127"/>
      <c r="AK427" s="19"/>
      <c r="AL427" s="18"/>
      <c r="AM427" s="18"/>
      <c r="AN427" s="18"/>
      <c r="AO427" s="127"/>
      <c r="AP427" s="19"/>
      <c r="AQ427" s="18"/>
      <c r="AR427" s="18"/>
      <c r="AS427" s="18"/>
      <c r="AT427" s="127"/>
      <c r="AU427" s="19"/>
      <c r="AV427" s="18"/>
      <c r="AW427" s="18"/>
      <c r="AX427" s="18"/>
      <c r="AY427" s="127"/>
      <c r="AZ427" s="19"/>
      <c r="BA427" s="18"/>
      <c r="BB427" s="18"/>
      <c r="BC427" s="18"/>
      <c r="BD427" s="127"/>
      <c r="BE427" s="19"/>
      <c r="BF427" s="18"/>
      <c r="BG427" s="18"/>
      <c r="BH427" s="18"/>
      <c r="BI427" s="127"/>
      <c r="BJ427" s="19"/>
      <c r="BK427" s="18"/>
      <c r="BL427" s="18"/>
      <c r="BM427" s="18"/>
      <c r="BN427" s="127"/>
      <c r="BO427" s="19"/>
      <c r="BP427" s="18"/>
      <c r="BQ427" s="18"/>
      <c r="BR427" s="18"/>
      <c r="BS427" s="127"/>
      <c r="BT427" s="19"/>
      <c r="BU427" s="18"/>
      <c r="BV427" s="18"/>
      <c r="BW427" s="18"/>
      <c r="BX427" s="127"/>
      <c r="BY427" s="19"/>
      <c r="BZ427" s="18"/>
      <c r="CA427" s="18"/>
      <c r="CB427" s="18"/>
      <c r="CC427" s="127"/>
      <c r="CD427" s="19"/>
      <c r="CE427" s="18"/>
      <c r="CF427" s="18"/>
      <c r="CG427" s="18"/>
      <c r="CH427" s="127"/>
      <c r="CI427" s="19"/>
      <c r="CJ427" s="18"/>
      <c r="CK427" s="18"/>
      <c r="CL427" s="18"/>
      <c r="CM427" s="127"/>
      <c r="CN427" s="19"/>
      <c r="CO427" s="18"/>
      <c r="CP427" s="18"/>
      <c r="CQ427" s="18"/>
      <c r="CR427" s="127"/>
      <c r="CS427" s="19"/>
      <c r="CT427" s="18"/>
      <c r="CU427" s="18"/>
      <c r="CV427" s="18"/>
      <c r="CW427" s="127"/>
      <c r="CX427" s="19"/>
      <c r="CY427" s="18"/>
      <c r="CZ427" s="18"/>
      <c r="DA427" s="18"/>
      <c r="DB427" s="127"/>
      <c r="DC427" s="18"/>
      <c r="DD427" s="18"/>
      <c r="DE427" s="18"/>
      <c r="DF427" s="18"/>
      <c r="DG427" s="18"/>
      <c r="DH427" s="18"/>
      <c r="DI427" s="18"/>
      <c r="DJ427" s="18"/>
      <c r="DK427" s="61"/>
      <c r="DL427" s="61"/>
      <c r="DM427" s="61"/>
    </row>
    <row r="428" spans="1:117" outlineLevel="1">
      <c r="A428" s="112" t="s">
        <v>828</v>
      </c>
      <c r="B428" s="276"/>
      <c r="C428" s="275"/>
      <c r="D428" s="275"/>
      <c r="E428" s="275"/>
      <c r="F428" s="268"/>
      <c r="G428" s="276"/>
      <c r="H428" s="275"/>
      <c r="I428" s="275"/>
      <c r="J428" s="275"/>
      <c r="K428" s="268"/>
      <c r="L428" s="276"/>
      <c r="M428" s="275"/>
      <c r="N428" s="275"/>
      <c r="O428" s="275"/>
      <c r="P428" s="268"/>
      <c r="Q428" s="276"/>
      <c r="R428" s="275"/>
      <c r="S428" s="275"/>
      <c r="T428" s="275"/>
      <c r="U428" s="268"/>
      <c r="V428" s="276"/>
      <c r="W428" s="275"/>
      <c r="X428" s="275"/>
      <c r="Y428" s="275"/>
      <c r="Z428" s="268"/>
      <c r="AA428" s="276"/>
      <c r="AB428" s="110"/>
      <c r="AC428" s="110"/>
      <c r="AD428" s="110"/>
      <c r="AE428" s="137"/>
      <c r="AF428" s="111"/>
      <c r="AG428" s="110"/>
      <c r="AH428" s="110"/>
      <c r="AI428" s="110"/>
      <c r="AJ428" s="137"/>
      <c r="AK428" s="111"/>
      <c r="AL428" s="110"/>
      <c r="AM428" s="110"/>
      <c r="AN428" s="110"/>
      <c r="AO428" s="137"/>
      <c r="AP428" s="111"/>
      <c r="AQ428" s="110"/>
      <c r="AR428" s="110"/>
      <c r="AS428" s="110"/>
      <c r="AT428" s="137"/>
      <c r="AU428" s="111"/>
      <c r="AV428" s="110"/>
      <c r="AW428" s="110"/>
      <c r="AX428" s="110"/>
      <c r="AY428" s="137"/>
      <c r="AZ428" s="111"/>
      <c r="BA428" s="110"/>
      <c r="BB428" s="110"/>
      <c r="BC428" s="110"/>
      <c r="BD428" s="137"/>
      <c r="BE428" s="111"/>
      <c r="BF428" s="607"/>
      <c r="BG428" s="607"/>
      <c r="BH428" s="607"/>
      <c r="BI428" s="137"/>
      <c r="BJ428" s="111"/>
      <c r="BK428" s="110"/>
      <c r="BL428" s="110"/>
      <c r="BM428" s="110"/>
      <c r="BN428" s="137"/>
      <c r="BO428" s="111"/>
      <c r="BP428" s="110"/>
      <c r="BQ428" s="110"/>
      <c r="BR428" s="110"/>
      <c r="BS428" s="137"/>
      <c r="BT428" s="111"/>
      <c r="BU428" s="110"/>
      <c r="BV428" s="110"/>
      <c r="BW428" s="110"/>
      <c r="BX428" s="137"/>
      <c r="BY428" s="111"/>
      <c r="BZ428" s="110"/>
      <c r="CA428" s="110"/>
      <c r="CB428" s="110"/>
      <c r="CC428" s="137"/>
      <c r="CD428" s="111"/>
      <c r="CE428" s="110"/>
      <c r="CF428" s="110"/>
      <c r="CG428" s="110"/>
      <c r="CH428" s="137"/>
      <c r="CI428" s="111"/>
      <c r="CJ428" s="110"/>
      <c r="CK428" s="110"/>
      <c r="CL428" s="110"/>
      <c r="CM428" s="137"/>
      <c r="CN428" s="111"/>
      <c r="CO428" s="110"/>
      <c r="CP428" s="110"/>
      <c r="CQ428" s="110"/>
      <c r="CR428" s="137"/>
      <c r="CS428" s="111"/>
      <c r="CT428" s="110"/>
      <c r="CU428" s="110"/>
      <c r="CV428" s="110"/>
      <c r="CW428" s="137"/>
      <c r="CX428" s="111"/>
      <c r="CY428" s="110"/>
      <c r="CZ428" s="110"/>
      <c r="DA428" s="110"/>
      <c r="DB428" s="137"/>
      <c r="DC428" s="110"/>
      <c r="DD428" s="110"/>
      <c r="DE428" s="110"/>
      <c r="DF428" s="110"/>
      <c r="DG428" s="110"/>
      <c r="DH428" s="110"/>
      <c r="DI428" s="110"/>
      <c r="DJ428" s="110"/>
      <c r="DK428" s="61"/>
      <c r="DL428" s="61"/>
      <c r="DM428" s="61"/>
    </row>
    <row r="429" spans="1:117" outlineLevel="1">
      <c r="A429" s="34" t="s">
        <v>214</v>
      </c>
      <c r="B429" s="37">
        <v>-212209</v>
      </c>
      <c r="C429" s="38">
        <v>-113421</v>
      </c>
      <c r="D429" s="38">
        <v>-417</v>
      </c>
      <c r="E429" s="48">
        <f>F429-SUM(B429:D429)</f>
        <v>-4753</v>
      </c>
      <c r="F429" s="133">
        <v>-330800</v>
      </c>
      <c r="G429" s="94">
        <f>211968-H429</f>
        <v>108801</v>
      </c>
      <c r="H429" s="38">
        <v>103167</v>
      </c>
      <c r="I429" s="38">
        <v>-253791</v>
      </c>
      <c r="J429" s="48">
        <f>K429-SUM(G429:I429)</f>
        <v>-669319</v>
      </c>
      <c r="K429" s="133">
        <v>-711142</v>
      </c>
      <c r="L429" s="37">
        <v>-29294</v>
      </c>
      <c r="M429" s="38">
        <v>-7558</v>
      </c>
      <c r="N429" s="38">
        <v>947</v>
      </c>
      <c r="O429" s="48">
        <f>P429-SUM(L429:N429)</f>
        <v>9235</v>
      </c>
      <c r="P429" s="133">
        <v>-26670</v>
      </c>
      <c r="Q429" s="37">
        <v>953</v>
      </c>
      <c r="R429" s="38">
        <v>790</v>
      </c>
      <c r="S429" s="38">
        <v>881</v>
      </c>
      <c r="T429" s="48">
        <f>U429-SUM(Q429:S429)</f>
        <v>856</v>
      </c>
      <c r="U429" s="133">
        <v>3480</v>
      </c>
      <c r="V429" s="37">
        <v>871</v>
      </c>
      <c r="W429" s="38">
        <v>801</v>
      </c>
      <c r="X429" s="38">
        <v>768</v>
      </c>
      <c r="Y429" s="48">
        <f>Z429-SUM(V429:X429)</f>
        <v>762</v>
      </c>
      <c r="Z429" s="133">
        <v>3202</v>
      </c>
      <c r="AA429" s="37">
        <v>761</v>
      </c>
      <c r="AB429" s="38">
        <v>769</v>
      </c>
      <c r="AC429" s="38">
        <v>726</v>
      </c>
      <c r="AD429" s="48">
        <f>AE429-SUM(AA429:AC429)</f>
        <v>723</v>
      </c>
      <c r="AE429" s="133">
        <v>2979</v>
      </c>
      <c r="AF429" s="37">
        <v>752</v>
      </c>
      <c r="AG429" s="38">
        <v>767</v>
      </c>
      <c r="AH429" s="38">
        <v>521</v>
      </c>
      <c r="AI429" s="48">
        <f>AJ429-SUM(AF429:AH429)</f>
        <v>629</v>
      </c>
      <c r="AJ429" s="133">
        <v>2669</v>
      </c>
      <c r="AK429" s="60">
        <v>576</v>
      </c>
      <c r="AL429" s="18">
        <v>604</v>
      </c>
      <c r="AM429" s="38">
        <v>586</v>
      </c>
      <c r="AN429" s="48">
        <f>AO429-SUM(AK429:AM429)</f>
        <v>597</v>
      </c>
      <c r="AO429" s="133">
        <v>2363</v>
      </c>
      <c r="AP429" s="60">
        <v>596</v>
      </c>
      <c r="AQ429" s="18">
        <v>426</v>
      </c>
      <c r="AR429" s="18">
        <v>526</v>
      </c>
      <c r="AS429" s="48">
        <f>AT429-SUM(AP429:AR429)</f>
        <v>422</v>
      </c>
      <c r="AT429" s="133">
        <v>1970</v>
      </c>
      <c r="AU429" s="60">
        <v>506</v>
      </c>
      <c r="AV429" s="18">
        <v>807</v>
      </c>
      <c r="AW429" s="18">
        <v>646</v>
      </c>
      <c r="AX429" s="48">
        <f>AY429-SUM(AU429:AW429)</f>
        <v>647</v>
      </c>
      <c r="AY429" s="133">
        <v>2606</v>
      </c>
      <c r="AZ429" s="60">
        <v>993</v>
      </c>
      <c r="BA429" s="18">
        <v>1147</v>
      </c>
      <c r="BB429" s="567">
        <v>648</v>
      </c>
      <c r="BC429" s="48">
        <f>+BD429-SUM(AZ429:BB429)</f>
        <v>638</v>
      </c>
      <c r="BD429" s="569">
        <v>3426</v>
      </c>
      <c r="BE429" s="571">
        <v>547</v>
      </c>
      <c r="BF429" s="571">
        <v>545</v>
      </c>
      <c r="BG429" s="567">
        <v>528</v>
      </c>
      <c r="BH429" s="48">
        <f>+BI429-SUM(BE429:BG429)</f>
        <v>518</v>
      </c>
      <c r="BI429" s="569">
        <v>2138</v>
      </c>
      <c r="BJ429" s="571">
        <v>514</v>
      </c>
      <c r="BK429" s="571">
        <v>513</v>
      </c>
      <c r="BL429" s="567">
        <v>516</v>
      </c>
      <c r="BM429" s="48">
        <f>BN429-BK429-BL429-BJ429</f>
        <v>932</v>
      </c>
      <c r="BN429" s="569">
        <v>2475</v>
      </c>
      <c r="BO429" s="571">
        <v>538</v>
      </c>
      <c r="BP429" s="571">
        <v>530</v>
      </c>
      <c r="BQ429" s="571">
        <v>542</v>
      </c>
      <c r="BR429" s="48">
        <f>BS429-BP429-BQ429-BO429</f>
        <v>576</v>
      </c>
      <c r="BS429" s="569">
        <v>2186</v>
      </c>
      <c r="BT429" s="48">
        <f>BR429*1.005</f>
        <v>578.87999999999988</v>
      </c>
      <c r="BU429" s="48">
        <f>BT429*1.005</f>
        <v>581.77439999999979</v>
      </c>
      <c r="BV429" s="48">
        <f>BU429*1.005</f>
        <v>584.68327199999976</v>
      </c>
      <c r="BW429" s="48">
        <f>BV429*1.005</f>
        <v>587.60668835999968</v>
      </c>
      <c r="BX429" s="104">
        <f>SUM(BT429:BW429)</f>
        <v>2332.9443603599993</v>
      </c>
      <c r="BY429" s="48">
        <f>BW429*1.005</f>
        <v>590.5447218017996</v>
      </c>
      <c r="BZ429" s="48">
        <f>BY429*1.005</f>
        <v>593.4974454108085</v>
      </c>
      <c r="CA429" s="48">
        <f>BZ429*1.005</f>
        <v>596.46493263786249</v>
      </c>
      <c r="CB429" s="48">
        <f>CA429*1.005</f>
        <v>599.44725730105176</v>
      </c>
      <c r="CC429" s="104">
        <f>SUM(BY429:CB429)</f>
        <v>2379.9543571515223</v>
      </c>
      <c r="CD429" s="48">
        <f>CB429*1.005</f>
        <v>602.44449358755696</v>
      </c>
      <c r="CE429" s="48">
        <f>CD429*1.005</f>
        <v>605.45671605549467</v>
      </c>
      <c r="CF429" s="48">
        <f>CE429*1.005</f>
        <v>608.48399963577208</v>
      </c>
      <c r="CG429" s="48">
        <f>CF429*1.005</f>
        <v>611.52641963395092</v>
      </c>
      <c r="CH429" s="104">
        <f>SUM(CD429:CG429)</f>
        <v>2427.9116289127746</v>
      </c>
      <c r="CI429" s="48">
        <f>CG429*1.005</f>
        <v>614.58405173212066</v>
      </c>
      <c r="CJ429" s="48">
        <f>CI429*1.005</f>
        <v>617.65697199078124</v>
      </c>
      <c r="CK429" s="48">
        <f>CJ429*1.005</f>
        <v>620.74525685073513</v>
      </c>
      <c r="CL429" s="48">
        <f>CK429*1.005</f>
        <v>623.84898313498877</v>
      </c>
      <c r="CM429" s="104">
        <f>SUM(CI429:CL429)</f>
        <v>2476.8352637086259</v>
      </c>
      <c r="CN429" s="48">
        <f>CL429*1.005</f>
        <v>626.9682280506637</v>
      </c>
      <c r="CO429" s="48">
        <f>CN429*1.005</f>
        <v>630.10306919091693</v>
      </c>
      <c r="CP429" s="48">
        <f>CO429*1.005</f>
        <v>633.25358453687147</v>
      </c>
      <c r="CQ429" s="48">
        <f>CP429*1.005</f>
        <v>636.41985245955573</v>
      </c>
      <c r="CR429" s="104">
        <f>SUM(CN429:CQ429)</f>
        <v>2526.7447342380078</v>
      </c>
      <c r="CS429" s="48">
        <f>CQ429*1.005</f>
        <v>639.60195172185342</v>
      </c>
      <c r="CT429" s="48">
        <f>CS429*1.005</f>
        <v>642.79996148046257</v>
      </c>
      <c r="CU429" s="48">
        <f>CT429*1.005</f>
        <v>646.01396128786484</v>
      </c>
      <c r="CV429" s="48">
        <f>CU429*1.005</f>
        <v>649.24403109430409</v>
      </c>
      <c r="CW429" s="104">
        <f>SUM(CS429:CV429)</f>
        <v>2577.6599055844845</v>
      </c>
      <c r="CX429" s="48">
        <f>CV429*1.005</f>
        <v>652.4902512497755</v>
      </c>
      <c r="CY429" s="48">
        <f>CX429*1.005</f>
        <v>655.75270250602432</v>
      </c>
      <c r="CZ429" s="48">
        <f>CY429*1.005</f>
        <v>659.0314660185544</v>
      </c>
      <c r="DA429" s="48">
        <f>CZ429*1.005</f>
        <v>662.3266233486471</v>
      </c>
      <c r="DB429" s="104">
        <f>SUM(CX429:DA429)</f>
        <v>2629.6010431230011</v>
      </c>
      <c r="DC429" s="48"/>
      <c r="DD429" s="48"/>
      <c r="DE429" s="48"/>
      <c r="DF429" s="48"/>
      <c r="DG429" s="48"/>
      <c r="DH429" s="48"/>
      <c r="DI429" s="48"/>
      <c r="DJ429" s="48"/>
      <c r="DK429" s="99"/>
      <c r="DL429" s="99"/>
      <c r="DM429" s="64"/>
    </row>
    <row r="430" spans="1:117" outlineLevel="1">
      <c r="A430" s="34" t="s">
        <v>333</v>
      </c>
      <c r="B430" s="37">
        <v>-165983</v>
      </c>
      <c r="C430" s="38">
        <v>-136566</v>
      </c>
      <c r="D430" s="38">
        <v>-403740</v>
      </c>
      <c r="E430" s="48">
        <f>F430-SUM(B430:D430)</f>
        <v>-700094</v>
      </c>
      <c r="F430" s="133">
        <v>-1406383</v>
      </c>
      <c r="G430" s="94">
        <f>-736205-H430</f>
        <v>-383539</v>
      </c>
      <c r="H430" s="38">
        <v>-352666</v>
      </c>
      <c r="I430" s="38">
        <v>-296715</v>
      </c>
      <c r="J430" s="48">
        <f>K430-SUM(G430:I430)</f>
        <v>-489265</v>
      </c>
      <c r="K430" s="133">
        <v>-1522185</v>
      </c>
      <c r="L430" s="37">
        <v>-395290</v>
      </c>
      <c r="M430" s="38">
        <v>-231774</v>
      </c>
      <c r="N430" s="38">
        <v>-221173</v>
      </c>
      <c r="O430" s="48">
        <f>P430-SUM(L430:N430)</f>
        <v>-237021</v>
      </c>
      <c r="P430" s="133">
        <v>-1085258</v>
      </c>
      <c r="Q430" s="37">
        <v>-356147</v>
      </c>
      <c r="R430" s="38">
        <v>-274604</v>
      </c>
      <c r="S430" s="38">
        <v>-234361</v>
      </c>
      <c r="T430" s="48">
        <f>U430-SUM(Q430:S430)</f>
        <v>-220978</v>
      </c>
      <c r="U430" s="133">
        <v>-1086090</v>
      </c>
      <c r="V430" s="37">
        <v>-415296</v>
      </c>
      <c r="W430" s="38">
        <v>-371608</v>
      </c>
      <c r="X430" s="38">
        <v>-311797</v>
      </c>
      <c r="Y430" s="48">
        <f>Z430-SUM(V430:X430)</f>
        <v>-230699</v>
      </c>
      <c r="Z430" s="133">
        <v>-1329400</v>
      </c>
      <c r="AA430" s="37">
        <v>-329550</v>
      </c>
      <c r="AB430" s="38">
        <v>-173911</v>
      </c>
      <c r="AC430" s="38">
        <v>-137911</v>
      </c>
      <c r="AD430" s="48">
        <f>AE430-SUM(AA430:AC430)</f>
        <v>-163401</v>
      </c>
      <c r="AE430" s="133">
        <v>-804773</v>
      </c>
      <c r="AF430" s="37">
        <v>-476024</v>
      </c>
      <c r="AG430" s="38">
        <v>-246731</v>
      </c>
      <c r="AH430" s="38">
        <v>-204421</v>
      </c>
      <c r="AI430" s="48">
        <f>AJ430-SUM(AF430:AH430)</f>
        <v>-191181</v>
      </c>
      <c r="AJ430" s="133">
        <v>-1118357</v>
      </c>
      <c r="AK430" s="60">
        <v>-315507</v>
      </c>
      <c r="AL430" s="450">
        <v>-213037</v>
      </c>
      <c r="AM430" s="38">
        <v>-196875</v>
      </c>
      <c r="AN430" s="48">
        <f>AO430-SUM(AK430:AM430)</f>
        <v>-192308</v>
      </c>
      <c r="AO430" s="133">
        <v>-917727</v>
      </c>
      <c r="AP430" s="483">
        <v>-158656</v>
      </c>
      <c r="AQ430" s="450">
        <v>-86080</v>
      </c>
      <c r="AR430" s="450">
        <v>-87982</v>
      </c>
      <c r="AS430" s="48">
        <f>AT430-SUM(AP430:AR430)</f>
        <v>-122066</v>
      </c>
      <c r="AT430" s="133">
        <v>-454784</v>
      </c>
      <c r="AU430" s="483">
        <v>-160021</v>
      </c>
      <c r="AV430" s="450">
        <v>-142283</v>
      </c>
      <c r="AW430" s="450">
        <v>-115375</v>
      </c>
      <c r="AX430" s="48">
        <f>AY430-SUM(AU430:AW430)</f>
        <v>-118997</v>
      </c>
      <c r="AY430" s="133">
        <v>-536676</v>
      </c>
      <c r="AZ430" s="483">
        <v>-416427</v>
      </c>
      <c r="BA430" s="450">
        <v>-404925</v>
      </c>
      <c r="BB430" s="567">
        <v>-349010</v>
      </c>
      <c r="BC430" s="48">
        <f>+BD430-SUM(AZ430:BB430)</f>
        <v>-501418</v>
      </c>
      <c r="BD430" s="569">
        <v>-1671780</v>
      </c>
      <c r="BE430" s="571">
        <v>-230505</v>
      </c>
      <c r="BF430" s="571">
        <v>-261542</v>
      </c>
      <c r="BG430" s="567">
        <f>+-230369</f>
        <v>-230369</v>
      </c>
      <c r="BH430" s="48">
        <f>+BI430-SUM(BE430:BG430)</f>
        <v>-265778</v>
      </c>
      <c r="BI430" s="569">
        <v>-988194</v>
      </c>
      <c r="BJ430" s="571">
        <v>-231429</v>
      </c>
      <c r="BK430" s="571">
        <v>-303227</v>
      </c>
      <c r="BL430" s="567">
        <v>-286161</v>
      </c>
      <c r="BM430" s="48">
        <f>BN430-BL430-BK430-BJ430</f>
        <v>-367316</v>
      </c>
      <c r="BN430" s="569">
        <v>-1188133</v>
      </c>
      <c r="BO430" s="571">
        <v>-411005</v>
      </c>
      <c r="BP430" s="571">
        <v>-408107</v>
      </c>
      <c r="BQ430" s="571">
        <v>-485521</v>
      </c>
      <c r="BR430" s="48">
        <f>BS430-BQ430-BP430-BO430</f>
        <v>-596356</v>
      </c>
      <c r="BS430" s="569">
        <v>-1900989</v>
      </c>
      <c r="BT430" s="48">
        <f>BT431-BT429</f>
        <v>-419255.22000000003</v>
      </c>
      <c r="BU430" s="48">
        <f>BU431-BU429</f>
        <v>-416310.31439999997</v>
      </c>
      <c r="BV430" s="48">
        <f>BV431-BV429</f>
        <v>-495263.26327200001</v>
      </c>
      <c r="BW430" s="48">
        <f>BW431-BW429</f>
        <v>-608283.20668835996</v>
      </c>
      <c r="BX430" s="104">
        <f>SUM(BT430:BW430)</f>
        <v>-1939112.0043603601</v>
      </c>
      <c r="BY430" s="48">
        <f>BY431-BY429</f>
        <v>-427640.41152180184</v>
      </c>
      <c r="BZ430" s="48">
        <f>BZ431-BZ429</f>
        <v>-424636.60824541078</v>
      </c>
      <c r="CA430" s="48">
        <f>CA431-CA429</f>
        <v>-505168.61653263791</v>
      </c>
      <c r="CB430" s="48">
        <f>CB431-CB429</f>
        <v>-620448.95925730106</v>
      </c>
      <c r="CC430" s="104">
        <f>SUM(BY430:CB430)</f>
        <v>-1977894.5955571518</v>
      </c>
      <c r="CD430" s="48">
        <f>CD431-CD429</f>
        <v>-436193.30862958758</v>
      </c>
      <c r="CE430" s="48">
        <f>CE431-CE429</f>
        <v>-433129.42973205546</v>
      </c>
      <c r="CF430" s="48">
        <f>CF431-CF429</f>
        <v>-515272.07863163581</v>
      </c>
      <c r="CG430" s="48">
        <f>CG431-CG429</f>
        <v>-632858.02865963394</v>
      </c>
      <c r="CH430" s="104">
        <f>SUM(CD430:CG430)</f>
        <v>-2017452.8456529127</v>
      </c>
      <c r="CI430" s="48">
        <f>CI431-CI429</f>
        <v>-444917.2654704522</v>
      </c>
      <c r="CJ430" s="48">
        <f>CJ431-CJ429</f>
        <v>-441792.10944831074</v>
      </c>
      <c r="CK430" s="48">
        <f>CK431-CK429</f>
        <v>-525577.61178149073</v>
      </c>
      <c r="CL430" s="48">
        <f>CL431-CL429</f>
        <v>-645515.28126793494</v>
      </c>
      <c r="CM430" s="104">
        <f>SUM(CI430:CL430)</f>
        <v>-2057802.2679681885</v>
      </c>
      <c r="CN430" s="48">
        <f>CN431-CN429</f>
        <v>-453815.70327514515</v>
      </c>
      <c r="CO430" s="48">
        <f>CO431-CO429</f>
        <v>-450628.0445950373</v>
      </c>
      <c r="CP430" s="48">
        <f>CP431-CP429</f>
        <v>-536089.25743966969</v>
      </c>
      <c r="CQ430" s="48">
        <f>CQ431-CQ429</f>
        <v>-658425.68078295561</v>
      </c>
      <c r="CR430" s="104">
        <f>SUM(CN430:CQ430)</f>
        <v>-2098958.6860928079</v>
      </c>
      <c r="CS430" s="48">
        <f>CS431-CS429</f>
        <v>-462892.11169975827</v>
      </c>
      <c r="CT430" s="48">
        <f>CT431-CT429</f>
        <v>-459640.70031784382</v>
      </c>
      <c r="CU430" s="48">
        <f>CU431-CU429</f>
        <v>-546811.13789352344</v>
      </c>
      <c r="CV430" s="48">
        <f>CV431-CV429</f>
        <v>-671594.29018020025</v>
      </c>
      <c r="CW430" s="104">
        <f>SUM(CS430:CV430)</f>
        <v>-2140938.2400913257</v>
      </c>
      <c r="CX430" s="48">
        <f>CX431-CX429</f>
        <v>-472150.05019424687</v>
      </c>
      <c r="CY430" s="48">
        <f>CY431-CY429</f>
        <v>-468833.61106599664</v>
      </c>
      <c r="CZ430" s="48">
        <f>CZ431-CZ429</f>
        <v>-557747.45787689881</v>
      </c>
      <c r="DA430" s="48">
        <f>DA431-DA429</f>
        <v>-685026.27369543677</v>
      </c>
      <c r="DB430" s="104">
        <f>SUM(CX430:DA430)</f>
        <v>-2183757.3928325791</v>
      </c>
      <c r="DC430" s="48"/>
      <c r="DD430" s="48"/>
      <c r="DE430" s="48"/>
      <c r="DF430" s="48"/>
      <c r="DG430" s="48"/>
      <c r="DH430" s="48"/>
      <c r="DI430" s="48"/>
      <c r="DJ430" s="48"/>
      <c r="DK430" s="99"/>
      <c r="DL430" s="99"/>
      <c r="DM430" s="64"/>
    </row>
    <row r="431" spans="1:117" outlineLevel="1">
      <c r="A431" s="28" t="s">
        <v>684</v>
      </c>
      <c r="B431" s="160">
        <f t="shared" ref="B431:Z431" si="716">SUM(B429:B430)</f>
        <v>-378192</v>
      </c>
      <c r="C431" s="168">
        <f t="shared" si="716"/>
        <v>-249987</v>
      </c>
      <c r="D431" s="168">
        <f t="shared" si="716"/>
        <v>-404157</v>
      </c>
      <c r="E431" s="168">
        <f t="shared" si="716"/>
        <v>-704847</v>
      </c>
      <c r="F431" s="235">
        <f t="shared" si="716"/>
        <v>-1737183</v>
      </c>
      <c r="G431" s="160">
        <f t="shared" si="716"/>
        <v>-274738</v>
      </c>
      <c r="H431" s="168">
        <f t="shared" si="716"/>
        <v>-249499</v>
      </c>
      <c r="I431" s="168">
        <f t="shared" si="716"/>
        <v>-550506</v>
      </c>
      <c r="J431" s="168">
        <f t="shared" si="716"/>
        <v>-1158584</v>
      </c>
      <c r="K431" s="235">
        <f t="shared" si="716"/>
        <v>-2233327</v>
      </c>
      <c r="L431" s="160">
        <f t="shared" si="716"/>
        <v>-424584</v>
      </c>
      <c r="M431" s="168">
        <f t="shared" si="716"/>
        <v>-239332</v>
      </c>
      <c r="N431" s="168">
        <f t="shared" si="716"/>
        <v>-220226</v>
      </c>
      <c r="O431" s="168">
        <f t="shared" si="716"/>
        <v>-227786</v>
      </c>
      <c r="P431" s="235">
        <f t="shared" si="716"/>
        <v>-1111928</v>
      </c>
      <c r="Q431" s="160">
        <f t="shared" si="716"/>
        <v>-355194</v>
      </c>
      <c r="R431" s="168">
        <f t="shared" si="716"/>
        <v>-273814</v>
      </c>
      <c r="S431" s="168">
        <f t="shared" si="716"/>
        <v>-233480</v>
      </c>
      <c r="T431" s="168">
        <f t="shared" si="716"/>
        <v>-220122</v>
      </c>
      <c r="U431" s="235">
        <f t="shared" si="716"/>
        <v>-1082610</v>
      </c>
      <c r="V431" s="160">
        <f t="shared" si="716"/>
        <v>-414425</v>
      </c>
      <c r="W431" s="168">
        <f t="shared" si="716"/>
        <v>-370807</v>
      </c>
      <c r="X431" s="168">
        <f t="shared" si="716"/>
        <v>-311029</v>
      </c>
      <c r="Y431" s="168">
        <f t="shared" si="716"/>
        <v>-229937</v>
      </c>
      <c r="Z431" s="235">
        <f t="shared" si="716"/>
        <v>-1326198</v>
      </c>
      <c r="AA431" s="160">
        <f t="shared" ref="AA431:AH431" si="717">SUM(AA429:AA430)</f>
        <v>-328789</v>
      </c>
      <c r="AB431" s="168">
        <f t="shared" si="717"/>
        <v>-173142</v>
      </c>
      <c r="AC431" s="168">
        <f t="shared" si="717"/>
        <v>-137185</v>
      </c>
      <c r="AD431" s="168">
        <f t="shared" si="717"/>
        <v>-162678</v>
      </c>
      <c r="AE431" s="235">
        <f t="shared" si="717"/>
        <v>-801794</v>
      </c>
      <c r="AF431" s="348">
        <f t="shared" si="717"/>
        <v>-475272</v>
      </c>
      <c r="AG431" s="371">
        <f t="shared" si="717"/>
        <v>-245964</v>
      </c>
      <c r="AH431" s="371">
        <f t="shared" si="717"/>
        <v>-203900</v>
      </c>
      <c r="AI431" s="168">
        <f t="shared" ref="AI431:AR431" si="718">SUM(AI429:AI430)</f>
        <v>-190552</v>
      </c>
      <c r="AJ431" s="235">
        <f t="shared" si="718"/>
        <v>-1115688</v>
      </c>
      <c r="AK431" s="348">
        <f t="shared" si="718"/>
        <v>-314931</v>
      </c>
      <c r="AL431" s="371">
        <f t="shared" si="718"/>
        <v>-212433</v>
      </c>
      <c r="AM431" s="371">
        <f t="shared" si="718"/>
        <v>-196289</v>
      </c>
      <c r="AN431" s="168">
        <f t="shared" si="718"/>
        <v>-191711</v>
      </c>
      <c r="AO431" s="235">
        <f t="shared" si="718"/>
        <v>-915364</v>
      </c>
      <c r="AP431" s="348">
        <f t="shared" si="718"/>
        <v>-158060</v>
      </c>
      <c r="AQ431" s="371">
        <f t="shared" si="718"/>
        <v>-85654</v>
      </c>
      <c r="AR431" s="371">
        <f t="shared" si="718"/>
        <v>-87456</v>
      </c>
      <c r="AS431" s="168">
        <f t="shared" ref="AS431:AY431" si="719">SUM(AS429:AS430)</f>
        <v>-121644</v>
      </c>
      <c r="AT431" s="235">
        <f t="shared" si="719"/>
        <v>-452814</v>
      </c>
      <c r="AU431" s="348">
        <f t="shared" si="719"/>
        <v>-159515</v>
      </c>
      <c r="AV431" s="371">
        <f t="shared" si="719"/>
        <v>-141476</v>
      </c>
      <c r="AW431" s="371">
        <f t="shared" si="719"/>
        <v>-114729</v>
      </c>
      <c r="AX431" s="168">
        <f t="shared" si="719"/>
        <v>-118350</v>
      </c>
      <c r="AY431" s="235">
        <f t="shared" si="719"/>
        <v>-534070</v>
      </c>
      <c r="AZ431" s="348">
        <f>SUM(AZ429:AZ430)</f>
        <v>-415434</v>
      </c>
      <c r="BA431" s="371">
        <f>SUM(BA429:BA430)</f>
        <v>-403778</v>
      </c>
      <c r="BB431" s="371">
        <f>SUM(BB429:BB430)</f>
        <v>-348362</v>
      </c>
      <c r="BC431" s="371">
        <f>SUM(BC429:BC430)</f>
        <v>-500780</v>
      </c>
      <c r="BD431" s="521">
        <f>SUM(AZ431:BC431)</f>
        <v>-1668354</v>
      </c>
      <c r="BE431" s="371">
        <f>SUM(BE429:BE430)</f>
        <v>-229958</v>
      </c>
      <c r="BF431" s="388">
        <f>SUM(BF429:BF430)</f>
        <v>-260997</v>
      </c>
      <c r="BG431" s="388">
        <f>SUM(BG429:BG430)</f>
        <v>-229841</v>
      </c>
      <c r="BH431" s="605">
        <f>SUM(BH429:BH430)</f>
        <v>-265260</v>
      </c>
      <c r="BI431" s="521">
        <f>SUM(BE431:BH431)</f>
        <v>-986056</v>
      </c>
      <c r="BJ431" s="371">
        <f>SUM(BJ429:BJ430)</f>
        <v>-230915</v>
      </c>
      <c r="BK431" s="388">
        <f>SUM(BK429:BK430)</f>
        <v>-302714</v>
      </c>
      <c r="BL431" s="388">
        <f>SUM(BL429:BL430)</f>
        <v>-285645</v>
      </c>
      <c r="BM431" s="605">
        <f>SUM(BM429:BM430)</f>
        <v>-366384</v>
      </c>
      <c r="BN431" s="521">
        <f>SUM(BJ431:BM431)</f>
        <v>-1185658</v>
      </c>
      <c r="BO431" s="388">
        <f>SUM(BO429:BO430)</f>
        <v>-410467</v>
      </c>
      <c r="BP431" s="388">
        <f>SUM(BP429:BP430)</f>
        <v>-407577</v>
      </c>
      <c r="BQ431" s="388">
        <f>SUM(BQ429:BQ430)</f>
        <v>-484979</v>
      </c>
      <c r="BR431" s="605">
        <f>SUM(BR429:BR430)</f>
        <v>-595780</v>
      </c>
      <c r="BS431" s="521">
        <f>SUM(BO431:BR431)</f>
        <v>-1898803</v>
      </c>
      <c r="BT431" s="387">
        <f>BO431*(1+BT432)</f>
        <v>-418676.34</v>
      </c>
      <c r="BU431" s="388">
        <f>BP431*(1+BU432)</f>
        <v>-415728.54</v>
      </c>
      <c r="BV431" s="388">
        <f>BQ431*(1+BV432)</f>
        <v>-494678.58</v>
      </c>
      <c r="BW431" s="388">
        <f>BR431*(1+BW432)</f>
        <v>-607695.6</v>
      </c>
      <c r="BX431" s="521">
        <f>SUM(BT431:BW431)</f>
        <v>-1936779.06</v>
      </c>
      <c r="BY431" s="387">
        <f>BT431*(1+BY432)</f>
        <v>-427049.86680000002</v>
      </c>
      <c r="BZ431" s="388">
        <f>BU431*(1+BZ432)</f>
        <v>-424043.11079999997</v>
      </c>
      <c r="CA431" s="388">
        <f>BV431*(1+CA432)</f>
        <v>-504572.15160000004</v>
      </c>
      <c r="CB431" s="388">
        <f>BW431*(1+CB432)</f>
        <v>-619849.51199999999</v>
      </c>
      <c r="CC431" s="521">
        <f>SUM(BY431:CB431)</f>
        <v>-1975514.6412</v>
      </c>
      <c r="CD431" s="387">
        <f>BY431*(1+CD432)</f>
        <v>-435590.86413600005</v>
      </c>
      <c r="CE431" s="388">
        <f>BZ431*(1+CE432)</f>
        <v>-432523.97301599995</v>
      </c>
      <c r="CF431" s="388">
        <f>CA431*(1+CF432)</f>
        <v>-514663.59463200002</v>
      </c>
      <c r="CG431" s="388">
        <f>CB431*(1+CG432)</f>
        <v>-632246.50223999994</v>
      </c>
      <c r="CH431" s="521">
        <f>SUM(CD431:CG431)</f>
        <v>-2015024.9340240001</v>
      </c>
      <c r="CI431" s="387">
        <f>CD431*(1+CI432)</f>
        <v>-444302.68141872005</v>
      </c>
      <c r="CJ431" s="388">
        <f>CE431*(1+CJ432)</f>
        <v>-441174.45247631997</v>
      </c>
      <c r="CK431" s="388">
        <f>CF431*(1+CK432)</f>
        <v>-524956.86652464001</v>
      </c>
      <c r="CL431" s="388">
        <f>CG431*(1+CL432)</f>
        <v>-644891.43228479999</v>
      </c>
      <c r="CM431" s="521">
        <f>SUM(CI431:CL431)</f>
        <v>-2055325.4327044799</v>
      </c>
      <c r="CN431" s="387">
        <f>CI431*(1+CN432)</f>
        <v>-453188.73504709447</v>
      </c>
      <c r="CO431" s="388">
        <f>CJ431*(1+CO432)</f>
        <v>-449997.94152584637</v>
      </c>
      <c r="CP431" s="388">
        <f>CK431*(1+CP432)</f>
        <v>-535456.00385513285</v>
      </c>
      <c r="CQ431" s="388">
        <f>CL431*(1+CQ432)</f>
        <v>-657789.26093049604</v>
      </c>
      <c r="CR431" s="521">
        <f>SUM(CN431:CQ431)</f>
        <v>-2096431.9413585698</v>
      </c>
      <c r="CS431" s="387">
        <f>CN431*(1+CS432)</f>
        <v>-462252.50974803639</v>
      </c>
      <c r="CT431" s="388">
        <f>CO431*(1+CT432)</f>
        <v>-458997.90035636333</v>
      </c>
      <c r="CU431" s="388">
        <f>CP431*(1+CU432)</f>
        <v>-546165.12393223552</v>
      </c>
      <c r="CV431" s="388">
        <f>CQ431*(1+CV432)</f>
        <v>-670945.046149106</v>
      </c>
      <c r="CW431" s="521">
        <f>SUM(CS431:CV431)</f>
        <v>-2138360.5801857412</v>
      </c>
      <c r="CX431" s="387">
        <f>CS431*(1+CX432)</f>
        <v>-471497.55994299712</v>
      </c>
      <c r="CY431" s="388">
        <f>CT431*(1+CY432)</f>
        <v>-468177.85836349061</v>
      </c>
      <c r="CZ431" s="388">
        <f>CU431*(1+CZ432)</f>
        <v>-557088.42641088029</v>
      </c>
      <c r="DA431" s="388">
        <f>CV431*(1+DA432)</f>
        <v>-684363.94707208814</v>
      </c>
      <c r="DB431" s="521">
        <f>SUM(CX431:DA431)</f>
        <v>-2181127.7917894563</v>
      </c>
      <c r="DC431" s="388"/>
      <c r="DD431" s="388"/>
      <c r="DE431" s="388"/>
      <c r="DF431" s="388"/>
      <c r="DG431" s="388"/>
      <c r="DH431" s="388"/>
      <c r="DI431" s="388"/>
      <c r="DJ431" s="388"/>
      <c r="DK431" s="406"/>
      <c r="DL431" s="406"/>
      <c r="DM431" s="64"/>
    </row>
    <row r="432" spans="1:117" outlineLevel="1">
      <c r="A432" s="107" t="s">
        <v>651</v>
      </c>
      <c r="B432" s="321"/>
      <c r="C432" s="322"/>
      <c r="D432" s="322"/>
      <c r="E432" s="322"/>
      <c r="F432" s="323"/>
      <c r="G432" s="302">
        <f t="shared" ref="G432:AD432" si="720">G431/B431-1</f>
        <v>-0.2735488852223209</v>
      </c>
      <c r="H432" s="149">
        <f t="shared" si="720"/>
        <v>-1.9521015092784921E-3</v>
      </c>
      <c r="I432" s="149">
        <f t="shared" si="720"/>
        <v>0.36210927931472181</v>
      </c>
      <c r="J432" s="149">
        <f t="shared" si="720"/>
        <v>0.64373828646500586</v>
      </c>
      <c r="K432" s="150">
        <f t="shared" si="720"/>
        <v>0.28560261066335557</v>
      </c>
      <c r="L432" s="302">
        <f t="shared" si="720"/>
        <v>0.5454141764153484</v>
      </c>
      <c r="M432" s="149">
        <f t="shared" si="720"/>
        <v>-4.074966232329591E-2</v>
      </c>
      <c r="N432" s="149">
        <f t="shared" si="720"/>
        <v>-0.59995713034916975</v>
      </c>
      <c r="O432" s="149">
        <f t="shared" si="720"/>
        <v>-0.80339276219937439</v>
      </c>
      <c r="P432" s="150">
        <f t="shared" si="720"/>
        <v>-0.50212037914734386</v>
      </c>
      <c r="Q432" s="302">
        <f t="shared" si="720"/>
        <v>-0.16343055791080208</v>
      </c>
      <c r="R432" s="149">
        <f t="shared" si="720"/>
        <v>0.14407601156552396</v>
      </c>
      <c r="S432" s="149">
        <f t="shared" si="720"/>
        <v>6.0183629544195538E-2</v>
      </c>
      <c r="T432" s="149">
        <f t="shared" si="720"/>
        <v>-3.3645614743662899E-2</v>
      </c>
      <c r="U432" s="150">
        <f t="shared" si="720"/>
        <v>-2.6366815117525588E-2</v>
      </c>
      <c r="V432" s="302">
        <f t="shared" si="720"/>
        <v>0.1667567582785745</v>
      </c>
      <c r="W432" s="149">
        <f t="shared" si="720"/>
        <v>0.35422951346534504</v>
      </c>
      <c r="X432" s="149">
        <f t="shared" si="720"/>
        <v>0.33214408086345726</v>
      </c>
      <c r="Y432" s="149">
        <f t="shared" si="720"/>
        <v>4.4588909786391184E-2</v>
      </c>
      <c r="Z432" s="150">
        <f t="shared" si="720"/>
        <v>0.2250006927702497</v>
      </c>
      <c r="AA432" s="302">
        <f t="shared" si="720"/>
        <v>-0.20663811304819935</v>
      </c>
      <c r="AB432" s="149">
        <f t="shared" si="720"/>
        <v>-0.53306706723443731</v>
      </c>
      <c r="AC432" s="149">
        <f t="shared" si="720"/>
        <v>-0.5589318037867852</v>
      </c>
      <c r="AD432" s="149">
        <f t="shared" si="720"/>
        <v>-0.29251055723959174</v>
      </c>
      <c r="AE432" s="150">
        <f t="shared" ref="AE432:AM432" si="721">AE431/Z431-1</f>
        <v>-0.39541908523463309</v>
      </c>
      <c r="AF432" s="349">
        <f t="shared" si="721"/>
        <v>0.44552281250285142</v>
      </c>
      <c r="AG432" s="373">
        <f t="shared" si="721"/>
        <v>0.42059119104550025</v>
      </c>
      <c r="AH432" s="373">
        <f t="shared" si="721"/>
        <v>0.48631410139592512</v>
      </c>
      <c r="AI432" s="149">
        <f t="shared" si="721"/>
        <v>0.17134461943225276</v>
      </c>
      <c r="AJ432" s="150">
        <f t="shared" si="721"/>
        <v>0.39148958460651984</v>
      </c>
      <c r="AK432" s="349">
        <f t="shared" si="721"/>
        <v>-0.33736681310912486</v>
      </c>
      <c r="AL432" s="373">
        <f t="shared" si="721"/>
        <v>-0.13632482802361323</v>
      </c>
      <c r="AM432" s="373">
        <f t="shared" si="721"/>
        <v>-3.7327121137812669E-2</v>
      </c>
      <c r="AN432" s="149">
        <f>AN431/AI431-1</f>
        <v>6.0823292329652556E-3</v>
      </c>
      <c r="AO432" s="150">
        <f>AO431/AJ431-1</f>
        <v>-0.17955198944507789</v>
      </c>
      <c r="AP432" s="349">
        <v>0.02</v>
      </c>
      <c r="AQ432" s="373">
        <f>AQ431/AL431-1</f>
        <v>-0.59679522484736358</v>
      </c>
      <c r="AR432" s="373">
        <f>AR431/AM431-1</f>
        <v>-0.55445287305962121</v>
      </c>
      <c r="AS432" s="149">
        <f>AS431/AN431-1</f>
        <v>-0.36548241884920529</v>
      </c>
      <c r="AT432" s="150">
        <f>AT431/AO431-1</f>
        <v>-0.50531810296231883</v>
      </c>
      <c r="AU432" s="349">
        <v>0.02</v>
      </c>
      <c r="AV432" s="373">
        <f t="shared" ref="AV432:BG432" si="722">AV431/AQ431-1</f>
        <v>0.65171503957783639</v>
      </c>
      <c r="AW432" s="373">
        <f t="shared" si="722"/>
        <v>0.31184824368825459</v>
      </c>
      <c r="AX432" s="149">
        <f t="shared" si="722"/>
        <v>-2.7079017460787225E-2</v>
      </c>
      <c r="AY432" s="150">
        <f t="shared" si="722"/>
        <v>0.17944674855459408</v>
      </c>
      <c r="AZ432" s="373">
        <f t="shared" si="722"/>
        <v>1.6043569570259848</v>
      </c>
      <c r="BA432" s="373">
        <f t="shared" si="722"/>
        <v>1.854038847578388</v>
      </c>
      <c r="BB432" s="373">
        <f t="shared" si="722"/>
        <v>2.0363901018922852</v>
      </c>
      <c r="BC432" s="373">
        <f t="shared" si="722"/>
        <v>3.2313476975073936</v>
      </c>
      <c r="BD432" s="534">
        <f t="shared" si="722"/>
        <v>2.1238489336603816</v>
      </c>
      <c r="BE432" s="373">
        <f t="shared" si="722"/>
        <v>-0.44646321678052348</v>
      </c>
      <c r="BF432" s="535">
        <f t="shared" si="722"/>
        <v>-0.35361262872172328</v>
      </c>
      <c r="BG432" s="535">
        <f t="shared" si="722"/>
        <v>-0.34022367537217035</v>
      </c>
      <c r="BH432" s="535">
        <f t="shared" ref="BH432:BQ432" si="723">BH431/BC431-1</f>
        <v>-0.47030632213746559</v>
      </c>
      <c r="BI432" s="534">
        <f t="shared" si="723"/>
        <v>-0.40896476407285265</v>
      </c>
      <c r="BJ432" s="373">
        <f t="shared" si="723"/>
        <v>4.1616295149549121E-3</v>
      </c>
      <c r="BK432" s="535">
        <f t="shared" si="723"/>
        <v>0.15983708625003357</v>
      </c>
      <c r="BL432" s="535">
        <f t="shared" si="723"/>
        <v>0.24279393145696382</v>
      </c>
      <c r="BM432" s="535">
        <f t="shared" si="723"/>
        <v>0.38122596697579736</v>
      </c>
      <c r="BN432" s="534">
        <f t="shared" si="723"/>
        <v>0.20242460874433088</v>
      </c>
      <c r="BO432" s="535">
        <f t="shared" si="723"/>
        <v>0.77756750319381585</v>
      </c>
      <c r="BP432" s="535">
        <f t="shared" si="723"/>
        <v>0.34640948221753876</v>
      </c>
      <c r="BQ432" s="535">
        <f t="shared" si="723"/>
        <v>0.69783822576974908</v>
      </c>
      <c r="BR432" s="535">
        <f t="shared" ref="BR432" si="724">BR431/BM431-1</f>
        <v>0.62610812699244511</v>
      </c>
      <c r="BS432" s="534">
        <f t="shared" ref="BS432" si="725">BS431/BN431-1</f>
        <v>0.60147614236145674</v>
      </c>
      <c r="BT432" s="269">
        <v>0.02</v>
      </c>
      <c r="BU432" s="188">
        <v>0.02</v>
      </c>
      <c r="BV432" s="188">
        <v>0.02</v>
      </c>
      <c r="BW432" s="188">
        <v>0.02</v>
      </c>
      <c r="BX432" s="534">
        <f>BX431/BS431-1</f>
        <v>2.0000000000000018E-2</v>
      </c>
      <c r="BY432" s="269">
        <v>0.02</v>
      </c>
      <c r="BZ432" s="188">
        <v>0.02</v>
      </c>
      <c r="CA432" s="188">
        <v>0.02</v>
      </c>
      <c r="CB432" s="188">
        <v>0.02</v>
      </c>
      <c r="CC432" s="534">
        <f>CC431/BX431-1</f>
        <v>2.0000000000000018E-2</v>
      </c>
      <c r="CD432" s="269">
        <v>0.02</v>
      </c>
      <c r="CE432" s="188">
        <v>0.02</v>
      </c>
      <c r="CF432" s="188">
        <v>0.02</v>
      </c>
      <c r="CG432" s="188">
        <v>0.02</v>
      </c>
      <c r="CH432" s="534">
        <f>CH431/CC431-1</f>
        <v>2.0000000000000018E-2</v>
      </c>
      <c r="CI432" s="269">
        <v>0.02</v>
      </c>
      <c r="CJ432" s="188">
        <v>0.02</v>
      </c>
      <c r="CK432" s="188">
        <v>0.02</v>
      </c>
      <c r="CL432" s="188">
        <v>0.02</v>
      </c>
      <c r="CM432" s="534">
        <f>CM431/CH431-1</f>
        <v>2.0000000000000018E-2</v>
      </c>
      <c r="CN432" s="269">
        <v>0.02</v>
      </c>
      <c r="CO432" s="188">
        <v>0.02</v>
      </c>
      <c r="CP432" s="188">
        <v>0.02</v>
      </c>
      <c r="CQ432" s="188">
        <v>0.02</v>
      </c>
      <c r="CR432" s="534">
        <f>CR431/CM431-1</f>
        <v>2.000000000000024E-2</v>
      </c>
      <c r="CS432" s="269">
        <v>0.02</v>
      </c>
      <c r="CT432" s="188">
        <v>0.02</v>
      </c>
      <c r="CU432" s="188">
        <v>0.02</v>
      </c>
      <c r="CV432" s="188">
        <v>0.02</v>
      </c>
      <c r="CW432" s="534">
        <f>CW431/CR431-1</f>
        <v>2.0000000000000018E-2</v>
      </c>
      <c r="CX432" s="269">
        <v>0.02</v>
      </c>
      <c r="CY432" s="188">
        <v>0.02</v>
      </c>
      <c r="CZ432" s="188">
        <v>0.02</v>
      </c>
      <c r="DA432" s="188">
        <v>0.02</v>
      </c>
      <c r="DB432" s="534">
        <f>DB431/CW431-1</f>
        <v>2.0000000000000018E-2</v>
      </c>
      <c r="DC432" s="540"/>
      <c r="DD432" s="540"/>
      <c r="DE432" s="540"/>
      <c r="DF432" s="540"/>
      <c r="DG432" s="540"/>
      <c r="DH432" s="540"/>
      <c r="DI432" s="540"/>
      <c r="DJ432" s="540"/>
      <c r="DK432" s="400"/>
      <c r="DL432" s="400"/>
      <c r="DM432" s="108"/>
    </row>
    <row r="433" spans="1:117" outlineLevel="1">
      <c r="A433" s="36" t="s">
        <v>827</v>
      </c>
      <c r="B433" s="94">
        <f t="shared" ref="B433:U433" si="726">B431-B434</f>
        <v>-376324</v>
      </c>
      <c r="C433" s="48">
        <f t="shared" si="726"/>
        <v>-247569</v>
      </c>
      <c r="D433" s="48">
        <f t="shared" si="726"/>
        <v>-404447</v>
      </c>
      <c r="E433" s="48">
        <f t="shared" si="726"/>
        <v>-696744</v>
      </c>
      <c r="F433" s="104">
        <f t="shared" si="726"/>
        <v>-1725084</v>
      </c>
      <c r="G433" s="94">
        <f t="shared" si="726"/>
        <v>-274232</v>
      </c>
      <c r="H433" s="48">
        <f t="shared" si="726"/>
        <v>-247439</v>
      </c>
      <c r="I433" s="48">
        <f t="shared" si="726"/>
        <v>-550947</v>
      </c>
      <c r="J433" s="48">
        <f t="shared" si="726"/>
        <v>-1158034</v>
      </c>
      <c r="K433" s="104">
        <f t="shared" si="726"/>
        <v>-2230652</v>
      </c>
      <c r="L433" s="94">
        <f t="shared" si="726"/>
        <v>-425579</v>
      </c>
      <c r="M433" s="48">
        <f t="shared" si="726"/>
        <v>-241822</v>
      </c>
      <c r="N433" s="48">
        <f t="shared" si="726"/>
        <v>-220863</v>
      </c>
      <c r="O433" s="48">
        <f t="shared" si="726"/>
        <v>-228485</v>
      </c>
      <c r="P433" s="104">
        <f t="shared" si="726"/>
        <v>-1116749</v>
      </c>
      <c r="Q433" s="94">
        <f t="shared" si="726"/>
        <v>-356042</v>
      </c>
      <c r="R433" s="48">
        <f t="shared" si="726"/>
        <v>-274517</v>
      </c>
      <c r="S433" s="48">
        <f t="shared" si="726"/>
        <v>-234291</v>
      </c>
      <c r="T433" s="48">
        <f t="shared" si="726"/>
        <v>-220925</v>
      </c>
      <c r="U433" s="104">
        <f t="shared" si="726"/>
        <v>-1085775</v>
      </c>
      <c r="V433" s="94">
        <f t="shared" ref="V433:AH433" si="727">V431-V434</f>
        <v>-415259</v>
      </c>
      <c r="W433" s="48">
        <f t="shared" si="727"/>
        <v>-371536</v>
      </c>
      <c r="X433" s="48">
        <f t="shared" si="727"/>
        <v>-311907</v>
      </c>
      <c r="Y433" s="48">
        <f t="shared" si="727"/>
        <v>-230677</v>
      </c>
      <c r="Z433" s="104">
        <f t="shared" si="727"/>
        <v>-1329379</v>
      </c>
      <c r="AA433" s="94">
        <f t="shared" si="727"/>
        <v>-329532</v>
      </c>
      <c r="AB433" s="48">
        <f t="shared" si="727"/>
        <v>-173909</v>
      </c>
      <c r="AC433" s="48">
        <f t="shared" si="727"/>
        <v>-137932</v>
      </c>
      <c r="AD433" s="48">
        <f t="shared" si="727"/>
        <v>-163399</v>
      </c>
      <c r="AE433" s="104">
        <f t="shared" si="727"/>
        <v>-804772</v>
      </c>
      <c r="AF433" s="350">
        <f t="shared" si="727"/>
        <v>-476022</v>
      </c>
      <c r="AG433" s="376">
        <f t="shared" si="727"/>
        <v>-246729</v>
      </c>
      <c r="AH433" s="376">
        <f t="shared" si="727"/>
        <v>-204419</v>
      </c>
      <c r="AI433" s="48">
        <f t="shared" ref="AI433:AP433" si="728">AI431-AI434</f>
        <v>-191181</v>
      </c>
      <c r="AJ433" s="104">
        <f t="shared" si="728"/>
        <v>-1118351</v>
      </c>
      <c r="AK433" s="350">
        <f t="shared" si="728"/>
        <v>-315571</v>
      </c>
      <c r="AL433" s="376">
        <f t="shared" si="728"/>
        <v>-213018</v>
      </c>
      <c r="AM433" s="376">
        <f t="shared" si="728"/>
        <v>-196872</v>
      </c>
      <c r="AN433" s="48">
        <f t="shared" si="728"/>
        <v>-192307</v>
      </c>
      <c r="AO433" s="104">
        <f t="shared" si="728"/>
        <v>-917768</v>
      </c>
      <c r="AP433" s="350">
        <f t="shared" si="728"/>
        <v>-158655</v>
      </c>
      <c r="AQ433" s="48">
        <f t="shared" ref="AQ433:AW433" si="729">AQ431-AQ434</f>
        <v>-86078</v>
      </c>
      <c r="AR433" s="48">
        <f t="shared" si="729"/>
        <v>-87979</v>
      </c>
      <c r="AS433" s="48">
        <f t="shared" si="729"/>
        <v>-122066</v>
      </c>
      <c r="AT433" s="104">
        <f t="shared" si="729"/>
        <v>-454778</v>
      </c>
      <c r="AU433" s="350">
        <f t="shared" si="729"/>
        <v>-160020</v>
      </c>
      <c r="AV433" s="48">
        <f t="shared" si="729"/>
        <v>-142280</v>
      </c>
      <c r="AW433" s="48">
        <f t="shared" si="729"/>
        <v>-115375</v>
      </c>
      <c r="AX433" s="48">
        <f>AX431-AX434</f>
        <v>-118995</v>
      </c>
      <c r="AY433" s="104">
        <f>AY431-AY434</f>
        <v>-536670</v>
      </c>
      <c r="AZ433" s="350">
        <f>AZ431-AZ434</f>
        <v>-410040</v>
      </c>
      <c r="BA433" s="48">
        <f>BA431-BA434</f>
        <v>-402672</v>
      </c>
      <c r="BB433" s="48">
        <f>BB431-BB434</f>
        <v>-346003</v>
      </c>
      <c r="BC433" s="48">
        <f>BC431*0.98</f>
        <v>-490764.39999999997</v>
      </c>
      <c r="BD433" s="104">
        <f>BD431-BD434</f>
        <v>-1674406</v>
      </c>
      <c r="BE433" s="552">
        <f>BE431-BE434</f>
        <v>-230358</v>
      </c>
      <c r="BF433" s="552">
        <f>BF431-BF434</f>
        <v>-261331</v>
      </c>
      <c r="BG433" s="552">
        <f>BG431-BG434</f>
        <v>-230182</v>
      </c>
      <c r="BH433" s="48">
        <f>BH431*0.98</f>
        <v>-259954.8</v>
      </c>
      <c r="BI433" s="104">
        <f>BI431-BI434</f>
        <v>-987302</v>
      </c>
      <c r="BJ433" s="552">
        <f>BJ431-BJ434</f>
        <v>-231444</v>
      </c>
      <c r="BK433" s="552">
        <v>-303014</v>
      </c>
      <c r="BL433" s="552">
        <v>-285894</v>
      </c>
      <c r="BM433" s="48">
        <f>BN433-BL433-BK433-BJ433</f>
        <v>-367004</v>
      </c>
      <c r="BN433" s="104">
        <v>-1187356</v>
      </c>
      <c r="BO433" s="552">
        <v>-409837</v>
      </c>
      <c r="BP433" s="552">
        <v>-408243</v>
      </c>
      <c r="BQ433" s="552">
        <v>-484393</v>
      </c>
      <c r="BR433" s="48">
        <f>BS433-BQ433-BP433-BO433</f>
        <v>-596755</v>
      </c>
      <c r="BS433" s="104">
        <v>-1899228</v>
      </c>
      <c r="BT433" s="48">
        <f>BT431*0.9875</f>
        <v>-413442.88575000002</v>
      </c>
      <c r="BU433" s="48">
        <f>BU431*0.9875</f>
        <v>-410531.93325</v>
      </c>
      <c r="BV433" s="48">
        <f>BV431*0.9875</f>
        <v>-488495.09775000002</v>
      </c>
      <c r="BW433" s="48">
        <f>BW431*0.9875</f>
        <v>-600099.40500000003</v>
      </c>
      <c r="BX433" s="104">
        <f>BX431-BX434</f>
        <v>-1912569.3217500001</v>
      </c>
      <c r="BY433" s="48">
        <f>BY431*0.9875</f>
        <v>-421711.74346500007</v>
      </c>
      <c r="BZ433" s="48">
        <f>BZ431*0.9875</f>
        <v>-418742.57191499998</v>
      </c>
      <c r="CA433" s="48">
        <f>CA431*0.9875</f>
        <v>-498264.99970500008</v>
      </c>
      <c r="CB433" s="48">
        <f>CB431*0.9875</f>
        <v>-612101.39309999999</v>
      </c>
      <c r="CC433" s="104">
        <f>CC431-CC434</f>
        <v>-1950820.7081850001</v>
      </c>
      <c r="CD433" s="48">
        <f>CD431*0.9875</f>
        <v>-430145.97833430005</v>
      </c>
      <c r="CE433" s="48">
        <f>CE431*0.9875</f>
        <v>-427117.42335329996</v>
      </c>
      <c r="CF433" s="48">
        <f>CF431*0.9875</f>
        <v>-508230.29969910003</v>
      </c>
      <c r="CG433" s="48">
        <f>CG431*0.9875</f>
        <v>-624343.42096199992</v>
      </c>
      <c r="CH433" s="104">
        <f>CH431-CH434</f>
        <v>-1989837.1223487002</v>
      </c>
      <c r="CI433" s="48">
        <f>CI431*0.9875</f>
        <v>-438748.89790098608</v>
      </c>
      <c r="CJ433" s="48">
        <f>CJ431*0.9875</f>
        <v>-435659.77182036598</v>
      </c>
      <c r="CK433" s="48">
        <f>CK431*0.9875</f>
        <v>-518394.90569308202</v>
      </c>
      <c r="CL433" s="48">
        <f>CL431*0.9875</f>
        <v>-636830.28938124003</v>
      </c>
      <c r="CM433" s="104">
        <f>CM431-CM434</f>
        <v>-2029633.8647956741</v>
      </c>
      <c r="CN433" s="48">
        <f>CN431*0.9875</f>
        <v>-447523.87585900578</v>
      </c>
      <c r="CO433" s="48">
        <f>CO431*0.9875</f>
        <v>-444372.96725677332</v>
      </c>
      <c r="CP433" s="48">
        <f>CP431*0.9875</f>
        <v>-528762.8038069437</v>
      </c>
      <c r="CQ433" s="48">
        <f>CQ431*0.9875</f>
        <v>-649566.89516886487</v>
      </c>
      <c r="CR433" s="104">
        <f>CR431-CR434</f>
        <v>-2070226.5420915878</v>
      </c>
      <c r="CS433" s="48">
        <f>CS431*0.9875</f>
        <v>-456474.35337618593</v>
      </c>
      <c r="CT433" s="48">
        <f>CT431*0.9875</f>
        <v>-453260.42660190881</v>
      </c>
      <c r="CU433" s="48">
        <f>CU431*0.9875</f>
        <v>-539338.05988308263</v>
      </c>
      <c r="CV433" s="48">
        <f>CV431*0.9875</f>
        <v>-662558.23307224223</v>
      </c>
      <c r="CW433" s="104">
        <f>CW431-CW434</f>
        <v>-2111631.0729334196</v>
      </c>
      <c r="CX433" s="48">
        <f>CX431*0.9875</f>
        <v>-465603.84044370969</v>
      </c>
      <c r="CY433" s="48">
        <f>CY431*0.9875</f>
        <v>-462325.63513394701</v>
      </c>
      <c r="CZ433" s="48">
        <f>CZ431*0.9875</f>
        <v>-550124.82108074427</v>
      </c>
      <c r="DA433" s="48">
        <f>DA431*0.9875</f>
        <v>-675809.39773368707</v>
      </c>
      <c r="DB433" s="104">
        <f>DB431-DB434</f>
        <v>-2153863.6943920883</v>
      </c>
      <c r="DC433" s="48"/>
      <c r="DD433" s="48"/>
      <c r="DE433" s="48"/>
      <c r="DF433" s="48"/>
      <c r="DG433" s="48"/>
      <c r="DH433" s="48"/>
      <c r="DI433" s="48"/>
      <c r="DJ433" s="48"/>
      <c r="DK433" s="99"/>
      <c r="DL433" s="99"/>
      <c r="DM433" s="64"/>
    </row>
    <row r="434" spans="1:117" outlineLevel="1">
      <c r="A434" s="28" t="s">
        <v>763</v>
      </c>
      <c r="B434" s="212">
        <v>-1868</v>
      </c>
      <c r="C434" s="176">
        <v>-2418</v>
      </c>
      <c r="D434" s="176">
        <v>290</v>
      </c>
      <c r="E434" s="168">
        <f>F434-SUM(B434:D434)</f>
        <v>-8103</v>
      </c>
      <c r="F434" s="213">
        <v>-12099</v>
      </c>
      <c r="G434" s="160">
        <f>-2566-H434</f>
        <v>-506</v>
      </c>
      <c r="H434" s="176">
        <v>-2060</v>
      </c>
      <c r="I434" s="176">
        <v>441</v>
      </c>
      <c r="J434" s="168">
        <f>K434-SUM(G434:I434)</f>
        <v>-550</v>
      </c>
      <c r="K434" s="213">
        <v>-2675</v>
      </c>
      <c r="L434" s="212">
        <v>995</v>
      </c>
      <c r="M434" s="176">
        <v>2490</v>
      </c>
      <c r="N434" s="176">
        <v>637</v>
      </c>
      <c r="O434" s="168">
        <f>P434-SUM(L434:N434)</f>
        <v>699</v>
      </c>
      <c r="P434" s="213">
        <v>4821</v>
      </c>
      <c r="Q434" s="212">
        <v>848</v>
      </c>
      <c r="R434" s="176">
        <v>703</v>
      </c>
      <c r="S434" s="176">
        <v>811</v>
      </c>
      <c r="T434" s="168">
        <f>U434-SUM(Q434:S434)</f>
        <v>803</v>
      </c>
      <c r="U434" s="213">
        <v>3165</v>
      </c>
      <c r="V434" s="212">
        <v>834</v>
      </c>
      <c r="W434" s="176">
        <v>729</v>
      </c>
      <c r="X434" s="176">
        <v>878</v>
      </c>
      <c r="Y434" s="168">
        <f>Z434-SUM(V434:X434)</f>
        <v>740</v>
      </c>
      <c r="Z434" s="213">
        <v>3181</v>
      </c>
      <c r="AA434" s="212">
        <v>743</v>
      </c>
      <c r="AB434" s="176">
        <v>767</v>
      </c>
      <c r="AC434" s="176">
        <v>747</v>
      </c>
      <c r="AD434" s="168">
        <f>AE434-SUM(AA434:AC434)</f>
        <v>721</v>
      </c>
      <c r="AE434" s="213">
        <v>2978</v>
      </c>
      <c r="AF434" s="358">
        <v>750</v>
      </c>
      <c r="AG434" s="176">
        <v>765</v>
      </c>
      <c r="AH434" s="176">
        <v>519</v>
      </c>
      <c r="AI434" s="168">
        <f>AJ434-SUM(AF434:AH434)</f>
        <v>629</v>
      </c>
      <c r="AJ434" s="213">
        <v>2663</v>
      </c>
      <c r="AK434" s="358">
        <v>640</v>
      </c>
      <c r="AL434" s="420">
        <v>585</v>
      </c>
      <c r="AM434" s="176">
        <v>583</v>
      </c>
      <c r="AN434" s="168">
        <f>AO434-SUM(AK434:AM434)</f>
        <v>596</v>
      </c>
      <c r="AO434" s="213">
        <v>2404</v>
      </c>
      <c r="AP434" s="358">
        <v>595</v>
      </c>
      <c r="AQ434" s="420">
        <v>424</v>
      </c>
      <c r="AR434" s="420">
        <v>523</v>
      </c>
      <c r="AS434" s="168">
        <f>AT434-SUM(AP434:AR434)</f>
        <v>422</v>
      </c>
      <c r="AT434" s="213">
        <v>1964</v>
      </c>
      <c r="AU434" s="358">
        <v>505</v>
      </c>
      <c r="AV434" s="420">
        <v>804</v>
      </c>
      <c r="AW434" s="420">
        <v>646</v>
      </c>
      <c r="AX434" s="168">
        <f>AY434-SUM(AU434:AW434)</f>
        <v>645</v>
      </c>
      <c r="AY434" s="213">
        <v>2600</v>
      </c>
      <c r="AZ434" s="358">
        <v>-5394</v>
      </c>
      <c r="BA434" s="420">
        <v>-1106</v>
      </c>
      <c r="BB434" s="568">
        <v>-2359</v>
      </c>
      <c r="BC434" s="388">
        <f>+BD434-SUM(AZ434:BB434)</f>
        <v>14911</v>
      </c>
      <c r="BD434" s="570">
        <v>6052</v>
      </c>
      <c r="BE434" s="572">
        <v>400</v>
      </c>
      <c r="BF434" s="420">
        <v>334</v>
      </c>
      <c r="BG434" s="568">
        <v>341</v>
      </c>
      <c r="BH434" s="388">
        <f>+BI434-SUM(BE434:BG434)</f>
        <v>171</v>
      </c>
      <c r="BI434" s="570">
        <v>1246</v>
      </c>
      <c r="BJ434" s="572">
        <f>231444-230915</f>
        <v>529</v>
      </c>
      <c r="BK434" s="420">
        <f>BK431-BK433</f>
        <v>300</v>
      </c>
      <c r="BL434" s="568">
        <f>BL431-BL433</f>
        <v>249</v>
      </c>
      <c r="BM434" s="388">
        <f>BM431-BM433</f>
        <v>620</v>
      </c>
      <c r="BN434" s="570">
        <f>SUM(BJ434:BM434)</f>
        <v>1698</v>
      </c>
      <c r="BO434" s="572">
        <f>231444-230915</f>
        <v>529</v>
      </c>
      <c r="BP434" s="568">
        <f>BP431-BP433</f>
        <v>666</v>
      </c>
      <c r="BQ434" s="568">
        <f>BQ431-BQ433</f>
        <v>-586</v>
      </c>
      <c r="BR434" s="388">
        <f>BR431-BR433</f>
        <v>975</v>
      </c>
      <c r="BS434" s="570">
        <f>SUM(BO434:BR434)</f>
        <v>1584</v>
      </c>
      <c r="BT434" s="388">
        <f>BT431-BT433</f>
        <v>-5233.4542500000098</v>
      </c>
      <c r="BU434" s="388">
        <f>BU431-BU433</f>
        <v>-5196.6067499999772</v>
      </c>
      <c r="BV434" s="388">
        <f>BV431-BV433</f>
        <v>-6183.4822500000009</v>
      </c>
      <c r="BW434" s="388">
        <f>BW431-BW433</f>
        <v>-7596.1949999999488</v>
      </c>
      <c r="BX434" s="521">
        <f>SUM(BT434:BW434)</f>
        <v>-24209.738249999937</v>
      </c>
      <c r="BY434" s="388">
        <f>BY431-BY433</f>
        <v>-5338.1233349999529</v>
      </c>
      <c r="BZ434" s="388">
        <f>BZ431-BZ433</f>
        <v>-5300.5388849999872</v>
      </c>
      <c r="CA434" s="388">
        <f>CA431-CA433</f>
        <v>-6307.151894999959</v>
      </c>
      <c r="CB434" s="388">
        <f>CB431-CB433</f>
        <v>-7748.1189000000013</v>
      </c>
      <c r="CC434" s="521">
        <f>SUM(BY434:CB434)</f>
        <v>-24693.9330149999</v>
      </c>
      <c r="CD434" s="388">
        <f>CD431-CD433</f>
        <v>-5444.885801700002</v>
      </c>
      <c r="CE434" s="388">
        <f>CE431-CE433</f>
        <v>-5406.5496626999811</v>
      </c>
      <c r="CF434" s="388">
        <f>CF431-CF433</f>
        <v>-6433.2949328999966</v>
      </c>
      <c r="CG434" s="388">
        <f>CG431-CG433</f>
        <v>-7903.0812780000269</v>
      </c>
      <c r="CH434" s="521">
        <f>SUM(CD434:CG434)</f>
        <v>-25187.811675300007</v>
      </c>
      <c r="CI434" s="388">
        <f>CI431-CI433</f>
        <v>-5553.783517733973</v>
      </c>
      <c r="CJ434" s="388">
        <f>CJ431-CJ433</f>
        <v>-5514.6806559539982</v>
      </c>
      <c r="CK434" s="388">
        <f>CK431-CK433</f>
        <v>-6561.9608315579826</v>
      </c>
      <c r="CL434" s="388">
        <f>CL431-CL433</f>
        <v>-8061.1429035599576</v>
      </c>
      <c r="CM434" s="521">
        <f>SUM(CI434:CL434)</f>
        <v>-25691.567908805911</v>
      </c>
      <c r="CN434" s="388">
        <f>CN431-CN433</f>
        <v>-5664.8591880886815</v>
      </c>
      <c r="CO434" s="388">
        <f>CO431-CO433</f>
        <v>-5624.9742690730491</v>
      </c>
      <c r="CP434" s="388">
        <f>CP431-CP433</f>
        <v>-6693.2000481891446</v>
      </c>
      <c r="CQ434" s="388">
        <f>CQ431-CQ433</f>
        <v>-8222.3657616311684</v>
      </c>
      <c r="CR434" s="521">
        <f>SUM(CN434:CQ434)</f>
        <v>-26205.399266982044</v>
      </c>
      <c r="CS434" s="388">
        <f>CS431-CS433</f>
        <v>-5778.1563718504622</v>
      </c>
      <c r="CT434" s="388">
        <f>CT431-CT433</f>
        <v>-5737.4737544545205</v>
      </c>
      <c r="CU434" s="388">
        <f>CU431-CU433</f>
        <v>-6827.0640491528902</v>
      </c>
      <c r="CV434" s="388">
        <f>CV431-CV433</f>
        <v>-8386.8130768637639</v>
      </c>
      <c r="CW434" s="521">
        <f>SUM(CS434:CV434)</f>
        <v>-26729.507252321637</v>
      </c>
      <c r="CX434" s="388">
        <f>CX431-CX433</f>
        <v>-5893.7194992874283</v>
      </c>
      <c r="CY434" s="388">
        <f>CY431-CY433</f>
        <v>-5852.223229543597</v>
      </c>
      <c r="CZ434" s="388">
        <f>CZ431-CZ433</f>
        <v>-6963.6053301360225</v>
      </c>
      <c r="DA434" s="388">
        <f>DA431-DA433</f>
        <v>-8554.5493384010624</v>
      </c>
      <c r="DB434" s="521">
        <f>SUM(CX434:DA434)</f>
        <v>-27264.09739736811</v>
      </c>
      <c r="DC434" s="388"/>
      <c r="DD434" s="388"/>
      <c r="DE434" s="388"/>
      <c r="DF434" s="388"/>
      <c r="DG434" s="388"/>
      <c r="DH434" s="388"/>
      <c r="DI434" s="388"/>
      <c r="DJ434" s="388"/>
      <c r="DK434" s="406"/>
      <c r="DL434" s="406"/>
      <c r="DM434" s="64"/>
    </row>
    <row r="435" spans="1:117" outlineLevel="1">
      <c r="A435" s="107" t="s">
        <v>651</v>
      </c>
      <c r="B435" s="321"/>
      <c r="C435" s="322"/>
      <c r="D435" s="322"/>
      <c r="E435" s="322"/>
      <c r="F435" s="323"/>
      <c r="G435" s="302">
        <f t="shared" ref="G435:AC435" si="730">G434/B434-1</f>
        <v>-0.72912205567451815</v>
      </c>
      <c r="H435" s="149">
        <f t="shared" si="730"/>
        <v>-0.14805624483043833</v>
      </c>
      <c r="I435" s="149">
        <f t="shared" si="730"/>
        <v>0.52068965517241383</v>
      </c>
      <c r="J435" s="149">
        <f t="shared" si="730"/>
        <v>-0.93212390472664441</v>
      </c>
      <c r="K435" s="150">
        <f t="shared" si="730"/>
        <v>-0.77890734771468717</v>
      </c>
      <c r="L435" s="302">
        <f t="shared" si="730"/>
        <v>-2.9664031620553359</v>
      </c>
      <c r="M435" s="149">
        <f t="shared" si="730"/>
        <v>-2.20873786407767</v>
      </c>
      <c r="N435" s="149">
        <f t="shared" si="730"/>
        <v>0.44444444444444442</v>
      </c>
      <c r="O435" s="149">
        <f t="shared" si="730"/>
        <v>-2.270909090909091</v>
      </c>
      <c r="P435" s="150">
        <f t="shared" si="730"/>
        <v>-2.8022429906542055</v>
      </c>
      <c r="Q435" s="302">
        <f t="shared" si="730"/>
        <v>-0.1477386934673367</v>
      </c>
      <c r="R435" s="149">
        <f t="shared" si="730"/>
        <v>-0.71767068273092371</v>
      </c>
      <c r="S435" s="149">
        <f t="shared" si="730"/>
        <v>0.27315541601255888</v>
      </c>
      <c r="T435" s="149">
        <f t="shared" si="730"/>
        <v>0.14878397711015734</v>
      </c>
      <c r="U435" s="150">
        <f t="shared" si="730"/>
        <v>-0.34349719975108894</v>
      </c>
      <c r="V435" s="302">
        <f t="shared" si="730"/>
        <v>-1.650943396226412E-2</v>
      </c>
      <c r="W435" s="149">
        <f t="shared" si="730"/>
        <v>3.6984352773826501E-2</v>
      </c>
      <c r="X435" s="149">
        <f t="shared" si="730"/>
        <v>8.2614056720098583E-2</v>
      </c>
      <c r="Y435" s="149">
        <f t="shared" si="730"/>
        <v>-7.8455790784557888E-2</v>
      </c>
      <c r="Z435" s="150">
        <f t="shared" si="730"/>
        <v>5.0552922590836324E-3</v>
      </c>
      <c r="AA435" s="302">
        <f t="shared" si="730"/>
        <v>-0.10911270983213428</v>
      </c>
      <c r="AB435" s="149">
        <f t="shared" si="730"/>
        <v>5.2126200274348333E-2</v>
      </c>
      <c r="AC435" s="149">
        <f t="shared" si="730"/>
        <v>-0.14920273348519364</v>
      </c>
      <c r="AD435" s="149">
        <f>AD434/Y434-1</f>
        <v>-2.5675675675675635E-2</v>
      </c>
      <c r="AE435" s="150">
        <f>AE434/Z434-1</f>
        <v>-6.3816409933983076E-2</v>
      </c>
      <c r="AF435" s="349">
        <f>AF434/AA434-1</f>
        <v>9.421265141319024E-3</v>
      </c>
      <c r="AG435" s="373">
        <f>AG434/AB434-1</f>
        <v>-2.6075619295958807E-3</v>
      </c>
      <c r="AH435" s="373">
        <v>0.02</v>
      </c>
      <c r="AI435" s="149">
        <f>AI434/AD434-1</f>
        <v>-0.12760055478502086</v>
      </c>
      <c r="AJ435" s="150">
        <f>AJ434/AE434-1</f>
        <v>-0.10577568838146412</v>
      </c>
      <c r="AK435" s="349">
        <f>AK434/AF434-1</f>
        <v>-0.14666666666666661</v>
      </c>
      <c r="AL435" s="373">
        <f>AL434/AG434-1</f>
        <v>-0.23529411764705888</v>
      </c>
      <c r="AM435" s="373">
        <v>0.02</v>
      </c>
      <c r="AN435" s="149">
        <f>AN434/AI434-1</f>
        <v>-5.246422893481717E-2</v>
      </c>
      <c r="AO435" s="150">
        <f>AO434/AJ434-1</f>
        <v>-9.7258730754787859E-2</v>
      </c>
      <c r="AP435" s="349">
        <v>0.02</v>
      </c>
      <c r="AQ435" s="373">
        <f>AQ434/AL434-1</f>
        <v>-0.27521367521367524</v>
      </c>
      <c r="AR435" s="373">
        <v>0.02</v>
      </c>
      <c r="AS435" s="149">
        <f>AS434/AN434-1</f>
        <v>-0.29194630872483218</v>
      </c>
      <c r="AT435" s="150">
        <f>AT434/AO434-1</f>
        <v>-0.18302828618968381</v>
      </c>
      <c r="AU435" s="349">
        <v>0.02</v>
      </c>
      <c r="AV435" s="373">
        <f>AV434/AQ434-1</f>
        <v>0.89622641509433953</v>
      </c>
      <c r="AW435" s="373">
        <v>0.02</v>
      </c>
      <c r="AX435" s="149">
        <f>AX434/AS434-1</f>
        <v>0.52843601895734604</v>
      </c>
      <c r="AY435" s="150">
        <f>AY434/AT434-1</f>
        <v>0.32382892057026469</v>
      </c>
      <c r="AZ435" s="349">
        <v>0.02</v>
      </c>
      <c r="BA435" s="373">
        <f>BA434/AV434-1</f>
        <v>-2.3756218905472637</v>
      </c>
      <c r="BB435" s="535">
        <v>0.02</v>
      </c>
      <c r="BC435" s="535">
        <v>0.02</v>
      </c>
      <c r="BD435" s="534">
        <f>BD434/AY434-1</f>
        <v>1.3276923076923075</v>
      </c>
      <c r="BE435" s="535">
        <f>BE434/AZ434-1</f>
        <v>-1.0741564701520208</v>
      </c>
      <c r="BF435" s="535">
        <f>BF434/BA434-1</f>
        <v>-1.3019891500904159</v>
      </c>
      <c r="BG435" s="535">
        <f>BG434/BB434-1</f>
        <v>-1.1445527766002543</v>
      </c>
      <c r="BH435" s="535">
        <v>0.02</v>
      </c>
      <c r="BI435" s="534">
        <f t="shared" ref="BI435:BQ435" si="731">BI434/BD434-1</f>
        <v>-0.79411764705882359</v>
      </c>
      <c r="BJ435" s="535">
        <f t="shared" si="731"/>
        <v>0.32250000000000001</v>
      </c>
      <c r="BK435" s="535">
        <f t="shared" si="731"/>
        <v>-0.10179640718562877</v>
      </c>
      <c r="BL435" s="535">
        <f t="shared" si="731"/>
        <v>-0.26979472140762462</v>
      </c>
      <c r="BM435" s="535">
        <f t="shared" si="731"/>
        <v>2.6257309941520468</v>
      </c>
      <c r="BN435" s="534">
        <f t="shared" si="731"/>
        <v>0.362760834670947</v>
      </c>
      <c r="BO435" s="535">
        <f t="shared" si="731"/>
        <v>0</v>
      </c>
      <c r="BP435" s="535">
        <f t="shared" si="731"/>
        <v>1.2200000000000002</v>
      </c>
      <c r="BQ435" s="535">
        <f t="shared" si="731"/>
        <v>-3.3534136546184738</v>
      </c>
      <c r="BR435" s="535">
        <f t="shared" ref="BR435" si="732">BR434/BM434-1</f>
        <v>0.57258064516129026</v>
      </c>
      <c r="BS435" s="534">
        <f t="shared" ref="BS435" si="733">BS434/BN434-1</f>
        <v>-6.7137809187279185E-2</v>
      </c>
      <c r="BT435" s="536">
        <v>4.0199999999999996</v>
      </c>
      <c r="BU435" s="535"/>
      <c r="BV435" s="535">
        <v>0.02</v>
      </c>
      <c r="BW435" s="535">
        <v>0.02</v>
      </c>
      <c r="BX435" s="534"/>
      <c r="BY435" s="536">
        <v>5.0199999999999996</v>
      </c>
      <c r="BZ435" s="535">
        <f>BZ434/BU434-1</f>
        <v>2.0000000000002016E-2</v>
      </c>
      <c r="CA435" s="535">
        <v>0.02</v>
      </c>
      <c r="CB435" s="535">
        <v>0.02</v>
      </c>
      <c r="CC435" s="534">
        <f>CC434/BX434-1</f>
        <v>1.9999999999998463E-2</v>
      </c>
      <c r="CD435" s="536">
        <v>6.02</v>
      </c>
      <c r="CE435" s="535">
        <f>CE434/BZ434-1</f>
        <v>1.9999999999998908E-2</v>
      </c>
      <c r="CF435" s="535">
        <v>0.02</v>
      </c>
      <c r="CG435" s="535">
        <v>0.02</v>
      </c>
      <c r="CH435" s="534">
        <f>CH434/CC434-1</f>
        <v>2.0000000000004459E-2</v>
      </c>
      <c r="CI435" s="536">
        <v>7.02</v>
      </c>
      <c r="CJ435" s="535">
        <f>CJ434/CE434-1</f>
        <v>2.0000000000003126E-2</v>
      </c>
      <c r="CK435" s="535">
        <v>0.02</v>
      </c>
      <c r="CL435" s="535">
        <v>0.02</v>
      </c>
      <c r="CM435" s="534">
        <f>CM434/CH434-1</f>
        <v>1.9999999999996243E-2</v>
      </c>
      <c r="CN435" s="536">
        <v>7.02</v>
      </c>
      <c r="CO435" s="535">
        <f>CO434/CJ434-1</f>
        <v>1.9999999999994689E-2</v>
      </c>
      <c r="CP435" s="535">
        <v>0.02</v>
      </c>
      <c r="CQ435" s="535">
        <v>0.02</v>
      </c>
      <c r="CR435" s="534">
        <f>CR434/CM434-1</f>
        <v>2.0000000000000462E-2</v>
      </c>
      <c r="CS435" s="536">
        <v>7.02</v>
      </c>
      <c r="CT435" s="535">
        <f>CT434/CO434-1</f>
        <v>2.0000000000001794E-2</v>
      </c>
      <c r="CU435" s="535">
        <v>0.02</v>
      </c>
      <c r="CV435" s="535">
        <v>0.02</v>
      </c>
      <c r="CW435" s="534">
        <f>CW434/CR434-1</f>
        <v>1.9999999999998241E-2</v>
      </c>
      <c r="CX435" s="536">
        <v>7.02</v>
      </c>
      <c r="CY435" s="535">
        <f>CY434/CT434-1</f>
        <v>1.9999999999997575E-2</v>
      </c>
      <c r="CZ435" s="535">
        <v>0.02</v>
      </c>
      <c r="DA435" s="535">
        <v>0.02</v>
      </c>
      <c r="DB435" s="534">
        <f>DB434/CW434-1</f>
        <v>2.0000000000001572E-2</v>
      </c>
      <c r="DC435" s="540"/>
      <c r="DD435" s="540"/>
      <c r="DE435" s="540"/>
      <c r="DF435" s="540"/>
      <c r="DG435" s="540"/>
      <c r="DH435" s="540"/>
      <c r="DI435" s="540"/>
      <c r="DJ435" s="540"/>
      <c r="DK435" s="400"/>
      <c r="DL435" s="400"/>
      <c r="DM435" s="108"/>
    </row>
    <row r="436" spans="1:117" outlineLevel="1">
      <c r="A436" s="34" t="s">
        <v>761</v>
      </c>
      <c r="B436" s="37">
        <v>-2451</v>
      </c>
      <c r="C436" s="38">
        <v>-3598</v>
      </c>
      <c r="D436" s="38">
        <v>-1844</v>
      </c>
      <c r="E436" s="48">
        <f>F436-SUM(B436:D436)</f>
        <v>-8473</v>
      </c>
      <c r="F436" s="133">
        <v>-16366</v>
      </c>
      <c r="G436" s="94">
        <f>-3705-H436</f>
        <v>-1670</v>
      </c>
      <c r="H436" s="38">
        <v>-2035</v>
      </c>
      <c r="I436" s="38">
        <v>290</v>
      </c>
      <c r="J436" s="48">
        <f>K436-SUM(G436:I436)</f>
        <v>4169</v>
      </c>
      <c r="K436" s="133">
        <v>754</v>
      </c>
      <c r="L436" s="37">
        <v>725</v>
      </c>
      <c r="M436" s="38">
        <v>1014</v>
      </c>
      <c r="N436" s="38">
        <v>962</v>
      </c>
      <c r="O436" s="48">
        <f>P436-SUM(L436:N436)</f>
        <v>-1632</v>
      </c>
      <c r="P436" s="133">
        <v>1069</v>
      </c>
      <c r="Q436" s="37">
        <v>174</v>
      </c>
      <c r="R436" s="38">
        <v>-5648</v>
      </c>
      <c r="S436" s="38">
        <v>787</v>
      </c>
      <c r="T436" s="48">
        <f>U436-SUM(Q436:S436)</f>
        <v>11143</v>
      </c>
      <c r="U436" s="133">
        <v>6456</v>
      </c>
      <c r="V436" s="37">
        <v>894</v>
      </c>
      <c r="W436" s="38">
        <v>-1287</v>
      </c>
      <c r="X436" s="38">
        <v>-603</v>
      </c>
      <c r="Y436" s="48">
        <f>Z436-SUM(V436:X436)</f>
        <v>-4810</v>
      </c>
      <c r="Z436" s="133">
        <v>-5806</v>
      </c>
      <c r="AA436" s="37">
        <v>-83</v>
      </c>
      <c r="AB436" s="38">
        <v>-369</v>
      </c>
      <c r="AC436" s="38">
        <v>123</v>
      </c>
      <c r="AD436" s="48">
        <f>AE436-SUM(AA436:AC436)</f>
        <v>394</v>
      </c>
      <c r="AE436" s="133">
        <v>65</v>
      </c>
      <c r="AF436" s="180">
        <v>-163</v>
      </c>
      <c r="AG436" s="38">
        <v>834</v>
      </c>
      <c r="AH436" s="38">
        <v>197</v>
      </c>
      <c r="AI436" s="48">
        <f>AJ436-SUM(AF436:AH436)</f>
        <v>-675</v>
      </c>
      <c r="AJ436" s="133">
        <v>193</v>
      </c>
      <c r="AK436" s="180">
        <v>236</v>
      </c>
      <c r="AL436" s="65">
        <v>214</v>
      </c>
      <c r="AM436" s="38">
        <v>362</v>
      </c>
      <c r="AN436" s="48">
        <f>AO436-SUM(AK436:AM436)</f>
        <v>1547</v>
      </c>
      <c r="AO436" s="133">
        <v>2359</v>
      </c>
      <c r="AP436" s="180">
        <v>-1637</v>
      </c>
      <c r="AQ436" s="65">
        <v>-501</v>
      </c>
      <c r="AR436" s="65">
        <v>232</v>
      </c>
      <c r="AS436" s="48">
        <f>AT436-SUM(AP436:AR436)</f>
        <v>-178</v>
      </c>
      <c r="AT436" s="133">
        <v>-2084</v>
      </c>
      <c r="AU436" s="180">
        <v>-20</v>
      </c>
      <c r="AV436" s="65">
        <v>1111</v>
      </c>
      <c r="AW436" s="65">
        <v>2827</v>
      </c>
      <c r="AX436" s="48">
        <f>AY436-SUM(AU436:AW436)</f>
        <v>7023</v>
      </c>
      <c r="AY436" s="133">
        <v>10941</v>
      </c>
      <c r="AZ436" s="180">
        <v>-8277</v>
      </c>
      <c r="BA436" s="65">
        <v>9268</v>
      </c>
      <c r="BB436" s="567">
        <v>5460</v>
      </c>
      <c r="BC436" s="48">
        <f>+BD436-SUM(AZ436:BB436)</f>
        <v>3339</v>
      </c>
      <c r="BD436" s="569">
        <v>9790</v>
      </c>
      <c r="BE436" s="573">
        <v>321</v>
      </c>
      <c r="BF436" s="567">
        <v>-850</v>
      </c>
      <c r="BG436" s="567">
        <f>1877+283</f>
        <v>2160</v>
      </c>
      <c r="BH436" s="48">
        <f>+BI436-SUM(BE436:BG436)</f>
        <v>-943</v>
      </c>
      <c r="BI436" s="569">
        <v>688</v>
      </c>
      <c r="BJ436" s="573">
        <v>6714</v>
      </c>
      <c r="BK436" s="567">
        <v>9577</v>
      </c>
      <c r="BL436" s="567">
        <v>6564</v>
      </c>
      <c r="BM436" s="48">
        <f>BN436-BL436-BK436-BJ436</f>
        <v>-51215</v>
      </c>
      <c r="BN436" s="569">
        <v>-28360</v>
      </c>
      <c r="BO436" s="573">
        <v>9637</v>
      </c>
      <c r="BP436" s="567">
        <v>26550</v>
      </c>
      <c r="BQ436" s="567">
        <v>6781</v>
      </c>
      <c r="BR436" s="48">
        <f>BS436-BQ436-BP436-BO436</f>
        <v>-81024</v>
      </c>
      <c r="BS436" s="569">
        <v>-38056</v>
      </c>
      <c r="BT436" s="103">
        <f>BR436*1.005</f>
        <v>-81429.119999999995</v>
      </c>
      <c r="BU436" s="48">
        <f>BT436*1.005</f>
        <v>-81836.265599999984</v>
      </c>
      <c r="BV436" s="48">
        <f>BU436*1.005</f>
        <v>-82245.446927999976</v>
      </c>
      <c r="BW436" s="48">
        <f>BV436*1.005</f>
        <v>-82656.67416263996</v>
      </c>
      <c r="BX436" s="104">
        <f>SUM(BT436:BW436)</f>
        <v>-328167.50669063989</v>
      </c>
      <c r="BY436" s="103">
        <f>BW436*1.005</f>
        <v>-83069.957533453155</v>
      </c>
      <c r="BZ436" s="48">
        <f>BY436*1.005</f>
        <v>-83485.307321120417</v>
      </c>
      <c r="CA436" s="48">
        <f>BZ436*1.005</f>
        <v>-83902.733857726009</v>
      </c>
      <c r="CB436" s="48">
        <f>CA436*1.005</f>
        <v>-84322.247527014624</v>
      </c>
      <c r="CC436" s="104">
        <f>SUM(BY436:CB436)</f>
        <v>-334780.24623931421</v>
      </c>
      <c r="CD436" s="103">
        <f>CB436*1.005</f>
        <v>-84743.858764649689</v>
      </c>
      <c r="CE436" s="48">
        <f>CD436*1.005</f>
        <v>-85167.578058472922</v>
      </c>
      <c r="CF436" s="48">
        <f>CE436*1.005</f>
        <v>-85593.41594876528</v>
      </c>
      <c r="CG436" s="48">
        <f>CF436*1.005</f>
        <v>-86021.383028509095</v>
      </c>
      <c r="CH436" s="104">
        <f>SUM(CD436:CG436)</f>
        <v>-341526.235800397</v>
      </c>
      <c r="CI436" s="103">
        <f>CG436*1.005</f>
        <v>-86451.489943651628</v>
      </c>
      <c r="CJ436" s="48">
        <f>CI436*1.005</f>
        <v>-86883.747393369878</v>
      </c>
      <c r="CK436" s="48">
        <f>CJ436*1.005</f>
        <v>-87318.166130336715</v>
      </c>
      <c r="CL436" s="48">
        <f>CK436*1.005</f>
        <v>-87754.756960988394</v>
      </c>
      <c r="CM436" s="104">
        <f>SUM(CI436:CL436)</f>
        <v>-348408.1604283466</v>
      </c>
      <c r="CN436" s="103">
        <f>CL436*1.005</f>
        <v>-88193.530745793323</v>
      </c>
      <c r="CO436" s="48">
        <f>CN436*1.005</f>
        <v>-88634.498399522286</v>
      </c>
      <c r="CP436" s="48">
        <f>CO436*1.005</f>
        <v>-89077.670891519883</v>
      </c>
      <c r="CQ436" s="48">
        <f>CP436*1.005</f>
        <v>-89523.059245977478</v>
      </c>
      <c r="CR436" s="104">
        <f>SUM(CN436:CQ436)</f>
        <v>-355428.759282813</v>
      </c>
      <c r="CS436" s="103">
        <f>CQ436*1.005</f>
        <v>-89970.674542207358</v>
      </c>
      <c r="CT436" s="48">
        <f>CS436*1.005</f>
        <v>-90420.527914918392</v>
      </c>
      <c r="CU436" s="48">
        <f>CT436*1.005</f>
        <v>-90872.630554492978</v>
      </c>
      <c r="CV436" s="48">
        <f>CU436*1.005</f>
        <v>-91326.993707265428</v>
      </c>
      <c r="CW436" s="104">
        <f>SUM(CS436:CV436)</f>
        <v>-362590.82671888417</v>
      </c>
      <c r="CX436" s="103">
        <f>CV436*1.005</f>
        <v>-91783.628675801752</v>
      </c>
      <c r="CY436" s="48">
        <f>CX436*1.005</f>
        <v>-92242.546819180745</v>
      </c>
      <c r="CZ436" s="48">
        <f>CY436*1.005</f>
        <v>-92703.759553276643</v>
      </c>
      <c r="DA436" s="48">
        <f>CZ436*1.005</f>
        <v>-93167.278351043016</v>
      </c>
      <c r="DB436" s="104">
        <f>SUM(CX436:DA436)</f>
        <v>-369897.21339930216</v>
      </c>
      <c r="DC436" s="48"/>
      <c r="DD436" s="48"/>
      <c r="DE436" s="48"/>
      <c r="DF436" s="48"/>
      <c r="DG436" s="48"/>
      <c r="DH436" s="48"/>
      <c r="DI436" s="48"/>
      <c r="DJ436" s="48"/>
      <c r="DK436" s="99"/>
      <c r="DL436" s="99"/>
      <c r="DM436" s="64"/>
    </row>
    <row r="437" spans="1:117" outlineLevel="1">
      <c r="A437" s="113" t="s">
        <v>651</v>
      </c>
      <c r="B437" s="321"/>
      <c r="C437" s="322"/>
      <c r="D437" s="322"/>
      <c r="E437" s="322"/>
      <c r="F437" s="323"/>
      <c r="G437" s="302">
        <f t="shared" ref="G437:AC437" si="734">G436/B436-1</f>
        <v>-0.31864545083639328</v>
      </c>
      <c r="H437" s="149">
        <f t="shared" si="734"/>
        <v>-0.43440800444691496</v>
      </c>
      <c r="I437" s="149">
        <f t="shared" si="734"/>
        <v>-1.1572668112798266</v>
      </c>
      <c r="J437" s="149">
        <f t="shared" si="734"/>
        <v>-1.4920335182343916</v>
      </c>
      <c r="K437" s="150">
        <f t="shared" si="734"/>
        <v>-1.0460711230600024</v>
      </c>
      <c r="L437" s="302">
        <f t="shared" si="734"/>
        <v>-1.4341317365269461</v>
      </c>
      <c r="M437" s="149">
        <f t="shared" si="734"/>
        <v>-1.4982800982800983</v>
      </c>
      <c r="N437" s="149">
        <f t="shared" si="734"/>
        <v>2.317241379310345</v>
      </c>
      <c r="O437" s="149">
        <f t="shared" si="734"/>
        <v>-1.3914607819621012</v>
      </c>
      <c r="P437" s="150">
        <f t="shared" si="734"/>
        <v>0.41777188328912462</v>
      </c>
      <c r="Q437" s="302">
        <f t="shared" si="734"/>
        <v>-0.76</v>
      </c>
      <c r="R437" s="149">
        <f t="shared" si="734"/>
        <v>-6.5700197238658777</v>
      </c>
      <c r="S437" s="149">
        <f t="shared" si="734"/>
        <v>-0.18191268191268195</v>
      </c>
      <c r="T437" s="149">
        <f t="shared" si="734"/>
        <v>-7.8278186274509807</v>
      </c>
      <c r="U437" s="150">
        <f t="shared" si="734"/>
        <v>5.0392890551917677</v>
      </c>
      <c r="V437" s="302">
        <f t="shared" si="734"/>
        <v>4.1379310344827589</v>
      </c>
      <c r="W437" s="149">
        <f t="shared" si="734"/>
        <v>-0.77213172804532582</v>
      </c>
      <c r="X437" s="149">
        <f t="shared" si="734"/>
        <v>-1.7662007623888183</v>
      </c>
      <c r="Y437" s="149">
        <f t="shared" si="734"/>
        <v>-1.4316611325495827</v>
      </c>
      <c r="Z437" s="150">
        <f t="shared" si="734"/>
        <v>-1.8993184634448577</v>
      </c>
      <c r="AA437" s="302">
        <f t="shared" si="734"/>
        <v>-1.092841163310962</v>
      </c>
      <c r="AB437" s="149">
        <f t="shared" si="734"/>
        <v>-0.71328671328671334</v>
      </c>
      <c r="AC437" s="149">
        <f t="shared" si="734"/>
        <v>-1.2039800995024876</v>
      </c>
      <c r="AD437" s="149">
        <f t="shared" ref="AD437:AM437" si="735">AD436/Y436-1</f>
        <v>-1.0819126819126819</v>
      </c>
      <c r="AE437" s="150">
        <f t="shared" si="735"/>
        <v>-1.0111953151911814</v>
      </c>
      <c r="AF437" s="349">
        <f t="shared" si="735"/>
        <v>0.96385542168674698</v>
      </c>
      <c r="AG437" s="149">
        <f t="shared" si="735"/>
        <v>-3.2601626016260163</v>
      </c>
      <c r="AH437" s="149">
        <f t="shared" si="735"/>
        <v>0.60162601626016254</v>
      </c>
      <c r="AI437" s="149">
        <f t="shared" si="735"/>
        <v>-2.7131979695431472</v>
      </c>
      <c r="AJ437" s="150">
        <f t="shared" si="735"/>
        <v>1.9692307692307693</v>
      </c>
      <c r="AK437" s="349">
        <f t="shared" si="735"/>
        <v>-2.4478527607361964</v>
      </c>
      <c r="AL437" s="373">
        <f t="shared" si="735"/>
        <v>-0.74340527577937654</v>
      </c>
      <c r="AM437" s="149">
        <f t="shared" si="735"/>
        <v>0.8375634517766497</v>
      </c>
      <c r="AN437" s="149">
        <f>AN436/AI436-1</f>
        <v>-3.291851851851852</v>
      </c>
      <c r="AO437" s="150">
        <f>AO436/AJ436-1</f>
        <v>11.222797927461141</v>
      </c>
      <c r="AP437" s="349">
        <v>0.02</v>
      </c>
      <c r="AQ437" s="373">
        <f>AQ436/AL436-1</f>
        <v>-3.3411214953271027</v>
      </c>
      <c r="AR437" s="373">
        <v>0.02</v>
      </c>
      <c r="AS437" s="149">
        <f>AS436/AN436-1</f>
        <v>-1.1150614091790563</v>
      </c>
      <c r="AT437" s="150">
        <f>AT436/AO436-1</f>
        <v>-1.8834251801610851</v>
      </c>
      <c r="AU437" s="349">
        <v>0.02</v>
      </c>
      <c r="AV437" s="373">
        <f>AV436/AQ436-1</f>
        <v>-3.2175648702594812</v>
      </c>
      <c r="AW437" s="373">
        <v>0.02</v>
      </c>
      <c r="AX437" s="149">
        <f>AX436/AS436-1</f>
        <v>-40.455056179775283</v>
      </c>
      <c r="AY437" s="150">
        <f>AY436/AT436-1</f>
        <v>-6.25</v>
      </c>
      <c r="AZ437" s="349">
        <v>0.02</v>
      </c>
      <c r="BA437" s="373">
        <f>BA436/AV436-1</f>
        <v>7.3420342034203419</v>
      </c>
      <c r="BB437" s="535">
        <v>0.02</v>
      </c>
      <c r="BC437" s="535">
        <v>0.02</v>
      </c>
      <c r="BD437" s="534">
        <f>BD436/AY436-1</f>
        <v>-0.10520062151540077</v>
      </c>
      <c r="BE437" s="562">
        <v>1.02</v>
      </c>
      <c r="BF437" s="535">
        <f>BF436/BA436-1</f>
        <v>-1.0917134225291325</v>
      </c>
      <c r="BG437" s="535">
        <f>BG436/BB436-1</f>
        <v>-0.60439560439560447</v>
      </c>
      <c r="BH437" s="535">
        <v>0.02</v>
      </c>
      <c r="BI437" s="534">
        <f>BI436/BD436-1</f>
        <v>-0.92972420837589376</v>
      </c>
      <c r="BJ437" s="562">
        <v>1.02</v>
      </c>
      <c r="BK437" s="535">
        <f t="shared" ref="BK437:BQ437" si="736">BK436/BF436-1</f>
        <v>-12.267058823529412</v>
      </c>
      <c r="BL437" s="535">
        <f t="shared" si="736"/>
        <v>2.0388888888888888</v>
      </c>
      <c r="BM437" s="535">
        <f t="shared" si="736"/>
        <v>53.310710498409335</v>
      </c>
      <c r="BN437" s="534">
        <f t="shared" si="736"/>
        <v>-42.220930232558139</v>
      </c>
      <c r="BO437" s="535">
        <f t="shared" si="736"/>
        <v>0.43535895144474224</v>
      </c>
      <c r="BP437" s="535">
        <f t="shared" si="736"/>
        <v>1.7722668894225748</v>
      </c>
      <c r="BQ437" s="535">
        <f t="shared" si="736"/>
        <v>3.3059110298598426E-2</v>
      </c>
      <c r="BR437" s="535">
        <f t="shared" ref="BR437" si="737">BR436/BM436-1</f>
        <v>0.58203651274040813</v>
      </c>
      <c r="BS437" s="534">
        <f t="shared" ref="BS437" si="738">BS436/BN436-1</f>
        <v>0.34188998589562769</v>
      </c>
      <c r="BT437" s="536">
        <v>4.0199999999999996</v>
      </c>
      <c r="BU437" s="535">
        <f>BU436/BP436-1</f>
        <v>-4.0823452203389827</v>
      </c>
      <c r="BV437" s="535">
        <v>0.02</v>
      </c>
      <c r="BW437" s="535">
        <v>0.02</v>
      </c>
      <c r="BX437" s="534">
        <f>BX436/BS436-1</f>
        <v>7.6232790280281666</v>
      </c>
      <c r="BY437" s="536">
        <v>5.0199999999999996</v>
      </c>
      <c r="BZ437" s="535">
        <f>BZ436/BU436-1</f>
        <v>2.0150500624999568E-2</v>
      </c>
      <c r="CA437" s="535">
        <v>0.02</v>
      </c>
      <c r="CB437" s="535">
        <v>0.02</v>
      </c>
      <c r="CC437" s="534">
        <f>CC436/BX436-1</f>
        <v>2.0150500624999568E-2</v>
      </c>
      <c r="CD437" s="536">
        <v>6.02</v>
      </c>
      <c r="CE437" s="535">
        <f>CE436/BZ436-1</f>
        <v>2.0150500624999346E-2</v>
      </c>
      <c r="CF437" s="535">
        <v>0.02</v>
      </c>
      <c r="CG437" s="535">
        <v>0.02</v>
      </c>
      <c r="CH437" s="534">
        <f>CH436/CC436-1</f>
        <v>2.0150500624999568E-2</v>
      </c>
      <c r="CI437" s="536">
        <v>7.02</v>
      </c>
      <c r="CJ437" s="535">
        <f>CJ436/CE436-1</f>
        <v>2.0150500624999568E-2</v>
      </c>
      <c r="CK437" s="535">
        <v>0.02</v>
      </c>
      <c r="CL437" s="535">
        <v>0.02</v>
      </c>
      <c r="CM437" s="534">
        <f>CM436/CH436-1</f>
        <v>2.0150500624999346E-2</v>
      </c>
      <c r="CN437" s="536">
        <v>7.02</v>
      </c>
      <c r="CO437" s="535">
        <f>CO436/CJ436-1</f>
        <v>2.0150500624999568E-2</v>
      </c>
      <c r="CP437" s="535">
        <v>0.02</v>
      </c>
      <c r="CQ437" s="535">
        <v>0.02</v>
      </c>
      <c r="CR437" s="534">
        <f>CR436/CM436-1</f>
        <v>2.015050062499979E-2</v>
      </c>
      <c r="CS437" s="536">
        <v>7.02</v>
      </c>
      <c r="CT437" s="535">
        <f>CT436/CO436-1</f>
        <v>2.0150500624999568E-2</v>
      </c>
      <c r="CU437" s="535">
        <v>0.02</v>
      </c>
      <c r="CV437" s="535">
        <v>0.02</v>
      </c>
      <c r="CW437" s="534">
        <f>CW436/CR436-1</f>
        <v>2.0150500624999568E-2</v>
      </c>
      <c r="CX437" s="536">
        <v>7.02</v>
      </c>
      <c r="CY437" s="535">
        <f>CY436/CT436-1</f>
        <v>2.0150500624999568E-2</v>
      </c>
      <c r="CZ437" s="535">
        <v>0.02</v>
      </c>
      <c r="DA437" s="535">
        <v>0.02</v>
      </c>
      <c r="DB437" s="534">
        <f>DB436/CW436-1</f>
        <v>2.0150500624999568E-2</v>
      </c>
      <c r="DC437" s="540"/>
      <c r="DD437" s="540"/>
      <c r="DE437" s="540"/>
      <c r="DF437" s="540"/>
      <c r="DG437" s="540"/>
      <c r="DH437" s="540"/>
      <c r="DI437" s="540"/>
      <c r="DJ437" s="540"/>
      <c r="DK437" s="400"/>
      <c r="DL437" s="400"/>
      <c r="DM437" s="108"/>
    </row>
    <row r="438" spans="1:117" outlineLevel="1">
      <c r="A438" s="34" t="s">
        <v>762</v>
      </c>
      <c r="B438" s="37">
        <v>352</v>
      </c>
      <c r="C438" s="38">
        <v>272</v>
      </c>
      <c r="D438" s="38">
        <v>112</v>
      </c>
      <c r="E438" s="48">
        <f>F438-SUM(B438:D438)</f>
        <v>113</v>
      </c>
      <c r="F438" s="133">
        <v>849</v>
      </c>
      <c r="G438" s="94">
        <f>225-H438</f>
        <v>113</v>
      </c>
      <c r="H438" s="38">
        <v>112</v>
      </c>
      <c r="I438" s="38">
        <v>125</v>
      </c>
      <c r="J438" s="48">
        <f>K438-SUM(G438:I438)</f>
        <v>125</v>
      </c>
      <c r="K438" s="133">
        <v>475</v>
      </c>
      <c r="L438" s="37">
        <v>128</v>
      </c>
      <c r="M438" s="38">
        <v>122</v>
      </c>
      <c r="N438" s="38">
        <v>121</v>
      </c>
      <c r="O438" s="48">
        <f>P438-SUM(L438:N438)</f>
        <v>120</v>
      </c>
      <c r="P438" s="133">
        <v>491</v>
      </c>
      <c r="Q438" s="37">
        <v>124</v>
      </c>
      <c r="R438" s="38">
        <v>124</v>
      </c>
      <c r="S438" s="38">
        <v>124</v>
      </c>
      <c r="T438" s="48">
        <f>U438-SUM(Q438:S438)</f>
        <v>126</v>
      </c>
      <c r="U438" s="133">
        <v>498</v>
      </c>
      <c r="V438" s="37">
        <v>209</v>
      </c>
      <c r="W438" s="38">
        <v>396</v>
      </c>
      <c r="X438" s="38">
        <v>392</v>
      </c>
      <c r="Y438" s="48">
        <f>Z438-SUM(V438:X438)</f>
        <v>462</v>
      </c>
      <c r="Z438" s="133">
        <v>1459</v>
      </c>
      <c r="AA438" s="37">
        <v>429</v>
      </c>
      <c r="AB438" s="38">
        <v>433</v>
      </c>
      <c r="AC438" s="38">
        <v>396</v>
      </c>
      <c r="AD438" s="48">
        <f>AE438-SUM(AA438:AC438)</f>
        <v>394</v>
      </c>
      <c r="AE438" s="133">
        <v>1652</v>
      </c>
      <c r="AF438" s="180">
        <v>487</v>
      </c>
      <c r="AG438" s="38">
        <v>453</v>
      </c>
      <c r="AH438" s="38">
        <v>454</v>
      </c>
      <c r="AI438" s="48">
        <f>AJ438-SUM(AF438:AH438)</f>
        <v>460</v>
      </c>
      <c r="AJ438" s="133">
        <v>1854</v>
      </c>
      <c r="AK438" s="180">
        <v>532</v>
      </c>
      <c r="AL438" s="65">
        <v>530</v>
      </c>
      <c r="AM438" s="38">
        <v>378</v>
      </c>
      <c r="AN438" s="48">
        <f>AO438-SUM(AK438:AM438)</f>
        <v>514</v>
      </c>
      <c r="AO438" s="133">
        <v>1954</v>
      </c>
      <c r="AP438" s="180">
        <v>504</v>
      </c>
      <c r="AQ438" s="65">
        <v>1496</v>
      </c>
      <c r="AR438" s="65">
        <v>-360</v>
      </c>
      <c r="AS438" s="48">
        <f>AT438-SUM(AP438:AR438)</f>
        <v>592</v>
      </c>
      <c r="AT438" s="133">
        <v>2232</v>
      </c>
      <c r="AU438" s="180">
        <v>605</v>
      </c>
      <c r="AV438" s="65">
        <v>656</v>
      </c>
      <c r="AW438" s="65">
        <v>669</v>
      </c>
      <c r="AX438" s="48">
        <f>AY438-SUM(AU438:AW438)</f>
        <v>669</v>
      </c>
      <c r="AY438" s="133">
        <v>2599</v>
      </c>
      <c r="AZ438" s="180">
        <v>679</v>
      </c>
      <c r="BA438" s="65">
        <v>680</v>
      </c>
      <c r="BB438" s="567">
        <v>668</v>
      </c>
      <c r="BC438" s="48">
        <f>+BD438-SUM(AZ438:BB438)</f>
        <v>1421</v>
      </c>
      <c r="BD438" s="569">
        <v>3448</v>
      </c>
      <c r="BE438" s="573">
        <v>108</v>
      </c>
      <c r="BF438" s="567">
        <v>788</v>
      </c>
      <c r="BG438" s="567">
        <v>782</v>
      </c>
      <c r="BH438" s="48">
        <f>+BI438-SUM(BE438:BG438)</f>
        <v>746</v>
      </c>
      <c r="BI438" s="569">
        <v>2424</v>
      </c>
      <c r="BJ438" s="573">
        <v>742</v>
      </c>
      <c r="BK438" s="567">
        <v>740</v>
      </c>
      <c r="BL438" s="567">
        <v>748</v>
      </c>
      <c r="BM438" s="48">
        <f>BN438-BL438-BK438-BJ438</f>
        <v>-5246</v>
      </c>
      <c r="BN438" s="569">
        <v>-3016</v>
      </c>
      <c r="BO438" s="573">
        <v>793</v>
      </c>
      <c r="BP438" s="567">
        <v>791</v>
      </c>
      <c r="BQ438" s="567">
        <v>762</v>
      </c>
      <c r="BR438" s="48">
        <f>BS438-BQ438-BP438-BO438</f>
        <v>-5456</v>
      </c>
      <c r="BS438" s="569">
        <v>-3110</v>
      </c>
      <c r="BT438" s="103">
        <f>BR438*1.005</f>
        <v>-5483.28</v>
      </c>
      <c r="BU438" s="48">
        <f>BT438*1.005</f>
        <v>-5510.6963999999989</v>
      </c>
      <c r="BV438" s="48">
        <f>BU438*1.005</f>
        <v>-5538.2498819999983</v>
      </c>
      <c r="BW438" s="48">
        <f>BV438*1.005</f>
        <v>-5565.941131409998</v>
      </c>
      <c r="BX438" s="104">
        <f>SUM(BT438:BW438)</f>
        <v>-22098.167413409996</v>
      </c>
      <c r="BY438" s="103">
        <f>BW438*1.005</f>
        <v>-5593.7708370670471</v>
      </c>
      <c r="BZ438" s="48">
        <f>BY438*1.005</f>
        <v>-5621.7396912523818</v>
      </c>
      <c r="CA438" s="48">
        <f>BZ438*1.005</f>
        <v>-5649.8483897086435</v>
      </c>
      <c r="CB438" s="48">
        <f>CA438*1.005</f>
        <v>-5678.097631657186</v>
      </c>
      <c r="CC438" s="104">
        <f>SUM(BY438:CB438)</f>
        <v>-22543.456549685259</v>
      </c>
      <c r="CD438" s="103">
        <f>CB438*1.005</f>
        <v>-5706.4881198154717</v>
      </c>
      <c r="CE438" s="48">
        <f>CD438*1.005</f>
        <v>-5735.0205604145485</v>
      </c>
      <c r="CF438" s="48">
        <f>CE438*1.005</f>
        <v>-5763.6956632166202</v>
      </c>
      <c r="CG438" s="48">
        <f>CF438*1.005</f>
        <v>-5792.5141415327025</v>
      </c>
      <c r="CH438" s="104">
        <f>SUM(CD438:CG438)</f>
        <v>-22997.718484979341</v>
      </c>
      <c r="CI438" s="103">
        <f>CG438*1.005</f>
        <v>-5821.4767122403655</v>
      </c>
      <c r="CJ438" s="48">
        <f>CI438*1.005</f>
        <v>-5850.5840958015669</v>
      </c>
      <c r="CK438" s="48">
        <f>CJ438*1.005</f>
        <v>-5879.8370162805741</v>
      </c>
      <c r="CL438" s="48">
        <f>CK438*1.005</f>
        <v>-5909.2362013619759</v>
      </c>
      <c r="CM438" s="104">
        <f>SUM(CI438:CL438)</f>
        <v>-23461.134025684481</v>
      </c>
      <c r="CN438" s="103">
        <f>CL438*1.005</f>
        <v>-5938.782382368785</v>
      </c>
      <c r="CO438" s="48">
        <f>CN438*1.005</f>
        <v>-5968.4762942806283</v>
      </c>
      <c r="CP438" s="48">
        <f>CO438*1.005</f>
        <v>-5998.3186757520307</v>
      </c>
      <c r="CQ438" s="48">
        <f>CP438*1.005</f>
        <v>-6028.3102691307904</v>
      </c>
      <c r="CR438" s="104">
        <f>SUM(CN438:CQ438)</f>
        <v>-23933.887621532234</v>
      </c>
      <c r="CS438" s="103">
        <f>CQ438*1.005</f>
        <v>-6058.4518204764436</v>
      </c>
      <c r="CT438" s="48">
        <f>CS438*1.005</f>
        <v>-6088.7440795788252</v>
      </c>
      <c r="CU438" s="48">
        <f>CT438*1.005</f>
        <v>-6119.1877999767185</v>
      </c>
      <c r="CV438" s="48">
        <f>CU438*1.005</f>
        <v>-6149.7837389766009</v>
      </c>
      <c r="CW438" s="104">
        <f>SUM(CS438:CV438)</f>
        <v>-24416.16743900859</v>
      </c>
      <c r="CX438" s="103">
        <f>CV438*1.005</f>
        <v>-6180.5326576714833</v>
      </c>
      <c r="CY438" s="48">
        <f>CX438*1.005</f>
        <v>-6211.4353209598403</v>
      </c>
      <c r="CZ438" s="48">
        <f>CY438*1.005</f>
        <v>-6242.4924975646391</v>
      </c>
      <c r="DA438" s="48">
        <f>CZ438*1.005</f>
        <v>-6273.7049600524615</v>
      </c>
      <c r="DB438" s="104">
        <f>SUM(CX438:DA438)</f>
        <v>-24908.165436248426</v>
      </c>
      <c r="DC438" s="48"/>
      <c r="DD438" s="48"/>
      <c r="DE438" s="48"/>
      <c r="DF438" s="48"/>
      <c r="DG438" s="48"/>
      <c r="DH438" s="48"/>
      <c r="DI438" s="48"/>
      <c r="DJ438" s="48"/>
      <c r="DK438" s="99"/>
      <c r="DL438" s="99"/>
      <c r="DM438" s="64"/>
    </row>
    <row r="439" spans="1:117" outlineLevel="1">
      <c r="A439" s="113" t="s">
        <v>651</v>
      </c>
      <c r="B439" s="321"/>
      <c r="C439" s="322"/>
      <c r="D439" s="322"/>
      <c r="E439" s="322"/>
      <c r="F439" s="323"/>
      <c r="G439" s="302">
        <f t="shared" ref="G439:AC439" si="739">G438/B438-1</f>
        <v>-0.67897727272727271</v>
      </c>
      <c r="H439" s="149">
        <f t="shared" si="739"/>
        <v>-0.58823529411764708</v>
      </c>
      <c r="I439" s="149">
        <f t="shared" si="739"/>
        <v>0.1160714285714286</v>
      </c>
      <c r="J439" s="149">
        <f t="shared" si="739"/>
        <v>0.10619469026548667</v>
      </c>
      <c r="K439" s="150">
        <f t="shared" si="739"/>
        <v>-0.44051825677267376</v>
      </c>
      <c r="L439" s="302">
        <f t="shared" si="739"/>
        <v>0.13274336283185839</v>
      </c>
      <c r="M439" s="149">
        <f t="shared" si="739"/>
        <v>8.9285714285714191E-2</v>
      </c>
      <c r="N439" s="149">
        <f t="shared" si="739"/>
        <v>-3.2000000000000028E-2</v>
      </c>
      <c r="O439" s="149">
        <f t="shared" si="739"/>
        <v>-4.0000000000000036E-2</v>
      </c>
      <c r="P439" s="150">
        <f t="shared" si="739"/>
        <v>3.3684210526315761E-2</v>
      </c>
      <c r="Q439" s="302">
        <f t="shared" si="739"/>
        <v>-3.125E-2</v>
      </c>
      <c r="R439" s="149">
        <f t="shared" si="739"/>
        <v>1.6393442622950838E-2</v>
      </c>
      <c r="S439" s="149">
        <f t="shared" si="739"/>
        <v>2.4793388429751984E-2</v>
      </c>
      <c r="T439" s="149">
        <f t="shared" si="739"/>
        <v>5.0000000000000044E-2</v>
      </c>
      <c r="U439" s="150">
        <f t="shared" si="739"/>
        <v>1.4256619144602745E-2</v>
      </c>
      <c r="V439" s="302">
        <f t="shared" si="739"/>
        <v>0.68548387096774199</v>
      </c>
      <c r="W439" s="149">
        <f t="shared" si="739"/>
        <v>2.193548387096774</v>
      </c>
      <c r="X439" s="149">
        <f t="shared" si="739"/>
        <v>2.161290322580645</v>
      </c>
      <c r="Y439" s="149">
        <f t="shared" si="739"/>
        <v>2.6666666666666665</v>
      </c>
      <c r="Z439" s="150">
        <f t="shared" si="739"/>
        <v>1.929718875502008</v>
      </c>
      <c r="AA439" s="302">
        <f t="shared" si="739"/>
        <v>1.0526315789473686</v>
      </c>
      <c r="AB439" s="149">
        <f t="shared" si="739"/>
        <v>9.3434343434343425E-2</v>
      </c>
      <c r="AC439" s="149">
        <f t="shared" si="739"/>
        <v>1.0204081632652962E-2</v>
      </c>
      <c r="AD439" s="149">
        <f>AD438/Y438-1</f>
        <v>-0.1471861471861472</v>
      </c>
      <c r="AE439" s="150">
        <f>AE438/Z438-1</f>
        <v>0.13228238519533919</v>
      </c>
      <c r="AF439" s="302">
        <f>AF438/AA438-1</f>
        <v>0.13519813519813528</v>
      </c>
      <c r="AG439" s="149">
        <f>AG438/AB438-1</f>
        <v>4.6189376443418029E-2</v>
      </c>
      <c r="AH439" s="149">
        <v>0.02</v>
      </c>
      <c r="AI439" s="149">
        <f>AI438/AD438-1</f>
        <v>0.1675126903553299</v>
      </c>
      <c r="AJ439" s="150">
        <f>AJ438/AE438-1</f>
        <v>0.12227602905569013</v>
      </c>
      <c r="AK439" s="302">
        <f>AK438/AF438-1</f>
        <v>9.2402464065708401E-2</v>
      </c>
      <c r="AL439" s="149">
        <f>AL438/AG438-1</f>
        <v>0.16997792494481234</v>
      </c>
      <c r="AM439" s="149">
        <v>0.02</v>
      </c>
      <c r="AN439" s="149">
        <f>AN438/AI438-1</f>
        <v>0.11739130434782608</v>
      </c>
      <c r="AO439" s="150">
        <f>AO438/AJ438-1</f>
        <v>5.3937432578209377E-2</v>
      </c>
      <c r="AP439" s="302">
        <v>0.02</v>
      </c>
      <c r="AQ439" s="149">
        <f>AQ438/AL438-1</f>
        <v>1.8226415094339621</v>
      </c>
      <c r="AR439" s="149">
        <v>0.02</v>
      </c>
      <c r="AS439" s="149">
        <f>AS438/AN438-1</f>
        <v>0.15175097276264582</v>
      </c>
      <c r="AT439" s="150">
        <f>AT438/AO438-1</f>
        <v>0.14227226202661214</v>
      </c>
      <c r="AU439" s="302">
        <v>0.02</v>
      </c>
      <c r="AV439" s="149">
        <f>AV438/AQ438-1</f>
        <v>-0.56149732620320858</v>
      </c>
      <c r="AW439" s="149">
        <v>0.02</v>
      </c>
      <c r="AX439" s="149">
        <f>AX438/AS438-1</f>
        <v>0.13006756756756754</v>
      </c>
      <c r="AY439" s="150">
        <f>AY438/AT438-1</f>
        <v>0.16442652329749108</v>
      </c>
      <c r="AZ439" s="302">
        <v>0.02</v>
      </c>
      <c r="BA439" s="149">
        <f>BA438/AV438-1</f>
        <v>3.6585365853658569E-2</v>
      </c>
      <c r="BB439" s="149">
        <f>BB438/AW438-1</f>
        <v>-1.494768310911776E-3</v>
      </c>
      <c r="BC439" s="149">
        <f>BC438/AX438-1</f>
        <v>1.12406576980568</v>
      </c>
      <c r="BD439" s="534">
        <f>BD438/AY438-1</f>
        <v>0.32666410157752979</v>
      </c>
      <c r="BE439" s="562">
        <v>1.02</v>
      </c>
      <c r="BF439" s="535">
        <f>BF438/BA438-1</f>
        <v>0.15882352941176481</v>
      </c>
      <c r="BG439" s="535">
        <f>BG438/BB438-1</f>
        <v>0.1706586826347305</v>
      </c>
      <c r="BH439" s="540">
        <f>BH438/BC438-1</f>
        <v>-0.47501759324419424</v>
      </c>
      <c r="BI439" s="534">
        <f>BI438/BD438-1</f>
        <v>-0.29698375870069604</v>
      </c>
      <c r="BJ439" s="562">
        <v>1.02</v>
      </c>
      <c r="BK439" s="535">
        <f t="shared" ref="BK439:BQ439" si="740">BK438/BF438-1</f>
        <v>-6.0913705583756306E-2</v>
      </c>
      <c r="BL439" s="535">
        <f t="shared" si="740"/>
        <v>-4.3478260869565188E-2</v>
      </c>
      <c r="BM439" s="540">
        <f t="shared" si="740"/>
        <v>-8.0321715817694361</v>
      </c>
      <c r="BN439" s="534">
        <f t="shared" si="740"/>
        <v>-2.2442244224422443</v>
      </c>
      <c r="BO439" s="535">
        <f t="shared" si="740"/>
        <v>6.8733153638814048E-2</v>
      </c>
      <c r="BP439" s="535">
        <f t="shared" si="740"/>
        <v>6.8918918918918992E-2</v>
      </c>
      <c r="BQ439" s="535">
        <f t="shared" si="740"/>
        <v>1.8716577540107027E-2</v>
      </c>
      <c r="BR439" s="540">
        <f t="shared" ref="BR439" si="741">BR438/BM438-1</f>
        <v>4.0030499428135746E-2</v>
      </c>
      <c r="BS439" s="534">
        <f t="shared" ref="BS439" si="742">BS438/BN438-1</f>
        <v>3.1167108753315631E-2</v>
      </c>
      <c r="BT439" s="536">
        <v>4.0199999999999996</v>
      </c>
      <c r="BU439" s="535">
        <f>BU438/BP438-1</f>
        <v>-7.9667463969658643</v>
      </c>
      <c r="BV439" s="535">
        <v>0.02</v>
      </c>
      <c r="BW439" s="535">
        <v>0.02</v>
      </c>
      <c r="BX439" s="534">
        <f>BX438/BS438-1</f>
        <v>6.1055200686205771</v>
      </c>
      <c r="BY439" s="536">
        <v>5.0199999999999996</v>
      </c>
      <c r="BZ439" s="535">
        <f>BZ438/BU438-1</f>
        <v>2.0150500624999568E-2</v>
      </c>
      <c r="CA439" s="535">
        <v>0.02</v>
      </c>
      <c r="CB439" s="535">
        <v>0.02</v>
      </c>
      <c r="CC439" s="534">
        <f>CC438/BX438-1</f>
        <v>2.0150500624999568E-2</v>
      </c>
      <c r="CD439" s="536">
        <v>6.02</v>
      </c>
      <c r="CE439" s="535">
        <f>CE438/BZ438-1</f>
        <v>2.015050062499979E-2</v>
      </c>
      <c r="CF439" s="535">
        <v>0.02</v>
      </c>
      <c r="CG439" s="535">
        <v>0.02</v>
      </c>
      <c r="CH439" s="534">
        <f>CH438/CC438-1</f>
        <v>2.0150500624999568E-2</v>
      </c>
      <c r="CI439" s="536">
        <v>7.02</v>
      </c>
      <c r="CJ439" s="535">
        <f>CJ438/CE438-1</f>
        <v>2.0150500624999568E-2</v>
      </c>
      <c r="CK439" s="535">
        <v>0.02</v>
      </c>
      <c r="CL439" s="535">
        <v>0.02</v>
      </c>
      <c r="CM439" s="534">
        <f>CM438/CH438-1</f>
        <v>2.0150500624999568E-2</v>
      </c>
      <c r="CN439" s="536">
        <v>7.02</v>
      </c>
      <c r="CO439" s="535">
        <f>CO438/CJ438-1</f>
        <v>2.0150500624999346E-2</v>
      </c>
      <c r="CP439" s="535">
        <v>0.02</v>
      </c>
      <c r="CQ439" s="535">
        <v>0.02</v>
      </c>
      <c r="CR439" s="534">
        <f>CR438/CM438-1</f>
        <v>2.0150500624999568E-2</v>
      </c>
      <c r="CS439" s="536">
        <v>7.02</v>
      </c>
      <c r="CT439" s="535">
        <f>CT438/CO438-1</f>
        <v>2.0150500624999568E-2</v>
      </c>
      <c r="CU439" s="535">
        <v>0.02</v>
      </c>
      <c r="CV439" s="535">
        <v>0.02</v>
      </c>
      <c r="CW439" s="534">
        <f>CW438/CR438-1</f>
        <v>2.0150500624999568E-2</v>
      </c>
      <c r="CX439" s="536">
        <v>7.02</v>
      </c>
      <c r="CY439" s="535">
        <f>CY438/CT438-1</f>
        <v>2.0150500624999568E-2</v>
      </c>
      <c r="CZ439" s="535">
        <v>0.02</v>
      </c>
      <c r="DA439" s="535">
        <v>0.02</v>
      </c>
      <c r="DB439" s="534">
        <f>DB438/CW438-1</f>
        <v>2.0150500624999568E-2</v>
      </c>
      <c r="DC439" s="540"/>
      <c r="DD439" s="540"/>
      <c r="DE439" s="540"/>
      <c r="DF439" s="540"/>
      <c r="DG439" s="540"/>
      <c r="DH439" s="540"/>
      <c r="DI439" s="540"/>
      <c r="DJ439" s="540"/>
      <c r="DK439" s="400"/>
      <c r="DL439" s="400"/>
      <c r="DM439" s="108"/>
    </row>
    <row r="440" spans="1:117" outlineLevel="1">
      <c r="A440" s="28" t="s">
        <v>848</v>
      </c>
      <c r="B440" s="160">
        <f t="shared" ref="B440:Z440" si="743">B434-B436-B438</f>
        <v>231</v>
      </c>
      <c r="C440" s="320">
        <f t="shared" si="743"/>
        <v>908</v>
      </c>
      <c r="D440" s="320">
        <f t="shared" si="743"/>
        <v>2022</v>
      </c>
      <c r="E440" s="320">
        <f t="shared" si="743"/>
        <v>257</v>
      </c>
      <c r="F440" s="318">
        <f t="shared" si="743"/>
        <v>3418</v>
      </c>
      <c r="G440" s="319">
        <f t="shared" si="743"/>
        <v>1051</v>
      </c>
      <c r="H440" s="320">
        <f t="shared" si="743"/>
        <v>-137</v>
      </c>
      <c r="I440" s="320">
        <f t="shared" si="743"/>
        <v>26</v>
      </c>
      <c r="J440" s="320">
        <f t="shared" si="743"/>
        <v>-4844</v>
      </c>
      <c r="K440" s="318">
        <f t="shared" si="743"/>
        <v>-3904</v>
      </c>
      <c r="L440" s="319">
        <f t="shared" si="743"/>
        <v>142</v>
      </c>
      <c r="M440" s="320">
        <f t="shared" si="743"/>
        <v>1354</v>
      </c>
      <c r="N440" s="320">
        <f t="shared" si="743"/>
        <v>-446</v>
      </c>
      <c r="O440" s="320">
        <f t="shared" si="743"/>
        <v>2211</v>
      </c>
      <c r="P440" s="318">
        <f t="shared" si="743"/>
        <v>3261</v>
      </c>
      <c r="Q440" s="319">
        <f t="shared" si="743"/>
        <v>550</v>
      </c>
      <c r="R440" s="320">
        <f t="shared" si="743"/>
        <v>6227</v>
      </c>
      <c r="S440" s="320">
        <f t="shared" si="743"/>
        <v>-100</v>
      </c>
      <c r="T440" s="320">
        <f t="shared" si="743"/>
        <v>-10466</v>
      </c>
      <c r="U440" s="318">
        <f t="shared" si="743"/>
        <v>-3789</v>
      </c>
      <c r="V440" s="319">
        <f t="shared" si="743"/>
        <v>-269</v>
      </c>
      <c r="W440" s="320">
        <f t="shared" si="743"/>
        <v>1620</v>
      </c>
      <c r="X440" s="320">
        <f t="shared" si="743"/>
        <v>1089</v>
      </c>
      <c r="Y440" s="320">
        <f t="shared" si="743"/>
        <v>5088</v>
      </c>
      <c r="Z440" s="318">
        <f t="shared" si="743"/>
        <v>7528</v>
      </c>
      <c r="AA440" s="319">
        <f t="shared" ref="AA440:AH440" si="744">AA434-AA436-AA438</f>
        <v>397</v>
      </c>
      <c r="AB440" s="320">
        <f t="shared" si="744"/>
        <v>703</v>
      </c>
      <c r="AC440" s="320">
        <f t="shared" si="744"/>
        <v>228</v>
      </c>
      <c r="AD440" s="320">
        <f t="shared" si="744"/>
        <v>-67</v>
      </c>
      <c r="AE440" s="318">
        <f t="shared" si="744"/>
        <v>1261</v>
      </c>
      <c r="AF440" s="359">
        <f t="shared" si="744"/>
        <v>426</v>
      </c>
      <c r="AG440" s="320">
        <f t="shared" si="744"/>
        <v>-522</v>
      </c>
      <c r="AH440" s="320">
        <f t="shared" si="744"/>
        <v>-132</v>
      </c>
      <c r="AI440" s="320">
        <f t="shared" ref="AI440:AP440" si="745">AI434-AI436-AI438</f>
        <v>844</v>
      </c>
      <c r="AJ440" s="318">
        <f t="shared" si="745"/>
        <v>616</v>
      </c>
      <c r="AK440" s="359">
        <f t="shared" si="745"/>
        <v>-128</v>
      </c>
      <c r="AL440" s="451">
        <f t="shared" si="745"/>
        <v>-159</v>
      </c>
      <c r="AM440" s="320">
        <f t="shared" si="745"/>
        <v>-157</v>
      </c>
      <c r="AN440" s="320">
        <f t="shared" si="745"/>
        <v>-1465</v>
      </c>
      <c r="AO440" s="318">
        <f t="shared" si="745"/>
        <v>-1909</v>
      </c>
      <c r="AP440" s="359">
        <f t="shared" si="745"/>
        <v>1728</v>
      </c>
      <c r="AQ440" s="451">
        <f t="shared" ref="AQ440:AW440" si="746">AQ434-AQ436-AQ438</f>
        <v>-571</v>
      </c>
      <c r="AR440" s="451">
        <f t="shared" si="746"/>
        <v>651</v>
      </c>
      <c r="AS440" s="320">
        <f t="shared" si="746"/>
        <v>8</v>
      </c>
      <c r="AT440" s="318">
        <f t="shared" si="746"/>
        <v>1816</v>
      </c>
      <c r="AU440" s="359">
        <f t="shared" si="746"/>
        <v>-80</v>
      </c>
      <c r="AV440" s="451">
        <f t="shared" si="746"/>
        <v>-963</v>
      </c>
      <c r="AW440" s="451">
        <f t="shared" si="746"/>
        <v>-2850</v>
      </c>
      <c r="AX440" s="320">
        <f t="shared" ref="AX440:BG440" si="747">AX434-AX436-AX438</f>
        <v>-7047</v>
      </c>
      <c r="AY440" s="318">
        <f t="shared" si="747"/>
        <v>-10940</v>
      </c>
      <c r="AZ440" s="359">
        <f t="shared" si="747"/>
        <v>2204</v>
      </c>
      <c r="BA440" s="451">
        <f t="shared" si="747"/>
        <v>-11054</v>
      </c>
      <c r="BB440" s="451">
        <f t="shared" si="747"/>
        <v>-8487</v>
      </c>
      <c r="BC440" s="537">
        <f t="shared" si="747"/>
        <v>10151</v>
      </c>
      <c r="BD440" s="538">
        <f t="shared" si="747"/>
        <v>-7186</v>
      </c>
      <c r="BE440" s="563">
        <f>BE434-BE436-BE438</f>
        <v>-29</v>
      </c>
      <c r="BF440" s="537">
        <f>BF434-BF436-BF438</f>
        <v>396</v>
      </c>
      <c r="BG440" s="537">
        <f t="shared" si="747"/>
        <v>-2601</v>
      </c>
      <c r="BH440" s="537">
        <f>BH434-BH436-BH438</f>
        <v>368</v>
      </c>
      <c r="BI440" s="538">
        <f>BI434-BI436-BI438</f>
        <v>-1866</v>
      </c>
      <c r="BJ440" s="563">
        <f>BJ434-BJ436-BJ438</f>
        <v>-6927</v>
      </c>
      <c r="BK440" s="537">
        <f>BK434-BK436-BK438</f>
        <v>-10017</v>
      </c>
      <c r="BL440" s="537">
        <f t="shared" ref="BL440:CM440" si="748">BL434-BL436-BL438</f>
        <v>-7063</v>
      </c>
      <c r="BM440" s="537">
        <f t="shared" si="748"/>
        <v>57081</v>
      </c>
      <c r="BN440" s="538">
        <f t="shared" si="748"/>
        <v>33074</v>
      </c>
      <c r="BO440" s="563">
        <f>BO434-BO436-BO438</f>
        <v>-9901</v>
      </c>
      <c r="BP440" s="537">
        <f>BP434-BP436-BP438</f>
        <v>-26675</v>
      </c>
      <c r="BQ440" s="537">
        <f>BQ434-BQ436-BQ438</f>
        <v>-8129</v>
      </c>
      <c r="BR440" s="537">
        <f t="shared" ref="BR440:BS440" si="749">BR434-BR436-BR438</f>
        <v>87455</v>
      </c>
      <c r="BS440" s="538">
        <f t="shared" si="749"/>
        <v>42750</v>
      </c>
      <c r="BT440" s="539">
        <f t="shared" si="748"/>
        <v>81678.945749999984</v>
      </c>
      <c r="BU440" s="537">
        <f t="shared" si="748"/>
        <v>82150.355250000008</v>
      </c>
      <c r="BV440" s="537">
        <f t="shared" si="748"/>
        <v>81600.214559999979</v>
      </c>
      <c r="BW440" s="537">
        <f t="shared" si="748"/>
        <v>80626.420294050011</v>
      </c>
      <c r="BX440" s="538">
        <f t="shared" si="748"/>
        <v>326055.93585404992</v>
      </c>
      <c r="BY440" s="539">
        <f t="shared" si="748"/>
        <v>83325.605035520246</v>
      </c>
      <c r="BZ440" s="537">
        <f t="shared" si="748"/>
        <v>83806.508127372814</v>
      </c>
      <c r="CA440" s="537">
        <f t="shared" si="748"/>
        <v>83245.430352434691</v>
      </c>
      <c r="CB440" s="537">
        <f t="shared" si="748"/>
        <v>82252.226258671813</v>
      </c>
      <c r="CC440" s="538">
        <f t="shared" si="748"/>
        <v>332629.76977399958</v>
      </c>
      <c r="CD440" s="539">
        <f t="shared" si="748"/>
        <v>85005.461082765163</v>
      </c>
      <c r="CE440" s="537">
        <f t="shared" si="748"/>
        <v>85496.048956187486</v>
      </c>
      <c r="CF440" s="537">
        <f t="shared" si="748"/>
        <v>84923.816679081909</v>
      </c>
      <c r="CG440" s="537">
        <f t="shared" si="748"/>
        <v>83910.815892041777</v>
      </c>
      <c r="CH440" s="538">
        <f t="shared" si="748"/>
        <v>339336.14261007635</v>
      </c>
      <c r="CI440" s="539">
        <f t="shared" si="748"/>
        <v>86719.183138158027</v>
      </c>
      <c r="CJ440" s="537">
        <f t="shared" si="748"/>
        <v>87219.650833217442</v>
      </c>
      <c r="CK440" s="537">
        <f t="shared" si="748"/>
        <v>86636.042315059312</v>
      </c>
      <c r="CL440" s="537">
        <f t="shared" si="748"/>
        <v>85602.850258790408</v>
      </c>
      <c r="CM440" s="538">
        <f t="shared" si="748"/>
        <v>346177.72654522519</v>
      </c>
      <c r="CN440" s="539">
        <f t="shared" ref="CN440:DB440" si="750">CN434-CN436-CN438</f>
        <v>88467.453940073421</v>
      </c>
      <c r="CO440" s="537">
        <f t="shared" si="750"/>
        <v>88978.000424729864</v>
      </c>
      <c r="CP440" s="537">
        <f t="shared" si="750"/>
        <v>88382.789519082769</v>
      </c>
      <c r="CQ440" s="537">
        <f t="shared" si="750"/>
        <v>87329.003753477096</v>
      </c>
      <c r="CR440" s="538">
        <f t="shared" si="750"/>
        <v>353157.24763736321</v>
      </c>
      <c r="CS440" s="539">
        <f t="shared" si="750"/>
        <v>90250.969990833342</v>
      </c>
      <c r="CT440" s="537">
        <f t="shared" si="750"/>
        <v>90771.798240042699</v>
      </c>
      <c r="CU440" s="537">
        <f t="shared" si="750"/>
        <v>90164.754305316805</v>
      </c>
      <c r="CV440" s="537">
        <f t="shared" si="750"/>
        <v>89089.964369378271</v>
      </c>
      <c r="CW440" s="538">
        <f t="shared" si="750"/>
        <v>360277.48690557113</v>
      </c>
      <c r="CX440" s="539">
        <f t="shared" si="750"/>
        <v>92070.441834185811</v>
      </c>
      <c r="CY440" s="537">
        <f t="shared" si="750"/>
        <v>92601.758910596982</v>
      </c>
      <c r="CZ440" s="537">
        <f t="shared" si="750"/>
        <v>91982.646720705263</v>
      </c>
      <c r="DA440" s="537">
        <f t="shared" si="750"/>
        <v>90886.433972694416</v>
      </c>
      <c r="DB440" s="538">
        <f t="shared" si="750"/>
        <v>367541.28143818246</v>
      </c>
      <c r="DC440" s="537"/>
      <c r="DD440" s="537"/>
      <c r="DE440" s="537"/>
      <c r="DF440" s="537"/>
      <c r="DG440" s="537"/>
      <c r="DH440" s="537"/>
      <c r="DI440" s="537"/>
      <c r="DJ440" s="537"/>
      <c r="DK440" s="421"/>
      <c r="DL440" s="421"/>
      <c r="DM440" s="64"/>
    </row>
    <row r="441" spans="1:117" outlineLevel="1">
      <c r="A441" s="113" t="s">
        <v>651</v>
      </c>
      <c r="B441" s="321"/>
      <c r="C441" s="322"/>
      <c r="D441" s="322"/>
      <c r="E441" s="322"/>
      <c r="F441" s="323"/>
      <c r="G441" s="302">
        <f t="shared" ref="G441:AH441" si="751">G440/B440-1</f>
        <v>3.5497835497835499</v>
      </c>
      <c r="H441" s="149">
        <f t="shared" si="751"/>
        <v>-1.1508810572687225</v>
      </c>
      <c r="I441" s="149">
        <f t="shared" si="751"/>
        <v>-0.98714144411473792</v>
      </c>
      <c r="J441" s="149">
        <f t="shared" si="751"/>
        <v>-19.848249027237355</v>
      </c>
      <c r="K441" s="150">
        <f t="shared" si="751"/>
        <v>-2.1421884142773551</v>
      </c>
      <c r="L441" s="302">
        <f t="shared" si="751"/>
        <v>-0.86489058039961941</v>
      </c>
      <c r="M441" s="149">
        <f t="shared" si="751"/>
        <v>-10.883211678832117</v>
      </c>
      <c r="N441" s="149">
        <f t="shared" si="751"/>
        <v>-18.153846153846153</v>
      </c>
      <c r="O441" s="149">
        <f t="shared" si="751"/>
        <v>-1.4564409578860447</v>
      </c>
      <c r="P441" s="150">
        <f t="shared" si="751"/>
        <v>-1.835297131147541</v>
      </c>
      <c r="Q441" s="302">
        <f t="shared" si="751"/>
        <v>2.8732394366197185</v>
      </c>
      <c r="R441" s="149">
        <f t="shared" si="751"/>
        <v>3.5989660265878873</v>
      </c>
      <c r="S441" s="149">
        <f t="shared" si="751"/>
        <v>-0.77578475336322872</v>
      </c>
      <c r="T441" s="149">
        <f t="shared" si="751"/>
        <v>-5.7336047037539579</v>
      </c>
      <c r="U441" s="150">
        <f t="shared" si="751"/>
        <v>-2.1619135234590616</v>
      </c>
      <c r="V441" s="302">
        <f t="shared" si="751"/>
        <v>-1.489090909090909</v>
      </c>
      <c r="W441" s="149">
        <f t="shared" si="751"/>
        <v>-0.73984262084470853</v>
      </c>
      <c r="X441" s="149">
        <f t="shared" si="751"/>
        <v>-11.89</v>
      </c>
      <c r="Y441" s="149">
        <f t="shared" si="751"/>
        <v>-1.486145614370342</v>
      </c>
      <c r="Z441" s="150">
        <f t="shared" si="751"/>
        <v>-2.9868039060438107</v>
      </c>
      <c r="AA441" s="302">
        <f t="shared" si="751"/>
        <v>-2.4758364312267656</v>
      </c>
      <c r="AB441" s="149">
        <f t="shared" si="751"/>
        <v>-0.56604938271604932</v>
      </c>
      <c r="AC441" s="149">
        <f t="shared" si="751"/>
        <v>-0.79063360881542699</v>
      </c>
      <c r="AD441" s="149">
        <f>AD440/Y440-1</f>
        <v>-1.0131682389937107</v>
      </c>
      <c r="AE441" s="150">
        <f>AE440/Z440-1</f>
        <v>-0.83249202975557912</v>
      </c>
      <c r="AF441" s="349">
        <f>AF440/AA440-1</f>
        <v>7.3047858942065558E-2</v>
      </c>
      <c r="AG441" s="149">
        <f t="shared" si="751"/>
        <v>-1.7425320056899003</v>
      </c>
      <c r="AH441" s="149">
        <f t="shared" si="751"/>
        <v>-1.5789473684210527</v>
      </c>
      <c r="AI441" s="149">
        <f t="shared" ref="AI441:AQ441" si="752">AI440/AD440-1</f>
        <v>-13.597014925373134</v>
      </c>
      <c r="AJ441" s="150">
        <f t="shared" si="752"/>
        <v>-0.51149881046788259</v>
      </c>
      <c r="AK441" s="349">
        <f t="shared" si="752"/>
        <v>-1.300469483568075</v>
      </c>
      <c r="AL441" s="373">
        <f t="shared" si="752"/>
        <v>-0.6954022988505747</v>
      </c>
      <c r="AM441" s="149">
        <f t="shared" si="752"/>
        <v>0.18939393939393945</v>
      </c>
      <c r="AN441" s="149">
        <f t="shared" si="752"/>
        <v>-2.735781990521327</v>
      </c>
      <c r="AO441" s="150">
        <f t="shared" si="752"/>
        <v>-4.0990259740259738</v>
      </c>
      <c r="AP441" s="349">
        <f t="shared" si="752"/>
        <v>-14.5</v>
      </c>
      <c r="AQ441" s="373">
        <f t="shared" si="752"/>
        <v>2.591194968553459</v>
      </c>
      <c r="AR441" s="373">
        <f t="shared" ref="AR441:CM441" si="753">AR440/AM440-1</f>
        <v>-5.1464968152866239</v>
      </c>
      <c r="AS441" s="149">
        <f t="shared" si="753"/>
        <v>-1.0054607508532423</v>
      </c>
      <c r="AT441" s="150">
        <f t="shared" si="753"/>
        <v>-1.9512833944473547</v>
      </c>
      <c r="AU441" s="349">
        <f t="shared" si="753"/>
        <v>-1.0462962962962963</v>
      </c>
      <c r="AV441" s="373">
        <f t="shared" si="753"/>
        <v>0.68651488616462353</v>
      </c>
      <c r="AW441" s="373">
        <f t="shared" si="753"/>
        <v>-5.3778801843317972</v>
      </c>
      <c r="AX441" s="149">
        <f t="shared" si="753"/>
        <v>-881.875</v>
      </c>
      <c r="AY441" s="150">
        <f t="shared" si="753"/>
        <v>-7.0242290748898677</v>
      </c>
      <c r="AZ441" s="349">
        <f t="shared" si="753"/>
        <v>-28.55</v>
      </c>
      <c r="BA441" s="373">
        <f t="shared" si="753"/>
        <v>10.478712357217031</v>
      </c>
      <c r="BB441" s="540">
        <f t="shared" si="753"/>
        <v>1.9778947368421052</v>
      </c>
      <c r="BC441" s="540">
        <f t="shared" si="753"/>
        <v>-2.4404711224634594</v>
      </c>
      <c r="BD441" s="534">
        <f t="shared" si="753"/>
        <v>-0.34314442413162705</v>
      </c>
      <c r="BE441" s="564">
        <f t="shared" si="753"/>
        <v>-1.013157894736842</v>
      </c>
      <c r="BF441" s="540">
        <f t="shared" si="753"/>
        <v>-1.035824136059345</v>
      </c>
      <c r="BG441" s="540">
        <f t="shared" si="753"/>
        <v>-0.69353128313891832</v>
      </c>
      <c r="BH441" s="540">
        <f>BH440/BC440-1</f>
        <v>-0.963747414047877</v>
      </c>
      <c r="BI441" s="534">
        <f>BI440/BD440-1</f>
        <v>-0.74032841636515445</v>
      </c>
      <c r="BJ441" s="564">
        <f t="shared" si="753"/>
        <v>237.86206896551724</v>
      </c>
      <c r="BK441" s="540">
        <f t="shared" si="753"/>
        <v>-26.295454545454547</v>
      </c>
      <c r="BL441" s="540">
        <f t="shared" si="753"/>
        <v>1.7154940407535562</v>
      </c>
      <c r="BM441" s="540">
        <f t="shared" si="753"/>
        <v>154.11141304347825</v>
      </c>
      <c r="BN441" s="534">
        <f t="shared" si="753"/>
        <v>-18.724544480171488</v>
      </c>
      <c r="BO441" s="564">
        <f t="shared" si="753"/>
        <v>0.42933448823444498</v>
      </c>
      <c r="BP441" s="540">
        <f t="shared" si="753"/>
        <v>1.6629729459918141</v>
      </c>
      <c r="BQ441" s="540">
        <f t="shared" si="753"/>
        <v>0.15092736797394868</v>
      </c>
      <c r="BR441" s="540">
        <f t="shared" ref="BR441" si="754">BR440/BM440-1</f>
        <v>0.53212102100523806</v>
      </c>
      <c r="BS441" s="534">
        <f t="shared" ref="BS441" si="755">BS440/BN440-1</f>
        <v>0.29255608635181707</v>
      </c>
      <c r="BT441" s="541">
        <f t="shared" si="753"/>
        <v>-9.2495652711847267</v>
      </c>
      <c r="BU441" s="540">
        <f t="shared" si="753"/>
        <v>-4.0796759231490167</v>
      </c>
      <c r="BV441" s="540">
        <f t="shared" si="753"/>
        <v>-11.038161466355023</v>
      </c>
      <c r="BW441" s="540">
        <f t="shared" si="753"/>
        <v>-7.8081066902406793E-2</v>
      </c>
      <c r="BX441" s="534">
        <f t="shared" si="753"/>
        <v>6.6270394351824544</v>
      </c>
      <c r="BY441" s="541">
        <f t="shared" si="753"/>
        <v>2.0160143723699564E-2</v>
      </c>
      <c r="BZ441" s="540">
        <f t="shared" si="753"/>
        <v>2.0160020882840968E-2</v>
      </c>
      <c r="CA441" s="540">
        <f t="shared" si="753"/>
        <v>2.0161905226670607E-2</v>
      </c>
      <c r="CB441" s="540">
        <f t="shared" si="753"/>
        <v>2.0164679998099677E-2</v>
      </c>
      <c r="CC441" s="534">
        <f t="shared" si="753"/>
        <v>2.0161675335646168E-2</v>
      </c>
      <c r="CD441" s="541">
        <f t="shared" si="753"/>
        <v>2.0160142209934451E-2</v>
      </c>
      <c r="CE441" s="540">
        <f t="shared" si="753"/>
        <v>2.0160019389506623E-2</v>
      </c>
      <c r="CF441" s="540">
        <f t="shared" si="753"/>
        <v>2.0161903416697546E-2</v>
      </c>
      <c r="CG441" s="540">
        <f t="shared" si="753"/>
        <v>2.0164677709195722E-2</v>
      </c>
      <c r="CH441" s="534">
        <f t="shared" si="753"/>
        <v>2.016167356467613E-2</v>
      </c>
      <c r="CI441" s="541">
        <f t="shared" si="753"/>
        <v>2.0160140696423134E-2</v>
      </c>
      <c r="CJ441" s="540">
        <f t="shared" si="753"/>
        <v>2.0160017896420079E-2</v>
      </c>
      <c r="CK441" s="540">
        <f t="shared" si="753"/>
        <v>2.0161901607033572E-2</v>
      </c>
      <c r="CL441" s="540">
        <f t="shared" si="753"/>
        <v>2.0164675420693889E-2</v>
      </c>
      <c r="CM441" s="534">
        <f t="shared" si="753"/>
        <v>2.0161671794007407E-2</v>
      </c>
      <c r="CN441" s="541">
        <f t="shared" ref="CN441:DB441" si="756">CN440/CI440-1</f>
        <v>2.0160139183162062E-2</v>
      </c>
      <c r="CO441" s="540">
        <f t="shared" si="756"/>
        <v>2.016001640358267E-2</v>
      </c>
      <c r="CP441" s="540">
        <f t="shared" si="756"/>
        <v>2.0161899797676242E-2</v>
      </c>
      <c r="CQ441" s="540">
        <f t="shared" si="756"/>
        <v>2.0164673132591515E-2</v>
      </c>
      <c r="CR441" s="534">
        <f t="shared" si="756"/>
        <v>2.0161670023638001E-2</v>
      </c>
      <c r="CS441" s="541">
        <f t="shared" si="756"/>
        <v>2.0160137670154343E-2</v>
      </c>
      <c r="CT441" s="540">
        <f t="shared" si="756"/>
        <v>2.0160014910992397E-2</v>
      </c>
      <c r="CU441" s="540">
        <f t="shared" si="756"/>
        <v>2.0161897988626887E-2</v>
      </c>
      <c r="CV441" s="540">
        <f t="shared" si="756"/>
        <v>2.0164670844891708E-2</v>
      </c>
      <c r="CW441" s="534">
        <f t="shared" si="756"/>
        <v>2.0161668253568799E-2</v>
      </c>
      <c r="CX441" s="541">
        <f t="shared" si="756"/>
        <v>2.0160136157398201E-2</v>
      </c>
      <c r="CY441" s="540">
        <f t="shared" si="756"/>
        <v>2.0160013418650369E-2</v>
      </c>
      <c r="CZ441" s="540">
        <f t="shared" si="756"/>
        <v>2.0161896179883065E-2</v>
      </c>
      <c r="DA441" s="540">
        <f t="shared" si="756"/>
        <v>2.0164668557591359E-2</v>
      </c>
      <c r="DB441" s="534">
        <f t="shared" si="756"/>
        <v>2.0161666483798912E-2</v>
      </c>
      <c r="DC441" s="540"/>
      <c r="DD441" s="540"/>
      <c r="DE441" s="540"/>
      <c r="DF441" s="540"/>
      <c r="DG441" s="540"/>
      <c r="DH441" s="540"/>
      <c r="DI441" s="540"/>
      <c r="DJ441" s="540"/>
      <c r="DK441" s="400"/>
      <c r="DL441" s="400"/>
      <c r="DM441" s="108"/>
    </row>
    <row r="442" spans="1:117" outlineLevel="1">
      <c r="A442" s="34" t="s">
        <v>826</v>
      </c>
      <c r="B442" s="37">
        <v>0</v>
      </c>
      <c r="C442" s="38">
        <v>0</v>
      </c>
      <c r="D442" s="38">
        <v>0</v>
      </c>
      <c r="E442" s="48">
        <f>F442-SUM(B442:D442)</f>
        <v>0</v>
      </c>
      <c r="F442" s="133">
        <v>0</v>
      </c>
      <c r="G442" s="94">
        <f>0-H442</f>
        <v>0</v>
      </c>
      <c r="H442" s="38">
        <v>0</v>
      </c>
      <c r="I442" s="38">
        <v>0</v>
      </c>
      <c r="J442" s="48">
        <f>K442-SUM(G442:I442)</f>
        <v>-4456</v>
      </c>
      <c r="K442" s="133">
        <v>-4456</v>
      </c>
      <c r="L442" s="37">
        <v>0</v>
      </c>
      <c r="M442" s="38">
        <v>-1027</v>
      </c>
      <c r="N442" s="38">
        <v>0</v>
      </c>
      <c r="O442" s="48">
        <f>P442-SUM(L442:N442)</f>
        <v>0</v>
      </c>
      <c r="P442" s="133">
        <v>-1027</v>
      </c>
      <c r="Q442" s="37">
        <v>0</v>
      </c>
      <c r="R442" s="38">
        <v>-10</v>
      </c>
      <c r="S442" s="38">
        <v>-4</v>
      </c>
      <c r="T442" s="48">
        <f>U442-SUM(Q442:S442)</f>
        <v>-1</v>
      </c>
      <c r="U442" s="133">
        <v>-15</v>
      </c>
      <c r="V442" s="37">
        <v>0</v>
      </c>
      <c r="W442" s="38">
        <v>1</v>
      </c>
      <c r="X442" s="38">
        <v>-3</v>
      </c>
      <c r="Y442" s="48">
        <f>Z442-SUM(V442:X442)</f>
        <v>-122</v>
      </c>
      <c r="Z442" s="133">
        <v>-124</v>
      </c>
      <c r="AA442" s="37">
        <v>0</v>
      </c>
      <c r="AB442" s="38">
        <v>0</v>
      </c>
      <c r="AC442" s="38">
        <v>0</v>
      </c>
      <c r="AD442" s="48">
        <f>AE442-SUM(AA442:AC442)</f>
        <v>-1652</v>
      </c>
      <c r="AE442" s="133">
        <v>-1652</v>
      </c>
      <c r="AF442" s="180">
        <v>0</v>
      </c>
      <c r="AG442" s="38">
        <v>0</v>
      </c>
      <c r="AH442" s="38">
        <v>0</v>
      </c>
      <c r="AI442" s="48">
        <f>AJ442-SUM(AF442:AH442)</f>
        <v>0</v>
      </c>
      <c r="AJ442" s="133">
        <v>0</v>
      </c>
      <c r="AK442" s="180">
        <v>0</v>
      </c>
      <c r="AL442" s="65">
        <v>0</v>
      </c>
      <c r="AM442" s="38">
        <v>0</v>
      </c>
      <c r="AN442" s="48">
        <f>AO442-SUM(AK442:AM442)</f>
        <v>0</v>
      </c>
      <c r="AO442" s="133">
        <v>0</v>
      </c>
      <c r="AP442" s="180"/>
      <c r="AQ442" s="38"/>
      <c r="AR442" s="38"/>
      <c r="AS442" s="48">
        <f>AT442-SUM(AP442:AR442)</f>
        <v>0</v>
      </c>
      <c r="AT442" s="133">
        <v>0</v>
      </c>
      <c r="AU442" s="180"/>
      <c r="AV442" s="38"/>
      <c r="AW442" s="38"/>
      <c r="AX442" s="48"/>
      <c r="AY442" s="133"/>
      <c r="AZ442" s="180"/>
      <c r="BA442" s="38"/>
      <c r="BB442" s="38"/>
      <c r="BC442" s="38"/>
      <c r="BD442" s="104">
        <f>SUM(AZ442:BC442)</f>
        <v>0</v>
      </c>
      <c r="BE442" s="550"/>
      <c r="BF442" s="38"/>
      <c r="BG442" s="38"/>
      <c r="BH442" s="38"/>
      <c r="BI442" s="608">
        <v>479</v>
      </c>
      <c r="BJ442" s="550">
        <v>-61</v>
      </c>
      <c r="BK442" s="38">
        <v>-1</v>
      </c>
      <c r="BL442" s="38">
        <v>1</v>
      </c>
      <c r="BM442" s="38">
        <v>0</v>
      </c>
      <c r="BN442" s="608">
        <f>SUM(BJ442:BM442)</f>
        <v>-61</v>
      </c>
      <c r="BO442" s="550">
        <v>0</v>
      </c>
      <c r="BP442" s="38">
        <v>0</v>
      </c>
      <c r="BQ442" s="38">
        <v>0</v>
      </c>
      <c r="BR442" s="38">
        <v>0</v>
      </c>
      <c r="BS442" s="608">
        <f>SUM(BO442:BR442)</f>
        <v>0</v>
      </c>
      <c r="BT442" s="37"/>
      <c r="BU442" s="38"/>
      <c r="BV442" s="38"/>
      <c r="BW442" s="38"/>
      <c r="BX442" s="104">
        <f>SUM(BT442:BW442)</f>
        <v>0</v>
      </c>
      <c r="BY442" s="37"/>
      <c r="BZ442" s="38"/>
      <c r="CA442" s="38"/>
      <c r="CB442" s="38"/>
      <c r="CC442" s="104">
        <f>SUM(BY442:CB442)</f>
        <v>0</v>
      </c>
      <c r="CD442" s="37"/>
      <c r="CE442" s="38"/>
      <c r="CF442" s="38"/>
      <c r="CG442" s="38"/>
      <c r="CH442" s="104">
        <f>SUM(CD442:CG442)</f>
        <v>0</v>
      </c>
      <c r="CI442" s="37"/>
      <c r="CJ442" s="38"/>
      <c r="CK442" s="38"/>
      <c r="CL442" s="38"/>
      <c r="CM442" s="104">
        <f>SUM(CI442:CL442)</f>
        <v>0</v>
      </c>
      <c r="CN442" s="37"/>
      <c r="CO442" s="38"/>
      <c r="CP442" s="38"/>
      <c r="CQ442" s="38"/>
      <c r="CR442" s="104">
        <f>SUM(CN442:CQ442)</f>
        <v>0</v>
      </c>
      <c r="CS442" s="37"/>
      <c r="CT442" s="38"/>
      <c r="CU442" s="38"/>
      <c r="CV442" s="38"/>
      <c r="CW442" s="104">
        <f>SUM(CS442:CV442)</f>
        <v>0</v>
      </c>
      <c r="CX442" s="37"/>
      <c r="CY442" s="38"/>
      <c r="CZ442" s="38"/>
      <c r="DA442" s="38"/>
      <c r="DB442" s="104">
        <f>SUM(CX442:DA442)</f>
        <v>0</v>
      </c>
      <c r="DC442" s="48"/>
      <c r="DD442" s="48"/>
      <c r="DE442" s="48"/>
      <c r="DF442" s="48"/>
      <c r="DG442" s="48"/>
      <c r="DH442" s="48"/>
      <c r="DI442" s="48"/>
      <c r="DJ442" s="48"/>
      <c r="DK442" s="99"/>
      <c r="DL442" s="99"/>
      <c r="DM442" s="62"/>
    </row>
    <row r="443" spans="1:117" outlineLevel="1">
      <c r="A443" s="28" t="s">
        <v>546</v>
      </c>
      <c r="B443" s="160">
        <f t="shared" ref="B443:Z443" si="757">B440-B442</f>
        <v>231</v>
      </c>
      <c r="C443" s="168">
        <f t="shared" si="757"/>
        <v>908</v>
      </c>
      <c r="D443" s="168">
        <f t="shared" si="757"/>
        <v>2022</v>
      </c>
      <c r="E443" s="168">
        <f t="shared" si="757"/>
        <v>257</v>
      </c>
      <c r="F443" s="235">
        <f t="shared" si="757"/>
        <v>3418</v>
      </c>
      <c r="G443" s="160">
        <f t="shared" si="757"/>
        <v>1051</v>
      </c>
      <c r="H443" s="168">
        <f t="shared" si="757"/>
        <v>-137</v>
      </c>
      <c r="I443" s="168">
        <f t="shared" si="757"/>
        <v>26</v>
      </c>
      <c r="J443" s="168">
        <f t="shared" si="757"/>
        <v>-388</v>
      </c>
      <c r="K443" s="235">
        <f t="shared" si="757"/>
        <v>552</v>
      </c>
      <c r="L443" s="160">
        <f t="shared" si="757"/>
        <v>142</v>
      </c>
      <c r="M443" s="168">
        <f t="shared" si="757"/>
        <v>2381</v>
      </c>
      <c r="N443" s="168">
        <f t="shared" si="757"/>
        <v>-446</v>
      </c>
      <c r="O443" s="168">
        <f t="shared" si="757"/>
        <v>2211</v>
      </c>
      <c r="P443" s="235">
        <f t="shared" si="757"/>
        <v>4288</v>
      </c>
      <c r="Q443" s="160">
        <f t="shared" si="757"/>
        <v>550</v>
      </c>
      <c r="R443" s="168">
        <f t="shared" si="757"/>
        <v>6237</v>
      </c>
      <c r="S443" s="168">
        <f t="shared" si="757"/>
        <v>-96</v>
      </c>
      <c r="T443" s="168">
        <f t="shared" si="757"/>
        <v>-10465</v>
      </c>
      <c r="U443" s="235">
        <f t="shared" si="757"/>
        <v>-3774</v>
      </c>
      <c r="V443" s="160">
        <f t="shared" si="757"/>
        <v>-269</v>
      </c>
      <c r="W443" s="168">
        <f t="shared" si="757"/>
        <v>1619</v>
      </c>
      <c r="X443" s="168">
        <f t="shared" si="757"/>
        <v>1092</v>
      </c>
      <c r="Y443" s="168">
        <f t="shared" si="757"/>
        <v>5210</v>
      </c>
      <c r="Z443" s="235">
        <f t="shared" si="757"/>
        <v>7652</v>
      </c>
      <c r="AA443" s="160">
        <f t="shared" ref="AA443:BG443" si="758">AA440-AA442</f>
        <v>397</v>
      </c>
      <c r="AB443" s="168">
        <f t="shared" si="758"/>
        <v>703</v>
      </c>
      <c r="AC443" s="168">
        <f t="shared" si="758"/>
        <v>228</v>
      </c>
      <c r="AD443" s="168">
        <f t="shared" si="758"/>
        <v>1585</v>
      </c>
      <c r="AE443" s="235">
        <f t="shared" si="758"/>
        <v>2913</v>
      </c>
      <c r="AF443" s="348">
        <f t="shared" si="758"/>
        <v>426</v>
      </c>
      <c r="AG443" s="168">
        <f t="shared" si="758"/>
        <v>-522</v>
      </c>
      <c r="AH443" s="168">
        <f t="shared" si="758"/>
        <v>-132</v>
      </c>
      <c r="AI443" s="168">
        <f t="shared" si="758"/>
        <v>844</v>
      </c>
      <c r="AJ443" s="235">
        <f t="shared" si="758"/>
        <v>616</v>
      </c>
      <c r="AK443" s="348">
        <f t="shared" si="758"/>
        <v>-128</v>
      </c>
      <c r="AL443" s="371">
        <f t="shared" si="758"/>
        <v>-159</v>
      </c>
      <c r="AM443" s="168">
        <f t="shared" si="758"/>
        <v>-157</v>
      </c>
      <c r="AN443" s="168">
        <f t="shared" si="758"/>
        <v>-1465</v>
      </c>
      <c r="AO443" s="235">
        <f t="shared" si="758"/>
        <v>-1909</v>
      </c>
      <c r="AP443" s="348">
        <f t="shared" si="758"/>
        <v>1728</v>
      </c>
      <c r="AQ443" s="168">
        <f t="shared" si="758"/>
        <v>-571</v>
      </c>
      <c r="AR443" s="168">
        <f t="shared" si="758"/>
        <v>651</v>
      </c>
      <c r="AS443" s="168">
        <f t="shared" si="758"/>
        <v>8</v>
      </c>
      <c r="AT443" s="235">
        <f t="shared" si="758"/>
        <v>1816</v>
      </c>
      <c r="AU443" s="348">
        <f t="shared" si="758"/>
        <v>-80</v>
      </c>
      <c r="AV443" s="168">
        <f t="shared" si="758"/>
        <v>-963</v>
      </c>
      <c r="AW443" s="168">
        <f t="shared" si="758"/>
        <v>-2850</v>
      </c>
      <c r="AX443" s="168">
        <f t="shared" si="758"/>
        <v>-7047</v>
      </c>
      <c r="AY443" s="235">
        <f t="shared" si="758"/>
        <v>-10940</v>
      </c>
      <c r="AZ443" s="348">
        <f t="shared" si="758"/>
        <v>2204</v>
      </c>
      <c r="BA443" s="168">
        <f>BA440-BA442</f>
        <v>-11054</v>
      </c>
      <c r="BB443" s="388">
        <f t="shared" si="758"/>
        <v>-8487</v>
      </c>
      <c r="BC443" s="388">
        <f t="shared" si="758"/>
        <v>10151</v>
      </c>
      <c r="BD443" s="521">
        <f t="shared" si="758"/>
        <v>-7186</v>
      </c>
      <c r="BE443" s="561">
        <f t="shared" si="758"/>
        <v>-29</v>
      </c>
      <c r="BF443" s="388">
        <f t="shared" si="758"/>
        <v>396</v>
      </c>
      <c r="BG443" s="388">
        <f t="shared" si="758"/>
        <v>-2601</v>
      </c>
      <c r="BH443" s="388">
        <f>BH440-BH442</f>
        <v>368</v>
      </c>
      <c r="BI443" s="521">
        <f>BI440-BI442</f>
        <v>-2345</v>
      </c>
      <c r="BJ443" s="561">
        <f>BJ440-BJ442</f>
        <v>-6866</v>
      </c>
      <c r="BK443" s="388">
        <f>BK440-BK442</f>
        <v>-10016</v>
      </c>
      <c r="BL443" s="388">
        <f t="shared" ref="BL443:CM443" si="759">BL440-BL442</f>
        <v>-7064</v>
      </c>
      <c r="BM443" s="388">
        <f t="shared" si="759"/>
        <v>57081</v>
      </c>
      <c r="BN443" s="521">
        <f t="shared" si="759"/>
        <v>33135</v>
      </c>
      <c r="BO443" s="561">
        <f>BO440-BO442</f>
        <v>-9901</v>
      </c>
      <c r="BP443" s="388">
        <f t="shared" ref="BP443:BS443" si="760">BP440-BP442</f>
        <v>-26675</v>
      </c>
      <c r="BQ443" s="388">
        <f t="shared" si="760"/>
        <v>-8129</v>
      </c>
      <c r="BR443" s="388">
        <f t="shared" si="760"/>
        <v>87455</v>
      </c>
      <c r="BS443" s="521">
        <f t="shared" si="760"/>
        <v>42750</v>
      </c>
      <c r="BT443" s="387">
        <f t="shared" si="759"/>
        <v>81678.945749999984</v>
      </c>
      <c r="BU443" s="388">
        <f t="shared" si="759"/>
        <v>82150.355250000008</v>
      </c>
      <c r="BV443" s="388">
        <f t="shared" si="759"/>
        <v>81600.214559999979</v>
      </c>
      <c r="BW443" s="388">
        <f t="shared" si="759"/>
        <v>80626.420294050011</v>
      </c>
      <c r="BX443" s="521">
        <f t="shared" si="759"/>
        <v>326055.93585404992</v>
      </c>
      <c r="BY443" s="387">
        <f t="shared" si="759"/>
        <v>83325.605035520246</v>
      </c>
      <c r="BZ443" s="388">
        <f t="shared" si="759"/>
        <v>83806.508127372814</v>
      </c>
      <c r="CA443" s="388">
        <f t="shared" si="759"/>
        <v>83245.430352434691</v>
      </c>
      <c r="CB443" s="388">
        <f t="shared" si="759"/>
        <v>82252.226258671813</v>
      </c>
      <c r="CC443" s="521">
        <f t="shared" si="759"/>
        <v>332629.76977399958</v>
      </c>
      <c r="CD443" s="387">
        <f t="shared" si="759"/>
        <v>85005.461082765163</v>
      </c>
      <c r="CE443" s="388">
        <f t="shared" si="759"/>
        <v>85496.048956187486</v>
      </c>
      <c r="CF443" s="388">
        <f t="shared" si="759"/>
        <v>84923.816679081909</v>
      </c>
      <c r="CG443" s="388">
        <f t="shared" si="759"/>
        <v>83910.815892041777</v>
      </c>
      <c r="CH443" s="521">
        <f t="shared" si="759"/>
        <v>339336.14261007635</v>
      </c>
      <c r="CI443" s="387">
        <f t="shared" si="759"/>
        <v>86719.183138158027</v>
      </c>
      <c r="CJ443" s="388">
        <f t="shared" si="759"/>
        <v>87219.650833217442</v>
      </c>
      <c r="CK443" s="388">
        <f t="shared" si="759"/>
        <v>86636.042315059312</v>
      </c>
      <c r="CL443" s="388">
        <f t="shared" si="759"/>
        <v>85602.850258790408</v>
      </c>
      <c r="CM443" s="521">
        <f t="shared" si="759"/>
        <v>346177.72654522519</v>
      </c>
      <c r="CN443" s="387">
        <f t="shared" ref="CN443:DB443" si="761">CN440-CN442</f>
        <v>88467.453940073421</v>
      </c>
      <c r="CO443" s="388">
        <f t="shared" si="761"/>
        <v>88978.000424729864</v>
      </c>
      <c r="CP443" s="388">
        <f t="shared" si="761"/>
        <v>88382.789519082769</v>
      </c>
      <c r="CQ443" s="388">
        <f t="shared" si="761"/>
        <v>87329.003753477096</v>
      </c>
      <c r="CR443" s="521">
        <f t="shared" si="761"/>
        <v>353157.24763736321</v>
      </c>
      <c r="CS443" s="387">
        <f t="shared" si="761"/>
        <v>90250.969990833342</v>
      </c>
      <c r="CT443" s="388">
        <f t="shared" si="761"/>
        <v>90771.798240042699</v>
      </c>
      <c r="CU443" s="388">
        <f t="shared" si="761"/>
        <v>90164.754305316805</v>
      </c>
      <c r="CV443" s="388">
        <f t="shared" si="761"/>
        <v>89089.964369378271</v>
      </c>
      <c r="CW443" s="521">
        <f t="shared" si="761"/>
        <v>360277.48690557113</v>
      </c>
      <c r="CX443" s="387">
        <f t="shared" si="761"/>
        <v>92070.441834185811</v>
      </c>
      <c r="CY443" s="388">
        <f t="shared" si="761"/>
        <v>92601.758910596982</v>
      </c>
      <c r="CZ443" s="388">
        <f t="shared" si="761"/>
        <v>91982.646720705263</v>
      </c>
      <c r="DA443" s="388">
        <f t="shared" si="761"/>
        <v>90886.433972694416</v>
      </c>
      <c r="DB443" s="521">
        <f t="shared" si="761"/>
        <v>367541.28143818246</v>
      </c>
      <c r="DC443" s="388"/>
      <c r="DD443" s="388"/>
      <c r="DE443" s="388"/>
      <c r="DF443" s="388"/>
      <c r="DG443" s="388"/>
      <c r="DH443" s="388"/>
      <c r="DI443" s="388"/>
      <c r="DJ443" s="388"/>
      <c r="DK443" s="406"/>
      <c r="DL443" s="406"/>
      <c r="DM443" s="61"/>
    </row>
    <row r="444" spans="1:117" outlineLevel="1">
      <c r="A444" s="36" t="s">
        <v>814</v>
      </c>
      <c r="B444" s="271">
        <v>8327</v>
      </c>
      <c r="C444" s="38">
        <v>8275</v>
      </c>
      <c r="D444" s="38">
        <v>21458</v>
      </c>
      <c r="E444" s="48">
        <f>F444-SUM(B444:D444)</f>
        <v>37111</v>
      </c>
      <c r="F444" s="133">
        <v>75171</v>
      </c>
      <c r="G444" s="329">
        <f>33364-H444</f>
        <v>19479</v>
      </c>
      <c r="H444" s="38">
        <v>13885</v>
      </c>
      <c r="I444" s="38">
        <v>13939</v>
      </c>
      <c r="J444" s="48">
        <f>K444-SUM(G444:I444)</f>
        <v>3011</v>
      </c>
      <c r="K444" s="133">
        <v>50314</v>
      </c>
      <c r="L444" s="271">
        <v>220</v>
      </c>
      <c r="M444" s="38">
        <v>1106</v>
      </c>
      <c r="N444" s="38">
        <v>13008</v>
      </c>
      <c r="O444" s="48">
        <f>P444-SUM(L444:N444)</f>
        <v>1200</v>
      </c>
      <c r="P444" s="133">
        <v>15534</v>
      </c>
      <c r="Q444" s="271">
        <v>2141</v>
      </c>
      <c r="R444" s="38">
        <v>4706</v>
      </c>
      <c r="S444" s="38">
        <v>3556</v>
      </c>
      <c r="T444" s="48">
        <f>U444-SUM(Q444:S444)</f>
        <v>1240</v>
      </c>
      <c r="U444" s="133">
        <v>11643</v>
      </c>
      <c r="V444" s="271">
        <v>41824</v>
      </c>
      <c r="W444" s="38">
        <v>3267</v>
      </c>
      <c r="X444" s="38">
        <v>1383</v>
      </c>
      <c r="Y444" s="48">
        <f>Z444-SUM(V444:X444)</f>
        <v>3698</v>
      </c>
      <c r="Z444" s="133">
        <v>50172</v>
      </c>
      <c r="AA444" s="271">
        <v>5881</v>
      </c>
      <c r="AB444" s="38">
        <v>2575</v>
      </c>
      <c r="AC444" s="38">
        <v>4158</v>
      </c>
      <c r="AD444" s="48">
        <f>AE444-SUM(AA444:AC444)</f>
        <v>5327</v>
      </c>
      <c r="AE444" s="133">
        <v>17941</v>
      </c>
      <c r="AF444" s="65">
        <v>1016</v>
      </c>
      <c r="AG444" s="38">
        <v>1617</v>
      </c>
      <c r="AH444" s="38">
        <v>7500</v>
      </c>
      <c r="AI444" s="48">
        <f>AJ444-SUM(AF444:AH444)</f>
        <v>3805</v>
      </c>
      <c r="AJ444" s="133">
        <v>13938</v>
      </c>
      <c r="AK444" s="65">
        <v>2703</v>
      </c>
      <c r="AL444" s="65">
        <v>1858</v>
      </c>
      <c r="AM444" s="38">
        <v>18831</v>
      </c>
      <c r="AN444" s="48">
        <f>AO444-SUM(AK444:AM444)</f>
        <v>-9454</v>
      </c>
      <c r="AO444" s="133">
        <v>13938</v>
      </c>
      <c r="AP444" s="65">
        <v>9196</v>
      </c>
      <c r="AQ444" s="38">
        <v>3900</v>
      </c>
      <c r="AR444" s="38">
        <v>8633</v>
      </c>
      <c r="AS444" s="48">
        <f>AT444-SUM(AP444:AR444)</f>
        <v>3617</v>
      </c>
      <c r="AT444" s="133">
        <v>25346</v>
      </c>
      <c r="AU444" s="65">
        <v>3872</v>
      </c>
      <c r="AV444" s="38">
        <v>9040</v>
      </c>
      <c r="AW444" s="38">
        <v>4632</v>
      </c>
      <c r="AX444" s="48">
        <f>AY444-SUM(AU444:AW444)</f>
        <v>7635</v>
      </c>
      <c r="AY444" s="133">
        <v>25179</v>
      </c>
      <c r="AZ444" s="65">
        <v>26944</v>
      </c>
      <c r="BA444" s="38">
        <v>5082</v>
      </c>
      <c r="BB444" s="567">
        <v>91017</v>
      </c>
      <c r="BC444" s="48">
        <f>BB444</f>
        <v>91017</v>
      </c>
      <c r="BD444" s="104">
        <f>SUM(AZ444:BC444)</f>
        <v>214060</v>
      </c>
      <c r="BE444" s="571">
        <v>5488</v>
      </c>
      <c r="BF444" s="567">
        <v>5467</v>
      </c>
      <c r="BG444" s="567">
        <v>1508</v>
      </c>
      <c r="BH444" s="48">
        <f>+BI444-SUM(BE444:BG444)</f>
        <v>3561</v>
      </c>
      <c r="BI444" s="133">
        <v>16024</v>
      </c>
      <c r="BJ444" s="571">
        <v>2759</v>
      </c>
      <c r="BK444" s="567">
        <v>2112</v>
      </c>
      <c r="BL444" s="567">
        <v>3597</v>
      </c>
      <c r="BM444" s="48">
        <f>BN444-BL444-BK444-BJ444</f>
        <v>3546</v>
      </c>
      <c r="BN444" s="133">
        <v>12014</v>
      </c>
      <c r="BO444" s="571">
        <v>4119</v>
      </c>
      <c r="BP444" s="567">
        <v>6293</v>
      </c>
      <c r="BQ444" s="567">
        <v>3822</v>
      </c>
      <c r="BR444" s="48">
        <f>BS444-BQ444-BP444-BO444</f>
        <v>4123</v>
      </c>
      <c r="BS444" s="133">
        <v>18357</v>
      </c>
      <c r="BT444" s="48">
        <f>BR444</f>
        <v>4123</v>
      </c>
      <c r="BU444" s="48">
        <f>BT444</f>
        <v>4123</v>
      </c>
      <c r="BV444" s="48">
        <f>BU444</f>
        <v>4123</v>
      </c>
      <c r="BW444" s="48">
        <f>BV444</f>
        <v>4123</v>
      </c>
      <c r="BX444" s="104">
        <f>SUM(BT444:BW444)</f>
        <v>16492</v>
      </c>
      <c r="BY444" s="48">
        <f>BW444</f>
        <v>4123</v>
      </c>
      <c r="BZ444" s="48">
        <f>BY444</f>
        <v>4123</v>
      </c>
      <c r="CA444" s="48">
        <f>BZ444</f>
        <v>4123</v>
      </c>
      <c r="CB444" s="48">
        <f>CA444</f>
        <v>4123</v>
      </c>
      <c r="CC444" s="104">
        <f>SUM(BY444:CB444)</f>
        <v>16492</v>
      </c>
      <c r="CD444" s="48">
        <f>CB444</f>
        <v>4123</v>
      </c>
      <c r="CE444" s="48">
        <f>CD444</f>
        <v>4123</v>
      </c>
      <c r="CF444" s="48">
        <f>CE444</f>
        <v>4123</v>
      </c>
      <c r="CG444" s="48">
        <f>CF444</f>
        <v>4123</v>
      </c>
      <c r="CH444" s="104">
        <f>SUM(CD444:CG444)</f>
        <v>16492</v>
      </c>
      <c r="CI444" s="48">
        <f>CG444</f>
        <v>4123</v>
      </c>
      <c r="CJ444" s="48">
        <f>CI444</f>
        <v>4123</v>
      </c>
      <c r="CK444" s="48">
        <f>CJ444</f>
        <v>4123</v>
      </c>
      <c r="CL444" s="48">
        <f>CK444</f>
        <v>4123</v>
      </c>
      <c r="CM444" s="104">
        <f>SUM(CI444:CL444)</f>
        <v>16492</v>
      </c>
      <c r="CN444" s="48">
        <f>CL444</f>
        <v>4123</v>
      </c>
      <c r="CO444" s="48">
        <f>CN444</f>
        <v>4123</v>
      </c>
      <c r="CP444" s="48">
        <f>CO444</f>
        <v>4123</v>
      </c>
      <c r="CQ444" s="48">
        <f>CP444</f>
        <v>4123</v>
      </c>
      <c r="CR444" s="104">
        <f>SUM(CN444:CQ444)</f>
        <v>16492</v>
      </c>
      <c r="CS444" s="48">
        <f>CQ444</f>
        <v>4123</v>
      </c>
      <c r="CT444" s="48">
        <f>CS444</f>
        <v>4123</v>
      </c>
      <c r="CU444" s="48">
        <f>CT444</f>
        <v>4123</v>
      </c>
      <c r="CV444" s="48">
        <f>CU444</f>
        <v>4123</v>
      </c>
      <c r="CW444" s="104">
        <f>SUM(CS444:CV444)</f>
        <v>16492</v>
      </c>
      <c r="CX444" s="48">
        <f>CV444</f>
        <v>4123</v>
      </c>
      <c r="CY444" s="48">
        <f>CX444</f>
        <v>4123</v>
      </c>
      <c r="CZ444" s="48">
        <f>CY444</f>
        <v>4123</v>
      </c>
      <c r="DA444" s="48">
        <f>CZ444</f>
        <v>4123</v>
      </c>
      <c r="DB444" s="104">
        <f>SUM(CX444:DA444)</f>
        <v>16492</v>
      </c>
      <c r="DC444" s="48"/>
      <c r="DD444" s="48"/>
      <c r="DE444" s="48"/>
      <c r="DF444" s="48"/>
      <c r="DG444" s="48"/>
      <c r="DH444" s="48"/>
      <c r="DI444" s="48"/>
      <c r="DJ444" s="48"/>
      <c r="DK444" s="99"/>
      <c r="DL444" s="99"/>
      <c r="DM444" s="61"/>
    </row>
    <row r="445" spans="1:117" outlineLevel="1">
      <c r="A445" s="12"/>
      <c r="B445" s="53"/>
      <c r="C445" s="54"/>
      <c r="D445" s="54"/>
      <c r="E445" s="54"/>
      <c r="F445" s="84"/>
      <c r="G445" s="53"/>
      <c r="H445" s="54"/>
      <c r="I445" s="54"/>
      <c r="J445" s="54"/>
      <c r="K445" s="84"/>
      <c r="L445" s="53"/>
      <c r="M445" s="54"/>
      <c r="N445" s="54"/>
      <c r="O445" s="54"/>
      <c r="P445" s="84"/>
      <c r="Q445" s="53"/>
      <c r="R445" s="54"/>
      <c r="S445" s="54"/>
      <c r="T445" s="54"/>
      <c r="U445" s="84"/>
      <c r="V445" s="53"/>
      <c r="W445" s="54"/>
      <c r="X445" s="54"/>
      <c r="Y445" s="54"/>
      <c r="Z445" s="84"/>
      <c r="AA445" s="53"/>
      <c r="AB445" s="18"/>
      <c r="AC445" s="18"/>
      <c r="AD445" s="18"/>
      <c r="AE445" s="127"/>
      <c r="AF445" s="19"/>
      <c r="AG445" s="18"/>
      <c r="AH445" s="18"/>
      <c r="AI445" s="18"/>
      <c r="AJ445" s="127"/>
      <c r="AK445" s="60"/>
      <c r="AL445" s="18"/>
      <c r="AM445" s="18"/>
      <c r="AN445" s="18"/>
      <c r="AO445" s="127"/>
      <c r="AP445" s="19"/>
      <c r="AQ445" s="18"/>
      <c r="AR445" s="18"/>
      <c r="AS445" s="18"/>
      <c r="AT445" s="127"/>
      <c r="AU445" s="19"/>
      <c r="AV445" s="18"/>
      <c r="AW445" s="18"/>
      <c r="AX445" s="18"/>
      <c r="AY445" s="127"/>
      <c r="AZ445" s="19"/>
      <c r="BA445" s="18"/>
      <c r="BB445" s="18"/>
      <c r="BC445" s="18"/>
      <c r="BD445" s="127"/>
      <c r="BE445" s="565"/>
      <c r="BF445" s="18"/>
      <c r="BG445" s="18"/>
      <c r="BH445" s="18"/>
      <c r="BI445" s="127"/>
      <c r="BJ445" s="19"/>
      <c r="BK445" s="18"/>
      <c r="BL445" s="18"/>
      <c r="BM445" s="18"/>
      <c r="BN445" s="127"/>
      <c r="BO445" s="19"/>
      <c r="BP445" s="18"/>
      <c r="BQ445" s="18"/>
      <c r="BR445" s="18"/>
      <c r="BS445" s="127"/>
      <c r="BT445" s="19"/>
      <c r="BU445" s="18"/>
      <c r="BV445" s="18"/>
      <c r="BW445" s="18"/>
      <c r="BX445" s="127"/>
      <c r="BY445" s="19"/>
      <c r="BZ445" s="18"/>
      <c r="CA445" s="18"/>
      <c r="CB445" s="18"/>
      <c r="CC445" s="127"/>
      <c r="CD445" s="19"/>
      <c r="CE445" s="18"/>
      <c r="CF445" s="18"/>
      <c r="CG445" s="18"/>
      <c r="CH445" s="127"/>
      <c r="CI445" s="19"/>
      <c r="CJ445" s="18"/>
      <c r="CK445" s="18"/>
      <c r="CL445" s="18"/>
      <c r="CM445" s="127"/>
      <c r="CN445" s="19"/>
      <c r="CO445" s="18"/>
      <c r="CP445" s="18"/>
      <c r="CQ445" s="18"/>
      <c r="CR445" s="127"/>
      <c r="CS445" s="19"/>
      <c r="CT445" s="18"/>
      <c r="CU445" s="18"/>
      <c r="CV445" s="18"/>
      <c r="CW445" s="127"/>
      <c r="CX445" s="19"/>
      <c r="CY445" s="18"/>
      <c r="CZ445" s="18"/>
      <c r="DA445" s="18"/>
      <c r="DB445" s="127"/>
      <c r="DC445" s="18"/>
      <c r="DD445" s="18"/>
      <c r="DE445" s="18"/>
      <c r="DF445" s="18"/>
      <c r="DG445" s="18"/>
      <c r="DH445" s="18"/>
      <c r="DI445" s="18"/>
      <c r="DJ445" s="18"/>
      <c r="DK445" s="61"/>
      <c r="DL445" s="61"/>
      <c r="DM445" s="61"/>
    </row>
    <row r="446" spans="1:117" outlineLevel="1">
      <c r="A446" s="73" t="s">
        <v>665</v>
      </c>
      <c r="B446" s="71">
        <f t="shared" ref="B446:AG446" si="762">B28-SUM(B304,B339,B405,B440)-B26</f>
        <v>0</v>
      </c>
      <c r="C446" s="71">
        <f t="shared" si="762"/>
        <v>0</v>
      </c>
      <c r="D446" s="71">
        <f t="shared" si="762"/>
        <v>0</v>
      </c>
      <c r="E446" s="71">
        <f t="shared" si="762"/>
        <v>0</v>
      </c>
      <c r="F446" s="120">
        <f t="shared" si="762"/>
        <v>0</v>
      </c>
      <c r="G446" s="71">
        <f t="shared" si="762"/>
        <v>0</v>
      </c>
      <c r="H446" s="71">
        <f t="shared" si="762"/>
        <v>0</v>
      </c>
      <c r="I446" s="71">
        <f t="shared" si="762"/>
        <v>0</v>
      </c>
      <c r="J446" s="71">
        <f t="shared" si="762"/>
        <v>0</v>
      </c>
      <c r="K446" s="120">
        <f t="shared" si="762"/>
        <v>0</v>
      </c>
      <c r="L446" s="71">
        <f t="shared" si="762"/>
        <v>0</v>
      </c>
      <c r="M446" s="71">
        <f t="shared" si="762"/>
        <v>0</v>
      </c>
      <c r="N446" s="71">
        <f t="shared" si="762"/>
        <v>0</v>
      </c>
      <c r="O446" s="71">
        <f t="shared" si="762"/>
        <v>0</v>
      </c>
      <c r="P446" s="120">
        <f t="shared" si="762"/>
        <v>0</v>
      </c>
      <c r="Q446" s="71">
        <f t="shared" si="762"/>
        <v>0</v>
      </c>
      <c r="R446" s="71">
        <f t="shared" si="762"/>
        <v>0</v>
      </c>
      <c r="S446" s="71">
        <f t="shared" si="762"/>
        <v>0</v>
      </c>
      <c r="T446" s="71">
        <f t="shared" si="762"/>
        <v>0</v>
      </c>
      <c r="U446" s="120">
        <f t="shared" si="762"/>
        <v>0</v>
      </c>
      <c r="V446" s="71">
        <f t="shared" si="762"/>
        <v>0</v>
      </c>
      <c r="W446" s="71">
        <f t="shared" si="762"/>
        <v>0</v>
      </c>
      <c r="X446" s="71">
        <f t="shared" si="762"/>
        <v>0</v>
      </c>
      <c r="Y446" s="71">
        <f t="shared" si="762"/>
        <v>0</v>
      </c>
      <c r="Z446" s="120">
        <f t="shared" si="762"/>
        <v>0</v>
      </c>
      <c r="AA446" s="71">
        <f t="shared" si="762"/>
        <v>0</v>
      </c>
      <c r="AB446" s="71">
        <f t="shared" si="762"/>
        <v>0</v>
      </c>
      <c r="AC446" s="71">
        <f t="shared" si="762"/>
        <v>0</v>
      </c>
      <c r="AD446" s="71">
        <f t="shared" si="762"/>
        <v>0</v>
      </c>
      <c r="AE446" s="120">
        <f t="shared" si="762"/>
        <v>0</v>
      </c>
      <c r="AF446" s="71">
        <f t="shared" si="762"/>
        <v>0</v>
      </c>
      <c r="AG446" s="71">
        <f t="shared" si="762"/>
        <v>0</v>
      </c>
      <c r="AH446" s="71">
        <f t="shared" ref="AH446:BM446" si="763">AH28-SUM(AH304,AH339,AH405,AH440)-AH26</f>
        <v>0</v>
      </c>
      <c r="AI446" s="71">
        <f t="shared" si="763"/>
        <v>-50</v>
      </c>
      <c r="AJ446" s="120">
        <f t="shared" si="763"/>
        <v>-50</v>
      </c>
      <c r="AK446" s="72">
        <f t="shared" si="763"/>
        <v>0</v>
      </c>
      <c r="AL446" s="71">
        <f t="shared" si="763"/>
        <v>0</v>
      </c>
      <c r="AM446" s="71">
        <f t="shared" si="763"/>
        <v>0</v>
      </c>
      <c r="AN446" s="71">
        <f t="shared" si="763"/>
        <v>7927</v>
      </c>
      <c r="AO446" s="120">
        <f t="shared" si="763"/>
        <v>7927</v>
      </c>
      <c r="AP446" s="71">
        <f t="shared" si="763"/>
        <v>92</v>
      </c>
      <c r="AQ446" s="71">
        <f t="shared" si="763"/>
        <v>-16</v>
      </c>
      <c r="AR446" s="71">
        <f t="shared" si="763"/>
        <v>0</v>
      </c>
      <c r="AS446" s="71">
        <f t="shared" si="763"/>
        <v>94</v>
      </c>
      <c r="AT446" s="120">
        <f t="shared" si="763"/>
        <v>170</v>
      </c>
      <c r="AU446" s="71">
        <f t="shared" si="763"/>
        <v>88</v>
      </c>
      <c r="AV446" s="71">
        <f t="shared" si="763"/>
        <v>113867</v>
      </c>
      <c r="AW446" s="71">
        <f t="shared" si="763"/>
        <v>16309</v>
      </c>
      <c r="AX446" s="71">
        <f t="shared" si="763"/>
        <v>34182.846153846127</v>
      </c>
      <c r="AY446" s="120">
        <f t="shared" si="763"/>
        <v>164446.84615384601</v>
      </c>
      <c r="AZ446" s="71">
        <f t="shared" si="763"/>
        <v>-2</v>
      </c>
      <c r="BA446" s="390">
        <f t="shared" si="763"/>
        <v>144</v>
      </c>
      <c r="BB446" s="390">
        <f t="shared" si="763"/>
        <v>-11386</v>
      </c>
      <c r="BC446" s="390">
        <f t="shared" si="763"/>
        <v>-18941</v>
      </c>
      <c r="BD446" s="542">
        <f t="shared" si="763"/>
        <v>-30185</v>
      </c>
      <c r="BE446" s="566">
        <f t="shared" si="763"/>
        <v>-23429</v>
      </c>
      <c r="BF446" s="390">
        <f t="shared" si="763"/>
        <v>623</v>
      </c>
      <c r="BG446" s="390">
        <f t="shared" si="763"/>
        <v>261</v>
      </c>
      <c r="BH446" s="390">
        <f t="shared" si="763"/>
        <v>-68</v>
      </c>
      <c r="BI446" s="542">
        <f t="shared" si="763"/>
        <v>-22613</v>
      </c>
      <c r="BJ446" s="390">
        <f t="shared" si="763"/>
        <v>64</v>
      </c>
      <c r="BK446" s="390">
        <f t="shared" si="763"/>
        <v>-311</v>
      </c>
      <c r="BL446" s="390">
        <f t="shared" si="763"/>
        <v>-22465.665019755019</v>
      </c>
      <c r="BM446" s="390">
        <f t="shared" si="763"/>
        <v>-95553.658062825038</v>
      </c>
      <c r="BN446" s="542">
        <f t="shared" ref="BN446:CS446" si="764">BN28-SUM(BN304,BN339,BN405,BN440)-BN26</f>
        <v>-118266.32308257977</v>
      </c>
      <c r="BO446" s="390">
        <f t="shared" si="764"/>
        <v>-16727.247177160229</v>
      </c>
      <c r="BP446" s="390">
        <f t="shared" si="764"/>
        <v>20424.086917154142</v>
      </c>
      <c r="BQ446" s="390">
        <f t="shared" si="764"/>
        <v>28247.674910202273</v>
      </c>
      <c r="BR446" s="390">
        <f t="shared" si="764"/>
        <v>-52596.177032290958</v>
      </c>
      <c r="BS446" s="542">
        <f t="shared" si="764"/>
        <v>-20651.662382094655</v>
      </c>
      <c r="BT446" s="390">
        <f t="shared" si="764"/>
        <v>10337.842737267143</v>
      </c>
      <c r="BU446" s="390">
        <f t="shared" si="764"/>
        <v>-23329.350675510825</v>
      </c>
      <c r="BV446" s="390">
        <f t="shared" si="764"/>
        <v>-37801.769528363307</v>
      </c>
      <c r="BW446" s="390">
        <f t="shared" si="764"/>
        <v>-58980.193325392909</v>
      </c>
      <c r="BX446" s="542">
        <f t="shared" si="764"/>
        <v>-109773.47079199809</v>
      </c>
      <c r="BY446" s="390">
        <f t="shared" si="764"/>
        <v>-10319.79737619176</v>
      </c>
      <c r="BZ446" s="390">
        <f t="shared" si="764"/>
        <v>-17271.731305098132</v>
      </c>
      <c r="CA446" s="390">
        <f t="shared" si="764"/>
        <v>-36731.123056865799</v>
      </c>
      <c r="CB446" s="390">
        <f t="shared" si="764"/>
        <v>-58326.949351070325</v>
      </c>
      <c r="CC446" s="542">
        <f t="shared" si="764"/>
        <v>-122649.60108922533</v>
      </c>
      <c r="CD446" s="390">
        <f t="shared" si="764"/>
        <v>-14438.006869334553</v>
      </c>
      <c r="CE446" s="390">
        <f t="shared" si="764"/>
        <v>-18231.025207737825</v>
      </c>
      <c r="CF446" s="390">
        <f t="shared" si="764"/>
        <v>-26155.781862599535</v>
      </c>
      <c r="CG446" s="390">
        <f t="shared" si="764"/>
        <v>-6011.1480371407306</v>
      </c>
      <c r="CH446" s="542">
        <f t="shared" si="764"/>
        <v>-64835.961976811348</v>
      </c>
      <c r="CI446" s="390">
        <f t="shared" si="764"/>
        <v>-36.333745472533337</v>
      </c>
      <c r="CJ446" s="390">
        <f t="shared" si="764"/>
        <v>7504.5772685927659</v>
      </c>
      <c r="CK446" s="390">
        <f t="shared" si="764"/>
        <v>-7878.7758139789075</v>
      </c>
      <c r="CL446" s="390">
        <f t="shared" si="764"/>
        <v>29927.31786985675</v>
      </c>
      <c r="CM446" s="542">
        <f t="shared" si="764"/>
        <v>29516.785578996234</v>
      </c>
      <c r="CN446" s="390">
        <f t="shared" si="764"/>
        <v>-308.91636377001123</v>
      </c>
      <c r="CO446" s="390">
        <f t="shared" si="764"/>
        <v>9149.7566907705477</v>
      </c>
      <c r="CP446" s="390">
        <f t="shared" si="764"/>
        <v>-6894.4432068829265</v>
      </c>
      <c r="CQ446" s="390">
        <f t="shared" si="764"/>
        <v>50404.109202422915</v>
      </c>
      <c r="CR446" s="542">
        <f t="shared" si="764"/>
        <v>52350.506322540983</v>
      </c>
      <c r="CS446" s="390">
        <f t="shared" si="764"/>
        <v>12861.591687431122</v>
      </c>
      <c r="CT446" s="390">
        <f t="shared" ref="CT446:DB446" si="765">CT28-SUM(CT304,CT339,CT405,CT440)-CT26</f>
        <v>22487.148940939514</v>
      </c>
      <c r="CU446" s="390">
        <f t="shared" si="765"/>
        <v>6708.3691823665868</v>
      </c>
      <c r="CV446" s="390">
        <f t="shared" si="765"/>
        <v>83299.324365231005</v>
      </c>
      <c r="CW446" s="542">
        <f t="shared" si="765"/>
        <v>125356.43417596869</v>
      </c>
      <c r="CX446" s="390">
        <f t="shared" si="765"/>
        <v>34811.961814062874</v>
      </c>
      <c r="CY446" s="390">
        <f t="shared" si="765"/>
        <v>44853.980326617093</v>
      </c>
      <c r="CZ446" s="390">
        <f t="shared" si="765"/>
        <v>29509.979113472393</v>
      </c>
      <c r="DA446" s="390">
        <f t="shared" si="765"/>
        <v>114348.47335570276</v>
      </c>
      <c r="DB446" s="542">
        <f t="shared" si="765"/>
        <v>223524.39460985662</v>
      </c>
      <c r="DC446" s="390"/>
      <c r="DD446" s="390"/>
      <c r="DE446" s="390"/>
      <c r="DF446" s="390"/>
      <c r="DG446" s="390"/>
      <c r="DH446" s="390"/>
      <c r="DI446" s="390"/>
      <c r="DJ446" s="390"/>
      <c r="DK446" s="72"/>
      <c r="DL446" s="72"/>
      <c r="DM446" s="74"/>
    </row>
    <row r="447" spans="1:117" outlineLevel="1">
      <c r="A447" s="12"/>
      <c r="B447" s="55"/>
      <c r="C447" s="56"/>
      <c r="D447" s="56"/>
      <c r="E447" s="56"/>
      <c r="F447" s="125"/>
      <c r="G447" s="55"/>
      <c r="H447" s="56"/>
      <c r="I447" s="56"/>
      <c r="J447" s="56"/>
      <c r="K447" s="125"/>
      <c r="L447" s="55"/>
      <c r="M447" s="56"/>
      <c r="N447" s="56"/>
      <c r="O447" s="56"/>
      <c r="P447" s="125"/>
      <c r="Q447" s="55"/>
      <c r="R447" s="56"/>
      <c r="S447" s="56"/>
      <c r="T447" s="56"/>
      <c r="U447" s="125"/>
      <c r="V447" s="55"/>
      <c r="W447" s="56"/>
      <c r="X447" s="56"/>
      <c r="Y447" s="56"/>
      <c r="Z447" s="125"/>
      <c r="AA447" s="55"/>
      <c r="AB447" s="18"/>
      <c r="AC447" s="18"/>
      <c r="AD447" s="18"/>
      <c r="AE447" s="127"/>
      <c r="AF447" s="19"/>
      <c r="AG447" s="18"/>
      <c r="AH447" s="18"/>
      <c r="AI447" s="18"/>
      <c r="AJ447" s="127"/>
      <c r="AK447" s="19"/>
      <c r="AL447" s="18"/>
      <c r="AM447" s="18"/>
      <c r="AN447" s="18"/>
      <c r="AO447" s="127"/>
      <c r="AP447" s="19"/>
      <c r="AQ447" s="18"/>
      <c r="AR447" s="18"/>
      <c r="AS447" s="18"/>
      <c r="AT447" s="127"/>
      <c r="AU447" s="19"/>
      <c r="AV447" s="18"/>
      <c r="AW447" s="18"/>
      <c r="AX447" s="18"/>
      <c r="AY447" s="127"/>
      <c r="AZ447" s="19"/>
      <c r="BA447" s="18"/>
      <c r="BB447" s="18"/>
      <c r="BC447" s="18"/>
      <c r="BD447" s="127"/>
      <c r="BE447" s="19"/>
      <c r="BF447" s="18"/>
      <c r="BG447" s="18"/>
      <c r="BH447" s="18"/>
      <c r="BI447" s="127"/>
      <c r="BJ447" s="19"/>
      <c r="BK447" s="18"/>
      <c r="BL447" s="18"/>
      <c r="BM447" s="18"/>
      <c r="BN447" s="127"/>
      <c r="BO447" s="19"/>
      <c r="BP447" s="18"/>
      <c r="BQ447" s="18"/>
      <c r="BR447" s="18"/>
      <c r="BS447" s="127"/>
      <c r="BT447" s="19"/>
      <c r="BU447" s="18"/>
      <c r="BV447" s="18"/>
      <c r="BW447" s="18"/>
      <c r="BX447" s="127"/>
      <c r="BY447" s="19"/>
      <c r="BZ447" s="18"/>
      <c r="CA447" s="18"/>
      <c r="CB447" s="18"/>
      <c r="CC447" s="127"/>
      <c r="CD447" s="19"/>
      <c r="CE447" s="18"/>
      <c r="CF447" s="18"/>
      <c r="CG447" s="18"/>
      <c r="CH447" s="127"/>
      <c r="CI447" s="19"/>
      <c r="CJ447" s="18"/>
      <c r="CK447" s="18"/>
      <c r="CL447" s="18"/>
      <c r="CM447" s="127"/>
      <c r="CN447" s="19"/>
      <c r="CO447" s="18"/>
      <c r="CP447" s="18"/>
      <c r="CQ447" s="18"/>
      <c r="CR447" s="127"/>
      <c r="CS447" s="19"/>
      <c r="CT447" s="18"/>
      <c r="CU447" s="18"/>
      <c r="CV447" s="18"/>
      <c r="CW447" s="127"/>
      <c r="CX447" s="19"/>
      <c r="CY447" s="18"/>
      <c r="CZ447" s="18"/>
      <c r="DA447" s="18"/>
      <c r="DB447" s="127"/>
      <c r="DC447" s="18"/>
      <c r="DD447" s="18"/>
      <c r="DE447" s="18"/>
      <c r="DF447" s="18"/>
      <c r="DG447" s="18"/>
      <c r="DH447" s="18"/>
      <c r="DI447" s="18"/>
      <c r="DJ447" s="18"/>
      <c r="DK447" s="61"/>
      <c r="DL447" s="61"/>
      <c r="DM447" s="61"/>
    </row>
    <row r="448" spans="1:117" outlineLevel="1">
      <c r="A448" s="6" t="s">
        <v>666</v>
      </c>
      <c r="B448" s="87"/>
      <c r="C448" s="89"/>
      <c r="D448" s="89"/>
      <c r="E448" s="89"/>
      <c r="F448" s="126"/>
      <c r="G448" s="87"/>
      <c r="H448" s="89"/>
      <c r="I448" s="89"/>
      <c r="J448" s="89"/>
      <c r="K448" s="126"/>
      <c r="L448" s="87"/>
      <c r="M448" s="89"/>
      <c r="N448" s="89"/>
      <c r="O448" s="89"/>
      <c r="P448" s="126"/>
      <c r="Q448" s="87"/>
      <c r="R448" s="89"/>
      <c r="S448" s="89"/>
      <c r="T448" s="89"/>
      <c r="U448" s="126"/>
      <c r="V448" s="87"/>
      <c r="W448" s="88"/>
      <c r="X448" s="88"/>
      <c r="Y448" s="88"/>
      <c r="Z448" s="124"/>
      <c r="AA448" s="90"/>
      <c r="AB448" s="23"/>
      <c r="AC448" s="23"/>
      <c r="AD448" s="23"/>
      <c r="AE448" s="136"/>
      <c r="AF448" s="24"/>
      <c r="AG448" s="23"/>
      <c r="AH448" s="23"/>
      <c r="AI448" s="23"/>
      <c r="AJ448" s="136"/>
      <c r="AK448" s="24"/>
      <c r="AL448" s="23"/>
      <c r="AM448" s="23"/>
      <c r="AN448" s="23"/>
      <c r="AO448" s="136"/>
      <c r="AP448" s="24"/>
      <c r="AQ448" s="23"/>
      <c r="AR448" s="23"/>
      <c r="AS448" s="23"/>
      <c r="AT448" s="136"/>
      <c r="AU448" s="24"/>
      <c r="AV448" s="23"/>
      <c r="AW448" s="23"/>
      <c r="AX448" s="23"/>
      <c r="AY448" s="136"/>
      <c r="AZ448" s="24"/>
      <c r="BA448" s="23"/>
      <c r="BB448" s="23"/>
      <c r="BC448" s="23"/>
      <c r="BD448" s="136"/>
      <c r="BE448" s="24"/>
      <c r="BF448" s="23"/>
      <c r="BG448" s="23"/>
      <c r="BH448" s="23"/>
      <c r="BI448" s="136"/>
      <c r="BJ448" s="24"/>
      <c r="BK448" s="23"/>
      <c r="BL448" s="23"/>
      <c r="BM448" s="23"/>
      <c r="BN448" s="136"/>
      <c r="BO448" s="24"/>
      <c r="BP448" s="23"/>
      <c r="BQ448" s="23"/>
      <c r="BR448" s="23"/>
      <c r="BS448" s="136"/>
      <c r="BT448" s="24"/>
      <c r="BU448" s="23"/>
      <c r="BV448" s="23"/>
      <c r="BW448" s="23"/>
      <c r="BX448" s="136"/>
      <c r="BY448" s="24"/>
      <c r="BZ448" s="23"/>
      <c r="CA448" s="23"/>
      <c r="CB448" s="23"/>
      <c r="CC448" s="136"/>
      <c r="CD448" s="24"/>
      <c r="CE448" s="23"/>
      <c r="CF448" s="23"/>
      <c r="CG448" s="23"/>
      <c r="CH448" s="136"/>
      <c r="CI448" s="24"/>
      <c r="CJ448" s="23"/>
      <c r="CK448" s="23"/>
      <c r="CL448" s="23"/>
      <c r="CM448" s="136"/>
      <c r="CN448" s="24"/>
      <c r="CO448" s="23"/>
      <c r="CP448" s="23"/>
      <c r="CQ448" s="23"/>
      <c r="CR448" s="136"/>
      <c r="CS448" s="24"/>
      <c r="CT448" s="23"/>
      <c r="CU448" s="23"/>
      <c r="CV448" s="23"/>
      <c r="CW448" s="136"/>
      <c r="CX448" s="24"/>
      <c r="CY448" s="23"/>
      <c r="CZ448" s="23"/>
      <c r="DA448" s="23"/>
      <c r="DB448" s="136"/>
      <c r="DC448" s="23"/>
      <c r="DD448" s="23"/>
      <c r="DE448" s="23"/>
      <c r="DF448" s="23"/>
      <c r="DG448" s="23"/>
      <c r="DH448" s="23"/>
      <c r="DI448" s="23"/>
      <c r="DJ448" s="23"/>
      <c r="DK448" s="61"/>
      <c r="DL448" s="61"/>
      <c r="DM448" s="61"/>
    </row>
    <row r="449" spans="1:117" outlineLevel="1">
      <c r="A449" s="49" t="s">
        <v>246</v>
      </c>
      <c r="B449" s="55"/>
      <c r="C449" s="56"/>
      <c r="D449" s="56"/>
      <c r="E449" s="56"/>
      <c r="F449" s="125"/>
      <c r="G449" s="55"/>
      <c r="H449" s="56"/>
      <c r="I449" s="56"/>
      <c r="J449" s="56"/>
      <c r="K449" s="125"/>
      <c r="L449" s="55"/>
      <c r="M449" s="56"/>
      <c r="N449" s="56"/>
      <c r="O449" s="56"/>
      <c r="P449" s="125"/>
      <c r="Q449" s="55"/>
      <c r="R449" s="56"/>
      <c r="S449" s="56"/>
      <c r="T449" s="56"/>
      <c r="U449" s="125"/>
      <c r="V449" s="55"/>
      <c r="W449" s="56"/>
      <c r="X449" s="56"/>
      <c r="Y449" s="56"/>
      <c r="Z449" s="125"/>
      <c r="AA449" s="55"/>
      <c r="AB449" s="18"/>
      <c r="AC449" s="18"/>
      <c r="AD449" s="18"/>
      <c r="AE449" s="127"/>
      <c r="AF449" s="19"/>
      <c r="AG449" s="18"/>
      <c r="AH449" s="18"/>
      <c r="AI449" s="18"/>
      <c r="AJ449" s="127"/>
      <c r="AK449" s="19"/>
      <c r="AL449" s="18"/>
      <c r="AM449" s="18"/>
      <c r="AN449" s="18"/>
      <c r="AO449" s="127"/>
      <c r="AP449" s="19"/>
      <c r="AQ449" s="18"/>
      <c r="AR449" s="18"/>
      <c r="AS449" s="18"/>
      <c r="AT449" s="127"/>
      <c r="AU449" s="19"/>
      <c r="AV449" s="18"/>
      <c r="AW449" s="18"/>
      <c r="AX449" s="18"/>
      <c r="AY449" s="127"/>
      <c r="AZ449" s="19"/>
      <c r="BA449" s="18"/>
      <c r="BB449" s="18"/>
      <c r="BC449" s="18"/>
      <c r="BD449" s="127"/>
      <c r="BE449" s="19"/>
      <c r="BF449" s="18"/>
      <c r="BG449" s="18"/>
      <c r="BH449" s="18"/>
      <c r="BI449" s="127"/>
      <c r="BJ449" s="19"/>
      <c r="BK449" s="18"/>
      <c r="BL449" s="18"/>
      <c r="BM449" s="18"/>
      <c r="BN449" s="127"/>
      <c r="BO449" s="19"/>
      <c r="BP449" s="18"/>
      <c r="BQ449" s="18"/>
      <c r="BR449" s="18"/>
      <c r="BS449" s="127"/>
      <c r="BT449" s="19"/>
      <c r="BU449" s="18"/>
      <c r="BV449" s="18"/>
      <c r="BW449" s="18"/>
      <c r="BX449" s="127"/>
      <c r="BY449" s="19"/>
      <c r="BZ449" s="18"/>
      <c r="CA449" s="18"/>
      <c r="CB449" s="18"/>
      <c r="CC449" s="127"/>
      <c r="CD449" s="19"/>
      <c r="CE449" s="18"/>
      <c r="CF449" s="18"/>
      <c r="CG449" s="18"/>
      <c r="CH449" s="127"/>
      <c r="CI449" s="19"/>
      <c r="CJ449" s="18"/>
      <c r="CK449" s="18"/>
      <c r="CL449" s="18"/>
      <c r="CM449" s="127"/>
      <c r="CN449" s="19"/>
      <c r="CO449" s="18"/>
      <c r="CP449" s="18"/>
      <c r="CQ449" s="18"/>
      <c r="CR449" s="127"/>
      <c r="CS449" s="19"/>
      <c r="CT449" s="18"/>
      <c r="CU449" s="18"/>
      <c r="CV449" s="18"/>
      <c r="CW449" s="127"/>
      <c r="CX449" s="19"/>
      <c r="CY449" s="18"/>
      <c r="CZ449" s="18"/>
      <c r="DA449" s="18"/>
      <c r="DB449" s="127"/>
      <c r="DC449" s="18"/>
      <c r="DD449" s="18"/>
      <c r="DE449" s="18"/>
      <c r="DF449" s="18"/>
      <c r="DG449" s="18"/>
      <c r="DH449" s="18"/>
      <c r="DI449" s="18"/>
      <c r="DJ449" s="18"/>
      <c r="DK449" s="61"/>
      <c r="DL449" s="61"/>
      <c r="DM449" s="61"/>
    </row>
    <row r="450" spans="1:117" outlineLevel="1">
      <c r="A450" s="50" t="s">
        <v>247</v>
      </c>
      <c r="B450" s="37">
        <v>1241392</v>
      </c>
      <c r="C450" s="48">
        <f>B136</f>
        <v>1483722</v>
      </c>
      <c r="D450" s="48">
        <f>C457</f>
        <v>1456386</v>
      </c>
      <c r="E450" s="48">
        <f>D457</f>
        <v>1399388</v>
      </c>
      <c r="F450" s="104">
        <f>B450</f>
        <v>1241392</v>
      </c>
      <c r="G450" s="94">
        <f>F457</f>
        <v>1605704</v>
      </c>
      <c r="H450" s="48">
        <f>G457</f>
        <v>1572133</v>
      </c>
      <c r="I450" s="48">
        <f>H457</f>
        <v>1498370</v>
      </c>
      <c r="J450" s="48">
        <f>I457</f>
        <v>1385494</v>
      </c>
      <c r="K450" s="104">
        <f>G450</f>
        <v>1605704</v>
      </c>
      <c r="L450" s="94">
        <f>K457</f>
        <v>1794757</v>
      </c>
      <c r="M450" s="48">
        <f>L457</f>
        <v>2355050</v>
      </c>
      <c r="N450" s="48">
        <f>M457</f>
        <v>2365992</v>
      </c>
      <c r="O450" s="48">
        <f>N457</f>
        <v>2155597</v>
      </c>
      <c r="P450" s="104">
        <f>L450</f>
        <v>1794757</v>
      </c>
      <c r="Q450" s="94">
        <f>P457</f>
        <v>2215958</v>
      </c>
      <c r="R450" s="48">
        <f>Q457</f>
        <v>2210776</v>
      </c>
      <c r="S450" s="48">
        <f>R457</f>
        <v>1861585</v>
      </c>
      <c r="T450" s="48">
        <f>S457</f>
        <v>1875508</v>
      </c>
      <c r="U450" s="104">
        <f>Q450</f>
        <v>2215958</v>
      </c>
      <c r="V450" s="94">
        <f>U457</f>
        <v>1969308</v>
      </c>
      <c r="W450" s="48">
        <f>V457</f>
        <v>2006792</v>
      </c>
      <c r="X450" s="48">
        <f>W457</f>
        <v>1983298</v>
      </c>
      <c r="Y450" s="48">
        <f>X457</f>
        <v>2058015</v>
      </c>
      <c r="Z450" s="104">
        <f>V450</f>
        <v>1969308</v>
      </c>
      <c r="AA450" s="94">
        <f>Z457</f>
        <v>2088170</v>
      </c>
      <c r="AB450" s="48">
        <f>AA457</f>
        <v>2183293</v>
      </c>
      <c r="AC450" s="48">
        <f>AB457</f>
        <v>2162393</v>
      </c>
      <c r="AD450" s="48">
        <f>AC457</f>
        <v>2139615</v>
      </c>
      <c r="AE450" s="104">
        <f>AA450</f>
        <v>2088170</v>
      </c>
      <c r="AF450" s="94">
        <f>AE457</f>
        <v>2207194</v>
      </c>
      <c r="AG450" s="48">
        <f>AF457</f>
        <v>2380697</v>
      </c>
      <c r="AH450" s="48">
        <f>AG457</f>
        <v>2387229</v>
      </c>
      <c r="AI450" s="48">
        <f>AH457</f>
        <v>2414479</v>
      </c>
      <c r="AJ450" s="104">
        <f>AF450</f>
        <v>2207194</v>
      </c>
      <c r="AK450" s="94">
        <f>AJ457</f>
        <v>2448623</v>
      </c>
      <c r="AL450" s="48">
        <f>AK457</f>
        <v>2499084</v>
      </c>
      <c r="AM450" s="48">
        <f>AL457</f>
        <v>2217089</v>
      </c>
      <c r="AN450" s="48">
        <f>AM457</f>
        <v>2185960</v>
      </c>
      <c r="AO450" s="104">
        <f>AK450</f>
        <v>2448623</v>
      </c>
      <c r="AP450" s="94">
        <f>AO457</f>
        <v>2238573</v>
      </c>
      <c r="AQ450" s="48">
        <f>AP457</f>
        <v>2256152</v>
      </c>
      <c r="AR450" s="48">
        <f>AQ457</f>
        <v>2089540</v>
      </c>
      <c r="AS450" s="48">
        <f>AR457</f>
        <v>2065706</v>
      </c>
      <c r="AT450" s="104">
        <f>AP450</f>
        <v>2238573</v>
      </c>
      <c r="AU450" s="94">
        <f>AT457</f>
        <v>2129609</v>
      </c>
      <c r="AV450" s="48">
        <f>AU457</f>
        <v>2134354</v>
      </c>
      <c r="AW450" s="48">
        <f>AV457</f>
        <v>2085349</v>
      </c>
      <c r="AX450" s="48">
        <f>AW457</f>
        <v>2189694</v>
      </c>
      <c r="AY450" s="104">
        <f>AU450</f>
        <v>2129609</v>
      </c>
      <c r="AZ450" s="94">
        <f>AY457</f>
        <v>2337851</v>
      </c>
      <c r="BA450" s="48">
        <f>AZ457</f>
        <v>584500</v>
      </c>
      <c r="BB450" s="48">
        <f>BA457</f>
        <v>656425</v>
      </c>
      <c r="BC450" s="48">
        <f>BB457</f>
        <v>623232</v>
      </c>
      <c r="BD450" s="104">
        <f>AZ450</f>
        <v>2337851</v>
      </c>
      <c r="BE450" s="94">
        <f>BD457</f>
        <v>592115</v>
      </c>
      <c r="BF450" s="48">
        <f>BE457</f>
        <v>530158</v>
      </c>
      <c r="BG450" s="48">
        <f>BF457</f>
        <v>517508</v>
      </c>
      <c r="BH450" s="48">
        <f>BG457</f>
        <v>414472</v>
      </c>
      <c r="BI450" s="104">
        <f>BE450</f>
        <v>592115</v>
      </c>
      <c r="BJ450" s="94">
        <f>BI457</f>
        <v>335797.99999999994</v>
      </c>
      <c r="BK450" s="48">
        <f>BJ457</f>
        <v>286887.99999999994</v>
      </c>
      <c r="BL450" s="48">
        <f>BK457</f>
        <v>237428.99999999994</v>
      </c>
      <c r="BM450" s="48">
        <f>BL457</f>
        <v>214295.99999999994</v>
      </c>
      <c r="BN450" s="104">
        <f>BJ450</f>
        <v>335797.99999999994</v>
      </c>
      <c r="BO450" s="94">
        <f>BN457</f>
        <v>188745</v>
      </c>
      <c r="BP450" s="48">
        <f>BO457</f>
        <v>238382</v>
      </c>
      <c r="BQ450" s="48">
        <f>BP457</f>
        <v>5407747</v>
      </c>
      <c r="BR450" s="48">
        <f>BQ457</f>
        <v>5359495</v>
      </c>
      <c r="BS450" s="104">
        <f>BO450</f>
        <v>188745</v>
      </c>
      <c r="BT450" s="94">
        <f>BS457</f>
        <v>5527867</v>
      </c>
      <c r="BU450" s="48">
        <f>BT457</f>
        <v>6547387.0083860019</v>
      </c>
      <c r="BV450" s="48">
        <f>BU457</f>
        <v>6494284.3723828066</v>
      </c>
      <c r="BW450" s="48">
        <f>BV457</f>
        <v>6421036.9319458436</v>
      </c>
      <c r="BX450" s="104">
        <f>BT450</f>
        <v>5527867</v>
      </c>
      <c r="BY450" s="94">
        <f>BX457</f>
        <v>6342245.6812511478</v>
      </c>
      <c r="BZ450" s="48">
        <f>BY457</f>
        <v>6305923.0408888534</v>
      </c>
      <c r="CA450" s="48">
        <f>BZ457</f>
        <v>6252962.8834252656</v>
      </c>
      <c r="CB450" s="48">
        <f>CA457</f>
        <v>6174250.0268375548</v>
      </c>
      <c r="CC450" s="104">
        <f>BY450</f>
        <v>6342245.6812511478</v>
      </c>
      <c r="CD450" s="94">
        <f>CC457</f>
        <v>6089440.5233859578</v>
      </c>
      <c r="CE450" s="48">
        <f>CD457</f>
        <v>6023748.698206163</v>
      </c>
      <c r="CF450" s="48">
        <f>CE457</f>
        <v>5950260.4274334805</v>
      </c>
      <c r="CG450" s="48">
        <f>CF457</f>
        <v>5856690.52874202</v>
      </c>
      <c r="CH450" s="104">
        <f>CD450</f>
        <v>6089440.5233859578</v>
      </c>
      <c r="CI450" s="94">
        <f>CH457</f>
        <v>5786471.8468956668</v>
      </c>
      <c r="CJ450" s="48">
        <f>CI457</f>
        <v>5706983.8592759725</v>
      </c>
      <c r="CK450" s="48">
        <f>CJ457</f>
        <v>5628390.7451147148</v>
      </c>
      <c r="CL450" s="48">
        <f>CK457</f>
        <v>5526864.2476907289</v>
      </c>
      <c r="CM450" s="104">
        <f>CI450</f>
        <v>5786471.8468956668</v>
      </c>
      <c r="CN450" s="94">
        <f>CM457</f>
        <v>5462368.1929194033</v>
      </c>
      <c r="CO450" s="48">
        <f>CN457</f>
        <v>5359415.8192831036</v>
      </c>
      <c r="CP450" s="48">
        <f>CO457</f>
        <v>5260269.3697677637</v>
      </c>
      <c r="CQ450" s="48">
        <f>CP457</f>
        <v>5141484.2809795709</v>
      </c>
      <c r="CR450" s="104">
        <f>CN450</f>
        <v>5462368.1929194033</v>
      </c>
      <c r="CS450" s="94">
        <f>CR457</f>
        <v>5073272.2499799803</v>
      </c>
      <c r="CT450" s="48">
        <f>CS457</f>
        <v>4953525.4714726154</v>
      </c>
      <c r="CU450" s="48">
        <f>CT457</f>
        <v>4837717.0123541923</v>
      </c>
      <c r="CV450" s="48">
        <f>CU457</f>
        <v>4702461.4139350047</v>
      </c>
      <c r="CW450" s="104">
        <f>CS450</f>
        <v>5073272.2499799803</v>
      </c>
      <c r="CX450" s="94">
        <f>CW457</f>
        <v>4632232.8929595277</v>
      </c>
      <c r="CY450" s="48">
        <f>CX457</f>
        <v>4502267.347546096</v>
      </c>
      <c r="CZ450" s="48">
        <f>CY457</f>
        <v>4376488.9504237864</v>
      </c>
      <c r="DA450" s="48">
        <f>CZ457</f>
        <v>4231510.8608262474</v>
      </c>
      <c r="DB450" s="104">
        <f>CX450</f>
        <v>4632232.8929595277</v>
      </c>
      <c r="DC450" s="48"/>
      <c r="DD450" s="48"/>
      <c r="DE450" s="48"/>
      <c r="DF450" s="48"/>
      <c r="DG450" s="48"/>
      <c r="DH450" s="48"/>
      <c r="DI450" s="48"/>
      <c r="DJ450" s="48"/>
      <c r="DK450" s="99"/>
      <c r="DL450" s="99"/>
      <c r="DM450" s="65"/>
    </row>
    <row r="451" spans="1:117" outlineLevel="1">
      <c r="A451" s="59" t="s">
        <v>803</v>
      </c>
      <c r="B451" s="94">
        <f>69+5+151248+9464-66+1439-800</f>
        <v>161359</v>
      </c>
      <c r="C451" s="48">
        <f>(C131-B131)+(C132-B132)+(C135-B135)</f>
        <v>9867</v>
      </c>
      <c r="D451" s="48">
        <f>(D131-C131)+(D132-C132)+(D135-C135)</f>
        <v>9025</v>
      </c>
      <c r="E451" s="48">
        <f>(E131-D131)+(E132-D132)+(E135-D135)</f>
        <v>20748</v>
      </c>
      <c r="F451" s="104">
        <f>69+20+151248+38736-296+12045-823</f>
        <v>200999</v>
      </c>
      <c r="G451" s="94">
        <f>(G131-F131)+(G132-F132)+(G135-F135)</f>
        <v>-58183</v>
      </c>
      <c r="H451" s="48">
        <f>(H131-G131)+(H132-G132)+(H135-G135)</f>
        <v>-41229</v>
      </c>
      <c r="I451" s="48">
        <f>(I131-H131)+(I132-H132)+(I135-H135)</f>
        <v>-71943</v>
      </c>
      <c r="J451" s="48">
        <f>(J131-I131)+(J132-I132)+(J135-I135)</f>
        <v>-30105</v>
      </c>
      <c r="K451" s="104">
        <f>(K131-F131)+(K132-F132)+(K135-F135)</f>
        <v>-201460</v>
      </c>
      <c r="L451" s="94">
        <f>(L131-K131)+(L132-K132)+(L135-K135)</f>
        <v>401501</v>
      </c>
      <c r="M451" s="48">
        <f>(M131-L131)+(M132-L132)+(M135-L135)</f>
        <v>11563</v>
      </c>
      <c r="N451" s="48">
        <f>(N131-M131)+(N132-M132)+(N135-M135)</f>
        <v>-274130</v>
      </c>
      <c r="O451" s="48">
        <f>(O131-N131)+(O132-N132)+(O135-N135)</f>
        <v>14725</v>
      </c>
      <c r="P451" s="104">
        <f>(P131-K131)+(P132-K132)+(P135-K135)</f>
        <v>153659</v>
      </c>
      <c r="Q451" s="94">
        <f>(Q131-P131)+(Q132-P132)+(Q135-P135)</f>
        <v>-15466</v>
      </c>
      <c r="R451" s="48">
        <f>(R131-Q131)+(R132-Q132)+(R135-Q135)</f>
        <v>-354305</v>
      </c>
      <c r="S451" s="48">
        <f>(S131-R131)+(S132-R132)+(S135-R135)</f>
        <v>7422</v>
      </c>
      <c r="T451" s="48">
        <f>(T131-S131)+(T132-S132)+(T135-S135)</f>
        <v>7567</v>
      </c>
      <c r="U451" s="104">
        <f>(U131-P131)+(U132-P132)+(U135-P135)</f>
        <v>-354782</v>
      </c>
      <c r="V451" s="94">
        <f>(V131-U131)+(V132-U132)+(V135-U135)</f>
        <v>1291</v>
      </c>
      <c r="W451" s="48">
        <f>(W131-V131)+(W132-V132)+(W135-V135)</f>
        <v>12536</v>
      </c>
      <c r="X451" s="48">
        <f>(X131-W131)+(X132-W132)+(X135-W135)</f>
        <v>13825</v>
      </c>
      <c r="Y451" s="48">
        <f>(Y131-X131)+(Y132-X132)+(Y135-X135)</f>
        <v>13216</v>
      </c>
      <c r="Z451" s="104">
        <f>(Z131-U131)+(Z132-U132)+(Z135-U135)</f>
        <v>40868</v>
      </c>
      <c r="AA451" s="94">
        <f>(AA131-Z131)+(AA132-Z132)+(AA135-Z135)</f>
        <v>454</v>
      </c>
      <c r="AB451" s="48">
        <f>(AB131-AA131)+(AB132-AA132)+(AB135-AA135)</f>
        <v>6351</v>
      </c>
      <c r="AC451" s="48">
        <f>(AC131-AB131)+(AC132-AB132)+(AC135-AB135)</f>
        <v>9025</v>
      </c>
      <c r="AD451" s="48">
        <f>(AD131-AC131)+(AD132-AC132)+(AD135-AC135)</f>
        <v>18514</v>
      </c>
      <c r="AE451" s="104">
        <f>(AE131-Z131)+(AE132-Z132)+(AE135-Z135)</f>
        <v>34344</v>
      </c>
      <c r="AF451" s="94">
        <f>(AF131-AE131)+(AF132-AE132)+(AF135-AE135)</f>
        <v>52616</v>
      </c>
      <c r="AG451" s="48">
        <f>(AG131-AF131)+(AG132-AF132)+(AG135-AF135)</f>
        <v>9501</v>
      </c>
      <c r="AH451" s="48">
        <f>(AH131-AG131)+(AH132-AG132)+(AH135-AG135)</f>
        <v>7691</v>
      </c>
      <c r="AI451" s="48">
        <f>(AI131-AH131)+(AI132-AH132)+(AI135-AH135)</f>
        <v>20720</v>
      </c>
      <c r="AJ451" s="104">
        <f>(AJ131-AE131)+(AJ132-AE132)+(AJ135-AE135)</f>
        <v>90528</v>
      </c>
      <c r="AK451" s="94">
        <f>(AK131-AJ131)+(AK132-AJ132)+(AK135-AJ135)</f>
        <v>2317</v>
      </c>
      <c r="AL451" s="48">
        <f>(AL131-AK131)+(AL132-AK132)+(AL135-AK135)</f>
        <v>-285303</v>
      </c>
      <c r="AM451" s="48">
        <f>(AM131-AL131)+(AM132-AL132)+(AM135-AL135)</f>
        <v>9838</v>
      </c>
      <c r="AN451" s="48">
        <f>(AN131-AM131)+(AN132-AM132)+(AN135-AM135)</f>
        <v>26843</v>
      </c>
      <c r="AO451" s="104">
        <f>(AO131-AJ131)+(AO132-AJ132)+(AO135-AJ135)</f>
        <v>-246305</v>
      </c>
      <c r="AP451" s="94">
        <f>(AP131-AO131)+(AP132-AO132)+(AP135-AO135)</f>
        <v>-69187</v>
      </c>
      <c r="AQ451" s="48">
        <f>(AQ131-AP131)+(AQ132-AP132)+(AQ135-AP135)</f>
        <v>-137413</v>
      </c>
      <c r="AR451" s="48">
        <f>(AR131-AQ131)+(AR132-AQ132)+(AR135-AQ135)</f>
        <v>13454</v>
      </c>
      <c r="AS451" s="48">
        <f>(AS131-AR131)+(AS132-AR132)+(AS135-AR135)</f>
        <v>-3791</v>
      </c>
      <c r="AT451" s="104">
        <f>(AT131-AO131)+(AT132-AO132)+(AT135-AO135)</f>
        <v>-196937</v>
      </c>
      <c r="AU451" s="94">
        <f>(AU131-AT131)+(AU132-AT132)+(AU135-AT135)</f>
        <v>-27640</v>
      </c>
      <c r="AV451" s="48">
        <f>(AV131-AU131)+(AV132-AU132)+(AV135-AU135)</f>
        <v>13094</v>
      </c>
      <c r="AW451" s="48">
        <f>(AW131-AV131)+(AW132-AV132)+(AW135-AV135)</f>
        <v>127878</v>
      </c>
      <c r="AX451" s="48">
        <f>(AX131-AW131)+(AX132-AW132)+(AX135-AW135)</f>
        <v>38308</v>
      </c>
      <c r="AY451" s="104">
        <f>(AY131-AT131)+(AY132-AT132)+(AY135-AT135)</f>
        <v>151640</v>
      </c>
      <c r="AZ451" s="94">
        <f>(AZ131-AY131)+(AZ132-AY132)+(AZ135-AY135)</f>
        <v>-24852</v>
      </c>
      <c r="BA451" s="48">
        <f>(BA131-AZ131)+(BA132-AZ132)+(BA135-AZ135)</f>
        <v>129958</v>
      </c>
      <c r="BB451" s="48">
        <f>(BB131-BA131)+(BB132-BA132)+(BB135-BA135)</f>
        <v>16510</v>
      </c>
      <c r="BC451" s="48">
        <f>(BC131-BB131)+(BC132-BB132)+(BC135-BB135)</f>
        <v>29701</v>
      </c>
      <c r="BD451" s="104">
        <f>(BD131-AY131)+(BD132-AY132)+(BD135-AY135)</f>
        <v>151317</v>
      </c>
      <c r="BE451" s="94">
        <f>(BE131-BD131)+(BE132-BD132)+(BE135-BD135)</f>
        <v>6734</v>
      </c>
      <c r="BF451" s="48">
        <f>(BF131-BE131)+(BF132-BE132)+(BF135-BE135)</f>
        <v>32649</v>
      </c>
      <c r="BG451" s="48">
        <f>(BG131-BF131)+(BG132-BF132)+(BG135-BF135)</f>
        <v>-79139</v>
      </c>
      <c r="BH451" s="48">
        <f>(BH131-BG131)+(BH132-BG132)+(BH135-BG135)</f>
        <v>-87544</v>
      </c>
      <c r="BI451" s="104">
        <f>(BI131-BD131)+(BI132-BD132)+(BI135-BD135)</f>
        <v>-127300</v>
      </c>
      <c r="BJ451" s="94">
        <f>(BJ131-BI131)+(BJ132-BI132)+(BJ135-BI135)</f>
        <v>-41538</v>
      </c>
      <c r="BK451" s="48">
        <f>(BK131-BJ131)+(BK132-BJ132)+(BK135-BJ135)</f>
        <v>-24827</v>
      </c>
      <c r="BL451" s="48">
        <f>(BL131-BK131)+(BL132-BK132)+(BL135-BK135)</f>
        <v>-28028</v>
      </c>
      <c r="BM451" s="48">
        <f>(BM131-BL131)+(BM132-BL132)+(BM135-BL135)</f>
        <v>-25552</v>
      </c>
      <c r="BN451" s="104">
        <f>(BN131-BI131)+(BN132-BI132)+(BN135-BI135)</f>
        <v>-119945</v>
      </c>
      <c r="BO451" s="94">
        <f>(BO131-BN131)+(BO132-BN132)+(BO135-BN135)</f>
        <v>3462</v>
      </c>
      <c r="BP451" s="48">
        <f>(BP131-BO131)+(BP132-BO132)+(BP135-BO135)</f>
        <v>5237275</v>
      </c>
      <c r="BQ451" s="48">
        <f>(BQ131-BP131)+(BQ132-BP132)+(BQ135-BP135)</f>
        <v>-42566</v>
      </c>
      <c r="BR451" s="48">
        <f>(BR131-BQ131)+(BR132-BQ132)+(BR135-BQ135)</f>
        <v>175131</v>
      </c>
      <c r="BS451" s="104">
        <f>(BS131-BN131)+(BS132-BN132)+(BS135-BN135)</f>
        <v>5373302</v>
      </c>
      <c r="BT451" s="94">
        <f>(BT131-BS131)+(BT132-BS132)+(BT135-BS135)</f>
        <v>1035000</v>
      </c>
      <c r="BU451" s="48">
        <f>(BU131-BT131)+(BU132-BT132)+(BU135-BT135)</f>
        <v>0</v>
      </c>
      <c r="BV451" s="48">
        <f>(BV131-BU131)+(BV132-BU132)+(BV135-BU135)</f>
        <v>0</v>
      </c>
      <c r="BW451" s="48">
        <f>(BW131-BV131)+(BW132-BV132)+(BW135-BV135)</f>
        <v>0</v>
      </c>
      <c r="BX451" s="104">
        <f>(BX131-BS131)+(BX132-BS132)+(BX135-BS135)</f>
        <v>1035000</v>
      </c>
      <c r="BY451" s="94">
        <f>(BY131-BX131)+(BY132-BX132)+(BY135-BX135)</f>
        <v>0</v>
      </c>
      <c r="BZ451" s="48">
        <f>(BZ131-BY131)+(BZ132-BY132)+(BZ135-BY135)</f>
        <v>0</v>
      </c>
      <c r="CA451" s="48">
        <f>(CA131-BZ131)+(CA132-BZ132)+(CA135-BZ135)</f>
        <v>0</v>
      </c>
      <c r="CB451" s="48">
        <f>(CB131-CA131)+(CB132-CA132)+(CB135-CA135)</f>
        <v>0</v>
      </c>
      <c r="CC451" s="104">
        <f>(CC131-BX131)+(CC132-BX132)+(CC135-BX135)</f>
        <v>0</v>
      </c>
      <c r="CD451" s="94">
        <f>(CD131-CC131)+(CD132-CC132)+(CD135-CC135)</f>
        <v>0</v>
      </c>
      <c r="CE451" s="48">
        <f>(CE131-CD131)+(CE132-CD132)+(CE135-CD135)</f>
        <v>0</v>
      </c>
      <c r="CF451" s="48">
        <f>(CF131-CE131)+(CF132-CE132)+(CF135-CE135)</f>
        <v>0</v>
      </c>
      <c r="CG451" s="48">
        <f>(CG131-CF131)+(CG132-CF132)+(CG135-CF135)</f>
        <v>0</v>
      </c>
      <c r="CH451" s="104">
        <f>(CH131-CC131)+(CH132-CC132)+(CH135-CC135)</f>
        <v>0</v>
      </c>
      <c r="CI451" s="94">
        <f>(CI131-CH131)+(CI132-CH132)+(CI135-CH135)</f>
        <v>0</v>
      </c>
      <c r="CJ451" s="48">
        <f>(CJ131-CI131)+(CJ132-CI132)+(CJ135-CI135)</f>
        <v>0</v>
      </c>
      <c r="CK451" s="48">
        <f>(CK131-CJ131)+(CK132-CJ132)+(CK135-CJ135)</f>
        <v>0</v>
      </c>
      <c r="CL451" s="48">
        <f>(CL131-CK131)+(CL132-CK132)+(CL135-CK135)</f>
        <v>0</v>
      </c>
      <c r="CM451" s="104">
        <f>(CM131-CH131)+(CM132-CH132)+(CM135-CH135)</f>
        <v>0</v>
      </c>
      <c r="CN451" s="94">
        <f>(CN131-CM131)+(CN132-CM132)+(CN135-CM135)</f>
        <v>0</v>
      </c>
      <c r="CO451" s="48">
        <f>(CO131-CN131)+(CO132-CN132)+(CO135-CN135)</f>
        <v>0</v>
      </c>
      <c r="CP451" s="48">
        <f>(CP131-CO131)+(CP132-CO132)+(CP135-CO135)</f>
        <v>0</v>
      </c>
      <c r="CQ451" s="48">
        <f>(CQ131-CP131)+(CQ132-CP132)+(CQ135-CP135)</f>
        <v>0</v>
      </c>
      <c r="CR451" s="104">
        <f>(CR131-CM131)+(CR132-CM132)+(CR135-CM135)</f>
        <v>0</v>
      </c>
      <c r="CS451" s="94">
        <f>(CS131-CR131)+(CS132-CR132)+(CS135-CR135)</f>
        <v>0</v>
      </c>
      <c r="CT451" s="48">
        <f>(CT131-CS131)+(CT132-CS132)+(CT135-CS135)</f>
        <v>0</v>
      </c>
      <c r="CU451" s="48">
        <f>(CU131-CT131)+(CU132-CT132)+(CU135-CT135)</f>
        <v>0</v>
      </c>
      <c r="CV451" s="48">
        <f>(CV131-CU131)+(CV132-CU132)+(CV135-CU135)</f>
        <v>0</v>
      </c>
      <c r="CW451" s="104">
        <f>(CW131-CR131)+(CW132-CR132)+(CW135-CR135)</f>
        <v>0</v>
      </c>
      <c r="CX451" s="94">
        <f>(CX131-CW131)+(CX132-CW132)+(CX135-CW135)</f>
        <v>0</v>
      </c>
      <c r="CY451" s="48">
        <f>(CY131-CX131)+(CY132-CX132)+(CY135-CX135)</f>
        <v>0</v>
      </c>
      <c r="CZ451" s="48">
        <f>(CZ131-CY131)+(CZ132-CY132)+(CZ135-CY135)</f>
        <v>0</v>
      </c>
      <c r="DA451" s="48">
        <f>(DA131-CZ131)+(DA132-CZ132)+(DA135-CZ135)</f>
        <v>0</v>
      </c>
      <c r="DB451" s="104">
        <f>(DB131-CW131)+(DB132-CW132)+(DB135-CW135)</f>
        <v>0</v>
      </c>
      <c r="DC451" s="48"/>
      <c r="DD451" s="48"/>
      <c r="DE451" s="48"/>
      <c r="DF451" s="48"/>
      <c r="DG451" s="48"/>
      <c r="DH451" s="48"/>
      <c r="DI451" s="48"/>
      <c r="DJ451" s="48"/>
      <c r="DK451" s="99"/>
      <c r="DL451" s="99"/>
      <c r="DM451" s="65"/>
    </row>
    <row r="452" spans="1:117" outlineLevel="1">
      <c r="A452" s="59" t="s">
        <v>804</v>
      </c>
      <c r="B452" s="94">
        <f t="shared" ref="B452:AG452" si="766">B57</f>
        <v>105153</v>
      </c>
      <c r="C452" s="48">
        <f t="shared" si="766"/>
        <v>17789</v>
      </c>
      <c r="D452" s="48">
        <f t="shared" si="766"/>
        <v>20839</v>
      </c>
      <c r="E452" s="48">
        <f t="shared" si="766"/>
        <v>98397</v>
      </c>
      <c r="F452" s="104">
        <f t="shared" si="766"/>
        <v>242178</v>
      </c>
      <c r="G452" s="94">
        <f t="shared" si="766"/>
        <v>107664</v>
      </c>
      <c r="H452" s="48">
        <f t="shared" si="766"/>
        <v>24852</v>
      </c>
      <c r="I452" s="48">
        <f t="shared" si="766"/>
        <v>176387</v>
      </c>
      <c r="J452" s="48">
        <f t="shared" si="766"/>
        <v>237642</v>
      </c>
      <c r="K452" s="104">
        <f t="shared" si="766"/>
        <v>546545</v>
      </c>
      <c r="L452" s="94">
        <f t="shared" si="766"/>
        <v>129492</v>
      </c>
      <c r="M452" s="48">
        <f t="shared" si="766"/>
        <v>77795</v>
      </c>
      <c r="N452" s="48">
        <f t="shared" si="766"/>
        <v>24400</v>
      </c>
      <c r="O452" s="48">
        <f t="shared" si="766"/>
        <v>74625</v>
      </c>
      <c r="P452" s="104">
        <f t="shared" si="766"/>
        <v>306312</v>
      </c>
      <c r="Q452" s="94">
        <f t="shared" si="766"/>
        <v>152880</v>
      </c>
      <c r="R452" s="48">
        <f t="shared" si="766"/>
        <v>35203</v>
      </c>
      <c r="S452" s="48">
        <f t="shared" si="766"/>
        <v>13914</v>
      </c>
      <c r="T452" s="48">
        <f t="shared" si="766"/>
        <v>102924</v>
      </c>
      <c r="U452" s="104">
        <f t="shared" si="766"/>
        <v>304921.00000000006</v>
      </c>
      <c r="V452" s="94">
        <f t="shared" si="766"/>
        <v>143837</v>
      </c>
      <c r="W452" s="48">
        <f t="shared" si="766"/>
        <v>41865</v>
      </c>
      <c r="X452" s="48">
        <f t="shared" si="766"/>
        <v>58033</v>
      </c>
      <c r="Y452" s="48">
        <f t="shared" si="766"/>
        <v>68174.000000000015</v>
      </c>
      <c r="Z452" s="104">
        <f t="shared" si="766"/>
        <v>311909</v>
      </c>
      <c r="AA452" s="94">
        <f t="shared" si="766"/>
        <v>122285</v>
      </c>
      <c r="AB452" s="48">
        <f t="shared" si="766"/>
        <v>41679</v>
      </c>
      <c r="AC452" s="48">
        <f t="shared" si="766"/>
        <v>48042</v>
      </c>
      <c r="AD452" s="48">
        <f t="shared" si="766"/>
        <v>93445</v>
      </c>
      <c r="AE452" s="104">
        <f t="shared" si="766"/>
        <v>305451</v>
      </c>
      <c r="AF452" s="94">
        <f t="shared" si="766"/>
        <v>154538.99999999997</v>
      </c>
      <c r="AG452" s="48">
        <f t="shared" si="766"/>
        <v>41724</v>
      </c>
      <c r="AH452" s="48">
        <f t="shared" ref="AH452:BM452" si="767">AH57</f>
        <v>53682.399999999994</v>
      </c>
      <c r="AI452" s="48">
        <f t="shared" si="767"/>
        <v>82668.900000000009</v>
      </c>
      <c r="AJ452" s="104">
        <f t="shared" si="767"/>
        <v>332614.30000000005</v>
      </c>
      <c r="AK452" s="94">
        <f t="shared" si="767"/>
        <v>130130</v>
      </c>
      <c r="AL452" s="48">
        <f t="shared" si="767"/>
        <v>55142</v>
      </c>
      <c r="AM452" s="48">
        <f t="shared" si="767"/>
        <v>60321</v>
      </c>
      <c r="AN452" s="48">
        <f t="shared" si="767"/>
        <v>115001</v>
      </c>
      <c r="AO452" s="104">
        <f t="shared" si="767"/>
        <v>360594</v>
      </c>
      <c r="AP452" s="94">
        <f t="shared" si="767"/>
        <v>122865</v>
      </c>
      <c r="AQ452" s="48">
        <f t="shared" si="767"/>
        <v>60993</v>
      </c>
      <c r="AR452" s="48">
        <f t="shared" si="767"/>
        <v>65219</v>
      </c>
      <c r="AS452" s="48">
        <f t="shared" si="767"/>
        <v>111541.99999999999</v>
      </c>
      <c r="AT452" s="104">
        <f t="shared" si="767"/>
        <v>360619</v>
      </c>
      <c r="AU452" s="94">
        <f t="shared" si="767"/>
        <v>112521</v>
      </c>
      <c r="AV452" s="48">
        <f t="shared" si="767"/>
        <v>919.00000000001455</v>
      </c>
      <c r="AW452" s="48">
        <f t="shared" si="767"/>
        <v>62356</v>
      </c>
      <c r="AX452" s="48">
        <f t="shared" si="767"/>
        <v>90736.999999999956</v>
      </c>
      <c r="AY452" s="104">
        <f t="shared" si="767"/>
        <v>266532.99999999988</v>
      </c>
      <c r="AZ452" s="94">
        <f t="shared" si="767"/>
        <v>93515</v>
      </c>
      <c r="BA452" s="48">
        <f t="shared" si="767"/>
        <v>61590</v>
      </c>
      <c r="BB452" s="48">
        <f t="shared" si="767"/>
        <v>64457.999999999985</v>
      </c>
      <c r="BC452" s="48">
        <f t="shared" si="767"/>
        <v>94544</v>
      </c>
      <c r="BD452" s="104">
        <f t="shared" si="767"/>
        <v>314106.99999999994</v>
      </c>
      <c r="BE452" s="94">
        <f t="shared" si="767"/>
        <v>60805.855685995492</v>
      </c>
      <c r="BF452" s="48">
        <f t="shared" si="767"/>
        <v>76505</v>
      </c>
      <c r="BG452" s="48">
        <f t="shared" si="767"/>
        <v>82157</v>
      </c>
      <c r="BH452" s="48">
        <f t="shared" si="767"/>
        <v>25515</v>
      </c>
      <c r="BI452" s="104">
        <f t="shared" si="767"/>
        <v>244982.85568599548</v>
      </c>
      <c r="BJ452" s="94">
        <f t="shared" si="767"/>
        <v>83446</v>
      </c>
      <c r="BK452" s="48">
        <f t="shared" si="767"/>
        <v>85944</v>
      </c>
      <c r="BL452" s="48">
        <f t="shared" si="767"/>
        <v>92144</v>
      </c>
      <c r="BM452" s="48">
        <f t="shared" si="767"/>
        <v>90505</v>
      </c>
      <c r="BN452" s="104">
        <f t="shared" ref="BN452:CS452" si="768">BN57</f>
        <v>352039</v>
      </c>
      <c r="BO452" s="94">
        <f t="shared" si="768"/>
        <v>87361</v>
      </c>
      <c r="BP452" s="48">
        <f t="shared" si="768"/>
        <v>71476</v>
      </c>
      <c r="BQ452" s="48">
        <f t="shared" si="768"/>
        <v>165466</v>
      </c>
      <c r="BR452" s="48">
        <f t="shared" si="768"/>
        <v>62771</v>
      </c>
      <c r="BS452" s="104">
        <f t="shared" si="768"/>
        <v>387074</v>
      </c>
      <c r="BT452" s="94">
        <f t="shared" si="768"/>
        <v>285936.57838600234</v>
      </c>
      <c r="BU452" s="48">
        <f t="shared" si="768"/>
        <v>248313.9339968047</v>
      </c>
      <c r="BV452" s="48">
        <f t="shared" si="768"/>
        <v>255478.68456303695</v>
      </c>
      <c r="BW452" s="48">
        <f t="shared" si="768"/>
        <v>249934.8743053028</v>
      </c>
      <c r="BX452" s="104">
        <f t="shared" si="768"/>
        <v>1039664.0712511481</v>
      </c>
      <c r="BY452" s="94">
        <f t="shared" si="768"/>
        <v>292403.48463770573</v>
      </c>
      <c r="BZ452" s="48">
        <f t="shared" si="768"/>
        <v>275765.96753641218</v>
      </c>
      <c r="CA452" s="48">
        <f t="shared" si="768"/>
        <v>279345.75341228978</v>
      </c>
      <c r="CB452" s="48">
        <f t="shared" si="768"/>
        <v>273249.10654840199</v>
      </c>
      <c r="CC452" s="104">
        <f t="shared" si="768"/>
        <v>1120764.3121348103</v>
      </c>
      <c r="CD452" s="94">
        <f t="shared" si="768"/>
        <v>292366.78482020559</v>
      </c>
      <c r="CE452" s="48">
        <f t="shared" si="768"/>
        <v>284570.33922731783</v>
      </c>
      <c r="CF452" s="48">
        <f t="shared" si="768"/>
        <v>296855.59130853985</v>
      </c>
      <c r="CG452" s="48">
        <f t="shared" si="768"/>
        <v>320206.80815364455</v>
      </c>
      <c r="CH452" s="104">
        <f t="shared" si="768"/>
        <v>1193999.5235097089</v>
      </c>
      <c r="CI452" s="94">
        <f t="shared" si="768"/>
        <v>310937.50238030578</v>
      </c>
      <c r="CJ452" s="48">
        <f t="shared" si="768"/>
        <v>311832.37583874224</v>
      </c>
      <c r="CK452" s="48">
        <f t="shared" si="768"/>
        <v>319242.94257601409</v>
      </c>
      <c r="CL452" s="48">
        <f t="shared" si="768"/>
        <v>356273.38522867608</v>
      </c>
      <c r="CM452" s="104">
        <f t="shared" si="768"/>
        <v>1298286.2060237366</v>
      </c>
      <c r="CN452" s="94">
        <f t="shared" si="768"/>
        <v>321306.62061370112</v>
      </c>
      <c r="CO452" s="48">
        <f t="shared" si="768"/>
        <v>325112.54473466007</v>
      </c>
      <c r="CP452" s="48">
        <f t="shared" si="768"/>
        <v>331771.99546180753</v>
      </c>
      <c r="CQ452" s="48">
        <f t="shared" si="768"/>
        <v>382345.05325040687</v>
      </c>
      <c r="CR452" s="104">
        <f t="shared" si="768"/>
        <v>1360536.2140605764</v>
      </c>
      <c r="CS452" s="94">
        <f t="shared" si="768"/>
        <v>330810.3057426351</v>
      </c>
      <c r="CT452" s="48">
        <f t="shared" ref="CT452:DB452" si="769">CT57</f>
        <v>334748.62513157725</v>
      </c>
      <c r="CU452" s="48">
        <f t="shared" si="769"/>
        <v>341599.57583081274</v>
      </c>
      <c r="CV452" s="48">
        <f t="shared" si="769"/>
        <v>406626.65327452193</v>
      </c>
      <c r="CW452" s="104">
        <f t="shared" si="769"/>
        <v>1413785.1599795474</v>
      </c>
      <c r="CX452" s="94">
        <f t="shared" si="769"/>
        <v>346889.62883656833</v>
      </c>
      <c r="CY452" s="48">
        <f t="shared" si="769"/>
        <v>351076.7771276905</v>
      </c>
      <c r="CZ452" s="48">
        <f t="shared" si="769"/>
        <v>358175.17465246056</v>
      </c>
      <c r="DA452" s="48">
        <f t="shared" si="769"/>
        <v>429301.41023968498</v>
      </c>
      <c r="DB452" s="104">
        <f t="shared" si="769"/>
        <v>1485442.990856406</v>
      </c>
      <c r="DC452" s="48"/>
      <c r="DD452" s="48"/>
      <c r="DE452" s="48"/>
      <c r="DF452" s="48"/>
      <c r="DG452" s="48"/>
      <c r="DH452" s="48"/>
      <c r="DI452" s="48"/>
      <c r="DJ452" s="48"/>
      <c r="DK452" s="99"/>
      <c r="DL452" s="99"/>
      <c r="DM452" s="65"/>
    </row>
    <row r="453" spans="1:117" outlineLevel="1">
      <c r="A453" s="59" t="s">
        <v>174</v>
      </c>
      <c r="B453" s="94">
        <f t="shared" ref="B453:AG453" si="770">B211</f>
        <v>-18109</v>
      </c>
      <c r="C453" s="48">
        <f t="shared" si="770"/>
        <v>-21648</v>
      </c>
      <c r="D453" s="48">
        <f t="shared" si="770"/>
        <v>-23617</v>
      </c>
      <c r="E453" s="48">
        <f t="shared" si="770"/>
        <v>-25855</v>
      </c>
      <c r="F453" s="104">
        <f t="shared" si="770"/>
        <v>-89229</v>
      </c>
      <c r="G453" s="94">
        <f t="shared" si="770"/>
        <v>-26021</v>
      </c>
      <c r="H453" s="48">
        <f t="shared" si="770"/>
        <v>-28555</v>
      </c>
      <c r="I453" s="48">
        <f t="shared" si="770"/>
        <v>-28258</v>
      </c>
      <c r="J453" s="48">
        <f t="shared" si="770"/>
        <v>-27323</v>
      </c>
      <c r="K453" s="104">
        <f t="shared" si="770"/>
        <v>-110157</v>
      </c>
      <c r="L453" s="94">
        <f t="shared" si="770"/>
        <v>-27344</v>
      </c>
      <c r="M453" s="48">
        <f t="shared" si="770"/>
        <v>-35220</v>
      </c>
      <c r="N453" s="48">
        <f t="shared" si="770"/>
        <v>-37617</v>
      </c>
      <c r="O453" s="48">
        <f t="shared" si="770"/>
        <v>-35270</v>
      </c>
      <c r="P453" s="104">
        <f t="shared" si="770"/>
        <v>-135451</v>
      </c>
      <c r="Q453" s="94">
        <f t="shared" si="770"/>
        <v>-37691</v>
      </c>
      <c r="R453" s="48">
        <f t="shared" si="770"/>
        <v>-37753</v>
      </c>
      <c r="S453" s="48">
        <f t="shared" si="770"/>
        <v>-37398</v>
      </c>
      <c r="T453" s="48">
        <f t="shared" si="770"/>
        <v>-37346</v>
      </c>
      <c r="U453" s="104">
        <f t="shared" si="770"/>
        <v>-150188</v>
      </c>
      <c r="V453" s="94">
        <f t="shared" si="770"/>
        <v>-39536</v>
      </c>
      <c r="W453" s="48">
        <f t="shared" si="770"/>
        <v>-39676</v>
      </c>
      <c r="X453" s="48">
        <f t="shared" si="770"/>
        <v>-41774</v>
      </c>
      <c r="Y453" s="48">
        <f t="shared" si="770"/>
        <v>-41799</v>
      </c>
      <c r="Z453" s="104">
        <f t="shared" si="770"/>
        <v>-162785</v>
      </c>
      <c r="AA453" s="94">
        <f t="shared" si="770"/>
        <v>-42080</v>
      </c>
      <c r="AB453" s="48">
        <f t="shared" si="770"/>
        <v>-42122</v>
      </c>
      <c r="AC453" s="48">
        <f t="shared" si="770"/>
        <v>-44265</v>
      </c>
      <c r="AD453" s="48">
        <f t="shared" si="770"/>
        <v>-44307</v>
      </c>
      <c r="AE453" s="104">
        <f t="shared" si="770"/>
        <v>-172774</v>
      </c>
      <c r="AF453" s="94">
        <f t="shared" si="770"/>
        <v>-46701</v>
      </c>
      <c r="AG453" s="48">
        <f t="shared" si="770"/>
        <v>-46771</v>
      </c>
      <c r="AH453" s="48">
        <f t="shared" ref="AH453:BM453" si="771">AH211</f>
        <v>-48954</v>
      </c>
      <c r="AI453" s="48">
        <f t="shared" si="771"/>
        <v>-51116</v>
      </c>
      <c r="AJ453" s="104">
        <f t="shared" si="771"/>
        <v>-193542</v>
      </c>
      <c r="AK453" s="94">
        <f t="shared" si="771"/>
        <v>-55651</v>
      </c>
      <c r="AL453" s="48">
        <f t="shared" si="771"/>
        <v>-55705</v>
      </c>
      <c r="AM453" s="48">
        <f t="shared" si="771"/>
        <v>-57981</v>
      </c>
      <c r="AN453" s="48">
        <f t="shared" si="771"/>
        <v>-57683</v>
      </c>
      <c r="AO453" s="104">
        <f t="shared" si="771"/>
        <v>-227020</v>
      </c>
      <c r="AP453" s="94">
        <f t="shared" si="771"/>
        <v>-63375</v>
      </c>
      <c r="AQ453" s="48">
        <f t="shared" si="771"/>
        <v>-63397</v>
      </c>
      <c r="AR453" s="48">
        <f t="shared" si="771"/>
        <v>-67671</v>
      </c>
      <c r="AS453" s="48">
        <f t="shared" si="771"/>
        <v>-67526</v>
      </c>
      <c r="AT453" s="104">
        <f t="shared" si="771"/>
        <v>-261969</v>
      </c>
      <c r="AU453" s="94">
        <f t="shared" si="771"/>
        <v>-73781</v>
      </c>
      <c r="AV453" s="48">
        <f t="shared" si="771"/>
        <v>-74201</v>
      </c>
      <c r="AW453" s="48">
        <f t="shared" si="771"/>
        <v>-78367</v>
      </c>
      <c r="AX453" s="48">
        <f t="shared" si="771"/>
        <v>-78393</v>
      </c>
      <c r="AY453" s="104">
        <f t="shared" si="771"/>
        <v>-304742</v>
      </c>
      <c r="AZ453" s="94">
        <f t="shared" si="771"/>
        <v>-83275</v>
      </c>
      <c r="BA453" s="48">
        <f t="shared" si="771"/>
        <v>-116409</v>
      </c>
      <c r="BB453" s="48">
        <f t="shared" si="771"/>
        <v>-121367</v>
      </c>
      <c r="BC453" s="48">
        <f t="shared" si="771"/>
        <v>-122766</v>
      </c>
      <c r="BD453" s="104">
        <f t="shared" si="771"/>
        <v>-443817</v>
      </c>
      <c r="BE453" s="94">
        <f t="shared" si="771"/>
        <v>-126053</v>
      </c>
      <c r="BF453" s="48">
        <f t="shared" si="771"/>
        <v>-126363</v>
      </c>
      <c r="BG453" s="48">
        <f t="shared" si="771"/>
        <v>-128082</v>
      </c>
      <c r="BH453" s="48">
        <f t="shared" si="771"/>
        <v>-128699</v>
      </c>
      <c r="BI453" s="104">
        <f t="shared" si="771"/>
        <v>-509197</v>
      </c>
      <c r="BJ453" s="94">
        <f t="shared" si="771"/>
        <v>-129235</v>
      </c>
      <c r="BK453" s="48">
        <f t="shared" si="771"/>
        <v>-129273</v>
      </c>
      <c r="BL453" s="48">
        <f t="shared" si="771"/>
        <v>-129595</v>
      </c>
      <c r="BM453" s="48">
        <f t="shared" si="771"/>
        <v>-129498</v>
      </c>
      <c r="BN453" s="104">
        <f t="shared" ref="BN453:CS453" si="772">BN211</f>
        <v>-517601</v>
      </c>
      <c r="BO453" s="94">
        <f t="shared" si="772"/>
        <v>-129842</v>
      </c>
      <c r="BP453" s="48">
        <f t="shared" si="772"/>
        <v>-129916</v>
      </c>
      <c r="BQ453" s="48">
        <f t="shared" si="772"/>
        <v>-283687</v>
      </c>
      <c r="BR453" s="48">
        <f t="shared" si="772"/>
        <v>-285969</v>
      </c>
      <c r="BS453" s="104">
        <f t="shared" si="772"/>
        <v>-829414</v>
      </c>
      <c r="BT453" s="94">
        <f t="shared" si="772"/>
        <v>-301416.57</v>
      </c>
      <c r="BU453" s="48">
        <f t="shared" si="772"/>
        <v>-301416.57</v>
      </c>
      <c r="BV453" s="48">
        <f t="shared" si="772"/>
        <v>-328726.125</v>
      </c>
      <c r="BW453" s="48">
        <f t="shared" si="772"/>
        <v>-328726.125</v>
      </c>
      <c r="BX453" s="104">
        <f t="shared" si="772"/>
        <v>-1260285.3900000001</v>
      </c>
      <c r="BY453" s="94">
        <f t="shared" si="772"/>
        <v>-328726.125</v>
      </c>
      <c r="BZ453" s="48">
        <f t="shared" si="772"/>
        <v>-328726.125</v>
      </c>
      <c r="CA453" s="48">
        <f t="shared" si="772"/>
        <v>-358058.61</v>
      </c>
      <c r="CB453" s="48">
        <f t="shared" si="772"/>
        <v>-358058.61</v>
      </c>
      <c r="CC453" s="104">
        <f t="shared" si="772"/>
        <v>-1373569.47</v>
      </c>
      <c r="CD453" s="94">
        <f t="shared" si="772"/>
        <v>-358058.61</v>
      </c>
      <c r="CE453" s="48">
        <f t="shared" si="772"/>
        <v>-358058.61</v>
      </c>
      <c r="CF453" s="48">
        <f t="shared" si="772"/>
        <v>-390425.49</v>
      </c>
      <c r="CG453" s="48">
        <f t="shared" si="772"/>
        <v>-390425.49</v>
      </c>
      <c r="CH453" s="104">
        <f t="shared" si="772"/>
        <v>-1496968.2</v>
      </c>
      <c r="CI453" s="94">
        <f t="shared" si="772"/>
        <v>-390425.49</v>
      </c>
      <c r="CJ453" s="48">
        <f t="shared" si="772"/>
        <v>-390425.49</v>
      </c>
      <c r="CK453" s="48">
        <f t="shared" si="772"/>
        <v>-420769.44</v>
      </c>
      <c r="CL453" s="48">
        <f t="shared" si="772"/>
        <v>-420769.44</v>
      </c>
      <c r="CM453" s="104">
        <f t="shared" si="772"/>
        <v>-1622389.8599999999</v>
      </c>
      <c r="CN453" s="94">
        <f t="shared" si="772"/>
        <v>-424258.99425000005</v>
      </c>
      <c r="CO453" s="48">
        <f t="shared" si="772"/>
        <v>-424258.99425000005</v>
      </c>
      <c r="CP453" s="48">
        <f t="shared" si="772"/>
        <v>-450557.08425000001</v>
      </c>
      <c r="CQ453" s="48">
        <f t="shared" si="772"/>
        <v>-450557.08425000001</v>
      </c>
      <c r="CR453" s="104">
        <f t="shared" si="772"/>
        <v>-1749632.1570000001</v>
      </c>
      <c r="CS453" s="94">
        <f t="shared" si="772"/>
        <v>-450557.08425000001</v>
      </c>
      <c r="CT453" s="48">
        <f t="shared" ref="CT453:DB453" si="773">CT211</f>
        <v>-450557.08425000001</v>
      </c>
      <c r="CU453" s="48">
        <f t="shared" si="773"/>
        <v>-476855.17425000004</v>
      </c>
      <c r="CV453" s="48">
        <f t="shared" si="773"/>
        <v>-476855.17425000004</v>
      </c>
      <c r="CW453" s="104">
        <f t="shared" si="773"/>
        <v>-1854824.517</v>
      </c>
      <c r="CX453" s="94">
        <f t="shared" si="773"/>
        <v>-476855.17425000004</v>
      </c>
      <c r="CY453" s="48">
        <f t="shared" si="773"/>
        <v>-476855.17425000004</v>
      </c>
      <c r="CZ453" s="48">
        <f t="shared" si="773"/>
        <v>-503153.26425000001</v>
      </c>
      <c r="DA453" s="48">
        <f t="shared" si="773"/>
        <v>-503153.26425000001</v>
      </c>
      <c r="DB453" s="104">
        <f t="shared" si="773"/>
        <v>-1960016.8770000001</v>
      </c>
      <c r="DC453" s="48"/>
      <c r="DD453" s="48"/>
      <c r="DE453" s="48"/>
      <c r="DF453" s="48"/>
      <c r="DG453" s="48"/>
      <c r="DH453" s="48"/>
      <c r="DI453" s="48"/>
      <c r="DJ453" s="48"/>
      <c r="DK453" s="99"/>
      <c r="DL453" s="99"/>
      <c r="DM453" s="65"/>
    </row>
    <row r="454" spans="1:117" outlineLevel="1">
      <c r="A454" s="59" t="s">
        <v>702</v>
      </c>
      <c r="B454" s="94">
        <f>619-68-6692</f>
        <v>-6141</v>
      </c>
      <c r="C454" s="48">
        <f>C133-B133</f>
        <v>-9903</v>
      </c>
      <c r="D454" s="48">
        <f>D133-C133</f>
        <v>-61098</v>
      </c>
      <c r="E454" s="48">
        <f>E133-D133</f>
        <v>87186</v>
      </c>
      <c r="F454" s="104">
        <f>44+2285-320+8035</f>
        <v>10044</v>
      </c>
      <c r="G454" s="94">
        <f>G133-F133</f>
        <v>-57081</v>
      </c>
      <c r="H454" s="48">
        <f>H133-G133</f>
        <v>-711</v>
      </c>
      <c r="I454" s="48">
        <f>I133-H133</f>
        <v>-197852</v>
      </c>
      <c r="J454" s="48">
        <f>J133-I133</f>
        <v>209552</v>
      </c>
      <c r="K454" s="104">
        <f>K133-F133</f>
        <v>-46092</v>
      </c>
      <c r="L454" s="94">
        <f>L133-K133</f>
        <v>56591</v>
      </c>
      <c r="M454" s="48">
        <f>M133-L133</f>
        <v>-43196</v>
      </c>
      <c r="N454" s="48">
        <f>N133-M133</f>
        <v>76952</v>
      </c>
      <c r="O454" s="48">
        <f>O133-N133</f>
        <v>6281</v>
      </c>
      <c r="P454" s="104">
        <f>P133-K133</f>
        <v>96628</v>
      </c>
      <c r="Q454" s="94">
        <f>Q133-P133</f>
        <v>-104905</v>
      </c>
      <c r="R454" s="48">
        <f>R133-Q133</f>
        <v>7664</v>
      </c>
      <c r="S454" s="48">
        <f>S133-R133</f>
        <v>29985</v>
      </c>
      <c r="T454" s="48">
        <f>T133-S133</f>
        <v>20655</v>
      </c>
      <c r="U454" s="104">
        <f>U133-P133</f>
        <v>-46601</v>
      </c>
      <c r="V454" s="94">
        <f>V133-U133</f>
        <v>-68108</v>
      </c>
      <c r="W454" s="48">
        <f>W133-V133</f>
        <v>-38219</v>
      </c>
      <c r="X454" s="48">
        <f>X133-W133</f>
        <v>44633</v>
      </c>
      <c r="Y454" s="48">
        <f>Y133-X133</f>
        <v>-1853</v>
      </c>
      <c r="Z454" s="104">
        <f>Z133-U133</f>
        <v>-63547</v>
      </c>
      <c r="AA454" s="94">
        <f>AA133-Z133</f>
        <v>14464</v>
      </c>
      <c r="AB454" s="48">
        <f>AB133-AA133</f>
        <v>-26808</v>
      </c>
      <c r="AC454" s="48">
        <f>AC133-AB133</f>
        <v>-35580</v>
      </c>
      <c r="AD454" s="48">
        <f>AD133-AC133</f>
        <v>-73</v>
      </c>
      <c r="AE454" s="104">
        <f>AE133-Z133</f>
        <v>-47997</v>
      </c>
      <c r="AF454" s="94">
        <f>AF133-AE133</f>
        <v>13049</v>
      </c>
      <c r="AG454" s="48">
        <f>AG133-AF133</f>
        <v>2078</v>
      </c>
      <c r="AH454" s="48">
        <f>AH133-AG133</f>
        <v>13218</v>
      </c>
      <c r="AI454" s="48">
        <f>AI133-AH133</f>
        <v>-18534</v>
      </c>
      <c r="AJ454" s="104">
        <f>AJ133-AE133</f>
        <v>9811</v>
      </c>
      <c r="AK454" s="94">
        <f>AK133-AJ133</f>
        <v>-26335</v>
      </c>
      <c r="AL454" s="48">
        <f>AL133-AK133</f>
        <v>3871</v>
      </c>
      <c r="AM454" s="48">
        <f>AM133-AL133</f>
        <v>-43307</v>
      </c>
      <c r="AN454" s="48">
        <f>AN133-AM133</f>
        <v>-31548</v>
      </c>
      <c r="AO454" s="104">
        <f>AO133-AJ133</f>
        <v>-97319</v>
      </c>
      <c r="AP454" s="94">
        <f>AP133-AO133</f>
        <v>27276</v>
      </c>
      <c r="AQ454" s="48">
        <f>AQ133-AP133</f>
        <v>-26795</v>
      </c>
      <c r="AR454" s="48">
        <f>AR133-AQ133</f>
        <v>-34836</v>
      </c>
      <c r="AS454" s="48">
        <f>AS133-AR133</f>
        <v>23678</v>
      </c>
      <c r="AT454" s="104">
        <f>AT133-AO133</f>
        <v>-10677</v>
      </c>
      <c r="AU454" s="94">
        <f>AU133-AT133</f>
        <v>-6355</v>
      </c>
      <c r="AV454" s="48">
        <f>AV133-AU133</f>
        <v>11183</v>
      </c>
      <c r="AW454" s="48">
        <f>AW133-AV133</f>
        <v>-7522</v>
      </c>
      <c r="AX454" s="48">
        <f>AX133-AW133</f>
        <v>97505</v>
      </c>
      <c r="AY454" s="104">
        <f>AY133-AT133</f>
        <v>94811</v>
      </c>
      <c r="AZ454" s="94">
        <f>AZ133-AY133</f>
        <v>12074</v>
      </c>
      <c r="BA454" s="48">
        <f>BA133-AZ133</f>
        <v>-3214</v>
      </c>
      <c r="BB454" s="48">
        <f>BB133-BA133</f>
        <v>5471</v>
      </c>
      <c r="BC454" s="48">
        <f>BC133-BB133</f>
        <v>-28697</v>
      </c>
      <c r="BD454" s="104">
        <f>BD133-AY133</f>
        <v>-14366</v>
      </c>
      <c r="BE454" s="94">
        <f>BE133-BD133</f>
        <v>-3539</v>
      </c>
      <c r="BF454" s="48">
        <f>BF133-BE133</f>
        <v>4558</v>
      </c>
      <c r="BG454" s="48">
        <f>BG133-BF133</f>
        <v>-778</v>
      </c>
      <c r="BH454" s="48">
        <f>BH133-BG133</f>
        <v>8870</v>
      </c>
      <c r="BI454" s="104">
        <f>BI133-BD133</f>
        <v>9111</v>
      </c>
      <c r="BJ454" s="94">
        <f>BJ133-BI133</f>
        <v>-7372</v>
      </c>
      <c r="BK454" s="48">
        <f>BK133-BJ133</f>
        <v>-24632</v>
      </c>
      <c r="BL454" s="48">
        <f>BL133-BK133</f>
        <v>4895</v>
      </c>
      <c r="BM454" s="48">
        <f>BM133-BL133</f>
        <v>1</v>
      </c>
      <c r="BN454" s="104">
        <f>BN133-BI133</f>
        <v>-27108</v>
      </c>
      <c r="BO454" s="94">
        <f>BO133-BN133</f>
        <v>15288</v>
      </c>
      <c r="BP454" s="48">
        <f>BP133-BO133</f>
        <v>-37023</v>
      </c>
      <c r="BQ454" s="48">
        <f>BQ133-BP133</f>
        <v>-5686</v>
      </c>
      <c r="BR454" s="48">
        <f>BR133-BQ133</f>
        <v>-6759</v>
      </c>
      <c r="BS454" s="104">
        <f>BS133-BN133</f>
        <v>-34180</v>
      </c>
      <c r="BT454" s="94">
        <f>BT133-BS133</f>
        <v>0</v>
      </c>
      <c r="BU454" s="48">
        <f>BU133-BT133</f>
        <v>0</v>
      </c>
      <c r="BV454" s="48">
        <f>BV133-BU133</f>
        <v>0</v>
      </c>
      <c r="BW454" s="48">
        <f>BW133-BV133</f>
        <v>0</v>
      </c>
      <c r="BX454" s="104">
        <f>BX133-BS133</f>
        <v>0</v>
      </c>
      <c r="BY454" s="94">
        <f>BY133-BX133</f>
        <v>0</v>
      </c>
      <c r="BZ454" s="48">
        <f>BZ133-BY133</f>
        <v>0</v>
      </c>
      <c r="CA454" s="48">
        <f>CA133-BZ133</f>
        <v>0</v>
      </c>
      <c r="CB454" s="48">
        <f>CB133-CA133</f>
        <v>0</v>
      </c>
      <c r="CC454" s="104">
        <f>CC133-BX133</f>
        <v>0</v>
      </c>
      <c r="CD454" s="94">
        <f>CD133-CC133</f>
        <v>0</v>
      </c>
      <c r="CE454" s="48">
        <f>CE133-CD133</f>
        <v>0</v>
      </c>
      <c r="CF454" s="48">
        <f>CF133-CE133</f>
        <v>0</v>
      </c>
      <c r="CG454" s="48">
        <f>CG133-CF133</f>
        <v>0</v>
      </c>
      <c r="CH454" s="104">
        <f>CH133-CC133</f>
        <v>0</v>
      </c>
      <c r="CI454" s="94">
        <f>CI133-CH133</f>
        <v>0</v>
      </c>
      <c r="CJ454" s="48">
        <f>CJ133-CI133</f>
        <v>0</v>
      </c>
      <c r="CK454" s="48">
        <f>CK133-CJ133</f>
        <v>0</v>
      </c>
      <c r="CL454" s="48">
        <f>CL133-CK133</f>
        <v>0</v>
      </c>
      <c r="CM454" s="104">
        <f>CM133-CH133</f>
        <v>0</v>
      </c>
      <c r="CN454" s="94">
        <f>CN133-CM133</f>
        <v>0</v>
      </c>
      <c r="CO454" s="48">
        <f>CO133-CN133</f>
        <v>0</v>
      </c>
      <c r="CP454" s="48">
        <f>CP133-CO133</f>
        <v>0</v>
      </c>
      <c r="CQ454" s="48">
        <f>CQ133-CP133</f>
        <v>0</v>
      </c>
      <c r="CR454" s="104">
        <f>CR133-CM133</f>
        <v>0</v>
      </c>
      <c r="CS454" s="94">
        <f>CS133-CR133</f>
        <v>0</v>
      </c>
      <c r="CT454" s="48">
        <f>CT133-CS133</f>
        <v>0</v>
      </c>
      <c r="CU454" s="48">
        <f>CU133-CT133</f>
        <v>0</v>
      </c>
      <c r="CV454" s="48">
        <f>CV133-CU133</f>
        <v>0</v>
      </c>
      <c r="CW454" s="104">
        <f>CW133-CR133</f>
        <v>0</v>
      </c>
      <c r="CX454" s="94">
        <f>CX133-CW133</f>
        <v>0</v>
      </c>
      <c r="CY454" s="48">
        <f>CY133-CX133</f>
        <v>0</v>
      </c>
      <c r="CZ454" s="48">
        <f>CZ133-CY133</f>
        <v>0</v>
      </c>
      <c r="DA454" s="48">
        <f>DA133-CZ133</f>
        <v>0</v>
      </c>
      <c r="DB454" s="104">
        <f>DB133-CW133</f>
        <v>0</v>
      </c>
      <c r="DC454" s="48"/>
      <c r="DD454" s="48"/>
      <c r="DE454" s="48"/>
      <c r="DF454" s="48"/>
      <c r="DG454" s="48"/>
      <c r="DH454" s="48"/>
      <c r="DI454" s="48"/>
      <c r="DJ454" s="48"/>
      <c r="DK454" s="99"/>
      <c r="DL454" s="99"/>
      <c r="DM454" s="65"/>
    </row>
    <row r="455" spans="1:117" outlineLevel="1">
      <c r="A455" s="59" t="s">
        <v>397</v>
      </c>
      <c r="B455" s="94">
        <f>583083-495971-B452-B453</f>
        <v>68</v>
      </c>
      <c r="C455" s="48">
        <f>C134-B134-C452-C453</f>
        <v>-23441</v>
      </c>
      <c r="D455" s="48">
        <f>D134-C134-D452-D453</f>
        <v>-2147</v>
      </c>
      <c r="E455" s="48">
        <f>E134-D134-E452-E453</f>
        <v>25840</v>
      </c>
      <c r="F455" s="104">
        <f>649240-495971-F452-F453</f>
        <v>320</v>
      </c>
      <c r="G455" s="94">
        <f>G134-F134-G452-G453</f>
        <v>50</v>
      </c>
      <c r="H455" s="48">
        <f>H134-G134-H452-H453</f>
        <v>-28120</v>
      </c>
      <c r="I455" s="48">
        <f>I134-H134-I452-I453</f>
        <v>8790</v>
      </c>
      <c r="J455" s="48">
        <f>J134-I134-J452-J453</f>
        <v>19497</v>
      </c>
      <c r="K455" s="104">
        <f>K134-F134-K452-K453</f>
        <v>217</v>
      </c>
      <c r="L455" s="94">
        <f>L134-K134-L452-L453</f>
        <v>53</v>
      </c>
      <c r="M455" s="48">
        <f>M134-L134-M452-M453</f>
        <v>0</v>
      </c>
      <c r="N455" s="48">
        <f>N134-M134-N452-N453</f>
        <v>0</v>
      </c>
      <c r="O455" s="48">
        <f>O134-N134-O452-O453</f>
        <v>0</v>
      </c>
      <c r="P455" s="104">
        <f>P134-K134-P452-P453</f>
        <v>53</v>
      </c>
      <c r="Q455" s="94">
        <f>Q134-P134-Q452-Q453</f>
        <v>0</v>
      </c>
      <c r="R455" s="48">
        <f>R134-Q134-R452-R453</f>
        <v>0</v>
      </c>
      <c r="S455" s="48">
        <f>S134-R134-S452-S453</f>
        <v>0</v>
      </c>
      <c r="T455" s="48">
        <f>T134-S134-T452-T453</f>
        <v>0</v>
      </c>
      <c r="U455" s="104">
        <f>U134-P134-U452-U453</f>
        <v>0</v>
      </c>
      <c r="V455" s="94">
        <f>V134-U134-V452-V453</f>
        <v>0</v>
      </c>
      <c r="W455" s="48">
        <f>W134-V134-W452-W453</f>
        <v>0</v>
      </c>
      <c r="X455" s="48">
        <f>X134-W134-X452-X453</f>
        <v>0</v>
      </c>
      <c r="Y455" s="48">
        <f>Y134-X134-Y452-Y453</f>
        <v>-7583.0000000000146</v>
      </c>
      <c r="Z455" s="104">
        <f>Z134-U134-Z452-Z453</f>
        <v>-7583</v>
      </c>
      <c r="AA455" s="94">
        <f>AA134-Z134-AA452-AA453</f>
        <v>0</v>
      </c>
      <c r="AB455" s="48">
        <f>AB134-AA134-AB452-AB453</f>
        <v>0</v>
      </c>
      <c r="AC455" s="48">
        <f>AC134-AB134-AC452-AC453</f>
        <v>0</v>
      </c>
      <c r="AD455" s="48">
        <f>AD134-AC134-AD452-AD453</f>
        <v>0</v>
      </c>
      <c r="AE455" s="104">
        <f>AE134-Z134-AE452-AE453</f>
        <v>0</v>
      </c>
      <c r="AF455" s="94">
        <f>AF134-AE134-AF452-AF453</f>
        <v>0</v>
      </c>
      <c r="AG455" s="48">
        <f>AG134-AF134-AG452-AG453</f>
        <v>0</v>
      </c>
      <c r="AH455" s="48">
        <f>AH134-AG134-AH452-AH453</f>
        <v>1612.6000000000058</v>
      </c>
      <c r="AI455" s="48">
        <f>AI134-AH134-AI452-AI453</f>
        <v>405.09999999999127</v>
      </c>
      <c r="AJ455" s="104">
        <f>AJ134-AE134-AJ452-AJ453</f>
        <v>2017.6999999999534</v>
      </c>
      <c r="AK455" s="94">
        <f>AK134-AJ134-AK452-AK453</f>
        <v>0</v>
      </c>
      <c r="AL455" s="48">
        <f>AL134-AK134-AL452-AL453</f>
        <v>0</v>
      </c>
      <c r="AM455" s="48">
        <f>AM134-AL134-AM452-AM453</f>
        <v>0</v>
      </c>
      <c r="AN455" s="48">
        <f>AN134-AM134-AN452-AN453</f>
        <v>0</v>
      </c>
      <c r="AO455" s="104">
        <f>AO134-AJ134-AO452-AO453</f>
        <v>0</v>
      </c>
      <c r="AP455" s="94">
        <f>AP134-AO134-AP452-AP453</f>
        <v>0</v>
      </c>
      <c r="AQ455" s="48">
        <f>AQ134-AP134-AQ452-AQ453</f>
        <v>0</v>
      </c>
      <c r="AR455" s="48">
        <f>AR134-AQ134-AR452-AR453</f>
        <v>0</v>
      </c>
      <c r="AS455" s="48">
        <f>AS134-AR134-AS452-AS453</f>
        <v>0</v>
      </c>
      <c r="AT455" s="104">
        <f>AT134-AO134-AT452-AT453</f>
        <v>0</v>
      </c>
      <c r="AU455" s="94">
        <f>AU134-AT134-AU452-AU453</f>
        <v>0</v>
      </c>
      <c r="AV455" s="48">
        <f>AV134-AU134-AV452-AV453</f>
        <v>0</v>
      </c>
      <c r="AW455" s="48">
        <f>AW134-AV134-AW452-AW453</f>
        <v>0</v>
      </c>
      <c r="AX455" s="48">
        <f>AX134-AW134-AX452-AX453</f>
        <v>0</v>
      </c>
      <c r="AY455" s="104">
        <f>AY134-AT134-AY452-AY453</f>
        <v>0</v>
      </c>
      <c r="AZ455" s="94">
        <f>AZ134-AY134-AZ452-AZ453</f>
        <v>-1750813</v>
      </c>
      <c r="BA455" s="48">
        <f>BA134-AZ134-BA452-BA453</f>
        <v>0</v>
      </c>
      <c r="BB455" s="48">
        <f>BB134-BA134-BB452-BB453</f>
        <v>1735.0000000000146</v>
      </c>
      <c r="BC455" s="48">
        <f>BC134-BB134-BC452-BC453</f>
        <v>-3899</v>
      </c>
      <c r="BD455" s="104">
        <f>BD134-AY134-BD452-BD453</f>
        <v>-1752977</v>
      </c>
      <c r="BE455" s="94">
        <f>BE134-BD134-BE452-BE453</f>
        <v>95.144314004515763</v>
      </c>
      <c r="BF455" s="48">
        <f>BF134-BE134-BF452-BF453</f>
        <v>1</v>
      </c>
      <c r="BG455" s="48">
        <f>BG134-BF134-BG452-BG453</f>
        <v>22806</v>
      </c>
      <c r="BH455" s="48">
        <f>BH134-BG134-BH452-BH453</f>
        <v>103184</v>
      </c>
      <c r="BI455" s="104">
        <f>BI134-BD134-BI452-BI453</f>
        <v>126086.14431400452</v>
      </c>
      <c r="BJ455" s="94">
        <f>BJ134-BI134-BJ452-BJ453</f>
        <v>45789</v>
      </c>
      <c r="BK455" s="48">
        <f>BK134-BJ134-BK452-BK453</f>
        <v>43329</v>
      </c>
      <c r="BL455" s="48">
        <f>BL134-BK134-BL452-BL453</f>
        <v>37451</v>
      </c>
      <c r="BM455" s="48">
        <f>BM134-BL134-BM452-BM453</f>
        <v>38993</v>
      </c>
      <c r="BN455" s="104">
        <f>BN134-BI134-BN452-BN453</f>
        <v>165562</v>
      </c>
      <c r="BO455" s="94">
        <f>BO134-BN134-BO452-BO453</f>
        <v>73368</v>
      </c>
      <c r="BP455" s="48">
        <f>BP134-BO134-BP452-BP453</f>
        <v>27553</v>
      </c>
      <c r="BQ455" s="48">
        <f>BQ134-BP134-BQ452-BQ453</f>
        <v>118221</v>
      </c>
      <c r="BR455" s="48">
        <f>BR134-BQ134-BR452-BR453</f>
        <v>223198</v>
      </c>
      <c r="BS455" s="104">
        <f>BS134-BN134-BS452-BS453</f>
        <v>442340</v>
      </c>
      <c r="BT455" s="94">
        <f>BT134-BS134-BT452-BT453</f>
        <v>0</v>
      </c>
      <c r="BU455" s="48">
        <f>BU134-BT134-BU452-BU453</f>
        <v>0</v>
      </c>
      <c r="BV455" s="48">
        <f>BV134-BU134-BV452-BV453</f>
        <v>0</v>
      </c>
      <c r="BW455" s="48">
        <f>BW134-BV134-BW452-BW453</f>
        <v>0</v>
      </c>
      <c r="BX455" s="104">
        <f>BX134-BS134-BX452-BX453</f>
        <v>0</v>
      </c>
      <c r="BY455" s="94">
        <f>BY134-BX134-BY452-BY453</f>
        <v>0</v>
      </c>
      <c r="BZ455" s="48">
        <f>BZ134-BY134-BZ452-BZ453</f>
        <v>0</v>
      </c>
      <c r="CA455" s="48">
        <f>CA134-BZ134-CA452-CA453</f>
        <v>0</v>
      </c>
      <c r="CB455" s="48">
        <f>CB134-CA134-CB452-CB453</f>
        <v>0</v>
      </c>
      <c r="CC455" s="104">
        <f>CC134-BX134-CC452-CC453</f>
        <v>0</v>
      </c>
      <c r="CD455" s="94">
        <f>CD134-CC134-CD452-CD453</f>
        <v>0</v>
      </c>
      <c r="CE455" s="48">
        <f>CE134-CD134-CE452-CE453</f>
        <v>0</v>
      </c>
      <c r="CF455" s="48">
        <f>CF134-CE134-CF452-CF453</f>
        <v>0</v>
      </c>
      <c r="CG455" s="48">
        <f>CG134-CF134-CG452-CG453</f>
        <v>0</v>
      </c>
      <c r="CH455" s="104">
        <f>CH134-CC134-CH452-CH453</f>
        <v>0</v>
      </c>
      <c r="CI455" s="94">
        <f>CI134-CH134-CI452-CI453</f>
        <v>0</v>
      </c>
      <c r="CJ455" s="48">
        <f>CJ134-CI134-CJ452-CJ453</f>
        <v>0</v>
      </c>
      <c r="CK455" s="48">
        <f>CK134-CJ134-CK452-CK453</f>
        <v>0</v>
      </c>
      <c r="CL455" s="48">
        <f>CL134-CK134-CL452-CL453</f>
        <v>0</v>
      </c>
      <c r="CM455" s="104">
        <f>CM134-CH134-CM452-CM453</f>
        <v>0</v>
      </c>
      <c r="CN455" s="94">
        <f>CN134-CM134-CN452-CN453</f>
        <v>0</v>
      </c>
      <c r="CO455" s="48">
        <f>CO134-CN134-CO452-CO453</f>
        <v>0</v>
      </c>
      <c r="CP455" s="48">
        <f>CP134-CO134-CP452-CP453</f>
        <v>0</v>
      </c>
      <c r="CQ455" s="48">
        <f>CQ134-CP134-CQ452-CQ453</f>
        <v>0</v>
      </c>
      <c r="CR455" s="104">
        <f>CR134-CM134-CR452-CR453</f>
        <v>0</v>
      </c>
      <c r="CS455" s="94">
        <f>CS134-CR134-CS452-CS453</f>
        <v>0</v>
      </c>
      <c r="CT455" s="48">
        <f>CT134-CS134-CT452-CT453</f>
        <v>0</v>
      </c>
      <c r="CU455" s="48">
        <f>CU134-CT134-CU452-CU453</f>
        <v>0</v>
      </c>
      <c r="CV455" s="48">
        <f>CV134-CU134-CV452-CV453</f>
        <v>0</v>
      </c>
      <c r="CW455" s="104">
        <f>CW134-CR134-CW452-CW453</f>
        <v>0</v>
      </c>
      <c r="CX455" s="94">
        <f>CX134-CW134-CX452-CX453</f>
        <v>0</v>
      </c>
      <c r="CY455" s="48">
        <f>CY134-CX134-CY452-CY453</f>
        <v>0</v>
      </c>
      <c r="CZ455" s="48">
        <f>CZ134-CY134-CZ452-CZ453</f>
        <v>0</v>
      </c>
      <c r="DA455" s="48">
        <f>DA134-CZ134-DA452-DA453</f>
        <v>0</v>
      </c>
      <c r="DB455" s="104">
        <f>DB134-CW134-DB452-DB453</f>
        <v>-1.862645149230957E-9</v>
      </c>
      <c r="DC455" s="48"/>
      <c r="DD455" s="48"/>
      <c r="DE455" s="48"/>
      <c r="DF455" s="48"/>
      <c r="DG455" s="48"/>
      <c r="DH455" s="48"/>
      <c r="DI455" s="48"/>
      <c r="DJ455" s="48"/>
      <c r="DK455" s="99"/>
      <c r="DL455" s="99"/>
      <c r="DM455" s="65"/>
    </row>
    <row r="456" spans="1:117" outlineLevel="1">
      <c r="A456" s="50"/>
      <c r="B456" s="37"/>
      <c r="C456" s="38"/>
      <c r="D456" s="38"/>
      <c r="E456" s="38"/>
      <c r="F456" s="133"/>
      <c r="G456" s="37"/>
      <c r="H456" s="38"/>
      <c r="I456" s="38"/>
      <c r="J456" s="38"/>
      <c r="K456" s="133"/>
      <c r="L456" s="37"/>
      <c r="M456" s="38"/>
      <c r="N456" s="38"/>
      <c r="O456" s="38"/>
      <c r="P456" s="133"/>
      <c r="Q456" s="37"/>
      <c r="R456" s="38"/>
      <c r="S456" s="38"/>
      <c r="T456" s="38"/>
      <c r="U456" s="133"/>
      <c r="V456" s="37"/>
      <c r="W456" s="38"/>
      <c r="X456" s="38"/>
      <c r="Y456" s="38"/>
      <c r="Z456" s="133"/>
      <c r="AA456" s="37"/>
      <c r="AB456" s="38"/>
      <c r="AC456" s="38"/>
      <c r="AD456" s="38"/>
      <c r="AE456" s="133"/>
      <c r="AF456" s="37"/>
      <c r="AG456" s="38"/>
      <c r="AH456" s="38"/>
      <c r="AI456" s="38"/>
      <c r="AJ456" s="133"/>
      <c r="AK456" s="37"/>
      <c r="AL456" s="38"/>
      <c r="AM456" s="38"/>
      <c r="AN456" s="38"/>
      <c r="AO456" s="133"/>
      <c r="AP456" s="37"/>
      <c r="AQ456" s="38"/>
      <c r="AR456" s="38"/>
      <c r="AS456" s="38"/>
      <c r="AT456" s="133"/>
      <c r="AU456" s="37"/>
      <c r="AV456" s="38"/>
      <c r="AW456" s="38"/>
      <c r="AX456" s="38"/>
      <c r="AY456" s="133"/>
      <c r="AZ456" s="37"/>
      <c r="BA456" s="38"/>
      <c r="BB456" s="38"/>
      <c r="BC456" s="38"/>
      <c r="BD456" s="133"/>
      <c r="BE456" s="37"/>
      <c r="BF456" s="38"/>
      <c r="BG456" s="38"/>
      <c r="BH456" s="38"/>
      <c r="BI456" s="133"/>
      <c r="BJ456" s="37"/>
      <c r="BK456" s="38"/>
      <c r="BL456" s="38"/>
      <c r="BM456" s="38"/>
      <c r="BN456" s="133"/>
      <c r="BO456" s="37"/>
      <c r="BP456" s="38"/>
      <c r="BQ456" s="38"/>
      <c r="BR456" s="38"/>
      <c r="BS456" s="133"/>
      <c r="BT456" s="37"/>
      <c r="BU456" s="38"/>
      <c r="BV456" s="38"/>
      <c r="BW456" s="38"/>
      <c r="BX456" s="133"/>
      <c r="BY456" s="37"/>
      <c r="BZ456" s="38"/>
      <c r="CA456" s="38"/>
      <c r="CB456" s="38"/>
      <c r="CC456" s="133"/>
      <c r="CD456" s="37"/>
      <c r="CE456" s="38"/>
      <c r="CF456" s="38"/>
      <c r="CG456" s="38"/>
      <c r="CH456" s="133"/>
      <c r="CI456" s="37"/>
      <c r="CJ456" s="38"/>
      <c r="CK456" s="38"/>
      <c r="CL456" s="38"/>
      <c r="CM456" s="133"/>
      <c r="CN456" s="37"/>
      <c r="CO456" s="38"/>
      <c r="CP456" s="38"/>
      <c r="CQ456" s="38"/>
      <c r="CR456" s="133"/>
      <c r="CS456" s="37"/>
      <c r="CT456" s="38"/>
      <c r="CU456" s="38"/>
      <c r="CV456" s="38"/>
      <c r="CW456" s="133"/>
      <c r="CX456" s="37"/>
      <c r="CY456" s="38"/>
      <c r="CZ456" s="38"/>
      <c r="DA456" s="38"/>
      <c r="DB456" s="133"/>
      <c r="DC456" s="38"/>
      <c r="DD456" s="38"/>
      <c r="DE456" s="38"/>
      <c r="DF456" s="38"/>
      <c r="DG456" s="38"/>
      <c r="DH456" s="38"/>
      <c r="DI456" s="38"/>
      <c r="DJ456" s="38"/>
      <c r="DK456" s="65"/>
      <c r="DL456" s="65"/>
      <c r="DM456" s="65"/>
    </row>
    <row r="457" spans="1:117" outlineLevel="1">
      <c r="A457" s="50" t="s">
        <v>398</v>
      </c>
      <c r="B457" s="94">
        <f t="shared" ref="B457:AA457" si="774">SUM(B450:B455)</f>
        <v>1483722</v>
      </c>
      <c r="C457" s="48">
        <f t="shared" si="774"/>
        <v>1456386</v>
      </c>
      <c r="D457" s="48">
        <f t="shared" si="774"/>
        <v>1399388</v>
      </c>
      <c r="E457" s="48">
        <f t="shared" si="774"/>
        <v>1605704</v>
      </c>
      <c r="F457" s="104">
        <f t="shared" si="774"/>
        <v>1605704</v>
      </c>
      <c r="G457" s="94">
        <f t="shared" si="774"/>
        <v>1572133</v>
      </c>
      <c r="H457" s="48">
        <f t="shared" si="774"/>
        <v>1498370</v>
      </c>
      <c r="I457" s="48">
        <f t="shared" si="774"/>
        <v>1385494</v>
      </c>
      <c r="J457" s="48">
        <f t="shared" si="774"/>
        <v>1794757</v>
      </c>
      <c r="K457" s="104">
        <f t="shared" si="774"/>
        <v>1794757</v>
      </c>
      <c r="L457" s="94">
        <f t="shared" si="774"/>
        <v>2355050</v>
      </c>
      <c r="M457" s="48">
        <f t="shared" si="774"/>
        <v>2365992</v>
      </c>
      <c r="N457" s="48">
        <f t="shared" si="774"/>
        <v>2155597</v>
      </c>
      <c r="O457" s="48">
        <f t="shared" si="774"/>
        <v>2215958</v>
      </c>
      <c r="P457" s="104">
        <f t="shared" si="774"/>
        <v>2215958</v>
      </c>
      <c r="Q457" s="94">
        <f t="shared" si="774"/>
        <v>2210776</v>
      </c>
      <c r="R457" s="48">
        <f t="shared" si="774"/>
        <v>1861585</v>
      </c>
      <c r="S457" s="48">
        <f t="shared" si="774"/>
        <v>1875508</v>
      </c>
      <c r="T457" s="48">
        <f t="shared" si="774"/>
        <v>1969308</v>
      </c>
      <c r="U457" s="104">
        <f t="shared" si="774"/>
        <v>1969308</v>
      </c>
      <c r="V457" s="94">
        <f t="shared" si="774"/>
        <v>2006792</v>
      </c>
      <c r="W457" s="48">
        <f t="shared" si="774"/>
        <v>1983298</v>
      </c>
      <c r="X457" s="48">
        <f t="shared" si="774"/>
        <v>2058015</v>
      </c>
      <c r="Y457" s="48">
        <f t="shared" si="774"/>
        <v>2088170</v>
      </c>
      <c r="Z457" s="104">
        <f t="shared" si="774"/>
        <v>2088170</v>
      </c>
      <c r="AA457" s="94">
        <f t="shared" si="774"/>
        <v>2183293</v>
      </c>
      <c r="AB457" s="48">
        <f t="shared" ref="AB457:AI457" si="775">SUM(AB450:AB455)</f>
        <v>2162393</v>
      </c>
      <c r="AC457" s="48">
        <f t="shared" si="775"/>
        <v>2139615</v>
      </c>
      <c r="AD457" s="48">
        <f t="shared" si="775"/>
        <v>2207194</v>
      </c>
      <c r="AE457" s="104">
        <f t="shared" si="775"/>
        <v>2207194</v>
      </c>
      <c r="AF457" s="94">
        <f t="shared" si="775"/>
        <v>2380697</v>
      </c>
      <c r="AG457" s="48">
        <f t="shared" si="775"/>
        <v>2387229</v>
      </c>
      <c r="AH457" s="48">
        <f t="shared" si="775"/>
        <v>2414479</v>
      </c>
      <c r="AI457" s="48">
        <f t="shared" si="775"/>
        <v>2448623</v>
      </c>
      <c r="AJ457" s="104">
        <f t="shared" ref="AJ457:CH457" si="776">SUM(AJ450:AJ455)</f>
        <v>2448623</v>
      </c>
      <c r="AK457" s="94">
        <f t="shared" si="776"/>
        <v>2499084</v>
      </c>
      <c r="AL457" s="48">
        <f>SUM(AL450:AL455)</f>
        <v>2217089</v>
      </c>
      <c r="AM457" s="48">
        <f t="shared" si="776"/>
        <v>2185960</v>
      </c>
      <c r="AN457" s="48">
        <f t="shared" si="776"/>
        <v>2238573</v>
      </c>
      <c r="AO457" s="104">
        <f t="shared" si="776"/>
        <v>2238573</v>
      </c>
      <c r="AP457" s="94">
        <f t="shared" si="776"/>
        <v>2256152</v>
      </c>
      <c r="AQ457" s="48">
        <f t="shared" si="776"/>
        <v>2089540</v>
      </c>
      <c r="AR457" s="48">
        <f t="shared" si="776"/>
        <v>2065706</v>
      </c>
      <c r="AS457" s="48">
        <f t="shared" si="776"/>
        <v>2129609</v>
      </c>
      <c r="AT457" s="104">
        <f t="shared" si="776"/>
        <v>2129609</v>
      </c>
      <c r="AU457" s="94">
        <f t="shared" si="776"/>
        <v>2134354</v>
      </c>
      <c r="AV457" s="48">
        <f t="shared" si="776"/>
        <v>2085349</v>
      </c>
      <c r="AW457" s="48">
        <f t="shared" si="776"/>
        <v>2189694</v>
      </c>
      <c r="AX457" s="48">
        <f t="shared" si="776"/>
        <v>2337851</v>
      </c>
      <c r="AY457" s="104">
        <f t="shared" si="776"/>
        <v>2337851</v>
      </c>
      <c r="AZ457" s="94">
        <f t="shared" si="776"/>
        <v>584500</v>
      </c>
      <c r="BA457" s="48">
        <f t="shared" si="776"/>
        <v>656425</v>
      </c>
      <c r="BB457" s="48">
        <f t="shared" si="776"/>
        <v>623232</v>
      </c>
      <c r="BC457" s="48">
        <f t="shared" si="776"/>
        <v>592115</v>
      </c>
      <c r="BD457" s="104">
        <f t="shared" si="776"/>
        <v>592115</v>
      </c>
      <c r="BE457" s="94">
        <f t="shared" si="776"/>
        <v>530158</v>
      </c>
      <c r="BF457" s="48">
        <f t="shared" si="776"/>
        <v>517508</v>
      </c>
      <c r="BG457" s="48">
        <f t="shared" si="776"/>
        <v>414472</v>
      </c>
      <c r="BH457" s="48">
        <f t="shared" si="776"/>
        <v>335798</v>
      </c>
      <c r="BI457" s="104">
        <f t="shared" si="776"/>
        <v>335797.99999999994</v>
      </c>
      <c r="BJ457" s="94">
        <f t="shared" si="776"/>
        <v>286887.99999999994</v>
      </c>
      <c r="BK457" s="48">
        <f t="shared" si="776"/>
        <v>237428.99999999994</v>
      </c>
      <c r="BL457" s="48">
        <f t="shared" si="776"/>
        <v>214295.99999999994</v>
      </c>
      <c r="BM457" s="48">
        <f t="shared" si="776"/>
        <v>188744.99999999994</v>
      </c>
      <c r="BN457" s="104">
        <f t="shared" si="776"/>
        <v>188745</v>
      </c>
      <c r="BO457" s="94">
        <f>SUM(BO450:BO455)</f>
        <v>238382</v>
      </c>
      <c r="BP457" s="48">
        <f t="shared" ref="BP457" si="777">SUM(BP450:BP455)</f>
        <v>5407747</v>
      </c>
      <c r="BQ457" s="48">
        <f t="shared" si="776"/>
        <v>5359495</v>
      </c>
      <c r="BR457" s="48">
        <f t="shared" si="776"/>
        <v>5527867</v>
      </c>
      <c r="BS457" s="104">
        <f t="shared" si="776"/>
        <v>5527867</v>
      </c>
      <c r="BT457" s="94">
        <f t="shared" si="776"/>
        <v>6547387.0083860019</v>
      </c>
      <c r="BU457" s="48">
        <f t="shared" si="776"/>
        <v>6494284.3723828066</v>
      </c>
      <c r="BV457" s="48">
        <f t="shared" si="776"/>
        <v>6421036.9319458436</v>
      </c>
      <c r="BW457" s="48">
        <f t="shared" si="776"/>
        <v>6342245.6812511468</v>
      </c>
      <c r="BX457" s="104">
        <f t="shared" si="776"/>
        <v>6342245.6812511478</v>
      </c>
      <c r="BY457" s="94">
        <f t="shared" si="776"/>
        <v>6305923.0408888534</v>
      </c>
      <c r="BZ457" s="48">
        <f t="shared" si="776"/>
        <v>6252962.8834252656</v>
      </c>
      <c r="CA457" s="48">
        <f t="shared" si="776"/>
        <v>6174250.0268375548</v>
      </c>
      <c r="CB457" s="48">
        <f t="shared" si="776"/>
        <v>6089440.523385956</v>
      </c>
      <c r="CC457" s="104">
        <f t="shared" si="776"/>
        <v>6089440.5233859578</v>
      </c>
      <c r="CD457" s="94">
        <f t="shared" si="776"/>
        <v>6023748.698206163</v>
      </c>
      <c r="CE457" s="48">
        <f t="shared" si="776"/>
        <v>5950260.4274334805</v>
      </c>
      <c r="CF457" s="48">
        <f t="shared" si="776"/>
        <v>5856690.52874202</v>
      </c>
      <c r="CG457" s="48">
        <f t="shared" si="776"/>
        <v>5786471.846895664</v>
      </c>
      <c r="CH457" s="104">
        <f t="shared" si="776"/>
        <v>5786471.8468956668</v>
      </c>
      <c r="CI457" s="94">
        <f t="shared" ref="CI457:CR457" si="778">SUM(CI450:CI455)</f>
        <v>5706983.8592759725</v>
      </c>
      <c r="CJ457" s="48">
        <f t="shared" si="778"/>
        <v>5628390.7451147148</v>
      </c>
      <c r="CK457" s="48">
        <f t="shared" si="778"/>
        <v>5526864.2476907289</v>
      </c>
      <c r="CL457" s="48">
        <f t="shared" si="778"/>
        <v>5462368.1929194042</v>
      </c>
      <c r="CM457" s="104">
        <f t="shared" si="778"/>
        <v>5462368.1929194033</v>
      </c>
      <c r="CN457" s="94">
        <f t="shared" si="778"/>
        <v>5359415.8192831036</v>
      </c>
      <c r="CO457" s="48">
        <f t="shared" si="778"/>
        <v>5260269.3697677637</v>
      </c>
      <c r="CP457" s="48">
        <f t="shared" si="778"/>
        <v>5141484.2809795709</v>
      </c>
      <c r="CQ457" s="48">
        <f t="shared" si="778"/>
        <v>5073272.2499799775</v>
      </c>
      <c r="CR457" s="104">
        <f t="shared" si="778"/>
        <v>5073272.2499799803</v>
      </c>
      <c r="CS457" s="94">
        <f t="shared" ref="CS457:DB457" si="779">SUM(CS450:CS455)</f>
        <v>4953525.4714726154</v>
      </c>
      <c r="CT457" s="48">
        <f t="shared" si="779"/>
        <v>4837717.0123541923</v>
      </c>
      <c r="CU457" s="48">
        <f t="shared" si="779"/>
        <v>4702461.4139350047</v>
      </c>
      <c r="CV457" s="48">
        <f t="shared" si="779"/>
        <v>4632232.8929595267</v>
      </c>
      <c r="CW457" s="104">
        <f t="shared" si="779"/>
        <v>4632232.8929595277</v>
      </c>
      <c r="CX457" s="94">
        <f t="shared" si="779"/>
        <v>4502267.347546096</v>
      </c>
      <c r="CY457" s="48">
        <f t="shared" si="779"/>
        <v>4376488.9504237864</v>
      </c>
      <c r="CZ457" s="48">
        <f t="shared" si="779"/>
        <v>4231510.8608262474</v>
      </c>
      <c r="DA457" s="48">
        <f t="shared" si="779"/>
        <v>4157659.0068159327</v>
      </c>
      <c r="DB457" s="104">
        <f t="shared" si="779"/>
        <v>4157659.0068159318</v>
      </c>
      <c r="DC457" s="48"/>
      <c r="DD457" s="48"/>
      <c r="DE457" s="48"/>
      <c r="DF457" s="48"/>
      <c r="DG457" s="48"/>
      <c r="DH457" s="48"/>
      <c r="DI457" s="48"/>
      <c r="DJ457" s="48"/>
      <c r="DK457" s="99"/>
      <c r="DL457" s="99"/>
      <c r="DM457" s="65"/>
    </row>
    <row r="458" spans="1:117" outlineLevel="1">
      <c r="A458" s="69" t="s">
        <v>747</v>
      </c>
      <c r="B458" s="70">
        <f t="shared" ref="B458:AG458" si="780">B457-B136</f>
        <v>0</v>
      </c>
      <c r="C458" s="71">
        <f t="shared" si="780"/>
        <v>0</v>
      </c>
      <c r="D458" s="71">
        <f t="shared" si="780"/>
        <v>0</v>
      </c>
      <c r="E458" s="71">
        <f t="shared" si="780"/>
        <v>0</v>
      </c>
      <c r="F458" s="120">
        <f t="shared" si="780"/>
        <v>0</v>
      </c>
      <c r="G458" s="71">
        <f t="shared" si="780"/>
        <v>0</v>
      </c>
      <c r="H458" s="71">
        <f t="shared" si="780"/>
        <v>0</v>
      </c>
      <c r="I458" s="71">
        <f t="shared" si="780"/>
        <v>0</v>
      </c>
      <c r="J458" s="71">
        <f t="shared" si="780"/>
        <v>0</v>
      </c>
      <c r="K458" s="120">
        <f t="shared" si="780"/>
        <v>0</v>
      </c>
      <c r="L458" s="71">
        <f t="shared" si="780"/>
        <v>0</v>
      </c>
      <c r="M458" s="71">
        <f t="shared" si="780"/>
        <v>0</v>
      </c>
      <c r="N458" s="71">
        <f t="shared" si="780"/>
        <v>0</v>
      </c>
      <c r="O458" s="71">
        <f t="shared" si="780"/>
        <v>0</v>
      </c>
      <c r="P458" s="120">
        <f t="shared" si="780"/>
        <v>0</v>
      </c>
      <c r="Q458" s="71">
        <f t="shared" si="780"/>
        <v>0</v>
      </c>
      <c r="R458" s="71">
        <f t="shared" si="780"/>
        <v>0</v>
      </c>
      <c r="S458" s="71">
        <f t="shared" si="780"/>
        <v>0</v>
      </c>
      <c r="T458" s="71">
        <f t="shared" si="780"/>
        <v>0</v>
      </c>
      <c r="U458" s="120">
        <f t="shared" si="780"/>
        <v>0</v>
      </c>
      <c r="V458" s="71">
        <f t="shared" si="780"/>
        <v>0</v>
      </c>
      <c r="W458" s="71">
        <f t="shared" si="780"/>
        <v>0</v>
      </c>
      <c r="X458" s="71">
        <f t="shared" si="780"/>
        <v>0</v>
      </c>
      <c r="Y458" s="71">
        <f t="shared" si="780"/>
        <v>0</v>
      </c>
      <c r="Z458" s="120">
        <f t="shared" si="780"/>
        <v>0</v>
      </c>
      <c r="AA458" s="71">
        <f t="shared" si="780"/>
        <v>0</v>
      </c>
      <c r="AB458" s="71">
        <f t="shared" si="780"/>
        <v>0</v>
      </c>
      <c r="AC458" s="71">
        <f t="shared" si="780"/>
        <v>0</v>
      </c>
      <c r="AD458" s="71">
        <f t="shared" si="780"/>
        <v>0</v>
      </c>
      <c r="AE458" s="120">
        <f t="shared" si="780"/>
        <v>0</v>
      </c>
      <c r="AF458" s="71">
        <f t="shared" si="780"/>
        <v>0</v>
      </c>
      <c r="AG458" s="71">
        <f t="shared" si="780"/>
        <v>0</v>
      </c>
      <c r="AH458" s="71">
        <f t="shared" ref="AH458:BM458" si="781">AH457-AH136</f>
        <v>0</v>
      </c>
      <c r="AI458" s="71">
        <f t="shared" si="781"/>
        <v>0</v>
      </c>
      <c r="AJ458" s="120">
        <f t="shared" si="781"/>
        <v>0</v>
      </c>
      <c r="AK458" s="71">
        <f t="shared" si="781"/>
        <v>0</v>
      </c>
      <c r="AL458" s="71">
        <f t="shared" si="781"/>
        <v>0</v>
      </c>
      <c r="AM458" s="71">
        <f t="shared" si="781"/>
        <v>0</v>
      </c>
      <c r="AN458" s="71">
        <f t="shared" si="781"/>
        <v>0</v>
      </c>
      <c r="AO458" s="120">
        <f t="shared" si="781"/>
        <v>0</v>
      </c>
      <c r="AP458" s="71">
        <f t="shared" si="781"/>
        <v>0</v>
      </c>
      <c r="AQ458" s="71">
        <f t="shared" si="781"/>
        <v>0</v>
      </c>
      <c r="AR458" s="71">
        <f t="shared" si="781"/>
        <v>0</v>
      </c>
      <c r="AS458" s="71">
        <f t="shared" si="781"/>
        <v>0</v>
      </c>
      <c r="AT458" s="120">
        <f t="shared" si="781"/>
        <v>0</v>
      </c>
      <c r="AU458" s="71">
        <f t="shared" si="781"/>
        <v>0</v>
      </c>
      <c r="AV458" s="71">
        <f t="shared" si="781"/>
        <v>0</v>
      </c>
      <c r="AW458" s="71">
        <f t="shared" si="781"/>
        <v>0</v>
      </c>
      <c r="AX458" s="71">
        <f t="shared" si="781"/>
        <v>0</v>
      </c>
      <c r="AY458" s="120">
        <f t="shared" si="781"/>
        <v>0</v>
      </c>
      <c r="AZ458" s="71">
        <f t="shared" si="781"/>
        <v>0</v>
      </c>
      <c r="BA458" s="71">
        <f t="shared" si="781"/>
        <v>0</v>
      </c>
      <c r="BB458" s="71">
        <f t="shared" si="781"/>
        <v>0</v>
      </c>
      <c r="BC458" s="71">
        <f t="shared" si="781"/>
        <v>0</v>
      </c>
      <c r="BD458" s="120">
        <f t="shared" si="781"/>
        <v>0</v>
      </c>
      <c r="BE458" s="71">
        <f t="shared" si="781"/>
        <v>0</v>
      </c>
      <c r="BF458" s="390">
        <f t="shared" si="781"/>
        <v>0</v>
      </c>
      <c r="BG458" s="71">
        <f t="shared" si="781"/>
        <v>0</v>
      </c>
      <c r="BH458" s="390">
        <f t="shared" si="781"/>
        <v>0</v>
      </c>
      <c r="BI458" s="542">
        <f t="shared" si="781"/>
        <v>0</v>
      </c>
      <c r="BJ458" s="71">
        <f t="shared" si="781"/>
        <v>0</v>
      </c>
      <c r="BK458" s="390">
        <f t="shared" si="781"/>
        <v>0</v>
      </c>
      <c r="BL458" s="71">
        <f t="shared" si="781"/>
        <v>0</v>
      </c>
      <c r="BM458" s="71">
        <f t="shared" si="781"/>
        <v>0</v>
      </c>
      <c r="BN458" s="120">
        <f t="shared" ref="BN458:CS458" si="782">BN457-BN136</f>
        <v>0</v>
      </c>
      <c r="BO458" s="71">
        <f t="shared" si="782"/>
        <v>0</v>
      </c>
      <c r="BP458" s="390">
        <f t="shared" si="782"/>
        <v>0</v>
      </c>
      <c r="BQ458" s="71">
        <f t="shared" si="782"/>
        <v>0</v>
      </c>
      <c r="BR458" s="71">
        <f t="shared" si="782"/>
        <v>0</v>
      </c>
      <c r="BS458" s="120">
        <f t="shared" si="782"/>
        <v>0</v>
      </c>
      <c r="BT458" s="71">
        <f t="shared" si="782"/>
        <v>0</v>
      </c>
      <c r="BU458" s="71">
        <f t="shared" si="782"/>
        <v>0</v>
      </c>
      <c r="BV458" s="71">
        <f t="shared" si="782"/>
        <v>0</v>
      </c>
      <c r="BW458" s="71">
        <f t="shared" si="782"/>
        <v>0</v>
      </c>
      <c r="BX458" s="120">
        <f t="shared" si="782"/>
        <v>0</v>
      </c>
      <c r="BY458" s="71">
        <f t="shared" si="782"/>
        <v>0</v>
      </c>
      <c r="BZ458" s="71">
        <f t="shared" si="782"/>
        <v>0</v>
      </c>
      <c r="CA458" s="71">
        <f t="shared" si="782"/>
        <v>0</v>
      </c>
      <c r="CB458" s="71">
        <f t="shared" si="782"/>
        <v>0</v>
      </c>
      <c r="CC458" s="120">
        <f t="shared" si="782"/>
        <v>0</v>
      </c>
      <c r="CD458" s="71">
        <f t="shared" si="782"/>
        <v>0</v>
      </c>
      <c r="CE458" s="71">
        <f t="shared" si="782"/>
        <v>0</v>
      </c>
      <c r="CF458" s="71">
        <f t="shared" si="782"/>
        <v>0</v>
      </c>
      <c r="CG458" s="71">
        <f t="shared" si="782"/>
        <v>0</v>
      </c>
      <c r="CH458" s="120">
        <f t="shared" si="782"/>
        <v>0</v>
      </c>
      <c r="CI458" s="71">
        <f t="shared" si="782"/>
        <v>0</v>
      </c>
      <c r="CJ458" s="71">
        <f t="shared" si="782"/>
        <v>0</v>
      </c>
      <c r="CK458" s="71">
        <f t="shared" si="782"/>
        <v>0</v>
      </c>
      <c r="CL458" s="71">
        <f t="shared" si="782"/>
        <v>0</v>
      </c>
      <c r="CM458" s="120">
        <f t="shared" si="782"/>
        <v>0</v>
      </c>
      <c r="CN458" s="71">
        <f t="shared" si="782"/>
        <v>0</v>
      </c>
      <c r="CO458" s="71">
        <f t="shared" si="782"/>
        <v>0</v>
      </c>
      <c r="CP458" s="71">
        <f t="shared" si="782"/>
        <v>0</v>
      </c>
      <c r="CQ458" s="71">
        <f t="shared" si="782"/>
        <v>0</v>
      </c>
      <c r="CR458" s="120">
        <f t="shared" si="782"/>
        <v>0</v>
      </c>
      <c r="CS458" s="71">
        <f t="shared" si="782"/>
        <v>0</v>
      </c>
      <c r="CT458" s="71">
        <f t="shared" ref="CT458:DB458" si="783">CT457-CT136</f>
        <v>0</v>
      </c>
      <c r="CU458" s="71">
        <f t="shared" si="783"/>
        <v>0</v>
      </c>
      <c r="CV458" s="71">
        <f t="shared" si="783"/>
        <v>0</v>
      </c>
      <c r="CW458" s="120">
        <f t="shared" si="783"/>
        <v>0</v>
      </c>
      <c r="CX458" s="71">
        <f t="shared" si="783"/>
        <v>0</v>
      </c>
      <c r="CY458" s="71">
        <f t="shared" si="783"/>
        <v>0</v>
      </c>
      <c r="CZ458" s="71">
        <f t="shared" si="783"/>
        <v>0</v>
      </c>
      <c r="DA458" s="71">
        <f t="shared" si="783"/>
        <v>3.7252902984619141E-9</v>
      </c>
      <c r="DB458" s="120">
        <f t="shared" si="783"/>
        <v>0</v>
      </c>
      <c r="DC458" s="71"/>
      <c r="DD458" s="71"/>
      <c r="DE458" s="71"/>
      <c r="DF458" s="71"/>
      <c r="DG458" s="71"/>
      <c r="DH458" s="71"/>
      <c r="DI458" s="71"/>
      <c r="DJ458" s="71"/>
      <c r="DK458" s="72"/>
      <c r="DL458" s="72"/>
      <c r="DM458" s="72"/>
    </row>
    <row r="459" spans="1:117" outlineLevel="1">
      <c r="A459" s="12"/>
      <c r="B459" s="55"/>
      <c r="C459" s="56"/>
      <c r="D459" s="56"/>
      <c r="E459" s="56"/>
      <c r="F459" s="125"/>
      <c r="G459" s="56"/>
      <c r="H459" s="56"/>
      <c r="I459" s="56"/>
      <c r="J459" s="56"/>
      <c r="K459" s="125"/>
      <c r="L459" s="56"/>
      <c r="M459" s="56"/>
      <c r="N459" s="56"/>
      <c r="O459" s="56"/>
      <c r="P459" s="125"/>
      <c r="Q459" s="56"/>
      <c r="R459" s="56"/>
      <c r="S459" s="56"/>
      <c r="T459" s="56"/>
      <c r="U459" s="125"/>
      <c r="V459" s="56"/>
      <c r="W459" s="56"/>
      <c r="X459" s="56"/>
      <c r="Y459" s="56"/>
      <c r="Z459" s="125"/>
      <c r="AA459" s="56"/>
      <c r="AB459" s="56"/>
      <c r="AC459" s="18"/>
      <c r="AD459" s="18"/>
      <c r="AE459" s="127"/>
      <c r="AF459" s="18"/>
      <c r="AG459" s="18"/>
      <c r="AH459" s="18"/>
      <c r="AI459" s="18"/>
      <c r="AJ459" s="127"/>
      <c r="AK459" s="18"/>
      <c r="AL459" s="18"/>
      <c r="AM459" s="18"/>
      <c r="AN459" s="18"/>
      <c r="AO459" s="127"/>
      <c r="AP459" s="18"/>
      <c r="AQ459" s="18"/>
      <c r="AR459" s="18"/>
      <c r="AS459" s="18"/>
      <c r="AT459" s="127"/>
      <c r="AU459" s="18"/>
      <c r="AV459" s="18"/>
      <c r="AW459" s="18"/>
      <c r="AX459" s="18"/>
      <c r="AY459" s="127"/>
      <c r="AZ459" s="18"/>
      <c r="BA459" s="18"/>
      <c r="BB459" s="18"/>
      <c r="BC459" s="18"/>
      <c r="BD459" s="127"/>
      <c r="BE459" s="18"/>
      <c r="BF459" s="18"/>
      <c r="BG459" s="18"/>
      <c r="BH459" s="18"/>
      <c r="BI459" s="127"/>
      <c r="BJ459" s="18"/>
      <c r="BK459" s="18"/>
      <c r="BL459" s="18"/>
      <c r="BM459" s="18"/>
      <c r="BN459" s="127"/>
      <c r="BO459" s="18"/>
      <c r="BP459" s="18"/>
      <c r="BQ459" s="18"/>
      <c r="BR459" s="18"/>
      <c r="BS459" s="127"/>
      <c r="BT459" s="18"/>
      <c r="BU459" s="18"/>
      <c r="BV459" s="18"/>
      <c r="BW459" s="18"/>
      <c r="BX459" s="127"/>
      <c r="BY459" s="18"/>
      <c r="BZ459" s="18"/>
      <c r="CA459" s="18"/>
      <c r="CB459" s="18"/>
      <c r="CC459" s="127"/>
      <c r="CD459" s="18"/>
      <c r="CE459" s="18"/>
      <c r="CF459" s="18"/>
      <c r="CG459" s="18"/>
      <c r="CH459" s="127"/>
      <c r="CI459" s="18"/>
      <c r="CJ459" s="18"/>
      <c r="CK459" s="18"/>
      <c r="CL459" s="18"/>
      <c r="CM459" s="127"/>
      <c r="CN459" s="18"/>
      <c r="CO459" s="18"/>
      <c r="CP459" s="18"/>
      <c r="CQ459" s="18"/>
      <c r="CR459" s="127"/>
      <c r="CS459" s="18"/>
      <c r="CT459" s="18"/>
      <c r="CU459" s="18"/>
      <c r="CV459" s="18"/>
      <c r="CW459" s="127"/>
      <c r="CX459" s="18"/>
      <c r="CY459" s="18"/>
      <c r="CZ459" s="18"/>
      <c r="DA459" s="18"/>
      <c r="DB459" s="127"/>
      <c r="DC459" s="18"/>
      <c r="DD459" s="18"/>
      <c r="DE459" s="18"/>
      <c r="DF459" s="18"/>
      <c r="DG459" s="18"/>
      <c r="DH459" s="18"/>
      <c r="DI459" s="18"/>
      <c r="DJ459" s="18"/>
      <c r="DK459" s="61"/>
      <c r="DL459" s="61"/>
      <c r="DM459" s="61"/>
    </row>
    <row r="460" spans="1:117" outlineLevel="1">
      <c r="A460" s="57" t="s">
        <v>764</v>
      </c>
      <c r="B460" s="37">
        <v>0</v>
      </c>
      <c r="C460" s="38">
        <v>0</v>
      </c>
      <c r="D460" s="38">
        <v>0</v>
      </c>
      <c r="E460" s="38">
        <v>0</v>
      </c>
      <c r="F460" s="133">
        <v>0</v>
      </c>
      <c r="G460" s="38">
        <v>0</v>
      </c>
      <c r="H460" s="38">
        <v>0</v>
      </c>
      <c r="I460" s="38">
        <v>0</v>
      </c>
      <c r="J460" s="38">
        <v>0</v>
      </c>
      <c r="K460" s="133">
        <v>0</v>
      </c>
      <c r="L460" s="38">
        <v>0</v>
      </c>
      <c r="M460" s="38">
        <v>0</v>
      </c>
      <c r="N460" s="38">
        <v>0</v>
      </c>
      <c r="O460" s="38">
        <v>0</v>
      </c>
      <c r="P460" s="133">
        <v>0</v>
      </c>
      <c r="Q460" s="38">
        <v>0</v>
      </c>
      <c r="R460" s="38">
        <v>0</v>
      </c>
      <c r="S460" s="38">
        <v>0</v>
      </c>
      <c r="T460" s="38">
        <v>0</v>
      </c>
      <c r="U460" s="133">
        <v>0</v>
      </c>
      <c r="V460" s="38">
        <v>0</v>
      </c>
      <c r="W460" s="38">
        <v>0</v>
      </c>
      <c r="X460" s="38">
        <v>0</v>
      </c>
      <c r="Y460" s="38">
        <v>0</v>
      </c>
      <c r="Z460" s="133">
        <v>0</v>
      </c>
      <c r="AA460" s="38">
        <v>0</v>
      </c>
      <c r="AB460" s="38">
        <v>0</v>
      </c>
      <c r="AC460" s="38">
        <v>0</v>
      </c>
      <c r="AD460" s="38">
        <v>0</v>
      </c>
      <c r="AE460" s="133">
        <v>0</v>
      </c>
      <c r="AF460" s="38">
        <v>0</v>
      </c>
      <c r="AG460" s="38">
        <v>0</v>
      </c>
      <c r="AH460" s="38">
        <v>0</v>
      </c>
      <c r="AI460" s="38">
        <v>0</v>
      </c>
      <c r="AJ460" s="133">
        <v>0</v>
      </c>
      <c r="AK460" s="38">
        <v>0</v>
      </c>
      <c r="AL460" s="38">
        <v>0</v>
      </c>
      <c r="AM460" s="38">
        <v>0</v>
      </c>
      <c r="AN460" s="38">
        <v>0</v>
      </c>
      <c r="AO460" s="133">
        <v>0</v>
      </c>
      <c r="AP460" s="38">
        <v>0</v>
      </c>
      <c r="AQ460" s="38">
        <v>0</v>
      </c>
      <c r="AR460" s="38">
        <v>0</v>
      </c>
      <c r="AS460" s="38">
        <v>0</v>
      </c>
      <c r="AT460" s="133">
        <v>0</v>
      </c>
      <c r="AU460" s="38">
        <v>0</v>
      </c>
      <c r="AV460" s="38">
        <v>0</v>
      </c>
      <c r="AW460" s="38">
        <v>0</v>
      </c>
      <c r="AX460" s="38">
        <v>0</v>
      </c>
      <c r="AY460" s="133">
        <v>0</v>
      </c>
      <c r="AZ460" s="38">
        <v>0</v>
      </c>
      <c r="BA460" s="38">
        <v>0</v>
      </c>
      <c r="BB460" s="38">
        <v>0</v>
      </c>
      <c r="BC460" s="38">
        <v>0</v>
      </c>
      <c r="BD460" s="133">
        <v>0</v>
      </c>
      <c r="BE460" s="38">
        <v>0</v>
      </c>
      <c r="BF460" s="38">
        <v>0</v>
      </c>
      <c r="BG460" s="38">
        <v>0</v>
      </c>
      <c r="BH460" s="38">
        <v>0</v>
      </c>
      <c r="BI460" s="133">
        <v>0</v>
      </c>
      <c r="BJ460" s="38">
        <v>0</v>
      </c>
      <c r="BK460" s="38">
        <v>0</v>
      </c>
      <c r="BL460" s="38">
        <v>0</v>
      </c>
      <c r="BM460" s="38">
        <v>0</v>
      </c>
      <c r="BN460" s="133">
        <v>0</v>
      </c>
      <c r="BO460" s="38">
        <v>0</v>
      </c>
      <c r="BP460" s="38">
        <v>0</v>
      </c>
      <c r="BQ460" s="38">
        <v>0</v>
      </c>
      <c r="BR460" s="38">
        <v>0</v>
      </c>
      <c r="BS460" s="133">
        <v>0</v>
      </c>
      <c r="BT460" s="38">
        <v>0</v>
      </c>
      <c r="BU460" s="38">
        <v>0</v>
      </c>
      <c r="BV460" s="38">
        <v>0</v>
      </c>
      <c r="BW460" s="38">
        <v>0</v>
      </c>
      <c r="BX460" s="133">
        <v>0</v>
      </c>
      <c r="BY460" s="38">
        <v>0</v>
      </c>
      <c r="BZ460" s="38">
        <v>0</v>
      </c>
      <c r="CA460" s="38">
        <v>0</v>
      </c>
      <c r="CB460" s="38">
        <v>0</v>
      </c>
      <c r="CC460" s="133">
        <v>0</v>
      </c>
      <c r="CD460" s="38">
        <v>0</v>
      </c>
      <c r="CE460" s="38">
        <v>0</v>
      </c>
      <c r="CF460" s="38">
        <v>0</v>
      </c>
      <c r="CG460" s="38">
        <v>0</v>
      </c>
      <c r="CH460" s="133">
        <v>0</v>
      </c>
      <c r="CI460" s="38">
        <v>0</v>
      </c>
      <c r="CJ460" s="38">
        <v>0</v>
      </c>
      <c r="CK460" s="38">
        <v>0</v>
      </c>
      <c r="CL460" s="38">
        <v>0</v>
      </c>
      <c r="CM460" s="133">
        <v>0</v>
      </c>
      <c r="CN460" s="38">
        <v>0</v>
      </c>
      <c r="CO460" s="38">
        <v>0</v>
      </c>
      <c r="CP460" s="38">
        <v>0</v>
      </c>
      <c r="CQ460" s="38">
        <v>0</v>
      </c>
      <c r="CR460" s="133">
        <v>0</v>
      </c>
      <c r="CS460" s="38">
        <v>0</v>
      </c>
      <c r="CT460" s="38">
        <v>0</v>
      </c>
      <c r="CU460" s="38">
        <v>0</v>
      </c>
      <c r="CV460" s="38">
        <v>0</v>
      </c>
      <c r="CW460" s="133">
        <v>0</v>
      </c>
      <c r="CX460" s="38">
        <v>0</v>
      </c>
      <c r="CY460" s="38">
        <v>0</v>
      </c>
      <c r="CZ460" s="38">
        <v>0</v>
      </c>
      <c r="DA460" s="38">
        <v>0</v>
      </c>
      <c r="DB460" s="133">
        <v>0</v>
      </c>
      <c r="DC460" s="38"/>
      <c r="DD460" s="38"/>
      <c r="DE460" s="38"/>
      <c r="DF460" s="38"/>
      <c r="DG460" s="38"/>
      <c r="DH460" s="38"/>
      <c r="DI460" s="38"/>
      <c r="DJ460" s="38"/>
      <c r="DK460" s="65"/>
      <c r="DL460" s="65"/>
      <c r="DM460" s="65"/>
    </row>
    <row r="461" spans="1:117" outlineLevel="1">
      <c r="A461" s="50" t="s">
        <v>1617</v>
      </c>
      <c r="B461" s="94">
        <f t="shared" ref="B461:J461" si="784">+B57+B46+B45</f>
        <v>105153</v>
      </c>
      <c r="C461" s="48">
        <f t="shared" si="784"/>
        <v>17789</v>
      </c>
      <c r="D461" s="48">
        <f t="shared" si="784"/>
        <v>20839</v>
      </c>
      <c r="E461" s="48">
        <f t="shared" si="784"/>
        <v>98397</v>
      </c>
      <c r="F461" s="104">
        <f t="shared" si="784"/>
        <v>242178</v>
      </c>
      <c r="G461" s="94">
        <f t="shared" si="784"/>
        <v>107664</v>
      </c>
      <c r="H461" s="48">
        <f t="shared" si="784"/>
        <v>24852</v>
      </c>
      <c r="I461" s="48">
        <f t="shared" si="784"/>
        <v>176387</v>
      </c>
      <c r="J461" s="48">
        <f t="shared" si="784"/>
        <v>237642</v>
      </c>
      <c r="K461" s="104">
        <f t="shared" ref="K461:BN461" si="785">+K57+K46+K45</f>
        <v>546545</v>
      </c>
      <c r="L461" s="94">
        <f t="shared" si="785"/>
        <v>165264</v>
      </c>
      <c r="M461" s="48">
        <f t="shared" si="785"/>
        <v>178362</v>
      </c>
      <c r="N461" s="48">
        <f t="shared" si="785"/>
        <v>72681</v>
      </c>
      <c r="O461" s="48">
        <f t="shared" si="785"/>
        <v>112005</v>
      </c>
      <c r="P461" s="104">
        <f t="shared" si="785"/>
        <v>528312</v>
      </c>
      <c r="Q461" s="94">
        <f t="shared" si="785"/>
        <v>198193</v>
      </c>
      <c r="R461" s="48">
        <f t="shared" si="785"/>
        <v>79905</v>
      </c>
      <c r="S461" s="48">
        <f t="shared" si="785"/>
        <v>58912</v>
      </c>
      <c r="T461" s="48">
        <f t="shared" si="785"/>
        <v>161110</v>
      </c>
      <c r="U461" s="104">
        <f t="shared" si="785"/>
        <v>498120.00000000006</v>
      </c>
      <c r="V461" s="94">
        <f t="shared" si="785"/>
        <v>212797</v>
      </c>
      <c r="W461" s="48">
        <f t="shared" si="785"/>
        <v>112962</v>
      </c>
      <c r="X461" s="48">
        <f t="shared" si="785"/>
        <v>153387</v>
      </c>
      <c r="Y461" s="48">
        <f t="shared" si="785"/>
        <v>121321.00000000001</v>
      </c>
      <c r="Z461" s="104">
        <f t="shared" si="785"/>
        <v>600467</v>
      </c>
      <c r="AA461" s="94">
        <f t="shared" si="785"/>
        <v>163549</v>
      </c>
      <c r="AB461" s="48">
        <f t="shared" si="785"/>
        <v>81350</v>
      </c>
      <c r="AC461" s="48">
        <f t="shared" si="785"/>
        <v>102308</v>
      </c>
      <c r="AD461" s="48">
        <f t="shared" si="785"/>
        <v>143997</v>
      </c>
      <c r="AE461" s="104">
        <f t="shared" si="785"/>
        <v>491204</v>
      </c>
      <c r="AF461" s="94">
        <f t="shared" si="785"/>
        <v>186719.99999999997</v>
      </c>
      <c r="AG461" s="48">
        <f t="shared" si="785"/>
        <v>86374</v>
      </c>
      <c r="AH461" s="48">
        <f t="shared" si="785"/>
        <v>111431.7</v>
      </c>
      <c r="AI461" s="48">
        <f t="shared" si="785"/>
        <v>145931.95000000001</v>
      </c>
      <c r="AJ461" s="104">
        <f t="shared" si="785"/>
        <v>530457.65</v>
      </c>
      <c r="AK461" s="94">
        <f t="shared" si="785"/>
        <v>199346</v>
      </c>
      <c r="AL461" s="48">
        <f t="shared" si="785"/>
        <v>134766</v>
      </c>
      <c r="AM461" s="48">
        <f t="shared" si="785"/>
        <v>160880</v>
      </c>
      <c r="AN461" s="48">
        <f t="shared" si="785"/>
        <v>264751</v>
      </c>
      <c r="AO461" s="104">
        <f t="shared" si="785"/>
        <v>759743</v>
      </c>
      <c r="AP461" s="94">
        <f t="shared" si="785"/>
        <v>233462</v>
      </c>
      <c r="AQ461" s="48">
        <f t="shared" si="785"/>
        <v>149205</v>
      </c>
      <c r="AR461" s="48">
        <f t="shared" si="785"/>
        <v>164988</v>
      </c>
      <c r="AS461" s="48">
        <f t="shared" si="785"/>
        <v>195875</v>
      </c>
      <c r="AT461" s="104">
        <f t="shared" si="785"/>
        <v>743530</v>
      </c>
      <c r="AU461" s="94">
        <f t="shared" si="785"/>
        <v>165705</v>
      </c>
      <c r="AV461" s="48">
        <f t="shared" si="785"/>
        <v>79495.000000000015</v>
      </c>
      <c r="AW461" s="48">
        <f t="shared" si="785"/>
        <v>147698</v>
      </c>
      <c r="AX461" s="48">
        <f t="shared" si="785"/>
        <v>184062.99999999994</v>
      </c>
      <c r="AY461" s="104">
        <f t="shared" si="785"/>
        <v>576960.99999999988</v>
      </c>
      <c r="AZ461" s="94">
        <f t="shared" si="785"/>
        <v>206511</v>
      </c>
      <c r="BA461" s="48">
        <f t="shared" si="785"/>
        <v>140751</v>
      </c>
      <c r="BB461" s="48">
        <f t="shared" si="785"/>
        <v>114280.99999999999</v>
      </c>
      <c r="BC461" s="48">
        <f t="shared" si="785"/>
        <v>201565</v>
      </c>
      <c r="BD461" s="104">
        <f t="shared" si="785"/>
        <v>663108</v>
      </c>
      <c r="BE461" s="94">
        <f t="shared" si="785"/>
        <v>95698.855685995484</v>
      </c>
      <c r="BF461" s="48">
        <f t="shared" si="785"/>
        <v>150880</v>
      </c>
      <c r="BG461" s="48">
        <f t="shared" si="785"/>
        <v>160838</v>
      </c>
      <c r="BH461" s="48">
        <f t="shared" si="785"/>
        <v>-28216</v>
      </c>
      <c r="BI461" s="104">
        <f t="shared" si="785"/>
        <v>379200.85568599548</v>
      </c>
      <c r="BJ461" s="94">
        <f t="shared" si="785"/>
        <v>174959</v>
      </c>
      <c r="BK461" s="48">
        <f t="shared" si="785"/>
        <v>179859</v>
      </c>
      <c r="BL461" s="48">
        <f t="shared" si="785"/>
        <v>194216</v>
      </c>
      <c r="BM461" s="48">
        <f t="shared" si="785"/>
        <v>194465</v>
      </c>
      <c r="BN461" s="104">
        <f t="shared" si="785"/>
        <v>743499</v>
      </c>
      <c r="BO461" s="94">
        <f>+BO57+BO46+BO45</f>
        <v>186185</v>
      </c>
      <c r="BP461" s="48">
        <f t="shared" ref="BP461:DB461" si="786">+BP57+BP46+BP45</f>
        <v>175991</v>
      </c>
      <c r="BQ461" s="48">
        <f t="shared" si="786"/>
        <v>166531</v>
      </c>
      <c r="BR461" s="48">
        <f t="shared" si="786"/>
        <v>64812</v>
      </c>
      <c r="BS461" s="104">
        <f t="shared" si="786"/>
        <v>593519</v>
      </c>
      <c r="BT461" s="94">
        <f t="shared" si="786"/>
        <v>285936.57838600234</v>
      </c>
      <c r="BU461" s="48">
        <f t="shared" si="786"/>
        <v>248313.9339968047</v>
      </c>
      <c r="BV461" s="48">
        <f t="shared" si="786"/>
        <v>255478.68456303695</v>
      </c>
      <c r="BW461" s="48">
        <f t="shared" si="786"/>
        <v>249934.8743053028</v>
      </c>
      <c r="BX461" s="104">
        <f t="shared" si="786"/>
        <v>1039664.0712511481</v>
      </c>
      <c r="BY461" s="94">
        <f t="shared" si="786"/>
        <v>292403.48463770573</v>
      </c>
      <c r="BZ461" s="48">
        <f t="shared" si="786"/>
        <v>275765.96753641218</v>
      </c>
      <c r="CA461" s="48">
        <f t="shared" si="786"/>
        <v>279345.75341228978</v>
      </c>
      <c r="CB461" s="48">
        <f t="shared" si="786"/>
        <v>273249.10654840199</v>
      </c>
      <c r="CC461" s="104">
        <f t="shared" si="786"/>
        <v>1120764.3121348103</v>
      </c>
      <c r="CD461" s="94">
        <f t="shared" si="786"/>
        <v>292366.78482020559</v>
      </c>
      <c r="CE461" s="48">
        <f t="shared" si="786"/>
        <v>284570.33922731783</v>
      </c>
      <c r="CF461" s="48">
        <f t="shared" si="786"/>
        <v>296855.59130853985</v>
      </c>
      <c r="CG461" s="48">
        <f t="shared" si="786"/>
        <v>320206.80815364455</v>
      </c>
      <c r="CH461" s="104">
        <f t="shared" si="786"/>
        <v>1193999.5235097089</v>
      </c>
      <c r="CI461" s="94">
        <f t="shared" si="786"/>
        <v>310937.50238030578</v>
      </c>
      <c r="CJ461" s="48">
        <f t="shared" si="786"/>
        <v>311832.37583874224</v>
      </c>
      <c r="CK461" s="48">
        <f t="shared" si="786"/>
        <v>319242.94257601409</v>
      </c>
      <c r="CL461" s="48">
        <f t="shared" si="786"/>
        <v>356273.38522867608</v>
      </c>
      <c r="CM461" s="104">
        <f t="shared" si="786"/>
        <v>1298286.2060237366</v>
      </c>
      <c r="CN461" s="94">
        <f t="shared" si="786"/>
        <v>321306.62061370112</v>
      </c>
      <c r="CO461" s="48">
        <f t="shared" si="786"/>
        <v>325112.54473466007</v>
      </c>
      <c r="CP461" s="48">
        <f t="shared" si="786"/>
        <v>331771.99546180753</v>
      </c>
      <c r="CQ461" s="48">
        <f t="shared" si="786"/>
        <v>382345.05325040687</v>
      </c>
      <c r="CR461" s="104">
        <f t="shared" si="786"/>
        <v>1360536.2140605764</v>
      </c>
      <c r="CS461" s="94">
        <f t="shared" si="786"/>
        <v>330810.3057426351</v>
      </c>
      <c r="CT461" s="48">
        <f t="shared" si="786"/>
        <v>334748.62513157725</v>
      </c>
      <c r="CU461" s="48">
        <f t="shared" si="786"/>
        <v>341599.57583081274</v>
      </c>
      <c r="CV461" s="48">
        <f t="shared" si="786"/>
        <v>406626.65327452193</v>
      </c>
      <c r="CW461" s="104">
        <f t="shared" si="786"/>
        <v>1413785.1599795474</v>
      </c>
      <c r="CX461" s="94">
        <f t="shared" si="786"/>
        <v>346889.62883656833</v>
      </c>
      <c r="CY461" s="48">
        <f t="shared" si="786"/>
        <v>351076.7771276905</v>
      </c>
      <c r="CZ461" s="48">
        <f t="shared" si="786"/>
        <v>358175.17465246056</v>
      </c>
      <c r="DA461" s="48">
        <f t="shared" si="786"/>
        <v>429301.41023968498</v>
      </c>
      <c r="DB461" s="104">
        <f t="shared" si="786"/>
        <v>1485442.990856406</v>
      </c>
      <c r="DC461" s="48"/>
      <c r="DD461" s="48"/>
      <c r="DE461" s="48"/>
      <c r="DF461" s="48"/>
      <c r="DG461" s="48"/>
      <c r="DH461" s="48"/>
      <c r="DI461" s="48"/>
      <c r="DJ461" s="48"/>
      <c r="DK461" s="99"/>
      <c r="DL461" s="99"/>
      <c r="DM461" s="65"/>
    </row>
    <row r="462" spans="1:117" outlineLevel="1">
      <c r="A462" s="51" t="s">
        <v>623</v>
      </c>
      <c r="B462" s="247">
        <f>$F$462</f>
        <v>0.35</v>
      </c>
      <c r="C462" s="248">
        <f>$F$462</f>
        <v>0.35</v>
      </c>
      <c r="D462" s="248">
        <f>$F$462</f>
        <v>0.35</v>
      </c>
      <c r="E462" s="248">
        <f>$F$462</f>
        <v>0.35</v>
      </c>
      <c r="F462" s="239">
        <v>0.35</v>
      </c>
      <c r="G462" s="248">
        <f>$K$462</f>
        <v>0.35</v>
      </c>
      <c r="H462" s="248">
        <f>$K$462</f>
        <v>0.35</v>
      </c>
      <c r="I462" s="248">
        <f>$K$462</f>
        <v>0.35</v>
      </c>
      <c r="J462" s="248">
        <f>$K$462</f>
        <v>0.35</v>
      </c>
      <c r="K462" s="239">
        <v>0.35</v>
      </c>
      <c r="L462" s="248">
        <f>$P$462</f>
        <v>0.35</v>
      </c>
      <c r="M462" s="248">
        <f>$P$462</f>
        <v>0.35</v>
      </c>
      <c r="N462" s="248">
        <f>$P$462</f>
        <v>0.35</v>
      </c>
      <c r="O462" s="248">
        <f>$P$462</f>
        <v>0.35</v>
      </c>
      <c r="P462" s="239">
        <v>0.35</v>
      </c>
      <c r="Q462" s="248">
        <f>$U$462</f>
        <v>0.35</v>
      </c>
      <c r="R462" s="248">
        <f>$U$462</f>
        <v>0.35</v>
      </c>
      <c r="S462" s="248">
        <f>$U$462</f>
        <v>0.35</v>
      </c>
      <c r="T462" s="248">
        <f>$U$462</f>
        <v>0.35</v>
      </c>
      <c r="U462" s="239">
        <v>0.35</v>
      </c>
      <c r="V462" s="248">
        <f>$Z$462</f>
        <v>0.35</v>
      </c>
      <c r="W462" s="248">
        <f>$Z$462</f>
        <v>0.35</v>
      </c>
      <c r="X462" s="248">
        <f>$Z$462</f>
        <v>0.35</v>
      </c>
      <c r="Y462" s="248">
        <f>$Z$462</f>
        <v>0.35</v>
      </c>
      <c r="Z462" s="239">
        <v>0.35</v>
      </c>
      <c r="AA462" s="248">
        <f>$Z$462</f>
        <v>0.35</v>
      </c>
      <c r="AB462" s="248">
        <f>$Z$462</f>
        <v>0.35</v>
      </c>
      <c r="AC462" s="248">
        <f>$Z$462</f>
        <v>0.35</v>
      </c>
      <c r="AD462" s="248">
        <f>$Z$462</f>
        <v>0.35</v>
      </c>
      <c r="AE462" s="239">
        <v>0.35</v>
      </c>
      <c r="AF462" s="248">
        <f>$Z$462</f>
        <v>0.35</v>
      </c>
      <c r="AG462" s="248">
        <f>$Z$462</f>
        <v>0.35</v>
      </c>
      <c r="AH462" s="248">
        <f>$Z$462</f>
        <v>0.35</v>
      </c>
      <c r="AI462" s="248">
        <f>$Z$462</f>
        <v>0.35</v>
      </c>
      <c r="AJ462" s="239">
        <v>0.35</v>
      </c>
      <c r="AK462" s="248">
        <f>$Z$462</f>
        <v>0.35</v>
      </c>
      <c r="AL462" s="248">
        <f>$Z$462</f>
        <v>0.35</v>
      </c>
      <c r="AM462" s="248">
        <f>$Z$462</f>
        <v>0.35</v>
      </c>
      <c r="AN462" s="248">
        <f>$Z$462</f>
        <v>0.35</v>
      </c>
      <c r="AO462" s="239">
        <v>0.35</v>
      </c>
      <c r="AP462" s="248">
        <f>$Z$462</f>
        <v>0.35</v>
      </c>
      <c r="AQ462" s="248">
        <f>$Z$462</f>
        <v>0.35</v>
      </c>
      <c r="AR462" s="248">
        <f>$Z$462</f>
        <v>0.35</v>
      </c>
      <c r="AS462" s="248">
        <f>$Z$462</f>
        <v>0.35</v>
      </c>
      <c r="AT462" s="239">
        <v>0.35</v>
      </c>
      <c r="AU462" s="248">
        <f>$Z$462</f>
        <v>0.35</v>
      </c>
      <c r="AV462" s="248">
        <f>$Z$462</f>
        <v>0.35</v>
      </c>
      <c r="AW462" s="248">
        <f>$Z$462</f>
        <v>0.35</v>
      </c>
      <c r="AX462" s="248">
        <f>$Z$462</f>
        <v>0.35</v>
      </c>
      <c r="AY462" s="239">
        <v>0.35</v>
      </c>
      <c r="AZ462" s="248">
        <f>$Z$462</f>
        <v>0.35</v>
      </c>
      <c r="BA462" s="248">
        <f>$Z$462</f>
        <v>0.35</v>
      </c>
      <c r="BB462" s="248">
        <f>$Z$462</f>
        <v>0.35</v>
      </c>
      <c r="BC462" s="248">
        <f>$Z$462</f>
        <v>0.35</v>
      </c>
      <c r="BD462" s="239">
        <v>0.35</v>
      </c>
      <c r="BE462" s="248">
        <f>$Z$462</f>
        <v>0.35</v>
      </c>
      <c r="BF462" s="248">
        <f>$Z$462</f>
        <v>0.35</v>
      </c>
      <c r="BG462" s="248">
        <f>$Z$462</f>
        <v>0.35</v>
      </c>
      <c r="BH462" s="248">
        <f>$Z$462</f>
        <v>0.35</v>
      </c>
      <c r="BI462" s="239">
        <v>0.35</v>
      </c>
      <c r="BJ462" s="248">
        <f>$Z$462</f>
        <v>0.35</v>
      </c>
      <c r="BK462" s="248">
        <f>$Z$462</f>
        <v>0.35</v>
      </c>
      <c r="BL462" s="248">
        <f>$Z$462</f>
        <v>0.35</v>
      </c>
      <c r="BM462" s="248">
        <f>$Z$462</f>
        <v>0.35</v>
      </c>
      <c r="BN462" s="239">
        <v>0.35</v>
      </c>
      <c r="BO462" s="248">
        <f>$Z$462</f>
        <v>0.35</v>
      </c>
      <c r="BP462" s="248">
        <f>$Z$462</f>
        <v>0.35</v>
      </c>
      <c r="BQ462" s="248">
        <f>$Z$462</f>
        <v>0.35</v>
      </c>
      <c r="BR462" s="248">
        <f>$Z$462</f>
        <v>0.35</v>
      </c>
      <c r="BS462" s="239">
        <v>0.35</v>
      </c>
      <c r="BT462" s="248">
        <f>$Z$462</f>
        <v>0.35</v>
      </c>
      <c r="BU462" s="248">
        <f>$Z$462</f>
        <v>0.35</v>
      </c>
      <c r="BV462" s="248">
        <f>$Z$462</f>
        <v>0.35</v>
      </c>
      <c r="BW462" s="248">
        <f>$Z$462</f>
        <v>0.35</v>
      </c>
      <c r="BX462" s="239">
        <v>0.35</v>
      </c>
      <c r="BY462" s="248">
        <f>$Z$462</f>
        <v>0.35</v>
      </c>
      <c r="BZ462" s="248">
        <f>$Z$462</f>
        <v>0.35</v>
      </c>
      <c r="CA462" s="248">
        <f>$Z$462</f>
        <v>0.35</v>
      </c>
      <c r="CB462" s="248">
        <f>$Z$462</f>
        <v>0.35</v>
      </c>
      <c r="CC462" s="239">
        <v>0.35</v>
      </c>
      <c r="CD462" s="248">
        <f>$Z$462</f>
        <v>0.35</v>
      </c>
      <c r="CE462" s="248">
        <f>$Z$462</f>
        <v>0.35</v>
      </c>
      <c r="CF462" s="248">
        <f>$Z$462</f>
        <v>0.35</v>
      </c>
      <c r="CG462" s="248">
        <f>$Z$462</f>
        <v>0.35</v>
      </c>
      <c r="CH462" s="239">
        <v>0.35</v>
      </c>
      <c r="CI462" s="248">
        <f>$Z$462</f>
        <v>0.35</v>
      </c>
      <c r="CJ462" s="248">
        <f>$Z$462</f>
        <v>0.35</v>
      </c>
      <c r="CK462" s="248">
        <f>$Z$462</f>
        <v>0.35</v>
      </c>
      <c r="CL462" s="248">
        <f>$Z$462</f>
        <v>0.35</v>
      </c>
      <c r="CM462" s="239">
        <v>0.35</v>
      </c>
      <c r="CN462" s="248">
        <f>$Z$462</f>
        <v>0.35</v>
      </c>
      <c r="CO462" s="248">
        <f>$Z$462</f>
        <v>0.35</v>
      </c>
      <c r="CP462" s="248">
        <f>$Z$462</f>
        <v>0.35</v>
      </c>
      <c r="CQ462" s="248">
        <f>$Z$462</f>
        <v>0.35</v>
      </c>
      <c r="CR462" s="239">
        <v>0.35</v>
      </c>
      <c r="CS462" s="248">
        <f>$Z$462</f>
        <v>0.35</v>
      </c>
      <c r="CT462" s="248">
        <f>$Z$462</f>
        <v>0.35</v>
      </c>
      <c r="CU462" s="248">
        <f>$Z$462</f>
        <v>0.35</v>
      </c>
      <c r="CV462" s="248">
        <f>$Z$462</f>
        <v>0.35</v>
      </c>
      <c r="CW462" s="239">
        <v>0.35</v>
      </c>
      <c r="CX462" s="248">
        <f>$Z$462</f>
        <v>0.35</v>
      </c>
      <c r="CY462" s="248">
        <f>$Z$462</f>
        <v>0.35</v>
      </c>
      <c r="CZ462" s="248">
        <f>$Z$462</f>
        <v>0.35</v>
      </c>
      <c r="DA462" s="248">
        <f>$Z$462</f>
        <v>0.35</v>
      </c>
      <c r="DB462" s="239">
        <v>0.35</v>
      </c>
      <c r="DC462" s="238"/>
      <c r="DD462" s="238"/>
      <c r="DE462" s="238"/>
      <c r="DF462" s="238"/>
      <c r="DG462" s="238"/>
      <c r="DH462" s="238"/>
      <c r="DI462" s="238"/>
      <c r="DJ462" s="238"/>
      <c r="DK462" s="66"/>
      <c r="DL462" s="66"/>
      <c r="DM462" s="66"/>
    </row>
    <row r="463" spans="1:117" outlineLevel="1">
      <c r="A463" s="51" t="s">
        <v>622</v>
      </c>
      <c r="B463" s="247">
        <f>$F$463</f>
        <v>2.8251366422212029E-2</v>
      </c>
      <c r="C463" s="248">
        <f>$F$463</f>
        <v>2.8251366422212029E-2</v>
      </c>
      <c r="D463" s="248">
        <f>$F$463</f>
        <v>2.8251366422212029E-2</v>
      </c>
      <c r="E463" s="248">
        <f>$F$463</f>
        <v>2.8251366422212029E-2</v>
      </c>
      <c r="F463" s="249">
        <f>10224/361894</f>
        <v>2.8251366422212029E-2</v>
      </c>
      <c r="G463" s="248">
        <f>$K$463</f>
        <v>3.1465038587883264E-2</v>
      </c>
      <c r="H463" s="248">
        <f>$K$463</f>
        <v>3.1465038587883264E-2</v>
      </c>
      <c r="I463" s="248">
        <f>$K$463</f>
        <v>3.1465038587883264E-2</v>
      </c>
      <c r="J463" s="248">
        <f>$K$463</f>
        <v>3.1465038587883264E-2</v>
      </c>
      <c r="K463" s="249">
        <f>20316/645669</f>
        <v>3.1465038587883264E-2</v>
      </c>
      <c r="L463" s="248">
        <f>$P$463</f>
        <v>3.7584850162156978E-2</v>
      </c>
      <c r="M463" s="248">
        <f>$P$463</f>
        <v>3.7584850162156978E-2</v>
      </c>
      <c r="N463" s="248">
        <f>$P$463</f>
        <v>3.7584850162156978E-2</v>
      </c>
      <c r="O463" s="248">
        <f>$P$463</f>
        <v>3.7584850162156978E-2</v>
      </c>
      <c r="P463" s="249">
        <f>18809/500441</f>
        <v>3.7584850162156978E-2</v>
      </c>
      <c r="Q463" s="248">
        <f>$U$463</f>
        <v>3.6108988842085479E-2</v>
      </c>
      <c r="R463" s="248">
        <f>$U$463</f>
        <v>3.6108988842085479E-2</v>
      </c>
      <c r="S463" s="248">
        <f>$U$463</f>
        <v>3.6108988842085479E-2</v>
      </c>
      <c r="T463" s="248">
        <f>$U$463</f>
        <v>3.6108988842085479E-2</v>
      </c>
      <c r="U463" s="249">
        <f>17676/489518</f>
        <v>3.6108988842085479E-2</v>
      </c>
      <c r="V463" s="248">
        <f>$Z$463</f>
        <v>4.0379066366259535E-2</v>
      </c>
      <c r="W463" s="248">
        <f>$Z$463</f>
        <v>4.0379066366259535E-2</v>
      </c>
      <c r="X463" s="248">
        <f>$Z$463</f>
        <v>4.0379066366259535E-2</v>
      </c>
      <c r="Y463" s="248">
        <f>$Z$463</f>
        <v>4.0379066366259535E-2</v>
      </c>
      <c r="Z463" s="249">
        <f>20431/505980</f>
        <v>4.0379066366259535E-2</v>
      </c>
      <c r="AA463" s="248">
        <f>$Z$463</f>
        <v>4.0379066366259535E-2</v>
      </c>
      <c r="AB463" s="248">
        <f>$Z$463</f>
        <v>4.0379066366259535E-2</v>
      </c>
      <c r="AC463" s="248">
        <f>$Z$463</f>
        <v>4.0379066366259535E-2</v>
      </c>
      <c r="AD463" s="248">
        <f>$Z$463</f>
        <v>4.0379066366259535E-2</v>
      </c>
      <c r="AE463" s="249">
        <f>20431/505980</f>
        <v>4.0379066366259535E-2</v>
      </c>
      <c r="AF463" s="248">
        <f>$Z$463</f>
        <v>4.0379066366259535E-2</v>
      </c>
      <c r="AG463" s="248">
        <f>$Z$463</f>
        <v>4.0379066366259535E-2</v>
      </c>
      <c r="AH463" s="248">
        <f>$Z$463</f>
        <v>4.0379066366259535E-2</v>
      </c>
      <c r="AI463" s="248">
        <f>$Z$463</f>
        <v>4.0379066366259535E-2</v>
      </c>
      <c r="AJ463" s="249">
        <f>20431/505980</f>
        <v>4.0379066366259535E-2</v>
      </c>
      <c r="AK463" s="248">
        <f>$Z$463</f>
        <v>4.0379066366259535E-2</v>
      </c>
      <c r="AL463" s="248">
        <f>$Z$463</f>
        <v>4.0379066366259535E-2</v>
      </c>
      <c r="AM463" s="248">
        <f>$Z$463</f>
        <v>4.0379066366259535E-2</v>
      </c>
      <c r="AN463" s="248">
        <f>$Z$463</f>
        <v>4.0379066366259535E-2</v>
      </c>
      <c r="AO463" s="249">
        <f>20431/505980</f>
        <v>4.0379066366259535E-2</v>
      </c>
      <c r="AP463" s="248">
        <f>$Z$463</f>
        <v>4.0379066366259535E-2</v>
      </c>
      <c r="AQ463" s="248">
        <f>$Z$463</f>
        <v>4.0379066366259535E-2</v>
      </c>
      <c r="AR463" s="248">
        <f>$Z$463</f>
        <v>4.0379066366259535E-2</v>
      </c>
      <c r="AS463" s="248">
        <f>$Z$463</f>
        <v>4.0379066366259535E-2</v>
      </c>
      <c r="AT463" s="249">
        <f>20431/505980</f>
        <v>4.0379066366259535E-2</v>
      </c>
      <c r="AU463" s="248">
        <f>$Z$463</f>
        <v>4.0379066366259535E-2</v>
      </c>
      <c r="AV463" s="248">
        <f>$Z$463</f>
        <v>4.0379066366259535E-2</v>
      </c>
      <c r="AW463" s="248">
        <f>$Z$463</f>
        <v>4.0379066366259535E-2</v>
      </c>
      <c r="AX463" s="248">
        <f>$Z$463</f>
        <v>4.0379066366259535E-2</v>
      </c>
      <c r="AY463" s="249">
        <f>20431/505980</f>
        <v>4.0379066366259535E-2</v>
      </c>
      <c r="AZ463" s="248">
        <f>$Z$463</f>
        <v>4.0379066366259535E-2</v>
      </c>
      <c r="BA463" s="248">
        <f>$Z$463</f>
        <v>4.0379066366259535E-2</v>
      </c>
      <c r="BB463" s="248">
        <f>$Z$463</f>
        <v>4.0379066366259535E-2</v>
      </c>
      <c r="BC463" s="248">
        <f>$Z$463</f>
        <v>4.0379066366259535E-2</v>
      </c>
      <c r="BD463" s="249">
        <f>20431/505980</f>
        <v>4.0379066366259535E-2</v>
      </c>
      <c r="BE463" s="248">
        <f>$Z$463</f>
        <v>4.0379066366259535E-2</v>
      </c>
      <c r="BF463" s="248">
        <f>$Z$463</f>
        <v>4.0379066366259535E-2</v>
      </c>
      <c r="BG463" s="248">
        <f>$Z$463</f>
        <v>4.0379066366259535E-2</v>
      </c>
      <c r="BH463" s="248">
        <f>$Z$463</f>
        <v>4.0379066366259535E-2</v>
      </c>
      <c r="BI463" s="249">
        <f>20431/505980</f>
        <v>4.0379066366259535E-2</v>
      </c>
      <c r="BJ463" s="248">
        <f>$Z$463</f>
        <v>4.0379066366259535E-2</v>
      </c>
      <c r="BK463" s="248">
        <f>$Z$463</f>
        <v>4.0379066366259535E-2</v>
      </c>
      <c r="BL463" s="248">
        <f>$Z$463</f>
        <v>4.0379066366259535E-2</v>
      </c>
      <c r="BM463" s="248">
        <f>$Z$463</f>
        <v>4.0379066366259535E-2</v>
      </c>
      <c r="BN463" s="249">
        <f>20431/505980</f>
        <v>4.0379066366259535E-2</v>
      </c>
      <c r="BO463" s="248">
        <f>$Z$463</f>
        <v>4.0379066366259535E-2</v>
      </c>
      <c r="BP463" s="248">
        <f>$Z$463</f>
        <v>4.0379066366259535E-2</v>
      </c>
      <c r="BQ463" s="248">
        <f>$Z$463</f>
        <v>4.0379066366259535E-2</v>
      </c>
      <c r="BR463" s="248">
        <f>$Z$463</f>
        <v>4.0379066366259535E-2</v>
      </c>
      <c r="BS463" s="249">
        <f>20431/505980</f>
        <v>4.0379066366259535E-2</v>
      </c>
      <c r="BT463" s="248">
        <f>$Z$463</f>
        <v>4.0379066366259535E-2</v>
      </c>
      <c r="BU463" s="248">
        <f>$Z$463</f>
        <v>4.0379066366259535E-2</v>
      </c>
      <c r="BV463" s="248">
        <f>$Z$463</f>
        <v>4.0379066366259535E-2</v>
      </c>
      <c r="BW463" s="248">
        <f>$Z$463</f>
        <v>4.0379066366259535E-2</v>
      </c>
      <c r="BX463" s="249">
        <f>20431/505980</f>
        <v>4.0379066366259535E-2</v>
      </c>
      <c r="BY463" s="248">
        <f>$Z$463</f>
        <v>4.0379066366259535E-2</v>
      </c>
      <c r="BZ463" s="248">
        <f>$Z$463</f>
        <v>4.0379066366259535E-2</v>
      </c>
      <c r="CA463" s="248">
        <f>$Z$463</f>
        <v>4.0379066366259535E-2</v>
      </c>
      <c r="CB463" s="248">
        <f>$Z$463</f>
        <v>4.0379066366259535E-2</v>
      </c>
      <c r="CC463" s="249">
        <f>20431/505980</f>
        <v>4.0379066366259535E-2</v>
      </c>
      <c r="CD463" s="248">
        <f>$Z$463</f>
        <v>4.0379066366259535E-2</v>
      </c>
      <c r="CE463" s="248">
        <f>$Z$463</f>
        <v>4.0379066366259535E-2</v>
      </c>
      <c r="CF463" s="248">
        <f>$Z$463</f>
        <v>4.0379066366259535E-2</v>
      </c>
      <c r="CG463" s="248">
        <f>$Z$463</f>
        <v>4.0379066366259535E-2</v>
      </c>
      <c r="CH463" s="249">
        <f>20431/505980</f>
        <v>4.0379066366259535E-2</v>
      </c>
      <c r="CI463" s="248">
        <f>$Z$463</f>
        <v>4.0379066366259535E-2</v>
      </c>
      <c r="CJ463" s="248">
        <f>$Z$463</f>
        <v>4.0379066366259535E-2</v>
      </c>
      <c r="CK463" s="248">
        <f>$Z$463</f>
        <v>4.0379066366259535E-2</v>
      </c>
      <c r="CL463" s="248">
        <f>$Z$463</f>
        <v>4.0379066366259535E-2</v>
      </c>
      <c r="CM463" s="249">
        <f>20431/505980</f>
        <v>4.0379066366259535E-2</v>
      </c>
      <c r="CN463" s="248">
        <f>$Z$463</f>
        <v>4.0379066366259535E-2</v>
      </c>
      <c r="CO463" s="248">
        <f>$Z$463</f>
        <v>4.0379066366259535E-2</v>
      </c>
      <c r="CP463" s="248">
        <f>$Z$463</f>
        <v>4.0379066366259535E-2</v>
      </c>
      <c r="CQ463" s="248">
        <f>$Z$463</f>
        <v>4.0379066366259535E-2</v>
      </c>
      <c r="CR463" s="249">
        <f>20431/505980</f>
        <v>4.0379066366259535E-2</v>
      </c>
      <c r="CS463" s="248">
        <f>$Z$463</f>
        <v>4.0379066366259535E-2</v>
      </c>
      <c r="CT463" s="248">
        <f>$Z$463</f>
        <v>4.0379066366259535E-2</v>
      </c>
      <c r="CU463" s="248">
        <f>$Z$463</f>
        <v>4.0379066366259535E-2</v>
      </c>
      <c r="CV463" s="248">
        <f>$Z$463</f>
        <v>4.0379066366259535E-2</v>
      </c>
      <c r="CW463" s="249">
        <f>20431/505980</f>
        <v>4.0379066366259535E-2</v>
      </c>
      <c r="CX463" s="248">
        <f>$Z$463</f>
        <v>4.0379066366259535E-2</v>
      </c>
      <c r="CY463" s="248">
        <f>$Z$463</f>
        <v>4.0379066366259535E-2</v>
      </c>
      <c r="CZ463" s="248">
        <f>$Z$463</f>
        <v>4.0379066366259535E-2</v>
      </c>
      <c r="DA463" s="248">
        <f>$Z$463</f>
        <v>4.0379066366259535E-2</v>
      </c>
      <c r="DB463" s="249">
        <f>20431/505980</f>
        <v>4.0379066366259535E-2</v>
      </c>
      <c r="DC463" s="248"/>
      <c r="DD463" s="248"/>
      <c r="DE463" s="248"/>
      <c r="DF463" s="248"/>
      <c r="DG463" s="248"/>
      <c r="DH463" s="248"/>
      <c r="DI463" s="248"/>
      <c r="DJ463" s="248"/>
      <c r="DK463" s="396"/>
      <c r="DL463" s="396"/>
      <c r="DM463" s="66"/>
    </row>
    <row r="464" spans="1:117" outlineLevel="1">
      <c r="A464" s="363"/>
      <c r="B464" s="364" t="s">
        <v>164</v>
      </c>
      <c r="C464" s="365" t="s">
        <v>165</v>
      </c>
      <c r="D464" s="365" t="s">
        <v>166</v>
      </c>
      <c r="E464" s="365" t="s">
        <v>167</v>
      </c>
      <c r="F464" s="366" t="s">
        <v>223</v>
      </c>
      <c r="G464" s="365" t="s">
        <v>224</v>
      </c>
      <c r="H464" s="365" t="s">
        <v>225</v>
      </c>
      <c r="I464" s="365" t="s">
        <v>226</v>
      </c>
      <c r="J464" s="365" t="s">
        <v>157</v>
      </c>
      <c r="K464" s="366" t="s">
        <v>853</v>
      </c>
      <c r="L464" s="365" t="s">
        <v>854</v>
      </c>
      <c r="M464" s="365" t="s">
        <v>736</v>
      </c>
      <c r="N464" s="365" t="s">
        <v>737</v>
      </c>
      <c r="O464" s="365" t="s">
        <v>738</v>
      </c>
      <c r="P464" s="366" t="s">
        <v>429</v>
      </c>
      <c r="Q464" s="365" t="s">
        <v>864</v>
      </c>
      <c r="R464" s="365" t="s">
        <v>865</v>
      </c>
      <c r="S464" s="365" t="s">
        <v>866</v>
      </c>
      <c r="T464" s="365" t="s">
        <v>867</v>
      </c>
      <c r="U464" s="366" t="s">
        <v>513</v>
      </c>
      <c r="V464" s="365" t="s">
        <v>514</v>
      </c>
      <c r="W464" s="365" t="s">
        <v>515</v>
      </c>
      <c r="X464" s="365" t="s">
        <v>516</v>
      </c>
      <c r="Y464" s="365" t="s">
        <v>517</v>
      </c>
      <c r="Z464" s="366" t="s">
        <v>518</v>
      </c>
      <c r="AA464" s="365" t="s">
        <v>519</v>
      </c>
      <c r="AB464" s="365" t="s">
        <v>520</v>
      </c>
      <c r="AC464" s="365" t="s">
        <v>521</v>
      </c>
      <c r="AD464" s="365" t="s">
        <v>522</v>
      </c>
      <c r="AE464" s="366" t="s">
        <v>523</v>
      </c>
      <c r="AF464" s="365" t="s">
        <v>524</v>
      </c>
      <c r="AG464" s="365" t="s">
        <v>525</v>
      </c>
      <c r="AH464" s="365" t="s">
        <v>526</v>
      </c>
      <c r="AI464" s="365" t="s">
        <v>527</v>
      </c>
      <c r="AJ464" s="366" t="s">
        <v>528</v>
      </c>
      <c r="AK464" s="365" t="s">
        <v>529</v>
      </c>
      <c r="AL464" s="365" t="s">
        <v>530</v>
      </c>
      <c r="AM464" s="365" t="s">
        <v>531</v>
      </c>
      <c r="AN464" s="365" t="s">
        <v>532</v>
      </c>
      <c r="AO464" s="366" t="s">
        <v>533</v>
      </c>
      <c r="AP464" s="365" t="s">
        <v>534</v>
      </c>
      <c r="AQ464" s="365" t="s">
        <v>535</v>
      </c>
      <c r="AR464" s="365" t="s">
        <v>626</v>
      </c>
      <c r="AS464" s="365" t="s">
        <v>627</v>
      </c>
      <c r="AT464" s="366" t="s">
        <v>628</v>
      </c>
      <c r="AU464" s="364" t="s">
        <v>629</v>
      </c>
      <c r="AV464" s="365" t="s">
        <v>630</v>
      </c>
      <c r="AW464" s="365" t="s">
        <v>128</v>
      </c>
      <c r="AX464" s="365" t="s">
        <v>129</v>
      </c>
      <c r="AY464" s="366" t="s">
        <v>130</v>
      </c>
      <c r="AZ464" s="364" t="s">
        <v>131</v>
      </c>
      <c r="BA464" s="365" t="s">
        <v>132</v>
      </c>
      <c r="BB464" s="365" t="s">
        <v>133</v>
      </c>
      <c r="BC464" s="365" t="s">
        <v>134</v>
      </c>
      <c r="BD464" s="366" t="s">
        <v>135</v>
      </c>
      <c r="BE464" s="364" t="s">
        <v>136</v>
      </c>
      <c r="BF464" s="365" t="s">
        <v>830</v>
      </c>
      <c r="BG464" s="365" t="s">
        <v>831</v>
      </c>
      <c r="BH464" s="365" t="s">
        <v>832</v>
      </c>
      <c r="BI464" s="366" t="s">
        <v>833</v>
      </c>
      <c r="BJ464" s="364" t="s">
        <v>834</v>
      </c>
      <c r="BK464" s="365" t="s">
        <v>208</v>
      </c>
      <c r="BL464" s="365" t="s">
        <v>209</v>
      </c>
      <c r="BM464" s="365" t="s">
        <v>210</v>
      </c>
      <c r="BN464" s="366" t="s">
        <v>211</v>
      </c>
      <c r="BO464" s="365" t="s">
        <v>212</v>
      </c>
      <c r="BP464" s="365" t="s">
        <v>1618</v>
      </c>
      <c r="BQ464" s="365" t="s">
        <v>213</v>
      </c>
      <c r="BR464" s="365" t="s">
        <v>238</v>
      </c>
      <c r="BS464" s="366" t="s">
        <v>239</v>
      </c>
      <c r="BT464" s="365" t="s">
        <v>240</v>
      </c>
      <c r="BU464" s="365" t="s">
        <v>241</v>
      </c>
      <c r="BV464" s="365" t="s">
        <v>242</v>
      </c>
      <c r="BW464" s="365" t="s">
        <v>661</v>
      </c>
      <c r="BX464" s="366" t="s">
        <v>662</v>
      </c>
      <c r="BY464" s="365" t="s">
        <v>485</v>
      </c>
      <c r="BZ464" s="365" t="s">
        <v>576</v>
      </c>
      <c r="CA464" s="365" t="s">
        <v>577</v>
      </c>
      <c r="CB464" s="365" t="s">
        <v>578</v>
      </c>
      <c r="CC464" s="366" t="s">
        <v>579</v>
      </c>
      <c r="CD464" s="364" t="s">
        <v>580</v>
      </c>
      <c r="CE464" s="365" t="s">
        <v>581</v>
      </c>
      <c r="CF464" s="365" t="s">
        <v>582</v>
      </c>
      <c r="CG464" s="365" t="s">
        <v>583</v>
      </c>
      <c r="CH464" s="366" t="s">
        <v>584</v>
      </c>
      <c r="CI464" s="364" t="s">
        <v>460</v>
      </c>
      <c r="CJ464" s="365" t="s">
        <v>40</v>
      </c>
      <c r="CK464" s="365" t="s">
        <v>41</v>
      </c>
      <c r="CL464" s="365" t="s">
        <v>42</v>
      </c>
      <c r="CM464" s="366" t="s">
        <v>43</v>
      </c>
      <c r="CN464" s="364" t="s">
        <v>200</v>
      </c>
      <c r="CO464" s="365" t="s">
        <v>201</v>
      </c>
      <c r="CP464" s="365" t="s">
        <v>202</v>
      </c>
      <c r="CQ464" s="365" t="s">
        <v>203</v>
      </c>
      <c r="CR464" s="366" t="s">
        <v>204</v>
      </c>
      <c r="CS464" s="364" t="s">
        <v>200</v>
      </c>
      <c r="CT464" s="365" t="s">
        <v>201</v>
      </c>
      <c r="CU464" s="365" t="s">
        <v>202</v>
      </c>
      <c r="CV464" s="365" t="s">
        <v>203</v>
      </c>
      <c r="CW464" s="366" t="s">
        <v>204</v>
      </c>
      <c r="CX464" s="364" t="s">
        <v>200</v>
      </c>
      <c r="CY464" s="365" t="s">
        <v>201</v>
      </c>
      <c r="CZ464" s="365" t="s">
        <v>202</v>
      </c>
      <c r="DA464" s="365" t="s">
        <v>203</v>
      </c>
      <c r="DB464" s="366" t="s">
        <v>204</v>
      </c>
      <c r="DC464" s="365"/>
      <c r="DD464" s="365"/>
      <c r="DE464" s="365"/>
      <c r="DF464" s="365"/>
      <c r="DG464" s="365"/>
      <c r="DH464" s="365"/>
      <c r="DI464" s="365"/>
      <c r="DJ464" s="365"/>
      <c r="DK464" s="422"/>
      <c r="DL464" s="422"/>
      <c r="DM464" s="367"/>
    </row>
    <row r="465" spans="1:123" outlineLevel="1">
      <c r="A465" s="425" t="s">
        <v>163</v>
      </c>
      <c r="B465" s="128"/>
      <c r="C465" s="129"/>
      <c r="D465" s="129"/>
      <c r="E465" s="129"/>
      <c r="F465" s="130"/>
      <c r="G465" s="129"/>
      <c r="H465" s="129"/>
      <c r="I465" s="129"/>
      <c r="J465" s="129"/>
      <c r="K465" s="130"/>
      <c r="L465" s="129"/>
      <c r="M465" s="129"/>
      <c r="N465" s="129"/>
      <c r="O465" s="129"/>
      <c r="P465" s="130"/>
      <c r="Q465" s="129"/>
      <c r="R465" s="129"/>
      <c r="S465" s="129"/>
      <c r="T465" s="129"/>
      <c r="U465" s="130"/>
      <c r="V465" s="128"/>
      <c r="W465" s="129"/>
      <c r="X465" s="129"/>
      <c r="Y465" s="129"/>
      <c r="Z465" s="130"/>
      <c r="AA465" s="128"/>
      <c r="AB465" s="129"/>
      <c r="AC465" s="129"/>
      <c r="AD465" s="129"/>
      <c r="AE465" s="129"/>
      <c r="AF465" s="129"/>
      <c r="AG465" s="129"/>
      <c r="AH465" s="129"/>
      <c r="AI465" s="426"/>
      <c r="AJ465" s="426"/>
      <c r="AK465" s="426"/>
      <c r="AL465" s="426"/>
      <c r="AM465" s="426"/>
      <c r="AN465" s="426"/>
      <c r="AO465" s="426"/>
      <c r="AP465" s="426"/>
      <c r="AQ465" s="426"/>
      <c r="AR465" s="426"/>
      <c r="AS465" s="426"/>
      <c r="AT465" s="426"/>
      <c r="AU465" s="426"/>
      <c r="AV465" s="426"/>
      <c r="AW465" s="426"/>
      <c r="AX465" s="426"/>
      <c r="AY465" s="426"/>
      <c r="AZ465" s="426" t="s">
        <v>147</v>
      </c>
      <c r="BA465" s="426" t="s">
        <v>147</v>
      </c>
      <c r="BB465" s="426" t="s">
        <v>147</v>
      </c>
      <c r="BC465" s="426" t="s">
        <v>147</v>
      </c>
      <c r="BD465" s="426" t="s">
        <v>147</v>
      </c>
      <c r="BE465" s="426" t="s">
        <v>147</v>
      </c>
      <c r="BF465" s="426" t="s">
        <v>147</v>
      </c>
      <c r="BG465" s="426" t="s">
        <v>147</v>
      </c>
      <c r="BH465" s="426" t="s">
        <v>147</v>
      </c>
      <c r="BI465" s="426" t="s">
        <v>147</v>
      </c>
      <c r="BJ465" s="426" t="s">
        <v>147</v>
      </c>
      <c r="BK465" s="426" t="s">
        <v>147</v>
      </c>
      <c r="BL465" s="426" t="s">
        <v>147</v>
      </c>
      <c r="BM465" s="426" t="s">
        <v>147</v>
      </c>
      <c r="BN465" s="426" t="s">
        <v>147</v>
      </c>
      <c r="BO465" s="426" t="s">
        <v>147</v>
      </c>
      <c r="BP465" s="426" t="s">
        <v>147</v>
      </c>
      <c r="BQ465" s="426" t="s">
        <v>147</v>
      </c>
      <c r="BR465" s="426" t="s">
        <v>147</v>
      </c>
      <c r="BS465" s="426" t="s">
        <v>147</v>
      </c>
      <c r="BT465" s="426" t="s">
        <v>147</v>
      </c>
      <c r="BU465" s="426" t="s">
        <v>147</v>
      </c>
      <c r="BV465" s="426" t="s">
        <v>147</v>
      </c>
      <c r="BW465" s="426" t="s">
        <v>147</v>
      </c>
      <c r="BX465" s="426" t="s">
        <v>147</v>
      </c>
      <c r="BY465" s="426" t="s">
        <v>147</v>
      </c>
      <c r="BZ465" s="426" t="s">
        <v>147</v>
      </c>
      <c r="CA465" s="426" t="s">
        <v>147</v>
      </c>
      <c r="CB465" s="426" t="s">
        <v>147</v>
      </c>
      <c r="CC465" s="426" t="s">
        <v>147</v>
      </c>
      <c r="CD465" s="426" t="s">
        <v>147</v>
      </c>
      <c r="CE465" s="426" t="s">
        <v>147</v>
      </c>
      <c r="CF465" s="426" t="s">
        <v>147</v>
      </c>
      <c r="CG465" s="426" t="s">
        <v>147</v>
      </c>
      <c r="CH465" s="426" t="s">
        <v>147</v>
      </c>
      <c r="CI465" s="426" t="s">
        <v>147</v>
      </c>
      <c r="CJ465" s="426" t="s">
        <v>147</v>
      </c>
      <c r="CK465" s="426" t="s">
        <v>147</v>
      </c>
      <c r="CL465" s="426" t="s">
        <v>147</v>
      </c>
      <c r="CM465" s="426" t="s">
        <v>147</v>
      </c>
      <c r="CN465" s="426" t="s">
        <v>147</v>
      </c>
      <c r="CO465" s="426" t="s">
        <v>147</v>
      </c>
      <c r="CP465" s="426" t="s">
        <v>147</v>
      </c>
      <c r="CQ465" s="426" t="s">
        <v>147</v>
      </c>
      <c r="CR465" s="426" t="s">
        <v>147</v>
      </c>
      <c r="CS465" s="426" t="s">
        <v>147</v>
      </c>
      <c r="CT465" s="426" t="s">
        <v>147</v>
      </c>
      <c r="CU465" s="426" t="s">
        <v>147</v>
      </c>
      <c r="CV465" s="426" t="s">
        <v>147</v>
      </c>
      <c r="CW465" s="426" t="s">
        <v>147</v>
      </c>
      <c r="CX465" s="426" t="s">
        <v>147</v>
      </c>
      <c r="CY465" s="426" t="s">
        <v>147</v>
      </c>
      <c r="CZ465" s="426" t="s">
        <v>147</v>
      </c>
      <c r="DA465" s="426" t="s">
        <v>147</v>
      </c>
      <c r="DB465" s="426" t="s">
        <v>147</v>
      </c>
      <c r="DC465" s="559"/>
      <c r="DD465" s="559"/>
      <c r="DE465" s="559"/>
      <c r="DF465" s="559"/>
      <c r="DG465" s="559"/>
      <c r="DH465" s="559"/>
      <c r="DI465" s="559"/>
      <c r="DJ465" s="559"/>
      <c r="DK465" s="423"/>
      <c r="DL465" s="423"/>
      <c r="DM465" s="424"/>
    </row>
    <row r="466" spans="1:123">
      <c r="A466" s="12"/>
      <c r="B466" s="85"/>
      <c r="C466" s="54"/>
      <c r="D466" s="54"/>
      <c r="E466" s="54"/>
      <c r="F466" s="84"/>
      <c r="G466" s="85"/>
      <c r="H466" s="54"/>
      <c r="I466" s="54"/>
      <c r="J466" s="54"/>
      <c r="K466" s="84"/>
      <c r="L466" s="85"/>
      <c r="M466" s="54"/>
      <c r="N466" s="54"/>
      <c r="O466" s="54"/>
      <c r="P466" s="84"/>
      <c r="Q466" s="85"/>
      <c r="R466" s="54"/>
      <c r="S466" s="54"/>
      <c r="T466" s="38"/>
      <c r="U466" s="133"/>
      <c r="V466" s="244"/>
      <c r="W466" s="38"/>
      <c r="X466" s="38"/>
      <c r="Y466" s="38"/>
      <c r="Z466" s="133"/>
      <c r="AA466" s="244"/>
      <c r="AB466" s="18"/>
      <c r="AC466" s="18"/>
      <c r="AD466" s="18"/>
      <c r="AE466" s="127"/>
      <c r="AF466" s="19"/>
      <c r="AG466" s="18"/>
      <c r="AH466" s="18"/>
      <c r="AI466" s="18"/>
      <c r="AJ466" s="127"/>
      <c r="AK466" s="19"/>
      <c r="AL466" s="18"/>
      <c r="AM466" s="18"/>
      <c r="AN466" s="18"/>
      <c r="AO466" s="127"/>
      <c r="AP466" s="19"/>
      <c r="AQ466" s="18"/>
      <c r="AR466" s="18"/>
      <c r="AS466" s="18"/>
      <c r="AT466" s="127"/>
      <c r="AU466" s="19"/>
      <c r="AV466" s="18"/>
      <c r="AW466" s="18"/>
      <c r="AX466" s="18"/>
      <c r="AY466" s="127"/>
      <c r="AZ466" s="19"/>
      <c r="BA466" s="18"/>
      <c r="BB466" s="18"/>
      <c r="BC466" s="18"/>
      <c r="BD466" s="127"/>
      <c r="BE466" s="19"/>
      <c r="BF466" s="18"/>
      <c r="BG466" s="18"/>
      <c r="BH466" s="18"/>
      <c r="BI466" s="127"/>
      <c r="BJ466" s="19"/>
      <c r="BK466" s="18"/>
      <c r="BL466" s="18"/>
      <c r="BM466" s="18"/>
      <c r="BN466" s="127"/>
      <c r="BO466" s="19"/>
      <c r="BP466" s="18"/>
      <c r="BQ466" s="18"/>
      <c r="BR466" s="18"/>
      <c r="BS466" s="127"/>
      <c r="BT466" s="19"/>
      <c r="BU466" s="18"/>
      <c r="BV466" s="18"/>
      <c r="BW466" s="18"/>
      <c r="BX466" s="127"/>
      <c r="BY466" s="19"/>
      <c r="BZ466" s="18"/>
      <c r="CA466" s="18"/>
      <c r="CB466" s="18"/>
      <c r="CC466" s="127"/>
      <c r="CD466" s="19"/>
      <c r="CE466" s="18"/>
      <c r="CF466" s="18"/>
      <c r="CG466" s="18"/>
      <c r="CH466" s="127"/>
      <c r="CI466" s="19"/>
      <c r="CJ466" s="18"/>
      <c r="CK466" s="18"/>
      <c r="CL466" s="18"/>
      <c r="CM466" s="127"/>
      <c r="CN466" s="19"/>
      <c r="CO466" s="18"/>
      <c r="CP466" s="18"/>
      <c r="CQ466" s="18"/>
      <c r="CR466" s="127"/>
      <c r="CS466" s="19"/>
      <c r="CT466" s="18"/>
      <c r="CU466" s="18"/>
      <c r="CV466" s="18"/>
      <c r="CW466" s="127"/>
      <c r="CX466" s="19"/>
      <c r="CY466" s="18"/>
      <c r="CZ466" s="18"/>
      <c r="DA466" s="18"/>
      <c r="DB466" s="127"/>
      <c r="DC466" s="18"/>
      <c r="DD466" s="18"/>
      <c r="DE466" s="18"/>
      <c r="DF466" s="18"/>
      <c r="DG466" s="18"/>
      <c r="DH466" s="18"/>
      <c r="DI466" s="18"/>
      <c r="DJ466" s="18"/>
      <c r="DK466" s="61"/>
      <c r="DL466" s="61"/>
      <c r="DM466" s="61"/>
    </row>
    <row r="467" spans="1:123" outlineLevel="1">
      <c r="A467" s="6" t="s">
        <v>817</v>
      </c>
      <c r="B467" s="87"/>
      <c r="C467" s="89"/>
      <c r="D467" s="89"/>
      <c r="E467" s="89"/>
      <c r="F467" s="126"/>
      <c r="G467" s="87"/>
      <c r="H467" s="89"/>
      <c r="I467" s="89"/>
      <c r="J467" s="89"/>
      <c r="K467" s="126"/>
      <c r="L467" s="87"/>
      <c r="M467" s="89"/>
      <c r="N467" s="89"/>
      <c r="O467" s="89"/>
      <c r="P467" s="126"/>
      <c r="Q467" s="87"/>
      <c r="R467" s="89"/>
      <c r="S467" s="89"/>
      <c r="T467" s="89"/>
      <c r="U467" s="126"/>
      <c r="V467" s="87"/>
      <c r="W467" s="88"/>
      <c r="X467" s="88"/>
      <c r="Y467" s="88"/>
      <c r="Z467" s="124"/>
      <c r="AA467" s="90"/>
      <c r="AB467" s="23"/>
      <c r="AC467" s="23"/>
      <c r="AD467" s="23"/>
      <c r="AE467" s="136"/>
      <c r="AF467" s="24"/>
      <c r="AG467" s="23"/>
      <c r="AH467" s="23"/>
      <c r="AI467" s="23"/>
      <c r="AJ467" s="136"/>
      <c r="AK467" s="24"/>
      <c r="AL467" s="23"/>
      <c r="AM467" s="23"/>
      <c r="AN467" s="23"/>
      <c r="AO467" s="136"/>
      <c r="AP467" s="24"/>
      <c r="AQ467" s="23"/>
      <c r="AR467" s="23"/>
      <c r="AS467" s="23"/>
      <c r="AT467" s="136"/>
      <c r="AU467" s="24"/>
      <c r="AV467" s="23"/>
      <c r="AW467" s="23"/>
      <c r="AX467" s="23"/>
      <c r="AY467" s="136"/>
      <c r="AZ467" s="24"/>
      <c r="BA467" s="23"/>
      <c r="BB467" s="23"/>
      <c r="BC467" s="23"/>
      <c r="BD467" s="136"/>
      <c r="BE467" s="24"/>
      <c r="BF467" s="23"/>
      <c r="BG467" s="23"/>
      <c r="BH467" s="23"/>
      <c r="BI467" s="136"/>
      <c r="BJ467" s="24"/>
      <c r="BK467" s="23"/>
      <c r="BL467" s="23"/>
      <c r="BM467" s="23"/>
      <c r="BN467" s="136"/>
      <c r="BO467" s="24"/>
      <c r="BP467" s="23"/>
      <c r="BQ467" s="23"/>
      <c r="BR467" s="23"/>
      <c r="BS467" s="136"/>
      <c r="BT467" s="24"/>
      <c r="BU467" s="23"/>
      <c r="BV467" s="23"/>
      <c r="BW467" s="23"/>
      <c r="BX467" s="136"/>
      <c r="BY467" s="24"/>
      <c r="BZ467" s="23"/>
      <c r="CA467" s="23"/>
      <c r="CB467" s="23"/>
      <c r="CC467" s="136"/>
      <c r="CD467" s="24"/>
      <c r="CE467" s="23"/>
      <c r="CF467" s="23"/>
      <c r="CG467" s="23"/>
      <c r="CH467" s="136"/>
      <c r="CI467" s="24"/>
      <c r="CJ467" s="23"/>
      <c r="CK467" s="23"/>
      <c r="CL467" s="23"/>
      <c r="CM467" s="136"/>
      <c r="CN467" s="24"/>
      <c r="CO467" s="23"/>
      <c r="CP467" s="23"/>
      <c r="CQ467" s="23"/>
      <c r="CR467" s="136"/>
      <c r="CS467" s="24"/>
      <c r="CT467" s="23"/>
      <c r="CU467" s="23"/>
      <c r="CV467" s="23"/>
      <c r="CW467" s="136"/>
      <c r="CX467" s="24"/>
      <c r="CY467" s="23"/>
      <c r="CZ467" s="23"/>
      <c r="DA467" s="23"/>
      <c r="DB467" s="136"/>
      <c r="DC467" s="23"/>
      <c r="DD467" s="23"/>
      <c r="DE467" s="23"/>
      <c r="DF467" s="23"/>
      <c r="DG467" s="23"/>
      <c r="DH467" s="23"/>
      <c r="DI467" s="23"/>
      <c r="DJ467" s="23"/>
      <c r="DK467" s="61"/>
      <c r="DL467" s="61"/>
      <c r="DM467" s="61"/>
    </row>
    <row r="468" spans="1:123" outlineLevel="1">
      <c r="A468" s="50"/>
      <c r="B468" s="94"/>
      <c r="C468" s="48"/>
      <c r="D468" s="48"/>
      <c r="E468" s="48"/>
      <c r="F468" s="104"/>
      <c r="G468" s="94"/>
      <c r="H468" s="48"/>
      <c r="I468" s="48"/>
      <c r="J468" s="48"/>
      <c r="K468" s="104"/>
      <c r="L468" s="94"/>
      <c r="M468" s="48"/>
      <c r="N468" s="48"/>
      <c r="O468" s="48"/>
      <c r="P468" s="104"/>
      <c r="Q468" s="94"/>
      <c r="R468" s="48"/>
      <c r="S468" s="48"/>
      <c r="T468" s="48"/>
      <c r="U468" s="104"/>
      <c r="V468" s="94"/>
      <c r="W468" s="48"/>
      <c r="X468" s="48"/>
      <c r="Y468" s="48"/>
      <c r="Z468" s="104"/>
      <c r="AA468" s="94"/>
      <c r="AB468" s="48"/>
      <c r="AC468" s="48"/>
      <c r="AD468" s="48"/>
      <c r="AE468" s="104"/>
      <c r="AF468" s="94"/>
      <c r="AG468" s="48"/>
      <c r="AH468" s="48"/>
      <c r="AI468" s="48"/>
      <c r="AJ468" s="104"/>
      <c r="AK468" s="94"/>
      <c r="AL468" s="48"/>
      <c r="AM468" s="48"/>
      <c r="AN468" s="48"/>
      <c r="AO468" s="104"/>
      <c r="AP468" s="94"/>
      <c r="AQ468" s="48"/>
      <c r="AR468" s="48"/>
      <c r="AS468" s="48"/>
      <c r="AT468" s="104"/>
      <c r="AU468" s="94"/>
      <c r="AV468" s="48"/>
      <c r="AW468" s="48"/>
      <c r="AX468" s="48"/>
      <c r="AY468" s="104"/>
      <c r="AZ468" s="94"/>
      <c r="BA468" s="48"/>
      <c r="BB468" s="48"/>
      <c r="BC468" s="48"/>
      <c r="BD468" s="104"/>
      <c r="BE468" s="94"/>
      <c r="BF468" s="99"/>
      <c r="BG468" s="48"/>
      <c r="BH468" s="48"/>
      <c r="BI468" s="104"/>
      <c r="BJ468" s="94"/>
      <c r="BK468" s="48"/>
      <c r="BL468" s="48"/>
      <c r="BM468" s="48"/>
      <c r="BN468" s="104"/>
      <c r="BO468" s="94"/>
      <c r="BP468" s="48"/>
      <c r="BQ468" s="48"/>
      <c r="BR468" s="48"/>
      <c r="BS468" s="104"/>
      <c r="BT468" s="94"/>
      <c r="BU468" s="48"/>
      <c r="BV468" s="48"/>
      <c r="BW468" s="48"/>
      <c r="BX468" s="104"/>
      <c r="BY468" s="94"/>
      <c r="BZ468" s="48"/>
      <c r="CA468" s="48"/>
      <c r="CB468" s="48"/>
      <c r="CC468" s="104"/>
      <c r="CD468" s="94"/>
      <c r="CE468" s="48"/>
      <c r="CF468" s="48"/>
      <c r="CG468" s="48"/>
      <c r="CH468" s="104"/>
      <c r="CI468" s="94"/>
      <c r="CJ468" s="48"/>
      <c r="CK468" s="48"/>
      <c r="CL468" s="48"/>
      <c r="CM468" s="104"/>
      <c r="CN468" s="94"/>
      <c r="CO468" s="48"/>
      <c r="CP468" s="48"/>
      <c r="CQ468" s="48"/>
      <c r="CR468" s="104"/>
      <c r="CS468" s="94"/>
      <c r="CT468" s="48"/>
      <c r="CU468" s="48"/>
      <c r="CV468" s="48"/>
      <c r="CW468" s="104"/>
      <c r="CX468" s="94"/>
      <c r="CY468" s="48"/>
      <c r="CZ468" s="48"/>
      <c r="DA468" s="48"/>
      <c r="DB468" s="104"/>
      <c r="DC468" s="48"/>
      <c r="DD468" s="48"/>
      <c r="DE468" s="48"/>
      <c r="DF468" s="48"/>
      <c r="DG468" s="48"/>
      <c r="DH468" s="48"/>
      <c r="DI468" s="48"/>
      <c r="DJ468" s="48"/>
      <c r="DK468" s="99"/>
      <c r="DL468" s="99"/>
      <c r="DM468" s="65"/>
    </row>
    <row r="469" spans="1:123" s="519" customFormat="1" outlineLevel="1">
      <c r="A469" s="513" t="s">
        <v>818</v>
      </c>
      <c r="B469" s="514"/>
      <c r="C469" s="515"/>
      <c r="D469" s="515"/>
      <c r="E469" s="515"/>
      <c r="F469" s="516"/>
      <c r="G469" s="514"/>
      <c r="H469" s="515"/>
      <c r="I469" s="515"/>
      <c r="J469" s="515"/>
      <c r="K469" s="516"/>
      <c r="L469" s="514"/>
      <c r="M469" s="515"/>
      <c r="N469" s="515"/>
      <c r="O469" s="515"/>
      <c r="P469" s="516"/>
      <c r="Q469" s="514"/>
      <c r="R469" s="515"/>
      <c r="S469" s="515"/>
      <c r="T469" s="515"/>
      <c r="U469" s="516"/>
      <c r="V469" s="514"/>
      <c r="W469" s="515"/>
      <c r="X469" s="515"/>
      <c r="Y469" s="515"/>
      <c r="Z469" s="516"/>
      <c r="AA469" s="514"/>
      <c r="AB469" s="515"/>
      <c r="AC469" s="515"/>
      <c r="AD469" s="515"/>
      <c r="AE469" s="516"/>
      <c r="AF469" s="514"/>
      <c r="AG469" s="515"/>
      <c r="AH469" s="515"/>
      <c r="AI469" s="515"/>
      <c r="AJ469" s="516"/>
      <c r="AK469" s="514"/>
      <c r="AL469" s="515"/>
      <c r="AM469" s="515"/>
      <c r="AN469" s="515"/>
      <c r="AO469" s="516"/>
      <c r="AP469" s="514"/>
      <c r="AQ469" s="515"/>
      <c r="AR469" s="515"/>
      <c r="AS469" s="515"/>
      <c r="AT469" s="516"/>
      <c r="AU469" s="514"/>
      <c r="AV469" s="515"/>
      <c r="AW469" s="515"/>
      <c r="AX469" s="515"/>
      <c r="AY469" s="516"/>
      <c r="AZ469" s="514"/>
      <c r="BA469" s="515"/>
      <c r="BB469" s="515"/>
      <c r="BC469" s="515"/>
      <c r="BD469" s="516"/>
      <c r="BE469" s="514"/>
      <c r="BF469" s="517"/>
      <c r="BG469" s="515"/>
      <c r="BH469" s="515"/>
      <c r="BI469" s="516"/>
      <c r="BJ469" s="514"/>
      <c r="BK469" s="515"/>
      <c r="BL469" s="515"/>
      <c r="BM469" s="515"/>
      <c r="BN469" s="516"/>
      <c r="BO469" s="514"/>
      <c r="BP469" s="515"/>
      <c r="BQ469" s="515"/>
      <c r="BR469" s="515"/>
      <c r="BS469" s="516"/>
      <c r="BT469" s="514"/>
      <c r="BU469" s="515"/>
      <c r="BV469" s="515"/>
      <c r="BW469" s="515"/>
      <c r="BX469" s="516"/>
      <c r="BY469" s="514"/>
      <c r="BZ469" s="515"/>
      <c r="CA469" s="515"/>
      <c r="CB469" s="515"/>
      <c r="CC469" s="516"/>
      <c r="CD469" s="514"/>
      <c r="CE469" s="515"/>
      <c r="CF469" s="515"/>
      <c r="CG469" s="515"/>
      <c r="CH469" s="516"/>
      <c r="CI469" s="514"/>
      <c r="CJ469" s="515"/>
      <c r="CK469" s="515"/>
      <c r="CL469" s="515"/>
      <c r="CM469" s="516"/>
      <c r="CN469" s="514"/>
      <c r="CO469" s="515"/>
      <c r="CP469" s="515"/>
      <c r="CQ469" s="515"/>
      <c r="CR469" s="516"/>
      <c r="CS469" s="514"/>
      <c r="CT469" s="515"/>
      <c r="CU469" s="515"/>
      <c r="CV469" s="515"/>
      <c r="CW469" s="516"/>
      <c r="CX469" s="514"/>
      <c r="CY469" s="515"/>
      <c r="CZ469" s="515"/>
      <c r="DA469" s="515"/>
      <c r="DB469" s="516"/>
      <c r="DC469" s="515"/>
      <c r="DD469" s="515"/>
      <c r="DE469" s="515"/>
      <c r="DF469" s="515"/>
      <c r="DG469" s="515"/>
      <c r="DH469" s="515"/>
      <c r="DI469" s="515"/>
      <c r="DJ469" s="515"/>
      <c r="DK469" s="517"/>
      <c r="DL469" s="517"/>
      <c r="DM469" s="518"/>
      <c r="DN469"/>
      <c r="DO469"/>
      <c r="DP469"/>
      <c r="DQ469"/>
      <c r="DR469"/>
      <c r="DS469"/>
    </row>
    <row r="470" spans="1:123" outlineLevel="1">
      <c r="A470" s="50"/>
      <c r="B470" s="94"/>
      <c r="C470" s="48"/>
      <c r="D470" s="48"/>
      <c r="E470" s="48"/>
      <c r="F470" s="104"/>
      <c r="G470" s="94"/>
      <c r="H470" s="48"/>
      <c r="I470" s="48"/>
      <c r="J470" s="48"/>
      <c r="K470" s="104"/>
      <c r="L470" s="94"/>
      <c r="M470" s="48"/>
      <c r="N470" s="48"/>
      <c r="O470" s="48"/>
      <c r="P470" s="104"/>
      <c r="Q470" s="94"/>
      <c r="R470" s="48"/>
      <c r="S470" s="48"/>
      <c r="T470" s="48"/>
      <c r="U470" s="104"/>
      <c r="V470" s="94"/>
      <c r="W470" s="48"/>
      <c r="X470" s="48"/>
      <c r="Y470" s="48"/>
      <c r="Z470" s="104"/>
      <c r="AA470" s="94"/>
      <c r="AB470" s="48"/>
      <c r="AC470" s="48"/>
      <c r="AD470" s="48"/>
      <c r="AE470" s="104"/>
      <c r="AF470" s="94"/>
      <c r="AG470" s="48"/>
      <c r="AH470" s="48"/>
      <c r="AI470" s="48"/>
      <c r="AJ470" s="104"/>
      <c r="AK470" s="94"/>
      <c r="AL470" s="48"/>
      <c r="AM470" s="48"/>
      <c r="AN470" s="48"/>
      <c r="AO470" s="104"/>
      <c r="AP470" s="94"/>
      <c r="AQ470" s="48"/>
      <c r="AR470" s="48"/>
      <c r="AS470" s="48"/>
      <c r="AT470" s="104"/>
      <c r="AU470" s="94"/>
      <c r="AV470" s="48"/>
      <c r="AW470" s="48"/>
      <c r="AX470" s="48"/>
      <c r="AY470" s="104"/>
      <c r="AZ470" s="94"/>
      <c r="BA470" s="48"/>
      <c r="BB470" s="48"/>
      <c r="BC470" s="48"/>
      <c r="BD470" s="104"/>
      <c r="BE470" s="94"/>
      <c r="BF470" s="99"/>
      <c r="BG470" s="48"/>
      <c r="BH470" s="48"/>
      <c r="BI470" s="104"/>
      <c r="BJ470" s="94"/>
      <c r="BK470" s="48"/>
      <c r="BL470" s="48"/>
      <c r="BM470" s="48"/>
      <c r="BN470" s="104"/>
      <c r="BO470" s="94"/>
      <c r="BP470" s="48"/>
      <c r="BQ470" s="48"/>
      <c r="BR470" s="48"/>
      <c r="BS470" s="104"/>
      <c r="BT470" s="94"/>
      <c r="BU470" s="48"/>
      <c r="BV470" s="48"/>
      <c r="BW470" s="48"/>
      <c r="BX470" s="104"/>
      <c r="BY470" s="94"/>
      <c r="BZ470" s="48"/>
      <c r="CA470" s="48"/>
      <c r="CB470" s="48"/>
      <c r="CC470" s="104"/>
      <c r="CD470" s="94"/>
      <c r="CE470" s="48"/>
      <c r="CF470" s="48"/>
      <c r="CG470" s="48"/>
      <c r="CH470" s="104"/>
      <c r="CI470" s="94"/>
      <c r="CJ470" s="48"/>
      <c r="CK470" s="48"/>
      <c r="CL470" s="48"/>
      <c r="CM470" s="104"/>
      <c r="CN470" s="94"/>
      <c r="CO470" s="48"/>
      <c r="CP470" s="48"/>
      <c r="CQ470" s="48"/>
      <c r="CR470" s="104"/>
      <c r="CS470" s="94"/>
      <c r="CT470" s="48"/>
      <c r="CU470" s="48"/>
      <c r="CV470" s="48"/>
      <c r="CW470" s="104"/>
      <c r="CX470" s="94"/>
      <c r="CY470" s="48"/>
      <c r="CZ470" s="48"/>
      <c r="DA470" s="48"/>
      <c r="DB470" s="104"/>
      <c r="DC470" s="48"/>
      <c r="DD470" s="48"/>
      <c r="DE470" s="48"/>
      <c r="DF470" s="48"/>
      <c r="DG470" s="48"/>
      <c r="DH470" s="48"/>
      <c r="DI470" s="48"/>
      <c r="DJ470" s="48"/>
      <c r="DK470" s="99"/>
      <c r="DL470" s="99"/>
      <c r="DM470" s="65"/>
    </row>
    <row r="471" spans="1:123" outlineLevel="1">
      <c r="A471" s="50" t="s">
        <v>819</v>
      </c>
      <c r="B471" s="94"/>
      <c r="C471" s="48"/>
      <c r="D471" s="48"/>
      <c r="E471" s="48"/>
      <c r="F471" s="104"/>
      <c r="G471" s="94"/>
      <c r="H471" s="48"/>
      <c r="I471" s="48"/>
      <c r="J471" s="48"/>
      <c r="K471" s="104"/>
      <c r="L471" s="94"/>
      <c r="M471" s="48"/>
      <c r="N471" s="48"/>
      <c r="O471" s="48"/>
      <c r="P471" s="104"/>
      <c r="Q471" s="94"/>
      <c r="R471" s="48"/>
      <c r="S471" s="48"/>
      <c r="T471" s="48"/>
      <c r="U471" s="104"/>
      <c r="V471" s="94"/>
      <c r="W471" s="48"/>
      <c r="X471" s="48"/>
      <c r="Y471" s="48"/>
      <c r="Z471" s="104"/>
      <c r="AA471" s="94"/>
      <c r="AB471" s="48"/>
      <c r="AC471" s="48"/>
      <c r="AD471" s="48"/>
      <c r="AE471" s="104"/>
      <c r="AF471" s="94"/>
      <c r="AG471" s="48"/>
      <c r="AH471" s="48"/>
      <c r="AI471" s="48"/>
      <c r="AJ471" s="104"/>
      <c r="AK471" s="94"/>
      <c r="AL471" s="48"/>
      <c r="AM471" s="48"/>
      <c r="AN471" s="48"/>
      <c r="AO471" s="104"/>
      <c r="AP471" s="94"/>
      <c r="AQ471" s="48"/>
      <c r="AR471" s="48"/>
      <c r="AS471" s="48"/>
      <c r="AT471" s="104"/>
      <c r="AU471" s="94"/>
      <c r="AV471" s="48"/>
      <c r="AW471" s="48"/>
      <c r="AX471" s="48"/>
      <c r="AY471" s="104"/>
      <c r="AZ471" s="94"/>
      <c r="BA471" s="48"/>
      <c r="BB471" s="48"/>
      <c r="BC471" s="48"/>
      <c r="BD471" s="104"/>
      <c r="BE471" s="94"/>
      <c r="BF471" s="99"/>
      <c r="BG471" s="48"/>
      <c r="BH471" s="48"/>
      <c r="BI471" s="104"/>
      <c r="BJ471" s="94"/>
      <c r="BK471" s="48"/>
      <c r="BL471" s="48"/>
      <c r="BM471" s="48"/>
      <c r="BN471" s="104"/>
      <c r="BO471" s="94"/>
      <c r="BP471" s="48"/>
      <c r="BQ471" s="48"/>
      <c r="BR471" s="48"/>
      <c r="BS471" s="104"/>
      <c r="BT471" s="94"/>
      <c r="BU471" s="48"/>
      <c r="BV471" s="48"/>
      <c r="BW471" s="48"/>
      <c r="BX471" s="104"/>
      <c r="BY471" s="94"/>
      <c r="BZ471" s="48"/>
      <c r="CA471" s="48"/>
      <c r="CB471" s="48"/>
      <c r="CC471" s="104"/>
      <c r="CD471" s="94"/>
      <c r="CE471" s="48"/>
      <c r="CF471" s="48"/>
      <c r="CG471" s="48"/>
      <c r="CH471" s="104"/>
      <c r="CI471" s="94"/>
      <c r="CJ471" s="48"/>
      <c r="CK471" s="48"/>
      <c r="CL471" s="48"/>
      <c r="CM471" s="104"/>
      <c r="CN471" s="94"/>
      <c r="CO471" s="48"/>
      <c r="CP471" s="48"/>
      <c r="CQ471" s="48"/>
      <c r="CR471" s="104"/>
      <c r="CS471" s="94"/>
      <c r="CT471" s="48"/>
      <c r="CU471" s="48"/>
      <c r="CV471" s="48"/>
      <c r="CW471" s="104"/>
      <c r="CX471" s="94"/>
      <c r="CY471" s="48"/>
      <c r="CZ471" s="48"/>
      <c r="DA471" s="48"/>
      <c r="DB471" s="104"/>
      <c r="DC471" s="48"/>
      <c r="DD471" s="48"/>
      <c r="DE471" s="48"/>
      <c r="DF471" s="48"/>
      <c r="DG471" s="48"/>
      <c r="DH471" s="48"/>
      <c r="DI471" s="48"/>
      <c r="DJ471" s="48"/>
      <c r="DK471" s="99"/>
      <c r="DL471" s="99"/>
      <c r="DM471" s="65"/>
    </row>
    <row r="472" spans="1:123" outlineLevel="1">
      <c r="A472" s="50" t="s">
        <v>820</v>
      </c>
      <c r="B472" s="94"/>
      <c r="C472" s="48"/>
      <c r="D472" s="48"/>
      <c r="E472" s="48"/>
      <c r="F472" s="104"/>
      <c r="G472" s="94"/>
      <c r="H472" s="48"/>
      <c r="I472" s="48"/>
      <c r="J472" s="48"/>
      <c r="K472" s="104"/>
      <c r="L472" s="94"/>
      <c r="M472" s="48"/>
      <c r="N472" s="48"/>
      <c r="O472" s="48"/>
      <c r="P472" s="104"/>
      <c r="Q472" s="94"/>
      <c r="R472" s="48"/>
      <c r="S472" s="48"/>
      <c r="T472" s="48"/>
      <c r="U472" s="104"/>
      <c r="V472" s="94"/>
      <c r="W472" s="48"/>
      <c r="X472" s="48"/>
      <c r="Y472" s="48"/>
      <c r="Z472" s="104"/>
      <c r="AA472" s="94"/>
      <c r="AB472" s="48"/>
      <c r="AC472" s="48"/>
      <c r="AD472" s="48"/>
      <c r="AE472" s="104"/>
      <c r="AF472" s="94"/>
      <c r="AG472" s="48"/>
      <c r="AH472" s="48"/>
      <c r="AI472" s="48"/>
      <c r="AJ472" s="104"/>
      <c r="AK472" s="94"/>
      <c r="AL472" s="48"/>
      <c r="AM472" s="48"/>
      <c r="AN472" s="48"/>
      <c r="AO472" s="104"/>
      <c r="AP472" s="94"/>
      <c r="AQ472" s="48"/>
      <c r="AR472" s="48"/>
      <c r="AS472" s="48"/>
      <c r="AT472" s="104"/>
      <c r="AU472" s="94"/>
      <c r="AV472" s="48"/>
      <c r="AW472" s="48"/>
      <c r="AX472" s="48"/>
      <c r="AY472" s="104"/>
      <c r="AZ472" s="94"/>
      <c r="BA472" s="48"/>
      <c r="BB472" s="48"/>
      <c r="BC472" s="48"/>
      <c r="BD472" s="104"/>
      <c r="BE472" s="94"/>
      <c r="BF472" s="99"/>
      <c r="BG472" s="48"/>
      <c r="BH472" s="48"/>
      <c r="BI472" s="104"/>
      <c r="BJ472" s="94"/>
      <c r="BK472" s="48"/>
      <c r="BL472" s="48"/>
      <c r="BM472" s="48"/>
      <c r="BN472" s="104"/>
      <c r="BO472" s="94"/>
      <c r="BP472" s="48"/>
      <c r="BQ472" s="48"/>
      <c r="BR472" s="48"/>
      <c r="BS472" s="104"/>
      <c r="BT472" s="94"/>
      <c r="BU472" s="48"/>
      <c r="BV472" s="48"/>
      <c r="BW472" s="48"/>
      <c r="BX472" s="104"/>
      <c r="BY472" s="94"/>
      <c r="BZ472" s="48"/>
      <c r="CA472" s="48"/>
      <c r="CB472" s="48"/>
      <c r="CC472" s="104"/>
      <c r="CD472" s="94"/>
      <c r="CE472" s="48"/>
      <c r="CF472" s="48"/>
      <c r="CG472" s="48"/>
      <c r="CH472" s="104"/>
      <c r="CI472" s="94"/>
      <c r="CJ472" s="48"/>
      <c r="CK472" s="48"/>
      <c r="CL472" s="48"/>
      <c r="CM472" s="104"/>
      <c r="CN472" s="94"/>
      <c r="CO472" s="48"/>
      <c r="CP472" s="48"/>
      <c r="CQ472" s="48"/>
      <c r="CR472" s="104"/>
      <c r="CS472" s="94"/>
      <c r="CT472" s="48"/>
      <c r="CU472" s="48"/>
      <c r="CV472" s="48"/>
      <c r="CW472" s="104"/>
      <c r="CX472" s="94"/>
      <c r="CY472" s="48"/>
      <c r="CZ472" s="48"/>
      <c r="DA472" s="48"/>
      <c r="DB472" s="104"/>
      <c r="DC472" s="48"/>
      <c r="DD472" s="48"/>
      <c r="DE472" s="48"/>
      <c r="DF472" s="48"/>
      <c r="DG472" s="48"/>
      <c r="DH472" s="48"/>
      <c r="DI472" s="48"/>
      <c r="DJ472" s="48"/>
      <c r="DK472" s="99"/>
      <c r="DL472" s="99"/>
      <c r="DM472" s="65"/>
    </row>
    <row r="473" spans="1:123" outlineLevel="1">
      <c r="A473" s="525" t="s">
        <v>821</v>
      </c>
      <c r="B473" s="522"/>
      <c r="C473" s="523"/>
      <c r="D473" s="523"/>
      <c r="E473" s="523"/>
      <c r="F473" s="524"/>
      <c r="G473" s="522"/>
      <c r="H473" s="523"/>
      <c r="I473" s="523"/>
      <c r="J473" s="523"/>
      <c r="K473" s="524"/>
      <c r="L473" s="522"/>
      <c r="M473" s="523"/>
      <c r="N473" s="523"/>
      <c r="O473" s="523"/>
      <c r="P473" s="524"/>
      <c r="Q473" s="522"/>
      <c r="R473" s="523"/>
      <c r="S473" s="523"/>
      <c r="T473" s="523"/>
      <c r="U473" s="524"/>
      <c r="V473" s="522"/>
      <c r="W473" s="523"/>
      <c r="X473" s="523"/>
      <c r="Y473" s="523"/>
      <c r="Z473" s="524"/>
      <c r="AA473" s="522"/>
      <c r="AB473" s="523"/>
      <c r="AC473" s="523"/>
      <c r="AD473" s="523"/>
      <c r="AE473" s="524"/>
      <c r="AF473" s="522"/>
      <c r="AG473" s="523"/>
      <c r="AH473" s="523"/>
      <c r="AI473" s="523"/>
      <c r="AJ473" s="524"/>
      <c r="AK473" s="522"/>
      <c r="AL473" s="523"/>
      <c r="AM473" s="523"/>
      <c r="AN473" s="523"/>
      <c r="AO473" s="524"/>
      <c r="AP473" s="522"/>
      <c r="AQ473" s="523"/>
      <c r="AR473" s="523"/>
      <c r="AS473" s="523"/>
      <c r="AT473" s="524"/>
      <c r="AU473" s="522"/>
      <c r="AV473" s="523"/>
      <c r="AW473" s="523"/>
      <c r="AX473" s="523"/>
      <c r="AY473" s="524"/>
      <c r="AZ473" s="522"/>
      <c r="BA473" s="523"/>
      <c r="BB473" s="523"/>
      <c r="BC473" s="523"/>
      <c r="BD473" s="524"/>
      <c r="BE473" s="522"/>
      <c r="BF473" s="523"/>
      <c r="BG473" s="523"/>
      <c r="BH473" s="523"/>
      <c r="BI473" s="524"/>
      <c r="BJ473" s="522"/>
      <c r="BK473" s="523"/>
      <c r="BL473" s="523"/>
      <c r="BM473" s="523"/>
      <c r="BN473" s="524"/>
      <c r="BO473" s="522"/>
      <c r="BP473" s="523"/>
      <c r="BQ473" s="523"/>
      <c r="BR473" s="523"/>
      <c r="BS473" s="524"/>
      <c r="BT473" s="522"/>
      <c r="BU473" s="523"/>
      <c r="BV473" s="523"/>
      <c r="BW473" s="523"/>
      <c r="BX473" s="524"/>
      <c r="BY473" s="522"/>
      <c r="BZ473" s="523"/>
      <c r="CA473" s="523"/>
      <c r="CB473" s="523"/>
      <c r="CC473" s="524"/>
      <c r="CD473" s="522"/>
      <c r="CE473" s="523"/>
      <c r="CF473" s="523"/>
      <c r="CG473" s="523"/>
      <c r="CH473" s="524"/>
      <c r="CI473" s="522"/>
      <c r="CJ473" s="523"/>
      <c r="CK473" s="523"/>
      <c r="CL473" s="523"/>
      <c r="CM473" s="524"/>
      <c r="CN473" s="522"/>
      <c r="CO473" s="523"/>
      <c r="CP473" s="523"/>
      <c r="CQ473" s="523"/>
      <c r="CR473" s="524"/>
      <c r="CS473" s="522"/>
      <c r="CT473" s="523"/>
      <c r="CU473" s="523"/>
      <c r="CV473" s="523"/>
      <c r="CW473" s="524"/>
      <c r="CX473" s="522"/>
      <c r="CY473" s="523"/>
      <c r="CZ473" s="523"/>
      <c r="DA473" s="523"/>
      <c r="DB473" s="524"/>
      <c r="DC473" s="48"/>
      <c r="DD473" s="48"/>
      <c r="DE473" s="48"/>
      <c r="DF473" s="48"/>
      <c r="DG473" s="48"/>
      <c r="DH473" s="48"/>
      <c r="DI473" s="48"/>
      <c r="DJ473" s="48"/>
      <c r="DK473" s="99"/>
      <c r="DL473" s="99"/>
      <c r="DM473" s="65"/>
    </row>
    <row r="474" spans="1:123" outlineLevel="1">
      <c r="A474" s="520" t="s">
        <v>822</v>
      </c>
      <c r="B474" s="94"/>
      <c r="C474" s="48"/>
      <c r="D474" s="48"/>
      <c r="E474" s="48"/>
      <c r="F474" s="104"/>
      <c r="G474" s="94"/>
      <c r="H474" s="48"/>
      <c r="I474" s="48"/>
      <c r="J474" s="48"/>
      <c r="K474" s="104"/>
      <c r="L474" s="94"/>
      <c r="M474" s="48"/>
      <c r="N474" s="48"/>
      <c r="O474" s="48"/>
      <c r="P474" s="104"/>
      <c r="Q474" s="94"/>
      <c r="R474" s="48"/>
      <c r="S474" s="48"/>
      <c r="T474" s="48"/>
      <c r="U474" s="104"/>
      <c r="V474" s="94"/>
      <c r="W474" s="48"/>
      <c r="X474" s="48"/>
      <c r="Y474" s="48"/>
      <c r="Z474" s="104"/>
      <c r="AA474" s="94"/>
      <c r="AB474" s="48"/>
      <c r="AC474" s="48"/>
      <c r="AD474" s="48"/>
      <c r="AE474" s="104"/>
      <c r="AF474" s="94"/>
      <c r="AG474" s="48"/>
      <c r="AH474" s="48"/>
      <c r="AI474" s="48"/>
      <c r="AJ474" s="104"/>
      <c r="AK474" s="94"/>
      <c r="AL474" s="48"/>
      <c r="AM474" s="48"/>
      <c r="AN474" s="48"/>
      <c r="AO474" s="104"/>
      <c r="AP474" s="94"/>
      <c r="AQ474" s="48"/>
      <c r="AR474" s="48"/>
      <c r="AS474" s="48"/>
      <c r="AT474" s="104"/>
      <c r="AU474" s="387"/>
      <c r="AV474" s="388"/>
      <c r="AW474" s="388"/>
      <c r="AX474" s="388"/>
      <c r="AY474" s="521"/>
      <c r="AZ474" s="387"/>
      <c r="BA474" s="388"/>
      <c r="BB474" s="388"/>
      <c r="BC474" s="388"/>
      <c r="BD474" s="521"/>
      <c r="BE474" s="387"/>
      <c r="BF474" s="388"/>
      <c r="BG474" s="388"/>
      <c r="BH474" s="388"/>
      <c r="BI474" s="521"/>
      <c r="BJ474" s="387"/>
      <c r="BK474" s="388"/>
      <c r="BL474" s="388"/>
      <c r="BM474" s="388"/>
      <c r="BN474" s="521"/>
      <c r="BO474" s="387"/>
      <c r="BP474" s="388"/>
      <c r="BQ474" s="388"/>
      <c r="BR474" s="388"/>
      <c r="BS474" s="521"/>
      <c r="BT474" s="387"/>
      <c r="BU474" s="388"/>
      <c r="BV474" s="388"/>
      <c r="BW474" s="388"/>
      <c r="BX474" s="521"/>
      <c r="BY474" s="387"/>
      <c r="BZ474" s="388"/>
      <c r="CA474" s="388"/>
      <c r="CB474" s="388"/>
      <c r="CC474" s="521"/>
      <c r="CD474" s="387"/>
      <c r="CE474" s="388"/>
      <c r="CF474" s="388"/>
      <c r="CG474" s="388"/>
      <c r="CH474" s="521"/>
      <c r="CI474" s="387"/>
      <c r="CJ474" s="388"/>
      <c r="CK474" s="388"/>
      <c r="CL474" s="388"/>
      <c r="CM474" s="521"/>
      <c r="CN474" s="387"/>
      <c r="CO474" s="388"/>
      <c r="CP474" s="388"/>
      <c r="CQ474" s="388"/>
      <c r="CR474" s="521"/>
      <c r="CS474" s="387"/>
      <c r="CT474" s="388"/>
      <c r="CU474" s="388"/>
      <c r="CV474" s="388"/>
      <c r="CW474" s="521"/>
      <c r="CX474" s="387"/>
      <c r="CY474" s="388"/>
      <c r="CZ474" s="388"/>
      <c r="DA474" s="388"/>
      <c r="DB474" s="521"/>
      <c r="DC474" s="388"/>
      <c r="DD474" s="388"/>
      <c r="DE474" s="388"/>
      <c r="DF474" s="388"/>
      <c r="DG474" s="388"/>
      <c r="DH474" s="388"/>
      <c r="DI474" s="388"/>
      <c r="DJ474" s="388"/>
      <c r="DK474" s="99"/>
      <c r="DL474" s="99"/>
      <c r="DM474" s="65"/>
    </row>
    <row r="475" spans="1:123" outlineLevel="1">
      <c r="A475" s="50"/>
      <c r="B475" s="94"/>
      <c r="C475" s="48"/>
      <c r="D475" s="48"/>
      <c r="E475" s="48"/>
      <c r="F475" s="104"/>
      <c r="G475" s="94"/>
      <c r="H475" s="48"/>
      <c r="I475" s="48"/>
      <c r="J475" s="48"/>
      <c r="K475" s="104"/>
      <c r="L475" s="94"/>
      <c r="M475" s="48"/>
      <c r="N475" s="48"/>
      <c r="O475" s="48"/>
      <c r="P475" s="104"/>
      <c r="Q475" s="94"/>
      <c r="R475" s="48"/>
      <c r="S475" s="48"/>
      <c r="T475" s="48"/>
      <c r="U475" s="104"/>
      <c r="V475" s="94"/>
      <c r="W475" s="48"/>
      <c r="X475" s="48"/>
      <c r="Y475" s="48"/>
      <c r="Z475" s="104"/>
      <c r="AA475" s="94"/>
      <c r="AB475" s="48"/>
      <c r="AC475" s="48"/>
      <c r="AD475" s="48"/>
      <c r="AE475" s="104"/>
      <c r="AF475" s="94"/>
      <c r="AG475" s="48"/>
      <c r="AH475" s="48"/>
      <c r="AI475" s="48"/>
      <c r="AJ475" s="104"/>
      <c r="AK475" s="94"/>
      <c r="AL475" s="48"/>
      <c r="AM475" s="48"/>
      <c r="AN475" s="48"/>
      <c r="AO475" s="104"/>
      <c r="AP475" s="94"/>
      <c r="AQ475" s="48"/>
      <c r="AR475" s="48"/>
      <c r="AS475" s="48"/>
      <c r="AT475" s="104"/>
      <c r="AU475" s="94"/>
      <c r="AV475" s="48"/>
      <c r="AW475" s="48"/>
      <c r="AX475" s="48"/>
      <c r="AY475" s="104"/>
      <c r="AZ475" s="94"/>
      <c r="BA475" s="48"/>
      <c r="BB475" s="48"/>
      <c r="BC475" s="48"/>
      <c r="BD475" s="104"/>
      <c r="BE475" s="94"/>
      <c r="BF475" s="48"/>
      <c r="BG475" s="48"/>
      <c r="BH475" s="48"/>
      <c r="BI475" s="104"/>
      <c r="BJ475" s="94"/>
      <c r="BK475" s="48"/>
      <c r="BL475" s="48"/>
      <c r="BM475" s="48"/>
      <c r="BN475" s="104"/>
      <c r="BO475" s="94"/>
      <c r="BP475" s="48"/>
      <c r="BQ475" s="48"/>
      <c r="BR475" s="48"/>
      <c r="BS475" s="104"/>
      <c r="BT475" s="94"/>
      <c r="BU475" s="48"/>
      <c r="BV475" s="48"/>
      <c r="BW475" s="48"/>
      <c r="BX475" s="104"/>
      <c r="BY475" s="94"/>
      <c r="BZ475" s="48"/>
      <c r="CA475" s="48"/>
      <c r="CB475" s="48"/>
      <c r="CC475" s="104"/>
      <c r="CD475" s="94"/>
      <c r="CE475" s="48"/>
      <c r="CF475" s="48"/>
      <c r="CG475" s="48"/>
      <c r="CH475" s="104"/>
      <c r="CI475" s="94"/>
      <c r="CJ475" s="48"/>
      <c r="CK475" s="48"/>
      <c r="CL475" s="48"/>
      <c r="CM475" s="104"/>
      <c r="CN475" s="94"/>
      <c r="CO475" s="48"/>
      <c r="CP475" s="48"/>
      <c r="CQ475" s="48"/>
      <c r="CR475" s="104"/>
      <c r="CS475" s="94"/>
      <c r="CT475" s="48"/>
      <c r="CU475" s="48"/>
      <c r="CV475" s="48"/>
      <c r="CW475" s="104"/>
      <c r="CX475" s="94"/>
      <c r="CY475" s="48"/>
      <c r="CZ475" s="48"/>
      <c r="DA475" s="48"/>
      <c r="DB475" s="104"/>
      <c r="DC475" s="48"/>
      <c r="DD475" s="48"/>
      <c r="DE475" s="48"/>
      <c r="DF475" s="48"/>
      <c r="DG475" s="48"/>
      <c r="DH475" s="48"/>
      <c r="DI475" s="48"/>
      <c r="DJ475" s="48"/>
      <c r="DK475" s="99"/>
      <c r="DL475" s="99"/>
      <c r="DM475" s="65"/>
    </row>
    <row r="476" spans="1:123" outlineLevel="1">
      <c r="A476" s="525" t="s">
        <v>400</v>
      </c>
      <c r="B476" s="522"/>
      <c r="C476" s="523"/>
      <c r="D476" s="523"/>
      <c r="E476" s="523"/>
      <c r="F476" s="524"/>
      <c r="G476" s="522"/>
      <c r="H476" s="523"/>
      <c r="I476" s="523"/>
      <c r="J476" s="523"/>
      <c r="K476" s="524"/>
      <c r="L476" s="522"/>
      <c r="M476" s="523"/>
      <c r="N476" s="523"/>
      <c r="O476" s="523"/>
      <c r="P476" s="524"/>
      <c r="Q476" s="522"/>
      <c r="R476" s="523"/>
      <c r="S476" s="523"/>
      <c r="T476" s="523"/>
      <c r="U476" s="524"/>
      <c r="V476" s="522"/>
      <c r="W476" s="523"/>
      <c r="X476" s="523"/>
      <c r="Y476" s="523"/>
      <c r="Z476" s="524"/>
      <c r="AA476" s="522"/>
      <c r="AB476" s="523"/>
      <c r="AC476" s="523"/>
      <c r="AD476" s="523"/>
      <c r="AE476" s="524"/>
      <c r="AF476" s="522"/>
      <c r="AG476" s="523"/>
      <c r="AH476" s="523"/>
      <c r="AI476" s="523"/>
      <c r="AJ476" s="524"/>
      <c r="AK476" s="522"/>
      <c r="AL476" s="523"/>
      <c r="AM476" s="523"/>
      <c r="AN476" s="523"/>
      <c r="AO476" s="524"/>
      <c r="AP476" s="522"/>
      <c r="AQ476" s="523"/>
      <c r="AR476" s="523"/>
      <c r="AS476" s="523"/>
      <c r="AT476" s="524"/>
      <c r="AU476" s="522"/>
      <c r="AV476" s="523"/>
      <c r="AW476" s="523"/>
      <c r="AX476" s="523"/>
      <c r="AY476" s="524"/>
      <c r="AZ476" s="522"/>
      <c r="BA476" s="523"/>
      <c r="BB476" s="523"/>
      <c r="BC476" s="523"/>
      <c r="BD476" s="524"/>
      <c r="BE476" s="522"/>
      <c r="BF476" s="523"/>
      <c r="BG476" s="523"/>
      <c r="BH476" s="523"/>
      <c r="BI476" s="524"/>
      <c r="BJ476" s="522"/>
      <c r="BK476" s="523"/>
      <c r="BL476" s="523"/>
      <c r="BM476" s="523"/>
      <c r="BN476" s="524"/>
      <c r="BO476" s="522"/>
      <c r="BP476" s="523"/>
      <c r="BQ476" s="523"/>
      <c r="BR476" s="523"/>
      <c r="BS476" s="524"/>
      <c r="BT476" s="522"/>
      <c r="BU476" s="523"/>
      <c r="BV476" s="523"/>
      <c r="BW476" s="523"/>
      <c r="BX476" s="524"/>
      <c r="BY476" s="522"/>
      <c r="BZ476" s="523"/>
      <c r="CA476" s="523"/>
      <c r="CB476" s="523"/>
      <c r="CC476" s="524"/>
      <c r="CD476" s="522"/>
      <c r="CE476" s="523"/>
      <c r="CF476" s="523"/>
      <c r="CG476" s="523"/>
      <c r="CH476" s="524"/>
      <c r="CI476" s="522"/>
      <c r="CJ476" s="523"/>
      <c r="CK476" s="523"/>
      <c r="CL476" s="523"/>
      <c r="CM476" s="524"/>
      <c r="CN476" s="522"/>
      <c r="CO476" s="523"/>
      <c r="CP476" s="523"/>
      <c r="CQ476" s="523"/>
      <c r="CR476" s="524"/>
      <c r="CS476" s="522"/>
      <c r="CT476" s="523"/>
      <c r="CU476" s="523"/>
      <c r="CV476" s="523"/>
      <c r="CW476" s="524"/>
      <c r="CX476" s="522"/>
      <c r="CY476" s="523"/>
      <c r="CZ476" s="523"/>
      <c r="DA476" s="523"/>
      <c r="DB476" s="524"/>
      <c r="DC476" s="48"/>
      <c r="DD476" s="48"/>
      <c r="DE476" s="48"/>
      <c r="DF476" s="48"/>
      <c r="DG476" s="48"/>
      <c r="DH476" s="48"/>
      <c r="DI476" s="48"/>
      <c r="DJ476" s="48"/>
      <c r="DK476" s="99"/>
      <c r="DL476" s="99"/>
      <c r="DM476" s="65"/>
    </row>
    <row r="477" spans="1:123" outlineLevel="1">
      <c r="A477" s="520" t="s">
        <v>592</v>
      </c>
      <c r="B477" s="94"/>
      <c r="C477" s="48"/>
      <c r="D477" s="48"/>
      <c r="E477" s="48"/>
      <c r="F477" s="104"/>
      <c r="G477" s="94"/>
      <c r="H477" s="48"/>
      <c r="I477" s="48"/>
      <c r="J477" s="48"/>
      <c r="K477" s="104"/>
      <c r="L477" s="94"/>
      <c r="M477" s="48"/>
      <c r="N477" s="48"/>
      <c r="O477" s="48"/>
      <c r="P477" s="104"/>
      <c r="Q477" s="94"/>
      <c r="R477" s="48"/>
      <c r="S477" s="48"/>
      <c r="T477" s="48"/>
      <c r="U477" s="104"/>
      <c r="V477" s="94"/>
      <c r="W477" s="48"/>
      <c r="X477" s="48"/>
      <c r="Y477" s="48"/>
      <c r="Z477" s="104"/>
      <c r="AA477" s="94"/>
      <c r="AB477" s="48"/>
      <c r="AC477" s="48"/>
      <c r="AD477" s="48"/>
      <c r="AE477" s="104"/>
      <c r="AF477" s="94"/>
      <c r="AG477" s="48"/>
      <c r="AH477" s="48"/>
      <c r="AI477" s="48"/>
      <c r="AJ477" s="104"/>
      <c r="AK477" s="94"/>
      <c r="AL477" s="48"/>
      <c r="AM477" s="48"/>
      <c r="AN477" s="48"/>
      <c r="AO477" s="104"/>
      <c r="AP477" s="94"/>
      <c r="AQ477" s="48"/>
      <c r="AR477" s="48"/>
      <c r="AS477" s="48"/>
      <c r="AT477" s="104"/>
      <c r="AU477" s="387"/>
      <c r="AV477" s="388"/>
      <c r="AW477" s="388"/>
      <c r="AX477" s="388"/>
      <c r="AY477" s="521"/>
      <c r="AZ477" s="387"/>
      <c r="BA477" s="388"/>
      <c r="BB477" s="388"/>
      <c r="BC477" s="388"/>
      <c r="BD477" s="521"/>
      <c r="BE477" s="387"/>
      <c r="BF477" s="388"/>
      <c r="BG477" s="388"/>
      <c r="BH477" s="388"/>
      <c r="BI477" s="521"/>
      <c r="BJ477" s="387"/>
      <c r="BK477" s="388"/>
      <c r="BL477" s="388"/>
      <c r="BM477" s="388"/>
      <c r="BN477" s="521"/>
      <c r="BO477" s="387"/>
      <c r="BP477" s="388"/>
      <c r="BQ477" s="388"/>
      <c r="BR477" s="388"/>
      <c r="BS477" s="521"/>
      <c r="BT477" s="387"/>
      <c r="BU477" s="388"/>
      <c r="BV477" s="388"/>
      <c r="BW477" s="388"/>
      <c r="BX477" s="521"/>
      <c r="BY477" s="387"/>
      <c r="BZ477" s="388"/>
      <c r="CA477" s="388"/>
      <c r="CB477" s="388"/>
      <c r="CC477" s="521"/>
      <c r="CD477" s="387"/>
      <c r="CE477" s="388"/>
      <c r="CF477" s="388"/>
      <c r="CG477" s="388"/>
      <c r="CH477" s="521"/>
      <c r="CI477" s="387"/>
      <c r="CJ477" s="388"/>
      <c r="CK477" s="388"/>
      <c r="CL477" s="388"/>
      <c r="CM477" s="521"/>
      <c r="CN477" s="387"/>
      <c r="CO477" s="388"/>
      <c r="CP477" s="388"/>
      <c r="CQ477" s="388"/>
      <c r="CR477" s="521"/>
      <c r="CS477" s="387"/>
      <c r="CT477" s="388"/>
      <c r="CU477" s="388"/>
      <c r="CV477" s="388"/>
      <c r="CW477" s="521"/>
      <c r="CX477" s="387"/>
      <c r="CY477" s="388"/>
      <c r="CZ477" s="388"/>
      <c r="DA477" s="388"/>
      <c r="DB477" s="521"/>
      <c r="DC477" s="388"/>
      <c r="DD477" s="388"/>
      <c r="DE477" s="388"/>
      <c r="DF477" s="388"/>
      <c r="DG477" s="388"/>
      <c r="DH477" s="388"/>
      <c r="DI477" s="388"/>
      <c r="DJ477" s="388"/>
      <c r="DK477" s="99"/>
      <c r="DL477" s="99"/>
      <c r="DM477" s="65"/>
    </row>
    <row r="478" spans="1:123" outlineLevel="1">
      <c r="A478" s="50"/>
      <c r="B478" s="94"/>
      <c r="C478" s="48"/>
      <c r="D478" s="48"/>
      <c r="E478" s="48"/>
      <c r="F478" s="104"/>
      <c r="G478" s="94"/>
      <c r="H478" s="48"/>
      <c r="I478" s="48"/>
      <c r="J478" s="48"/>
      <c r="K478" s="104"/>
      <c r="L478" s="94"/>
      <c r="M478" s="48"/>
      <c r="N478" s="48"/>
      <c r="O478" s="48"/>
      <c r="P478" s="104"/>
      <c r="Q478" s="94"/>
      <c r="R478" s="48"/>
      <c r="S478" s="48"/>
      <c r="T478" s="48"/>
      <c r="U478" s="104"/>
      <c r="V478" s="94"/>
      <c r="W478" s="48"/>
      <c r="X478" s="48"/>
      <c r="Y478" s="48"/>
      <c r="Z478" s="104"/>
      <c r="AA478" s="94"/>
      <c r="AB478" s="48"/>
      <c r="AC478" s="48"/>
      <c r="AD478" s="48"/>
      <c r="AE478" s="104"/>
      <c r="AF478" s="94"/>
      <c r="AG478" s="48"/>
      <c r="AH478" s="48"/>
      <c r="AI478" s="48"/>
      <c r="AJ478" s="104"/>
      <c r="AK478" s="94"/>
      <c r="AL478" s="48"/>
      <c r="AM478" s="48"/>
      <c r="AN478" s="48"/>
      <c r="AO478" s="104"/>
      <c r="AP478" s="94"/>
      <c r="AQ478" s="48"/>
      <c r="AR478" s="48"/>
      <c r="AS478" s="48"/>
      <c r="AT478" s="104"/>
      <c r="AU478" s="94"/>
      <c r="AV478" s="48"/>
      <c r="AW478" s="48"/>
      <c r="AX478" s="48"/>
      <c r="AY478" s="104"/>
      <c r="AZ478" s="94"/>
      <c r="BA478" s="48"/>
      <c r="BB478" s="48"/>
      <c r="BC478" s="48"/>
      <c r="BD478" s="104"/>
      <c r="BE478" s="94"/>
      <c r="BF478" s="48"/>
      <c r="BG478" s="48"/>
      <c r="BH478" s="48"/>
      <c r="BI478" s="104"/>
      <c r="BJ478" s="94"/>
      <c r="BK478" s="48"/>
      <c r="BL478" s="48"/>
      <c r="BM478" s="48"/>
      <c r="BN478" s="104"/>
      <c r="BO478" s="94"/>
      <c r="BP478" s="48"/>
      <c r="BQ478" s="48"/>
      <c r="BR478" s="48"/>
      <c r="BS478" s="104"/>
      <c r="BT478" s="94"/>
      <c r="BU478" s="48"/>
      <c r="BV478" s="48"/>
      <c r="BW478" s="48"/>
      <c r="BX478" s="104"/>
      <c r="BY478" s="94"/>
      <c r="BZ478" s="48"/>
      <c r="CA478" s="48"/>
      <c r="CB478" s="48"/>
      <c r="CC478" s="104"/>
      <c r="CD478" s="94"/>
      <c r="CE478" s="48"/>
      <c r="CF478" s="48"/>
      <c r="CG478" s="48"/>
      <c r="CH478" s="104"/>
      <c r="CI478" s="94"/>
      <c r="CJ478" s="48"/>
      <c r="CK478" s="48"/>
      <c r="CL478" s="48"/>
      <c r="CM478" s="104"/>
      <c r="CN478" s="94"/>
      <c r="CO478" s="48"/>
      <c r="CP478" s="48"/>
      <c r="CQ478" s="48"/>
      <c r="CR478" s="104"/>
      <c r="CS478" s="94"/>
      <c r="CT478" s="48"/>
      <c r="CU478" s="48"/>
      <c r="CV478" s="48"/>
      <c r="CW478" s="104"/>
      <c r="CX478" s="94"/>
      <c r="CY478" s="48"/>
      <c r="CZ478" s="48"/>
      <c r="DA478" s="48"/>
      <c r="DB478" s="104"/>
      <c r="DC478" s="48"/>
      <c r="DD478" s="48"/>
      <c r="DE478" s="48"/>
      <c r="DF478" s="48"/>
      <c r="DG478" s="48"/>
      <c r="DH478" s="48"/>
      <c r="DI478" s="48"/>
      <c r="DJ478" s="48"/>
      <c r="DK478" s="99"/>
      <c r="DL478" s="99"/>
      <c r="DM478" s="65"/>
    </row>
    <row r="479" spans="1:123" s="528" customFormat="1" outlineLevel="1">
      <c r="A479" s="520" t="s">
        <v>301</v>
      </c>
      <c r="B479" s="160"/>
      <c r="C479" s="168"/>
      <c r="D479" s="168"/>
      <c r="E479" s="168"/>
      <c r="F479" s="235"/>
      <c r="G479" s="160"/>
      <c r="H479" s="168"/>
      <c r="I479" s="168"/>
      <c r="J479" s="168"/>
      <c r="K479" s="235"/>
      <c r="L479" s="160"/>
      <c r="M479" s="168"/>
      <c r="N479" s="168"/>
      <c r="O479" s="168"/>
      <c r="P479" s="235"/>
      <c r="Q479" s="160"/>
      <c r="R479" s="168"/>
      <c r="S479" s="168"/>
      <c r="T479" s="168"/>
      <c r="U479" s="235"/>
      <c r="V479" s="160"/>
      <c r="W479" s="168"/>
      <c r="X479" s="168"/>
      <c r="Y479" s="168"/>
      <c r="Z479" s="235"/>
      <c r="AA479" s="160"/>
      <c r="AB479" s="168"/>
      <c r="AC479" s="168"/>
      <c r="AD479" s="168"/>
      <c r="AE479" s="235"/>
      <c r="AF479" s="160"/>
      <c r="AG479" s="168"/>
      <c r="AH479" s="168"/>
      <c r="AI479" s="168"/>
      <c r="AJ479" s="235"/>
      <c r="AK479" s="160"/>
      <c r="AL479" s="168"/>
      <c r="AM479" s="168"/>
      <c r="AN479" s="168"/>
      <c r="AO479" s="235"/>
      <c r="AP479" s="160"/>
      <c r="AQ479" s="168"/>
      <c r="AR479" s="168"/>
      <c r="AS479" s="168"/>
      <c r="AT479" s="235"/>
      <c r="AU479" s="160"/>
      <c r="AV479" s="168"/>
      <c r="AW479" s="168"/>
      <c r="AX479" s="168"/>
      <c r="AY479" s="235"/>
      <c r="AZ479" s="160"/>
      <c r="BA479" s="168"/>
      <c r="BB479" s="168"/>
      <c r="BC479" s="168"/>
      <c r="BD479" s="235"/>
      <c r="BE479" s="160"/>
      <c r="BF479" s="388"/>
      <c r="BG479" s="168"/>
      <c r="BH479" s="388"/>
      <c r="BI479" s="521"/>
      <c r="BJ479" s="160"/>
      <c r="BK479" s="388"/>
      <c r="BL479" s="168"/>
      <c r="BM479" s="168"/>
      <c r="BN479" s="235"/>
      <c r="BO479" s="160"/>
      <c r="BP479" s="168"/>
      <c r="BQ479" s="168"/>
      <c r="BR479" s="168"/>
      <c r="BS479" s="235"/>
      <c r="BT479" s="160"/>
      <c r="BU479" s="168"/>
      <c r="BV479" s="168"/>
      <c r="BW479" s="168"/>
      <c r="BX479" s="235"/>
      <c r="BY479" s="160"/>
      <c r="BZ479" s="168"/>
      <c r="CA479" s="168"/>
      <c r="CB479" s="168"/>
      <c r="CC479" s="235"/>
      <c r="CD479" s="160"/>
      <c r="CE479" s="168"/>
      <c r="CF479" s="168"/>
      <c r="CG479" s="168"/>
      <c r="CH479" s="235"/>
      <c r="CI479" s="160"/>
      <c r="CJ479" s="168"/>
      <c r="CK479" s="168"/>
      <c r="CL479" s="168"/>
      <c r="CM479" s="235"/>
      <c r="CN479" s="160"/>
      <c r="CO479" s="168"/>
      <c r="CP479" s="168"/>
      <c r="CQ479" s="168"/>
      <c r="CR479" s="235"/>
      <c r="CS479" s="160"/>
      <c r="CT479" s="168"/>
      <c r="CU479" s="168"/>
      <c r="CV479" s="168"/>
      <c r="CW479" s="235"/>
      <c r="CX479" s="160"/>
      <c r="CY479" s="168"/>
      <c r="CZ479" s="168"/>
      <c r="DA479" s="168"/>
      <c r="DB479" s="235"/>
      <c r="DC479" s="168"/>
      <c r="DD479" s="168"/>
      <c r="DE479" s="168"/>
      <c r="DF479" s="168"/>
      <c r="DG479" s="168"/>
      <c r="DH479" s="168"/>
      <c r="DI479" s="168"/>
      <c r="DJ479" s="168"/>
      <c r="DK479" s="406"/>
      <c r="DL479" s="406"/>
      <c r="DM479" s="420"/>
      <c r="DN479"/>
      <c r="DO479"/>
      <c r="DP479"/>
      <c r="DQ479"/>
      <c r="DR479"/>
      <c r="DS479"/>
    </row>
    <row r="480" spans="1:123" outlineLevel="1">
      <c r="A480" s="50" t="s">
        <v>731</v>
      </c>
      <c r="B480" s="94"/>
      <c r="C480" s="48"/>
      <c r="D480" s="48"/>
      <c r="E480" s="48"/>
      <c r="F480" s="104"/>
      <c r="G480" s="94"/>
      <c r="H480" s="48"/>
      <c r="I480" s="48"/>
      <c r="J480" s="48"/>
      <c r="K480" s="104"/>
      <c r="L480" s="94"/>
      <c r="M480" s="48"/>
      <c r="N480" s="48"/>
      <c r="O480" s="48"/>
      <c r="P480" s="104"/>
      <c r="Q480" s="94"/>
      <c r="R480" s="48"/>
      <c r="S480" s="48"/>
      <c r="T480" s="48"/>
      <c r="U480" s="104"/>
      <c r="V480" s="94"/>
      <c r="W480" s="48"/>
      <c r="X480" s="48"/>
      <c r="Y480" s="48"/>
      <c r="Z480" s="104"/>
      <c r="AA480" s="94"/>
      <c r="AB480" s="48"/>
      <c r="AC480" s="48"/>
      <c r="AD480" s="48"/>
      <c r="AE480" s="104"/>
      <c r="AF480" s="94"/>
      <c r="AG480" s="48"/>
      <c r="AH480" s="48"/>
      <c r="AI480" s="48"/>
      <c r="AJ480" s="104"/>
      <c r="AK480" s="94"/>
      <c r="AL480" s="48"/>
      <c r="AM480" s="48"/>
      <c r="AN480" s="48"/>
      <c r="AO480" s="104"/>
      <c r="AP480" s="94"/>
      <c r="AQ480" s="48"/>
      <c r="AR480" s="48"/>
      <c r="AS480" s="48"/>
      <c r="AT480" s="104"/>
      <c r="AU480" s="94"/>
      <c r="AV480" s="48"/>
      <c r="AW480" s="48"/>
      <c r="AX480" s="48"/>
      <c r="AY480" s="104"/>
      <c r="AZ480" s="94"/>
      <c r="BA480" s="48"/>
      <c r="BB480" s="48"/>
      <c r="BC480" s="48"/>
      <c r="BD480" s="104"/>
      <c r="BE480" s="94"/>
      <c r="BF480" s="48"/>
      <c r="BG480" s="48"/>
      <c r="BH480" s="48"/>
      <c r="BI480" s="104"/>
      <c r="BJ480" s="94"/>
      <c r="BK480" s="48"/>
      <c r="BL480" s="48"/>
      <c r="BM480" s="48"/>
      <c r="BN480" s="104"/>
      <c r="BO480" s="94"/>
      <c r="BP480" s="48"/>
      <c r="BQ480" s="48"/>
      <c r="BR480" s="48"/>
      <c r="BS480" s="104"/>
      <c r="BT480" s="94"/>
      <c r="BU480" s="48"/>
      <c r="BV480" s="48"/>
      <c r="BW480" s="48"/>
      <c r="BX480" s="104"/>
      <c r="BY480" s="94"/>
      <c r="BZ480" s="48"/>
      <c r="CA480" s="48"/>
      <c r="CB480" s="48"/>
      <c r="CC480" s="104"/>
      <c r="CD480" s="94"/>
      <c r="CE480" s="48"/>
      <c r="CF480" s="48"/>
      <c r="CG480" s="48"/>
      <c r="CH480" s="104"/>
      <c r="CI480" s="94"/>
      <c r="CJ480" s="48"/>
      <c r="CK480" s="48"/>
      <c r="CL480" s="48"/>
      <c r="CM480" s="104"/>
      <c r="CN480" s="94"/>
      <c r="CO480" s="48"/>
      <c r="CP480" s="48"/>
      <c r="CQ480" s="48"/>
      <c r="CR480" s="104"/>
      <c r="CS480" s="94"/>
      <c r="CT480" s="48"/>
      <c r="CU480" s="48"/>
      <c r="CV480" s="48"/>
      <c r="CW480" s="104"/>
      <c r="CX480" s="94"/>
      <c r="CY480" s="48"/>
      <c r="CZ480" s="48"/>
      <c r="DA480" s="48"/>
      <c r="DB480" s="104"/>
      <c r="DC480" s="48"/>
      <c r="DD480" s="48"/>
      <c r="DE480" s="48"/>
      <c r="DF480" s="48"/>
      <c r="DG480" s="48"/>
      <c r="DH480" s="48"/>
      <c r="DI480" s="48"/>
      <c r="DJ480" s="48"/>
      <c r="DK480" s="99"/>
      <c r="DL480" s="99"/>
      <c r="DM480" s="65"/>
    </row>
    <row r="481" spans="1:124" outlineLevel="1">
      <c r="A481" s="50"/>
      <c r="B481" s="94"/>
      <c r="C481" s="48"/>
      <c r="D481" s="48"/>
      <c r="E481" s="48"/>
      <c r="F481" s="104"/>
      <c r="G481" s="94"/>
      <c r="H481" s="48"/>
      <c r="I481" s="48"/>
      <c r="J481" s="48"/>
      <c r="K481" s="104"/>
      <c r="L481" s="94"/>
      <c r="M481" s="48"/>
      <c r="N481" s="48"/>
      <c r="O481" s="48"/>
      <c r="P481" s="104"/>
      <c r="Q481" s="94"/>
      <c r="R481" s="48"/>
      <c r="S481" s="48"/>
      <c r="T481" s="48"/>
      <c r="U481" s="104"/>
      <c r="V481" s="94"/>
      <c r="W481" s="48"/>
      <c r="X481" s="48"/>
      <c r="Y481" s="48"/>
      <c r="Z481" s="104"/>
      <c r="AA481" s="94"/>
      <c r="AB481" s="48"/>
      <c r="AC481" s="48"/>
      <c r="AD481" s="48"/>
      <c r="AE481" s="104"/>
      <c r="AF481" s="94"/>
      <c r="AG481" s="48"/>
      <c r="AH481" s="48"/>
      <c r="AI481" s="48"/>
      <c r="AJ481" s="104"/>
      <c r="AK481" s="94"/>
      <c r="AL481" s="48"/>
      <c r="AM481" s="48"/>
      <c r="AN481" s="48"/>
      <c r="AO481" s="104"/>
      <c r="AP481" s="94"/>
      <c r="AQ481" s="48"/>
      <c r="AR481" s="48"/>
      <c r="AS481" s="48"/>
      <c r="AT481" s="104"/>
      <c r="AU481" s="94"/>
      <c r="AV481" s="48"/>
      <c r="AW481" s="48"/>
      <c r="AX481" s="48"/>
      <c r="AY481" s="104"/>
      <c r="AZ481" s="94"/>
      <c r="BA481" s="48"/>
      <c r="BB481" s="48"/>
      <c r="BC481" s="48"/>
      <c r="BD481" s="104"/>
      <c r="BE481" s="94"/>
      <c r="BF481" s="48"/>
      <c r="BG481" s="48"/>
      <c r="BH481" s="48"/>
      <c r="BI481" s="104"/>
      <c r="BJ481" s="94"/>
      <c r="BK481" s="48"/>
      <c r="BL481" s="48"/>
      <c r="BM481" s="48"/>
      <c r="BN481" s="104"/>
      <c r="BO481" s="94"/>
      <c r="BP481" s="48"/>
      <c r="BQ481" s="48"/>
      <c r="BR481" s="48"/>
      <c r="BS481" s="104"/>
      <c r="BT481" s="94"/>
      <c r="BU481" s="48"/>
      <c r="BV481" s="48"/>
      <c r="BW481" s="48"/>
      <c r="BX481" s="104"/>
      <c r="BY481" s="94"/>
      <c r="BZ481" s="48"/>
      <c r="CA481" s="48"/>
      <c r="CB481" s="48"/>
      <c r="CC481" s="104"/>
      <c r="CD481" s="94"/>
      <c r="CE481" s="48"/>
      <c r="CF481" s="48"/>
      <c r="CG481" s="48"/>
      <c r="CH481" s="104"/>
      <c r="CI481" s="94"/>
      <c r="CJ481" s="48"/>
      <c r="CK481" s="48"/>
      <c r="CL481" s="48"/>
      <c r="CM481" s="104"/>
      <c r="CN481" s="94"/>
      <c r="CO481" s="48"/>
      <c r="CP481" s="48"/>
      <c r="CQ481" s="48"/>
      <c r="CR481" s="104"/>
      <c r="CS481" s="94"/>
      <c r="CT481" s="48"/>
      <c r="CU481" s="48"/>
      <c r="CV481" s="48"/>
      <c r="CW481" s="104"/>
      <c r="CX481" s="94"/>
      <c r="CY481" s="48"/>
      <c r="CZ481" s="48"/>
      <c r="DA481" s="48"/>
      <c r="DB481" s="104"/>
      <c r="DC481" s="48"/>
      <c r="DD481" s="48"/>
      <c r="DE481" s="48"/>
      <c r="DF481" s="48"/>
      <c r="DG481" s="48"/>
      <c r="DH481" s="48"/>
      <c r="DI481" s="48"/>
      <c r="DJ481" s="48"/>
      <c r="DK481" s="99"/>
      <c r="DL481" s="99"/>
      <c r="DM481" s="65"/>
    </row>
    <row r="482" spans="1:124" s="528" customFormat="1" outlineLevel="1">
      <c r="A482" s="520" t="s">
        <v>732</v>
      </c>
      <c r="B482" s="160"/>
      <c r="C482" s="168"/>
      <c r="D482" s="168"/>
      <c r="E482" s="168"/>
      <c r="F482" s="235"/>
      <c r="G482" s="160"/>
      <c r="H482" s="168"/>
      <c r="I482" s="168"/>
      <c r="J482" s="168"/>
      <c r="K482" s="235"/>
      <c r="L482" s="160"/>
      <c r="M482" s="168"/>
      <c r="N482" s="168"/>
      <c r="O482" s="168"/>
      <c r="P482" s="235"/>
      <c r="Q482" s="160"/>
      <c r="R482" s="168"/>
      <c r="S482" s="168"/>
      <c r="T482" s="168"/>
      <c r="U482" s="235"/>
      <c r="V482" s="160"/>
      <c r="W482" s="168"/>
      <c r="X482" s="168"/>
      <c r="Y482" s="168"/>
      <c r="Z482" s="235"/>
      <c r="AA482" s="160"/>
      <c r="AB482" s="168"/>
      <c r="AC482" s="168"/>
      <c r="AD482" s="168"/>
      <c r="AE482" s="235"/>
      <c r="AF482" s="160"/>
      <c r="AG482" s="168"/>
      <c r="AH482" s="168"/>
      <c r="AI482" s="168"/>
      <c r="AJ482" s="235"/>
      <c r="AK482" s="160"/>
      <c r="AL482" s="168"/>
      <c r="AM482" s="168"/>
      <c r="AN482" s="168"/>
      <c r="AO482" s="235"/>
      <c r="AP482" s="160"/>
      <c r="AQ482" s="168"/>
      <c r="AR482" s="168"/>
      <c r="AS482" s="168"/>
      <c r="AT482" s="235"/>
      <c r="AU482" s="529"/>
      <c r="AV482" s="529"/>
      <c r="AW482" s="529"/>
      <c r="AX482" s="529"/>
      <c r="AY482" s="530"/>
      <c r="AZ482" s="529"/>
      <c r="BA482" s="529"/>
      <c r="BB482" s="529"/>
      <c r="BC482" s="529"/>
      <c r="BD482" s="530"/>
      <c r="BE482" s="529"/>
      <c r="BF482" s="586"/>
      <c r="BG482" s="529"/>
      <c r="BH482" s="586"/>
      <c r="BI482" s="606"/>
      <c r="BJ482" s="529"/>
      <c r="BK482" s="586"/>
      <c r="BL482" s="529"/>
      <c r="BM482" s="529"/>
      <c r="BN482" s="530"/>
      <c r="BO482" s="529"/>
      <c r="BP482" s="529"/>
      <c r="BQ482" s="529"/>
      <c r="BR482" s="529"/>
      <c r="BS482" s="530"/>
      <c r="BT482" s="529"/>
      <c r="BU482" s="529"/>
      <c r="BV482" s="529"/>
      <c r="BW482" s="529"/>
      <c r="BX482" s="530"/>
      <c r="BY482" s="529"/>
      <c r="BZ482" s="529"/>
      <c r="CA482" s="529"/>
      <c r="CB482" s="529"/>
      <c r="CC482" s="530"/>
      <c r="CD482" s="529"/>
      <c r="CE482" s="529"/>
      <c r="CF482" s="529"/>
      <c r="CG482" s="529"/>
      <c r="CH482" s="530"/>
      <c r="CI482" s="529"/>
      <c r="CJ482" s="529"/>
      <c r="CK482" s="529"/>
      <c r="CL482" s="529"/>
      <c r="CM482" s="530"/>
      <c r="CN482" s="529"/>
      <c r="CO482" s="529"/>
      <c r="CP482" s="529"/>
      <c r="CQ482" s="529"/>
      <c r="CR482" s="530"/>
      <c r="CS482" s="529"/>
      <c r="CT482" s="529"/>
      <c r="CU482" s="529"/>
      <c r="CV482" s="529"/>
      <c r="CW482" s="530"/>
      <c r="CX482" s="529"/>
      <c r="CY482" s="529"/>
      <c r="CZ482" s="529"/>
      <c r="DA482" s="529"/>
      <c r="DB482" s="530"/>
      <c r="DC482" s="529"/>
      <c r="DD482" s="529"/>
      <c r="DE482" s="529"/>
      <c r="DF482" s="529"/>
      <c r="DG482" s="529"/>
      <c r="DH482" s="529"/>
      <c r="DI482" s="529"/>
      <c r="DJ482" s="529"/>
      <c r="DK482" s="406"/>
      <c r="DL482" s="406"/>
      <c r="DM482" s="420"/>
      <c r="DN482"/>
      <c r="DO482"/>
      <c r="DP482"/>
      <c r="DQ482"/>
      <c r="DR482"/>
      <c r="DS482"/>
    </row>
    <row r="483" spans="1:124" outlineLevel="1">
      <c r="A483" s="50" t="s">
        <v>739</v>
      </c>
      <c r="B483" s="94"/>
      <c r="C483" s="48"/>
      <c r="D483" s="48"/>
      <c r="E483" s="48"/>
      <c r="F483" s="104"/>
      <c r="G483" s="94"/>
      <c r="H483" s="48"/>
      <c r="I483" s="48"/>
      <c r="J483" s="48"/>
      <c r="K483" s="104"/>
      <c r="L483" s="94"/>
      <c r="M483" s="48"/>
      <c r="N483" s="48"/>
      <c r="O483" s="48"/>
      <c r="P483" s="104"/>
      <c r="Q483" s="94"/>
      <c r="R483" s="48"/>
      <c r="S483" s="48"/>
      <c r="T483" s="48"/>
      <c r="U483" s="104"/>
      <c r="V483" s="94"/>
      <c r="W483" s="48"/>
      <c r="X483" s="48"/>
      <c r="Y483" s="48"/>
      <c r="Z483" s="104"/>
      <c r="AA483" s="94"/>
      <c r="AB483" s="48"/>
      <c r="AC483" s="48"/>
      <c r="AD483" s="48"/>
      <c r="AE483" s="104"/>
      <c r="AF483" s="94"/>
      <c r="AG483" s="48"/>
      <c r="AH483" s="48"/>
      <c r="AI483" s="48"/>
      <c r="AJ483" s="104"/>
      <c r="AK483" s="94"/>
      <c r="AL483" s="48"/>
      <c r="AM483" s="48"/>
      <c r="AN483" s="48"/>
      <c r="AO483" s="104"/>
      <c r="AP483" s="94"/>
      <c r="AQ483" s="48"/>
      <c r="AR483" s="48"/>
      <c r="AS483" s="48"/>
      <c r="AT483" s="532"/>
      <c r="AU483" s="526"/>
      <c r="AV483" s="526"/>
      <c r="AW483" s="526"/>
      <c r="AX483" s="526"/>
      <c r="AY483" s="527"/>
      <c r="AZ483" s="526"/>
      <c r="BA483" s="526"/>
      <c r="BB483" s="526"/>
      <c r="BC483" s="526"/>
      <c r="BD483" s="527"/>
      <c r="BE483" s="526"/>
      <c r="BF483" s="526"/>
      <c r="BG483" s="526"/>
      <c r="BH483" s="526"/>
      <c r="BI483" s="527"/>
      <c r="BJ483" s="526"/>
      <c r="BK483" s="526"/>
      <c r="BL483" s="526"/>
      <c r="BM483" s="526"/>
      <c r="BN483" s="527"/>
      <c r="BO483" s="526"/>
      <c r="BP483" s="526"/>
      <c r="BQ483" s="526"/>
      <c r="BR483" s="526"/>
      <c r="BS483" s="527"/>
      <c r="BT483" s="526"/>
      <c r="BU483" s="526"/>
      <c r="BV483" s="526"/>
      <c r="BW483" s="526"/>
      <c r="BX483" s="527"/>
      <c r="BY483" s="526"/>
      <c r="BZ483" s="526"/>
      <c r="CA483" s="526"/>
      <c r="CB483" s="526"/>
      <c r="CC483" s="527"/>
      <c r="CD483" s="526"/>
      <c r="CE483" s="526"/>
      <c r="CF483" s="526"/>
      <c r="CG483" s="526"/>
      <c r="CH483" s="527"/>
      <c r="CI483" s="526"/>
      <c r="CJ483" s="526"/>
      <c r="CK483" s="526"/>
      <c r="CL483" s="526"/>
      <c r="CM483" s="527"/>
      <c r="CN483" s="526"/>
      <c r="CO483" s="526"/>
      <c r="CP483" s="526"/>
      <c r="CQ483" s="526"/>
      <c r="CR483" s="527"/>
      <c r="CS483" s="526"/>
      <c r="CT483" s="526"/>
      <c r="CU483" s="526"/>
      <c r="CV483" s="526"/>
      <c r="CW483" s="527"/>
      <c r="CX483" s="526"/>
      <c r="CY483" s="526"/>
      <c r="CZ483" s="526"/>
      <c r="DA483" s="526"/>
      <c r="DB483" s="527"/>
      <c r="DC483" s="526"/>
      <c r="DD483" s="526"/>
      <c r="DE483" s="526"/>
      <c r="DF483" s="526"/>
      <c r="DG483" s="526"/>
      <c r="DH483" s="526"/>
      <c r="DI483" s="526"/>
      <c r="DJ483" s="526"/>
      <c r="DK483" s="99"/>
      <c r="DL483" s="99"/>
      <c r="DM483" s="65"/>
    </row>
    <row r="484" spans="1:124" outlineLevel="1">
      <c r="A484" s="520"/>
      <c r="B484" s="94"/>
      <c r="C484" s="48"/>
      <c r="D484" s="48"/>
      <c r="E484" s="48"/>
      <c r="F484" s="104"/>
      <c r="G484" s="94"/>
      <c r="H484" s="48"/>
      <c r="I484" s="48"/>
      <c r="J484" s="48"/>
      <c r="K484" s="104"/>
      <c r="L484" s="94"/>
      <c r="M484" s="48"/>
      <c r="N484" s="48"/>
      <c r="O484" s="48"/>
      <c r="P484" s="104"/>
      <c r="Q484" s="94"/>
      <c r="R484" s="48"/>
      <c r="S484" s="48"/>
      <c r="T484" s="48"/>
      <c r="U484" s="104"/>
      <c r="V484" s="94"/>
      <c r="W484" s="48"/>
      <c r="X484" s="48"/>
      <c r="Y484" s="48"/>
      <c r="Z484" s="104"/>
      <c r="AA484" s="94"/>
      <c r="AB484" s="48"/>
      <c r="AC484" s="48"/>
      <c r="AD484" s="48"/>
      <c r="AE484" s="104"/>
      <c r="AF484" s="94"/>
      <c r="AG484" s="48"/>
      <c r="AH484" s="48"/>
      <c r="AI484" s="48"/>
      <c r="AJ484" s="104"/>
      <c r="AK484" s="94"/>
      <c r="AL484" s="48"/>
      <c r="AM484" s="48"/>
      <c r="AN484" s="48"/>
      <c r="AO484" s="104"/>
      <c r="AP484" s="94"/>
      <c r="AQ484" s="48"/>
      <c r="AR484" s="48"/>
      <c r="AS484" s="48"/>
      <c r="AT484" s="104"/>
      <c r="AU484" s="526"/>
      <c r="AV484" s="526"/>
      <c r="AW484" s="526"/>
      <c r="AX484" s="526"/>
      <c r="AY484" s="527"/>
      <c r="AZ484" s="526"/>
      <c r="BA484" s="526"/>
      <c r="BB484" s="526"/>
      <c r="BC484" s="526"/>
      <c r="BD484" s="527"/>
      <c r="BE484" s="526"/>
      <c r="BF484" s="526"/>
      <c r="BG484" s="526"/>
      <c r="BH484" s="526"/>
      <c r="BI484" s="527"/>
      <c r="BJ484" s="526"/>
      <c r="BK484" s="526"/>
      <c r="BL484" s="526"/>
      <c r="BM484" s="526"/>
      <c r="BN484" s="527"/>
      <c r="BO484" s="526"/>
      <c r="BP484" s="526"/>
      <c r="BQ484" s="526"/>
      <c r="BR484" s="526"/>
      <c r="BS484" s="527"/>
      <c r="BT484" s="526"/>
      <c r="BU484" s="526"/>
      <c r="BV484" s="526"/>
      <c r="BW484" s="526"/>
      <c r="BX484" s="527"/>
      <c r="BY484" s="526"/>
      <c r="BZ484" s="526"/>
      <c r="CA484" s="526"/>
      <c r="CB484" s="526"/>
      <c r="CC484" s="527"/>
      <c r="CD484" s="526"/>
      <c r="CE484" s="526"/>
      <c r="CF484" s="526"/>
      <c r="CG484" s="526"/>
      <c r="CH484" s="527"/>
      <c r="CI484" s="526"/>
      <c r="CJ484" s="526"/>
      <c r="CK484" s="526"/>
      <c r="CL484" s="526"/>
      <c r="CM484" s="527"/>
      <c r="CN484" s="526"/>
      <c r="CO484" s="526"/>
      <c r="CP484" s="526"/>
      <c r="CQ484" s="526"/>
      <c r="CR484" s="527"/>
      <c r="CS484" s="526"/>
      <c r="CT484" s="526"/>
      <c r="CU484" s="526"/>
      <c r="CV484" s="526"/>
      <c r="CW484" s="527"/>
      <c r="CX484" s="526"/>
      <c r="CY484" s="526"/>
      <c r="CZ484" s="526"/>
      <c r="DA484" s="526"/>
      <c r="DB484" s="527"/>
      <c r="DC484" s="526"/>
      <c r="DD484" s="526"/>
      <c r="DE484" s="526"/>
      <c r="DF484" s="526"/>
      <c r="DG484" s="526"/>
      <c r="DH484" s="526"/>
      <c r="DI484" s="526"/>
      <c r="DJ484" s="526"/>
      <c r="DK484" s="99"/>
      <c r="DL484" s="99"/>
      <c r="DM484" s="65"/>
    </row>
    <row r="485" spans="1:124" outlineLevel="1">
      <c r="A485" s="520" t="s">
        <v>740</v>
      </c>
      <c r="B485" s="94"/>
      <c r="C485" s="48"/>
      <c r="D485" s="48"/>
      <c r="E485" s="48"/>
      <c r="F485" s="104"/>
      <c r="G485" s="94"/>
      <c r="H485" s="48"/>
      <c r="I485" s="48"/>
      <c r="J485" s="48"/>
      <c r="K485" s="104"/>
      <c r="L485" s="94"/>
      <c r="M485" s="48"/>
      <c r="N485" s="48"/>
      <c r="O485" s="48"/>
      <c r="P485" s="104"/>
      <c r="Q485" s="94"/>
      <c r="R485" s="48"/>
      <c r="S485" s="48"/>
      <c r="T485" s="48"/>
      <c r="U485" s="104"/>
      <c r="V485" s="94"/>
      <c r="W485" s="48"/>
      <c r="X485" s="48"/>
      <c r="Y485" s="48"/>
      <c r="Z485" s="104"/>
      <c r="AA485" s="94"/>
      <c r="AB485" s="48"/>
      <c r="AC485" s="48"/>
      <c r="AD485" s="48"/>
      <c r="AE485" s="104"/>
      <c r="AF485" s="94"/>
      <c r="AG485" s="48"/>
      <c r="AH485" s="48"/>
      <c r="AI485" s="48"/>
      <c r="AJ485" s="104"/>
      <c r="AK485" s="94"/>
      <c r="AL485" s="48"/>
      <c r="AM485" s="48"/>
      <c r="AN485" s="48"/>
      <c r="AO485" s="104"/>
      <c r="AP485" s="94"/>
      <c r="AQ485" s="48"/>
      <c r="AR485" s="48"/>
      <c r="AS485" s="48"/>
      <c r="AT485" s="104"/>
      <c r="AU485" s="526"/>
      <c r="AV485" s="526"/>
      <c r="AW485" s="526"/>
      <c r="AX485" s="526"/>
      <c r="AY485" s="531"/>
      <c r="AZ485" s="511"/>
      <c r="BA485" s="511"/>
      <c r="BB485" s="511"/>
      <c r="BC485" s="511"/>
      <c r="BD485" s="531"/>
      <c r="BE485" s="511"/>
      <c r="BF485" s="511"/>
      <c r="BG485" s="511"/>
      <c r="BH485" s="511"/>
      <c r="BI485" s="531"/>
      <c r="BJ485" s="511"/>
      <c r="BK485" s="511"/>
      <c r="BL485" s="511"/>
      <c r="BM485" s="511"/>
      <c r="BN485" s="531"/>
      <c r="BO485" s="511"/>
      <c r="BP485" s="511"/>
      <c r="BQ485" s="511"/>
      <c r="BR485" s="511"/>
      <c r="BS485" s="531"/>
      <c r="BT485" s="511"/>
      <c r="BU485" s="511"/>
      <c r="BV485" s="511"/>
      <c r="BW485" s="511"/>
      <c r="BX485" s="531"/>
      <c r="BY485" s="511"/>
      <c r="BZ485" s="511"/>
      <c r="CA485" s="511"/>
      <c r="CB485" s="511"/>
      <c r="CC485" s="531"/>
      <c r="CD485" s="511"/>
      <c r="CE485" s="511"/>
      <c r="CF485" s="511"/>
      <c r="CG485" s="511"/>
      <c r="CH485" s="531"/>
      <c r="CI485" s="511"/>
      <c r="CJ485" s="511"/>
      <c r="CK485" s="511"/>
      <c r="CL485" s="511"/>
      <c r="CM485" s="531"/>
      <c r="CN485" s="511"/>
      <c r="CO485" s="511"/>
      <c r="CP485" s="511"/>
      <c r="CQ485" s="511"/>
      <c r="CR485" s="531"/>
      <c r="CS485" s="511"/>
      <c r="CT485" s="511"/>
      <c r="CU485" s="511"/>
      <c r="CV485" s="511"/>
      <c r="CW485" s="531"/>
      <c r="CX485" s="511"/>
      <c r="CY485" s="511"/>
      <c r="CZ485" s="511"/>
      <c r="DA485" s="511"/>
      <c r="DB485" s="531"/>
      <c r="DC485" s="511"/>
      <c r="DD485" s="511"/>
      <c r="DE485" s="511"/>
      <c r="DF485" s="511"/>
      <c r="DG485" s="511"/>
      <c r="DH485" s="511"/>
      <c r="DI485" s="511"/>
      <c r="DJ485" s="511"/>
      <c r="DK485" s="99"/>
      <c r="DL485" s="99"/>
      <c r="DM485" s="65"/>
    </row>
    <row r="486" spans="1:124" outlineLevel="1">
      <c r="A486" s="50"/>
      <c r="B486" s="94"/>
      <c r="C486" s="48"/>
      <c r="D486" s="48"/>
      <c r="E486" s="48"/>
      <c r="F486" s="104"/>
      <c r="G486" s="94"/>
      <c r="H486" s="48"/>
      <c r="I486" s="48"/>
      <c r="J486" s="48"/>
      <c r="K486" s="104"/>
      <c r="L486" s="94"/>
      <c r="M486" s="48"/>
      <c r="N486" s="48"/>
      <c r="O486" s="48"/>
      <c r="P486" s="104"/>
      <c r="Q486" s="94"/>
      <c r="R486" s="48"/>
      <c r="S486" s="48"/>
      <c r="T486" s="48"/>
      <c r="U486" s="104"/>
      <c r="V486" s="94"/>
      <c r="W486" s="48"/>
      <c r="X486" s="48"/>
      <c r="Y486" s="48"/>
      <c r="Z486" s="104"/>
      <c r="AA486" s="94"/>
      <c r="AB486" s="48"/>
      <c r="AC486" s="48"/>
      <c r="AD486" s="48"/>
      <c r="AE486" s="104"/>
      <c r="AF486" s="94"/>
      <c r="AG486" s="48"/>
      <c r="AH486" s="48"/>
      <c r="AI486" s="48"/>
      <c r="AJ486" s="104"/>
      <c r="AK486" s="94"/>
      <c r="AL486" s="48"/>
      <c r="AM486" s="48"/>
      <c r="AN486" s="48"/>
      <c r="AO486" s="104"/>
      <c r="AP486" s="94"/>
      <c r="AQ486" s="48"/>
      <c r="AR486" s="48"/>
      <c r="AS486" s="48"/>
      <c r="AT486" s="104"/>
      <c r="AU486" s="94"/>
      <c r="AV486" s="48"/>
      <c r="AW486" s="48"/>
      <c r="AX486" s="48"/>
      <c r="AY486" s="104"/>
      <c r="AZ486" s="94"/>
      <c r="BA486" s="48"/>
      <c r="BB486" s="48"/>
      <c r="BC486" s="48"/>
      <c r="BD486" s="104"/>
      <c r="BE486" s="94"/>
      <c r="BF486" s="48"/>
      <c r="BG486" s="48"/>
      <c r="BH486" s="48"/>
      <c r="BI486" s="104"/>
      <c r="BJ486" s="94"/>
      <c r="BK486" s="48"/>
      <c r="BL486" s="48"/>
      <c r="BM486" s="48"/>
      <c r="BN486" s="104"/>
      <c r="BO486" s="94"/>
      <c r="BP486" s="48"/>
      <c r="BQ486" s="48"/>
      <c r="BR486" s="48"/>
      <c r="BS486" s="104"/>
      <c r="BT486" s="94"/>
      <c r="BU486" s="48"/>
      <c r="BV486" s="48"/>
      <c r="BW486" s="48"/>
      <c r="BX486" s="104"/>
      <c r="BY486" s="94"/>
      <c r="BZ486" s="48"/>
      <c r="CA486" s="48"/>
      <c r="CB486" s="48"/>
      <c r="CC486" s="104"/>
      <c r="CD486" s="94"/>
      <c r="CE486" s="48"/>
      <c r="CF486" s="48"/>
      <c r="CG486" s="48"/>
      <c r="CH486" s="104"/>
      <c r="CI486" s="94"/>
      <c r="CJ486" s="48"/>
      <c r="CK486" s="48"/>
      <c r="CL486" s="48"/>
      <c r="CM486" s="104"/>
      <c r="CN486" s="94"/>
      <c r="CO486" s="48"/>
      <c r="CP486" s="48"/>
      <c r="CQ486" s="48"/>
      <c r="CR486" s="104"/>
      <c r="CS486" s="94"/>
      <c r="CT486" s="48"/>
      <c r="CU486" s="48"/>
      <c r="CV486" s="48"/>
      <c r="CW486" s="104"/>
      <c r="CX486" s="94"/>
      <c r="CY486" s="48"/>
      <c r="CZ486" s="48"/>
      <c r="DA486" s="48"/>
      <c r="DB486" s="104"/>
      <c r="DC486" s="48"/>
      <c r="DD486" s="48"/>
      <c r="DE486" s="48"/>
      <c r="DF486" s="48"/>
      <c r="DG486" s="48"/>
      <c r="DH486" s="48"/>
      <c r="DI486" s="48"/>
      <c r="DJ486" s="48"/>
      <c r="DK486" s="99"/>
      <c r="DL486" s="99"/>
      <c r="DM486" s="65"/>
    </row>
    <row r="487" spans="1:124">
      <c r="A487" s="490" t="s">
        <v>138</v>
      </c>
      <c r="B487" s="492"/>
      <c r="C487" s="492"/>
      <c r="D487" s="492"/>
      <c r="E487" s="492"/>
      <c r="F487" s="492"/>
      <c r="G487" s="492"/>
      <c r="H487" s="492"/>
      <c r="I487" s="492"/>
      <c r="J487" s="492"/>
      <c r="K487" s="492"/>
      <c r="L487" s="492"/>
      <c r="M487" s="492"/>
      <c r="N487" s="492"/>
      <c r="O487" s="492"/>
      <c r="P487" s="492"/>
      <c r="Q487" s="492"/>
      <c r="R487" s="492"/>
      <c r="S487" s="492"/>
      <c r="T487" s="492"/>
      <c r="U487" s="492"/>
      <c r="V487" s="492"/>
      <c r="W487" s="492"/>
      <c r="X487" s="492"/>
      <c r="Y487" s="492"/>
      <c r="Z487" s="492"/>
      <c r="AA487" s="492"/>
      <c r="AB487" s="492"/>
      <c r="AC487" s="492"/>
      <c r="AD487" s="492"/>
      <c r="AE487" s="492"/>
      <c r="AF487" s="492"/>
      <c r="AG487" s="492"/>
      <c r="AH487" s="492"/>
      <c r="AI487" s="492"/>
      <c r="AJ487" s="492"/>
      <c r="AK487" s="492"/>
      <c r="AL487" s="492"/>
      <c r="AM487" s="492"/>
      <c r="AN487" s="492"/>
      <c r="AO487" s="492"/>
      <c r="AP487" s="492"/>
      <c r="AQ487" s="492"/>
      <c r="AR487" s="492"/>
      <c r="AS487" s="492"/>
      <c r="AT487" s="492"/>
      <c r="AU487" s="492"/>
      <c r="AV487" s="492"/>
      <c r="AW487" s="492"/>
      <c r="AX487" s="492"/>
      <c r="AY487" s="492"/>
      <c r="AZ487" s="492"/>
      <c r="BA487" s="492"/>
      <c r="BB487" s="492"/>
      <c r="BC487" s="492"/>
      <c r="BD487" s="492"/>
      <c r="BE487" s="492"/>
      <c r="BF487" s="492"/>
      <c r="BG487" s="492"/>
      <c r="BH487" s="492"/>
      <c r="BI487" s="492"/>
      <c r="BJ487" s="492"/>
      <c r="BK487" s="492"/>
      <c r="BL487" s="492"/>
      <c r="BM487" s="492"/>
      <c r="BN487" s="492"/>
      <c r="BO487" s="492"/>
      <c r="BP487" s="492"/>
      <c r="BQ487" s="492"/>
      <c r="BR487" s="492"/>
      <c r="BS487" s="492"/>
      <c r="BT487" s="492"/>
      <c r="BU487" s="492"/>
      <c r="BV487" s="492"/>
      <c r="BW487" s="492"/>
      <c r="BX487" s="492"/>
      <c r="BY487" s="492"/>
      <c r="BZ487" s="492"/>
      <c r="CA487" s="492"/>
      <c r="CB487" s="492"/>
      <c r="CC487" s="492"/>
      <c r="CD487" s="492"/>
      <c r="CE487" s="492"/>
      <c r="CF487" s="492"/>
      <c r="CG487" s="492"/>
      <c r="CH487" s="492"/>
      <c r="CI487" s="492"/>
      <c r="CJ487" s="492"/>
      <c r="CK487" s="492"/>
      <c r="CL487" s="492"/>
      <c r="CM487" s="492"/>
      <c r="CN487" s="492"/>
      <c r="CO487" s="492"/>
      <c r="CP487" s="492"/>
      <c r="CQ487" s="492"/>
      <c r="CR487" s="492"/>
      <c r="CS487" s="492"/>
      <c r="CT487" s="492"/>
      <c r="CU487" s="492"/>
      <c r="CV487" s="492"/>
      <c r="CW487" s="492"/>
      <c r="CX487" s="492"/>
      <c r="CY487" s="492"/>
      <c r="CZ487" s="492"/>
      <c r="DA487" s="492"/>
      <c r="DB487" s="492"/>
      <c r="DC487" s="492"/>
      <c r="DD487" s="492"/>
      <c r="DE487" s="492"/>
      <c r="DF487" s="492"/>
      <c r="DG487" s="492"/>
      <c r="DH487" s="492"/>
      <c r="DI487" s="492"/>
      <c r="DJ487" s="492"/>
      <c r="DT487" s="380"/>
    </row>
    <row r="488" spans="1:124" s="493" customFormat="1">
      <c r="A488" s="491" t="s">
        <v>685</v>
      </c>
      <c r="B488" s="494">
        <f t="shared" ref="B488:AG488" si="787">+B28-B26+B22</f>
        <v>241848</v>
      </c>
      <c r="C488" s="494">
        <f t="shared" si="787"/>
        <v>99832</v>
      </c>
      <c r="D488" s="494">
        <f t="shared" si="787"/>
        <v>88113</v>
      </c>
      <c r="E488" s="494">
        <f t="shared" si="787"/>
        <v>171912</v>
      </c>
      <c r="F488" s="496">
        <f t="shared" si="787"/>
        <v>601705</v>
      </c>
      <c r="G488" s="494">
        <f t="shared" si="787"/>
        <v>229595</v>
      </c>
      <c r="H488" s="494">
        <f t="shared" si="787"/>
        <v>95855</v>
      </c>
      <c r="I488" s="494">
        <f t="shared" si="787"/>
        <v>158197</v>
      </c>
      <c r="J488" s="494">
        <f t="shared" si="787"/>
        <v>234512</v>
      </c>
      <c r="K488" s="496">
        <f t="shared" si="787"/>
        <v>718159</v>
      </c>
      <c r="L488" s="494">
        <f t="shared" si="787"/>
        <v>325396</v>
      </c>
      <c r="M488" s="494">
        <f t="shared" si="787"/>
        <v>221577</v>
      </c>
      <c r="N488" s="494">
        <f t="shared" si="787"/>
        <v>175004</v>
      </c>
      <c r="O488" s="494">
        <f t="shared" si="787"/>
        <v>259240</v>
      </c>
      <c r="P488" s="496">
        <f t="shared" si="787"/>
        <v>981217</v>
      </c>
      <c r="Q488" s="494">
        <f t="shared" si="787"/>
        <v>382548</v>
      </c>
      <c r="R488" s="494">
        <f t="shared" si="787"/>
        <v>191758</v>
      </c>
      <c r="S488" s="494">
        <f t="shared" si="787"/>
        <v>159075</v>
      </c>
      <c r="T488" s="494">
        <f t="shared" si="787"/>
        <v>315217</v>
      </c>
      <c r="U488" s="496">
        <f t="shared" si="787"/>
        <v>1048598</v>
      </c>
      <c r="V488" s="494">
        <f t="shared" si="787"/>
        <v>392589</v>
      </c>
      <c r="W488" s="494">
        <f t="shared" si="787"/>
        <v>232717</v>
      </c>
      <c r="X488" s="494">
        <f t="shared" si="787"/>
        <v>251118</v>
      </c>
      <c r="Y488" s="494">
        <f t="shared" si="787"/>
        <v>282191</v>
      </c>
      <c r="Z488" s="496">
        <f t="shared" si="787"/>
        <v>1158615</v>
      </c>
      <c r="AA488" s="494">
        <f t="shared" si="787"/>
        <v>364465</v>
      </c>
      <c r="AB488" s="494">
        <f t="shared" si="787"/>
        <v>222291</v>
      </c>
      <c r="AC488" s="494">
        <f t="shared" si="787"/>
        <v>247276</v>
      </c>
      <c r="AD488" s="494">
        <f t="shared" si="787"/>
        <v>344793</v>
      </c>
      <c r="AE488" s="496">
        <f t="shared" si="787"/>
        <v>1178825</v>
      </c>
      <c r="AF488" s="494">
        <f t="shared" si="787"/>
        <v>415974</v>
      </c>
      <c r="AG488" s="494">
        <f t="shared" si="787"/>
        <v>254496</v>
      </c>
      <c r="AH488" s="494">
        <f t="shared" ref="AH488:BM488" si="788">+AH28-AH26+AH22</f>
        <v>248012</v>
      </c>
      <c r="AI488" s="494">
        <f t="shared" si="788"/>
        <v>314184</v>
      </c>
      <c r="AJ488" s="496">
        <f t="shared" si="788"/>
        <v>1232666</v>
      </c>
      <c r="AK488" s="494">
        <f t="shared" si="788"/>
        <v>409937</v>
      </c>
      <c r="AL488" s="494">
        <f t="shared" si="788"/>
        <v>295953</v>
      </c>
      <c r="AM488" s="494">
        <f t="shared" si="788"/>
        <v>324936</v>
      </c>
      <c r="AN488" s="494">
        <f t="shared" si="788"/>
        <v>443252</v>
      </c>
      <c r="AO488" s="496">
        <f t="shared" si="788"/>
        <v>1474078</v>
      </c>
      <c r="AP488" s="494">
        <f t="shared" si="788"/>
        <v>419529</v>
      </c>
      <c r="AQ488" s="494">
        <f t="shared" si="788"/>
        <v>317699</v>
      </c>
      <c r="AR488" s="494">
        <f t="shared" si="788"/>
        <v>324767</v>
      </c>
      <c r="AS488" s="494">
        <f t="shared" si="788"/>
        <v>379868</v>
      </c>
      <c r="AT488" s="496">
        <f t="shared" si="788"/>
        <v>1441863</v>
      </c>
      <c r="AU488" s="494">
        <f t="shared" si="788"/>
        <v>364029</v>
      </c>
      <c r="AV488" s="494">
        <f t="shared" si="788"/>
        <v>333559</v>
      </c>
      <c r="AW488" s="494">
        <f t="shared" si="788"/>
        <v>340726</v>
      </c>
      <c r="AX488" s="494">
        <f t="shared" si="788"/>
        <v>425269.84615384613</v>
      </c>
      <c r="AY488" s="496">
        <f t="shared" si="788"/>
        <v>1463583.846153846</v>
      </c>
      <c r="AZ488" s="494">
        <f t="shared" si="788"/>
        <v>361516</v>
      </c>
      <c r="BA488" s="494">
        <f t="shared" si="788"/>
        <v>323458</v>
      </c>
      <c r="BB488" s="494">
        <f t="shared" si="788"/>
        <v>364446</v>
      </c>
      <c r="BC488" s="494">
        <f t="shared" si="788"/>
        <v>382236</v>
      </c>
      <c r="BD488" s="496">
        <f t="shared" si="788"/>
        <v>1431656</v>
      </c>
      <c r="BE488" s="494">
        <f t="shared" si="788"/>
        <v>282424</v>
      </c>
      <c r="BF488" s="494">
        <f t="shared" si="788"/>
        <v>359609</v>
      </c>
      <c r="BG488" s="494">
        <f t="shared" si="788"/>
        <v>373960</v>
      </c>
      <c r="BH488" s="494">
        <f t="shared" si="788"/>
        <v>412830</v>
      </c>
      <c r="BI488" s="496">
        <f t="shared" si="788"/>
        <v>1428823</v>
      </c>
      <c r="BJ488" s="494">
        <f t="shared" si="788"/>
        <v>401706</v>
      </c>
      <c r="BK488" s="494">
        <f t="shared" si="788"/>
        <v>414945</v>
      </c>
      <c r="BL488" s="494">
        <f t="shared" si="788"/>
        <v>422163</v>
      </c>
      <c r="BM488" s="494">
        <f t="shared" si="788"/>
        <v>428812</v>
      </c>
      <c r="BN488" s="496">
        <f t="shared" ref="BN488:CS488" si="789">+BN28-BN26+BN22</f>
        <v>1667626</v>
      </c>
      <c r="BO488" s="494">
        <f>+BO28-BO26+BO22</f>
        <v>413846</v>
      </c>
      <c r="BP488" s="494">
        <f t="shared" si="789"/>
        <v>416945</v>
      </c>
      <c r="BQ488" s="494">
        <f t="shared" si="789"/>
        <v>469900</v>
      </c>
      <c r="BR488" s="494">
        <f t="shared" si="789"/>
        <v>501585</v>
      </c>
      <c r="BS488" s="496">
        <f t="shared" si="789"/>
        <v>1802276</v>
      </c>
      <c r="BT488" s="494">
        <f t="shared" si="789"/>
        <v>565686.56646727398</v>
      </c>
      <c r="BU488" s="494">
        <f t="shared" si="789"/>
        <v>519642.05676331517</v>
      </c>
      <c r="BV488" s="494">
        <f t="shared" si="789"/>
        <v>533080.17154733767</v>
      </c>
      <c r="BW488" s="494">
        <f t="shared" si="789"/>
        <v>530412.45418621693</v>
      </c>
      <c r="BX488" s="496">
        <f t="shared" si="789"/>
        <v>2148821.2489641453</v>
      </c>
      <c r="BY488" s="494">
        <f t="shared" si="789"/>
        <v>589592.90400015342</v>
      </c>
      <c r="BZ488" s="494">
        <f t="shared" si="789"/>
        <v>572257.0205617199</v>
      </c>
      <c r="CA488" s="494">
        <f t="shared" si="789"/>
        <v>581564.88232483063</v>
      </c>
      <c r="CB488" s="494">
        <f t="shared" si="789"/>
        <v>578784.75727589754</v>
      </c>
      <c r="CC488" s="496">
        <f t="shared" si="789"/>
        <v>2322199.5641626022</v>
      </c>
      <c r="CD488" s="494">
        <f t="shared" si="789"/>
        <v>613173.58874262753</v>
      </c>
      <c r="CE488" s="494">
        <f t="shared" si="789"/>
        <v>605974.94741060236</v>
      </c>
      <c r="CF488" s="494">
        <f t="shared" si="789"/>
        <v>625157.25068997755</v>
      </c>
      <c r="CG488" s="494">
        <f t="shared" si="789"/>
        <v>659880.47157751513</v>
      </c>
      <c r="CH488" s="496">
        <f t="shared" si="789"/>
        <v>2504186.2584207235</v>
      </c>
      <c r="CI488" s="494">
        <f t="shared" si="789"/>
        <v>648667.98042491474</v>
      </c>
      <c r="CJ488" s="494">
        <f t="shared" si="789"/>
        <v>652275.76651583542</v>
      </c>
      <c r="CK488" s="494">
        <f t="shared" si="789"/>
        <v>664157.2613933495</v>
      </c>
      <c r="CL488" s="494">
        <f t="shared" si="789"/>
        <v>716291.50534841057</v>
      </c>
      <c r="CM488" s="496">
        <f t="shared" si="789"/>
        <v>2681392.5136825088</v>
      </c>
      <c r="CN488" s="494">
        <f t="shared" si="789"/>
        <v>670413.82219732227</v>
      </c>
      <c r="CO488" s="494">
        <f t="shared" si="789"/>
        <v>677919.0774566913</v>
      </c>
      <c r="CP488" s="494">
        <f t="shared" si="789"/>
        <v>688794.33481346257</v>
      </c>
      <c r="CQ488" s="494">
        <f t="shared" si="789"/>
        <v>758950.9681448373</v>
      </c>
      <c r="CR488" s="496">
        <f t="shared" si="789"/>
        <v>2796078.2026123144</v>
      </c>
      <c r="CS488" s="494">
        <f t="shared" si="789"/>
        <v>691031.34233771183</v>
      </c>
      <c r="CT488" s="494">
        <f t="shared" ref="CT488:DB488" si="790">+CT28-CT26+CT22</f>
        <v>698831.71943399275</v>
      </c>
      <c r="CU488" s="494">
        <f t="shared" si="790"/>
        <v>710058.37623751047</v>
      </c>
      <c r="CV488" s="494">
        <f t="shared" si="790"/>
        <v>799550.22087856312</v>
      </c>
      <c r="CW488" s="496">
        <f t="shared" si="790"/>
        <v>2899471.6588877789</v>
      </c>
      <c r="CX488" s="494">
        <f t="shared" si="790"/>
        <v>720846.12123410427</v>
      </c>
      <c r="CY488" s="494">
        <f t="shared" si="790"/>
        <v>729199.98705505044</v>
      </c>
      <c r="CZ488" s="494">
        <f t="shared" si="790"/>
        <v>740953.91793478769</v>
      </c>
      <c r="DA488" s="494">
        <f t="shared" si="790"/>
        <v>838738.98458880233</v>
      </c>
      <c r="DB488" s="496">
        <f t="shared" si="790"/>
        <v>3029739.0108127464</v>
      </c>
      <c r="DC488" s="57"/>
      <c r="DD488" s="57"/>
      <c r="DE488" s="57"/>
      <c r="DF488" s="57"/>
      <c r="DG488" s="57"/>
      <c r="DH488" s="57"/>
      <c r="DI488" s="57"/>
      <c r="DJ488" s="57"/>
      <c r="DN488"/>
      <c r="DO488"/>
      <c r="DP488"/>
      <c r="DQ488"/>
      <c r="DR488"/>
      <c r="DS488"/>
    </row>
    <row r="489" spans="1:124" s="500" customFormat="1">
      <c r="A489" s="499" t="s">
        <v>845</v>
      </c>
      <c r="B489" s="500">
        <v>0</v>
      </c>
      <c r="C489" s="500">
        <v>0</v>
      </c>
      <c r="D489" s="500">
        <v>0</v>
      </c>
      <c r="E489" s="500">
        <v>0</v>
      </c>
      <c r="F489" s="501">
        <v>0</v>
      </c>
      <c r="G489" s="500">
        <v>0</v>
      </c>
      <c r="H489" s="500">
        <v>0</v>
      </c>
      <c r="I489" s="500">
        <v>0</v>
      </c>
      <c r="J489" s="500">
        <v>0</v>
      </c>
      <c r="K489" s="501">
        <v>0</v>
      </c>
      <c r="L489" s="500">
        <v>0</v>
      </c>
      <c r="M489" s="500">
        <v>0</v>
      </c>
      <c r="N489" s="500">
        <v>0</v>
      </c>
      <c r="O489" s="500">
        <v>0</v>
      </c>
      <c r="P489" s="501">
        <v>0</v>
      </c>
      <c r="Q489" s="500">
        <v>0</v>
      </c>
      <c r="R489" s="500">
        <v>0</v>
      </c>
      <c r="S489" s="500">
        <v>0</v>
      </c>
      <c r="T489" s="500">
        <v>0</v>
      </c>
      <c r="U489" s="501">
        <v>0</v>
      </c>
      <c r="V489" s="500">
        <v>0</v>
      </c>
      <c r="W489" s="500">
        <v>0</v>
      </c>
      <c r="X489" s="500">
        <v>0</v>
      </c>
      <c r="Y489" s="500">
        <v>0</v>
      </c>
      <c r="Z489" s="501">
        <v>0</v>
      </c>
      <c r="AA489" s="500">
        <v>0</v>
      </c>
      <c r="AB489" s="500">
        <v>0</v>
      </c>
      <c r="AC489" s="500">
        <v>0</v>
      </c>
      <c r="AD489" s="500">
        <v>0</v>
      </c>
      <c r="AE489" s="501">
        <v>0</v>
      </c>
      <c r="AF489" s="500">
        <v>0</v>
      </c>
      <c r="AG489" s="500">
        <v>0</v>
      </c>
      <c r="AH489" s="500">
        <v>0</v>
      </c>
      <c r="AI489" s="500">
        <v>0</v>
      </c>
      <c r="AJ489" s="501">
        <v>0</v>
      </c>
      <c r="AK489" s="500">
        <v>0</v>
      </c>
      <c r="AL489" s="500">
        <v>0</v>
      </c>
      <c r="AM489" s="500">
        <v>0</v>
      </c>
      <c r="AN489" s="500">
        <v>0</v>
      </c>
      <c r="AO489" s="501">
        <v>0</v>
      </c>
      <c r="AP489" s="500">
        <v>0</v>
      </c>
      <c r="AQ489" s="500">
        <v>0</v>
      </c>
      <c r="AR489" s="500">
        <v>0</v>
      </c>
      <c r="AS489" s="500">
        <v>0</v>
      </c>
      <c r="AT489" s="501">
        <v>0</v>
      </c>
      <c r="AU489" s="500">
        <v>0</v>
      </c>
      <c r="AV489" s="500">
        <v>0</v>
      </c>
      <c r="AW489" s="500">
        <v>0</v>
      </c>
      <c r="AX489" s="500">
        <v>0</v>
      </c>
      <c r="AY489" s="501">
        <v>0</v>
      </c>
      <c r="AZ489" s="500">
        <v>0</v>
      </c>
      <c r="BA489" s="500">
        <v>0</v>
      </c>
      <c r="BB489" s="500">
        <v>0</v>
      </c>
      <c r="BC489" s="500">
        <v>0</v>
      </c>
      <c r="BD489" s="501">
        <v>0</v>
      </c>
      <c r="BE489" s="500">
        <v>0</v>
      </c>
      <c r="BF489" s="500">
        <v>0</v>
      </c>
      <c r="BG489" s="500">
        <v>0</v>
      </c>
      <c r="BH489" s="500">
        <v>0</v>
      </c>
      <c r="BI489" s="501">
        <v>0</v>
      </c>
      <c r="BJ489" s="500">
        <v>0</v>
      </c>
      <c r="BK489" s="500">
        <v>0</v>
      </c>
      <c r="BL489" s="500">
        <v>0</v>
      </c>
      <c r="BM489" s="500">
        <v>0</v>
      </c>
      <c r="BN489" s="501">
        <v>0</v>
      </c>
      <c r="BO489" s="500">
        <v>0</v>
      </c>
      <c r="BP489" s="500">
        <v>0</v>
      </c>
      <c r="BQ489" s="500">
        <v>0</v>
      </c>
      <c r="BR489" s="500">
        <v>0</v>
      </c>
      <c r="BS489" s="501">
        <v>0</v>
      </c>
      <c r="BT489" s="500">
        <v>0</v>
      </c>
      <c r="BU489" s="500">
        <v>0</v>
      </c>
      <c r="BV489" s="500">
        <v>0</v>
      </c>
      <c r="BW489" s="500">
        <v>0</v>
      </c>
      <c r="BX489" s="501">
        <v>0</v>
      </c>
      <c r="BY489" s="500">
        <v>0</v>
      </c>
      <c r="BZ489" s="500">
        <v>0</v>
      </c>
      <c r="CA489" s="500">
        <v>0</v>
      </c>
      <c r="CB489" s="500">
        <v>0</v>
      </c>
      <c r="CC489" s="501">
        <v>0</v>
      </c>
      <c r="CD489" s="500">
        <v>0</v>
      </c>
      <c r="CE489" s="500">
        <v>0</v>
      </c>
      <c r="CF489" s="500">
        <v>0</v>
      </c>
      <c r="CG489" s="500">
        <v>0</v>
      </c>
      <c r="CH489" s="501">
        <v>0</v>
      </c>
      <c r="CI489" s="500">
        <v>0</v>
      </c>
      <c r="CJ489" s="500">
        <v>0</v>
      </c>
      <c r="CK489" s="500">
        <v>0</v>
      </c>
      <c r="CL489" s="500">
        <v>0</v>
      </c>
      <c r="CM489" s="501">
        <v>0</v>
      </c>
      <c r="CN489" s="500">
        <v>0</v>
      </c>
      <c r="CO489" s="500">
        <v>0</v>
      </c>
      <c r="CP489" s="500">
        <v>0</v>
      </c>
      <c r="CQ489" s="500">
        <v>0</v>
      </c>
      <c r="CR489" s="501">
        <v>0</v>
      </c>
      <c r="CS489" s="500">
        <v>0</v>
      </c>
      <c r="CT489" s="500">
        <v>0</v>
      </c>
      <c r="CU489" s="500">
        <v>0</v>
      </c>
      <c r="CV489" s="500">
        <v>0</v>
      </c>
      <c r="CW489" s="501">
        <v>0</v>
      </c>
      <c r="CX489" s="500">
        <v>0</v>
      </c>
      <c r="CY489" s="500">
        <v>0</v>
      </c>
      <c r="CZ489" s="500">
        <v>0</v>
      </c>
      <c r="DA489" s="500">
        <v>0</v>
      </c>
      <c r="DB489" s="501">
        <v>0</v>
      </c>
      <c r="DC489" s="560"/>
      <c r="DD489" s="560"/>
      <c r="DE489" s="560"/>
      <c r="DF489" s="560"/>
      <c r="DG489" s="560"/>
      <c r="DH489" s="560"/>
      <c r="DI489" s="560"/>
      <c r="DJ489" s="560"/>
      <c r="DN489"/>
      <c r="DO489"/>
      <c r="DP489"/>
      <c r="DQ489"/>
      <c r="DR489"/>
      <c r="DS489"/>
    </row>
    <row r="490" spans="1:124" s="493" customFormat="1">
      <c r="A490" s="491" t="s">
        <v>846</v>
      </c>
      <c r="B490" s="495">
        <f t="shared" ref="B490:AG490" si="791">+B36</f>
        <v>241848</v>
      </c>
      <c r="C490" s="495">
        <f t="shared" si="791"/>
        <v>99832</v>
      </c>
      <c r="D490" s="495">
        <f t="shared" si="791"/>
        <v>88113</v>
      </c>
      <c r="E490" s="495">
        <f t="shared" si="791"/>
        <v>174313</v>
      </c>
      <c r="F490" s="498">
        <f t="shared" si="791"/>
        <v>604106</v>
      </c>
      <c r="G490" s="495">
        <f t="shared" si="791"/>
        <v>229595</v>
      </c>
      <c r="H490" s="495">
        <f t="shared" si="791"/>
        <v>95855</v>
      </c>
      <c r="I490" s="495">
        <f t="shared" si="791"/>
        <v>161019</v>
      </c>
      <c r="J490" s="495">
        <f t="shared" si="791"/>
        <v>240311</v>
      </c>
      <c r="K490" s="498">
        <f t="shared" si="791"/>
        <v>726780</v>
      </c>
      <c r="L490" s="495">
        <f t="shared" si="791"/>
        <v>357037</v>
      </c>
      <c r="M490" s="495">
        <f t="shared" si="791"/>
        <v>239898</v>
      </c>
      <c r="N490" s="495">
        <f t="shared" si="791"/>
        <v>197792</v>
      </c>
      <c r="O490" s="495">
        <f t="shared" si="791"/>
        <v>282373</v>
      </c>
      <c r="P490" s="498">
        <f t="shared" si="791"/>
        <v>1077100</v>
      </c>
      <c r="Q490" s="495">
        <f t="shared" si="791"/>
        <v>406603</v>
      </c>
      <c r="R490" s="495">
        <f t="shared" si="791"/>
        <v>210516</v>
      </c>
      <c r="S490" s="495">
        <f t="shared" si="791"/>
        <v>181237</v>
      </c>
      <c r="T490" s="495">
        <f t="shared" si="791"/>
        <v>340150</v>
      </c>
      <c r="U490" s="498">
        <f t="shared" si="791"/>
        <v>1138506</v>
      </c>
      <c r="V490" s="495">
        <f t="shared" si="791"/>
        <v>420372</v>
      </c>
      <c r="W490" s="495">
        <f t="shared" si="791"/>
        <v>250327</v>
      </c>
      <c r="X490" s="495">
        <f t="shared" si="791"/>
        <v>280530</v>
      </c>
      <c r="Y490" s="495">
        <f t="shared" si="791"/>
        <v>308818</v>
      </c>
      <c r="Z490" s="498">
        <f t="shared" si="791"/>
        <v>1260047</v>
      </c>
      <c r="AA490" s="495">
        <f t="shared" si="791"/>
        <v>385687</v>
      </c>
      <c r="AB490" s="495">
        <f t="shared" si="791"/>
        <v>236479</v>
      </c>
      <c r="AC490" s="495">
        <f t="shared" si="791"/>
        <v>267330</v>
      </c>
      <c r="AD490" s="495">
        <f t="shared" si="791"/>
        <v>362051</v>
      </c>
      <c r="AE490" s="498">
        <f t="shared" si="791"/>
        <v>1251547</v>
      </c>
      <c r="AF490" s="495">
        <f t="shared" si="791"/>
        <v>437090</v>
      </c>
      <c r="AG490" s="495">
        <f t="shared" si="791"/>
        <v>275172</v>
      </c>
      <c r="AH490" s="495">
        <f t="shared" ref="AH490:BM490" si="792">+AH36</f>
        <v>277402</v>
      </c>
      <c r="AI490" s="495">
        <f t="shared" si="792"/>
        <v>344882</v>
      </c>
      <c r="AJ490" s="498">
        <f t="shared" si="792"/>
        <v>1334546</v>
      </c>
      <c r="AK490" s="495">
        <f t="shared" si="792"/>
        <v>442029</v>
      </c>
      <c r="AL490" s="495">
        <f t="shared" si="792"/>
        <v>325497</v>
      </c>
      <c r="AM490" s="495">
        <f t="shared" si="792"/>
        <v>356965</v>
      </c>
      <c r="AN490" s="495">
        <f t="shared" si="792"/>
        <v>476833</v>
      </c>
      <c r="AO490" s="498">
        <f t="shared" si="792"/>
        <v>1601324</v>
      </c>
      <c r="AP490" s="495">
        <f t="shared" si="792"/>
        <v>454149</v>
      </c>
      <c r="AQ490" s="495">
        <f t="shared" si="792"/>
        <v>346868</v>
      </c>
      <c r="AR490" s="495">
        <f t="shared" si="792"/>
        <v>353358</v>
      </c>
      <c r="AS490" s="495">
        <f t="shared" si="792"/>
        <v>410512</v>
      </c>
      <c r="AT490" s="498">
        <f t="shared" si="792"/>
        <v>1564887</v>
      </c>
      <c r="AU490" s="495">
        <f t="shared" si="792"/>
        <v>389884</v>
      </c>
      <c r="AV490" s="495">
        <f t="shared" si="792"/>
        <v>359980</v>
      </c>
      <c r="AW490" s="495">
        <f t="shared" si="792"/>
        <v>368194</v>
      </c>
      <c r="AX490" s="495">
        <f t="shared" si="792"/>
        <v>456042.84615384613</v>
      </c>
      <c r="AY490" s="498">
        <f t="shared" si="792"/>
        <v>1574100.846153846</v>
      </c>
      <c r="AZ490" s="495">
        <f t="shared" si="792"/>
        <v>395175</v>
      </c>
      <c r="BA490" s="495">
        <f t="shared" si="792"/>
        <v>348893</v>
      </c>
      <c r="BB490" s="495">
        <f t="shared" si="792"/>
        <v>388499</v>
      </c>
      <c r="BC490" s="495">
        <f t="shared" si="792"/>
        <v>416492</v>
      </c>
      <c r="BD490" s="498">
        <f t="shared" si="792"/>
        <v>1549059</v>
      </c>
      <c r="BE490" s="495">
        <f t="shared" si="792"/>
        <v>313345</v>
      </c>
      <c r="BF490" s="495">
        <f t="shared" si="792"/>
        <v>389649</v>
      </c>
      <c r="BG490" s="495">
        <f t="shared" si="792"/>
        <v>406204</v>
      </c>
      <c r="BH490" s="495">
        <f t="shared" si="792"/>
        <v>444925</v>
      </c>
      <c r="BI490" s="498">
        <f t="shared" si="792"/>
        <v>1554123</v>
      </c>
      <c r="BJ490" s="495">
        <f t="shared" si="792"/>
        <v>434620</v>
      </c>
      <c r="BK490" s="495">
        <f t="shared" si="792"/>
        <v>447317</v>
      </c>
      <c r="BL490" s="495">
        <f t="shared" si="792"/>
        <v>457318</v>
      </c>
      <c r="BM490" s="495">
        <f t="shared" si="792"/>
        <v>468061</v>
      </c>
      <c r="BN490" s="498">
        <f t="shared" ref="BN490:CS490" si="793">+BN36</f>
        <v>1807316</v>
      </c>
      <c r="BO490" s="495">
        <f t="shared" si="793"/>
        <v>453410</v>
      </c>
      <c r="BP490" s="495">
        <f t="shared" si="793"/>
        <v>456308</v>
      </c>
      <c r="BQ490" s="495">
        <f t="shared" si="793"/>
        <v>509958</v>
      </c>
      <c r="BR490" s="495">
        <f t="shared" si="793"/>
        <v>541878</v>
      </c>
      <c r="BS490" s="498">
        <f t="shared" si="793"/>
        <v>1961554</v>
      </c>
      <c r="BT490" s="495">
        <f t="shared" si="793"/>
        <v>602879.56646727398</v>
      </c>
      <c r="BU490" s="495">
        <f t="shared" si="793"/>
        <v>557011.05676331511</v>
      </c>
      <c r="BV490" s="495">
        <f t="shared" si="793"/>
        <v>570967.17154733767</v>
      </c>
      <c r="BW490" s="495">
        <f t="shared" si="793"/>
        <v>568591.94418621692</v>
      </c>
      <c r="BX490" s="498">
        <f t="shared" si="793"/>
        <v>2299449.7389641451</v>
      </c>
      <c r="BY490" s="495">
        <f t="shared" si="793"/>
        <v>627389.46900015348</v>
      </c>
      <c r="BZ490" s="495">
        <f t="shared" si="793"/>
        <v>610181.86556171987</v>
      </c>
      <c r="CA490" s="495">
        <f t="shared" si="793"/>
        <v>620024.71732483071</v>
      </c>
      <c r="CB490" s="495">
        <f t="shared" si="793"/>
        <v>617556.54472589761</v>
      </c>
      <c r="CC490" s="498">
        <f t="shared" si="793"/>
        <v>2475152.5966126025</v>
      </c>
      <c r="CD490" s="495">
        <f t="shared" si="793"/>
        <v>651587.17656762758</v>
      </c>
      <c r="CE490" s="495">
        <f t="shared" si="793"/>
        <v>644467.64163560234</v>
      </c>
      <c r="CF490" s="495">
        <f t="shared" si="793"/>
        <v>664202.36986497755</v>
      </c>
      <c r="CG490" s="495">
        <f t="shared" si="793"/>
        <v>699257.55296476511</v>
      </c>
      <c r="CH490" s="498">
        <f t="shared" si="793"/>
        <v>2659514.7410329734</v>
      </c>
      <c r="CI490" s="495">
        <f t="shared" si="793"/>
        <v>687273.63618903968</v>
      </c>
      <c r="CJ490" s="495">
        <f t="shared" si="793"/>
        <v>690960.9242119604</v>
      </c>
      <c r="CK490" s="495">
        <f t="shared" si="793"/>
        <v>703397.60616422445</v>
      </c>
      <c r="CL490" s="495">
        <f t="shared" si="793"/>
        <v>755865.47214259685</v>
      </c>
      <c r="CM490" s="498">
        <f t="shared" si="793"/>
        <v>2837497.6387078199</v>
      </c>
      <c r="CN490" s="495">
        <f t="shared" si="793"/>
        <v>709212.50624026801</v>
      </c>
      <c r="CO490" s="495">
        <f t="shared" si="793"/>
        <v>716797.66094129696</v>
      </c>
      <c r="CP490" s="495">
        <f t="shared" si="793"/>
        <v>728230.88130819192</v>
      </c>
      <c r="CQ490" s="495">
        <f t="shared" si="793"/>
        <v>798722.80477299448</v>
      </c>
      <c r="CR490" s="498">
        <f t="shared" si="793"/>
        <v>2952963.8532627523</v>
      </c>
      <c r="CS490" s="495">
        <f t="shared" si="793"/>
        <v>730024.01980087219</v>
      </c>
      <c r="CT490" s="495">
        <f t="shared" ref="CT490:DB490" si="794">+CT36</f>
        <v>737904.69583602145</v>
      </c>
      <c r="CU490" s="495">
        <f t="shared" si="794"/>
        <v>749692.10546471342</v>
      </c>
      <c r="CV490" s="495">
        <f t="shared" si="794"/>
        <v>839520.9166898611</v>
      </c>
      <c r="CW490" s="498">
        <f t="shared" si="794"/>
        <v>3057141.7377914689</v>
      </c>
      <c r="CX490" s="495">
        <f t="shared" si="794"/>
        <v>760033.76208458038</v>
      </c>
      <c r="CY490" s="495">
        <f t="shared" si="794"/>
        <v>768468.32833908917</v>
      </c>
      <c r="CZ490" s="495">
        <f t="shared" si="794"/>
        <v>780785.8158081267</v>
      </c>
      <c r="DA490" s="495">
        <f t="shared" si="794"/>
        <v>878909.53387915692</v>
      </c>
      <c r="DB490" s="498">
        <f t="shared" si="794"/>
        <v>3188197.4401109545</v>
      </c>
      <c r="DC490" s="389"/>
      <c r="DD490" s="389"/>
      <c r="DE490" s="389"/>
      <c r="DF490" s="389"/>
      <c r="DG490" s="389"/>
      <c r="DH490" s="389"/>
      <c r="DI490" s="389"/>
      <c r="DJ490" s="389"/>
      <c r="DN490"/>
      <c r="DO490"/>
      <c r="DP490"/>
      <c r="DQ490"/>
      <c r="DR490"/>
      <c r="DS490"/>
    </row>
    <row r="491" spans="1:124" s="493" customFormat="1">
      <c r="A491" s="9" t="s">
        <v>847</v>
      </c>
      <c r="B491" s="493">
        <v>1</v>
      </c>
      <c r="C491" s="493">
        <v>1</v>
      </c>
      <c r="D491" s="493">
        <v>1</v>
      </c>
      <c r="E491" s="493">
        <v>1</v>
      </c>
      <c r="F491" s="497">
        <v>1</v>
      </c>
      <c r="G491" s="493">
        <v>1</v>
      </c>
      <c r="H491" s="493">
        <v>1</v>
      </c>
      <c r="I491" s="493">
        <v>1</v>
      </c>
      <c r="J491" s="493">
        <v>1</v>
      </c>
      <c r="K491" s="497">
        <v>1</v>
      </c>
      <c r="L491" s="493">
        <v>1</v>
      </c>
      <c r="M491" s="493">
        <v>1</v>
      </c>
      <c r="N491" s="493">
        <v>1</v>
      </c>
      <c r="O491" s="493">
        <v>1</v>
      </c>
      <c r="P491" s="497">
        <v>1</v>
      </c>
      <c r="Q491" s="493">
        <v>1</v>
      </c>
      <c r="R491" s="493">
        <v>1</v>
      </c>
      <c r="S491" s="493">
        <v>1</v>
      </c>
      <c r="T491" s="493">
        <v>1</v>
      </c>
      <c r="U491" s="497">
        <v>1</v>
      </c>
      <c r="V491" s="493">
        <v>1</v>
      </c>
      <c r="W491" s="493">
        <v>1</v>
      </c>
      <c r="X491" s="493">
        <v>1</v>
      </c>
      <c r="Y491" s="493">
        <v>1</v>
      </c>
      <c r="Z491" s="497">
        <v>1</v>
      </c>
      <c r="AA491" s="493">
        <v>1</v>
      </c>
      <c r="AB491" s="493">
        <v>1</v>
      </c>
      <c r="AC491" s="493">
        <v>1</v>
      </c>
      <c r="AD491" s="493">
        <v>1</v>
      </c>
      <c r="AE491" s="497">
        <v>1</v>
      </c>
      <c r="AF491" s="493">
        <v>1</v>
      </c>
      <c r="AG491" s="493">
        <v>1</v>
      </c>
      <c r="AH491" s="493">
        <v>1</v>
      </c>
      <c r="AI491" s="493">
        <v>1</v>
      </c>
      <c r="AJ491" s="497">
        <v>1</v>
      </c>
      <c r="AK491" s="493">
        <v>1</v>
      </c>
      <c r="AL491" s="493">
        <v>1</v>
      </c>
      <c r="AM491" s="493">
        <v>1</v>
      </c>
      <c r="AN491" s="493">
        <v>1</v>
      </c>
      <c r="AO491" s="497">
        <v>1</v>
      </c>
      <c r="AP491" s="493">
        <v>1</v>
      </c>
      <c r="AQ491" s="493">
        <v>1</v>
      </c>
      <c r="AR491" s="493">
        <v>1</v>
      </c>
      <c r="AS491" s="493">
        <v>1</v>
      </c>
      <c r="AT491" s="497">
        <v>1</v>
      </c>
      <c r="AU491" s="493">
        <v>1</v>
      </c>
      <c r="AV491" s="493">
        <v>1</v>
      </c>
      <c r="AW491" s="493">
        <v>1</v>
      </c>
      <c r="AX491" s="493">
        <v>1</v>
      </c>
      <c r="AY491" s="497">
        <v>1</v>
      </c>
      <c r="AZ491" s="493">
        <v>1</v>
      </c>
      <c r="BA491" s="493">
        <v>1</v>
      </c>
      <c r="BB491" s="493">
        <v>1</v>
      </c>
      <c r="BC491" s="493">
        <v>1</v>
      </c>
      <c r="BD491" s="497">
        <v>1</v>
      </c>
      <c r="BE491" s="493">
        <v>1</v>
      </c>
      <c r="BF491" s="493">
        <v>1</v>
      </c>
      <c r="BG491" s="493">
        <v>1</v>
      </c>
      <c r="BH491" s="493">
        <v>1</v>
      </c>
      <c r="BI491" s="497">
        <v>1</v>
      </c>
      <c r="BJ491" s="493">
        <v>1</v>
      </c>
      <c r="BK491" s="493">
        <v>1</v>
      </c>
      <c r="BL491" s="493">
        <v>1</v>
      </c>
      <c r="BM491" s="493">
        <v>1</v>
      </c>
      <c r="BN491" s="497">
        <v>1</v>
      </c>
      <c r="BO491" s="493">
        <v>1</v>
      </c>
      <c r="BP491" s="493">
        <v>1</v>
      </c>
      <c r="BQ491" s="493">
        <v>1</v>
      </c>
      <c r="BR491" s="493">
        <v>1</v>
      </c>
      <c r="BS491" s="497">
        <v>1</v>
      </c>
      <c r="BT491" s="493">
        <v>1</v>
      </c>
      <c r="BU491" s="493">
        <v>1</v>
      </c>
      <c r="BV491" s="493">
        <v>1</v>
      </c>
      <c r="BW491" s="493">
        <v>1</v>
      </c>
      <c r="BX491" s="497">
        <v>1</v>
      </c>
      <c r="BY491" s="493">
        <v>1</v>
      </c>
      <c r="BZ491" s="493">
        <v>1</v>
      </c>
      <c r="CA491" s="493">
        <v>1</v>
      </c>
      <c r="CB491" s="493">
        <v>1</v>
      </c>
      <c r="CC491" s="497">
        <v>1</v>
      </c>
      <c r="CD491" s="493">
        <v>1</v>
      </c>
      <c r="CE491" s="493">
        <v>1</v>
      </c>
      <c r="CF491" s="493">
        <v>1</v>
      </c>
      <c r="CG491" s="493">
        <v>1</v>
      </c>
      <c r="CH491" s="497">
        <v>1</v>
      </c>
      <c r="CI491" s="493">
        <v>1</v>
      </c>
      <c r="CJ491" s="493">
        <v>1</v>
      </c>
      <c r="CK491" s="493">
        <v>1</v>
      </c>
      <c r="CL491" s="493">
        <v>1</v>
      </c>
      <c r="CM491" s="497">
        <v>1</v>
      </c>
      <c r="CN491" s="493">
        <v>1</v>
      </c>
      <c r="CO491" s="493">
        <v>1</v>
      </c>
      <c r="CP491" s="493">
        <v>1</v>
      </c>
      <c r="CQ491" s="493">
        <v>1</v>
      </c>
      <c r="CR491" s="497">
        <v>1</v>
      </c>
      <c r="CS491" s="493">
        <v>1</v>
      </c>
      <c r="CT491" s="493">
        <v>1</v>
      </c>
      <c r="CU491" s="493">
        <v>1</v>
      </c>
      <c r="CV491" s="493">
        <v>1</v>
      </c>
      <c r="CW491" s="497">
        <v>1</v>
      </c>
      <c r="CX491" s="493">
        <v>1</v>
      </c>
      <c r="CY491" s="493">
        <v>1</v>
      </c>
      <c r="CZ491" s="493">
        <v>1</v>
      </c>
      <c r="DA491" s="493">
        <v>1</v>
      </c>
      <c r="DB491" s="497">
        <v>1</v>
      </c>
      <c r="DC491" s="12"/>
      <c r="DD491" s="12"/>
      <c r="DE491" s="12"/>
      <c r="DF491" s="12"/>
      <c r="DG491" s="12"/>
      <c r="DH491" s="12"/>
      <c r="DI491" s="12"/>
      <c r="DJ491" s="12"/>
      <c r="DN491"/>
      <c r="DO491"/>
      <c r="DP491"/>
      <c r="DQ491"/>
      <c r="DR491"/>
      <c r="DS491"/>
    </row>
    <row r="492" spans="1:124" s="493" customFormat="1">
      <c r="DN492"/>
      <c r="DO492"/>
      <c r="DP492"/>
      <c r="DQ492"/>
      <c r="DR492"/>
      <c r="DS492"/>
    </row>
    <row r="493" spans="1:124">
      <c r="DT493" s="380"/>
    </row>
  </sheetData>
  <phoneticPr fontId="3" type="noConversion"/>
  <conditionalFormatting sqref="B84:AZ84 BG84 DK84:DL84 BO84:BQ84 BS84">
    <cfRule type="cellIs" dxfId="21" priority="26" stopIfTrue="1" operator="lessThan">
      <formula>0</formula>
    </cfRule>
  </conditionalFormatting>
  <conditionalFormatting sqref="BA84">
    <cfRule type="cellIs" dxfId="20" priority="25" stopIfTrue="1" operator="lessThan">
      <formula>0</formula>
    </cfRule>
  </conditionalFormatting>
  <conditionalFormatting sqref="DC84:DJ84">
    <cfRule type="cellIs" dxfId="19" priority="24" stopIfTrue="1" operator="lessThan">
      <formula>0</formula>
    </cfRule>
  </conditionalFormatting>
  <conditionalFormatting sqref="BB84:BC84">
    <cfRule type="cellIs" dxfId="18" priority="23" stopIfTrue="1" operator="lessThan">
      <formula>0</formula>
    </cfRule>
  </conditionalFormatting>
  <conditionalFormatting sqref="BD84">
    <cfRule type="cellIs" dxfId="17" priority="22" stopIfTrue="1" operator="lessThan">
      <formula>0</formula>
    </cfRule>
  </conditionalFormatting>
  <conditionalFormatting sqref="BE84">
    <cfRule type="cellIs" dxfId="16" priority="21" stopIfTrue="1" operator="lessThan">
      <formula>0</formula>
    </cfRule>
  </conditionalFormatting>
  <conditionalFormatting sqref="BF84">
    <cfRule type="cellIs" dxfId="15" priority="16" stopIfTrue="1" operator="lessThan">
      <formula>0</formula>
    </cfRule>
  </conditionalFormatting>
  <conditionalFormatting sqref="BI84">
    <cfRule type="cellIs" dxfId="14" priority="15" stopIfTrue="1" operator="lessThan">
      <formula>0</formula>
    </cfRule>
  </conditionalFormatting>
  <conditionalFormatting sqref="BH84">
    <cfRule type="cellIs" dxfId="13" priority="14" stopIfTrue="1" operator="lessThan">
      <formula>0</formula>
    </cfRule>
  </conditionalFormatting>
  <conditionalFormatting sqref="BJ84">
    <cfRule type="cellIs" dxfId="12" priority="13" stopIfTrue="1" operator="lessThan">
      <formula>0</formula>
    </cfRule>
  </conditionalFormatting>
  <conditionalFormatting sqref="BK84">
    <cfRule type="cellIs" dxfId="11" priority="12" stopIfTrue="1" operator="lessThan">
      <formula>0</formula>
    </cfRule>
  </conditionalFormatting>
  <conditionalFormatting sqref="BL84">
    <cfRule type="cellIs" dxfId="10" priority="11" stopIfTrue="1" operator="lessThan">
      <formula>0</formula>
    </cfRule>
  </conditionalFormatting>
  <conditionalFormatting sqref="BN84">
    <cfRule type="cellIs" dxfId="9" priority="10" stopIfTrue="1" operator="lessThan">
      <formula>0</formula>
    </cfRule>
  </conditionalFormatting>
  <conditionalFormatting sqref="BM84">
    <cfRule type="cellIs" dxfId="8" priority="9" stopIfTrue="1" operator="lessThan">
      <formula>0</formula>
    </cfRule>
  </conditionalFormatting>
  <conditionalFormatting sqref="BT84:BX84">
    <cfRule type="cellIs" dxfId="7" priority="8" stopIfTrue="1" operator="lessThan">
      <formula>0</formula>
    </cfRule>
  </conditionalFormatting>
  <conditionalFormatting sqref="BY84:CC84">
    <cfRule type="cellIs" dxfId="6" priority="7" stopIfTrue="1" operator="lessThan">
      <formula>0</formula>
    </cfRule>
  </conditionalFormatting>
  <conditionalFormatting sqref="CD84:CH84">
    <cfRule type="cellIs" dxfId="5" priority="6" stopIfTrue="1" operator="lessThan">
      <formula>0</formula>
    </cfRule>
  </conditionalFormatting>
  <conditionalFormatting sqref="CI84:CM84">
    <cfRule type="cellIs" dxfId="4" priority="5" stopIfTrue="1" operator="lessThan">
      <formula>0</formula>
    </cfRule>
  </conditionalFormatting>
  <conditionalFormatting sqref="CN84:CR84">
    <cfRule type="cellIs" dxfId="3" priority="4" stopIfTrue="1" operator="lessThan">
      <formula>0</formula>
    </cfRule>
  </conditionalFormatting>
  <conditionalFormatting sqref="CS84:CW84">
    <cfRule type="cellIs" dxfId="2" priority="3" stopIfTrue="1" operator="lessThan">
      <formula>0</formula>
    </cfRule>
  </conditionalFormatting>
  <conditionalFormatting sqref="CX84:DB84">
    <cfRule type="cellIs" dxfId="1" priority="2" stopIfTrue="1" operator="lessThan">
      <formula>0</formula>
    </cfRule>
  </conditionalFormatting>
  <conditionalFormatting sqref="BR84">
    <cfRule type="cellIs" dxfId="0" priority="1" stopIfTrue="1" operator="lessThan">
      <formula>0</formula>
    </cfRule>
  </conditionalFormatting>
  <pageMargins left="0.25" right="0.25" top="0.25" bottom="0.25" header="0.25" footer="0.25"/>
  <pageSetup scale="46" fitToHeight="3" pageOrder="overThenDown" orientation="landscape" r:id="rId1"/>
  <headerFooter alignWithMargins="0"/>
  <rowBreaks count="1" manualBreakCount="1">
    <brk id="108" max="26" man="1"/>
  </rowBreaks>
  <ignoredErrors>
    <ignoredError sqref="Y209 Z129:Z130 Y11:Y14 Y118:Y119 Y163 Z136:Z137 V118:X118 Y170:Y173 Y87:Y89 Y123 V129:X130 V93:Z93 Y205:Y207 V227:Z227 Y91 Z127 Y127:Y132 Y114:Y116 O81:O92 Z118 Y211:Y213 U448:U449 U47 T47 W160:Y161 AE81:AE83 V136:X137 Y134:Y137 U462 L462:O463 V127:X127 Y52:Y57 Z160:Z162 AE37:AE38 Y121 F462 G462:J463 B462:E463 P462 K462 T462:T463 Q462:S463 C457:F458 AE67 B448:S449 V462:Y463 O65:O67 V162:Y162 V39:X42 O47 S47 AE202:AE203 T11:T15 T39:T42 Y39:Y42 O11:O15 J25 O20:O23 J17 J21:J23 O25 U39:U42 J52:J58 J39:J42 O17 T35:Z38 T447:T449 AC37 U423 R409:Y410 U426 Y426 Y421:Y422 T421:T422 T343:U344 M409:O410 M420:N420 O444:Y444 M426:O426 T424:T426 V421:X426 O420:O422 S39:S42 V447:Z449 V160 AE42 AE47 Z459:Z460 AE53:AE56 Y47 AE93 AA17 AA19:AA23 V159:Z159 V249:Z250 AA37:AB38 AE58 AE62 O39:O42 AE49 J47 V47:X47 T17:Z25 T457:T460 Y457:Y460 K457:K460 B459:J460 L459:S460 U459:X460 T52:T57 O35:O38 J35:J38 O52:O58 O62 V44:X45 J44:J45 Y44:Y45 AE44:AE45 S44:S45 O44:O45 T44:T45 U44:U45 T49 O49 Y49 J49" formulaRange="1"/>
    <ignoredError sqref="Y176:Y177 AA188:AA189 Y190 J423:J425 I197 Z450:Z456 X314:X315 V201:Z201 W192:X192 W214:X214 T167 Q175:S175 R194:S197 R217:S217 T214 U219 N182:N183 C214:E215 N175 N214 P214 H217:J217 O214:O215 R214:S215 E11 N219:P220 Y167 L169:M172 E438:I438 H173:H174 H175:I175 H211:I211 H167:J167 K219 H180:H183 M195:N199 H194:H197 I173 I183 F219 N217:P217 J175:J180 L175:M183 O175:O183 T175:T183 L173:O174 C211 C169:D169 Y179:Y186 C175:E175 C167:E167 C181:C185 D182:D185 C194:D197 D209:D211 H214:J215 F454:F455 F450:F451 K451:K453 C450:C453 U450:X456 D452:F453 G450:J456 I165 L450:S456 Y352 E442:I443 F306:I306 U306:X306 P306:S306 O316:O320 O346 T322:T325 O322:O325 Y291:Y292 T291:T292 O291:O292 J322:J325 J316:J320 T316:T320 Y346 P442:Q443 Y366 E264:E276 Z445:AA445 O443 J443 E445:I445 T342 J408 N408:O408 K442:N443 Z306:AA306 J311:J314 O311:O314 T311:T314 B310:I312 K306:N306 Y309 E17:E18 E15 Y307 AE19 F307:F309 E302:I302 K302:N302 P302:S302 U302:X302 V445:X445 K445:N445 U310:V330 U341:X341 E341:I341 K341:N341 J342:J344 P407:Q408 R365:S368 U365:X368 E407:I408 K407:M408 E345:I345 E346:J346 P309 Q308:T309 O308:O309 J308:J309 K342 P427:Q431 AA202:AA203 B306:D307 Z341:AA341 J307:T307 K423:L423 E306:E309 E278:E289 E342:E344 F342:I342 F344:I344 E354:I354 Z354:AA354 N407 P354:S354 K354:N354 E374:I374 Z374:AA374 P374:Q374 K374:N374 E257:E262 Y342 Y344 U354:X354 W314:W330 G289:Z289 Z302:AA302 AA291:AA294 E365:I372 Z407:Z408 AA407 AA391:AA395 Z442:Z443 AA427:AA430 AA442 V345:X352 L345:N352 P345:S352 Z345:AA352 E347:I352 K344:K352 U350:U352 K365:N372 P365:Q372 Z365:AA372 AA310:AA329 P341:S341 P335:S335 Z335:AA335 K335:N335 E335:I335 U335:X335 P337:S337 Z337:AA337 K337:N337 E337:I337 U337:X337 Z436:AA436 K436:N436 P436:Q436 E436:I436 Z438:AA438 K438:N438 P438:Q438 L167:O167 O169:O172 K401:N401 E401:I401 P401:Q401 Z401:AA401 Z403:AA403 K403:N403 E403:I403 P403:Q403 Z411:AA411 P411:Q411 E411:I411 K411:L411 Z415:AA415 P415:Q415 E415:L415 P391:Q396 E391:I396 K391:N396 Z391:Z396 E427:I431 V175:Z175 K309:N330 Z310:Z330 P310:S330 U332:X333 E332:I333 K332:N333 Z332:AA333 P332:S333 Z398:AA399 P398:Q399 E398:I399 K398:N399 E433:I434 P433:Q434 K433:N434 Z433:Z434 AA434 Z405 E405:Q405 Z440 E440:Q440 E339:Z339 B304:Z304 U297:X298 P297:S298 K297:N298 E297:I298 Z297:AA298 U300:X300 P300:S300 K300:N300 E300:I300 Z300:AA300 E291:I295 K291:N295 P291:S295 U291:X295 Z291:Z295 Z427:Z431 K427:N431 X320:X330 X317:X318 W310:X312 W167 G313:I330 E313:F319 E321:F330 C192:D192 H192 R192:S192" formula="1"/>
    <ignoredError sqref="V219:Z220 V202:Z203 Y194:Y200 V188:Z189 Y214 F456 D450:E451 C454:E456 K454:K456 K450 Y450:Y456 T450:T456 J306 Y306 J310 Y308 J407 O345 J321 J315 O310 O315 T310 Y367:Y368 T321 T354 O407 T315 O321 T341 O341 Y365 J341 T306 O306 O442 J442 T337 Y341 Y445 M423:N423 J445 Y345 O438 J411 J337 AE20:AE23 O423:O425 T293:T295 J302 O302 T302 Y302 O337 R369:Y372 J403 R407:Y408 J427:J431 R374:Y374 T365:T368 J345 T423 Y354 J374 O374 Y343 O403 Y423:Y425 O354 J354 Y347:Y351 U345:U349 R427:Y431 R442:Y443 J438 O445:U445 O427:O431 Y293:Y295 J347:J352 O347:O352 T345:T352 O365:O372 J365:J372 Y337 Y335 O335 J335 T335 J436 R436:Y436 O436 R438:Y438 O401 R401:Y401 J401 R403:Y403 M411:O411 R411:Y411 M415:O415 R415:Y415 J391:J396 R391:Y396 O391:O396 T326:T330 J326:J330 O326:O330 Y310:Y330 T332:T333 J332:J333 O332:O333 Y332:Y333 J398:J399 R398:Y399 O398:O399 O433:O434 R433:Y434 J433:J434 R405:Y405 R440:Y440 Y297:Y298 T297:T298 O297:O298 J297:J298 Y300 T300 O300 J300 J291:J295 O293:O295 Y191:Y192" formula="1" formulaRange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544" bestFit="1" customWidth="1"/>
    <col min="2" max="2" width="19.85546875" style="748" customWidth="1"/>
    <col min="3" max="3" width="12" style="544" bestFit="1" customWidth="1"/>
    <col min="4" max="256" width="9.140625" style="544"/>
    <col min="257" max="257" width="29.5703125" style="544" bestFit="1" customWidth="1"/>
    <col min="258" max="258" width="19.85546875" style="544" customWidth="1"/>
    <col min="259" max="259" width="12" style="544" bestFit="1" customWidth="1"/>
    <col min="260" max="512" width="9.140625" style="544"/>
    <col min="513" max="513" width="29.5703125" style="544" bestFit="1" customWidth="1"/>
    <col min="514" max="514" width="19.85546875" style="544" customWidth="1"/>
    <col min="515" max="515" width="12" style="544" bestFit="1" customWidth="1"/>
    <col min="516" max="768" width="9.140625" style="544"/>
    <col min="769" max="769" width="29.5703125" style="544" bestFit="1" customWidth="1"/>
    <col min="770" max="770" width="19.85546875" style="544" customWidth="1"/>
    <col min="771" max="771" width="12" style="544" bestFit="1" customWidth="1"/>
    <col min="772" max="1024" width="9.140625" style="544"/>
    <col min="1025" max="1025" width="29.5703125" style="544" bestFit="1" customWidth="1"/>
    <col min="1026" max="1026" width="19.85546875" style="544" customWidth="1"/>
    <col min="1027" max="1027" width="12" style="544" bestFit="1" customWidth="1"/>
    <col min="1028" max="1280" width="9.140625" style="544"/>
    <col min="1281" max="1281" width="29.5703125" style="544" bestFit="1" customWidth="1"/>
    <col min="1282" max="1282" width="19.85546875" style="544" customWidth="1"/>
    <col min="1283" max="1283" width="12" style="544" bestFit="1" customWidth="1"/>
    <col min="1284" max="1536" width="9.140625" style="544"/>
    <col min="1537" max="1537" width="29.5703125" style="544" bestFit="1" customWidth="1"/>
    <col min="1538" max="1538" width="19.85546875" style="544" customWidth="1"/>
    <col min="1539" max="1539" width="12" style="544" bestFit="1" customWidth="1"/>
    <col min="1540" max="1792" width="9.140625" style="544"/>
    <col min="1793" max="1793" width="29.5703125" style="544" bestFit="1" customWidth="1"/>
    <col min="1794" max="1794" width="19.85546875" style="544" customWidth="1"/>
    <col min="1795" max="1795" width="12" style="544" bestFit="1" customWidth="1"/>
    <col min="1796" max="2048" width="9.140625" style="544"/>
    <col min="2049" max="2049" width="29.5703125" style="544" bestFit="1" customWidth="1"/>
    <col min="2050" max="2050" width="19.85546875" style="544" customWidth="1"/>
    <col min="2051" max="2051" width="12" style="544" bestFit="1" customWidth="1"/>
    <col min="2052" max="2304" width="9.140625" style="544"/>
    <col min="2305" max="2305" width="29.5703125" style="544" bestFit="1" customWidth="1"/>
    <col min="2306" max="2306" width="19.85546875" style="544" customWidth="1"/>
    <col min="2307" max="2307" width="12" style="544" bestFit="1" customWidth="1"/>
    <col min="2308" max="2560" width="9.140625" style="544"/>
    <col min="2561" max="2561" width="29.5703125" style="544" bestFit="1" customWidth="1"/>
    <col min="2562" max="2562" width="19.85546875" style="544" customWidth="1"/>
    <col min="2563" max="2563" width="12" style="544" bestFit="1" customWidth="1"/>
    <col min="2564" max="2816" width="9.140625" style="544"/>
    <col min="2817" max="2817" width="29.5703125" style="544" bestFit="1" customWidth="1"/>
    <col min="2818" max="2818" width="19.85546875" style="544" customWidth="1"/>
    <col min="2819" max="2819" width="12" style="544" bestFit="1" customWidth="1"/>
    <col min="2820" max="3072" width="9.140625" style="544"/>
    <col min="3073" max="3073" width="29.5703125" style="544" bestFit="1" customWidth="1"/>
    <col min="3074" max="3074" width="19.85546875" style="544" customWidth="1"/>
    <col min="3075" max="3075" width="12" style="544" bestFit="1" customWidth="1"/>
    <col min="3076" max="3328" width="9.140625" style="544"/>
    <col min="3329" max="3329" width="29.5703125" style="544" bestFit="1" customWidth="1"/>
    <col min="3330" max="3330" width="19.85546875" style="544" customWidth="1"/>
    <col min="3331" max="3331" width="12" style="544" bestFit="1" customWidth="1"/>
    <col min="3332" max="3584" width="9.140625" style="544"/>
    <col min="3585" max="3585" width="29.5703125" style="544" bestFit="1" customWidth="1"/>
    <col min="3586" max="3586" width="19.85546875" style="544" customWidth="1"/>
    <col min="3587" max="3587" width="12" style="544" bestFit="1" customWidth="1"/>
    <col min="3588" max="3840" width="9.140625" style="544"/>
    <col min="3841" max="3841" width="29.5703125" style="544" bestFit="1" customWidth="1"/>
    <col min="3842" max="3842" width="19.85546875" style="544" customWidth="1"/>
    <col min="3843" max="3843" width="12" style="544" bestFit="1" customWidth="1"/>
    <col min="3844" max="4096" width="9.140625" style="544"/>
    <col min="4097" max="4097" width="29.5703125" style="544" bestFit="1" customWidth="1"/>
    <col min="4098" max="4098" width="19.85546875" style="544" customWidth="1"/>
    <col min="4099" max="4099" width="12" style="544" bestFit="1" customWidth="1"/>
    <col min="4100" max="4352" width="9.140625" style="544"/>
    <col min="4353" max="4353" width="29.5703125" style="544" bestFit="1" customWidth="1"/>
    <col min="4354" max="4354" width="19.85546875" style="544" customWidth="1"/>
    <col min="4355" max="4355" width="12" style="544" bestFit="1" customWidth="1"/>
    <col min="4356" max="4608" width="9.140625" style="544"/>
    <col min="4609" max="4609" width="29.5703125" style="544" bestFit="1" customWidth="1"/>
    <col min="4610" max="4610" width="19.85546875" style="544" customWidth="1"/>
    <col min="4611" max="4611" width="12" style="544" bestFit="1" customWidth="1"/>
    <col min="4612" max="4864" width="9.140625" style="544"/>
    <col min="4865" max="4865" width="29.5703125" style="544" bestFit="1" customWidth="1"/>
    <col min="4866" max="4866" width="19.85546875" style="544" customWidth="1"/>
    <col min="4867" max="4867" width="12" style="544" bestFit="1" customWidth="1"/>
    <col min="4868" max="5120" width="9.140625" style="544"/>
    <col min="5121" max="5121" width="29.5703125" style="544" bestFit="1" customWidth="1"/>
    <col min="5122" max="5122" width="19.85546875" style="544" customWidth="1"/>
    <col min="5123" max="5123" width="12" style="544" bestFit="1" customWidth="1"/>
    <col min="5124" max="5376" width="9.140625" style="544"/>
    <col min="5377" max="5377" width="29.5703125" style="544" bestFit="1" customWidth="1"/>
    <col min="5378" max="5378" width="19.85546875" style="544" customWidth="1"/>
    <col min="5379" max="5379" width="12" style="544" bestFit="1" customWidth="1"/>
    <col min="5380" max="5632" width="9.140625" style="544"/>
    <col min="5633" max="5633" width="29.5703125" style="544" bestFit="1" customWidth="1"/>
    <col min="5634" max="5634" width="19.85546875" style="544" customWidth="1"/>
    <col min="5635" max="5635" width="12" style="544" bestFit="1" customWidth="1"/>
    <col min="5636" max="5888" width="9.140625" style="544"/>
    <col min="5889" max="5889" width="29.5703125" style="544" bestFit="1" customWidth="1"/>
    <col min="5890" max="5890" width="19.85546875" style="544" customWidth="1"/>
    <col min="5891" max="5891" width="12" style="544" bestFit="1" customWidth="1"/>
    <col min="5892" max="6144" width="9.140625" style="544"/>
    <col min="6145" max="6145" width="29.5703125" style="544" bestFit="1" customWidth="1"/>
    <col min="6146" max="6146" width="19.85546875" style="544" customWidth="1"/>
    <col min="6147" max="6147" width="12" style="544" bestFit="1" customWidth="1"/>
    <col min="6148" max="6400" width="9.140625" style="544"/>
    <col min="6401" max="6401" width="29.5703125" style="544" bestFit="1" customWidth="1"/>
    <col min="6402" max="6402" width="19.85546875" style="544" customWidth="1"/>
    <col min="6403" max="6403" width="12" style="544" bestFit="1" customWidth="1"/>
    <col min="6404" max="6656" width="9.140625" style="544"/>
    <col min="6657" max="6657" width="29.5703125" style="544" bestFit="1" customWidth="1"/>
    <col min="6658" max="6658" width="19.85546875" style="544" customWidth="1"/>
    <col min="6659" max="6659" width="12" style="544" bestFit="1" customWidth="1"/>
    <col min="6660" max="6912" width="9.140625" style="544"/>
    <col min="6913" max="6913" width="29.5703125" style="544" bestFit="1" customWidth="1"/>
    <col min="6914" max="6914" width="19.85546875" style="544" customWidth="1"/>
    <col min="6915" max="6915" width="12" style="544" bestFit="1" customWidth="1"/>
    <col min="6916" max="7168" width="9.140625" style="544"/>
    <col min="7169" max="7169" width="29.5703125" style="544" bestFit="1" customWidth="1"/>
    <col min="7170" max="7170" width="19.85546875" style="544" customWidth="1"/>
    <col min="7171" max="7171" width="12" style="544" bestFit="1" customWidth="1"/>
    <col min="7172" max="7424" width="9.140625" style="544"/>
    <col min="7425" max="7425" width="29.5703125" style="544" bestFit="1" customWidth="1"/>
    <col min="7426" max="7426" width="19.85546875" style="544" customWidth="1"/>
    <col min="7427" max="7427" width="12" style="544" bestFit="1" customWidth="1"/>
    <col min="7428" max="7680" width="9.140625" style="544"/>
    <col min="7681" max="7681" width="29.5703125" style="544" bestFit="1" customWidth="1"/>
    <col min="7682" max="7682" width="19.85546875" style="544" customWidth="1"/>
    <col min="7683" max="7683" width="12" style="544" bestFit="1" customWidth="1"/>
    <col min="7684" max="7936" width="9.140625" style="544"/>
    <col min="7937" max="7937" width="29.5703125" style="544" bestFit="1" customWidth="1"/>
    <col min="7938" max="7938" width="19.85546875" style="544" customWidth="1"/>
    <col min="7939" max="7939" width="12" style="544" bestFit="1" customWidth="1"/>
    <col min="7940" max="8192" width="9.140625" style="544"/>
    <col min="8193" max="8193" width="29.5703125" style="544" bestFit="1" customWidth="1"/>
    <col min="8194" max="8194" width="19.85546875" style="544" customWidth="1"/>
    <col min="8195" max="8195" width="12" style="544" bestFit="1" customWidth="1"/>
    <col min="8196" max="8448" width="9.140625" style="544"/>
    <col min="8449" max="8449" width="29.5703125" style="544" bestFit="1" customWidth="1"/>
    <col min="8450" max="8450" width="19.85546875" style="544" customWidth="1"/>
    <col min="8451" max="8451" width="12" style="544" bestFit="1" customWidth="1"/>
    <col min="8452" max="8704" width="9.140625" style="544"/>
    <col min="8705" max="8705" width="29.5703125" style="544" bestFit="1" customWidth="1"/>
    <col min="8706" max="8706" width="19.85546875" style="544" customWidth="1"/>
    <col min="8707" max="8707" width="12" style="544" bestFit="1" customWidth="1"/>
    <col min="8708" max="8960" width="9.140625" style="544"/>
    <col min="8961" max="8961" width="29.5703125" style="544" bestFit="1" customWidth="1"/>
    <col min="8962" max="8962" width="19.85546875" style="544" customWidth="1"/>
    <col min="8963" max="8963" width="12" style="544" bestFit="1" customWidth="1"/>
    <col min="8964" max="9216" width="9.140625" style="544"/>
    <col min="9217" max="9217" width="29.5703125" style="544" bestFit="1" customWidth="1"/>
    <col min="9218" max="9218" width="19.85546875" style="544" customWidth="1"/>
    <col min="9219" max="9219" width="12" style="544" bestFit="1" customWidth="1"/>
    <col min="9220" max="9472" width="9.140625" style="544"/>
    <col min="9473" max="9473" width="29.5703125" style="544" bestFit="1" customWidth="1"/>
    <col min="9474" max="9474" width="19.85546875" style="544" customWidth="1"/>
    <col min="9475" max="9475" width="12" style="544" bestFit="1" customWidth="1"/>
    <col min="9476" max="9728" width="9.140625" style="544"/>
    <col min="9729" max="9729" width="29.5703125" style="544" bestFit="1" customWidth="1"/>
    <col min="9730" max="9730" width="19.85546875" style="544" customWidth="1"/>
    <col min="9731" max="9731" width="12" style="544" bestFit="1" customWidth="1"/>
    <col min="9732" max="9984" width="9.140625" style="544"/>
    <col min="9985" max="9985" width="29.5703125" style="544" bestFit="1" customWidth="1"/>
    <col min="9986" max="9986" width="19.85546875" style="544" customWidth="1"/>
    <col min="9987" max="9987" width="12" style="544" bestFit="1" customWidth="1"/>
    <col min="9988" max="10240" width="9.140625" style="544"/>
    <col min="10241" max="10241" width="29.5703125" style="544" bestFit="1" customWidth="1"/>
    <col min="10242" max="10242" width="19.85546875" style="544" customWidth="1"/>
    <col min="10243" max="10243" width="12" style="544" bestFit="1" customWidth="1"/>
    <col min="10244" max="10496" width="9.140625" style="544"/>
    <col min="10497" max="10497" width="29.5703125" style="544" bestFit="1" customWidth="1"/>
    <col min="10498" max="10498" width="19.85546875" style="544" customWidth="1"/>
    <col min="10499" max="10499" width="12" style="544" bestFit="1" customWidth="1"/>
    <col min="10500" max="10752" width="9.140625" style="544"/>
    <col min="10753" max="10753" width="29.5703125" style="544" bestFit="1" customWidth="1"/>
    <col min="10754" max="10754" width="19.85546875" style="544" customWidth="1"/>
    <col min="10755" max="10755" width="12" style="544" bestFit="1" customWidth="1"/>
    <col min="10756" max="11008" width="9.140625" style="544"/>
    <col min="11009" max="11009" width="29.5703125" style="544" bestFit="1" customWidth="1"/>
    <col min="11010" max="11010" width="19.85546875" style="544" customWidth="1"/>
    <col min="11011" max="11011" width="12" style="544" bestFit="1" customWidth="1"/>
    <col min="11012" max="11264" width="9.140625" style="544"/>
    <col min="11265" max="11265" width="29.5703125" style="544" bestFit="1" customWidth="1"/>
    <col min="11266" max="11266" width="19.85546875" style="544" customWidth="1"/>
    <col min="11267" max="11267" width="12" style="544" bestFit="1" customWidth="1"/>
    <col min="11268" max="11520" width="9.140625" style="544"/>
    <col min="11521" max="11521" width="29.5703125" style="544" bestFit="1" customWidth="1"/>
    <col min="11522" max="11522" width="19.85546875" style="544" customWidth="1"/>
    <col min="11523" max="11523" width="12" style="544" bestFit="1" customWidth="1"/>
    <col min="11524" max="11776" width="9.140625" style="544"/>
    <col min="11777" max="11777" width="29.5703125" style="544" bestFit="1" customWidth="1"/>
    <col min="11778" max="11778" width="19.85546875" style="544" customWidth="1"/>
    <col min="11779" max="11779" width="12" style="544" bestFit="1" customWidth="1"/>
    <col min="11780" max="12032" width="9.140625" style="544"/>
    <col min="12033" max="12033" width="29.5703125" style="544" bestFit="1" customWidth="1"/>
    <col min="12034" max="12034" width="19.85546875" style="544" customWidth="1"/>
    <col min="12035" max="12035" width="12" style="544" bestFit="1" customWidth="1"/>
    <col min="12036" max="12288" width="9.140625" style="544"/>
    <col min="12289" max="12289" width="29.5703125" style="544" bestFit="1" customWidth="1"/>
    <col min="12290" max="12290" width="19.85546875" style="544" customWidth="1"/>
    <col min="12291" max="12291" width="12" style="544" bestFit="1" customWidth="1"/>
    <col min="12292" max="12544" width="9.140625" style="544"/>
    <col min="12545" max="12545" width="29.5703125" style="544" bestFit="1" customWidth="1"/>
    <col min="12546" max="12546" width="19.85546875" style="544" customWidth="1"/>
    <col min="12547" max="12547" width="12" style="544" bestFit="1" customWidth="1"/>
    <col min="12548" max="12800" width="9.140625" style="544"/>
    <col min="12801" max="12801" width="29.5703125" style="544" bestFit="1" customWidth="1"/>
    <col min="12802" max="12802" width="19.85546875" style="544" customWidth="1"/>
    <col min="12803" max="12803" width="12" style="544" bestFit="1" customWidth="1"/>
    <col min="12804" max="13056" width="9.140625" style="544"/>
    <col min="13057" max="13057" width="29.5703125" style="544" bestFit="1" customWidth="1"/>
    <col min="13058" max="13058" width="19.85546875" style="544" customWidth="1"/>
    <col min="13059" max="13059" width="12" style="544" bestFit="1" customWidth="1"/>
    <col min="13060" max="13312" width="9.140625" style="544"/>
    <col min="13313" max="13313" width="29.5703125" style="544" bestFit="1" customWidth="1"/>
    <col min="13314" max="13314" width="19.85546875" style="544" customWidth="1"/>
    <col min="13315" max="13315" width="12" style="544" bestFit="1" customWidth="1"/>
    <col min="13316" max="13568" width="9.140625" style="544"/>
    <col min="13569" max="13569" width="29.5703125" style="544" bestFit="1" customWidth="1"/>
    <col min="13570" max="13570" width="19.85546875" style="544" customWidth="1"/>
    <col min="13571" max="13571" width="12" style="544" bestFit="1" customWidth="1"/>
    <col min="13572" max="13824" width="9.140625" style="544"/>
    <col min="13825" max="13825" width="29.5703125" style="544" bestFit="1" customWidth="1"/>
    <col min="13826" max="13826" width="19.85546875" style="544" customWidth="1"/>
    <col min="13827" max="13827" width="12" style="544" bestFit="1" customWidth="1"/>
    <col min="13828" max="14080" width="9.140625" style="544"/>
    <col min="14081" max="14081" width="29.5703125" style="544" bestFit="1" customWidth="1"/>
    <col min="14082" max="14082" width="19.85546875" style="544" customWidth="1"/>
    <col min="14083" max="14083" width="12" style="544" bestFit="1" customWidth="1"/>
    <col min="14084" max="14336" width="9.140625" style="544"/>
    <col min="14337" max="14337" width="29.5703125" style="544" bestFit="1" customWidth="1"/>
    <col min="14338" max="14338" width="19.85546875" style="544" customWidth="1"/>
    <col min="14339" max="14339" width="12" style="544" bestFit="1" customWidth="1"/>
    <col min="14340" max="14592" width="9.140625" style="544"/>
    <col min="14593" max="14593" width="29.5703125" style="544" bestFit="1" customWidth="1"/>
    <col min="14594" max="14594" width="19.85546875" style="544" customWidth="1"/>
    <col min="14595" max="14595" width="12" style="544" bestFit="1" customWidth="1"/>
    <col min="14596" max="14848" width="9.140625" style="544"/>
    <col min="14849" max="14849" width="29.5703125" style="544" bestFit="1" customWidth="1"/>
    <col min="14850" max="14850" width="19.85546875" style="544" customWidth="1"/>
    <col min="14851" max="14851" width="12" style="544" bestFit="1" customWidth="1"/>
    <col min="14852" max="15104" width="9.140625" style="544"/>
    <col min="15105" max="15105" width="29.5703125" style="544" bestFit="1" customWidth="1"/>
    <col min="15106" max="15106" width="19.85546875" style="544" customWidth="1"/>
    <col min="15107" max="15107" width="12" style="544" bestFit="1" customWidth="1"/>
    <col min="15108" max="15360" width="9.140625" style="544"/>
    <col min="15361" max="15361" width="29.5703125" style="544" bestFit="1" customWidth="1"/>
    <col min="15362" max="15362" width="19.85546875" style="544" customWidth="1"/>
    <col min="15363" max="15363" width="12" style="544" bestFit="1" customWidth="1"/>
    <col min="15364" max="15616" width="9.140625" style="544"/>
    <col min="15617" max="15617" width="29.5703125" style="544" bestFit="1" customWidth="1"/>
    <col min="15618" max="15618" width="19.85546875" style="544" customWidth="1"/>
    <col min="15619" max="15619" width="12" style="544" bestFit="1" customWidth="1"/>
    <col min="15620" max="15872" width="9.140625" style="544"/>
    <col min="15873" max="15873" width="29.5703125" style="544" bestFit="1" customWidth="1"/>
    <col min="15874" max="15874" width="19.85546875" style="544" customWidth="1"/>
    <col min="15875" max="15875" width="12" style="544" bestFit="1" customWidth="1"/>
    <col min="15876" max="16128" width="9.140625" style="544"/>
    <col min="16129" max="16129" width="29.5703125" style="544" bestFit="1" customWidth="1"/>
    <col min="16130" max="16130" width="19.85546875" style="544" customWidth="1"/>
    <col min="16131" max="16131" width="12" style="544" bestFit="1" customWidth="1"/>
    <col min="16132" max="16384" width="9.140625" style="544"/>
  </cols>
  <sheetData>
    <row r="1" spans="1:2">
      <c r="A1" s="544" t="s">
        <v>1924</v>
      </c>
      <c r="B1" s="747">
        <v>6.1</v>
      </c>
    </row>
    <row r="2" spans="1:2">
      <c r="A2" s="544" t="s">
        <v>1925</v>
      </c>
      <c r="B2" s="751">
        <v>43182.382094907407</v>
      </c>
    </row>
    <row r="3" spans="1:2">
      <c r="A3" s="544" t="s">
        <v>1926</v>
      </c>
      <c r="B3" s="748" t="s">
        <v>1620</v>
      </c>
    </row>
    <row r="4" spans="1:2">
      <c r="A4" s="544" t="s">
        <v>1927</v>
      </c>
      <c r="B4" s="748" t="s">
        <v>1928</v>
      </c>
    </row>
    <row r="5" spans="1:2">
      <c r="A5" s="544" t="s">
        <v>1929</v>
      </c>
      <c r="B5" s="748" t="s">
        <v>1930</v>
      </c>
    </row>
    <row r="6" spans="1:2">
      <c r="A6" s="544" t="s">
        <v>1931</v>
      </c>
    </row>
    <row r="7" spans="1:2">
      <c r="A7" s="544" t="s">
        <v>1932</v>
      </c>
      <c r="B7" s="748" t="s">
        <v>414</v>
      </c>
    </row>
    <row r="8" spans="1:2">
      <c r="A8" s="544" t="s">
        <v>1933</v>
      </c>
      <c r="B8" s="748" t="s">
        <v>1934</v>
      </c>
    </row>
    <row r="9" spans="1:2">
      <c r="A9" s="544" t="s">
        <v>1935</v>
      </c>
      <c r="B9" s="748" t="s">
        <v>1971</v>
      </c>
    </row>
    <row r="10" spans="1:2">
      <c r="A10" s="544" t="s">
        <v>1936</v>
      </c>
    </row>
    <row r="11" spans="1:2">
      <c r="A11" s="544" t="s">
        <v>1937</v>
      </c>
    </row>
    <row r="12" spans="1:2">
      <c r="A12" s="544" t="s">
        <v>1938</v>
      </c>
    </row>
    <row r="13" spans="1:2">
      <c r="A13" s="544" t="s">
        <v>1939</v>
      </c>
    </row>
    <row r="14" spans="1:2">
      <c r="A14" s="544" t="s">
        <v>1940</v>
      </c>
    </row>
    <row r="15" spans="1:2">
      <c r="A15" s="544" t="s">
        <v>1941</v>
      </c>
    </row>
    <row r="16" spans="1:2">
      <c r="A16" s="544" t="s">
        <v>1942</v>
      </c>
    </row>
    <row r="17" spans="1:4">
      <c r="A17" s="544" t="s">
        <v>1943</v>
      </c>
      <c r="B17" s="748" t="s">
        <v>1972</v>
      </c>
    </row>
    <row r="18" spans="1:4">
      <c r="A18" s="544" t="s">
        <v>1944</v>
      </c>
      <c r="B18" s="748" t="s">
        <v>1621</v>
      </c>
    </row>
    <row r="19" spans="1:4">
      <c r="A19" s="544" t="s">
        <v>1945</v>
      </c>
      <c r="B19" s="748" t="s">
        <v>425</v>
      </c>
    </row>
    <row r="20" spans="1:4">
      <c r="A20" s="544" t="s">
        <v>1946</v>
      </c>
      <c r="B20" s="749">
        <v>682680103</v>
      </c>
    </row>
    <row r="21" spans="1:4">
      <c r="A21" s="544" t="s">
        <v>1947</v>
      </c>
      <c r="B21" s="748" t="s">
        <v>425</v>
      </c>
    </row>
    <row r="22" spans="1:4">
      <c r="A22" s="544" t="s">
        <v>1948</v>
      </c>
      <c r="B22" s="749">
        <v>2130109</v>
      </c>
    </row>
    <row r="23" spans="1:4">
      <c r="A23" s="544" t="s">
        <v>812</v>
      </c>
      <c r="B23" s="747">
        <v>57.33</v>
      </c>
    </row>
    <row r="24" spans="1:4">
      <c r="A24" s="544" t="s">
        <v>711</v>
      </c>
      <c r="B24" s="748" t="s">
        <v>207</v>
      </c>
      <c r="D24" s="544" t="s">
        <v>653</v>
      </c>
    </row>
    <row r="25" spans="1:4">
      <c r="A25" s="544" t="s">
        <v>1949</v>
      </c>
      <c r="B25" s="748" t="s">
        <v>1975</v>
      </c>
    </row>
    <row r="26" spans="1:4">
      <c r="A26" s="544" t="s">
        <v>753</v>
      </c>
      <c r="B26" s="748">
        <v>0</v>
      </c>
    </row>
    <row r="27" spans="1:4">
      <c r="A27" s="544" t="s">
        <v>1950</v>
      </c>
      <c r="B27" s="748" t="s">
        <v>1951</v>
      </c>
    </row>
    <row r="28" spans="1:4">
      <c r="A28" s="544" t="s">
        <v>1952</v>
      </c>
      <c r="B28" s="748" t="s">
        <v>1953</v>
      </c>
    </row>
    <row r="29" spans="1:4">
      <c r="A29" s="544" t="s">
        <v>1954</v>
      </c>
    </row>
    <row r="30" spans="1:4">
      <c r="A30" s="544" t="s">
        <v>1955</v>
      </c>
    </row>
    <row r="31" spans="1:4">
      <c r="A31" s="544" t="s">
        <v>1956</v>
      </c>
    </row>
    <row r="32" spans="1:4">
      <c r="A32" s="544" t="s">
        <v>1957</v>
      </c>
      <c r="B32" s="747"/>
    </row>
    <row r="33" spans="1:2">
      <c r="A33" s="544" t="s">
        <v>1958</v>
      </c>
      <c r="B33" s="747"/>
    </row>
    <row r="34" spans="1:2">
      <c r="A34" s="544" t="s">
        <v>1959</v>
      </c>
      <c r="B34" s="747"/>
    </row>
    <row r="35" spans="1:2">
      <c r="A35" s="544" t="s">
        <v>1960</v>
      </c>
      <c r="B35" s="748">
        <v>1000000</v>
      </c>
    </row>
    <row r="36" spans="1:2">
      <c r="A36" s="544" t="s">
        <v>1961</v>
      </c>
      <c r="B36" s="748" t="s">
        <v>1973</v>
      </c>
    </row>
    <row r="37" spans="1:2">
      <c r="A37" s="544" t="s">
        <v>1962</v>
      </c>
      <c r="B37" s="748" t="s">
        <v>1963</v>
      </c>
    </row>
    <row r="38" spans="1:2">
      <c r="A38" s="544" t="s">
        <v>1964</v>
      </c>
      <c r="B38" s="748" t="s">
        <v>1965</v>
      </c>
    </row>
    <row r="39" spans="1:2">
      <c r="A39" s="544" t="s">
        <v>1966</v>
      </c>
      <c r="B39" s="748" t="s">
        <v>1974</v>
      </c>
    </row>
    <row r="40" spans="1:2">
      <c r="A40" s="544" t="s">
        <v>1967</v>
      </c>
      <c r="B40" s="748">
        <v>1500005514</v>
      </c>
    </row>
    <row r="41" spans="1:2">
      <c r="A41" s="544" t="s">
        <v>1968</v>
      </c>
      <c r="B41" s="748">
        <v>1</v>
      </c>
    </row>
    <row r="42" spans="1:2">
      <c r="A42" s="750" t="s">
        <v>1969</v>
      </c>
    </row>
    <row r="43" spans="1:2">
      <c r="A43" s="544" t="s">
        <v>1970</v>
      </c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544" bestFit="1" customWidth="1"/>
    <col min="2" max="256" width="9.140625" style="544"/>
    <col min="257" max="257" width="28.5703125" style="544" bestFit="1" customWidth="1"/>
    <col min="258" max="512" width="9.140625" style="544"/>
    <col min="513" max="513" width="28.5703125" style="544" bestFit="1" customWidth="1"/>
    <col min="514" max="768" width="9.140625" style="544"/>
    <col min="769" max="769" width="28.5703125" style="544" bestFit="1" customWidth="1"/>
    <col min="770" max="1024" width="9.140625" style="544"/>
    <col min="1025" max="1025" width="28.5703125" style="544" bestFit="1" customWidth="1"/>
    <col min="1026" max="1280" width="9.140625" style="544"/>
    <col min="1281" max="1281" width="28.5703125" style="544" bestFit="1" customWidth="1"/>
    <col min="1282" max="1536" width="9.140625" style="544"/>
    <col min="1537" max="1537" width="28.5703125" style="544" bestFit="1" customWidth="1"/>
    <col min="1538" max="1792" width="9.140625" style="544"/>
    <col min="1793" max="1793" width="28.5703125" style="544" bestFit="1" customWidth="1"/>
    <col min="1794" max="2048" width="9.140625" style="544"/>
    <col min="2049" max="2049" width="28.5703125" style="544" bestFit="1" customWidth="1"/>
    <col min="2050" max="2304" width="9.140625" style="544"/>
    <col min="2305" max="2305" width="28.5703125" style="544" bestFit="1" customWidth="1"/>
    <col min="2306" max="2560" width="9.140625" style="544"/>
    <col min="2561" max="2561" width="28.5703125" style="544" bestFit="1" customWidth="1"/>
    <col min="2562" max="2816" width="9.140625" style="544"/>
    <col min="2817" max="2817" width="28.5703125" style="544" bestFit="1" customWidth="1"/>
    <col min="2818" max="3072" width="9.140625" style="544"/>
    <col min="3073" max="3073" width="28.5703125" style="544" bestFit="1" customWidth="1"/>
    <col min="3074" max="3328" width="9.140625" style="544"/>
    <col min="3329" max="3329" width="28.5703125" style="544" bestFit="1" customWidth="1"/>
    <col min="3330" max="3584" width="9.140625" style="544"/>
    <col min="3585" max="3585" width="28.5703125" style="544" bestFit="1" customWidth="1"/>
    <col min="3586" max="3840" width="9.140625" style="544"/>
    <col min="3841" max="3841" width="28.5703125" style="544" bestFit="1" customWidth="1"/>
    <col min="3842" max="4096" width="9.140625" style="544"/>
    <col min="4097" max="4097" width="28.5703125" style="544" bestFit="1" customWidth="1"/>
    <col min="4098" max="4352" width="9.140625" style="544"/>
    <col min="4353" max="4353" width="28.5703125" style="544" bestFit="1" customWidth="1"/>
    <col min="4354" max="4608" width="9.140625" style="544"/>
    <col min="4609" max="4609" width="28.5703125" style="544" bestFit="1" customWidth="1"/>
    <col min="4610" max="4864" width="9.140625" style="544"/>
    <col min="4865" max="4865" width="28.5703125" style="544" bestFit="1" customWidth="1"/>
    <col min="4866" max="5120" width="9.140625" style="544"/>
    <col min="5121" max="5121" width="28.5703125" style="544" bestFit="1" customWidth="1"/>
    <col min="5122" max="5376" width="9.140625" style="544"/>
    <col min="5377" max="5377" width="28.5703125" style="544" bestFit="1" customWidth="1"/>
    <col min="5378" max="5632" width="9.140625" style="544"/>
    <col min="5633" max="5633" width="28.5703125" style="544" bestFit="1" customWidth="1"/>
    <col min="5634" max="5888" width="9.140625" style="544"/>
    <col min="5889" max="5889" width="28.5703125" style="544" bestFit="1" customWidth="1"/>
    <col min="5890" max="6144" width="9.140625" style="544"/>
    <col min="6145" max="6145" width="28.5703125" style="544" bestFit="1" customWidth="1"/>
    <col min="6146" max="6400" width="9.140625" style="544"/>
    <col min="6401" max="6401" width="28.5703125" style="544" bestFit="1" customWidth="1"/>
    <col min="6402" max="6656" width="9.140625" style="544"/>
    <col min="6657" max="6657" width="28.5703125" style="544" bestFit="1" customWidth="1"/>
    <col min="6658" max="6912" width="9.140625" style="544"/>
    <col min="6913" max="6913" width="28.5703125" style="544" bestFit="1" customWidth="1"/>
    <col min="6914" max="7168" width="9.140625" style="544"/>
    <col min="7169" max="7169" width="28.5703125" style="544" bestFit="1" customWidth="1"/>
    <col min="7170" max="7424" width="9.140625" style="544"/>
    <col min="7425" max="7425" width="28.5703125" style="544" bestFit="1" customWidth="1"/>
    <col min="7426" max="7680" width="9.140625" style="544"/>
    <col min="7681" max="7681" width="28.5703125" style="544" bestFit="1" customWidth="1"/>
    <col min="7682" max="7936" width="9.140625" style="544"/>
    <col min="7937" max="7937" width="28.5703125" style="544" bestFit="1" customWidth="1"/>
    <col min="7938" max="8192" width="9.140625" style="544"/>
    <col min="8193" max="8193" width="28.5703125" style="544" bestFit="1" customWidth="1"/>
    <col min="8194" max="8448" width="9.140625" style="544"/>
    <col min="8449" max="8449" width="28.5703125" style="544" bestFit="1" customWidth="1"/>
    <col min="8450" max="8704" width="9.140625" style="544"/>
    <col min="8705" max="8705" width="28.5703125" style="544" bestFit="1" customWidth="1"/>
    <col min="8706" max="8960" width="9.140625" style="544"/>
    <col min="8961" max="8961" width="28.5703125" style="544" bestFit="1" customWidth="1"/>
    <col min="8962" max="9216" width="9.140625" style="544"/>
    <col min="9217" max="9217" width="28.5703125" style="544" bestFit="1" customWidth="1"/>
    <col min="9218" max="9472" width="9.140625" style="544"/>
    <col min="9473" max="9473" width="28.5703125" style="544" bestFit="1" customWidth="1"/>
    <col min="9474" max="9728" width="9.140625" style="544"/>
    <col min="9729" max="9729" width="28.5703125" style="544" bestFit="1" customWidth="1"/>
    <col min="9730" max="9984" width="9.140625" style="544"/>
    <col min="9985" max="9985" width="28.5703125" style="544" bestFit="1" customWidth="1"/>
    <col min="9986" max="10240" width="9.140625" style="544"/>
    <col min="10241" max="10241" width="28.5703125" style="544" bestFit="1" customWidth="1"/>
    <col min="10242" max="10496" width="9.140625" style="544"/>
    <col min="10497" max="10497" width="28.5703125" style="544" bestFit="1" customWidth="1"/>
    <col min="10498" max="10752" width="9.140625" style="544"/>
    <col min="10753" max="10753" width="28.5703125" style="544" bestFit="1" customWidth="1"/>
    <col min="10754" max="11008" width="9.140625" style="544"/>
    <col min="11009" max="11009" width="28.5703125" style="544" bestFit="1" customWidth="1"/>
    <col min="11010" max="11264" width="9.140625" style="544"/>
    <col min="11265" max="11265" width="28.5703125" style="544" bestFit="1" customWidth="1"/>
    <col min="11266" max="11520" width="9.140625" style="544"/>
    <col min="11521" max="11521" width="28.5703125" style="544" bestFit="1" customWidth="1"/>
    <col min="11522" max="11776" width="9.140625" style="544"/>
    <col min="11777" max="11777" width="28.5703125" style="544" bestFit="1" customWidth="1"/>
    <col min="11778" max="12032" width="9.140625" style="544"/>
    <col min="12033" max="12033" width="28.5703125" style="544" bestFit="1" customWidth="1"/>
    <col min="12034" max="12288" width="9.140625" style="544"/>
    <col min="12289" max="12289" width="28.5703125" style="544" bestFit="1" customWidth="1"/>
    <col min="12290" max="12544" width="9.140625" style="544"/>
    <col min="12545" max="12545" width="28.5703125" style="544" bestFit="1" customWidth="1"/>
    <col min="12546" max="12800" width="9.140625" style="544"/>
    <col min="12801" max="12801" width="28.5703125" style="544" bestFit="1" customWidth="1"/>
    <col min="12802" max="13056" width="9.140625" style="544"/>
    <col min="13057" max="13057" width="28.5703125" style="544" bestFit="1" customWidth="1"/>
    <col min="13058" max="13312" width="9.140625" style="544"/>
    <col min="13313" max="13313" width="28.5703125" style="544" bestFit="1" customWidth="1"/>
    <col min="13314" max="13568" width="9.140625" style="544"/>
    <col min="13569" max="13569" width="28.5703125" style="544" bestFit="1" customWidth="1"/>
    <col min="13570" max="13824" width="9.140625" style="544"/>
    <col min="13825" max="13825" width="28.5703125" style="544" bestFit="1" customWidth="1"/>
    <col min="13826" max="14080" width="9.140625" style="544"/>
    <col min="14081" max="14081" width="28.5703125" style="544" bestFit="1" customWidth="1"/>
    <col min="14082" max="14336" width="9.140625" style="544"/>
    <col min="14337" max="14337" width="28.5703125" style="544" bestFit="1" customWidth="1"/>
    <col min="14338" max="14592" width="9.140625" style="544"/>
    <col min="14593" max="14593" width="28.5703125" style="544" bestFit="1" customWidth="1"/>
    <col min="14594" max="14848" width="9.140625" style="544"/>
    <col min="14849" max="14849" width="28.5703125" style="544" bestFit="1" customWidth="1"/>
    <col min="14850" max="15104" width="9.140625" style="544"/>
    <col min="15105" max="15105" width="28.5703125" style="544" bestFit="1" customWidth="1"/>
    <col min="15106" max="15360" width="9.140625" style="544"/>
    <col min="15361" max="15361" width="28.5703125" style="544" bestFit="1" customWidth="1"/>
    <col min="15362" max="15616" width="9.140625" style="544"/>
    <col min="15617" max="15617" width="28.5703125" style="544" bestFit="1" customWidth="1"/>
    <col min="15618" max="15872" width="9.140625" style="544"/>
    <col min="15873" max="15873" width="28.5703125" style="544" bestFit="1" customWidth="1"/>
    <col min="15874" max="16128" width="9.140625" style="544"/>
    <col min="16129" max="16129" width="28.5703125" style="544" bestFit="1" customWidth="1"/>
    <col min="16130" max="16384" width="9.140625" style="544"/>
  </cols>
  <sheetData>
    <row r="1" spans="1:1">
      <c r="A1" s="752" t="s">
        <v>1976</v>
      </c>
    </row>
    <row r="2" spans="1:1">
      <c r="A2" s="752" t="s">
        <v>1981</v>
      </c>
    </row>
    <row r="3" spans="1:1">
      <c r="A3" s="752" t="s">
        <v>1982</v>
      </c>
    </row>
    <row r="4" spans="1:1">
      <c r="A4" s="752" t="s">
        <v>1983</v>
      </c>
    </row>
    <row r="5" spans="1:1">
      <c r="A5" s="752" t="s">
        <v>1984</v>
      </c>
    </row>
    <row r="6" spans="1:1">
      <c r="A6" s="752" t="s">
        <v>1977</v>
      </c>
    </row>
    <row r="7" spans="1:1">
      <c r="A7" s="752" t="s">
        <v>1985</v>
      </c>
    </row>
    <row r="8" spans="1:1">
      <c r="A8" s="752" t="s">
        <v>1986</v>
      </c>
    </row>
    <row r="9" spans="1:1">
      <c r="A9" s="752" t="s">
        <v>1987</v>
      </c>
    </row>
    <row r="10" spans="1:1">
      <c r="A10" s="752" t="s">
        <v>1978</v>
      </c>
    </row>
    <row r="11" spans="1:1">
      <c r="A11" s="752" t="s">
        <v>1988</v>
      </c>
    </row>
    <row r="12" spans="1:1">
      <c r="A12" s="752" t="s">
        <v>1979</v>
      </c>
    </row>
    <row r="13" spans="1:1">
      <c r="A13" s="752" t="s">
        <v>1980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V7"/>
  <sheetViews>
    <sheetView workbookViewId="0"/>
  </sheetViews>
  <sheetFormatPr defaultRowHeight="12.75"/>
  <sheetData>
    <row r="1" spans="1:256">
      <c r="A1" t="s">
        <v>205</v>
      </c>
    </row>
    <row r="2" spans="1:256" s="1" customFormat="1">
      <c r="A2" s="1" t="s">
        <v>932</v>
      </c>
      <c r="B2" s="1" t="s">
        <v>568</v>
      </c>
      <c r="C2" s="1" t="s">
        <v>770</v>
      </c>
      <c r="D2" s="1" t="s">
        <v>1579</v>
      </c>
      <c r="E2" s="1" t="s">
        <v>361</v>
      </c>
      <c r="F2" s="1" t="s">
        <v>1421</v>
      </c>
      <c r="G2" s="1" t="s">
        <v>466</v>
      </c>
      <c r="H2" s="1" t="s">
        <v>1536</v>
      </c>
      <c r="I2" s="1" t="s">
        <v>933</v>
      </c>
      <c r="J2" s="1" t="s">
        <v>709</v>
      </c>
      <c r="K2" s="1" t="s">
        <v>1254</v>
      </c>
      <c r="L2" s="1" t="s">
        <v>1521</v>
      </c>
      <c r="M2" s="1" t="s">
        <v>1108</v>
      </c>
      <c r="N2" s="1" t="s">
        <v>1463</v>
      </c>
      <c r="O2" s="1" t="s">
        <v>83</v>
      </c>
      <c r="P2" s="1" t="s">
        <v>565</v>
      </c>
      <c r="Q2" s="1" t="s">
        <v>1018</v>
      </c>
      <c r="R2" s="1" t="s">
        <v>1455</v>
      </c>
      <c r="S2" s="1" t="s">
        <v>858</v>
      </c>
      <c r="T2" s="1" t="s">
        <v>427</v>
      </c>
      <c r="U2" s="1" t="s">
        <v>481</v>
      </c>
      <c r="V2" s="1" t="s">
        <v>697</v>
      </c>
      <c r="W2" s="1" t="s">
        <v>1141</v>
      </c>
      <c r="X2" s="1" t="s">
        <v>1481</v>
      </c>
      <c r="Y2" s="1" t="s">
        <v>656</v>
      </c>
      <c r="Z2" s="1" t="s">
        <v>296</v>
      </c>
      <c r="AA2" s="1" t="s">
        <v>25</v>
      </c>
      <c r="AB2" s="1" t="s">
        <v>1564</v>
      </c>
      <c r="AC2" s="1" t="s">
        <v>408</v>
      </c>
      <c r="AD2" s="1" t="s">
        <v>548</v>
      </c>
      <c r="AE2" s="1" t="s">
        <v>90</v>
      </c>
      <c r="AF2" s="1" t="s">
        <v>264</v>
      </c>
      <c r="AG2" s="1" t="s">
        <v>1159</v>
      </c>
      <c r="AH2" s="1" t="s">
        <v>1488</v>
      </c>
      <c r="AI2" s="1" t="s">
        <v>667</v>
      </c>
      <c r="AJ2" s="1" t="s">
        <v>893</v>
      </c>
      <c r="AK2" s="1" t="s">
        <v>430</v>
      </c>
      <c r="AL2" s="1" t="s">
        <v>961</v>
      </c>
      <c r="AM2" s="1" t="s">
        <v>1216</v>
      </c>
      <c r="AN2" s="1" t="s">
        <v>1402</v>
      </c>
      <c r="AO2" s="1" t="s">
        <v>802</v>
      </c>
      <c r="AP2" s="1" t="s">
        <v>966</v>
      </c>
      <c r="AQ2" s="1" t="s">
        <v>1101</v>
      </c>
      <c r="AR2" s="1" t="s">
        <v>1365</v>
      </c>
      <c r="AS2" s="1" t="s">
        <v>388</v>
      </c>
      <c r="AT2" s="1" t="s">
        <v>422</v>
      </c>
      <c r="AU2" s="1" t="s">
        <v>1133</v>
      </c>
      <c r="AV2" s="1" t="s">
        <v>1301</v>
      </c>
      <c r="AW2" s="1" t="s">
        <v>1004</v>
      </c>
      <c r="AX2" s="1" t="s">
        <v>1355</v>
      </c>
      <c r="AY2" s="1" t="s">
        <v>323</v>
      </c>
      <c r="AZ2" s="1" t="s">
        <v>66</v>
      </c>
      <c r="BA2" s="1" t="s">
        <v>1023</v>
      </c>
      <c r="BB2" s="1" t="s">
        <v>1333</v>
      </c>
      <c r="BC2" s="1" t="s">
        <v>1236</v>
      </c>
      <c r="BD2" s="1" t="s">
        <v>1328</v>
      </c>
      <c r="BE2" s="1" t="s">
        <v>498</v>
      </c>
      <c r="BF2" s="1" t="s">
        <v>1567</v>
      </c>
      <c r="BG2" s="1" t="s">
        <v>405</v>
      </c>
      <c r="BH2" s="1" t="s">
        <v>898</v>
      </c>
      <c r="BI2" s="1" t="s">
        <v>1128</v>
      </c>
      <c r="BJ2" s="1" t="s">
        <v>1385</v>
      </c>
      <c r="BK2" s="1" t="s">
        <v>735</v>
      </c>
      <c r="BL2" s="1" t="s">
        <v>776</v>
      </c>
      <c r="BM2" s="1" t="s">
        <v>618</v>
      </c>
      <c r="BN2" s="1" t="s">
        <v>1557</v>
      </c>
      <c r="BO2" s="1" t="s">
        <v>1140</v>
      </c>
      <c r="BP2" s="1" t="s">
        <v>227</v>
      </c>
      <c r="BQ2" s="1" t="s">
        <v>915</v>
      </c>
      <c r="BR2" s="1" t="s">
        <v>105</v>
      </c>
      <c r="BS2" s="1" t="s">
        <v>571</v>
      </c>
      <c r="BT2" s="1" t="s">
        <v>101</v>
      </c>
      <c r="BU2" s="1" t="s">
        <v>172</v>
      </c>
      <c r="BV2" s="1" t="s">
        <v>1315</v>
      </c>
      <c r="BW2" s="1" t="s">
        <v>10</v>
      </c>
      <c r="BX2" s="1" t="s">
        <v>1538</v>
      </c>
      <c r="BY2" s="1" t="s">
        <v>269</v>
      </c>
      <c r="BZ2" s="1" t="s">
        <v>564</v>
      </c>
      <c r="CA2" s="1" t="s">
        <v>179</v>
      </c>
      <c r="CB2" s="1" t="s">
        <v>1324</v>
      </c>
      <c r="CC2" s="1" t="s">
        <v>476</v>
      </c>
      <c r="CD2" s="1" t="s">
        <v>564</v>
      </c>
      <c r="CE2" s="1" t="s">
        <v>497</v>
      </c>
      <c r="CF2" s="1" t="s">
        <v>1569</v>
      </c>
      <c r="CG2" s="1" t="s">
        <v>590</v>
      </c>
      <c r="CH2" s="1" t="s">
        <v>139</v>
      </c>
      <c r="CI2" s="1" t="s">
        <v>1185</v>
      </c>
      <c r="CJ2" s="1" t="s">
        <v>1330</v>
      </c>
      <c r="CK2" s="1" t="s">
        <v>850</v>
      </c>
      <c r="CL2" s="1" t="s">
        <v>1421</v>
      </c>
      <c r="CM2" s="1" t="s">
        <v>1008</v>
      </c>
      <c r="CN2" s="1" t="s">
        <v>1305</v>
      </c>
      <c r="CO2" s="1" t="s">
        <v>743</v>
      </c>
      <c r="CP2" s="1" t="s">
        <v>1572</v>
      </c>
      <c r="CQ2" s="1" t="s">
        <v>1034</v>
      </c>
      <c r="CR2" s="1" t="s">
        <v>1339</v>
      </c>
      <c r="CS2" s="1" t="s">
        <v>305</v>
      </c>
      <c r="CT2" s="1" t="s">
        <v>564</v>
      </c>
      <c r="CU2" s="1" t="s">
        <v>14</v>
      </c>
      <c r="CV2" s="1" t="s">
        <v>1421</v>
      </c>
      <c r="CW2" s="1" t="s">
        <v>624</v>
      </c>
      <c r="CX2" s="1" t="s">
        <v>1583</v>
      </c>
      <c r="CY2" s="1" t="s">
        <v>1013</v>
      </c>
      <c r="CZ2" s="1" t="s">
        <v>1514</v>
      </c>
      <c r="DA2" s="1" t="s">
        <v>410</v>
      </c>
      <c r="DB2" s="1" t="s">
        <v>1421</v>
      </c>
      <c r="DC2" s="1" t="s">
        <v>616</v>
      </c>
      <c r="DD2" s="1" t="s">
        <v>1555</v>
      </c>
      <c r="DE2" s="1" t="s">
        <v>1074</v>
      </c>
      <c r="DF2" s="1" t="s">
        <v>1389</v>
      </c>
      <c r="DG2" s="1" t="s">
        <v>1256</v>
      </c>
      <c r="DH2" s="1" t="s">
        <v>1415</v>
      </c>
      <c r="DI2" s="1" t="s">
        <v>413</v>
      </c>
      <c r="DJ2" s="1" t="s">
        <v>1541</v>
      </c>
      <c r="DK2" s="1" t="s">
        <v>1266</v>
      </c>
      <c r="DL2" s="1" t="s">
        <v>1378</v>
      </c>
      <c r="DM2" s="1" t="s">
        <v>766</v>
      </c>
      <c r="DN2" s="1" t="s">
        <v>709</v>
      </c>
      <c r="DO2" s="1" t="s">
        <v>1162</v>
      </c>
      <c r="DP2" s="1" t="s">
        <v>1309</v>
      </c>
      <c r="DQ2" s="1" t="s">
        <v>1016</v>
      </c>
      <c r="DR2" s="1" t="s">
        <v>1284</v>
      </c>
      <c r="DS2" s="1" t="s">
        <v>1265</v>
      </c>
      <c r="DT2" s="1" t="s">
        <v>1522</v>
      </c>
      <c r="DU2" s="1" t="s">
        <v>153</v>
      </c>
      <c r="DV2" s="1" t="s">
        <v>102</v>
      </c>
      <c r="DW2" s="1" t="s">
        <v>1250</v>
      </c>
      <c r="DX2" s="1" t="s">
        <v>1297</v>
      </c>
      <c r="DY2" s="1" t="s">
        <v>1199</v>
      </c>
      <c r="DZ2" s="1" t="s">
        <v>1321</v>
      </c>
      <c r="EA2" s="1" t="s">
        <v>767</v>
      </c>
      <c r="EB2" s="1" t="s">
        <v>566</v>
      </c>
      <c r="EC2" s="1" t="s">
        <v>54</v>
      </c>
      <c r="ED2" s="1" t="s">
        <v>925</v>
      </c>
      <c r="EE2" s="1" t="s">
        <v>1149</v>
      </c>
      <c r="EF2" s="1" t="s">
        <v>1304</v>
      </c>
      <c r="EG2" s="1" t="s">
        <v>806</v>
      </c>
      <c r="EH2" s="1" t="s">
        <v>440</v>
      </c>
      <c r="EI2" s="1" t="s">
        <v>433</v>
      </c>
      <c r="EJ2" s="1" t="s">
        <v>218</v>
      </c>
      <c r="EK2" s="1" t="s">
        <v>110</v>
      </c>
      <c r="EL2" s="1" t="s">
        <v>125</v>
      </c>
      <c r="EM2" s="1" t="s">
        <v>1139</v>
      </c>
      <c r="EN2" s="1" t="s">
        <v>1307</v>
      </c>
      <c r="EO2" s="1" t="s">
        <v>84</v>
      </c>
      <c r="EP2" s="1" t="s">
        <v>564</v>
      </c>
      <c r="EQ2" s="1" t="s">
        <v>1233</v>
      </c>
      <c r="ER2" s="1" t="s">
        <v>1298</v>
      </c>
      <c r="ES2" s="1" t="s">
        <v>836</v>
      </c>
      <c r="ET2" s="1" t="s">
        <v>1427</v>
      </c>
      <c r="EU2" s="1" t="s">
        <v>1132</v>
      </c>
      <c r="EV2" s="1" t="s">
        <v>1475</v>
      </c>
      <c r="EW2" s="1" t="s">
        <v>144</v>
      </c>
      <c r="EX2" s="1" t="s">
        <v>888</v>
      </c>
      <c r="EY2" s="1" t="s">
        <v>878</v>
      </c>
      <c r="EZ2" s="1" t="s">
        <v>551</v>
      </c>
      <c r="FA2" s="1" t="s">
        <v>650</v>
      </c>
      <c r="FB2" s="1" t="s">
        <v>775</v>
      </c>
      <c r="FC2" s="1" t="s">
        <v>1241</v>
      </c>
      <c r="FD2" s="1" t="s">
        <v>1276</v>
      </c>
      <c r="FE2" s="1" t="s">
        <v>1217</v>
      </c>
      <c r="FF2" s="1" t="s">
        <v>1403</v>
      </c>
      <c r="FG2" s="1" t="s">
        <v>657</v>
      </c>
      <c r="FH2" s="1" t="s">
        <v>1429</v>
      </c>
      <c r="FI2" s="1" t="s">
        <v>77</v>
      </c>
      <c r="FJ2" s="1" t="s">
        <v>78</v>
      </c>
      <c r="FK2" s="1" t="s">
        <v>605</v>
      </c>
      <c r="FL2" s="1" t="s">
        <v>1578</v>
      </c>
      <c r="FM2" s="1" t="s">
        <v>29</v>
      </c>
      <c r="FN2" s="1" t="s">
        <v>1574</v>
      </c>
      <c r="FO2" s="1" t="s">
        <v>585</v>
      </c>
      <c r="FP2" s="1" t="s">
        <v>1568</v>
      </c>
      <c r="FQ2" s="1" t="s">
        <v>619</v>
      </c>
      <c r="FR2" s="1" t="s">
        <v>1552</v>
      </c>
      <c r="FS2" s="1" t="s">
        <v>1205</v>
      </c>
      <c r="FT2" s="1" t="s">
        <v>1380</v>
      </c>
      <c r="FU2" s="1" t="s">
        <v>1213</v>
      </c>
      <c r="FV2" s="1" t="s">
        <v>1512</v>
      </c>
      <c r="FW2" s="1" t="s">
        <v>1015</v>
      </c>
      <c r="FX2" s="1" t="s">
        <v>1453</v>
      </c>
      <c r="FY2" s="1" t="s">
        <v>1238</v>
      </c>
      <c r="FZ2" s="1" t="s">
        <v>1331</v>
      </c>
      <c r="GA2" s="1" t="s">
        <v>746</v>
      </c>
      <c r="GB2" s="1" t="s">
        <v>1429</v>
      </c>
      <c r="GC2" s="1" t="s">
        <v>1183</v>
      </c>
      <c r="GD2" s="1" t="s">
        <v>1499</v>
      </c>
      <c r="GE2" s="1" t="s">
        <v>1002</v>
      </c>
      <c r="GF2" s="1" t="s">
        <v>1327</v>
      </c>
      <c r="GG2" s="1" t="s">
        <v>140</v>
      </c>
      <c r="GH2" s="1" t="s">
        <v>216</v>
      </c>
      <c r="GI2" s="1" t="s">
        <v>1112</v>
      </c>
      <c r="GJ2" s="1" t="s">
        <v>1350</v>
      </c>
      <c r="GK2" s="1" t="s">
        <v>1006</v>
      </c>
      <c r="GL2" s="1" t="s">
        <v>1414</v>
      </c>
      <c r="GM2" s="1" t="s">
        <v>1271</v>
      </c>
      <c r="GN2" s="1" t="s">
        <v>1331</v>
      </c>
      <c r="GO2" s="1" t="s">
        <v>923</v>
      </c>
      <c r="GP2" s="1" t="s">
        <v>1001</v>
      </c>
      <c r="GQ2" s="1" t="s">
        <v>326</v>
      </c>
      <c r="GR2" s="1" t="s">
        <v>68</v>
      </c>
      <c r="GS2" s="1" t="s">
        <v>56</v>
      </c>
      <c r="GT2" s="1" t="s">
        <v>1537</v>
      </c>
      <c r="GU2" s="1" t="s">
        <v>1247</v>
      </c>
      <c r="GV2" s="1" t="s">
        <v>1313</v>
      </c>
      <c r="GW2" s="1" t="s">
        <v>555</v>
      </c>
      <c r="GX2" s="1" t="s">
        <v>703</v>
      </c>
      <c r="GY2" s="1" t="s">
        <v>887</v>
      </c>
      <c r="GZ2" s="1" t="s">
        <v>965</v>
      </c>
      <c r="HA2" s="1" t="s">
        <v>480</v>
      </c>
      <c r="HB2" s="1" t="s">
        <v>365</v>
      </c>
      <c r="HC2" s="1" t="s">
        <v>1017</v>
      </c>
      <c r="HD2" s="1" t="s">
        <v>1331</v>
      </c>
      <c r="HE2" s="1" t="s">
        <v>786</v>
      </c>
      <c r="HF2" s="1" t="s">
        <v>1420</v>
      </c>
      <c r="HG2" s="1" t="s">
        <v>416</v>
      </c>
      <c r="HH2" s="1" t="s">
        <v>183</v>
      </c>
      <c r="HI2" s="1" t="s">
        <v>1245</v>
      </c>
      <c r="HJ2" s="1" t="s">
        <v>227</v>
      </c>
      <c r="HK2" s="1" t="s">
        <v>1155</v>
      </c>
      <c r="HL2" s="1" t="s">
        <v>1382</v>
      </c>
      <c r="HM2" s="1" t="s">
        <v>297</v>
      </c>
      <c r="HN2" s="1" t="s">
        <v>207</v>
      </c>
      <c r="HO2" s="1" t="s">
        <v>271</v>
      </c>
      <c r="HP2" s="1" t="s">
        <v>784</v>
      </c>
      <c r="HQ2" s="1" t="s">
        <v>634</v>
      </c>
      <c r="HR2" s="1" t="s">
        <v>587</v>
      </c>
      <c r="HS2" s="1" t="s">
        <v>1226</v>
      </c>
      <c r="HT2" s="1" t="s">
        <v>1510</v>
      </c>
      <c r="HU2" s="1" t="s">
        <v>142</v>
      </c>
      <c r="HV2" s="1" t="s">
        <v>991</v>
      </c>
      <c r="HW2" s="1" t="s">
        <v>1204</v>
      </c>
      <c r="HX2" s="1" t="s">
        <v>1304</v>
      </c>
      <c r="HY2" s="1" t="s">
        <v>1009</v>
      </c>
      <c r="HZ2" s="1" t="s">
        <v>1450</v>
      </c>
      <c r="IA2" s="1" t="s">
        <v>82</v>
      </c>
      <c r="IB2" s="1" t="s">
        <v>565</v>
      </c>
      <c r="IC2" s="1" t="s">
        <v>1036</v>
      </c>
      <c r="ID2" s="1" t="s">
        <v>1465</v>
      </c>
      <c r="IE2" s="1" t="s">
        <v>823</v>
      </c>
      <c r="IF2" s="1" t="s">
        <v>994</v>
      </c>
      <c r="IG2" s="1" t="s">
        <v>12</v>
      </c>
      <c r="IH2" s="1" t="s">
        <v>1540</v>
      </c>
      <c r="II2" s="1" t="s">
        <v>1192</v>
      </c>
      <c r="IJ2" s="1" t="s">
        <v>1321</v>
      </c>
      <c r="IK2" s="1" t="s">
        <v>91</v>
      </c>
      <c r="IL2" s="1" t="s">
        <v>451</v>
      </c>
      <c r="IM2" s="1" t="s">
        <v>1058</v>
      </c>
      <c r="IN2" s="1" t="s">
        <v>1349</v>
      </c>
      <c r="IO2" s="1" t="s">
        <v>394</v>
      </c>
      <c r="IP2" s="1" t="s">
        <v>1294</v>
      </c>
      <c r="IQ2" s="1" t="s">
        <v>1142</v>
      </c>
      <c r="IR2" s="1" t="s">
        <v>1482</v>
      </c>
      <c r="IS2" s="1" t="s">
        <v>1267</v>
      </c>
      <c r="IT2" s="1" t="s">
        <v>1312</v>
      </c>
      <c r="IU2" s="1" t="s">
        <v>443</v>
      </c>
      <c r="IV2" s="1" t="s">
        <v>1585</v>
      </c>
    </row>
    <row r="3" spans="1:256" s="1" customFormat="1">
      <c r="A3" s="1" t="s">
        <v>638</v>
      </c>
      <c r="B3" s="1" t="s">
        <v>188</v>
      </c>
      <c r="C3" s="1" t="s">
        <v>275</v>
      </c>
      <c r="D3" s="1" t="s">
        <v>364</v>
      </c>
      <c r="E3" s="1" t="s">
        <v>173</v>
      </c>
      <c r="F3" s="1" t="s">
        <v>1421</v>
      </c>
      <c r="G3" s="1" t="s">
        <v>1151</v>
      </c>
      <c r="H3" s="1" t="s">
        <v>1416</v>
      </c>
      <c r="I3" s="1" t="s">
        <v>449</v>
      </c>
      <c r="J3" s="1" t="s">
        <v>892</v>
      </c>
      <c r="K3" s="1" t="s">
        <v>780</v>
      </c>
      <c r="L3" s="1" t="s">
        <v>437</v>
      </c>
      <c r="M3" s="1" t="s">
        <v>290</v>
      </c>
      <c r="N3" s="1" t="s">
        <v>595</v>
      </c>
      <c r="O3" s="1" t="s">
        <v>931</v>
      </c>
      <c r="P3" s="1" t="s">
        <v>106</v>
      </c>
      <c r="Q3" s="1" t="s">
        <v>722</v>
      </c>
      <c r="R3" s="1" t="s">
        <v>564</v>
      </c>
      <c r="S3" s="1" t="s">
        <v>109</v>
      </c>
      <c r="T3" s="1" t="s">
        <v>1573</v>
      </c>
      <c r="U3" s="1" t="s">
        <v>69</v>
      </c>
      <c r="V3" s="1" t="s">
        <v>960</v>
      </c>
      <c r="W3" s="1" t="s">
        <v>272</v>
      </c>
      <c r="X3" s="1" t="s">
        <v>1422</v>
      </c>
      <c r="Y3" s="1" t="s">
        <v>39</v>
      </c>
      <c r="Z3" s="1" t="s">
        <v>1580</v>
      </c>
      <c r="AA3" s="1" t="s">
        <v>1137</v>
      </c>
      <c r="AB3" s="1" t="s">
        <v>1374</v>
      </c>
      <c r="AC3" s="1" t="s">
        <v>1071</v>
      </c>
      <c r="AD3" s="1" t="s">
        <v>1464</v>
      </c>
      <c r="AE3" s="1" t="s">
        <v>1040</v>
      </c>
      <c r="AF3" s="1" t="s">
        <v>1461</v>
      </c>
      <c r="AG3" s="1" t="s">
        <v>434</v>
      </c>
      <c r="AH3" s="1" t="s">
        <v>219</v>
      </c>
      <c r="AI3" s="1" t="s">
        <v>57</v>
      </c>
      <c r="AJ3" s="1" t="s">
        <v>58</v>
      </c>
      <c r="AK3" s="1" t="s">
        <v>1078</v>
      </c>
      <c r="AL3" s="1" t="s">
        <v>1356</v>
      </c>
      <c r="AM3" s="1" t="s">
        <v>716</v>
      </c>
      <c r="AN3" s="1" t="s">
        <v>992</v>
      </c>
      <c r="AO3" s="1" t="s">
        <v>145</v>
      </c>
      <c r="AP3" s="1" t="s">
        <v>1565</v>
      </c>
      <c r="AQ3" s="1" t="s">
        <v>798</v>
      </c>
      <c r="AR3" s="1" t="s">
        <v>1542</v>
      </c>
      <c r="AS3" s="1" t="s">
        <v>1111</v>
      </c>
      <c r="AT3" s="1" t="s">
        <v>1304</v>
      </c>
      <c r="AU3" s="1" t="s">
        <v>1119</v>
      </c>
      <c r="AV3" s="1" t="s">
        <v>1368</v>
      </c>
      <c r="AW3" s="1" t="s">
        <v>1145</v>
      </c>
      <c r="AX3" s="1" t="s">
        <v>1484</v>
      </c>
      <c r="AY3" s="1" t="s">
        <v>1056</v>
      </c>
      <c r="AZ3" s="1" t="s">
        <v>1348</v>
      </c>
      <c r="BA3" s="1" t="s">
        <v>1065</v>
      </c>
      <c r="BB3" s="1" t="s">
        <v>1321</v>
      </c>
      <c r="BC3" s="1" t="s">
        <v>418</v>
      </c>
      <c r="BD3" s="1" t="s">
        <v>548</v>
      </c>
      <c r="BE3" s="1" t="s">
        <v>432</v>
      </c>
      <c r="BF3" s="1" t="s">
        <v>219</v>
      </c>
      <c r="BG3" s="1" t="s">
        <v>496</v>
      </c>
      <c r="BH3" s="1" t="s">
        <v>1563</v>
      </c>
      <c r="BI3" s="1" t="s">
        <v>1047</v>
      </c>
      <c r="BJ3" s="1" t="s">
        <v>1454</v>
      </c>
      <c r="BK3" s="1" t="s">
        <v>1161</v>
      </c>
      <c r="BL3" s="1" t="s">
        <v>1490</v>
      </c>
      <c r="BM3" s="1" t="s">
        <v>1252</v>
      </c>
      <c r="BN3" s="1" t="s">
        <v>1452</v>
      </c>
      <c r="BO3" s="1" t="s">
        <v>1054</v>
      </c>
      <c r="BP3" s="1" t="s">
        <v>1346</v>
      </c>
      <c r="BQ3" s="1" t="s">
        <v>406</v>
      </c>
      <c r="BR3" s="1" t="s">
        <v>368</v>
      </c>
      <c r="BS3" s="1" t="s">
        <v>1131</v>
      </c>
      <c r="BT3" s="1" t="s">
        <v>1297</v>
      </c>
      <c r="BU3" s="1" t="s">
        <v>1160</v>
      </c>
      <c r="BV3" s="1" t="s">
        <v>1489</v>
      </c>
      <c r="BW3" s="1" t="s">
        <v>1076</v>
      </c>
      <c r="BX3" s="1" t="s">
        <v>1466</v>
      </c>
      <c r="BY3" s="1" t="s">
        <v>352</v>
      </c>
      <c r="BZ3" s="1" t="s">
        <v>1533</v>
      </c>
      <c r="CA3" s="1" t="s">
        <v>1014</v>
      </c>
      <c r="CB3" s="1" t="s">
        <v>1281</v>
      </c>
      <c r="CC3" s="1" t="s">
        <v>659</v>
      </c>
      <c r="CD3" s="1" t="s">
        <v>1539</v>
      </c>
      <c r="CE3" s="1" t="s">
        <v>924</v>
      </c>
      <c r="CF3" s="1" t="s">
        <v>374</v>
      </c>
      <c r="CG3" s="1" t="s">
        <v>473</v>
      </c>
      <c r="CH3" s="1" t="s">
        <v>419</v>
      </c>
      <c r="CI3" s="1" t="s">
        <v>1100</v>
      </c>
      <c r="CJ3" s="1" t="s">
        <v>1364</v>
      </c>
      <c r="CK3" s="1" t="s">
        <v>1029</v>
      </c>
      <c r="CL3" s="1" t="s">
        <v>1298</v>
      </c>
      <c r="CM3" s="1" t="s">
        <v>1224</v>
      </c>
      <c r="CN3" s="1" t="s">
        <v>1407</v>
      </c>
      <c r="CO3" s="1" t="s">
        <v>415</v>
      </c>
      <c r="CP3" s="1" t="s">
        <v>1559</v>
      </c>
      <c r="CQ3" s="1" t="s">
        <v>1019</v>
      </c>
      <c r="CR3" s="1" t="s">
        <v>1332</v>
      </c>
      <c r="CS3" s="1" t="s">
        <v>782</v>
      </c>
      <c r="CT3" s="1" t="s">
        <v>565</v>
      </c>
      <c r="CU3" s="1" t="s">
        <v>851</v>
      </c>
      <c r="CV3" s="1" t="s">
        <v>1421</v>
      </c>
      <c r="CW3" s="1" t="s">
        <v>1208</v>
      </c>
      <c r="CX3" s="1" t="s">
        <v>1311</v>
      </c>
      <c r="CY3" s="1" t="s">
        <v>17</v>
      </c>
      <c r="CZ3" s="1" t="s">
        <v>1421</v>
      </c>
      <c r="DA3" s="1" t="s">
        <v>1105</v>
      </c>
      <c r="DB3" s="1" t="s">
        <v>1472</v>
      </c>
      <c r="DC3" s="1" t="s">
        <v>1059</v>
      </c>
      <c r="DD3" s="1" t="s">
        <v>1297</v>
      </c>
      <c r="DE3" s="1" t="s">
        <v>625</v>
      </c>
      <c r="DF3" s="1" t="s">
        <v>1551</v>
      </c>
      <c r="DG3" s="1" t="s">
        <v>1011</v>
      </c>
      <c r="DH3" s="1" t="s">
        <v>1451</v>
      </c>
      <c r="DI3" s="1" t="s">
        <v>1117</v>
      </c>
      <c r="DJ3" s="1" t="s">
        <v>1322</v>
      </c>
      <c r="DK3" s="1" t="s">
        <v>1188</v>
      </c>
      <c r="DL3" s="1" t="s">
        <v>1278</v>
      </c>
      <c r="DM3" s="1" t="s">
        <v>1249</v>
      </c>
      <c r="DN3" s="1" t="s">
        <v>1520</v>
      </c>
      <c r="DO3" s="1" t="s">
        <v>1221</v>
      </c>
      <c r="DP3" s="1" t="s">
        <v>1405</v>
      </c>
      <c r="DQ3" s="1" t="s">
        <v>1114</v>
      </c>
      <c r="DR3" s="1" t="s">
        <v>1338</v>
      </c>
      <c r="DS3" s="1" t="s">
        <v>954</v>
      </c>
      <c r="DT3" s="1" t="s">
        <v>421</v>
      </c>
      <c r="DU3" s="1" t="s">
        <v>1229</v>
      </c>
      <c r="DV3" s="1" t="s">
        <v>1363</v>
      </c>
      <c r="DW3" s="1" t="s">
        <v>70</v>
      </c>
      <c r="DX3" s="1" t="s">
        <v>972</v>
      </c>
      <c r="DY3" s="1" t="s">
        <v>875</v>
      </c>
      <c r="DZ3" s="1" t="s">
        <v>1619</v>
      </c>
      <c r="EA3" s="1" t="s">
        <v>345</v>
      </c>
      <c r="EB3" s="1" t="s">
        <v>997</v>
      </c>
      <c r="EC3" s="1" t="s">
        <v>1251</v>
      </c>
      <c r="ED3" s="1" t="s">
        <v>1290</v>
      </c>
      <c r="EE3" s="1" t="s">
        <v>1219</v>
      </c>
      <c r="EF3" s="1" t="s">
        <v>1329</v>
      </c>
      <c r="EG3" s="1" t="s">
        <v>502</v>
      </c>
      <c r="EH3" s="1" t="s">
        <v>1437</v>
      </c>
      <c r="EI3" s="1" t="s">
        <v>1223</v>
      </c>
      <c r="EJ3" s="1" t="s">
        <v>1406</v>
      </c>
      <c r="EK3" s="1" t="s">
        <v>1090</v>
      </c>
      <c r="EL3" s="1" t="s">
        <v>1282</v>
      </c>
      <c r="EM3" s="1" t="s">
        <v>6</v>
      </c>
      <c r="EN3" s="1" t="s">
        <v>1421</v>
      </c>
      <c r="EO3" s="1" t="s">
        <v>362</v>
      </c>
      <c r="EP3" s="1" t="s">
        <v>1428</v>
      </c>
      <c r="EQ3" s="1" t="s">
        <v>1268</v>
      </c>
      <c r="ER3" s="1" t="s">
        <v>1322</v>
      </c>
      <c r="ES3" s="1" t="s">
        <v>1272</v>
      </c>
      <c r="ET3" s="1" t="s">
        <v>1419</v>
      </c>
      <c r="EU3" s="1" t="s">
        <v>307</v>
      </c>
      <c r="EV3" s="1" t="s">
        <v>1421</v>
      </c>
      <c r="EW3" s="1" t="s">
        <v>796</v>
      </c>
      <c r="EX3" s="1" t="s">
        <v>547</v>
      </c>
      <c r="EY3" s="1" t="s">
        <v>1066</v>
      </c>
      <c r="EZ3" s="1" t="s">
        <v>1476</v>
      </c>
      <c r="FA3" s="1" t="s">
        <v>35</v>
      </c>
      <c r="FB3" s="1" t="s">
        <v>704</v>
      </c>
      <c r="FC3" s="1" t="s">
        <v>793</v>
      </c>
      <c r="FD3" s="1" t="s">
        <v>1421</v>
      </c>
      <c r="FE3" s="1" t="s">
        <v>93</v>
      </c>
      <c r="FF3" s="1" t="s">
        <v>1554</v>
      </c>
      <c r="FG3" s="1" t="s">
        <v>155</v>
      </c>
      <c r="FH3" s="1" t="s">
        <v>453</v>
      </c>
      <c r="FI3" s="1" t="s">
        <v>607</v>
      </c>
      <c r="FJ3" s="1" t="s">
        <v>704</v>
      </c>
      <c r="FK3" s="1" t="s">
        <v>1032</v>
      </c>
      <c r="FL3" s="1" t="s">
        <v>1458</v>
      </c>
      <c r="FM3" s="1" t="s">
        <v>1096</v>
      </c>
      <c r="FN3" s="1" t="s">
        <v>1470</v>
      </c>
      <c r="FO3" s="1" t="s">
        <v>1085</v>
      </c>
      <c r="FP3" s="1" t="s">
        <v>1306</v>
      </c>
      <c r="FQ3" s="1" t="s">
        <v>1035</v>
      </c>
      <c r="FR3" s="1" t="s">
        <v>1459</v>
      </c>
      <c r="FS3" s="1" t="s">
        <v>844</v>
      </c>
      <c r="FT3" s="1" t="s">
        <v>1528</v>
      </c>
      <c r="FU3" s="1" t="s">
        <v>756</v>
      </c>
      <c r="FV3" s="1" t="s">
        <v>1434</v>
      </c>
      <c r="FW3" s="1" t="s">
        <v>11</v>
      </c>
      <c r="FX3" s="1" t="s">
        <v>564</v>
      </c>
      <c r="FY3" s="1" t="s">
        <v>1109</v>
      </c>
      <c r="FZ3" s="1" t="s">
        <v>1321</v>
      </c>
      <c r="GA3" s="1" t="s">
        <v>38</v>
      </c>
      <c r="GB3" s="1" t="s">
        <v>1549</v>
      </c>
      <c r="GC3" s="1" t="s">
        <v>1165</v>
      </c>
      <c r="GD3" s="1" t="s">
        <v>1297</v>
      </c>
      <c r="GE3" s="1" t="s">
        <v>396</v>
      </c>
      <c r="GF3" s="1" t="s">
        <v>1548</v>
      </c>
      <c r="GG3" s="1" t="s">
        <v>825</v>
      </c>
      <c r="GH3" s="1" t="s">
        <v>1421</v>
      </c>
      <c r="GI3" s="1" t="s">
        <v>20</v>
      </c>
      <c r="GJ3" s="1" t="s">
        <v>369</v>
      </c>
      <c r="GK3" s="1" t="s">
        <v>159</v>
      </c>
      <c r="GL3" s="1" t="s">
        <v>972</v>
      </c>
      <c r="GM3" s="1" t="s">
        <v>463</v>
      </c>
      <c r="GN3" s="1" t="s">
        <v>541</v>
      </c>
      <c r="GO3" s="1" t="s">
        <v>329</v>
      </c>
      <c r="GP3" s="1" t="s">
        <v>957</v>
      </c>
      <c r="GQ3" s="1" t="s">
        <v>385</v>
      </c>
      <c r="GR3" s="1" t="s">
        <v>450</v>
      </c>
      <c r="GS3" s="1" t="s">
        <v>454</v>
      </c>
      <c r="GT3" s="1" t="s">
        <v>568</v>
      </c>
      <c r="GU3" s="1" t="s">
        <v>1060</v>
      </c>
      <c r="GV3" s="1" t="s">
        <v>1283</v>
      </c>
      <c r="GW3" s="1" t="s">
        <v>783</v>
      </c>
      <c r="GX3" s="1" t="s">
        <v>708</v>
      </c>
      <c r="GY3" s="1" t="s">
        <v>1237</v>
      </c>
      <c r="GZ3" s="1" t="s">
        <v>1321</v>
      </c>
      <c r="HA3" s="1" t="s">
        <v>8</v>
      </c>
      <c r="HB3" s="1" t="s">
        <v>1421</v>
      </c>
      <c r="HC3" s="1" t="s">
        <v>686</v>
      </c>
      <c r="HD3" s="1" t="s">
        <v>1582</v>
      </c>
      <c r="HE3" s="1" t="s">
        <v>1177</v>
      </c>
      <c r="HF3" s="1" t="s">
        <v>1497</v>
      </c>
      <c r="HG3" s="1" t="s">
        <v>28</v>
      </c>
      <c r="HH3" s="1" t="s">
        <v>1571</v>
      </c>
      <c r="HI3" s="1" t="s">
        <v>1042</v>
      </c>
      <c r="HJ3" s="1" t="s">
        <v>1298</v>
      </c>
      <c r="HK3" s="1" t="s">
        <v>1043</v>
      </c>
      <c r="HL3" s="1" t="s">
        <v>1342</v>
      </c>
      <c r="HM3" s="1" t="s">
        <v>274</v>
      </c>
      <c r="HN3" s="1" t="s">
        <v>974</v>
      </c>
      <c r="HO3" s="1" t="s">
        <v>1225</v>
      </c>
      <c r="HP3" s="1" t="s">
        <v>1408</v>
      </c>
      <c r="HQ3" s="1" t="s">
        <v>1200</v>
      </c>
      <c r="HR3" s="1" t="s">
        <v>1397</v>
      </c>
      <c r="HS3" s="1" t="s">
        <v>1095</v>
      </c>
      <c r="HT3" s="1" t="s">
        <v>227</v>
      </c>
      <c r="HU3" s="1" t="s">
        <v>881</v>
      </c>
      <c r="HV3" s="1" t="s">
        <v>895</v>
      </c>
      <c r="HW3" s="1" t="s">
        <v>1052</v>
      </c>
      <c r="HX3" s="1" t="s">
        <v>1345</v>
      </c>
      <c r="HY3" s="1" t="s">
        <v>1260</v>
      </c>
      <c r="HZ3" s="1" t="s">
        <v>1297</v>
      </c>
      <c r="IA3" s="1" t="s">
        <v>1030</v>
      </c>
      <c r="IB3" s="1" t="s">
        <v>1335</v>
      </c>
      <c r="IC3" s="1" t="s">
        <v>378</v>
      </c>
      <c r="ID3" s="1" t="s">
        <v>794</v>
      </c>
      <c r="IE3" s="1" t="s">
        <v>470</v>
      </c>
      <c r="IF3" s="1" t="s">
        <v>1424</v>
      </c>
      <c r="IG3" s="1" t="s">
        <v>941</v>
      </c>
      <c r="IH3" s="1" t="s">
        <v>156</v>
      </c>
      <c r="II3" s="1" t="s">
        <v>795</v>
      </c>
      <c r="IJ3" s="1" t="s">
        <v>720</v>
      </c>
      <c r="IK3" s="1" t="s">
        <v>1191</v>
      </c>
      <c r="IL3" s="1" t="s">
        <v>1501</v>
      </c>
      <c r="IM3" s="1" t="s">
        <v>1031</v>
      </c>
      <c r="IN3" s="1" t="s">
        <v>1337</v>
      </c>
      <c r="IO3" s="1" t="s">
        <v>699</v>
      </c>
      <c r="IP3" s="1" t="s">
        <v>1432</v>
      </c>
      <c r="IQ3" s="1" t="s">
        <v>1255</v>
      </c>
      <c r="IR3" s="1" t="s">
        <v>1413</v>
      </c>
      <c r="IS3" s="1" t="s">
        <v>268</v>
      </c>
      <c r="IT3" s="1" t="s">
        <v>567</v>
      </c>
      <c r="IU3" s="1" t="s">
        <v>36</v>
      </c>
      <c r="IV3" s="1" t="s">
        <v>375</v>
      </c>
    </row>
    <row r="4" spans="1:256" s="1" customFormat="1">
      <c r="A4" s="1" t="s">
        <v>1228</v>
      </c>
      <c r="B4" s="1" t="s">
        <v>1279</v>
      </c>
      <c r="C4" s="1" t="s">
        <v>259</v>
      </c>
      <c r="D4" s="1" t="s">
        <v>1421</v>
      </c>
      <c r="E4" s="1" t="s">
        <v>1087</v>
      </c>
      <c r="F4" s="1" t="s">
        <v>1468</v>
      </c>
      <c r="G4" s="1" t="s">
        <v>267</v>
      </c>
      <c r="H4" s="1" t="s">
        <v>441</v>
      </c>
      <c r="I4" s="1" t="s">
        <v>9</v>
      </c>
      <c r="J4" s="1" t="s">
        <v>368</v>
      </c>
      <c r="K4" s="1" t="s">
        <v>852</v>
      </c>
      <c r="L4" s="1" t="s">
        <v>996</v>
      </c>
      <c r="M4" s="1" t="s">
        <v>1005</v>
      </c>
      <c r="N4" s="1" t="s">
        <v>1448</v>
      </c>
      <c r="O4" s="1" t="s">
        <v>389</v>
      </c>
      <c r="P4" s="1" t="s">
        <v>1551</v>
      </c>
      <c r="Q4" s="1" t="s">
        <v>558</v>
      </c>
      <c r="R4" s="1" t="s">
        <v>999</v>
      </c>
      <c r="S4" s="1" t="s">
        <v>725</v>
      </c>
      <c r="T4" s="1" t="s">
        <v>1435</v>
      </c>
      <c r="U4" s="1" t="s">
        <v>1082</v>
      </c>
      <c r="V4" s="1" t="s">
        <v>1322</v>
      </c>
      <c r="W4" s="1" t="s">
        <v>807</v>
      </c>
      <c r="X4" s="1" t="s">
        <v>141</v>
      </c>
      <c r="Y4" s="1" t="s">
        <v>87</v>
      </c>
      <c r="Z4" s="1" t="s">
        <v>88</v>
      </c>
      <c r="AA4" s="1" t="s">
        <v>916</v>
      </c>
      <c r="AB4" s="1" t="s">
        <v>1440</v>
      </c>
      <c r="AC4" s="1" t="s">
        <v>359</v>
      </c>
      <c r="AD4" s="1" t="s">
        <v>1421</v>
      </c>
      <c r="AE4" s="1" t="s">
        <v>1150</v>
      </c>
      <c r="AF4" s="1" t="s">
        <v>1350</v>
      </c>
      <c r="AG4" s="1" t="s">
        <v>1176</v>
      </c>
      <c r="AH4" s="1" t="s">
        <v>1286</v>
      </c>
      <c r="AI4" s="1" t="s">
        <v>508</v>
      </c>
      <c r="AJ4" s="1" t="s">
        <v>375</v>
      </c>
      <c r="AK4" s="1" t="s">
        <v>1202</v>
      </c>
      <c r="AL4" s="1" t="s">
        <v>1287</v>
      </c>
      <c r="AM4" s="1" t="s">
        <v>171</v>
      </c>
      <c r="AN4" s="1" t="s">
        <v>1421</v>
      </c>
      <c r="AO4" s="1" t="s">
        <v>1130</v>
      </c>
      <c r="AP4" s="1" t="s">
        <v>1371</v>
      </c>
      <c r="AQ4" s="1" t="s">
        <v>639</v>
      </c>
      <c r="AR4" s="1" t="s">
        <v>3</v>
      </c>
      <c r="AS4" s="1" t="s">
        <v>789</v>
      </c>
      <c r="AT4" s="1" t="s">
        <v>181</v>
      </c>
      <c r="AU4" s="1" t="s">
        <v>94</v>
      </c>
      <c r="AV4" s="1" t="s">
        <v>192</v>
      </c>
      <c r="AW4" s="1" t="s">
        <v>1175</v>
      </c>
      <c r="AX4" s="1" t="s">
        <v>1388</v>
      </c>
      <c r="AY4" s="1" t="s">
        <v>178</v>
      </c>
      <c r="AZ4" s="1" t="s">
        <v>1314</v>
      </c>
      <c r="BA4" s="1" t="s">
        <v>348</v>
      </c>
      <c r="BB4" s="1" t="s">
        <v>1420</v>
      </c>
      <c r="BC4" s="1" t="s">
        <v>120</v>
      </c>
      <c r="BD4" s="1" t="s">
        <v>127</v>
      </c>
      <c r="BE4" s="1" t="s">
        <v>1232</v>
      </c>
      <c r="BF4" s="1" t="s">
        <v>1475</v>
      </c>
      <c r="BG4" s="1" t="s">
        <v>1138</v>
      </c>
      <c r="BH4" s="1" t="s">
        <v>1350</v>
      </c>
      <c r="BI4" s="1" t="s">
        <v>1126</v>
      </c>
      <c r="BJ4" s="1" t="s">
        <v>1277</v>
      </c>
      <c r="BK4" s="1" t="s">
        <v>382</v>
      </c>
      <c r="BL4" s="1" t="s">
        <v>403</v>
      </c>
      <c r="BM4" s="1" t="s">
        <v>797</v>
      </c>
      <c r="BN4" s="1" t="s">
        <v>1544</v>
      </c>
      <c r="BO4" s="1" t="s">
        <v>801</v>
      </c>
      <c r="BP4" s="1" t="s">
        <v>0</v>
      </c>
      <c r="BQ4" s="1" t="s">
        <v>304</v>
      </c>
      <c r="BR4" s="1" t="s">
        <v>1421</v>
      </c>
      <c r="BS4" s="1" t="s">
        <v>935</v>
      </c>
      <c r="BT4" s="1" t="s">
        <v>442</v>
      </c>
      <c r="BU4" s="1" t="s">
        <v>468</v>
      </c>
      <c r="BV4" s="1" t="s">
        <v>191</v>
      </c>
      <c r="BW4" s="1" t="s">
        <v>459</v>
      </c>
      <c r="BX4" s="1" t="s">
        <v>1421</v>
      </c>
      <c r="BY4" s="1" t="s">
        <v>1234</v>
      </c>
      <c r="BZ4" s="1" t="s">
        <v>1513</v>
      </c>
      <c r="CA4" s="1" t="s">
        <v>462</v>
      </c>
      <c r="CB4" s="1" t="s">
        <v>989</v>
      </c>
      <c r="CC4" s="1" t="s">
        <v>1194</v>
      </c>
      <c r="CD4" s="1" t="s">
        <v>1296</v>
      </c>
      <c r="CE4" s="1" t="s">
        <v>1240</v>
      </c>
      <c r="CF4" s="1" t="s">
        <v>1515</v>
      </c>
      <c r="CG4" s="1" t="s">
        <v>1156</v>
      </c>
      <c r="CH4" s="1" t="s">
        <v>1450</v>
      </c>
      <c r="CI4" s="1" t="s">
        <v>917</v>
      </c>
      <c r="CJ4" s="1" t="s">
        <v>1441</v>
      </c>
      <c r="CK4" s="1" t="s">
        <v>150</v>
      </c>
      <c r="CL4" s="1" t="s">
        <v>1550</v>
      </c>
      <c r="CM4" s="1" t="s">
        <v>71</v>
      </c>
      <c r="CN4" s="1" t="s">
        <v>1537</v>
      </c>
      <c r="CO4" s="1" t="s">
        <v>34</v>
      </c>
      <c r="CP4" s="1" t="s">
        <v>374</v>
      </c>
      <c r="CQ4" s="1" t="s">
        <v>1201</v>
      </c>
      <c r="CR4" s="1" t="s">
        <v>1298</v>
      </c>
      <c r="CS4" s="1" t="s">
        <v>569</v>
      </c>
      <c r="CT4" s="1" t="s">
        <v>373</v>
      </c>
      <c r="CU4" s="1" t="s">
        <v>560</v>
      </c>
      <c r="CV4" s="1" t="s">
        <v>107</v>
      </c>
      <c r="CW4" s="1" t="s">
        <v>620</v>
      </c>
      <c r="CX4" s="1" t="s">
        <v>1535</v>
      </c>
      <c r="CY4" s="1" t="s">
        <v>1273</v>
      </c>
      <c r="CZ4" s="1" t="s">
        <v>1524</v>
      </c>
      <c r="DA4" s="1" t="s">
        <v>1235</v>
      </c>
      <c r="DB4" s="1" t="s">
        <v>1450</v>
      </c>
      <c r="DC4" s="1" t="s">
        <v>724</v>
      </c>
      <c r="DD4" s="1" t="s">
        <v>1443</v>
      </c>
      <c r="DE4" s="1" t="s">
        <v>921</v>
      </c>
      <c r="DF4" s="1" t="s">
        <v>1444</v>
      </c>
      <c r="DG4" s="1" t="s">
        <v>1075</v>
      </c>
      <c r="DH4" s="1" t="s">
        <v>1377</v>
      </c>
      <c r="DI4" s="1" t="s">
        <v>636</v>
      </c>
      <c r="DJ4" s="1" t="s">
        <v>955</v>
      </c>
      <c r="DK4" s="1" t="s">
        <v>693</v>
      </c>
      <c r="DL4" s="1" t="s">
        <v>182</v>
      </c>
      <c r="DM4" s="1" t="s">
        <v>575</v>
      </c>
      <c r="DN4" s="1" t="s">
        <v>967</v>
      </c>
      <c r="DO4" s="1" t="s">
        <v>455</v>
      </c>
      <c r="DP4" s="1" t="s">
        <v>567</v>
      </c>
      <c r="DQ4" s="1" t="s">
        <v>1135</v>
      </c>
      <c r="DR4" s="1" t="s">
        <v>1351</v>
      </c>
      <c r="DS4" s="1" t="s">
        <v>658</v>
      </c>
      <c r="DT4" s="1" t="s">
        <v>1314</v>
      </c>
      <c r="DU4" s="1" t="s">
        <v>1269</v>
      </c>
      <c r="DV4" s="1" t="s">
        <v>1418</v>
      </c>
      <c r="DW4" s="1" t="s">
        <v>404</v>
      </c>
      <c r="DX4" s="1" t="s">
        <v>1425</v>
      </c>
      <c r="DY4" s="1" t="s">
        <v>1215</v>
      </c>
      <c r="DZ4" s="1" t="s">
        <v>1296</v>
      </c>
      <c r="EA4" s="1" t="s">
        <v>744</v>
      </c>
      <c r="EB4" s="1" t="s">
        <v>1439</v>
      </c>
      <c r="EC4" s="1" t="s">
        <v>92</v>
      </c>
      <c r="ED4" s="1" t="s">
        <v>721</v>
      </c>
      <c r="EE4" s="1" t="s">
        <v>690</v>
      </c>
      <c r="EF4" s="1" t="s">
        <v>1317</v>
      </c>
      <c r="EG4" s="1" t="s">
        <v>1171</v>
      </c>
      <c r="EH4" s="1" t="s">
        <v>1329</v>
      </c>
      <c r="EI4" s="1" t="s">
        <v>1053</v>
      </c>
      <c r="EJ4" s="1" t="s">
        <v>1450</v>
      </c>
      <c r="EK4" s="1" t="s">
        <v>32</v>
      </c>
      <c r="EL4" s="1" t="s">
        <v>368</v>
      </c>
      <c r="EM4" s="1" t="s">
        <v>273</v>
      </c>
      <c r="EN4" s="1" t="s">
        <v>1545</v>
      </c>
      <c r="EO4" s="1" t="s">
        <v>934</v>
      </c>
      <c r="EP4" s="1" t="s">
        <v>566</v>
      </c>
      <c r="EQ4" s="1" t="s">
        <v>256</v>
      </c>
      <c r="ER4" s="1" t="s">
        <v>355</v>
      </c>
      <c r="ES4" s="1" t="s">
        <v>1178</v>
      </c>
      <c r="ET4" s="1" t="s">
        <v>1410</v>
      </c>
      <c r="EU4" s="1" t="s">
        <v>1062</v>
      </c>
      <c r="EV4" s="1" t="s">
        <v>1502</v>
      </c>
      <c r="EW4" s="1" t="s">
        <v>1222</v>
      </c>
      <c r="EX4" s="1" t="s">
        <v>1288</v>
      </c>
      <c r="EY4" s="1" t="s">
        <v>914</v>
      </c>
      <c r="EZ4" s="1" t="s">
        <v>428</v>
      </c>
      <c r="FA4" s="1" t="s">
        <v>1091</v>
      </c>
      <c r="FB4" s="1" t="s">
        <v>1508</v>
      </c>
      <c r="FC4" s="1" t="s">
        <v>24</v>
      </c>
      <c r="FD4" s="1" t="s">
        <v>1556</v>
      </c>
      <c r="FE4" s="1" t="s">
        <v>781</v>
      </c>
      <c r="FF4" s="1" t="s">
        <v>565</v>
      </c>
      <c r="FG4" s="1" t="s">
        <v>1063</v>
      </c>
      <c r="FH4" s="1" t="s">
        <v>1321</v>
      </c>
      <c r="FI4" s="1" t="s">
        <v>1209</v>
      </c>
      <c r="FJ4" s="1" t="s">
        <v>1400</v>
      </c>
      <c r="FK4" s="1" t="s">
        <v>723</v>
      </c>
      <c r="FL4" s="1" t="s">
        <v>1421</v>
      </c>
      <c r="FM4" s="1" t="s">
        <v>1022</v>
      </c>
      <c r="FN4" s="1" t="s">
        <v>1375</v>
      </c>
      <c r="FO4" s="1" t="s">
        <v>1092</v>
      </c>
      <c r="FP4" s="1" t="s">
        <v>1362</v>
      </c>
      <c r="FQ4" s="1" t="s">
        <v>922</v>
      </c>
      <c r="FR4" s="1" t="s">
        <v>603</v>
      </c>
      <c r="FS4" s="1" t="s">
        <v>1072</v>
      </c>
      <c r="FT4" s="1" t="s">
        <v>1353</v>
      </c>
      <c r="FU4" s="1" t="s">
        <v>1243</v>
      </c>
      <c r="FV4" s="1" t="s">
        <v>1347</v>
      </c>
      <c r="FW4" s="1" t="s">
        <v>1098</v>
      </c>
      <c r="FX4" s="1" t="s">
        <v>1386</v>
      </c>
      <c r="FY4" s="1" t="s">
        <v>1231</v>
      </c>
      <c r="FZ4" s="1" t="s">
        <v>1392</v>
      </c>
      <c r="GA4" s="1" t="s">
        <v>1073</v>
      </c>
      <c r="GB4" s="1" t="s">
        <v>1354</v>
      </c>
      <c r="GC4" s="1" t="s">
        <v>1172</v>
      </c>
      <c r="GD4" s="1" t="s">
        <v>1321</v>
      </c>
      <c r="GE4" s="1" t="s">
        <v>81</v>
      </c>
      <c r="GF4" s="1" t="s">
        <v>331</v>
      </c>
      <c r="GG4" s="1" t="s">
        <v>1154</v>
      </c>
      <c r="GH4" s="1" t="s">
        <v>1486</v>
      </c>
      <c r="GI4" s="1" t="s">
        <v>563</v>
      </c>
      <c r="GJ4" s="1" t="s">
        <v>969</v>
      </c>
      <c r="GK4" s="1" t="s">
        <v>1007</v>
      </c>
      <c r="GL4" s="1" t="s">
        <v>1449</v>
      </c>
      <c r="GM4" s="1" t="s">
        <v>920</v>
      </c>
      <c r="GN4" s="1" t="s">
        <v>976</v>
      </c>
      <c r="GO4" s="1" t="s">
        <v>158</v>
      </c>
      <c r="GP4" s="1" t="s">
        <v>774</v>
      </c>
      <c r="GQ4" s="1" t="s">
        <v>1227</v>
      </c>
      <c r="GR4" s="1" t="s">
        <v>1387</v>
      </c>
      <c r="GS4" s="1" t="s">
        <v>327</v>
      </c>
      <c r="GT4" s="1" t="s">
        <v>458</v>
      </c>
      <c r="GU4" s="1" t="s">
        <v>691</v>
      </c>
      <c r="GV4" s="1" t="s">
        <v>1446</v>
      </c>
      <c r="GW4" s="1" t="s">
        <v>617</v>
      </c>
      <c r="GX4" s="1" t="s">
        <v>1542</v>
      </c>
      <c r="GY4" s="1" t="s">
        <v>937</v>
      </c>
      <c r="GZ4" s="1" t="s">
        <v>938</v>
      </c>
      <c r="HA4" s="1" t="s">
        <v>292</v>
      </c>
      <c r="HB4" s="1" t="s">
        <v>1442</v>
      </c>
      <c r="HC4" s="1" t="s">
        <v>557</v>
      </c>
      <c r="HD4" s="1" t="s">
        <v>1543</v>
      </c>
      <c r="HE4" s="1" t="s">
        <v>231</v>
      </c>
      <c r="HF4" s="1" t="s">
        <v>553</v>
      </c>
      <c r="HG4" s="1" t="s">
        <v>1024</v>
      </c>
      <c r="HH4" s="1" t="s">
        <v>1329</v>
      </c>
      <c r="HI4" s="1" t="s">
        <v>380</v>
      </c>
      <c r="HJ4" s="1" t="s">
        <v>300</v>
      </c>
      <c r="HK4" s="1" t="s">
        <v>501</v>
      </c>
      <c r="HL4" s="1" t="s">
        <v>186</v>
      </c>
      <c r="HM4" s="1" t="s">
        <v>308</v>
      </c>
      <c r="HN4" s="1" t="s">
        <v>564</v>
      </c>
      <c r="HO4" s="1" t="s">
        <v>1166</v>
      </c>
      <c r="HP4" s="1" t="s">
        <v>1473</v>
      </c>
      <c r="HQ4" s="1" t="s">
        <v>778</v>
      </c>
      <c r="HR4" s="1" t="s">
        <v>564</v>
      </c>
      <c r="HS4" s="1" t="s">
        <v>1264</v>
      </c>
      <c r="HT4" s="1" t="s">
        <v>1360</v>
      </c>
      <c r="HU4" s="1" t="s">
        <v>918</v>
      </c>
      <c r="HV4" s="1" t="s">
        <v>458</v>
      </c>
      <c r="HW4" s="1" t="s">
        <v>1275</v>
      </c>
      <c r="HX4" s="1" t="s">
        <v>1298</v>
      </c>
      <c r="HY4" s="1" t="s">
        <v>1259</v>
      </c>
      <c r="HZ4" s="1" t="s">
        <v>1390</v>
      </c>
      <c r="IA4" s="1" t="s">
        <v>1025</v>
      </c>
      <c r="IB4" s="1" t="s">
        <v>1457</v>
      </c>
      <c r="IC4" s="1" t="s">
        <v>1218</v>
      </c>
      <c r="ID4" s="1" t="s">
        <v>1404</v>
      </c>
      <c r="IE4" s="1" t="s">
        <v>447</v>
      </c>
      <c r="IF4" s="1" t="s">
        <v>1438</v>
      </c>
      <c r="IG4" s="1" t="s">
        <v>74</v>
      </c>
      <c r="IH4" s="1" t="s">
        <v>126</v>
      </c>
      <c r="II4" s="1" t="s">
        <v>1124</v>
      </c>
      <c r="IJ4" s="1" t="s">
        <v>1300</v>
      </c>
      <c r="IK4" s="1" t="s">
        <v>395</v>
      </c>
      <c r="IL4" s="1" t="s">
        <v>1547</v>
      </c>
      <c r="IM4" s="1" t="s">
        <v>1012</v>
      </c>
      <c r="IN4" s="1" t="s">
        <v>1329</v>
      </c>
      <c r="IO4" s="1" t="s">
        <v>907</v>
      </c>
      <c r="IP4" s="1" t="s">
        <v>1525</v>
      </c>
      <c r="IQ4" s="1" t="s">
        <v>1169</v>
      </c>
      <c r="IR4" s="1" t="s">
        <v>1409</v>
      </c>
      <c r="IS4" s="1" t="s">
        <v>423</v>
      </c>
      <c r="IT4" s="1" t="s">
        <v>1426</v>
      </c>
      <c r="IU4" s="1" t="s">
        <v>1038</v>
      </c>
      <c r="IV4" s="1" t="s">
        <v>1340</v>
      </c>
    </row>
    <row r="5" spans="1:256" s="1" customFormat="1">
      <c r="A5" s="1" t="s">
        <v>1064</v>
      </c>
      <c r="B5" s="1" t="s">
        <v>1399</v>
      </c>
      <c r="C5" s="1" t="s">
        <v>1153</v>
      </c>
      <c r="D5" s="1" t="s">
        <v>1381</v>
      </c>
      <c r="E5" s="1" t="s">
        <v>1127</v>
      </c>
      <c r="F5" s="1" t="s">
        <v>1329</v>
      </c>
      <c r="G5" s="1" t="s">
        <v>1037</v>
      </c>
      <c r="H5" s="1" t="s">
        <v>1460</v>
      </c>
      <c r="I5" s="1" t="s">
        <v>1196</v>
      </c>
      <c r="J5" s="1" t="s">
        <v>1505</v>
      </c>
      <c r="K5" s="1" t="s">
        <v>1120</v>
      </c>
      <c r="L5" s="1" t="s">
        <v>1509</v>
      </c>
      <c r="M5" s="1" t="s">
        <v>936</v>
      </c>
      <c r="N5" s="1" t="s">
        <v>139</v>
      </c>
      <c r="O5" s="1" t="s">
        <v>800</v>
      </c>
      <c r="P5" s="1" t="s">
        <v>1527</v>
      </c>
      <c r="Q5" s="1" t="s">
        <v>1163</v>
      </c>
      <c r="R5" s="1" t="s">
        <v>1492</v>
      </c>
      <c r="S5" s="1" t="s">
        <v>23</v>
      </c>
      <c r="T5" s="1" t="s">
        <v>1562</v>
      </c>
      <c r="U5" s="1" t="s">
        <v>258</v>
      </c>
      <c r="V5" s="1" t="s">
        <v>366</v>
      </c>
      <c r="W5" s="1" t="s">
        <v>791</v>
      </c>
      <c r="X5" s="1" t="s">
        <v>540</v>
      </c>
      <c r="Y5" s="1" t="s">
        <v>1253</v>
      </c>
      <c r="Z5" s="1" t="s">
        <v>1329</v>
      </c>
      <c r="AA5" s="1" t="s">
        <v>635</v>
      </c>
      <c r="AB5" s="1" t="s">
        <v>955</v>
      </c>
      <c r="AC5" s="1" t="s">
        <v>180</v>
      </c>
      <c r="AD5" s="1" t="s">
        <v>1430</v>
      </c>
      <c r="AE5" s="1" t="s">
        <v>1099</v>
      </c>
      <c r="AF5" s="1" t="s">
        <v>1363</v>
      </c>
      <c r="AG5" s="1" t="s">
        <v>604</v>
      </c>
      <c r="AH5" s="1" t="s">
        <v>1000</v>
      </c>
      <c r="AI5" s="1" t="s">
        <v>1123</v>
      </c>
      <c r="AJ5" s="1" t="s">
        <v>1479</v>
      </c>
      <c r="AK5" s="1" t="s">
        <v>919</v>
      </c>
      <c r="AL5" s="1" t="s">
        <v>1584</v>
      </c>
      <c r="AM5" s="1" t="s">
        <v>504</v>
      </c>
      <c r="AN5" s="1" t="s">
        <v>1421</v>
      </c>
      <c r="AO5" s="1" t="s">
        <v>1069</v>
      </c>
      <c r="AP5" s="1" t="s">
        <v>227</v>
      </c>
      <c r="AQ5" s="1" t="s">
        <v>839</v>
      </c>
      <c r="AR5" s="1" t="s">
        <v>971</v>
      </c>
      <c r="AS5" s="1" t="s">
        <v>347</v>
      </c>
      <c r="AT5" s="1" t="s">
        <v>973</v>
      </c>
      <c r="AU5" s="1" t="s">
        <v>859</v>
      </c>
      <c r="AV5" s="1" t="s">
        <v>1436</v>
      </c>
      <c r="AW5" s="1" t="s">
        <v>1077</v>
      </c>
      <c r="AX5" s="1" t="s">
        <v>1496</v>
      </c>
      <c r="AY5" s="1" t="s">
        <v>1248</v>
      </c>
      <c r="AZ5" s="1" t="s">
        <v>1298</v>
      </c>
      <c r="BA5" s="1" t="s">
        <v>1049</v>
      </c>
      <c r="BB5" s="1" t="s">
        <v>1511</v>
      </c>
      <c r="BC5" s="1" t="s">
        <v>1106</v>
      </c>
      <c r="BD5" s="1" t="s">
        <v>1291</v>
      </c>
      <c r="BE5" s="1" t="s">
        <v>47</v>
      </c>
      <c r="BF5" s="1" t="s">
        <v>1560</v>
      </c>
      <c r="BG5" s="1" t="s">
        <v>168</v>
      </c>
      <c r="BH5" s="1" t="s">
        <v>293</v>
      </c>
      <c r="BI5" s="1" t="s">
        <v>606</v>
      </c>
      <c r="BJ5" s="1" t="s">
        <v>1445</v>
      </c>
      <c r="BK5" s="1" t="s">
        <v>959</v>
      </c>
      <c r="BL5" s="1" t="s">
        <v>1534</v>
      </c>
      <c r="BM5" s="1" t="s">
        <v>334</v>
      </c>
      <c r="BN5" s="1" t="s">
        <v>5</v>
      </c>
      <c r="BO5" s="1" t="s">
        <v>785</v>
      </c>
      <c r="BP5" s="1" t="s">
        <v>438</v>
      </c>
      <c r="BQ5" s="1" t="s">
        <v>1089</v>
      </c>
      <c r="BR5" s="1" t="s">
        <v>1395</v>
      </c>
      <c r="BS5" s="1" t="s">
        <v>877</v>
      </c>
      <c r="BT5" s="1" t="s">
        <v>15</v>
      </c>
      <c r="BU5" s="1" t="s">
        <v>1210</v>
      </c>
      <c r="BV5" s="1" t="s">
        <v>1401</v>
      </c>
      <c r="BW5" s="1" t="s">
        <v>1134</v>
      </c>
      <c r="BX5" s="1" t="s">
        <v>1372</v>
      </c>
      <c r="BY5" s="1" t="s">
        <v>1094</v>
      </c>
      <c r="BZ5" s="1" t="s">
        <v>1469</v>
      </c>
      <c r="CA5" s="1" t="s">
        <v>880</v>
      </c>
      <c r="CB5" s="1" t="s">
        <v>942</v>
      </c>
      <c r="CC5" s="1" t="s">
        <v>1102</v>
      </c>
      <c r="CD5" s="1" t="s">
        <v>1276</v>
      </c>
      <c r="CE5" s="1" t="s">
        <v>787</v>
      </c>
      <c r="CF5" s="1" t="s">
        <v>1421</v>
      </c>
      <c r="CG5" s="1" t="s">
        <v>152</v>
      </c>
      <c r="CH5" s="1" t="s">
        <v>889</v>
      </c>
      <c r="CI5" s="1" t="s">
        <v>855</v>
      </c>
      <c r="CJ5" s="1" t="s">
        <v>369</v>
      </c>
      <c r="CK5" s="1" t="s">
        <v>912</v>
      </c>
      <c r="CL5" s="1" t="s">
        <v>549</v>
      </c>
      <c r="CM5" s="1" t="s">
        <v>643</v>
      </c>
      <c r="CN5" s="1" t="s">
        <v>104</v>
      </c>
      <c r="CO5" s="1" t="s">
        <v>1039</v>
      </c>
      <c r="CP5" s="1" t="s">
        <v>1276</v>
      </c>
      <c r="CQ5" s="1" t="s">
        <v>1051</v>
      </c>
      <c r="CR5" s="1" t="s">
        <v>1344</v>
      </c>
      <c r="CS5" s="1" t="s">
        <v>771</v>
      </c>
      <c r="CT5" s="1" t="s">
        <v>193</v>
      </c>
      <c r="CU5" s="1" t="s">
        <v>1118</v>
      </c>
      <c r="CV5" s="1" t="s">
        <v>1296</v>
      </c>
      <c r="CW5" s="1" t="s">
        <v>1107</v>
      </c>
      <c r="CX5" s="1" t="s">
        <v>1474</v>
      </c>
      <c r="CY5" s="1" t="s">
        <v>1021</v>
      </c>
      <c r="CZ5" s="1" t="s">
        <v>1321</v>
      </c>
      <c r="DA5" s="1" t="s">
        <v>1220</v>
      </c>
      <c r="DB5" s="1" t="s">
        <v>1376</v>
      </c>
      <c r="DC5" s="1" t="s">
        <v>61</v>
      </c>
      <c r="DD5" s="1" t="s">
        <v>367</v>
      </c>
      <c r="DE5" s="1" t="s">
        <v>220</v>
      </c>
      <c r="DF5" s="1" t="s">
        <v>2</v>
      </c>
      <c r="DG5" s="1" t="s">
        <v>469</v>
      </c>
      <c r="DH5" s="1" t="s">
        <v>1423</v>
      </c>
      <c r="DI5" s="1" t="s">
        <v>312</v>
      </c>
      <c r="DJ5" s="1" t="s">
        <v>1550</v>
      </c>
      <c r="DK5" s="1" t="s">
        <v>719</v>
      </c>
      <c r="DL5" s="1" t="s">
        <v>975</v>
      </c>
      <c r="DM5" s="1" t="s">
        <v>1144</v>
      </c>
      <c r="DN5" s="1" t="s">
        <v>1483</v>
      </c>
      <c r="DO5" s="1" t="s">
        <v>31</v>
      </c>
      <c r="DP5" s="1" t="s">
        <v>564</v>
      </c>
      <c r="DQ5" s="1" t="s">
        <v>310</v>
      </c>
      <c r="DR5" s="1" t="s">
        <v>1555</v>
      </c>
      <c r="DS5" s="1" t="s">
        <v>215</v>
      </c>
      <c r="DT5" s="1" t="s">
        <v>37</v>
      </c>
      <c r="DU5" s="1" t="s">
        <v>1258</v>
      </c>
      <c r="DV5" s="1" t="s">
        <v>1276</v>
      </c>
      <c r="DW5" s="1" t="s">
        <v>824</v>
      </c>
      <c r="DX5" s="1" t="s">
        <v>1421</v>
      </c>
      <c r="DY5" s="1" t="s">
        <v>1086</v>
      </c>
      <c r="DZ5" s="1" t="s">
        <v>1467</v>
      </c>
      <c r="EA5" s="1" t="s">
        <v>21</v>
      </c>
      <c r="EB5" s="1" t="s">
        <v>1553</v>
      </c>
      <c r="EC5" s="1" t="s">
        <v>222</v>
      </c>
      <c r="ED5" s="1" t="s">
        <v>185</v>
      </c>
      <c r="EE5" s="1" t="s">
        <v>507</v>
      </c>
      <c r="EF5" s="1" t="s">
        <v>1326</v>
      </c>
      <c r="EG5" s="1" t="s">
        <v>609</v>
      </c>
      <c r="EH5" s="1" t="s">
        <v>813</v>
      </c>
      <c r="EI5" s="1" t="s">
        <v>265</v>
      </c>
      <c r="EJ5" s="1" t="s">
        <v>438</v>
      </c>
      <c r="EK5" s="1" t="s">
        <v>835</v>
      </c>
      <c r="EL5" s="1" t="s">
        <v>3</v>
      </c>
      <c r="EM5" s="1" t="s">
        <v>330</v>
      </c>
      <c r="EN5" s="1" t="s">
        <v>956</v>
      </c>
      <c r="EO5" s="1" t="s">
        <v>1203</v>
      </c>
      <c r="EP5" s="1" t="s">
        <v>1398</v>
      </c>
      <c r="EQ5" s="1" t="s">
        <v>386</v>
      </c>
      <c r="ER5" s="1" t="s">
        <v>1316</v>
      </c>
      <c r="ES5" s="1" t="s">
        <v>377</v>
      </c>
      <c r="ET5" s="1" t="s">
        <v>402</v>
      </c>
      <c r="EU5" s="1" t="s">
        <v>27</v>
      </c>
      <c r="EV5" s="1" t="s">
        <v>1570</v>
      </c>
      <c r="EW5" s="1" t="s">
        <v>7</v>
      </c>
      <c r="EX5" s="1" t="s">
        <v>1538</v>
      </c>
      <c r="EY5" s="1" t="s">
        <v>1173</v>
      </c>
      <c r="EZ5" s="1" t="s">
        <v>1387</v>
      </c>
      <c r="FA5" s="1" t="s">
        <v>1184</v>
      </c>
      <c r="FB5" s="1" t="s">
        <v>1336</v>
      </c>
      <c r="FC5" s="1" t="s">
        <v>1198</v>
      </c>
      <c r="FD5" s="1" t="s">
        <v>1506</v>
      </c>
      <c r="FE5" s="1" t="s">
        <v>1158</v>
      </c>
      <c r="FF5" s="1" t="s">
        <v>1297</v>
      </c>
      <c r="FG5" s="1" t="s">
        <v>1103</v>
      </c>
      <c r="FH5" s="1" t="s">
        <v>1350</v>
      </c>
      <c r="FI5" s="1" t="s">
        <v>1055</v>
      </c>
      <c r="FJ5" s="1" t="s">
        <v>1391</v>
      </c>
      <c r="FK5" s="1" t="s">
        <v>788</v>
      </c>
      <c r="FL5" s="1" t="s">
        <v>1421</v>
      </c>
      <c r="FM5" s="1" t="s">
        <v>320</v>
      </c>
      <c r="FN5" s="1" t="s">
        <v>65</v>
      </c>
      <c r="FO5" s="1" t="s">
        <v>1230</v>
      </c>
      <c r="FP5" s="1" t="s">
        <v>1289</v>
      </c>
      <c r="FQ5" s="1" t="s">
        <v>695</v>
      </c>
      <c r="FR5" s="1" t="s">
        <v>126</v>
      </c>
      <c r="FS5" s="1" t="s">
        <v>1164</v>
      </c>
      <c r="FT5" s="1" t="s">
        <v>1384</v>
      </c>
      <c r="FU5" s="1" t="s">
        <v>863</v>
      </c>
      <c r="FV5" s="1" t="s">
        <v>66</v>
      </c>
      <c r="FW5" s="1" t="s">
        <v>303</v>
      </c>
      <c r="FX5" s="1" t="s">
        <v>1421</v>
      </c>
      <c r="FY5" s="1" t="s">
        <v>1104</v>
      </c>
      <c r="FZ5" s="1" t="s">
        <v>1297</v>
      </c>
      <c r="GA5" s="1" t="s">
        <v>1195</v>
      </c>
      <c r="GB5" s="1" t="s">
        <v>1504</v>
      </c>
      <c r="GC5" s="1" t="s">
        <v>1182</v>
      </c>
      <c r="GD5" s="1" t="s">
        <v>1285</v>
      </c>
      <c r="GE5" s="1" t="s">
        <v>649</v>
      </c>
      <c r="GF5" s="1" t="s">
        <v>1421</v>
      </c>
      <c r="GG5" s="1" t="s">
        <v>1212</v>
      </c>
      <c r="GH5" s="1" t="s">
        <v>1329</v>
      </c>
      <c r="GI5" s="1" t="s">
        <v>360</v>
      </c>
      <c r="GJ5" s="1" t="s">
        <v>1421</v>
      </c>
      <c r="GK5" s="1" t="s">
        <v>1197</v>
      </c>
      <c r="GL5" s="1" t="s">
        <v>1396</v>
      </c>
      <c r="GM5" s="1" t="s">
        <v>79</v>
      </c>
      <c r="GN5" s="1" t="s">
        <v>80</v>
      </c>
      <c r="GO5" s="1" t="s">
        <v>1070</v>
      </c>
      <c r="GP5" s="1" t="s">
        <v>1350</v>
      </c>
      <c r="GQ5" s="1" t="s">
        <v>1057</v>
      </c>
      <c r="GR5" s="1" t="s">
        <v>227</v>
      </c>
      <c r="GS5" s="1" t="s">
        <v>637</v>
      </c>
      <c r="GT5" s="1" t="s">
        <v>189</v>
      </c>
      <c r="GU5" s="1" t="s">
        <v>387</v>
      </c>
      <c r="GV5" s="1" t="s">
        <v>974</v>
      </c>
      <c r="GW5" s="1" t="s">
        <v>810</v>
      </c>
      <c r="GX5" s="1" t="s">
        <v>1554</v>
      </c>
      <c r="GY5" s="1" t="s">
        <v>309</v>
      </c>
      <c r="GZ5" s="1" t="s">
        <v>1421</v>
      </c>
      <c r="HA5" s="1" t="s">
        <v>613</v>
      </c>
      <c r="HB5" s="1" t="s">
        <v>1530</v>
      </c>
      <c r="HC5" s="1" t="s">
        <v>417</v>
      </c>
      <c r="HD5" s="1" t="s">
        <v>552</v>
      </c>
      <c r="HE5" s="1" t="s">
        <v>1189</v>
      </c>
      <c r="HF5" s="1" t="s">
        <v>1500</v>
      </c>
      <c r="HG5" s="1" t="s">
        <v>908</v>
      </c>
      <c r="HH5" s="1" t="s">
        <v>1526</v>
      </c>
      <c r="HI5" s="1" t="s">
        <v>1246</v>
      </c>
      <c r="HJ5" s="1" t="s">
        <v>1517</v>
      </c>
      <c r="HK5" s="1" t="s">
        <v>169</v>
      </c>
      <c r="HL5" s="1" t="s">
        <v>294</v>
      </c>
      <c r="HM5" s="1" t="s">
        <v>1116</v>
      </c>
      <c r="HN5" s="1" t="s">
        <v>1304</v>
      </c>
      <c r="HO5" s="1" t="s">
        <v>1125</v>
      </c>
      <c r="HP5" s="1" t="s">
        <v>1370</v>
      </c>
      <c r="HQ5" s="1" t="s">
        <v>354</v>
      </c>
      <c r="HR5" s="1" t="s">
        <v>439</v>
      </c>
      <c r="HS5" s="1" t="s">
        <v>289</v>
      </c>
      <c r="HT5" s="1" t="s">
        <v>554</v>
      </c>
      <c r="HU5" s="1" t="s">
        <v>85</v>
      </c>
      <c r="HV5" s="1" t="s">
        <v>86</v>
      </c>
      <c r="HW5" s="1" t="s">
        <v>383</v>
      </c>
      <c r="HX5" s="1" t="s">
        <v>298</v>
      </c>
      <c r="HY5" s="1" t="s">
        <v>1115</v>
      </c>
      <c r="HZ5" s="1" t="s">
        <v>1367</v>
      </c>
      <c r="IA5" s="1" t="s">
        <v>1239</v>
      </c>
      <c r="IB5" s="1" t="s">
        <v>1411</v>
      </c>
      <c r="IC5" s="1" t="s">
        <v>700</v>
      </c>
      <c r="ID5" s="1" t="s">
        <v>1545</v>
      </c>
      <c r="IE5" s="1" t="s">
        <v>816</v>
      </c>
      <c r="IF5" s="1" t="s">
        <v>968</v>
      </c>
      <c r="IG5" s="1" t="s">
        <v>909</v>
      </c>
      <c r="IH5" s="1" t="s">
        <v>1526</v>
      </c>
      <c r="II5" s="1" t="s">
        <v>111</v>
      </c>
      <c r="IJ5" s="1" t="s">
        <v>127</v>
      </c>
      <c r="IK5" s="1" t="s">
        <v>1020</v>
      </c>
      <c r="IL5" s="1" t="s">
        <v>1456</v>
      </c>
      <c r="IM5" s="1" t="s">
        <v>322</v>
      </c>
      <c r="IN5" s="1" t="s">
        <v>784</v>
      </c>
      <c r="IO5" s="1" t="s">
        <v>958</v>
      </c>
      <c r="IP5" s="1" t="s">
        <v>1421</v>
      </c>
      <c r="IQ5" s="1" t="s">
        <v>1050</v>
      </c>
      <c r="IR5" s="1" t="s">
        <v>1518</v>
      </c>
      <c r="IS5" s="1" t="s">
        <v>471</v>
      </c>
      <c r="IT5" s="1" t="s">
        <v>368</v>
      </c>
      <c r="IU5" s="1" t="s">
        <v>257</v>
      </c>
      <c r="IV5" s="1" t="s">
        <v>392</v>
      </c>
    </row>
    <row r="6" spans="1:256" s="1" customFormat="1">
      <c r="A6" s="1" t="s">
        <v>1274</v>
      </c>
      <c r="B6" s="1" t="s">
        <v>1338</v>
      </c>
      <c r="C6" s="1" t="s">
        <v>311</v>
      </c>
      <c r="D6" s="1" t="s">
        <v>67</v>
      </c>
      <c r="E6" s="1" t="s">
        <v>1190</v>
      </c>
      <c r="F6" s="1" t="s">
        <v>1394</v>
      </c>
      <c r="G6" s="1" t="s">
        <v>456</v>
      </c>
      <c r="H6" s="1" t="s">
        <v>331</v>
      </c>
      <c r="I6" s="1" t="s">
        <v>1046</v>
      </c>
      <c r="J6" s="1" t="s">
        <v>1298</v>
      </c>
      <c r="K6" s="1" t="s">
        <v>1045</v>
      </c>
      <c r="L6" s="1" t="s">
        <v>1343</v>
      </c>
      <c r="M6" s="1" t="s">
        <v>1027</v>
      </c>
      <c r="N6" s="1" t="s">
        <v>1334</v>
      </c>
      <c r="O6" s="1" t="s">
        <v>255</v>
      </c>
      <c r="P6" s="1" t="s">
        <v>897</v>
      </c>
      <c r="Q6" s="1" t="s">
        <v>809</v>
      </c>
      <c r="R6" s="1" t="s">
        <v>998</v>
      </c>
      <c r="S6" s="1" t="s">
        <v>436</v>
      </c>
      <c r="T6" s="1" t="s">
        <v>586</v>
      </c>
      <c r="U6" s="1" t="s">
        <v>371</v>
      </c>
      <c r="V6" s="1" t="s">
        <v>899</v>
      </c>
      <c r="W6" s="1" t="s">
        <v>16</v>
      </c>
      <c r="X6" s="1" t="s">
        <v>1421</v>
      </c>
      <c r="Y6" s="1" t="s">
        <v>655</v>
      </c>
      <c r="Z6" s="1" t="s">
        <v>227</v>
      </c>
      <c r="AA6" s="1" t="s">
        <v>837</v>
      </c>
      <c r="AB6" s="1" t="s">
        <v>1431</v>
      </c>
      <c r="AC6" s="1" t="s">
        <v>688</v>
      </c>
      <c r="AD6" s="1" t="s">
        <v>1421</v>
      </c>
      <c r="AE6" s="1" t="s">
        <v>1262</v>
      </c>
      <c r="AF6" s="1" t="s">
        <v>1338</v>
      </c>
      <c r="AG6" s="1" t="s">
        <v>1136</v>
      </c>
      <c r="AH6" s="1" t="s">
        <v>1373</v>
      </c>
      <c r="AI6" s="1" t="s">
        <v>325</v>
      </c>
      <c r="AJ6" s="1" t="s">
        <v>67</v>
      </c>
      <c r="AK6" s="1" t="s">
        <v>445</v>
      </c>
      <c r="AL6" s="1" t="s">
        <v>1558</v>
      </c>
      <c r="AM6" s="1" t="s">
        <v>431</v>
      </c>
      <c r="AN6" s="1" t="s">
        <v>218</v>
      </c>
      <c r="AO6" s="1" t="s">
        <v>544</v>
      </c>
      <c r="AP6" s="1" t="s">
        <v>232</v>
      </c>
      <c r="AQ6" s="1" t="s">
        <v>1093</v>
      </c>
      <c r="AR6" s="1" t="s">
        <v>1322</v>
      </c>
      <c r="AS6" s="1" t="s">
        <v>777</v>
      </c>
      <c r="AT6" s="1" t="s">
        <v>441</v>
      </c>
      <c r="AU6" s="1" t="s">
        <v>270</v>
      </c>
      <c r="AV6" s="1" t="s">
        <v>1536</v>
      </c>
      <c r="AW6" s="1" t="s">
        <v>306</v>
      </c>
      <c r="AX6" s="1" t="s">
        <v>1323</v>
      </c>
      <c r="AY6" s="1" t="s">
        <v>689</v>
      </c>
      <c r="AZ6" s="1" t="s">
        <v>1318</v>
      </c>
      <c r="BA6" s="1" t="s">
        <v>1206</v>
      </c>
      <c r="BB6" s="1" t="s">
        <v>1310</v>
      </c>
      <c r="BC6" s="1" t="s">
        <v>1081</v>
      </c>
      <c r="BD6" s="1" t="s">
        <v>1359</v>
      </c>
      <c r="BE6" s="1" t="s">
        <v>26</v>
      </c>
      <c r="BF6" s="1" t="s">
        <v>1575</v>
      </c>
      <c r="BG6" s="1" t="s">
        <v>1083</v>
      </c>
      <c r="BH6" s="1" t="s">
        <v>1297</v>
      </c>
      <c r="BI6" s="1" t="s">
        <v>745</v>
      </c>
      <c r="BJ6" s="1" t="s">
        <v>970</v>
      </c>
      <c r="BK6" s="1" t="s">
        <v>372</v>
      </c>
      <c r="BL6" s="1" t="s">
        <v>703</v>
      </c>
      <c r="BM6" s="1" t="s">
        <v>1168</v>
      </c>
      <c r="BN6" s="1" t="s">
        <v>227</v>
      </c>
      <c r="BO6" s="1" t="s">
        <v>734</v>
      </c>
      <c r="BP6" s="1" t="s">
        <v>896</v>
      </c>
      <c r="BQ6" s="1" t="s">
        <v>1181</v>
      </c>
      <c r="BR6" s="1" t="s">
        <v>1498</v>
      </c>
      <c r="BS6" s="1" t="s">
        <v>876</v>
      </c>
      <c r="BT6" s="1" t="s">
        <v>697</v>
      </c>
      <c r="BU6" s="1" t="s">
        <v>1157</v>
      </c>
      <c r="BV6" s="1" t="s">
        <v>1487</v>
      </c>
      <c r="BW6" s="1" t="s">
        <v>206</v>
      </c>
      <c r="BX6" s="1" t="s">
        <v>1421</v>
      </c>
      <c r="BY6" s="1" t="s">
        <v>30</v>
      </c>
      <c r="BZ6" s="1" t="s">
        <v>1576</v>
      </c>
      <c r="CA6" s="1" t="s">
        <v>376</v>
      </c>
      <c r="CB6" s="1" t="s">
        <v>990</v>
      </c>
      <c r="CC6" s="1" t="s">
        <v>228</v>
      </c>
      <c r="CD6" s="1" t="s">
        <v>4</v>
      </c>
      <c r="CE6" s="1" t="s">
        <v>346</v>
      </c>
      <c r="CF6" s="1" t="s">
        <v>995</v>
      </c>
      <c r="CG6" s="1" t="s">
        <v>60</v>
      </c>
      <c r="CH6" s="1" t="s">
        <v>993</v>
      </c>
      <c r="CI6" s="1" t="s">
        <v>33</v>
      </c>
      <c r="CJ6" s="1" t="s">
        <v>369</v>
      </c>
      <c r="CK6" s="1" t="s">
        <v>1041</v>
      </c>
      <c r="CL6" s="1" t="s">
        <v>1341</v>
      </c>
      <c r="CM6" s="1" t="s">
        <v>1084</v>
      </c>
      <c r="CN6" s="1" t="s">
        <v>1329</v>
      </c>
      <c r="CO6" s="1" t="s">
        <v>381</v>
      </c>
      <c r="CP6" s="1" t="s">
        <v>401</v>
      </c>
      <c r="CQ6" s="1" t="s">
        <v>733</v>
      </c>
      <c r="CR6" s="1" t="s">
        <v>1421</v>
      </c>
      <c r="CS6" s="1" t="s">
        <v>266</v>
      </c>
      <c r="CT6" s="1" t="s">
        <v>437</v>
      </c>
      <c r="CU6" s="1" t="s">
        <v>726</v>
      </c>
      <c r="CV6" s="1" t="s">
        <v>1433</v>
      </c>
      <c r="CW6" s="1" t="s">
        <v>772</v>
      </c>
      <c r="CX6" s="1" t="s">
        <v>108</v>
      </c>
      <c r="CY6" s="1" t="s">
        <v>370</v>
      </c>
      <c r="CZ6" s="1" t="s">
        <v>898</v>
      </c>
      <c r="DA6" s="1" t="s">
        <v>570</v>
      </c>
      <c r="DB6" s="1" t="s">
        <v>187</v>
      </c>
      <c r="DC6" s="1" t="s">
        <v>779</v>
      </c>
      <c r="DD6" s="1" t="s">
        <v>564</v>
      </c>
      <c r="DE6" s="1" t="s">
        <v>1143</v>
      </c>
      <c r="DF6" s="1" t="s">
        <v>1412</v>
      </c>
      <c r="DG6" s="1" t="s">
        <v>89</v>
      </c>
      <c r="DH6" s="1" t="s">
        <v>566</v>
      </c>
      <c r="DI6" s="1" t="s">
        <v>687</v>
      </c>
      <c r="DJ6" s="1" t="s">
        <v>1421</v>
      </c>
      <c r="DK6" s="1" t="s">
        <v>1010</v>
      </c>
      <c r="DL6" s="1" t="s">
        <v>1366</v>
      </c>
      <c r="DM6" s="1" t="s">
        <v>452</v>
      </c>
      <c r="DN6" s="1" t="s">
        <v>566</v>
      </c>
      <c r="DO6" s="1" t="s">
        <v>474</v>
      </c>
      <c r="DP6" s="1" t="s">
        <v>564</v>
      </c>
      <c r="DQ6" s="1" t="s">
        <v>1122</v>
      </c>
      <c r="DR6" s="1" t="s">
        <v>1478</v>
      </c>
      <c r="DS6" s="1" t="s">
        <v>1193</v>
      </c>
      <c r="DT6" s="1" t="s">
        <v>1503</v>
      </c>
      <c r="DU6" s="1" t="s">
        <v>475</v>
      </c>
      <c r="DV6" s="1" t="s">
        <v>1293</v>
      </c>
      <c r="DW6" s="1" t="s">
        <v>221</v>
      </c>
      <c r="DX6" s="1" t="s">
        <v>103</v>
      </c>
      <c r="DY6" s="1" t="s">
        <v>1061</v>
      </c>
      <c r="DZ6" s="1" t="s">
        <v>1350</v>
      </c>
      <c r="EA6" s="1" t="s">
        <v>503</v>
      </c>
      <c r="EB6" s="1" t="s">
        <v>1577</v>
      </c>
      <c r="EC6" s="1" t="s">
        <v>1242</v>
      </c>
      <c r="ED6" s="1" t="s">
        <v>1516</v>
      </c>
      <c r="EE6" s="1" t="s">
        <v>59</v>
      </c>
      <c r="EF6" s="1" t="s">
        <v>964</v>
      </c>
      <c r="EG6" s="1" t="s">
        <v>1187</v>
      </c>
      <c r="EH6" s="1" t="s">
        <v>1298</v>
      </c>
      <c r="EI6" s="1" t="s">
        <v>808</v>
      </c>
      <c r="EJ6" s="1" t="s">
        <v>1316</v>
      </c>
      <c r="EK6" s="1" t="s">
        <v>1179</v>
      </c>
      <c r="EL6" s="1" t="s">
        <v>1477</v>
      </c>
      <c r="EM6" s="1" t="s">
        <v>1067</v>
      </c>
      <c r="EN6" s="1" t="s">
        <v>1352</v>
      </c>
      <c r="EO6" s="1" t="s">
        <v>879</v>
      </c>
      <c r="EP6" s="1" t="s">
        <v>190</v>
      </c>
      <c r="EQ6" s="1" t="s">
        <v>1026</v>
      </c>
      <c r="ER6" s="1" t="s">
        <v>1507</v>
      </c>
      <c r="ES6" s="1" t="s">
        <v>1146</v>
      </c>
      <c r="ET6" s="1" t="s">
        <v>1379</v>
      </c>
      <c r="EU6" s="1" t="s">
        <v>1003</v>
      </c>
      <c r="EV6" s="1" t="s">
        <v>1303</v>
      </c>
      <c r="EW6" s="1" t="s">
        <v>412</v>
      </c>
      <c r="EX6" s="1" t="s">
        <v>369</v>
      </c>
      <c r="EY6" s="1" t="s">
        <v>18</v>
      </c>
      <c r="EZ6" s="1" t="s">
        <v>1531</v>
      </c>
      <c r="FA6" s="1" t="s">
        <v>424</v>
      </c>
      <c r="FB6" s="1" t="s">
        <v>328</v>
      </c>
      <c r="FC6" s="1" t="s">
        <v>384</v>
      </c>
      <c r="FD6" s="1" t="s">
        <v>299</v>
      </c>
      <c r="FE6" s="1" t="s">
        <v>1263</v>
      </c>
      <c r="FF6" s="1" t="s">
        <v>1331</v>
      </c>
      <c r="FG6" s="1" t="s">
        <v>1113</v>
      </c>
      <c r="FH6" s="1" t="s">
        <v>227</v>
      </c>
      <c r="FI6" s="1" t="s">
        <v>556</v>
      </c>
      <c r="FJ6" s="1" t="s">
        <v>22</v>
      </c>
      <c r="FK6" s="1" t="s">
        <v>477</v>
      </c>
      <c r="FL6" s="1" t="s">
        <v>1421</v>
      </c>
      <c r="FM6" s="1" t="s">
        <v>409</v>
      </c>
      <c r="FN6" s="1" t="s">
        <v>1421</v>
      </c>
      <c r="FO6" s="1" t="s">
        <v>742</v>
      </c>
      <c r="FP6" s="1" t="s">
        <v>68</v>
      </c>
      <c r="FQ6" s="1" t="s">
        <v>72</v>
      </c>
      <c r="FR6" s="1" t="s">
        <v>184</v>
      </c>
      <c r="FS6" s="1" t="s">
        <v>1129</v>
      </c>
      <c r="FT6" s="1" t="s">
        <v>1480</v>
      </c>
      <c r="FU6" s="1" t="s">
        <v>263</v>
      </c>
      <c r="FV6" s="1" t="s">
        <v>393</v>
      </c>
      <c r="FW6" s="1" t="s">
        <v>849</v>
      </c>
      <c r="FX6" s="1" t="s">
        <v>1532</v>
      </c>
      <c r="FY6" s="1" t="s">
        <v>1097</v>
      </c>
      <c r="FZ6" s="1" t="s">
        <v>1471</v>
      </c>
      <c r="GA6" s="1" t="s">
        <v>939</v>
      </c>
      <c r="GB6" s="1" t="s">
        <v>940</v>
      </c>
      <c r="GC6" s="1" t="s">
        <v>1207</v>
      </c>
      <c r="GD6" s="1" t="s">
        <v>1519</v>
      </c>
      <c r="GE6" s="1" t="s">
        <v>1028</v>
      </c>
      <c r="GF6" s="1" t="s">
        <v>1296</v>
      </c>
      <c r="GG6" s="1" t="s">
        <v>1152</v>
      </c>
      <c r="GH6" s="1" t="s">
        <v>1308</v>
      </c>
      <c r="GI6" s="1" t="s">
        <v>1044</v>
      </c>
      <c r="GJ6" s="1" t="s">
        <v>1462</v>
      </c>
      <c r="GK6" s="1" t="s">
        <v>472</v>
      </c>
      <c r="GL6" s="1" t="s">
        <v>1292</v>
      </c>
      <c r="GM6" s="1" t="s">
        <v>1211</v>
      </c>
      <c r="GN6" s="1" t="s">
        <v>1350</v>
      </c>
      <c r="GO6" s="1" t="s">
        <v>913</v>
      </c>
      <c r="GP6" s="1" t="s">
        <v>549</v>
      </c>
      <c r="GQ6" s="1" t="s">
        <v>838</v>
      </c>
      <c r="GR6" s="1" t="s">
        <v>899</v>
      </c>
      <c r="GS6" s="1" t="s">
        <v>324</v>
      </c>
      <c r="GT6" s="1" t="s">
        <v>453</v>
      </c>
      <c r="GU6" s="1" t="s">
        <v>559</v>
      </c>
      <c r="GV6" s="1" t="s">
        <v>1566</v>
      </c>
      <c r="GW6" s="1" t="s">
        <v>467</v>
      </c>
      <c r="GX6" s="1" t="s">
        <v>420</v>
      </c>
      <c r="GY6" s="1" t="s">
        <v>1110</v>
      </c>
      <c r="GZ6" s="1" t="s">
        <v>1475</v>
      </c>
      <c r="HA6" s="1" t="s">
        <v>1180</v>
      </c>
      <c r="HB6" s="1" t="s">
        <v>1350</v>
      </c>
      <c r="HC6" s="1" t="s">
        <v>19</v>
      </c>
      <c r="HD6" s="1" t="s">
        <v>1553</v>
      </c>
      <c r="HE6" s="1" t="s">
        <v>632</v>
      </c>
      <c r="HF6" s="1" t="s">
        <v>890</v>
      </c>
      <c r="HG6" s="1" t="s">
        <v>1261</v>
      </c>
      <c r="HH6" s="1" t="s">
        <v>1417</v>
      </c>
      <c r="HI6" s="1" t="s">
        <v>727</v>
      </c>
      <c r="HJ6" s="1" t="s">
        <v>1295</v>
      </c>
      <c r="HK6" s="1" t="s">
        <v>411</v>
      </c>
      <c r="HL6" s="1" t="s">
        <v>1315</v>
      </c>
      <c r="HM6" s="1" t="s">
        <v>1186</v>
      </c>
      <c r="HN6" s="1" t="s">
        <v>1393</v>
      </c>
      <c r="HO6" s="1" t="s">
        <v>244</v>
      </c>
      <c r="HP6" s="1" t="s">
        <v>125</v>
      </c>
      <c r="HQ6" s="1" t="s">
        <v>543</v>
      </c>
      <c r="HR6" s="1" t="s">
        <v>545</v>
      </c>
      <c r="HS6" s="1" t="s">
        <v>1257</v>
      </c>
      <c r="HT6" s="1" t="s">
        <v>1475</v>
      </c>
      <c r="HU6" s="1" t="s">
        <v>1244</v>
      </c>
      <c r="HV6" s="1" t="s">
        <v>1280</v>
      </c>
      <c r="HW6" s="1" t="s">
        <v>457</v>
      </c>
      <c r="HX6" s="1" t="s">
        <v>442</v>
      </c>
      <c r="HY6" s="1" t="s">
        <v>13</v>
      </c>
      <c r="HZ6" s="1" t="s">
        <v>1529</v>
      </c>
      <c r="IA6" s="1" t="s">
        <v>499</v>
      </c>
      <c r="IB6" s="1" t="s">
        <v>1581</v>
      </c>
      <c r="IC6" s="1" t="s">
        <v>1147</v>
      </c>
      <c r="ID6" s="1" t="s">
        <v>1485</v>
      </c>
      <c r="IE6" s="1" t="s">
        <v>76</v>
      </c>
      <c r="IF6" s="1" t="s">
        <v>708</v>
      </c>
      <c r="IG6" s="1" t="s">
        <v>641</v>
      </c>
      <c r="IH6" s="1" t="s">
        <v>1546</v>
      </c>
      <c r="II6" s="1" t="s">
        <v>660</v>
      </c>
      <c r="IJ6" s="1" t="s">
        <v>65</v>
      </c>
      <c r="IK6" s="1" t="s">
        <v>1174</v>
      </c>
      <c r="IL6" s="1" t="s">
        <v>1495</v>
      </c>
      <c r="IM6" s="1" t="s">
        <v>1068</v>
      </c>
      <c r="IN6" s="1" t="s">
        <v>1299</v>
      </c>
      <c r="IO6" s="1" t="s">
        <v>1167</v>
      </c>
      <c r="IP6" s="1" t="s">
        <v>1493</v>
      </c>
      <c r="IQ6" s="1" t="s">
        <v>391</v>
      </c>
      <c r="IR6" s="1" t="s">
        <v>1548</v>
      </c>
      <c r="IS6" s="1" t="s">
        <v>390</v>
      </c>
      <c r="IT6" s="1" t="s">
        <v>1325</v>
      </c>
      <c r="IU6" s="1" t="s">
        <v>1048</v>
      </c>
      <c r="IV6" s="1" t="s">
        <v>227</v>
      </c>
    </row>
    <row r="7" spans="1:256" s="543" customFormat="1">
      <c r="A7" s="543" t="s">
        <v>1088</v>
      </c>
      <c r="B7" s="543" t="s">
        <v>1361</v>
      </c>
      <c r="C7" s="543" t="s">
        <v>773</v>
      </c>
      <c r="D7" s="543" t="s">
        <v>1</v>
      </c>
      <c r="E7" s="543" t="s">
        <v>495</v>
      </c>
      <c r="F7" s="543" t="s">
        <v>426</v>
      </c>
      <c r="G7" s="543" t="s">
        <v>1148</v>
      </c>
      <c r="H7" s="543" t="s">
        <v>1383</v>
      </c>
      <c r="I7" s="543" t="s">
        <v>435</v>
      </c>
      <c r="J7" s="543" t="s">
        <v>218</v>
      </c>
      <c r="K7" s="543" t="s">
        <v>1080</v>
      </c>
      <c r="L7" s="543" t="s">
        <v>1358</v>
      </c>
      <c r="M7" s="543" t="s">
        <v>379</v>
      </c>
      <c r="N7" s="543" t="s">
        <v>401</v>
      </c>
      <c r="O7" s="543" t="s">
        <v>799</v>
      </c>
      <c r="P7" s="543" t="s">
        <v>547</v>
      </c>
      <c r="Q7" s="543" t="s">
        <v>701</v>
      </c>
      <c r="R7" s="543" t="s">
        <v>894</v>
      </c>
      <c r="S7" s="543" t="s">
        <v>1033</v>
      </c>
      <c r="T7" s="543" t="s">
        <v>1338</v>
      </c>
      <c r="U7" s="543" t="s">
        <v>1170</v>
      </c>
      <c r="V7" s="543" t="s">
        <v>1494</v>
      </c>
      <c r="W7" s="543" t="s">
        <v>407</v>
      </c>
      <c r="X7" s="543" t="s">
        <v>1422</v>
      </c>
      <c r="Y7" s="543" t="s">
        <v>792</v>
      </c>
      <c r="Z7" s="543" t="s">
        <v>295</v>
      </c>
      <c r="AA7" s="543" t="s">
        <v>321</v>
      </c>
      <c r="AB7" s="543" t="s">
        <v>564</v>
      </c>
      <c r="AC7" s="543" t="s">
        <v>728</v>
      </c>
      <c r="AD7" s="543" t="s">
        <v>1561</v>
      </c>
      <c r="AE7" s="543" t="s">
        <v>572</v>
      </c>
      <c r="AF7" s="543" t="s">
        <v>964</v>
      </c>
      <c r="AG7" s="543" t="s">
        <v>1121</v>
      </c>
      <c r="AH7" s="543" t="s">
        <v>1369</v>
      </c>
      <c r="AI7" s="543" t="s">
        <v>642</v>
      </c>
      <c r="AJ7" s="543" t="s">
        <v>973</v>
      </c>
      <c r="AK7" s="543" t="s">
        <v>1270</v>
      </c>
      <c r="AL7" s="543" t="s">
        <v>1523</v>
      </c>
      <c r="AM7" s="543" t="s">
        <v>1079</v>
      </c>
      <c r="AN7" s="543" t="s">
        <v>1357</v>
      </c>
      <c r="AO7" s="543" t="s">
        <v>95</v>
      </c>
      <c r="AP7" s="543" t="s">
        <v>891</v>
      </c>
      <c r="AQ7" s="543" t="s">
        <v>1214</v>
      </c>
      <c r="AR7" s="543" t="s">
        <v>1491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08f8faaf-f201-4ba4-a701-cb0c5879b691</GUID>
    <SOURCE_ALTADDRESS>$C$4</SOURCE_ALTADDRESS>
    <SOURCETYPE>Text</SOURCETYPE>
    <SOURCE_OBJECTNAME>Linking_Text_1</SOURCE_OBJECTNAME>
    <OBJECTTYPE>Native</OBJECTTYPE>
    <SOURCE_SHEETCODE>MWRSSData</SOURCE_SHEETCODE>
    <SOURCE_SHEETNAME>MWA RR</SOURCE_SHEETNAME>
    <SOURCEAPPLICATION>EXCEL_SOURCE</SOURCEAPPLICATION>
    <UPDATEDAT>2/23/2015 5:30:59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TARGET_BINARYFULLNAME/>
    <TARGET_STORYFULLNAME>/MSResearch/Content/ExternalAssets/2014-09/Sections/Linking_Text_1-035.xml</TARGET_STORYFULLNAME>
    <TARGET_UUID>4dbb9ec6-3f71-11e4-a3f9-c4c5b429d110</TARGET_UUID>
    <LINKSTATUS>Unknown</LINKSTATUS>
    <TRANSPARENTBACKGROUND>False</TRANSPARENTBACKGROUND>
    <TRANSPARENTPLOTAREA>False</TRANSPARENTPLOTAREA>
    <EXTRACTSOURCEMODE>CopyToClipboard</EXTRACTSOURCEMODE>
  </Link>
  <Link>
    <GUID>ff004635-a81f-4364-bf66-59bb9f789215</GUID>
    <SOURCE_ALTADDRESS>$C$11</SOURCE_ALTADDRESS>
    <SOURCETYPE>Text</SOURCETYPE>
    <SOURCE_OBJECTNAME>Linking_Text_2</SOURCE_OBJECTNAME>
    <OBJECTTYPE>Native</OBJECTTYPE>
    <SOURCE_SHEETCODE>MWRSSData</SOURCE_SHEETCODE>
    <SOURCE_SHEETNAME>MWA RR</SOURCE_SHEETNAME>
    <SOURCEAPPLICATION>EXCEL_SOURCE</SOURCEAPPLICATION>
    <UPDATEDAT>2/23/2015 5:30:59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TARGET_BINARYFULLNAME/>
    <TARGET_STORYFULLNAME>/MSResearch/Content/ExternalAssets/2014-09/Sections/Linking_Text_2-026.xml</TARGET_STORYFULLNAME>
    <TARGET_UUID>746327e2-3f71-11e4-a3f9-c4c5b429d110</TARGET_UUID>
    <LINKSTATUS>Unknown</LINKSTATUS>
    <TRANSPARENTBACKGROUND>False</TRANSPARENTBACKGROUND>
    <TRANSPARENTPLOTAREA>False</TRANSPARENTPLOTAREA>
    <EXTRACTSOURCEMODE>CopyToClipboard</EXTRACTSOURCEMODE>
  </Link>
  <Link>
    <GUID>f77e0572-2eb4-4a17-b293-e8f3476e1965</GUID>
    <SOURCE_ALTADDRESS>$C$6</SOURCE_ALTADDRESS>
    <SOURCETYPE>Text</SOURCETYPE>
    <SOURCE_OBJECTNAME>Linking_Text_3</SOURCE_OBJECTNAME>
    <OBJECTTYPE>Native</OBJECTTYPE>
    <SOURCE_SHEETCODE>MWRSSData</SOURCE_SHEETCODE>
    <SOURCE_SHEETNAME>MWA RR</SOURCE_SHEETNAME>
    <SOURCEAPPLICATION>EXCEL_SOURCE</SOURCEAPPLICATION>
    <UPDATEDAT>2/23/2015 5:30:59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TARGET_BINARYFULLNAME/>
    <TARGET_STORYFULLNAME>/MSResearch/Content/ExternalAssets/2014-09/Sections/Linking_Text_3-023.xml</TARGET_STORYFULLNAME>
    <TARGET_UUID>8e73e9fa-3f71-11e4-a3f9-c4c5b429d110</TARGET_UUID>
    <LINKSTATUS>Unknown</LINKSTATUS>
    <TRANSPARENTBACKGROUND>False</TRANSPARENTBACKGROUND>
    <TRANSPARENTPLOTAREA>False</TRANSPARENTPLOTAREA>
    <EXTRACTSOURCEMODE>CopyToClipboard</EXTRACTSOURCEMODE>
  </Link>
  <Link>
    <GUID>1f46475d-81c8-4ae8-87f1-c44e87ca0a1a</GUID>
    <SOURCE_ALTADDRESS>$C$7</SOURCE_ALTADDRESS>
    <SOURCETYPE>Text</SOURCETYPE>
    <SOURCE_OBJECTNAME>Linking_Text_4</SOURCE_OBJECTNAME>
    <OBJECTTYPE>Native</OBJECTTYPE>
    <SOURCE_SHEETCODE>MWRSSData</SOURCE_SHEETCODE>
    <SOURCE_SHEETNAME>MWA RR</SOURCE_SHEETNAME>
    <SOURCEAPPLICATION>EXCEL_SOURCE</SOURCEAPPLICATION>
    <UPDATEDAT>2/23/2015 5:30:59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TARGET_BINARYFULLNAME/>
    <TARGET_STORYFULLNAME>/MSResearch/Content/ExternalAssets/2014-09/Sections/Linking_Text_4-019.xml</TARGET_STORYFULLNAME>
    <TARGET_UUID>97964424-3f71-11e4-a3f9-c4c5b429d110</TARGET_UUID>
    <LINKSTATUS>Unknown</LINKSTATUS>
    <TRANSPARENTBACKGROUND>False</TRANSPARENTBACKGROUND>
    <TRANSPARENTPLOTAREA>False</TRANSPARENTPLOTAREA>
    <EXTRACTSOURCEMODE>CopyToClipboard</EXTRACTSOURCEMODE>
  </Link>
  <Link>
    <GUID>561b484f-cc46-47a6-9032-d13debb78bf0</GUID>
    <SOURCE_ALTADDRESS>$C$8</SOURCE_ALTADDRESS>
    <SOURCETYPE>Text</SOURCETYPE>
    <SOURCE_OBJECTNAME>Linking_Text_5</SOURCE_OBJECTNAME>
    <OBJECTTYPE>Native</OBJECTTYPE>
    <SOURCE_SHEETCODE>MWRSSData</SOURCE_SHEETCODE>
    <SOURCE_SHEETNAME>MWA RR</SOURCE_SHEETNAME>
    <SOURCEAPPLICATION>EXCEL_SOURCE</SOURCEAPPLICATION>
    <UPDATEDAT>2/23/2015 5:30:59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False</HIDEGRIDLINES>
    <TARGETTYPE>Text</TARGETTYPE>
    <TARGETAPPLICATION>METHODE_TARGET</TARGETAPPLICATION>
    <TARGET_BINARYFULLNAME/>
    <TARGET_STORYFULLNAME>/MSResearch/Content/ExternalAssets/2014-09/Sections/Linking_Text_5-014.xml</TARGET_STORYFULLNAME>
    <TARGET_UUID>9eb25a72-3f71-11e4-a3f9-c4c5b429d110</TARGET_UUID>
    <LINKSTATUS>Unknown</LINKSTATUS>
    <TRANSPARENTBACKGROUND>False</TRANSPARENTBACKGROUND>
    <TRANSPARENTPLOTAREA>False</TRANSPARENTPLOTAREA>
    <EXTRACTSOURCEMODE>CopyToClipboard</EXTRACTSOURCEMODE>
  </Link>
  <Link>
    <GUID>38a6c0ec-39f2-41f8-93be-39fd8a55b012</GUID>
    <SOURCE_ALTADDRESS>$A$2:$N$69</SOURCE_ALTADDRESS>
    <SOURCETYPE>Table</SOURCETYPE>
    <SOURCE_OBJECTNAME>Linking_Range_40</SOURCE_OBJECTNAME>
    <OBJECTTYPE>Native</OBJECTTYPE>
    <SOURCE_SHEETCODE>Sheet16</SOURCE_SHEETCODE>
    <SOURCE_SHEETNAME>Consolidation</SOURCE_SHEETNAME>
    <SOURCEAPPLICATION>EXCEL_SOURCE</SOURCEAPPLICATION>
    <UPDATEDAT>3/10/2015 12:51:20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/MSResearch/Content/ExternalAssets/2015-03/Images/nUfuNiyMGUm5Rie9DAavA--.png</TARGET_BINARYFULLNAME>
    <TARGET_STORYFULLNAME>/MSResearch/Content/ExternalAssets/2015-03/Sections/20150310_125118_Linking_Range_4.xml</TARGET_STORYFULLNAME>
    <TARGET_UUID>ac66359c-c745-11e4-96df-6c230f6d8cc6</TARGET_UUID>
  </Link>
  <Link>
    <GUID>3e61d36a-bb1a-47ad-a478-23202e2292bd</GUID>
    <SOURCE_ALTADDRESS>$A$2:$O$97</SOURCE_ALTADDRESS>
    <SOURCETYPE>Table</SOURCETYPE>
    <SOURCE_OBJECTNAME>Linking_Range_40</SOURCE_OBJECTNAME>
    <OBJECTTYPE>Native</OBJECTTYPE>
    <SOURCE_SHEETCODE>Sheet17</SOURCE_SHEETCODE>
    <SOURCE_SHEETNAME>Consolidation (2)</SOURCE_SHEETNAME>
    <SOURCEAPPLICATION>EXCEL_SOURCE</SOURCEAPPLICATION>
    <UPDATEDAT>3/17/2015 1:07:04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/MSResearch/Content/ExternalAssets/2015-03/Images/iidOr4hBFkqN2tgF1mfSg--.png</TARGET_BINARYFULLNAME>
    <TARGET_STORYFULLNAME>/MSResearch/Content/ExternalAssets/2015-03/Sections/20150317_010702_Linking_Range_4.xml</TARGET_STORYFULLNAME>
    <TARGET_UUID>079969f2-ccc8-11e4-b2c3-562df972b59d</TARGET_UUID>
  </Link>
  <Link>
    <GUID>4047d9c2-f6dd-4373-abd5-5618e042e981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5/6/2015 8:04:24 PM</UPDATEDAT>
    <SOURCE_ISOUTOFDATE>False</SOURCE_ISOUTOFDATE>
    <SOURCE_WORKBOOKNAME>OKEmdl.xls</SOURCE_WORKBOOKNAME>
    <SOURCE_WORKBOOKPATH>\\msad\root\na\ny\lib\er\ENERGY\Maresca\Models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/MSResearch/Content/ExternalAssets/2014-09/Images/XaooRmaf2EepeZSe9dqHfQ--.png</TARGET_BINARYFULLNAME>
    <TARGET_STORYFULLNAME>/MSResearch/Content/ExternalAssets/2014-09/Sections/MWA_Risk_Reward-273.xml</TARGET_STORYFULLNAME>
    <TARGET_UUID>65b6e1d4-3f71-11e4-a3f9-c4c5b429d110</TARGET_UUID>
    <LINKSTATUS>Unknown</LINKSTATUS>
    <HIDEGRIDLINES>False</HIDEGRIDLINES>
    <EXTRACTSOURCEMODE>CopyToClipboard</EXTRACTSOURCEMODE>
  </Link>
  <Link>
    <GUID>19b80558-3288-4117-a722-42a0797074af</GUID>
    <SOURCE_ALTADDRESS>$B$4:$G$12</SOURCE_ALTADDRESS>
    <SOURCETYPE>Table</SOURCETYPE>
    <SOURCE_OBJECTNAME>Linking_Range_27</SOURCE_OBJECTNAME>
    <OBJECTTYPE>Native</OBJECTTYPE>
    <SOURCE_SHEETCODE>Sheet1</SOURCE_SHEETCODE>
    <SOURCE_SHEETNAME>TP Derivation</SOURCE_SHEETNAME>
    <SOURCEAPPLICATION>EXCEL_SOURCE</SOURCEAPPLICATION>
    <UPDATEDAT>5/6/2015 8:04:24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/MSResearch/Content/ExternalAssets/2014-09/Images/KdWeabESleuhZ7H8z_LXg--.png</TARGET_BINARYFULLNAME>
    <TARGET_STORYFULLNAME>/MSResearch/Content/ExternalAssets/2014-09/Sections/Linking_Range_27-042.xml</TARGET_STORYFULLNAME>
    <TARGET_UUID>c8111fc0-3f71-11e4-a3f9-c4c5b429d110</TARGET_UUID>
    <LINKSTATUS>Unknown</LINKSTATUS>
    <TRANSPARENTBACKGROUND>False</TRANSPARENTBACKGROUND>
    <TRANSPARENTPLOTAREA>False</TRANSPARENTPLOTAREA>
    <EXTRACTSOURCEMODE>CopyToClipboard</EXTRACTSOURCEMODE>
  </Link>
  <Link>
    <GUID>371200d3-2d88-4fec-8f88-de503edfaf9b</GUID>
    <SOURCE_ALTADDRESS>$B$1:$H$66</SOURCE_ALTADDRESS>
    <SOURCETYPE>Table</SOURCETYPE>
    <SOURCE_OBJECTNAME>Linking_Range_28</SOURCE_OBJECTNAME>
    <OBJECTTYPE>Native</OBJECTTYPE>
    <SOURCE_SHEETCODE>Sheet11</SOURCE_SHEETCODE>
    <SOURCE_SHEETNAME>Summary</SOURCE_SHEETNAME>
    <SOURCEAPPLICATION>EXCEL_SOURCE</SOURCEAPPLICATION>
    <UPDATEDAT>5/6/2015 8:04:25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/MSResearch/Content/ExternalAssets/2014-09/Images/E8c-__GTugIz757YXJYg--.png</TARGET_BINARYFULLNAME>
    <TARGET_STORYFULLNAME>/MSResearch/Content/ExternalAssets/2014-09/Sections/Linking_Range_28-044.xml</TARGET_STORYFULLNAME>
    <TARGET_UUID>4afb8a5a-3f73-11e4-a3f9-c4c5b429d110</TARGET_UUID>
    <LINKSTATUS>Unknown</LINKSTATUS>
  </Link>
  <Link>
    <GUID>1c19ac2d-5c7a-4de9-877e-e21c6ed328c6</GUID>
    <SOURCE_ALTADDRESS>$B$6:$M$28</SOURCE_ALTADDRESS>
    <SOURCETYPE>Table</SOURCETYPE>
    <SOURCE_OBJECTNAME>Linking_Range_19</SOURCE_OBJECTNAME>
    <OBJECTTYPE>Native</OBJECTTYPE>
    <SOURCE_SHEETCODE>Sheet6</SOURCE_SHEETCODE>
    <SOURCE_SHEETNAME>DDM</SOURCE_SHEETNAME>
    <SOURCEAPPLICATION>EXCEL_SOURCE</SOURCEAPPLICATION>
    <UPDATEDAT>5/6/2015 8:04:27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/MSResearch/Content/ExternalAssets/2014-09/Images/kgdqqi8Fx2JraMjN_1tUg--.png</TARGET_BINARYFULLNAME>
    <TARGET_STORYFULLNAME>/MSResearch/Content/ExternalAssets/2014-09/Sections/Linking_Range_19-037.xml</TARGET_STORYFULLNAME>
    <TARGET_UUID>174d8324-3f74-11e4-a3f9-c4c5b429d110</TARGET_UUID>
    <LINKSTATUS>Unknown</LINKSTATUS>
  </Link>
  <Link>
    <GUID>1630d867-e065-4003-be22-b865e1b0a1be</GUID>
    <SOURCE_ALTADDRESS>$A$1:$F$27</SOURCE_ALTADDRESS>
    <SOURCETYPE>Table</SOURCETYPE>
    <SOURCE_OBJECTNAME>Linking_Range_26</SOURCE_OBJECTNAME>
    <OBJECTTYPE>Native</OBJECTTYPE>
    <SOURCE_SHEETCODE>Sheet12</SOURCE_SHEETCODE>
    <SOURCE_SHEETNAME>DCF</SOURCE_SHEETNAME>
    <SOURCEAPPLICATION>EXCEL_SOURCE</SOURCEAPPLICATION>
    <UPDATEDAT>5/6/2015 8:04:27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/MSResearch/Content/ExternalAssets/2014-09/Images/RatMQx72jkWmwsLjqj7O1A--.png</TARGET_BINARYFULLNAME>
    <TARGET_STORYFULLNAME>/MSResearch/Content/ExternalAssets/2014-09/Sections/Linking_Range_26-047.xml</TARGET_STORYFULLNAME>
    <TARGET_UUID>051d8bfe-3f74-11e4-a3f9-c4c5b429d110</TARGET_UUID>
    <LINKSTATUS>Unknown</LINKSTATUS>
  </Link>
  <Link>
    <GUID>254c3b72-1d7f-4f7a-a0f1-47d445f41c5b</GUID>
    <SOURCE_ALTADDRESS>$A$3:$M$27</SOURCE_ALTADDRESS>
    <SOURCETYPE>Table</SOURCETYPE>
    <SOURCE_OBJECTNAME>Linking_Range_18</SOURCE_OBJECTNAME>
    <OBJECTTYPE>Native</OBJECTTYPE>
    <SOURCE_SHEETCODE>Sheet7</SOURCE_SHEETCODE>
    <SOURCE_SHEETNAME>SoP Model</SOURCE_SHEETNAME>
    <SOURCEAPPLICATION>EXCEL_SOURCE</SOURCEAPPLICATION>
    <UPDATEDAT>5/6/2015 8:04:28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/MSResearch/Content/ExternalAssets/2014-09/Images/Y_ybly_BCCKn3Wu6hYoA--.png</TARGET_BINARYFULLNAME>
    <TARGET_STORYFULLNAME>/MSResearch/Content/ExternalAssets/2014-09/Sections/Linking_Range_18-041.xml</TARGET_STORYFULLNAME>
    <TARGET_UUID>304790fe-3f74-11e4-a3f9-c4c5b429d110</TARGET_UUID>
    <LINKSTATUS>Unknown</LINKSTATUS>
  </Link>
  <Link>
    <GUID>98a67532-2eb8-4afd-9eb4-4aa12bae3104</GUID>
    <SOURCE_ALTADDRESS>$A$2:$O$101</SOURCE_ALTADDRESS>
    <SOURCETYPE>Table</SOURCETYPE>
    <SOURCE_OBJECTNAME>Linking_Range_41</SOURCE_OBJECTNAME>
    <OBJECTTYPE>Native</OBJECTTYPE>
    <SOURCE_SHEETCODE>Sheet17</SOURCE_SHEETCODE>
    <SOURCE_SHEETNAME>Consolidation</SOURCE_SHEETNAME>
    <SOURCEAPPLICATION>EXCEL_SOURCE</SOURCEAPPLICATION>
    <UPDATEDAT>5/6/2015 8:05:38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/MSResearch/Content/ExternalAssets/2015-03/Images/EIzfdcgjbUOVQZfO4xrH8g--.png</TARGET_BINARYFULLNAME>
    <TARGET_STORYFULLNAME>/MSResearch/Content/ExternalAssets/2015-03/Sections/20150317_012534_Linking_Range_41.xml</TARGET_STORYFULLNAME>
    <TARGET_UUID>9eaa4f9e-ccca-11e4-b2c3-562df972b59d</TARGET_UUID>
    <LINKSTATUS>Unknown</LINKSTATUS>
  </Link>
  <Link>
    <GUID>1177bf6e-788f-4148-88a4-5844b8126286</GUID>
    <SOURCE_ALTADDRESS>$A$2:$O$89</SOURCE_ALTADDRESS>
    <SOURCETYPE>Table</SOURCETYPE>
    <SOURCE_OBJECTNAME>Linking_Range_42</SOURCE_OBJECTNAME>
    <OBJECTTYPE>Native</OBJECTTYPE>
    <SOURCE_SHEETCODE>Sheet17</SOURCE_SHEETCODE>
    <SOURCE_SHEETNAME>Consolidation</SOURCE_SHEETNAME>
    <SOURCEAPPLICATION>EXCEL_SOURCE</SOURCEAPPLICATION>
    <UPDATEDAT>5/6/2015 8:05:42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/MSResearch/Content/ExternalAssets/2015-03/Images/yxg2IiWIfkio-P5A8nTlJQ--.png</TARGET_BINARYFULLNAME>
    <TARGET_STORYFULLNAME>/MSResearch/Content/ExternalAssets/2015-03/Sections/20150319_010907_Linking_Range_42.xml</TARGET_STORYFULLNAME>
    <TARGET_UUID>a709e348-ce5a-11e4-b2c3-562df972b59d</TARGET_UUID>
    <LINKSTATUS>Unknown</LINKSTATUS>
  </Link>
  <Link>
    <GUID>1576baa6-4664-4a5a-99ea-49f5f1a49ec6</GUID>
    <SOURCE_ALTADDRESS>$Q$113:$W$119</SOURCE_ALTADDRESS>
    <SOURCETYPE>Table</SOURCETYPE>
    <SOURCE_OBJECTNAME>Linking_Range_44</SOURCE_OBJECTNAME>
    <OBJECTTYPE>Native</OBJECTTYPE>
    <SOURCE_SHEETCODE>Sheet17</SOURCE_SHEETCODE>
    <SOURCE_SHEETNAME>Consolidation</SOURCE_SHEETNAME>
    <SOURCEAPPLICATION>EXCEL_SOURCE</SOURCEAPPLICATION>
    <UPDATEDAT>5/6/2015 8:06:11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/MSResearch/Content/ExternalAssets/2015-03/Images/SHvs1u04M02YfsUcx2_rfA--.png</TARGET_BINARYFULLNAME>
    <TARGET_STORYFULLNAME>/MSResearch/Content/ExternalAssets/2015-03/Sections/20150329_105409_Linking_Range_44.xml</TARGET_STORYFULLNAME>
    <TARGET_UUID>7464536c-d623-11e4-bab8-0090c965f561</TARGET_UUID>
    <LINKSTATUS>Unknown</LINKSTATUS>
  </Link>
  <Link>
    <GUID>afa8cf30-4b9c-4605-8810-5aea57a2e77c</GUID>
    <SOURCE_ALTADDRESS>$B$2:$H$60</SOURCE_ALTADDRESS>
    <SOURCETYPE>Table</SOURCETYPE>
    <SOURCE_OBJECTNAME>Linking_Range_32</SOURCE_OBJECTNAME>
    <OBJECTTYPE>Native</OBJECTTYPE>
    <SOURCE_SHEETCODE>Sheet11</SOURCE_SHEETCODE>
    <SOURCE_SHEETNAME>Summary</SOURCE_SHEETNAME>
    <SOURCEAPPLICATION>EXCEL_SOURCE</SOURCEAPPLICATION>
    <UPDATEDAT>5/6/2015 8:06:11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/MSResearch/Content/ExternalAssets/2015-02/Images/KyVaErvMEmjXXF3n1zCJA--.png</TARGET_BINARYFULLNAME>
    <TARGET_STORYFULLNAME>/MSResearch/Content/ExternalAssets/2015-02/Sections/20150223_062334_Linking_Range_32.xml</TARGET_STORYFULLNAME>
    <TARGET_UUID>fca78a2c-bbb2-11e4-a5e9-e3b3f180109b</TARGET_UUID>
    <LINKSTATUS>Unknown</LINKSTATUS>
  </Link>
  <Link>
    <GUID>ac21cd4a-b96e-4757-b7de-804b04f071f6</GUID>
    <SOURCE_ALTADDRESS>$B$6:$N$28</SOURCE_ALTADDRESS>
    <SOURCETYPE>Table</SOURCETYPE>
    <SOURCE_OBJECTNAME>Linking_Range_30</SOURCE_OBJECTNAME>
    <OBJECTTYPE>Native</OBJECTTYPE>
    <SOURCE_SHEETCODE>Sheet6</SOURCE_SHEETCODE>
    <SOURCE_SHEETNAME>DDM</SOURCE_SHEETNAME>
    <SOURCEAPPLICATION>EXCEL_SOURCE</SOURCEAPPLICATION>
    <UPDATEDAT>5/6/2015 8:06:14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/MSResearch/Content/ExternalAssets/2015-01/Images/Jg_YH3zHtE2__RQ5zGja6w--.png</TARGET_BINARYFULLNAME>
    <TARGET_STORYFULLNAME>/MSResearch/Content/ExternalAssets/2015-01/Sections/20150114_092555_Linking_Range_3.xml</TARGET_STORYFULLNAME>
    <TARGET_UUID>40333a04-9bf9-11e4-9edc-4fa5ec7c1f73</TARGET_UUID>
    <LINKSTATUS>Unknown</LINKSTATUS>
    <TRANSPARENTBACKGROUND>False</TRANSPARENTBACKGROUND>
    <TRANSPARENTPLOTAREA>False</TRANSPARENTPLOTAREA>
    <EXTRACTSOURCEMODE>CopyToClipboard</EXTRACTSOURCEMODE>
  </Link>
  <Link>
    <GUID>1f104b1d-c12f-4285-80cc-563993f6d579</GUID>
    <SOURCE_ALTADDRESS>$B$6:$N$29</SOURCE_ALTADDRESS>
    <SOURCETYPE>Table</SOURCETYPE>
    <SOURCE_OBJECTNAME>Linking_Range_39</SOURCE_OBJECTNAME>
    <OBJECTTYPE>Native</OBJECTTYPE>
    <SOURCE_SHEETCODE>Sheet6</SOURCE_SHEETCODE>
    <SOURCE_SHEETNAME>DDM</SOURCE_SHEETNAME>
    <SOURCEAPPLICATION>EXCEL_SOURCE</SOURCEAPPLICATION>
    <UPDATEDAT>5/6/2015 8:06:15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/MSResearch/Content/ExternalAssets/2015-02/Images/U6ftmR1euk6yswpmGBfDvw--.png</TARGET_BINARYFULLNAME>
    <TARGET_STORYFULLNAME>/MSResearch/Content/ExternalAssets/2015-02/Sections/20150224_025714_Linking_Range_39.xml</TARGET_STORYFULLNAME>
    <TARGET_UUID>53e36b4c-bc5f-11e4-a5e9-e3b3f180109b</TARGET_UUID>
    <LINKSTATUS>Unknown</LINKSTATUS>
  </Link>
  <Link>
    <GUID>9cbfac0f-85e9-404f-b12c-083d1b3bd12f</GUID>
    <SOURCE_ALTADDRESS>$A$1:$G$29</SOURCE_ALTADDRESS>
    <SOURCETYPE>Table</SOURCETYPE>
    <SOURCE_OBJECTNAME>Linking_Range_37</SOURCE_OBJECTNAME>
    <OBJECTTYPE>Native</OBJECTTYPE>
    <SOURCE_SHEETCODE>Sheet12</SOURCE_SHEETCODE>
    <SOURCE_SHEETNAME>DCF</SOURCE_SHEETNAME>
    <SOURCEAPPLICATION>EXCEL_SOURCE</SOURCEAPPLICATION>
    <UPDATEDAT>5/6/2015 8:06:15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/MSResearch/Content/ExternalAssets/2015-02/Images/9eFijORZFUChtTMJvmyEDA--.png</TARGET_BINARYFULLNAME>
    <TARGET_STORYFULLNAME>/MSResearch/Content/ExternalAssets/2015-02/Sections/20150223_062845_Linking_Range_37.xml</TARGET_STORYFULLNAME>
    <TARGET_UUID>b5c79bf0-bbb3-11e4-a5e9-e3b3f180109b</TARGET_UUID>
    <LINKSTATUS>Unknown</LINKSTATUS>
    <TRANSPARENTBACKGROUND>False</TRANSPARENTBACKGROUND>
    <TRANSPARENTPLOTAREA>False</TRANSPARENTPLOTAREA>
  </Link>
  <Link>
    <GUID>bab88bd4-36f7-4ae1-ab89-38ab10c807c7</GUID>
    <SOURCE_ALTADDRESS>$A$1:$N$28</SOURCE_ALTADDRESS>
    <SOURCETYPE>Table</SOURCETYPE>
    <SOURCE_OBJECTNAME>Linking_Range_31</SOURCE_OBJECTNAME>
    <OBJECTTYPE>Native</OBJECTTYPE>
    <SOURCE_SHEETCODE>Sheet7</SOURCE_SHEETCODE>
    <SOURCE_SHEETNAME>SoP Model</SOURCE_SHEETNAME>
    <SOURCEAPPLICATION>EXCEL_SOURCE</SOURCEAPPLICATION>
    <UPDATEDAT>5/6/2015 8:06:16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/MSResearch/Content/ExternalAssets/2015-01/Images/ff2IMqUC4U6jGMf8HWyHAA--.png</TARGET_BINARYFULLNAME>
    <TARGET_STORYFULLNAME>/MSResearch/Content/ExternalAssets/2015-01/Sections/20150114_092702_Linking_Range_31.xml</TARGET_STORYFULLNAME>
    <TARGET_UUID>683f3250-9bf9-11e4-9edc-4fa5ec7c1f73</TARGET_UUID>
    <LINKSTATUS>Unknown</LINKSTATUS>
  </Link>
  <Link>
    <GUID>710e46b4-47cf-4b4e-a121-8b95815b9376</GUID>
    <SOURCE_ALTADDRESS>$A$3:$N$27</SOURCE_ALTADDRESS>
    <SOURCETYPE>Table</SOURCETYPE>
    <SOURCE_OBJECTNAME>Linking_Range_29</SOURCE_OBJECTNAME>
    <OBJECTTYPE>Native</OBJECTTYPE>
    <SOURCE_SHEETCODE>Sheet7</SOURCE_SHEETCODE>
    <SOURCE_SHEETNAME>SoP Model</SOURCE_SHEETNAME>
    <SOURCEAPPLICATION>EXCEL_SOURCE</SOURCEAPPLICATION>
    <UPDATEDAT>5/6/2015 8:06:16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/MSResearch/Content/ExternalAssets/2014-12/Images/m28fqj_gvkWGCEOBiEErg--.png</TARGET_BINARYFULLNAME>
    <TARGET_STORYFULLNAME>/MSResearch/Content/ExternalAssets/2014-12/Sections/20141203_085659_Linking_Range_29.xml</TARGET_STORYFULLNAME>
    <TARGET_UUID>d54353ac-7b58-11e4-a118-f2cb50997d55</TARGET_UUID>
    <LINKSTATUS>Unknown</LINKSTATUS>
    <TRANSPARENTBACKGROUND>False</TRANSPARENTBACKGROUND>
    <TRANSPARENTPLOTAREA>False</TRANSPARENTPLOTAREA>
    <EXTRACTSOURCEMODE>CopyToClipboard</EXTRACTSOURCEMODE>
  </Link>
  <Link>
    <GUID>8e21bf28-dae3-48c3-af11-b10926e20b06</GUID>
    <SOURCE_ALTADDRESS>$A$3:$BS$53</SOURCE_ALTADDRESS>
    <SOURCETYPE>Table</SOURCETYPE>
    <SOURCE_OBJECTNAME>Linking_Range_21</SOURCE_OBJECTNAME>
    <OBJECTTYPE>Native</OBJECTTYPE>
    <SOURCE_SHEETCODE>Sheet10</SOURCE_SHEETCODE>
    <SOURCE_SHEETNAME>ModelPaste</SOURCE_SHEETNAME>
    <SOURCEAPPLICATION>EXCEL_SOURCE</SOURCEAPPLICATION>
    <UPDATEDAT>5/6/2015 8:14:12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/MSResearch/Content/ExternalAssets/2014-09/Images/H8xFrqrBVkyY6RGFqo6wdg--.png</TARGET_BINARYFULLNAME>
    <TARGET_STORYFULLNAME>/MSResearch/Content/ExternalAssets/2014-09/Sections/Linking_Range_21-040.xml</TARGET_STORYFULLNAME>
    <TARGET_UUID>8dc46d20-3f73-11e4-a3f9-c4c5b429d110</TARGET_UUID>
    <LINKSTATUS>Unknown</LINKSTATUS>
  </Link>
  <Link>
    <GUID>8ee28321-38ad-495c-8d80-316854312156</GUID>
    <SOURCE_ALTADDRESS>$A$59:$BS$91</SOURCE_ALTADDRESS>
    <SOURCETYPE>Table</SOURCETYPE>
    <SOURCE_OBJECTNAME>Linking_Range_25</SOURCE_OBJECTNAME>
    <OBJECTTYPE>Native</OBJECTTYPE>
    <SOURCE_SHEETCODE>Sheet10</SOURCE_SHEETCODE>
    <SOURCE_SHEETNAME>ModelPaste</SOURCE_SHEETNAME>
    <SOURCEAPPLICATION>EXCEL_SOURCE</SOURCEAPPLICATION>
    <UPDATEDAT>5/6/2015 8:14:13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/MSResearch/Content/ExternalAssets/2014-09/Images/XycRi37KoUaU2PsWCm7Og--.png</TARGET_BINARYFULLNAME>
    <TARGET_STORYFULLNAME>/MSResearch/Content/ExternalAssets/2014-09/Sections/Linking_Range_25-035.xml</TARGET_STORYFULLNAME>
    <TARGET_UUID>b06a9908-3f73-11e4-a3f9-c4c5b429d110</TARGET_UUID>
    <LINKSTATUS>Unknown</LINKSTATUS>
  </Link>
  <Link>
    <GUID>a33774d6-bd1d-4a66-bdd4-963bc50607dd</GUID>
    <SOURCE_ALTADDRESS>$A$121:$BS$187</SOURCE_ALTADDRESS>
    <SOURCETYPE>Table</SOURCETYPE>
    <SOURCE_OBJECTNAME>Linking_Range_23</SOURCE_OBJECTNAME>
    <OBJECTTYPE>Native</OBJECTTYPE>
    <SOURCE_SHEETCODE>Sheet10</SOURCE_SHEETCODE>
    <SOURCE_SHEETNAME>ModelPaste</SOURCE_SHEETNAME>
    <SOURCEAPPLICATION>EXCEL_SOURCE</SOURCEAPPLICATION>
    <UPDATEDAT>5/6/2015 8:14:13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/MSResearch/Content/ExternalAssets/2014-09/Images/3MveBjLDq25VaDbuH8vnQ--.png</TARGET_BINARYFULLNAME>
    <TARGET_STORYFULLNAME>/MSResearch/Content/ExternalAssets/2014-09/Sections/Linking_Range_23-046.xml</TARGET_STORYFULLNAME>
    <TARGET_UUID>cb9e8dba-3f73-11e4-a3f9-c4c5b429d110</TARGET_UUID>
    <LINKSTATUS>Unknown</LINKSTATUS>
  </Link>
  <Link>
    <GUID>447b3123-87db-4b5d-bb8f-f1dec6b136d0</GUID>
    <SOURCE_ALTADDRESS>$A$195:$BS$255</SOURCE_ALTADDRESS>
    <SOURCETYPE>Table</SOURCETYPE>
    <SOURCE_OBJECTNAME>Linking_Range_24</SOURCE_OBJECTNAME>
    <OBJECTTYPE>Native</OBJECTTYPE>
    <SOURCE_SHEETCODE>Sheet10</SOURCE_SHEETCODE>
    <SOURCE_SHEETNAME>ModelPaste</SOURCE_SHEETNAME>
    <SOURCEAPPLICATION>EXCEL_SOURCE</SOURCEAPPLICATION>
    <UPDATEDAT>5/6/2015 8:14:14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/MSResearch/Content/ExternalAssets/2014-09/Images/4xo-BuFxfEukeL_OrpIShw--.png</TARGET_BINARYFULLNAME>
    <TARGET_STORYFULLNAME>/MSResearch/Content/ExternalAssets/2014-09/Sections/Linking_Range_24-047.xml</TARGET_STORYFULLNAME>
    <TARGET_UUID>e8902f8c-3f73-11e4-a3f9-c4c5b429d110</TARGET_UUID>
    <LINKSTATUS>Unknown</LINKSTATUS>
  </Link>
  <Link>
    <GUID>71dad002-09ec-424a-8ce4-7426d5a039e8</GUID>
    <SOURCE_ALTADDRESS>$A$59:$BX$89</SOURCE_ALTADDRESS>
    <SOURCETYPE>Table</SOURCETYPE>
    <SOURCE_OBJECTNAME>Linking_Range_34</SOURCE_OBJECTNAME>
    <OBJECTTYPE>Native</OBJECTTYPE>
    <SOURCE_SHEETCODE>Sheet10</SOURCE_SHEETCODE>
    <SOURCE_SHEETNAME>ModelPaste</SOURCE_SHEETNAME>
    <SOURCEAPPLICATION>EXCEL_SOURCE</SOURCEAPPLICATION>
    <UPDATEDAT>5/6/2015 8:14:14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/MSResearch/Content/ExternalAssets/2015-02/Images/YnRvftvffkmlDspXWasyYg--.png</TARGET_BINARYFULLNAME>
    <TARGET_STORYFULLNAME>/MSResearch/Content/ExternalAssets/2015-02/Sections/20150223_062625_Linking_Range_34.xml</TARGET_STORYFULLNAME>
    <TARGET_UUID>626231a0-bbb3-11e4-a5e9-e3b3f180109b</TARGET_UUID>
    <LINKSTATUS>Unknown</LINKSTATUS>
  </Link>
  <Link>
    <GUID>edfb0381-6ab1-4f14-a958-936a4238fb28</GUID>
    <SOURCE_ALTADDRESS>$A$3:$BX$53</SOURCE_ALTADDRESS>
    <SOURCETYPE>Table</SOURCETYPE>
    <SOURCE_OBJECTNAME>Linking_Range_33</SOURCE_OBJECTNAME>
    <OBJECTTYPE>Native</OBJECTTYPE>
    <SOURCE_SHEETCODE>Sheet10</SOURCE_SHEETCODE>
    <SOURCE_SHEETNAME>ModelPaste</SOURCE_SHEETNAME>
    <SOURCEAPPLICATION>EXCEL_SOURCE</SOURCEAPPLICATION>
    <UPDATEDAT>5/6/2015 8:14:15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/MSResearch/Content/ExternalAssets/2015-02/Images/b7aLoMIZmEyy2BJXzE1CLg--.png</TARGET_BINARYFULLNAME>
    <TARGET_STORYFULLNAME>/MSResearch/Content/ExternalAssets/2015-02/Sections/20150223_062550_Linking_Range_33.xml</TARGET_STORYFULLNAME>
    <TARGET_UUID>4d922d52-bbb3-11e4-a5e9-e3b3f180109b</TARGET_UUID>
    <LINKSTATUS>Unknown</LINKSTATUS>
    <TRANSPARENTBACKGROUND>False</TRANSPARENTBACKGROUND>
    <TRANSPARENTPLOTAREA>False</TRANSPARENTPLOTAREA>
  </Link>
  <Link>
    <GUID>34f9a9a5-dd07-436a-ab02-439eb282aa91</GUID>
    <SOURCE_ALTADDRESS>$A$59:$BX$90</SOURCE_ALTADDRESS>
    <SOURCETYPE>Table</SOURCETYPE>
    <SOURCE_OBJECTNAME>Linking_Range_38</SOURCE_OBJECTNAME>
    <OBJECTTYPE>Native</OBJECTTYPE>
    <SOURCE_SHEETCODE>Sheet10</SOURCE_SHEETCODE>
    <SOURCE_SHEETNAME>ModelPaste</SOURCE_SHEETNAME>
    <SOURCEAPPLICATION>EXCEL_SOURCE</SOURCEAPPLICATION>
    <UPDATEDAT>5/6/2015 8:14:15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/MSResearch/Content/ExternalAssets/2015-02/Images/Jg9MrhevUWp9yMJ3rmO4Q--.png</TARGET_BINARYFULLNAME>
    <TARGET_STORYFULLNAME>/MSResearch/Content/ExternalAssets/2015-02/Sections/20150224_024924_Linking_Range_38.xml</TARGET_STORYFULLNAME>
    <TARGET_UUID>3baa1298-bc5e-11e4-a5e9-e3b3f180109b</TARGET_UUID>
    <LINKSTATUS>Unknown</LINKSTATUS>
  </Link>
  <Link>
    <GUID>231df00b-1fc0-49ae-9d2b-b59477bf5ae0</GUID>
    <SOURCE_ALTADDRESS>$A$121:$BX$187</SOURCE_ALTADDRESS>
    <SOURCETYPE>Table</SOURCETYPE>
    <SOURCE_OBJECTNAME>Linking_Range_35</SOURCE_OBJECTNAME>
    <OBJECTTYPE>Native</OBJECTTYPE>
    <SOURCE_SHEETCODE>Sheet10</SOURCE_SHEETCODE>
    <SOURCE_SHEETNAME>ModelPaste</SOURCE_SHEETNAME>
    <SOURCEAPPLICATION>EXCEL_SOURCE</SOURCEAPPLICATION>
    <UPDATEDAT>5/6/2015 8:14:16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/MSResearch/Content/ExternalAssets/2015-02/Images/zuavrtpyYU2Ch3x_v1WrFw--.png</TARGET_BINARYFULLNAME>
    <TARGET_STORYFULLNAME>/MSResearch/Content/ExternalAssets/2015-02/Sections/20150223_062654_Linking_Range_35.xml</TARGET_STORYFULLNAME>
    <TARGET_UUID>73e47b9a-bbb3-11e4-a5e9-e3b3f180109b</TARGET_UUID>
    <LINKSTATUS>Unknown</LINKSTATUS>
    <TRANSPARENTBACKGROUND>False</TRANSPARENTBACKGROUND>
    <TRANSPARENTPLOTAREA>False</TRANSPARENTPLOTAREA>
  </Link>
  <Link>
    <GUID>367e27a5-36eb-47be-a600-f0cddaf7efdc</GUID>
    <SOURCE_ALTADDRESS>$A$195:$BX$255</SOURCE_ALTADDRESS>
    <SOURCETYPE>Table</SOURCETYPE>
    <SOURCE_OBJECTNAME>Linking_Range_36</SOURCE_OBJECTNAME>
    <OBJECTTYPE>Native</OBJECTTYPE>
    <SOURCE_SHEETCODE>Sheet10</SOURCE_SHEETCODE>
    <SOURCE_SHEETNAME>ModelPaste</SOURCE_SHEETNAME>
    <SOURCEAPPLICATION>EXCEL_SOURCE</SOURCEAPPLICATION>
    <UPDATEDAT>5/6/2015 8:14:16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/MSResearch/Content/ExternalAssets/2015-02/Images/HKnIORMj8Ee2aIEyVJ8eg--.png</TARGET_BINARYFULLNAME>
    <TARGET_STORYFULLNAME>/MSResearch/Content/ExternalAssets/2015-02/Sections/20150223_062722_Linking_Range_36.xml</TARGET_STORYFULLNAME>
    <TARGET_UUID>84a129f6-bbb3-11e4-a5e9-e3b3f180109b</TARGET_UUID>
    <LINKSTATUS>Unknown</LINKSTATUS>
    <TRANSPARENTBACKGROUND>False</TRANSPARENTBACKGROUND>
    <TRANSPARENTPLOTAREA>False</TRANSPARENTPLOTAREA>
  </Link>
  <Link>
    <GUID>c3b48c89-02a9-448c-9712-c21084133036</GUID>
    <SOURCE_ALTADDRESS>$A$2:$O$97</SOURCE_ALTADDRESS>
    <SOURCETYPE>Table</SOURCETYPE>
    <SOURCE_OBJECTNAME>Linking_Range_43</SOURCE_OBJECTNAME>
    <OBJECTTYPE>Native</OBJECTTYPE>
    <SOURCE_SHEETCODE>Sheet17</SOURCE_SHEETCODE>
    <SOURCE_SHEETNAME>Consolidation</SOURCE_SHEETNAME>
    <SOURCEAPPLICATION>EXCEL_SOURCE</SOURCEAPPLICATION>
    <UPDATEDAT>5/15/2015 1:30:25 PM</UPDATEDAT>
    <SOURCE_ISOUTOFDATE>False</SOURCE_ISOUTOFDATE>
    <SOURCE_WORKBOOKNAME>OKEmdl.xls</SOURCE_WORKBOOKNAME>
    <SOURCE_WORKBOOKPATH>\\MSAD\ROOT\NA\NY\LIB\ER\ENERGY\Maresca\Models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/MSResearch/Content/ExternalAssets/2015-03/Images/dHh1188bQEKKAJTXx4_aPw--.png</TARGET_BINARYFULLNAME>
    <TARGET_STORYFULLNAME>/MSResearch/Content/ExternalAssets/2015-03/Sections/20150326_041318_Linking_Range_43.xml</TARGET_STORYFULLNAME>
    <TARGET_UUID>8b1602c6-d3f4-11e4-85cd-32a6e52d529f</TARGET_UUID>
    <LINKSTATUS>Unknown</LINKSTATUS>
    <TRANSPARENTBACKGROUND>False</TRANSPARENTBACKGROUND>
    <TRANSPARENTPLOTAREA>False</TRANSPARENTPLOTAREA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CADDE95B-A0D1-49C6-8B75-108F676C099B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8B82F4D1-497A-4917-9FB0-5D3C76E846C8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70</vt:i4>
      </vt:variant>
    </vt:vector>
  </HeadingPairs>
  <TitlesOfParts>
    <vt:vector size="74" baseType="lpstr">
      <vt:lpstr>ImportantDisclosures</vt:lpstr>
      <vt:lpstr>Financials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Financials!Print_Area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2009-03-26T21:08:33Z</dcterms:created>
  <dc:creator>asantiag</dc:creator>
  <cp:lastModifiedBy>Giacobbe, Matthew (Research)</cp:lastModifiedBy>
  <cp:lastPrinted>2017-03-07T18:25:08Z</cp:lastPrinted>
  <dcterms:modified xsi:type="dcterms:W3CDTF">2018-03-23T13:10:14Z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IsInternalOnly" pid="2">
    <vt:lpwstr>True</vt:lpwstr>
  </property>
  <property fmtid="{D5CDD505-2E9C-101B-9397-08002B2CF9AE}" name="LinkingAutoNameNumberLinking_Text_" pid="3">
    <vt:lpwstr>5</vt:lpwstr>
  </property>
  <property fmtid="{D5CDD505-2E9C-101B-9397-08002B2CF9AE}" name="LinkingAutoNameNumberLinking_Range_" pid="4">
    <vt:lpwstr>44</vt:lpwstr>
  </property>
  <property fmtid="{D5CDD505-2E9C-101B-9397-08002B2CF9AE}" name="{A44787D4-0540-4523-9961-78E4036D8C6D}" pid="5">
    <vt:lpwstr>{0465E207-3911-407E-B5EE-72F9B3D2ED1E}</vt:lpwstr>
  </property>
  <property fmtid="{D5CDD505-2E9C-101B-9397-08002B2CF9AE}" name="ERModPubTicket" pid="6">
    <vt:lpwstr>NA</vt:lpwstr>
  </property>
  <property fmtid="{D5CDD505-2E9C-101B-9397-08002B2CF9AE}" name="ERCompanyUploadState" pid="7">
    <vt:lpwstr>P</vt:lpwstr>
  </property>
  <property fmtid="{D5CDD505-2E9C-101B-9397-08002B2CF9AE}" name="ModelId" pid="8">
    <vt:lpwstr>758019</vt:lpwstr>
  </property>
  <property fmtid="{D5CDD505-2E9C-101B-9397-08002B2CF9AE}" name="ERModPubCompanyName" pid="9">
    <vt:lpwstr>Oneok Inc.</vt:lpwstr>
  </property>
  <property fmtid="{D5CDD505-2E9C-101B-9397-08002B2CF9AE}" name="MSDH34TAG" pid="10">
    <vt:lpwstr>.TEZUF76X5TAHATHESADREYAK-00-INB160+*94600-06=88de243e/-2e9b/-11e8/-b383/-f99601a31d31,MD=20180323094320/-0400,ZZ=000Z-d166.</vt:lpwstr>
  </property>
</Properties>
</file>